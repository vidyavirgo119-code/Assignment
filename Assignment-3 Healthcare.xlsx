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 hidePivotFieldList="1"/>
  <xr:revisionPtr revIDLastSave="0" documentId="8_{B346AACD-5FF6-4E0B-8B3D-62295AB45F56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Medical_Examinations" sheetId="9" r:id="rId1"/>
    <sheet name="Customer_Names" sheetId="8" r:id="rId2"/>
    <sheet name="Hospitalisation_Details_2__2" sheetId="15" r:id="rId3"/>
    <sheet name="Healthcare" sheetId="14" r:id="rId4"/>
    <sheet name="Sheet4" sheetId="16" r:id="rId5"/>
    <sheet name="Sheet5" sheetId="17" r:id="rId6"/>
  </sheets>
  <definedNames>
    <definedName name="ExternalData_3" localSheetId="1" hidden="1">Customer_Names!$A$1:$B$2336</definedName>
    <definedName name="ExternalData_4" localSheetId="2" hidden="1">Hospitalisation_Details_2__2!$A$1:$P$2344</definedName>
    <definedName name="ExternalData_4" localSheetId="0" hidden="1">Medical_Examinations!$A$1:$Q$2336</definedName>
  </definedNames>
  <calcPr calcId="191029"/>
  <pivotCaches>
    <pivotCache cacheId="1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14" l="1"/>
  <c r="M10" i="14"/>
  <c r="N10" i="14"/>
  <c r="O10" i="14"/>
  <c r="P10" i="14"/>
  <c r="Q10" i="14"/>
  <c r="L11" i="14"/>
  <c r="M11" i="14"/>
  <c r="N11" i="14"/>
  <c r="O11" i="14"/>
  <c r="P11" i="14"/>
  <c r="Q11" i="14"/>
  <c r="L12" i="14"/>
  <c r="M12" i="14"/>
  <c r="N12" i="14"/>
  <c r="O12" i="14"/>
  <c r="P12" i="14"/>
  <c r="Q12" i="14"/>
  <c r="L13" i="14"/>
  <c r="M13" i="14"/>
  <c r="N13" i="14"/>
  <c r="O13" i="14"/>
  <c r="P13" i="14"/>
  <c r="Q13" i="14"/>
  <c r="L14" i="14"/>
  <c r="M14" i="14"/>
  <c r="N14" i="14"/>
  <c r="O14" i="14"/>
  <c r="P14" i="14"/>
  <c r="Q14" i="14"/>
  <c r="L15" i="14"/>
  <c r="M15" i="14"/>
  <c r="N15" i="14"/>
  <c r="O15" i="14"/>
  <c r="P15" i="14"/>
  <c r="Q15" i="14"/>
  <c r="L16" i="14"/>
  <c r="M16" i="14"/>
  <c r="N16" i="14"/>
  <c r="O16" i="14"/>
  <c r="P16" i="14"/>
  <c r="Q16" i="14"/>
  <c r="L17" i="14"/>
  <c r="M17" i="14"/>
  <c r="N17" i="14"/>
  <c r="O17" i="14"/>
  <c r="P17" i="14"/>
  <c r="Q17" i="14"/>
  <c r="L18" i="14"/>
  <c r="M18" i="14"/>
  <c r="N18" i="14"/>
  <c r="O18" i="14"/>
  <c r="P18" i="14"/>
  <c r="Q18" i="14"/>
  <c r="L19" i="14"/>
  <c r="M19" i="14"/>
  <c r="N19" i="14"/>
  <c r="O19" i="14"/>
  <c r="P19" i="14"/>
  <c r="Q19" i="14"/>
  <c r="L20" i="14"/>
  <c r="M20" i="14"/>
  <c r="N20" i="14"/>
  <c r="O20" i="14"/>
  <c r="P20" i="14"/>
  <c r="Q20" i="14"/>
  <c r="L21" i="14"/>
  <c r="M21" i="14"/>
  <c r="N21" i="14"/>
  <c r="O21" i="14"/>
  <c r="P21" i="14"/>
  <c r="Q21" i="14"/>
  <c r="L22" i="14"/>
  <c r="M22" i="14"/>
  <c r="N22" i="14"/>
  <c r="O22" i="14"/>
  <c r="P22" i="14"/>
  <c r="Q22" i="14"/>
  <c r="L23" i="14"/>
  <c r="M23" i="14"/>
  <c r="N23" i="14"/>
  <c r="O23" i="14"/>
  <c r="P23" i="14"/>
  <c r="Q23" i="14"/>
  <c r="L24" i="14"/>
  <c r="M24" i="14"/>
  <c r="N24" i="14"/>
  <c r="O24" i="14"/>
  <c r="P24" i="14"/>
  <c r="Q24" i="14"/>
  <c r="L25" i="14"/>
  <c r="M25" i="14"/>
  <c r="N25" i="14"/>
  <c r="O25" i="14"/>
  <c r="P25" i="14"/>
  <c r="Q25" i="14"/>
  <c r="L26" i="14"/>
  <c r="M26" i="14"/>
  <c r="N26" i="14"/>
  <c r="O26" i="14"/>
  <c r="P26" i="14"/>
  <c r="Q26" i="14"/>
  <c r="L27" i="14"/>
  <c r="M27" i="14"/>
  <c r="N27" i="14"/>
  <c r="O27" i="14"/>
  <c r="P27" i="14"/>
  <c r="Q27" i="14"/>
  <c r="L28" i="14"/>
  <c r="M28" i="14"/>
  <c r="N28" i="14"/>
  <c r="O28" i="14"/>
  <c r="P28" i="14"/>
  <c r="Q28" i="14"/>
  <c r="L29" i="14"/>
  <c r="M29" i="14"/>
  <c r="N29" i="14"/>
  <c r="O29" i="14"/>
  <c r="P29" i="14"/>
  <c r="Q29" i="14"/>
  <c r="L30" i="14"/>
  <c r="M30" i="14"/>
  <c r="N30" i="14"/>
  <c r="O30" i="14"/>
  <c r="P30" i="14"/>
  <c r="Q30" i="14"/>
  <c r="L31" i="14"/>
  <c r="M31" i="14"/>
  <c r="N31" i="14"/>
  <c r="O31" i="14"/>
  <c r="P31" i="14"/>
  <c r="Q31" i="14"/>
  <c r="L32" i="14"/>
  <c r="M32" i="14"/>
  <c r="N32" i="14"/>
  <c r="O32" i="14"/>
  <c r="P32" i="14"/>
  <c r="Q32" i="14"/>
  <c r="L33" i="14"/>
  <c r="M33" i="14"/>
  <c r="N33" i="14"/>
  <c r="O33" i="14"/>
  <c r="P33" i="14"/>
  <c r="Q33" i="14"/>
  <c r="L34" i="14"/>
  <c r="M34" i="14"/>
  <c r="N34" i="14"/>
  <c r="O34" i="14"/>
  <c r="P34" i="14"/>
  <c r="Q34" i="14"/>
  <c r="L35" i="14"/>
  <c r="M35" i="14"/>
  <c r="N35" i="14"/>
  <c r="O35" i="14"/>
  <c r="P35" i="14"/>
  <c r="Q35" i="14"/>
  <c r="L36" i="14"/>
  <c r="M36" i="14"/>
  <c r="N36" i="14"/>
  <c r="O36" i="14"/>
  <c r="P36" i="14"/>
  <c r="Q36" i="14"/>
  <c r="L37" i="14"/>
  <c r="M37" i="14"/>
  <c r="N37" i="14"/>
  <c r="O37" i="14"/>
  <c r="P37" i="14"/>
  <c r="Q37" i="14"/>
  <c r="L38" i="14"/>
  <c r="M38" i="14"/>
  <c r="N38" i="14"/>
  <c r="O38" i="14"/>
  <c r="P38" i="14"/>
  <c r="Q38" i="14"/>
  <c r="L39" i="14"/>
  <c r="M39" i="14"/>
  <c r="N39" i="14"/>
  <c r="O39" i="14"/>
  <c r="P39" i="14"/>
  <c r="Q39" i="14"/>
  <c r="L40" i="14"/>
  <c r="M40" i="14"/>
  <c r="N40" i="14"/>
  <c r="O40" i="14"/>
  <c r="P40" i="14"/>
  <c r="Q40" i="14"/>
  <c r="L41" i="14"/>
  <c r="M41" i="14"/>
  <c r="N41" i="14"/>
  <c r="O41" i="14"/>
  <c r="P41" i="14"/>
  <c r="Q41" i="14"/>
  <c r="L42" i="14"/>
  <c r="M42" i="14"/>
  <c r="N42" i="14"/>
  <c r="O42" i="14"/>
  <c r="P42" i="14"/>
  <c r="Q42" i="14"/>
  <c r="L43" i="14"/>
  <c r="M43" i="14"/>
  <c r="N43" i="14"/>
  <c r="O43" i="14"/>
  <c r="P43" i="14"/>
  <c r="Q43" i="14"/>
  <c r="L44" i="14"/>
  <c r="M44" i="14"/>
  <c r="N44" i="14"/>
  <c r="O44" i="14"/>
  <c r="P44" i="14"/>
  <c r="Q44" i="14"/>
  <c r="L45" i="14"/>
  <c r="M45" i="14"/>
  <c r="N45" i="14"/>
  <c r="O45" i="14"/>
  <c r="P45" i="14"/>
  <c r="Q45" i="14"/>
  <c r="L46" i="14"/>
  <c r="M46" i="14"/>
  <c r="N46" i="14"/>
  <c r="O46" i="14"/>
  <c r="P46" i="14"/>
  <c r="Q46" i="14"/>
  <c r="L47" i="14"/>
  <c r="M47" i="14"/>
  <c r="N47" i="14"/>
  <c r="O47" i="14"/>
  <c r="P47" i="14"/>
  <c r="Q47" i="14"/>
  <c r="L48" i="14"/>
  <c r="M48" i="14"/>
  <c r="N48" i="14"/>
  <c r="O48" i="14"/>
  <c r="P48" i="14"/>
  <c r="Q48" i="14"/>
  <c r="L49" i="14"/>
  <c r="M49" i="14"/>
  <c r="N49" i="14"/>
  <c r="O49" i="14"/>
  <c r="P49" i="14"/>
  <c r="Q49" i="14"/>
  <c r="L50" i="14"/>
  <c r="M50" i="14"/>
  <c r="N50" i="14"/>
  <c r="O50" i="14"/>
  <c r="P50" i="14"/>
  <c r="Q50" i="14"/>
  <c r="L51" i="14"/>
  <c r="M51" i="14"/>
  <c r="N51" i="14"/>
  <c r="O51" i="14"/>
  <c r="P51" i="14"/>
  <c r="Q51" i="14"/>
  <c r="L52" i="14"/>
  <c r="M52" i="14"/>
  <c r="N52" i="14"/>
  <c r="O52" i="14"/>
  <c r="P52" i="14"/>
  <c r="Q52" i="14"/>
  <c r="L53" i="14"/>
  <c r="M53" i="14"/>
  <c r="N53" i="14"/>
  <c r="O53" i="14"/>
  <c r="P53" i="14"/>
  <c r="Q53" i="14"/>
  <c r="L54" i="14"/>
  <c r="M54" i="14"/>
  <c r="N54" i="14"/>
  <c r="O54" i="14"/>
  <c r="P54" i="14"/>
  <c r="Q54" i="14"/>
  <c r="L55" i="14"/>
  <c r="M55" i="14"/>
  <c r="N55" i="14"/>
  <c r="O55" i="14"/>
  <c r="P55" i="14"/>
  <c r="Q55" i="14"/>
  <c r="L56" i="14"/>
  <c r="M56" i="14"/>
  <c r="N56" i="14"/>
  <c r="O56" i="14"/>
  <c r="P56" i="14"/>
  <c r="Q56" i="14"/>
  <c r="L57" i="14"/>
  <c r="M57" i="14"/>
  <c r="N57" i="14"/>
  <c r="O57" i="14"/>
  <c r="P57" i="14"/>
  <c r="Q57" i="14"/>
  <c r="L58" i="14"/>
  <c r="M58" i="14"/>
  <c r="N58" i="14"/>
  <c r="O58" i="14"/>
  <c r="P58" i="14"/>
  <c r="Q58" i="14"/>
  <c r="L59" i="14"/>
  <c r="M59" i="14"/>
  <c r="N59" i="14"/>
  <c r="O59" i="14"/>
  <c r="P59" i="14"/>
  <c r="Q59" i="14"/>
  <c r="L60" i="14"/>
  <c r="M60" i="14"/>
  <c r="N60" i="14"/>
  <c r="O60" i="14"/>
  <c r="P60" i="14"/>
  <c r="Q60" i="14"/>
  <c r="L61" i="14"/>
  <c r="M61" i="14"/>
  <c r="N61" i="14"/>
  <c r="O61" i="14"/>
  <c r="P61" i="14"/>
  <c r="Q61" i="14"/>
  <c r="L62" i="14"/>
  <c r="M62" i="14"/>
  <c r="N62" i="14"/>
  <c r="O62" i="14"/>
  <c r="P62" i="14"/>
  <c r="Q62" i="14"/>
  <c r="L63" i="14"/>
  <c r="M63" i="14"/>
  <c r="N63" i="14"/>
  <c r="O63" i="14"/>
  <c r="P63" i="14"/>
  <c r="Q63" i="14"/>
  <c r="L64" i="14"/>
  <c r="M64" i="14"/>
  <c r="N64" i="14"/>
  <c r="O64" i="14"/>
  <c r="P64" i="14"/>
  <c r="Q64" i="14"/>
  <c r="L65" i="14"/>
  <c r="M65" i="14"/>
  <c r="N65" i="14"/>
  <c r="O65" i="14"/>
  <c r="P65" i="14"/>
  <c r="Q65" i="14"/>
  <c r="L66" i="14"/>
  <c r="M66" i="14"/>
  <c r="N66" i="14"/>
  <c r="O66" i="14"/>
  <c r="P66" i="14"/>
  <c r="Q66" i="14"/>
  <c r="L67" i="14"/>
  <c r="M67" i="14"/>
  <c r="N67" i="14"/>
  <c r="O67" i="14"/>
  <c r="P67" i="14"/>
  <c r="Q67" i="14"/>
  <c r="L68" i="14"/>
  <c r="M68" i="14"/>
  <c r="N68" i="14"/>
  <c r="O68" i="14"/>
  <c r="P68" i="14"/>
  <c r="Q68" i="14"/>
  <c r="L69" i="14"/>
  <c r="M69" i="14"/>
  <c r="N69" i="14"/>
  <c r="O69" i="14"/>
  <c r="P69" i="14"/>
  <c r="Q69" i="14"/>
  <c r="L70" i="14"/>
  <c r="M70" i="14"/>
  <c r="N70" i="14"/>
  <c r="O70" i="14"/>
  <c r="P70" i="14"/>
  <c r="Q70" i="14"/>
  <c r="L71" i="14"/>
  <c r="M71" i="14"/>
  <c r="N71" i="14"/>
  <c r="O71" i="14"/>
  <c r="P71" i="14"/>
  <c r="Q71" i="14"/>
  <c r="L72" i="14"/>
  <c r="M72" i="14"/>
  <c r="N72" i="14"/>
  <c r="O72" i="14"/>
  <c r="P72" i="14"/>
  <c r="Q72" i="14"/>
  <c r="L73" i="14"/>
  <c r="M73" i="14"/>
  <c r="N73" i="14"/>
  <c r="O73" i="14"/>
  <c r="P73" i="14"/>
  <c r="Q73" i="14"/>
  <c r="L74" i="14"/>
  <c r="M74" i="14"/>
  <c r="N74" i="14"/>
  <c r="O74" i="14"/>
  <c r="P74" i="14"/>
  <c r="Q74" i="14"/>
  <c r="L75" i="14"/>
  <c r="M75" i="14"/>
  <c r="N75" i="14"/>
  <c r="O75" i="14"/>
  <c r="P75" i="14"/>
  <c r="Q75" i="14"/>
  <c r="L76" i="14"/>
  <c r="M76" i="14"/>
  <c r="N76" i="14"/>
  <c r="O76" i="14"/>
  <c r="P76" i="14"/>
  <c r="Q76" i="14"/>
  <c r="L77" i="14"/>
  <c r="M77" i="14"/>
  <c r="N77" i="14"/>
  <c r="O77" i="14"/>
  <c r="P77" i="14"/>
  <c r="Q77" i="14"/>
  <c r="L78" i="14"/>
  <c r="M78" i="14"/>
  <c r="N78" i="14"/>
  <c r="O78" i="14"/>
  <c r="P78" i="14"/>
  <c r="Q78" i="14"/>
  <c r="L79" i="14"/>
  <c r="M79" i="14"/>
  <c r="N79" i="14"/>
  <c r="O79" i="14"/>
  <c r="P79" i="14"/>
  <c r="Q79" i="14"/>
  <c r="L80" i="14"/>
  <c r="M80" i="14"/>
  <c r="N80" i="14"/>
  <c r="O80" i="14"/>
  <c r="P80" i="14"/>
  <c r="Q80" i="14"/>
  <c r="L81" i="14"/>
  <c r="M81" i="14"/>
  <c r="N81" i="14"/>
  <c r="O81" i="14"/>
  <c r="P81" i="14"/>
  <c r="Q81" i="14"/>
  <c r="L3" i="14"/>
  <c r="M3" i="14"/>
  <c r="N3" i="14"/>
  <c r="O3" i="14"/>
  <c r="P3" i="14"/>
  <c r="Q3" i="14"/>
  <c r="L4" i="14"/>
  <c r="M4" i="14"/>
  <c r="N4" i="14"/>
  <c r="O4" i="14"/>
  <c r="P4" i="14"/>
  <c r="Q4" i="14"/>
  <c r="L5" i="14"/>
  <c r="M5" i="14"/>
  <c r="N5" i="14"/>
  <c r="O5" i="14"/>
  <c r="P5" i="14"/>
  <c r="Q5" i="14"/>
  <c r="L6" i="14"/>
  <c r="M6" i="14"/>
  <c r="N6" i="14"/>
  <c r="O6" i="14"/>
  <c r="P6" i="14"/>
  <c r="Q6" i="14"/>
  <c r="L7" i="14"/>
  <c r="M7" i="14"/>
  <c r="N7" i="14"/>
  <c r="O7" i="14"/>
  <c r="P7" i="14"/>
  <c r="Q7" i="14"/>
  <c r="L8" i="14"/>
  <c r="M8" i="14"/>
  <c r="N8" i="14"/>
  <c r="O8" i="14"/>
  <c r="P8" i="14"/>
  <c r="Q8" i="14"/>
  <c r="L9" i="14"/>
  <c r="M9" i="14"/>
  <c r="N9" i="14"/>
  <c r="O9" i="14"/>
  <c r="P9" i="14"/>
  <c r="Q9" i="14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131" i="14"/>
  <c r="J132" i="14"/>
  <c r="J133" i="14"/>
  <c r="J134" i="14"/>
  <c r="J135" i="14"/>
  <c r="J136" i="14"/>
  <c r="J137" i="14"/>
  <c r="J138" i="14"/>
  <c r="J139" i="14"/>
  <c r="J140" i="14"/>
  <c r="J141" i="14"/>
  <c r="J142" i="14"/>
  <c r="J143" i="14"/>
  <c r="J144" i="14"/>
  <c r="J145" i="14"/>
  <c r="J146" i="14"/>
  <c r="J147" i="14"/>
  <c r="J148" i="14"/>
  <c r="J149" i="14"/>
  <c r="J150" i="14"/>
  <c r="J151" i="14"/>
  <c r="J152" i="14"/>
  <c r="J153" i="14"/>
  <c r="J154" i="14"/>
  <c r="J155" i="14"/>
  <c r="J156" i="14"/>
  <c r="J157" i="14"/>
  <c r="J158" i="14"/>
  <c r="J159" i="14"/>
  <c r="J160" i="14"/>
  <c r="J161" i="14"/>
  <c r="J162" i="14"/>
  <c r="J163" i="14"/>
  <c r="J164" i="14"/>
  <c r="J165" i="14"/>
  <c r="J166" i="14"/>
  <c r="J167" i="14"/>
  <c r="J168" i="14"/>
  <c r="J169" i="14"/>
  <c r="J170" i="14"/>
  <c r="J171" i="14"/>
  <c r="J172" i="14"/>
  <c r="J173" i="14"/>
  <c r="J174" i="14"/>
  <c r="J175" i="14"/>
  <c r="J176" i="14"/>
  <c r="J177" i="14"/>
  <c r="J178" i="14"/>
  <c r="J179" i="14"/>
  <c r="J180" i="14"/>
  <c r="J181" i="14"/>
  <c r="J182" i="14"/>
  <c r="J183" i="14"/>
  <c r="J184" i="14"/>
  <c r="J185" i="14"/>
  <c r="J186" i="14"/>
  <c r="J187" i="14"/>
  <c r="J188" i="14"/>
  <c r="J189" i="14"/>
  <c r="J190" i="14"/>
  <c r="J191" i="14"/>
  <c r="J192" i="14"/>
  <c r="J193" i="14"/>
  <c r="J194" i="14"/>
  <c r="J195" i="14"/>
  <c r="J196" i="14"/>
  <c r="J197" i="14"/>
  <c r="J198" i="14"/>
  <c r="J199" i="14"/>
  <c r="J200" i="14"/>
  <c r="J201" i="14"/>
  <c r="J202" i="14"/>
  <c r="J203" i="14"/>
  <c r="J204" i="14"/>
  <c r="J205" i="14"/>
  <c r="J206" i="14"/>
  <c r="J207" i="14"/>
  <c r="J208" i="14"/>
  <c r="J209" i="14"/>
  <c r="J210" i="14"/>
  <c r="J211" i="14"/>
  <c r="J212" i="14"/>
  <c r="J213" i="14"/>
  <c r="J214" i="14"/>
  <c r="J215" i="14"/>
  <c r="J216" i="14"/>
  <c r="J217" i="14"/>
  <c r="J218" i="14"/>
  <c r="J219" i="14"/>
  <c r="J220" i="14"/>
  <c r="J221" i="14"/>
  <c r="J222" i="14"/>
  <c r="J223" i="14"/>
  <c r="J224" i="14"/>
  <c r="J225" i="14"/>
  <c r="J226" i="14"/>
  <c r="J227" i="14"/>
  <c r="J228" i="14"/>
  <c r="J229" i="14"/>
  <c r="J230" i="14"/>
  <c r="J231" i="14"/>
  <c r="J232" i="14"/>
  <c r="J233" i="14"/>
  <c r="J234" i="14"/>
  <c r="J235" i="14"/>
  <c r="J236" i="14"/>
  <c r="J237" i="14"/>
  <c r="J238" i="14"/>
  <c r="J239" i="14"/>
  <c r="J240" i="14"/>
  <c r="J241" i="14"/>
  <c r="J242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52" i="14"/>
  <c r="I253" i="14"/>
  <c r="I254" i="14"/>
  <c r="I255" i="14"/>
  <c r="I256" i="14"/>
  <c r="I257" i="14"/>
  <c r="I258" i="14"/>
  <c r="I259" i="14"/>
  <c r="I260" i="14"/>
  <c r="I261" i="14"/>
  <c r="I262" i="14"/>
  <c r="I263" i="14"/>
  <c r="I264" i="14"/>
  <c r="I265" i="14"/>
  <c r="I266" i="14"/>
  <c r="I267" i="14"/>
  <c r="I268" i="14"/>
  <c r="I269" i="14"/>
  <c r="I270" i="14"/>
  <c r="I271" i="14"/>
  <c r="I272" i="14"/>
  <c r="I273" i="14"/>
  <c r="I274" i="14"/>
  <c r="I275" i="14"/>
  <c r="I276" i="14"/>
  <c r="I277" i="14"/>
  <c r="I278" i="14"/>
  <c r="I279" i="14"/>
  <c r="I280" i="14"/>
  <c r="I281" i="14"/>
  <c r="I282" i="14"/>
  <c r="I283" i="14"/>
  <c r="I284" i="14"/>
  <c r="I285" i="14"/>
  <c r="I286" i="14"/>
  <c r="I287" i="14"/>
  <c r="I288" i="14"/>
  <c r="I289" i="14"/>
  <c r="I290" i="14"/>
  <c r="I291" i="14"/>
  <c r="I292" i="14"/>
  <c r="I293" i="14"/>
  <c r="I294" i="14"/>
  <c r="I295" i="14"/>
  <c r="I296" i="14"/>
  <c r="I297" i="14"/>
  <c r="I298" i="14"/>
  <c r="I299" i="14"/>
  <c r="I300" i="14"/>
  <c r="I301" i="14"/>
  <c r="I302" i="14"/>
  <c r="I303" i="14"/>
  <c r="I304" i="14"/>
  <c r="I305" i="14"/>
  <c r="I306" i="14"/>
  <c r="I307" i="14"/>
  <c r="I308" i="14"/>
  <c r="I309" i="14"/>
  <c r="I310" i="14"/>
  <c r="I311" i="14"/>
  <c r="I312" i="14"/>
  <c r="I313" i="14"/>
  <c r="I314" i="14"/>
  <c r="I315" i="14"/>
  <c r="I316" i="14"/>
  <c r="I317" i="14"/>
  <c r="I318" i="14"/>
  <c r="I319" i="14"/>
  <c r="I320" i="14"/>
  <c r="I321" i="14"/>
  <c r="I322" i="14"/>
  <c r="I323" i="14"/>
  <c r="I324" i="14"/>
  <c r="I325" i="14"/>
  <c r="I326" i="14"/>
  <c r="I327" i="14"/>
  <c r="I328" i="14"/>
  <c r="I329" i="14"/>
  <c r="I330" i="14"/>
  <c r="I331" i="14"/>
  <c r="I332" i="14"/>
  <c r="I333" i="14"/>
  <c r="I334" i="14"/>
  <c r="I335" i="14"/>
  <c r="I336" i="14"/>
  <c r="I337" i="14"/>
  <c r="I338" i="14"/>
  <c r="I339" i="14"/>
  <c r="I340" i="14"/>
  <c r="I341" i="14"/>
  <c r="I342" i="14"/>
  <c r="I343" i="14"/>
  <c r="I344" i="14"/>
  <c r="I345" i="14"/>
  <c r="I346" i="14"/>
  <c r="I347" i="14"/>
  <c r="I348" i="14"/>
  <c r="I349" i="14"/>
  <c r="I350" i="14"/>
  <c r="I351" i="14"/>
  <c r="I352" i="14"/>
  <c r="I353" i="14"/>
  <c r="I354" i="14"/>
  <c r="I355" i="14"/>
  <c r="I356" i="14"/>
  <c r="I357" i="14"/>
  <c r="I358" i="14"/>
  <c r="I359" i="14"/>
  <c r="I360" i="14"/>
  <c r="I361" i="14"/>
  <c r="I362" i="14"/>
  <c r="I363" i="14"/>
  <c r="I364" i="14"/>
  <c r="I365" i="14"/>
  <c r="I366" i="14"/>
  <c r="I367" i="14"/>
  <c r="I368" i="14"/>
  <c r="I369" i="14"/>
  <c r="I370" i="14"/>
  <c r="I371" i="14"/>
  <c r="I372" i="14"/>
  <c r="I373" i="14"/>
  <c r="I374" i="14"/>
  <c r="I375" i="14"/>
  <c r="I376" i="14"/>
  <c r="I377" i="14"/>
  <c r="I378" i="14"/>
  <c r="I379" i="14"/>
  <c r="I380" i="14"/>
  <c r="I381" i="14"/>
  <c r="I382" i="14"/>
  <c r="I383" i="14"/>
  <c r="I384" i="14"/>
  <c r="I385" i="14"/>
  <c r="I386" i="14"/>
  <c r="I387" i="14"/>
  <c r="I388" i="14"/>
  <c r="I389" i="14"/>
  <c r="I390" i="14"/>
  <c r="I391" i="14"/>
  <c r="I392" i="14"/>
  <c r="I393" i="14"/>
  <c r="I394" i="14"/>
  <c r="I395" i="14"/>
  <c r="I396" i="14"/>
  <c r="I397" i="14"/>
  <c r="I398" i="14"/>
  <c r="I399" i="14"/>
  <c r="I400" i="14"/>
  <c r="I401" i="14"/>
  <c r="I402" i="14"/>
  <c r="I403" i="14"/>
  <c r="I404" i="14"/>
  <c r="I405" i="14"/>
  <c r="I406" i="14"/>
  <c r="I407" i="14"/>
  <c r="I408" i="14"/>
  <c r="I409" i="14"/>
  <c r="I410" i="14"/>
  <c r="I411" i="14"/>
  <c r="I412" i="14"/>
  <c r="I413" i="14"/>
  <c r="I414" i="14"/>
  <c r="I415" i="14"/>
  <c r="I416" i="14"/>
  <c r="I417" i="14"/>
  <c r="I418" i="14"/>
  <c r="I419" i="14"/>
  <c r="I420" i="14"/>
  <c r="I421" i="14"/>
  <c r="I422" i="14"/>
  <c r="I423" i="14"/>
  <c r="I424" i="14"/>
  <c r="I425" i="14"/>
  <c r="I426" i="14"/>
  <c r="I427" i="14"/>
  <c r="I428" i="14"/>
  <c r="I429" i="14"/>
  <c r="I430" i="14"/>
  <c r="I431" i="14"/>
  <c r="I432" i="14"/>
  <c r="I433" i="14"/>
  <c r="I434" i="14"/>
  <c r="I435" i="14"/>
  <c r="I436" i="14"/>
  <c r="I437" i="14"/>
  <c r="I438" i="14"/>
  <c r="I439" i="14"/>
  <c r="I440" i="14"/>
  <c r="I441" i="14"/>
  <c r="I442" i="14"/>
  <c r="I443" i="14"/>
  <c r="I444" i="14"/>
  <c r="I445" i="14"/>
  <c r="I446" i="14"/>
  <c r="I447" i="14"/>
  <c r="I448" i="14"/>
  <c r="I449" i="14"/>
  <c r="I450" i="14"/>
  <c r="I451" i="14"/>
  <c r="I452" i="14"/>
  <c r="I453" i="14"/>
  <c r="I454" i="14"/>
  <c r="I455" i="14"/>
  <c r="I456" i="14"/>
  <c r="I457" i="14"/>
  <c r="I458" i="14"/>
  <c r="I459" i="14"/>
  <c r="I460" i="14"/>
  <c r="I461" i="14"/>
  <c r="I462" i="14"/>
  <c r="I463" i="14"/>
  <c r="I464" i="14"/>
  <c r="I465" i="14"/>
  <c r="I466" i="14"/>
  <c r="I467" i="14"/>
  <c r="I468" i="14"/>
  <c r="I469" i="14"/>
  <c r="I470" i="14"/>
  <c r="I471" i="14"/>
  <c r="I472" i="14"/>
  <c r="I473" i="14"/>
  <c r="I474" i="14"/>
  <c r="I475" i="14"/>
  <c r="I476" i="14"/>
  <c r="I477" i="14"/>
  <c r="I478" i="14"/>
  <c r="I479" i="14"/>
  <c r="I480" i="14"/>
  <c r="I481" i="14"/>
  <c r="I482" i="14"/>
  <c r="I483" i="14"/>
  <c r="I484" i="14"/>
  <c r="I485" i="14"/>
  <c r="I486" i="14"/>
  <c r="I487" i="14"/>
  <c r="I488" i="14"/>
  <c r="I489" i="14"/>
  <c r="I490" i="14"/>
  <c r="I491" i="14"/>
  <c r="I492" i="14"/>
  <c r="I493" i="14"/>
  <c r="I494" i="14"/>
  <c r="I495" i="14"/>
  <c r="I496" i="14"/>
  <c r="I497" i="14"/>
  <c r="I498" i="14"/>
  <c r="I499" i="14"/>
  <c r="I500" i="14"/>
  <c r="I501" i="14"/>
  <c r="I502" i="14"/>
  <c r="I503" i="14"/>
  <c r="I504" i="14"/>
  <c r="I505" i="14"/>
  <c r="I506" i="14"/>
  <c r="I507" i="14"/>
  <c r="I508" i="14"/>
  <c r="I509" i="14"/>
  <c r="I510" i="14"/>
  <c r="I511" i="14"/>
  <c r="I512" i="14"/>
  <c r="I513" i="14"/>
  <c r="I514" i="14"/>
  <c r="I515" i="14"/>
  <c r="I516" i="14"/>
  <c r="I517" i="14"/>
  <c r="I518" i="14"/>
  <c r="I519" i="14"/>
  <c r="I520" i="14"/>
  <c r="I521" i="14"/>
  <c r="I522" i="14"/>
  <c r="I523" i="14"/>
  <c r="I524" i="14"/>
  <c r="I525" i="14"/>
  <c r="I526" i="14"/>
  <c r="I527" i="14"/>
  <c r="I528" i="14"/>
  <c r="I529" i="14"/>
  <c r="I530" i="14"/>
  <c r="I531" i="14"/>
  <c r="I532" i="14"/>
  <c r="I533" i="14"/>
  <c r="I534" i="14"/>
  <c r="I535" i="14"/>
  <c r="I536" i="14"/>
  <c r="I537" i="14"/>
  <c r="I538" i="14"/>
  <c r="I539" i="14"/>
  <c r="I540" i="14"/>
  <c r="I541" i="14"/>
  <c r="I542" i="14"/>
  <c r="I543" i="14"/>
  <c r="I544" i="14"/>
  <c r="I545" i="14"/>
  <c r="I546" i="14"/>
  <c r="I547" i="14"/>
  <c r="I548" i="14"/>
  <c r="I549" i="14"/>
  <c r="I550" i="14"/>
  <c r="I551" i="14"/>
  <c r="I552" i="14"/>
  <c r="I553" i="14"/>
  <c r="I554" i="14"/>
  <c r="I555" i="14"/>
  <c r="I556" i="14"/>
  <c r="I557" i="14"/>
  <c r="I558" i="14"/>
  <c r="I559" i="14"/>
  <c r="I560" i="14"/>
  <c r="I561" i="14"/>
  <c r="I562" i="14"/>
  <c r="I563" i="14"/>
  <c r="I564" i="14"/>
  <c r="I565" i="14"/>
  <c r="I566" i="14"/>
  <c r="I567" i="14"/>
  <c r="I568" i="14"/>
  <c r="I569" i="14"/>
  <c r="I570" i="14"/>
  <c r="I571" i="14"/>
  <c r="I572" i="14"/>
  <c r="I573" i="14"/>
  <c r="I574" i="14"/>
  <c r="I575" i="14"/>
  <c r="I576" i="14"/>
  <c r="I577" i="14"/>
  <c r="I578" i="14"/>
  <c r="I579" i="14"/>
  <c r="I580" i="14"/>
  <c r="I581" i="14"/>
  <c r="I582" i="14"/>
  <c r="I583" i="14"/>
  <c r="I584" i="14"/>
  <c r="I585" i="14"/>
  <c r="I586" i="14"/>
  <c r="I587" i="14"/>
  <c r="I588" i="14"/>
  <c r="I589" i="14"/>
  <c r="I590" i="14"/>
  <c r="I591" i="14"/>
  <c r="I592" i="14"/>
  <c r="I593" i="14"/>
  <c r="I594" i="14"/>
  <c r="I595" i="14"/>
  <c r="I596" i="14"/>
  <c r="I597" i="14"/>
  <c r="I598" i="14"/>
  <c r="I599" i="14"/>
  <c r="I600" i="14"/>
  <c r="I601" i="14"/>
  <c r="I602" i="14"/>
  <c r="I603" i="14"/>
  <c r="I604" i="14"/>
  <c r="I605" i="14"/>
  <c r="I606" i="14"/>
  <c r="I607" i="14"/>
  <c r="I608" i="14"/>
  <c r="I609" i="14"/>
  <c r="I610" i="14"/>
  <c r="I611" i="14"/>
  <c r="I612" i="14"/>
  <c r="I613" i="14"/>
  <c r="I614" i="14"/>
  <c r="I615" i="14"/>
  <c r="I616" i="14"/>
  <c r="I617" i="14"/>
  <c r="I618" i="14"/>
  <c r="I619" i="14"/>
  <c r="I620" i="14"/>
  <c r="I621" i="14"/>
  <c r="I622" i="14"/>
  <c r="I623" i="14"/>
  <c r="I624" i="14"/>
  <c r="I625" i="14"/>
  <c r="I626" i="14"/>
  <c r="I627" i="14"/>
  <c r="I628" i="14"/>
  <c r="I629" i="14"/>
  <c r="I630" i="14"/>
  <c r="I631" i="14"/>
  <c r="I632" i="14"/>
  <c r="I633" i="14"/>
  <c r="I634" i="14"/>
  <c r="I635" i="14"/>
  <c r="I636" i="14"/>
  <c r="I637" i="14"/>
  <c r="I638" i="14"/>
  <c r="I639" i="14"/>
  <c r="I640" i="14"/>
  <c r="I641" i="14"/>
  <c r="I642" i="14"/>
  <c r="I643" i="14"/>
  <c r="I644" i="14"/>
  <c r="I645" i="14"/>
  <c r="I646" i="14"/>
  <c r="I647" i="14"/>
  <c r="I648" i="14"/>
  <c r="I649" i="14"/>
  <c r="I650" i="14"/>
  <c r="I651" i="14"/>
  <c r="I652" i="14"/>
  <c r="I653" i="14"/>
  <c r="I654" i="14"/>
  <c r="I655" i="14"/>
  <c r="I656" i="14"/>
  <c r="I657" i="14"/>
  <c r="I658" i="14"/>
  <c r="I659" i="14"/>
  <c r="I660" i="14"/>
  <c r="I661" i="14"/>
  <c r="I662" i="14"/>
  <c r="I663" i="14"/>
  <c r="I664" i="14"/>
  <c r="I665" i="14"/>
  <c r="I666" i="14"/>
  <c r="I667" i="14"/>
  <c r="I668" i="14"/>
  <c r="I669" i="14"/>
  <c r="I670" i="14"/>
  <c r="I671" i="14"/>
  <c r="I672" i="14"/>
  <c r="I673" i="14"/>
  <c r="I674" i="14"/>
  <c r="I675" i="14"/>
  <c r="I676" i="14"/>
  <c r="I677" i="14"/>
  <c r="I678" i="14"/>
  <c r="I679" i="14"/>
  <c r="I680" i="14"/>
  <c r="I681" i="14"/>
  <c r="I682" i="14"/>
  <c r="I683" i="14"/>
  <c r="I684" i="14"/>
  <c r="I685" i="14"/>
  <c r="I686" i="14"/>
  <c r="I687" i="14"/>
  <c r="I688" i="14"/>
  <c r="I689" i="14"/>
  <c r="I690" i="14"/>
  <c r="I691" i="14"/>
  <c r="I692" i="14"/>
  <c r="I693" i="14"/>
  <c r="I694" i="14"/>
  <c r="I695" i="14"/>
  <c r="I696" i="14"/>
  <c r="I697" i="14"/>
  <c r="I698" i="14"/>
  <c r="I699" i="14"/>
  <c r="I700" i="14"/>
  <c r="I701" i="14"/>
  <c r="I702" i="14"/>
  <c r="I703" i="14"/>
  <c r="I704" i="14"/>
  <c r="I705" i="14"/>
  <c r="I706" i="14"/>
  <c r="I707" i="14"/>
  <c r="I708" i="14"/>
  <c r="I709" i="14"/>
  <c r="I710" i="14"/>
  <c r="I711" i="14"/>
  <c r="I712" i="14"/>
  <c r="I713" i="14"/>
  <c r="I714" i="14"/>
  <c r="I715" i="14"/>
  <c r="I716" i="14"/>
  <c r="I717" i="14"/>
  <c r="I718" i="14"/>
  <c r="I719" i="14"/>
  <c r="I720" i="14"/>
  <c r="I721" i="14"/>
  <c r="I722" i="14"/>
  <c r="I723" i="14"/>
  <c r="I724" i="14"/>
  <c r="I725" i="14"/>
  <c r="I726" i="14"/>
  <c r="I727" i="14"/>
  <c r="I728" i="14"/>
  <c r="I729" i="14"/>
  <c r="I730" i="14"/>
  <c r="I731" i="14"/>
  <c r="I732" i="14"/>
  <c r="I733" i="14"/>
  <c r="I734" i="14"/>
  <c r="I735" i="14"/>
  <c r="I736" i="14"/>
  <c r="I737" i="14"/>
  <c r="I738" i="14"/>
  <c r="I739" i="14"/>
  <c r="I740" i="14"/>
  <c r="I741" i="14"/>
  <c r="I742" i="14"/>
  <c r="I743" i="14"/>
  <c r="I744" i="14"/>
  <c r="I745" i="14"/>
  <c r="I746" i="14"/>
  <c r="I747" i="14"/>
  <c r="I748" i="14"/>
  <c r="I749" i="14"/>
  <c r="I750" i="14"/>
  <c r="I751" i="14"/>
  <c r="I752" i="14"/>
  <c r="I753" i="14"/>
  <c r="I754" i="14"/>
  <c r="I755" i="14"/>
  <c r="I756" i="14"/>
  <c r="I757" i="14"/>
  <c r="I758" i="14"/>
  <c r="I759" i="14"/>
  <c r="I760" i="14"/>
  <c r="I761" i="14"/>
  <c r="I762" i="14"/>
  <c r="I763" i="14"/>
  <c r="I764" i="14"/>
  <c r="I765" i="14"/>
  <c r="I766" i="14"/>
  <c r="I767" i="14"/>
  <c r="I768" i="14"/>
  <c r="I769" i="14"/>
  <c r="I770" i="14"/>
  <c r="I771" i="14"/>
  <c r="I772" i="14"/>
  <c r="I773" i="14"/>
  <c r="I774" i="14"/>
  <c r="I775" i="14"/>
  <c r="I776" i="14"/>
  <c r="I777" i="14"/>
  <c r="I778" i="14"/>
  <c r="I779" i="14"/>
  <c r="I780" i="14"/>
  <c r="I781" i="14"/>
  <c r="I782" i="14"/>
  <c r="I783" i="14"/>
  <c r="I784" i="14"/>
  <c r="I785" i="14"/>
  <c r="I786" i="14"/>
  <c r="I787" i="14"/>
  <c r="I788" i="14"/>
  <c r="I789" i="14"/>
  <c r="I790" i="14"/>
  <c r="I791" i="14"/>
  <c r="I792" i="14"/>
  <c r="I793" i="14"/>
  <c r="I794" i="14"/>
  <c r="I795" i="14"/>
  <c r="I796" i="14"/>
  <c r="I797" i="14"/>
  <c r="I798" i="14"/>
  <c r="I799" i="14"/>
  <c r="I800" i="14"/>
  <c r="I801" i="14"/>
  <c r="I802" i="14"/>
  <c r="I803" i="14"/>
  <c r="I804" i="14"/>
  <c r="I805" i="14"/>
  <c r="I806" i="14"/>
  <c r="I807" i="14"/>
  <c r="I808" i="14"/>
  <c r="I809" i="14"/>
  <c r="I810" i="14"/>
  <c r="I811" i="14"/>
  <c r="I812" i="14"/>
  <c r="I813" i="14"/>
  <c r="I814" i="14"/>
  <c r="I815" i="14"/>
  <c r="I816" i="14"/>
  <c r="I817" i="14"/>
  <c r="I818" i="14"/>
  <c r="I819" i="14"/>
  <c r="I820" i="14"/>
  <c r="I821" i="14"/>
  <c r="I822" i="14"/>
  <c r="I823" i="14"/>
  <c r="I824" i="14"/>
  <c r="I825" i="14"/>
  <c r="I826" i="14"/>
  <c r="I827" i="14"/>
  <c r="I828" i="14"/>
  <c r="I829" i="14"/>
  <c r="I830" i="14"/>
  <c r="I831" i="14"/>
  <c r="I832" i="14"/>
  <c r="I833" i="14"/>
  <c r="I834" i="14"/>
  <c r="I835" i="14"/>
  <c r="I836" i="14"/>
  <c r="I837" i="14"/>
  <c r="I838" i="14"/>
  <c r="I839" i="14"/>
  <c r="I840" i="14"/>
  <c r="I841" i="14"/>
  <c r="I842" i="14"/>
  <c r="I843" i="14"/>
  <c r="I844" i="14"/>
  <c r="I845" i="14"/>
  <c r="I846" i="14"/>
  <c r="I847" i="14"/>
  <c r="I848" i="14"/>
  <c r="I849" i="14"/>
  <c r="I850" i="14"/>
  <c r="I851" i="14"/>
  <c r="I852" i="14"/>
  <c r="I853" i="14"/>
  <c r="I854" i="14"/>
  <c r="I855" i="14"/>
  <c r="I856" i="14"/>
  <c r="I857" i="14"/>
  <c r="I858" i="14"/>
  <c r="I859" i="14"/>
  <c r="I860" i="14"/>
  <c r="I861" i="14"/>
  <c r="I862" i="14"/>
  <c r="I863" i="14"/>
  <c r="I864" i="14"/>
  <c r="I865" i="14"/>
  <c r="I866" i="14"/>
  <c r="I867" i="14"/>
  <c r="I868" i="14"/>
  <c r="I869" i="14"/>
  <c r="I870" i="14"/>
  <c r="I871" i="14"/>
  <c r="I872" i="14"/>
  <c r="I873" i="14"/>
  <c r="I874" i="14"/>
  <c r="I875" i="14"/>
  <c r="I876" i="14"/>
  <c r="I877" i="14"/>
  <c r="I878" i="14"/>
  <c r="I879" i="14"/>
  <c r="I880" i="14"/>
  <c r="I881" i="14"/>
  <c r="I882" i="14"/>
  <c r="I883" i="14"/>
  <c r="I884" i="14"/>
  <c r="I885" i="14"/>
  <c r="I886" i="14"/>
  <c r="I887" i="14"/>
  <c r="I888" i="14"/>
  <c r="I889" i="14"/>
  <c r="I890" i="14"/>
  <c r="I891" i="14"/>
  <c r="I892" i="14"/>
  <c r="I893" i="14"/>
  <c r="I894" i="14"/>
  <c r="I895" i="14"/>
  <c r="I896" i="14"/>
  <c r="I897" i="14"/>
  <c r="I898" i="14"/>
  <c r="I899" i="14"/>
  <c r="I900" i="14"/>
  <c r="I901" i="14"/>
  <c r="I902" i="14"/>
  <c r="I903" i="14"/>
  <c r="I904" i="14"/>
  <c r="I905" i="14"/>
  <c r="I906" i="14"/>
  <c r="I907" i="14"/>
  <c r="I908" i="14"/>
  <c r="I909" i="14"/>
  <c r="I910" i="14"/>
  <c r="I911" i="14"/>
  <c r="I912" i="14"/>
  <c r="I913" i="14"/>
  <c r="I914" i="14"/>
  <c r="I915" i="14"/>
  <c r="I916" i="14"/>
  <c r="I917" i="14"/>
  <c r="I918" i="14"/>
  <c r="I919" i="14"/>
  <c r="I920" i="14"/>
  <c r="I921" i="14"/>
  <c r="I922" i="14"/>
  <c r="I923" i="14"/>
  <c r="I924" i="14"/>
  <c r="I925" i="14"/>
  <c r="I926" i="14"/>
  <c r="I927" i="14"/>
  <c r="I928" i="14"/>
  <c r="I929" i="14"/>
  <c r="I930" i="14"/>
  <c r="I931" i="14"/>
  <c r="I932" i="14"/>
  <c r="I933" i="14"/>
  <c r="I934" i="14"/>
  <c r="I935" i="14"/>
  <c r="I936" i="14"/>
  <c r="I937" i="14"/>
  <c r="I938" i="14"/>
  <c r="I939" i="14"/>
  <c r="I940" i="14"/>
  <c r="I941" i="14"/>
  <c r="I942" i="14"/>
  <c r="I943" i="14"/>
  <c r="I944" i="14"/>
  <c r="I945" i="14"/>
  <c r="I946" i="14"/>
  <c r="I947" i="14"/>
  <c r="I948" i="14"/>
  <c r="I949" i="14"/>
  <c r="I950" i="14"/>
  <c r="I951" i="14"/>
  <c r="I952" i="14"/>
  <c r="I953" i="14"/>
  <c r="I954" i="14"/>
  <c r="I955" i="14"/>
  <c r="I956" i="14"/>
  <c r="I957" i="14"/>
  <c r="I958" i="14"/>
  <c r="I959" i="14"/>
  <c r="I960" i="14"/>
  <c r="I961" i="14"/>
  <c r="I962" i="14"/>
  <c r="I963" i="14"/>
  <c r="I964" i="14"/>
  <c r="I965" i="14"/>
  <c r="I966" i="14"/>
  <c r="I967" i="14"/>
  <c r="I968" i="14"/>
  <c r="I969" i="14"/>
  <c r="I970" i="14"/>
  <c r="I971" i="14"/>
  <c r="I972" i="14"/>
  <c r="I973" i="14"/>
  <c r="I974" i="14"/>
  <c r="I975" i="14"/>
  <c r="I976" i="14"/>
  <c r="I977" i="14"/>
  <c r="I978" i="14"/>
  <c r="I979" i="14"/>
  <c r="I980" i="14"/>
  <c r="I981" i="14"/>
  <c r="I982" i="14"/>
  <c r="I983" i="14"/>
  <c r="I984" i="14"/>
  <c r="I985" i="14"/>
  <c r="I986" i="14"/>
  <c r="I987" i="14"/>
  <c r="I988" i="14"/>
  <c r="I989" i="14"/>
  <c r="I990" i="14"/>
  <c r="I991" i="14"/>
  <c r="I992" i="14"/>
  <c r="I993" i="14"/>
  <c r="I994" i="14"/>
  <c r="I995" i="14"/>
  <c r="I996" i="14"/>
  <c r="I997" i="14"/>
  <c r="I998" i="14"/>
  <c r="I999" i="14"/>
  <c r="I1000" i="14"/>
  <c r="I1001" i="14"/>
  <c r="I1002" i="14"/>
  <c r="I1003" i="14"/>
  <c r="I1004" i="14"/>
  <c r="I1005" i="14"/>
  <c r="I1006" i="14"/>
  <c r="I1007" i="14"/>
  <c r="I1008" i="14"/>
  <c r="I1009" i="14"/>
  <c r="I1010" i="14"/>
  <c r="I1011" i="14"/>
  <c r="I1012" i="14"/>
  <c r="I1013" i="14"/>
  <c r="I1014" i="14"/>
  <c r="I1015" i="14"/>
  <c r="I1016" i="14"/>
  <c r="I1017" i="14"/>
  <c r="I1018" i="14"/>
  <c r="I1019" i="14"/>
  <c r="I1020" i="14"/>
  <c r="I1021" i="14"/>
  <c r="I1022" i="14"/>
  <c r="I1023" i="14"/>
  <c r="I1024" i="14"/>
  <c r="I1025" i="14"/>
  <c r="I1026" i="14"/>
  <c r="I1027" i="14"/>
  <c r="I1028" i="14"/>
  <c r="I1029" i="14"/>
  <c r="I1030" i="14"/>
  <c r="I1031" i="14"/>
  <c r="I1032" i="14"/>
  <c r="I1033" i="14"/>
  <c r="I1034" i="14"/>
  <c r="I1035" i="14"/>
  <c r="I1036" i="14"/>
  <c r="I1037" i="14"/>
  <c r="I1038" i="14"/>
  <c r="I1039" i="14"/>
  <c r="I1040" i="14"/>
  <c r="I1041" i="14"/>
  <c r="I1042" i="14"/>
  <c r="I1043" i="14"/>
  <c r="I1044" i="14"/>
  <c r="I1045" i="14"/>
  <c r="I1046" i="14"/>
  <c r="I1047" i="14"/>
  <c r="I1048" i="14"/>
  <c r="I1049" i="14"/>
  <c r="I1050" i="14"/>
  <c r="I1051" i="14"/>
  <c r="I1052" i="14"/>
  <c r="I1053" i="14"/>
  <c r="I1054" i="14"/>
  <c r="I1055" i="14"/>
  <c r="I1056" i="14"/>
  <c r="I1057" i="14"/>
  <c r="I1058" i="14"/>
  <c r="I1059" i="14"/>
  <c r="I1060" i="14"/>
  <c r="I1061" i="14"/>
  <c r="I1062" i="14"/>
  <c r="I1063" i="14"/>
  <c r="I1064" i="14"/>
  <c r="I1065" i="14"/>
  <c r="I1066" i="14"/>
  <c r="I1067" i="14"/>
  <c r="I1068" i="14"/>
  <c r="I1069" i="14"/>
  <c r="I1070" i="14"/>
  <c r="I1071" i="14"/>
  <c r="I1072" i="14"/>
  <c r="I1073" i="14"/>
  <c r="I1074" i="14"/>
  <c r="I1075" i="14"/>
  <c r="I1076" i="14"/>
  <c r="I1077" i="14"/>
  <c r="I1078" i="14"/>
  <c r="I1079" i="14"/>
  <c r="I1080" i="14"/>
  <c r="I1081" i="14"/>
  <c r="I1082" i="14"/>
  <c r="I1083" i="14"/>
  <c r="I1084" i="14"/>
  <c r="I1085" i="14"/>
  <c r="I1086" i="14"/>
  <c r="I1087" i="14"/>
  <c r="I1088" i="14"/>
  <c r="I1089" i="14"/>
  <c r="I1090" i="14"/>
  <c r="I1091" i="14"/>
  <c r="I1092" i="14"/>
  <c r="I1093" i="14"/>
  <c r="I1094" i="14"/>
  <c r="I1095" i="14"/>
  <c r="I1096" i="14"/>
  <c r="I1097" i="14"/>
  <c r="I1098" i="14"/>
  <c r="I1099" i="14"/>
  <c r="I1100" i="14"/>
  <c r="I1101" i="14"/>
  <c r="I1102" i="14"/>
  <c r="I1103" i="14"/>
  <c r="I1104" i="14"/>
  <c r="I1105" i="14"/>
  <c r="I1106" i="14"/>
  <c r="I1107" i="14"/>
  <c r="I1108" i="14"/>
  <c r="I1109" i="14"/>
  <c r="I1110" i="14"/>
  <c r="I1111" i="14"/>
  <c r="I1112" i="14"/>
  <c r="I1113" i="14"/>
  <c r="I1114" i="14"/>
  <c r="I1115" i="14"/>
  <c r="I1116" i="14"/>
  <c r="I1117" i="14"/>
  <c r="I1118" i="14"/>
  <c r="I1119" i="14"/>
  <c r="I1120" i="14"/>
  <c r="I1121" i="14"/>
  <c r="I1122" i="14"/>
  <c r="I1123" i="14"/>
  <c r="I1124" i="14"/>
  <c r="I1125" i="14"/>
  <c r="I1126" i="14"/>
  <c r="I1127" i="14"/>
  <c r="I1128" i="14"/>
  <c r="I1129" i="14"/>
  <c r="I1130" i="14"/>
  <c r="I1131" i="14"/>
  <c r="I1132" i="14"/>
  <c r="I1133" i="14"/>
  <c r="I1134" i="14"/>
  <c r="I1135" i="14"/>
  <c r="I1136" i="14"/>
  <c r="I1137" i="14"/>
  <c r="I1138" i="14"/>
  <c r="I1139" i="14"/>
  <c r="I1140" i="14"/>
  <c r="I1141" i="14"/>
  <c r="I1142" i="14"/>
  <c r="I1143" i="14"/>
  <c r="I1144" i="14"/>
  <c r="I1145" i="14"/>
  <c r="I1146" i="14"/>
  <c r="I1147" i="14"/>
  <c r="I1148" i="14"/>
  <c r="I1149" i="14"/>
  <c r="I1150" i="14"/>
  <c r="I1151" i="14"/>
  <c r="I1152" i="14"/>
  <c r="I1153" i="14"/>
  <c r="I1154" i="14"/>
  <c r="I1155" i="14"/>
  <c r="I1156" i="14"/>
  <c r="I1157" i="14"/>
  <c r="I1158" i="14"/>
  <c r="I1159" i="14"/>
  <c r="I3" i="14"/>
  <c r="I4" i="14"/>
  <c r="I5" i="14"/>
  <c r="I6" i="14"/>
  <c r="I7" i="14"/>
  <c r="I8" i="14"/>
  <c r="I9" i="14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H301" i="14"/>
  <c r="H302" i="14"/>
  <c r="H303" i="14"/>
  <c r="H304" i="14"/>
  <c r="H305" i="14"/>
  <c r="H306" i="14"/>
  <c r="H307" i="14"/>
  <c r="H308" i="14"/>
  <c r="H309" i="14"/>
  <c r="H310" i="14"/>
  <c r="H311" i="14"/>
  <c r="H312" i="14"/>
  <c r="H313" i="14"/>
  <c r="H314" i="14"/>
  <c r="H315" i="14"/>
  <c r="H316" i="14"/>
  <c r="H317" i="14"/>
  <c r="H318" i="14"/>
  <c r="H319" i="14"/>
  <c r="H320" i="14"/>
  <c r="H321" i="14"/>
  <c r="H322" i="14"/>
  <c r="H323" i="14"/>
  <c r="H324" i="14"/>
  <c r="H325" i="14"/>
  <c r="H326" i="14"/>
  <c r="H327" i="14"/>
  <c r="H328" i="14"/>
  <c r="H329" i="14"/>
  <c r="H330" i="14"/>
  <c r="H331" i="14"/>
  <c r="H332" i="14"/>
  <c r="H333" i="14"/>
  <c r="H334" i="14"/>
  <c r="H335" i="14"/>
  <c r="H336" i="14"/>
  <c r="H337" i="14"/>
  <c r="H338" i="14"/>
  <c r="H339" i="14"/>
  <c r="H340" i="14"/>
  <c r="H341" i="14"/>
  <c r="H342" i="14"/>
  <c r="H343" i="14"/>
  <c r="H344" i="14"/>
  <c r="H345" i="14"/>
  <c r="H346" i="14"/>
  <c r="H347" i="14"/>
  <c r="H348" i="14"/>
  <c r="H349" i="14"/>
  <c r="H350" i="14"/>
  <c r="H351" i="14"/>
  <c r="H352" i="14"/>
  <c r="H353" i="14"/>
  <c r="H354" i="14"/>
  <c r="H355" i="14"/>
  <c r="H356" i="14"/>
  <c r="H357" i="14"/>
  <c r="H358" i="14"/>
  <c r="H359" i="14"/>
  <c r="H360" i="14"/>
  <c r="H361" i="14"/>
  <c r="H362" i="14"/>
  <c r="H363" i="14"/>
  <c r="H364" i="14"/>
  <c r="H365" i="14"/>
  <c r="H366" i="14"/>
  <c r="H367" i="14"/>
  <c r="H368" i="14"/>
  <c r="H369" i="14"/>
  <c r="H370" i="14"/>
  <c r="H371" i="14"/>
  <c r="H372" i="14"/>
  <c r="H373" i="14"/>
  <c r="H374" i="14"/>
  <c r="H375" i="14"/>
  <c r="H376" i="14"/>
  <c r="H377" i="14"/>
  <c r="H378" i="14"/>
  <c r="H379" i="14"/>
  <c r="H380" i="14"/>
  <c r="H381" i="14"/>
  <c r="H382" i="14"/>
  <c r="H383" i="14"/>
  <c r="H384" i="14"/>
  <c r="H385" i="14"/>
  <c r="H386" i="14"/>
  <c r="H387" i="14"/>
  <c r="H388" i="14"/>
  <c r="H389" i="14"/>
  <c r="H390" i="14"/>
  <c r="H391" i="14"/>
  <c r="H392" i="14"/>
  <c r="H393" i="14"/>
  <c r="H394" i="14"/>
  <c r="H395" i="14"/>
  <c r="H396" i="14"/>
  <c r="H397" i="14"/>
  <c r="H398" i="14"/>
  <c r="H399" i="14"/>
  <c r="H400" i="14"/>
  <c r="H401" i="14"/>
  <c r="H402" i="14"/>
  <c r="H403" i="14"/>
  <c r="H404" i="14"/>
  <c r="H405" i="14"/>
  <c r="H406" i="14"/>
  <c r="H407" i="14"/>
  <c r="H408" i="14"/>
  <c r="H409" i="14"/>
  <c r="H410" i="14"/>
  <c r="H411" i="14"/>
  <c r="H412" i="14"/>
  <c r="H413" i="14"/>
  <c r="H414" i="14"/>
  <c r="H415" i="14"/>
  <c r="H416" i="14"/>
  <c r="H417" i="14"/>
  <c r="H418" i="14"/>
  <c r="H419" i="14"/>
  <c r="H420" i="14"/>
  <c r="H421" i="14"/>
  <c r="H422" i="14"/>
  <c r="H423" i="14"/>
  <c r="H424" i="14"/>
  <c r="H425" i="14"/>
  <c r="H426" i="14"/>
  <c r="H427" i="14"/>
  <c r="H428" i="14"/>
  <c r="H429" i="14"/>
  <c r="H430" i="14"/>
  <c r="H431" i="14"/>
  <c r="H432" i="14"/>
  <c r="H433" i="14"/>
  <c r="H434" i="14"/>
  <c r="H435" i="14"/>
  <c r="H436" i="14"/>
  <c r="H437" i="14"/>
  <c r="H438" i="14"/>
  <c r="H439" i="14"/>
  <c r="H440" i="14"/>
  <c r="H441" i="14"/>
  <c r="H442" i="14"/>
  <c r="H443" i="14"/>
  <c r="H444" i="14"/>
  <c r="H445" i="14"/>
  <c r="H446" i="14"/>
  <c r="H447" i="14"/>
  <c r="H448" i="14"/>
  <c r="H449" i="14"/>
  <c r="H450" i="14"/>
  <c r="H451" i="14"/>
  <c r="H452" i="14"/>
  <c r="H453" i="14"/>
  <c r="H454" i="14"/>
  <c r="H455" i="14"/>
  <c r="H456" i="14"/>
  <c r="H457" i="14"/>
  <c r="H458" i="14"/>
  <c r="H459" i="14"/>
  <c r="H460" i="14"/>
  <c r="H461" i="14"/>
  <c r="H462" i="14"/>
  <c r="H463" i="14"/>
  <c r="H464" i="14"/>
  <c r="H465" i="14"/>
  <c r="H466" i="14"/>
  <c r="H467" i="14"/>
  <c r="H468" i="14"/>
  <c r="H469" i="14"/>
  <c r="H470" i="14"/>
  <c r="H471" i="14"/>
  <c r="H472" i="14"/>
  <c r="H473" i="14"/>
  <c r="H474" i="14"/>
  <c r="H475" i="14"/>
  <c r="H476" i="14"/>
  <c r="H477" i="14"/>
  <c r="H478" i="14"/>
  <c r="H479" i="14"/>
  <c r="H480" i="14"/>
  <c r="H481" i="14"/>
  <c r="H482" i="14"/>
  <c r="H483" i="14"/>
  <c r="H484" i="14"/>
  <c r="H485" i="14"/>
  <c r="H486" i="14"/>
  <c r="H487" i="14"/>
  <c r="H488" i="14"/>
  <c r="H489" i="14"/>
  <c r="H490" i="14"/>
  <c r="H491" i="14"/>
  <c r="H492" i="14"/>
  <c r="H493" i="14"/>
  <c r="H494" i="14"/>
  <c r="H495" i="14"/>
  <c r="H496" i="14"/>
  <c r="H497" i="14"/>
  <c r="H498" i="14"/>
  <c r="H499" i="14"/>
  <c r="H500" i="14"/>
  <c r="H501" i="14"/>
  <c r="H502" i="14"/>
  <c r="H503" i="14"/>
  <c r="H504" i="14"/>
  <c r="H505" i="14"/>
  <c r="H506" i="14"/>
  <c r="H507" i="14"/>
  <c r="H508" i="14"/>
  <c r="H509" i="14"/>
  <c r="H510" i="14"/>
  <c r="H511" i="14"/>
  <c r="H512" i="14"/>
  <c r="H513" i="14"/>
  <c r="H514" i="14"/>
  <c r="H515" i="14"/>
  <c r="H516" i="14"/>
  <c r="H517" i="14"/>
  <c r="H518" i="14"/>
  <c r="H519" i="14"/>
  <c r="H520" i="14"/>
  <c r="H521" i="14"/>
  <c r="H522" i="14"/>
  <c r="H523" i="14"/>
  <c r="H524" i="14"/>
  <c r="H525" i="14"/>
  <c r="H526" i="14"/>
  <c r="H527" i="14"/>
  <c r="H528" i="14"/>
  <c r="H529" i="14"/>
  <c r="H530" i="14"/>
  <c r="H531" i="14"/>
  <c r="H532" i="14"/>
  <c r="H533" i="14"/>
  <c r="H534" i="14"/>
  <c r="H535" i="14"/>
  <c r="H536" i="14"/>
  <c r="H537" i="14"/>
  <c r="H538" i="14"/>
  <c r="H539" i="14"/>
  <c r="H540" i="14"/>
  <c r="H541" i="14"/>
  <c r="H542" i="14"/>
  <c r="H543" i="14"/>
  <c r="H544" i="14"/>
  <c r="H545" i="14"/>
  <c r="H546" i="14"/>
  <c r="H547" i="14"/>
  <c r="H548" i="14"/>
  <c r="H549" i="14"/>
  <c r="H550" i="14"/>
  <c r="H551" i="14"/>
  <c r="H552" i="14"/>
  <c r="H553" i="14"/>
  <c r="H554" i="14"/>
  <c r="H555" i="14"/>
  <c r="H556" i="14"/>
  <c r="H557" i="14"/>
  <c r="H558" i="14"/>
  <c r="H559" i="14"/>
  <c r="H560" i="14"/>
  <c r="H561" i="14"/>
  <c r="H562" i="14"/>
  <c r="H563" i="14"/>
  <c r="H564" i="14"/>
  <c r="H565" i="14"/>
  <c r="H566" i="14"/>
  <c r="H567" i="14"/>
  <c r="H568" i="14"/>
  <c r="H569" i="14"/>
  <c r="H570" i="14"/>
  <c r="H571" i="14"/>
  <c r="H572" i="14"/>
  <c r="H573" i="14"/>
  <c r="H574" i="14"/>
  <c r="H575" i="14"/>
  <c r="H576" i="14"/>
  <c r="H577" i="14"/>
  <c r="H578" i="14"/>
  <c r="H579" i="14"/>
  <c r="H580" i="14"/>
  <c r="H581" i="14"/>
  <c r="H582" i="14"/>
  <c r="H583" i="14"/>
  <c r="H584" i="14"/>
  <c r="H585" i="14"/>
  <c r="H586" i="14"/>
  <c r="H587" i="14"/>
  <c r="H588" i="14"/>
  <c r="H589" i="14"/>
  <c r="H590" i="14"/>
  <c r="H591" i="14"/>
  <c r="H592" i="14"/>
  <c r="H593" i="14"/>
  <c r="H594" i="14"/>
  <c r="H595" i="14"/>
  <c r="H596" i="14"/>
  <c r="H597" i="14"/>
  <c r="H598" i="14"/>
  <c r="H599" i="14"/>
  <c r="H600" i="14"/>
  <c r="H601" i="14"/>
  <c r="H602" i="14"/>
  <c r="H603" i="14"/>
  <c r="H604" i="14"/>
  <c r="H605" i="14"/>
  <c r="H606" i="14"/>
  <c r="H607" i="14"/>
  <c r="H608" i="14"/>
  <c r="H609" i="14"/>
  <c r="H610" i="14"/>
  <c r="H611" i="14"/>
  <c r="H612" i="14"/>
  <c r="H613" i="14"/>
  <c r="H614" i="14"/>
  <c r="H615" i="14"/>
  <c r="H616" i="14"/>
  <c r="H617" i="14"/>
  <c r="H618" i="14"/>
  <c r="H619" i="14"/>
  <c r="H620" i="14"/>
  <c r="H621" i="14"/>
  <c r="H622" i="14"/>
  <c r="H623" i="14"/>
  <c r="H624" i="14"/>
  <c r="H625" i="14"/>
  <c r="H626" i="14"/>
  <c r="H627" i="14"/>
  <c r="H628" i="14"/>
  <c r="H629" i="14"/>
  <c r="H630" i="14"/>
  <c r="H631" i="14"/>
  <c r="H632" i="14"/>
  <c r="H633" i="14"/>
  <c r="H634" i="14"/>
  <c r="H635" i="14"/>
  <c r="H636" i="14"/>
  <c r="H637" i="14"/>
  <c r="H638" i="14"/>
  <c r="H639" i="14"/>
  <c r="H640" i="14"/>
  <c r="H641" i="14"/>
  <c r="H642" i="14"/>
  <c r="H643" i="14"/>
  <c r="H644" i="14"/>
  <c r="H645" i="14"/>
  <c r="H646" i="14"/>
  <c r="H647" i="14"/>
  <c r="H648" i="14"/>
  <c r="H649" i="14"/>
  <c r="H650" i="14"/>
  <c r="H651" i="14"/>
  <c r="H652" i="14"/>
  <c r="H653" i="14"/>
  <c r="H654" i="14"/>
  <c r="H655" i="14"/>
  <c r="H656" i="14"/>
  <c r="H657" i="14"/>
  <c r="H658" i="14"/>
  <c r="H659" i="14"/>
  <c r="H660" i="14"/>
  <c r="H661" i="14"/>
  <c r="H662" i="14"/>
  <c r="H663" i="14"/>
  <c r="H664" i="14"/>
  <c r="H665" i="14"/>
  <c r="H666" i="14"/>
  <c r="H667" i="14"/>
  <c r="H668" i="14"/>
  <c r="H669" i="14"/>
  <c r="H670" i="14"/>
  <c r="H671" i="14"/>
  <c r="H672" i="14"/>
  <c r="H673" i="14"/>
  <c r="H674" i="14"/>
  <c r="H675" i="14"/>
  <c r="H676" i="14"/>
  <c r="H677" i="14"/>
  <c r="H678" i="14"/>
  <c r="H679" i="14"/>
  <c r="H680" i="14"/>
  <c r="H681" i="14"/>
  <c r="H682" i="14"/>
  <c r="H683" i="14"/>
  <c r="H684" i="14"/>
  <c r="H685" i="14"/>
  <c r="H686" i="14"/>
  <c r="H687" i="14"/>
  <c r="H688" i="14"/>
  <c r="H689" i="14"/>
  <c r="H690" i="14"/>
  <c r="H691" i="14"/>
  <c r="H692" i="14"/>
  <c r="H693" i="14"/>
  <c r="H694" i="14"/>
  <c r="H695" i="14"/>
  <c r="H696" i="14"/>
  <c r="H697" i="14"/>
  <c r="H698" i="14"/>
  <c r="H699" i="14"/>
  <c r="H700" i="14"/>
  <c r="H701" i="14"/>
  <c r="H702" i="14"/>
  <c r="H703" i="14"/>
  <c r="H704" i="14"/>
  <c r="H705" i="14"/>
  <c r="H706" i="14"/>
  <c r="H707" i="14"/>
  <c r="H708" i="14"/>
  <c r="H709" i="14"/>
  <c r="H710" i="14"/>
  <c r="H711" i="14"/>
  <c r="H712" i="14"/>
  <c r="H713" i="14"/>
  <c r="H714" i="14"/>
  <c r="H715" i="14"/>
  <c r="H716" i="14"/>
  <c r="H717" i="14"/>
  <c r="H718" i="14"/>
  <c r="H719" i="14"/>
  <c r="H720" i="14"/>
  <c r="H721" i="14"/>
  <c r="H722" i="14"/>
  <c r="H723" i="14"/>
  <c r="H724" i="14"/>
  <c r="H725" i="14"/>
  <c r="H726" i="14"/>
  <c r="H727" i="14"/>
  <c r="H728" i="14"/>
  <c r="H729" i="14"/>
  <c r="H730" i="14"/>
  <c r="H731" i="14"/>
  <c r="H732" i="14"/>
  <c r="H733" i="14"/>
  <c r="H734" i="14"/>
  <c r="H735" i="14"/>
  <c r="H736" i="14"/>
  <c r="H737" i="14"/>
  <c r="H738" i="14"/>
  <c r="H739" i="14"/>
  <c r="H740" i="14"/>
  <c r="H741" i="14"/>
  <c r="H742" i="14"/>
  <c r="H743" i="14"/>
  <c r="H744" i="14"/>
  <c r="H745" i="14"/>
  <c r="H746" i="14"/>
  <c r="H747" i="14"/>
  <c r="H748" i="14"/>
  <c r="H749" i="14"/>
  <c r="H750" i="14"/>
  <c r="H751" i="14"/>
  <c r="H752" i="14"/>
  <c r="H753" i="14"/>
  <c r="H754" i="14"/>
  <c r="H755" i="14"/>
  <c r="H756" i="14"/>
  <c r="H757" i="14"/>
  <c r="H758" i="14"/>
  <c r="H759" i="14"/>
  <c r="H760" i="14"/>
  <c r="H761" i="14"/>
  <c r="H762" i="14"/>
  <c r="H763" i="14"/>
  <c r="H764" i="14"/>
  <c r="H765" i="14"/>
  <c r="H766" i="14"/>
  <c r="H767" i="14"/>
  <c r="H768" i="14"/>
  <c r="H769" i="14"/>
  <c r="H770" i="14"/>
  <c r="H771" i="14"/>
  <c r="H772" i="14"/>
  <c r="H773" i="14"/>
  <c r="H774" i="14"/>
  <c r="H775" i="14"/>
  <c r="H776" i="14"/>
  <c r="H777" i="14"/>
  <c r="H778" i="14"/>
  <c r="H779" i="14"/>
  <c r="H780" i="14"/>
  <c r="H781" i="14"/>
  <c r="H782" i="14"/>
  <c r="H783" i="14"/>
  <c r="H784" i="14"/>
  <c r="H785" i="14"/>
  <c r="H786" i="14"/>
  <c r="H787" i="14"/>
  <c r="H788" i="14"/>
  <c r="H789" i="14"/>
  <c r="H790" i="14"/>
  <c r="H791" i="14"/>
  <c r="H792" i="14"/>
  <c r="H793" i="14"/>
  <c r="H794" i="14"/>
  <c r="H795" i="14"/>
  <c r="H796" i="14"/>
  <c r="H797" i="14"/>
  <c r="H798" i="14"/>
  <c r="H799" i="14"/>
  <c r="H800" i="14"/>
  <c r="H801" i="14"/>
  <c r="H802" i="14"/>
  <c r="H803" i="14"/>
  <c r="H804" i="14"/>
  <c r="H805" i="14"/>
  <c r="H806" i="14"/>
  <c r="H807" i="14"/>
  <c r="H808" i="14"/>
  <c r="H809" i="14"/>
  <c r="H810" i="14"/>
  <c r="H811" i="14"/>
  <c r="H812" i="14"/>
  <c r="H813" i="14"/>
  <c r="H814" i="14"/>
  <c r="H815" i="14"/>
  <c r="H816" i="14"/>
  <c r="H817" i="14"/>
  <c r="H818" i="14"/>
  <c r="H819" i="14"/>
  <c r="H820" i="14"/>
  <c r="H821" i="14"/>
  <c r="H822" i="14"/>
  <c r="H823" i="14"/>
  <c r="H824" i="14"/>
  <c r="H825" i="14"/>
  <c r="H826" i="14"/>
  <c r="H827" i="14"/>
  <c r="H828" i="14"/>
  <c r="H829" i="14"/>
  <c r="H830" i="14"/>
  <c r="H831" i="14"/>
  <c r="H832" i="14"/>
  <c r="H833" i="14"/>
  <c r="H834" i="14"/>
  <c r="H835" i="14"/>
  <c r="H836" i="14"/>
  <c r="H837" i="14"/>
  <c r="H838" i="14"/>
  <c r="H839" i="14"/>
  <c r="H840" i="14"/>
  <c r="H841" i="14"/>
  <c r="H842" i="14"/>
  <c r="H843" i="14"/>
  <c r="H844" i="14"/>
  <c r="H845" i="14"/>
  <c r="H846" i="14"/>
  <c r="H847" i="14"/>
  <c r="H848" i="14"/>
  <c r="H849" i="14"/>
  <c r="H850" i="14"/>
  <c r="H851" i="14"/>
  <c r="H852" i="14"/>
  <c r="H853" i="14"/>
  <c r="H854" i="14"/>
  <c r="H855" i="14"/>
  <c r="H856" i="14"/>
  <c r="H857" i="14"/>
  <c r="H858" i="14"/>
  <c r="H859" i="14"/>
  <c r="H860" i="14"/>
  <c r="H861" i="14"/>
  <c r="H862" i="14"/>
  <c r="H863" i="14"/>
  <c r="H864" i="14"/>
  <c r="H865" i="14"/>
  <c r="H866" i="14"/>
  <c r="H867" i="14"/>
  <c r="H868" i="14"/>
  <c r="H869" i="14"/>
  <c r="H870" i="14"/>
  <c r="H871" i="14"/>
  <c r="H872" i="14"/>
  <c r="H873" i="14"/>
  <c r="H874" i="14"/>
  <c r="H875" i="14"/>
  <c r="H876" i="14"/>
  <c r="H877" i="14"/>
  <c r="H878" i="14"/>
  <c r="H879" i="14"/>
  <c r="H880" i="14"/>
  <c r="H881" i="14"/>
  <c r="H882" i="14"/>
  <c r="H883" i="14"/>
  <c r="H884" i="14"/>
  <c r="H885" i="14"/>
  <c r="H886" i="14"/>
  <c r="H887" i="14"/>
  <c r="H888" i="14"/>
  <c r="H889" i="14"/>
  <c r="H890" i="14"/>
  <c r="H891" i="14"/>
  <c r="H892" i="14"/>
  <c r="H893" i="14"/>
  <c r="H894" i="14"/>
  <c r="H895" i="14"/>
  <c r="H896" i="14"/>
  <c r="H897" i="14"/>
  <c r="H898" i="14"/>
  <c r="H899" i="14"/>
  <c r="H900" i="14"/>
  <c r="H901" i="14"/>
  <c r="H902" i="14"/>
  <c r="H903" i="14"/>
  <c r="H904" i="14"/>
  <c r="H905" i="14"/>
  <c r="H906" i="14"/>
  <c r="H907" i="14"/>
  <c r="H908" i="14"/>
  <c r="H909" i="14"/>
  <c r="H910" i="14"/>
  <c r="H911" i="14"/>
  <c r="H912" i="14"/>
  <c r="H913" i="14"/>
  <c r="H914" i="14"/>
  <c r="H915" i="14"/>
  <c r="H916" i="14"/>
  <c r="H917" i="14"/>
  <c r="H918" i="14"/>
  <c r="H919" i="14"/>
  <c r="H920" i="14"/>
  <c r="H921" i="14"/>
  <c r="H922" i="14"/>
  <c r="H923" i="14"/>
  <c r="H924" i="14"/>
  <c r="H925" i="14"/>
  <c r="H926" i="14"/>
  <c r="H927" i="14"/>
  <c r="H928" i="14"/>
  <c r="H929" i="14"/>
  <c r="H930" i="14"/>
  <c r="H931" i="14"/>
  <c r="H932" i="14"/>
  <c r="H933" i="14"/>
  <c r="H934" i="14"/>
  <c r="H935" i="14"/>
  <c r="H936" i="14"/>
  <c r="H937" i="14"/>
  <c r="H938" i="14"/>
  <c r="H939" i="14"/>
  <c r="H940" i="14"/>
  <c r="H941" i="14"/>
  <c r="H942" i="14"/>
  <c r="H943" i="14"/>
  <c r="H944" i="14"/>
  <c r="H945" i="14"/>
  <c r="H946" i="14"/>
  <c r="H947" i="14"/>
  <c r="H948" i="14"/>
  <c r="H949" i="14"/>
  <c r="H950" i="14"/>
  <c r="H951" i="14"/>
  <c r="H952" i="14"/>
  <c r="H953" i="14"/>
  <c r="H954" i="14"/>
  <c r="H955" i="14"/>
  <c r="H956" i="14"/>
  <c r="H957" i="14"/>
  <c r="H958" i="14"/>
  <c r="H959" i="14"/>
  <c r="H960" i="14"/>
  <c r="H961" i="14"/>
  <c r="H962" i="14"/>
  <c r="H963" i="14"/>
  <c r="H964" i="14"/>
  <c r="H965" i="14"/>
  <c r="H966" i="14"/>
  <c r="H967" i="14"/>
  <c r="H968" i="14"/>
  <c r="H969" i="14"/>
  <c r="H970" i="14"/>
  <c r="H971" i="14"/>
  <c r="H972" i="14"/>
  <c r="H973" i="14"/>
  <c r="H974" i="14"/>
  <c r="H975" i="14"/>
  <c r="H976" i="14"/>
  <c r="H977" i="14"/>
  <c r="H978" i="14"/>
  <c r="H979" i="14"/>
  <c r="H980" i="14"/>
  <c r="H981" i="14"/>
  <c r="H982" i="14"/>
  <c r="H983" i="14"/>
  <c r="H984" i="14"/>
  <c r="H985" i="14"/>
  <c r="H986" i="14"/>
  <c r="H987" i="14"/>
  <c r="H988" i="14"/>
  <c r="H989" i="14"/>
  <c r="H990" i="14"/>
  <c r="H991" i="14"/>
  <c r="H992" i="14"/>
  <c r="H993" i="14"/>
  <c r="H994" i="14"/>
  <c r="H995" i="14"/>
  <c r="H996" i="14"/>
  <c r="H997" i="14"/>
  <c r="H998" i="14"/>
  <c r="H999" i="14"/>
  <c r="H1000" i="14"/>
  <c r="H1001" i="14"/>
  <c r="H1002" i="14"/>
  <c r="H1003" i="14"/>
  <c r="H1004" i="14"/>
  <c r="H1005" i="14"/>
  <c r="H1006" i="14"/>
  <c r="H1007" i="14"/>
  <c r="H1008" i="14"/>
  <c r="H1009" i="14"/>
  <c r="H1010" i="14"/>
  <c r="H1011" i="14"/>
  <c r="H1012" i="14"/>
  <c r="H1013" i="14"/>
  <c r="H1014" i="14"/>
  <c r="H1015" i="14"/>
  <c r="H1016" i="14"/>
  <c r="H1017" i="14"/>
  <c r="H1018" i="14"/>
  <c r="H1019" i="14"/>
  <c r="H1020" i="14"/>
  <c r="H1021" i="14"/>
  <c r="H1022" i="14"/>
  <c r="H1023" i="14"/>
  <c r="H1024" i="14"/>
  <c r="H1025" i="14"/>
  <c r="H1026" i="14"/>
  <c r="H1027" i="14"/>
  <c r="H1028" i="14"/>
  <c r="H1029" i="14"/>
  <c r="H1030" i="14"/>
  <c r="H1031" i="14"/>
  <c r="H1032" i="14"/>
  <c r="H1033" i="14"/>
  <c r="H1034" i="14"/>
  <c r="H1035" i="14"/>
  <c r="H1036" i="14"/>
  <c r="H1037" i="14"/>
  <c r="H1038" i="14"/>
  <c r="H1039" i="14"/>
  <c r="H1040" i="14"/>
  <c r="H1041" i="14"/>
  <c r="H1042" i="14"/>
  <c r="H1043" i="14"/>
  <c r="H1044" i="14"/>
  <c r="H1045" i="14"/>
  <c r="H1046" i="14"/>
  <c r="H1047" i="14"/>
  <c r="H1048" i="14"/>
  <c r="H1049" i="14"/>
  <c r="H1050" i="14"/>
  <c r="H1051" i="14"/>
  <c r="H1052" i="14"/>
  <c r="H1053" i="14"/>
  <c r="H1054" i="14"/>
  <c r="H1055" i="14"/>
  <c r="H1056" i="14"/>
  <c r="H1057" i="14"/>
  <c r="H1058" i="14"/>
  <c r="H1059" i="14"/>
  <c r="H1060" i="14"/>
  <c r="H1061" i="14"/>
  <c r="H1062" i="14"/>
  <c r="H1063" i="14"/>
  <c r="H1064" i="14"/>
  <c r="H1065" i="14"/>
  <c r="H1066" i="14"/>
  <c r="H1067" i="14"/>
  <c r="H1068" i="14"/>
  <c r="H1069" i="14"/>
  <c r="H1070" i="14"/>
  <c r="H1071" i="14"/>
  <c r="H1072" i="14"/>
  <c r="H1073" i="14"/>
  <c r="H1074" i="14"/>
  <c r="H1075" i="14"/>
  <c r="H1076" i="14"/>
  <c r="H1077" i="14"/>
  <c r="H1078" i="14"/>
  <c r="H1079" i="14"/>
  <c r="H1080" i="14"/>
  <c r="H1081" i="14"/>
  <c r="H1082" i="14"/>
  <c r="H1083" i="14"/>
  <c r="H1084" i="14"/>
  <c r="H1085" i="14"/>
  <c r="H1086" i="14"/>
  <c r="H1087" i="14"/>
  <c r="H1088" i="14"/>
  <c r="H1089" i="14"/>
  <c r="H1090" i="14"/>
  <c r="H1091" i="14"/>
  <c r="H1092" i="14"/>
  <c r="H1093" i="14"/>
  <c r="H1094" i="14"/>
  <c r="H1095" i="14"/>
  <c r="H1096" i="14"/>
  <c r="H1097" i="14"/>
  <c r="H1098" i="14"/>
  <c r="H1099" i="14"/>
  <c r="H1100" i="14"/>
  <c r="H1101" i="14"/>
  <c r="H1102" i="14"/>
  <c r="H1103" i="14"/>
  <c r="H1104" i="14"/>
  <c r="H1105" i="14"/>
  <c r="H1106" i="14"/>
  <c r="H1107" i="14"/>
  <c r="H1108" i="14"/>
  <c r="H1109" i="14"/>
  <c r="H1110" i="14"/>
  <c r="H1111" i="14"/>
  <c r="H1112" i="14"/>
  <c r="H1113" i="14"/>
  <c r="H1114" i="14"/>
  <c r="H1115" i="14"/>
  <c r="H1116" i="14"/>
  <c r="H1117" i="14"/>
  <c r="H1118" i="14"/>
  <c r="H1119" i="14"/>
  <c r="H1120" i="14"/>
  <c r="H1121" i="14"/>
  <c r="H1122" i="14"/>
  <c r="H1123" i="14"/>
  <c r="H1124" i="14"/>
  <c r="H1125" i="14"/>
  <c r="H1126" i="14"/>
  <c r="H1127" i="14"/>
  <c r="H1128" i="14"/>
  <c r="H1129" i="14"/>
  <c r="H1130" i="14"/>
  <c r="H1131" i="14"/>
  <c r="H1132" i="14"/>
  <c r="H1133" i="14"/>
  <c r="H1134" i="14"/>
  <c r="H1135" i="14"/>
  <c r="H1136" i="14"/>
  <c r="H1137" i="14"/>
  <c r="H1138" i="14"/>
  <c r="H1139" i="14"/>
  <c r="H1140" i="14"/>
  <c r="H1141" i="14"/>
  <c r="H1142" i="14"/>
  <c r="H1143" i="14"/>
  <c r="H1144" i="14"/>
  <c r="H1145" i="14"/>
  <c r="H1146" i="14"/>
  <c r="H1147" i="14"/>
  <c r="H1148" i="14"/>
  <c r="H1149" i="14"/>
  <c r="H1150" i="14"/>
  <c r="H1151" i="14"/>
  <c r="H1152" i="14"/>
  <c r="H1153" i="14"/>
  <c r="H1154" i="14"/>
  <c r="H1155" i="14"/>
  <c r="H1156" i="14"/>
  <c r="H1157" i="14"/>
  <c r="H1158" i="14"/>
  <c r="H1159" i="14"/>
  <c r="H1160" i="14"/>
  <c r="H1161" i="14"/>
  <c r="H1162" i="14"/>
  <c r="H1163" i="14"/>
  <c r="H1164" i="14"/>
  <c r="H1165" i="14"/>
  <c r="H1166" i="14"/>
  <c r="H1167" i="14"/>
  <c r="H1168" i="14"/>
  <c r="H1169" i="14"/>
  <c r="H1170" i="14"/>
  <c r="H1171" i="14"/>
  <c r="H1172" i="14"/>
  <c r="H1173" i="14"/>
  <c r="H1174" i="14"/>
  <c r="H1175" i="14"/>
  <c r="H1176" i="14"/>
  <c r="H1177" i="14"/>
  <c r="H1178" i="14"/>
  <c r="H1179" i="14"/>
  <c r="H1180" i="14"/>
  <c r="H1181" i="14"/>
  <c r="H1182" i="14"/>
  <c r="H1183" i="14"/>
  <c r="H1184" i="14"/>
  <c r="H1185" i="14"/>
  <c r="H1186" i="14"/>
  <c r="H1187" i="14"/>
  <c r="H1188" i="14"/>
  <c r="H1189" i="14"/>
  <c r="H1190" i="14"/>
  <c r="H1191" i="14"/>
  <c r="H1192" i="14"/>
  <c r="H1193" i="14"/>
  <c r="H1194" i="14"/>
  <c r="H1195" i="14"/>
  <c r="H1196" i="14"/>
  <c r="H1197" i="14"/>
  <c r="H1198" i="14"/>
  <c r="H1199" i="14"/>
  <c r="H1200" i="14"/>
  <c r="H1201" i="14"/>
  <c r="H1202" i="14"/>
  <c r="H1203" i="14"/>
  <c r="H1204" i="14"/>
  <c r="H1205" i="14"/>
  <c r="H1206" i="14"/>
  <c r="H1207" i="14"/>
  <c r="H1208" i="14"/>
  <c r="H1209" i="14"/>
  <c r="H1210" i="14"/>
  <c r="H1211" i="14"/>
  <c r="H1212" i="14"/>
  <c r="H1213" i="14"/>
  <c r="H1214" i="14"/>
  <c r="H1215" i="14"/>
  <c r="H1216" i="14"/>
  <c r="H1217" i="14"/>
  <c r="H1218" i="14"/>
  <c r="H1219" i="14"/>
  <c r="H1220" i="14"/>
  <c r="H1221" i="14"/>
  <c r="H1222" i="14"/>
  <c r="H1223" i="14"/>
  <c r="H1224" i="14"/>
  <c r="H1225" i="14"/>
  <c r="H1226" i="14"/>
  <c r="H1227" i="14"/>
  <c r="H1228" i="14"/>
  <c r="H1229" i="14"/>
  <c r="H1230" i="14"/>
  <c r="H1231" i="14"/>
  <c r="H1232" i="14"/>
  <c r="H1233" i="14"/>
  <c r="H1234" i="14"/>
  <c r="H1235" i="14"/>
  <c r="H1236" i="14"/>
  <c r="H1237" i="14"/>
  <c r="H1238" i="14"/>
  <c r="H1239" i="14"/>
  <c r="H1240" i="14"/>
  <c r="H1241" i="14"/>
  <c r="H1242" i="14"/>
  <c r="H1243" i="14"/>
  <c r="H1244" i="14"/>
  <c r="H1245" i="14"/>
  <c r="H1246" i="14"/>
  <c r="H1247" i="14"/>
  <c r="H1248" i="14"/>
  <c r="H1249" i="14"/>
  <c r="H1250" i="14"/>
  <c r="H1251" i="14"/>
  <c r="H1252" i="14"/>
  <c r="H1253" i="14"/>
  <c r="H1254" i="14"/>
  <c r="H1255" i="14"/>
  <c r="H1256" i="14"/>
  <c r="H1257" i="14"/>
  <c r="H1258" i="14"/>
  <c r="H1259" i="14"/>
  <c r="H1260" i="14"/>
  <c r="H1261" i="14"/>
  <c r="H1262" i="14"/>
  <c r="H1263" i="14"/>
  <c r="H1264" i="14"/>
  <c r="H1265" i="14"/>
  <c r="H1266" i="14"/>
  <c r="H1267" i="14"/>
  <c r="H1268" i="14"/>
  <c r="H1269" i="14"/>
  <c r="H1270" i="14"/>
  <c r="H1271" i="14"/>
  <c r="H1272" i="14"/>
  <c r="H1273" i="14"/>
  <c r="H1274" i="14"/>
  <c r="H1275" i="14"/>
  <c r="H1276" i="14"/>
  <c r="H1277" i="14"/>
  <c r="H1278" i="14"/>
  <c r="H1279" i="14"/>
  <c r="H1280" i="14"/>
  <c r="H1281" i="14"/>
  <c r="H1282" i="14"/>
  <c r="H1283" i="14"/>
  <c r="H1284" i="14"/>
  <c r="H1285" i="14"/>
  <c r="H1286" i="14"/>
  <c r="H1287" i="14"/>
  <c r="H1288" i="14"/>
  <c r="H1289" i="14"/>
  <c r="H1290" i="14"/>
  <c r="H1291" i="14"/>
  <c r="H1292" i="14"/>
  <c r="H1293" i="14"/>
  <c r="H1294" i="14"/>
  <c r="H1295" i="14"/>
  <c r="H1296" i="14"/>
  <c r="H1297" i="14"/>
  <c r="H1298" i="14"/>
  <c r="H1299" i="14"/>
  <c r="H1300" i="14"/>
  <c r="H1301" i="14"/>
  <c r="H1302" i="14"/>
  <c r="H1303" i="14"/>
  <c r="H1304" i="14"/>
  <c r="H1305" i="14"/>
  <c r="H1306" i="14"/>
  <c r="H1307" i="14"/>
  <c r="H1308" i="14"/>
  <c r="H1309" i="14"/>
  <c r="H1310" i="14"/>
  <c r="H1311" i="14"/>
  <c r="H1312" i="14"/>
  <c r="H1313" i="14"/>
  <c r="H1314" i="14"/>
  <c r="H1315" i="14"/>
  <c r="H1316" i="14"/>
  <c r="H1317" i="14"/>
  <c r="H1318" i="14"/>
  <c r="H1319" i="14"/>
  <c r="H1320" i="14"/>
  <c r="H1321" i="14"/>
  <c r="H1322" i="14"/>
  <c r="H1323" i="14"/>
  <c r="H1324" i="14"/>
  <c r="H1325" i="14"/>
  <c r="H1326" i="14"/>
  <c r="H1327" i="14"/>
  <c r="H1328" i="14"/>
  <c r="H1329" i="14"/>
  <c r="H1330" i="14"/>
  <c r="H1331" i="14"/>
  <c r="H1332" i="14"/>
  <c r="H1333" i="14"/>
  <c r="H1334" i="14"/>
  <c r="H1335" i="14"/>
  <c r="H1336" i="14"/>
  <c r="H1337" i="14"/>
  <c r="H1338" i="14"/>
  <c r="H1339" i="14"/>
  <c r="H1340" i="14"/>
  <c r="H1341" i="14"/>
  <c r="H1342" i="14"/>
  <c r="H1343" i="14"/>
  <c r="H1344" i="14"/>
  <c r="H1345" i="14"/>
  <c r="H1346" i="14"/>
  <c r="H1347" i="14"/>
  <c r="H1348" i="14"/>
  <c r="H1349" i="14"/>
  <c r="H1350" i="14"/>
  <c r="H1351" i="14"/>
  <c r="H1352" i="14"/>
  <c r="H1353" i="14"/>
  <c r="H1354" i="14"/>
  <c r="H1355" i="14"/>
  <c r="H1356" i="14"/>
  <c r="H1357" i="14"/>
  <c r="H1358" i="14"/>
  <c r="H1359" i="14"/>
  <c r="H1360" i="14"/>
  <c r="H1361" i="14"/>
  <c r="H1362" i="14"/>
  <c r="H1363" i="14"/>
  <c r="H1364" i="14"/>
  <c r="H1365" i="14"/>
  <c r="H1366" i="14"/>
  <c r="H1367" i="14"/>
  <c r="H1368" i="14"/>
  <c r="H1369" i="14"/>
  <c r="H1370" i="14"/>
  <c r="H1371" i="14"/>
  <c r="H1372" i="14"/>
  <c r="H1373" i="14"/>
  <c r="H1374" i="14"/>
  <c r="H1375" i="14"/>
  <c r="H1376" i="14"/>
  <c r="H1377" i="14"/>
  <c r="H1378" i="14"/>
  <c r="H1379" i="14"/>
  <c r="H1380" i="14"/>
  <c r="H1381" i="14"/>
  <c r="H1382" i="14"/>
  <c r="H1383" i="14"/>
  <c r="H1384" i="14"/>
  <c r="H1385" i="14"/>
  <c r="H1386" i="14"/>
  <c r="H1387" i="14"/>
  <c r="H1388" i="14"/>
  <c r="H1389" i="14"/>
  <c r="H1390" i="14"/>
  <c r="H1391" i="14"/>
  <c r="H1392" i="14"/>
  <c r="H1393" i="14"/>
  <c r="H1394" i="14"/>
  <c r="H1395" i="14"/>
  <c r="H1396" i="14"/>
  <c r="H1397" i="14"/>
  <c r="H1398" i="14"/>
  <c r="H1399" i="14"/>
  <c r="H1400" i="14"/>
  <c r="H1401" i="14"/>
  <c r="H1402" i="14"/>
  <c r="H1403" i="14"/>
  <c r="H1404" i="14"/>
  <c r="H1405" i="14"/>
  <c r="H1406" i="14"/>
  <c r="H1407" i="14"/>
  <c r="H1408" i="14"/>
  <c r="H1409" i="14"/>
  <c r="H1410" i="14"/>
  <c r="H1411" i="14"/>
  <c r="H1412" i="14"/>
  <c r="H1413" i="14"/>
  <c r="H1414" i="14"/>
  <c r="H1415" i="14"/>
  <c r="H1416" i="14"/>
  <c r="H1417" i="14"/>
  <c r="H1418" i="14"/>
  <c r="H1419" i="14"/>
  <c r="H1420" i="14"/>
  <c r="H1421" i="14"/>
  <c r="H1422" i="14"/>
  <c r="H1423" i="14"/>
  <c r="H1424" i="14"/>
  <c r="H1425" i="14"/>
  <c r="H1426" i="14"/>
  <c r="H1427" i="14"/>
  <c r="H1428" i="14"/>
  <c r="H1429" i="14"/>
  <c r="H1430" i="14"/>
  <c r="H1431" i="14"/>
  <c r="H1432" i="14"/>
  <c r="H1433" i="14"/>
  <c r="H1434" i="14"/>
  <c r="H1435" i="14"/>
  <c r="H1436" i="14"/>
  <c r="H1437" i="14"/>
  <c r="H1438" i="14"/>
  <c r="H1439" i="14"/>
  <c r="H1440" i="14"/>
  <c r="H1441" i="14"/>
  <c r="H1442" i="14"/>
  <c r="H1443" i="14"/>
  <c r="H1444" i="14"/>
  <c r="H1445" i="14"/>
  <c r="H1446" i="14"/>
  <c r="H1447" i="14"/>
  <c r="H1448" i="14"/>
  <c r="H1449" i="14"/>
  <c r="H1450" i="14"/>
  <c r="H1451" i="14"/>
  <c r="H1452" i="14"/>
  <c r="H1453" i="14"/>
  <c r="H1454" i="14"/>
  <c r="H1455" i="14"/>
  <c r="H1456" i="14"/>
  <c r="H1457" i="14"/>
  <c r="H1458" i="14"/>
  <c r="H1459" i="14"/>
  <c r="H1460" i="14"/>
  <c r="H1461" i="14"/>
  <c r="H1462" i="14"/>
  <c r="H1463" i="14"/>
  <c r="H1464" i="14"/>
  <c r="H1465" i="14"/>
  <c r="H1466" i="14"/>
  <c r="H1467" i="14"/>
  <c r="H1468" i="14"/>
  <c r="H1469" i="14"/>
  <c r="H1470" i="14"/>
  <c r="H1471" i="14"/>
  <c r="H1472" i="14"/>
  <c r="H1473" i="14"/>
  <c r="H1474" i="14"/>
  <c r="H1475" i="14"/>
  <c r="H1476" i="14"/>
  <c r="H1477" i="14"/>
  <c r="H1478" i="14"/>
  <c r="H1479" i="14"/>
  <c r="H1480" i="14"/>
  <c r="H1481" i="14"/>
  <c r="H1482" i="14"/>
  <c r="H1483" i="14"/>
  <c r="H1484" i="14"/>
  <c r="H1485" i="14"/>
  <c r="H1486" i="14"/>
  <c r="H1487" i="14"/>
  <c r="H1488" i="14"/>
  <c r="H1489" i="14"/>
  <c r="H1490" i="14"/>
  <c r="H1491" i="14"/>
  <c r="H1492" i="14"/>
  <c r="H1493" i="14"/>
  <c r="H1494" i="14"/>
  <c r="H1495" i="14"/>
  <c r="H1496" i="14"/>
  <c r="H1497" i="14"/>
  <c r="H1498" i="14"/>
  <c r="H1499" i="14"/>
  <c r="H1500" i="14"/>
  <c r="H1501" i="14"/>
  <c r="H1502" i="14"/>
  <c r="H1503" i="14"/>
  <c r="H1504" i="14"/>
  <c r="H1505" i="14"/>
  <c r="H1506" i="14"/>
  <c r="H1507" i="14"/>
  <c r="H1508" i="14"/>
  <c r="H1509" i="14"/>
  <c r="H1510" i="14"/>
  <c r="H1511" i="14"/>
  <c r="H1512" i="14"/>
  <c r="H1513" i="14"/>
  <c r="H1514" i="14"/>
  <c r="H1515" i="14"/>
  <c r="H1516" i="14"/>
  <c r="H1517" i="14"/>
  <c r="H1518" i="14"/>
  <c r="H1519" i="14"/>
  <c r="H1520" i="14"/>
  <c r="H1521" i="14"/>
  <c r="H1522" i="14"/>
  <c r="H1523" i="14"/>
  <c r="H1524" i="14"/>
  <c r="H1525" i="14"/>
  <c r="H1526" i="14"/>
  <c r="H1527" i="14"/>
  <c r="H1528" i="14"/>
  <c r="H1529" i="14"/>
  <c r="H1530" i="14"/>
  <c r="H1531" i="14"/>
  <c r="H1532" i="14"/>
  <c r="H1533" i="14"/>
  <c r="H1534" i="14"/>
  <c r="H1535" i="14"/>
  <c r="H1536" i="14"/>
  <c r="H1537" i="14"/>
  <c r="H1538" i="14"/>
  <c r="H1539" i="14"/>
  <c r="H1540" i="14"/>
  <c r="H1541" i="14"/>
  <c r="H1542" i="14"/>
  <c r="H1543" i="14"/>
  <c r="H1544" i="14"/>
  <c r="H1545" i="14"/>
  <c r="H1546" i="14"/>
  <c r="H1547" i="14"/>
  <c r="H1548" i="14"/>
  <c r="H1549" i="14"/>
  <c r="H1550" i="14"/>
  <c r="H1551" i="14"/>
  <c r="H1552" i="14"/>
  <c r="H1553" i="14"/>
  <c r="H1554" i="14"/>
  <c r="H1555" i="14"/>
  <c r="H1556" i="14"/>
  <c r="H1557" i="14"/>
  <c r="H1558" i="14"/>
  <c r="H1559" i="14"/>
  <c r="H1560" i="14"/>
  <c r="H1561" i="14"/>
  <c r="H1562" i="14"/>
  <c r="H1563" i="14"/>
  <c r="H1564" i="14"/>
  <c r="H1565" i="14"/>
  <c r="H1566" i="14"/>
  <c r="H1567" i="14"/>
  <c r="H1568" i="14"/>
  <c r="H1569" i="14"/>
  <c r="H1570" i="14"/>
  <c r="H1571" i="14"/>
  <c r="H1572" i="14"/>
  <c r="H1573" i="14"/>
  <c r="H1574" i="14"/>
  <c r="H1575" i="14"/>
  <c r="H1576" i="14"/>
  <c r="H1577" i="14"/>
  <c r="H1578" i="14"/>
  <c r="H1579" i="14"/>
  <c r="H1580" i="14"/>
  <c r="H1581" i="14"/>
  <c r="H1582" i="14"/>
  <c r="H1583" i="14"/>
  <c r="H1584" i="14"/>
  <c r="H1585" i="14"/>
  <c r="H1586" i="14"/>
  <c r="H1587" i="14"/>
  <c r="H1588" i="14"/>
  <c r="H1589" i="14"/>
  <c r="H1590" i="14"/>
  <c r="H1591" i="14"/>
  <c r="H1592" i="14"/>
  <c r="H1593" i="14"/>
  <c r="H1594" i="14"/>
  <c r="H1595" i="14"/>
  <c r="H1596" i="14"/>
  <c r="H1597" i="14"/>
  <c r="H1598" i="14"/>
  <c r="H1599" i="14"/>
  <c r="H1600" i="14"/>
  <c r="H1601" i="14"/>
  <c r="H1602" i="14"/>
  <c r="H1603" i="14"/>
  <c r="H1604" i="14"/>
  <c r="H1605" i="14"/>
  <c r="H1606" i="14"/>
  <c r="H1607" i="14"/>
  <c r="H1608" i="14"/>
  <c r="H1609" i="14"/>
  <c r="H1610" i="14"/>
  <c r="H1611" i="14"/>
  <c r="H1612" i="14"/>
  <c r="H1613" i="14"/>
  <c r="H1614" i="14"/>
  <c r="H1615" i="14"/>
  <c r="H1616" i="14"/>
  <c r="H1617" i="14"/>
  <c r="H1618" i="14"/>
  <c r="H1619" i="14"/>
  <c r="H1620" i="14"/>
  <c r="H1621" i="14"/>
  <c r="H1622" i="14"/>
  <c r="H1623" i="14"/>
  <c r="H1624" i="14"/>
  <c r="H1625" i="14"/>
  <c r="H1626" i="14"/>
  <c r="H1627" i="14"/>
  <c r="H1628" i="14"/>
  <c r="H1629" i="14"/>
  <c r="H1630" i="14"/>
  <c r="H1631" i="14"/>
  <c r="H1632" i="14"/>
  <c r="H1633" i="14"/>
  <c r="H1634" i="14"/>
  <c r="H1635" i="14"/>
  <c r="H1636" i="14"/>
  <c r="H1637" i="14"/>
  <c r="H1638" i="14"/>
  <c r="H1639" i="14"/>
  <c r="H1640" i="14"/>
  <c r="H1641" i="14"/>
  <c r="H1642" i="14"/>
  <c r="H1643" i="14"/>
  <c r="H1644" i="14"/>
  <c r="H1645" i="14"/>
  <c r="H1646" i="14"/>
  <c r="H1647" i="14"/>
  <c r="H1648" i="14"/>
  <c r="H1649" i="14"/>
  <c r="H1650" i="14"/>
  <c r="H1651" i="14"/>
  <c r="H1652" i="14"/>
  <c r="H1653" i="14"/>
  <c r="H1654" i="14"/>
  <c r="H1655" i="14"/>
  <c r="H1656" i="14"/>
  <c r="H1657" i="14"/>
  <c r="H1658" i="14"/>
  <c r="H1659" i="14"/>
  <c r="H1660" i="14"/>
  <c r="H1661" i="14"/>
  <c r="H1662" i="14"/>
  <c r="H1663" i="14"/>
  <c r="H1664" i="14"/>
  <c r="H1665" i="14"/>
  <c r="H1666" i="14"/>
  <c r="H1667" i="14"/>
  <c r="H1668" i="14"/>
  <c r="H1669" i="14"/>
  <c r="H1670" i="14"/>
  <c r="H1671" i="14"/>
  <c r="H1672" i="14"/>
  <c r="H1673" i="14"/>
  <c r="H1674" i="14"/>
  <c r="H1675" i="14"/>
  <c r="H1676" i="14"/>
  <c r="H1677" i="14"/>
  <c r="H1678" i="14"/>
  <c r="H1679" i="14"/>
  <c r="H1680" i="14"/>
  <c r="H1681" i="14"/>
  <c r="H1682" i="14"/>
  <c r="H1683" i="14"/>
  <c r="H1684" i="14"/>
  <c r="H1685" i="14"/>
  <c r="H1686" i="14"/>
  <c r="H1687" i="14"/>
  <c r="H1688" i="14"/>
  <c r="H1689" i="14"/>
  <c r="H1690" i="14"/>
  <c r="H1691" i="14"/>
  <c r="H1692" i="14"/>
  <c r="H1693" i="14"/>
  <c r="H1694" i="14"/>
  <c r="H1695" i="14"/>
  <c r="H1696" i="14"/>
  <c r="H1697" i="14"/>
  <c r="H1698" i="14"/>
  <c r="H1699" i="14"/>
  <c r="H1700" i="14"/>
  <c r="H1701" i="14"/>
  <c r="H1702" i="14"/>
  <c r="H1703" i="14"/>
  <c r="H1704" i="14"/>
  <c r="H1705" i="14"/>
  <c r="H1706" i="14"/>
  <c r="H1707" i="14"/>
  <c r="H1708" i="14"/>
  <c r="H1709" i="14"/>
  <c r="H1710" i="14"/>
  <c r="H1711" i="14"/>
  <c r="H1712" i="14"/>
  <c r="H1713" i="14"/>
  <c r="H1714" i="14"/>
  <c r="H1715" i="14"/>
  <c r="H1716" i="14"/>
  <c r="H1717" i="14"/>
  <c r="H1718" i="14"/>
  <c r="H1719" i="14"/>
  <c r="H1720" i="14"/>
  <c r="H1721" i="14"/>
  <c r="H1722" i="14"/>
  <c r="H1723" i="14"/>
  <c r="H1724" i="14"/>
  <c r="H1725" i="14"/>
  <c r="H1726" i="14"/>
  <c r="H1727" i="14"/>
  <c r="H1728" i="14"/>
  <c r="H1729" i="14"/>
  <c r="H1730" i="14"/>
  <c r="H1731" i="14"/>
  <c r="H1732" i="14"/>
  <c r="H1733" i="14"/>
  <c r="H1734" i="14"/>
  <c r="H1735" i="14"/>
  <c r="H1736" i="14"/>
  <c r="H1737" i="14"/>
  <c r="H1738" i="14"/>
  <c r="H1739" i="14"/>
  <c r="H1740" i="14"/>
  <c r="H1741" i="14"/>
  <c r="H1742" i="14"/>
  <c r="H1743" i="14"/>
  <c r="H1744" i="14"/>
  <c r="H1745" i="14"/>
  <c r="H1746" i="14"/>
  <c r="H1747" i="14"/>
  <c r="H1748" i="14"/>
  <c r="H1749" i="14"/>
  <c r="H1750" i="14"/>
  <c r="H1751" i="14"/>
  <c r="H1752" i="14"/>
  <c r="H1753" i="14"/>
  <c r="H1754" i="14"/>
  <c r="H1755" i="14"/>
  <c r="H1756" i="14"/>
  <c r="H1757" i="14"/>
  <c r="H1758" i="14"/>
  <c r="H1759" i="14"/>
  <c r="H1760" i="14"/>
  <c r="H1761" i="14"/>
  <c r="H1762" i="14"/>
  <c r="H1763" i="14"/>
  <c r="H1764" i="14"/>
  <c r="H1765" i="14"/>
  <c r="H1766" i="14"/>
  <c r="H1767" i="14"/>
  <c r="H1768" i="14"/>
  <c r="H1769" i="14"/>
  <c r="H1770" i="14"/>
  <c r="H1771" i="14"/>
  <c r="H1772" i="14"/>
  <c r="H1773" i="14"/>
  <c r="H1774" i="14"/>
  <c r="H1775" i="14"/>
  <c r="H1776" i="14"/>
  <c r="H1777" i="14"/>
  <c r="H1778" i="14"/>
  <c r="H1779" i="14"/>
  <c r="H1780" i="14"/>
  <c r="H1781" i="14"/>
  <c r="H1782" i="14"/>
  <c r="H1783" i="14"/>
  <c r="H1784" i="14"/>
  <c r="H1785" i="14"/>
  <c r="H1786" i="14"/>
  <c r="H1787" i="14"/>
  <c r="H1788" i="14"/>
  <c r="H1789" i="14"/>
  <c r="H1790" i="14"/>
  <c r="H1791" i="14"/>
  <c r="H1792" i="14"/>
  <c r="H1793" i="14"/>
  <c r="H1794" i="14"/>
  <c r="H1795" i="14"/>
  <c r="H1796" i="14"/>
  <c r="H1797" i="14"/>
  <c r="H1798" i="14"/>
  <c r="H1799" i="14"/>
  <c r="H1800" i="14"/>
  <c r="H1801" i="14"/>
  <c r="H1802" i="14"/>
  <c r="H1803" i="14"/>
  <c r="H1804" i="14"/>
  <c r="H1805" i="14"/>
  <c r="H1806" i="14"/>
  <c r="H1807" i="14"/>
  <c r="H1808" i="14"/>
  <c r="H1809" i="14"/>
  <c r="H1810" i="14"/>
  <c r="H1811" i="14"/>
  <c r="H1812" i="14"/>
  <c r="H1813" i="14"/>
  <c r="H1814" i="14"/>
  <c r="H1815" i="14"/>
  <c r="H1816" i="14"/>
  <c r="H1817" i="14"/>
  <c r="H1818" i="14"/>
  <c r="H1819" i="14"/>
  <c r="H1820" i="14"/>
  <c r="H1821" i="14"/>
  <c r="H1822" i="14"/>
  <c r="H1823" i="14"/>
  <c r="H1824" i="14"/>
  <c r="H1825" i="14"/>
  <c r="H1826" i="14"/>
  <c r="H1827" i="14"/>
  <c r="H1828" i="14"/>
  <c r="H1829" i="14"/>
  <c r="H1830" i="14"/>
  <c r="H1831" i="14"/>
  <c r="H1832" i="14"/>
  <c r="H1833" i="14"/>
  <c r="H1834" i="14"/>
  <c r="H1835" i="14"/>
  <c r="H1836" i="14"/>
  <c r="H1837" i="14"/>
  <c r="H1838" i="14"/>
  <c r="H1839" i="14"/>
  <c r="H1840" i="14"/>
  <c r="H1841" i="14"/>
  <c r="H1842" i="14"/>
  <c r="H1843" i="14"/>
  <c r="H1844" i="14"/>
  <c r="H1845" i="14"/>
  <c r="H1846" i="14"/>
  <c r="H1847" i="14"/>
  <c r="H1848" i="14"/>
  <c r="H1849" i="14"/>
  <c r="H1850" i="14"/>
  <c r="H1851" i="14"/>
  <c r="H1852" i="14"/>
  <c r="H1853" i="14"/>
  <c r="H1854" i="14"/>
  <c r="H1855" i="14"/>
  <c r="H1856" i="14"/>
  <c r="H1857" i="14"/>
  <c r="H1858" i="14"/>
  <c r="H1859" i="14"/>
  <c r="H1860" i="14"/>
  <c r="H1861" i="14"/>
  <c r="H1862" i="14"/>
  <c r="H1863" i="14"/>
  <c r="H1864" i="14"/>
  <c r="H1865" i="14"/>
  <c r="H1866" i="14"/>
  <c r="H1867" i="14"/>
  <c r="H1868" i="14"/>
  <c r="H1869" i="14"/>
  <c r="H1870" i="14"/>
  <c r="H1871" i="14"/>
  <c r="H1872" i="14"/>
  <c r="H1873" i="14"/>
  <c r="H1874" i="14"/>
  <c r="H1875" i="14"/>
  <c r="H1876" i="14"/>
  <c r="H1877" i="14"/>
  <c r="H1878" i="14"/>
  <c r="H1879" i="14"/>
  <c r="H1880" i="14"/>
  <c r="H1881" i="14"/>
  <c r="H1882" i="14"/>
  <c r="H1883" i="14"/>
  <c r="H1884" i="14"/>
  <c r="H1885" i="14"/>
  <c r="H1886" i="14"/>
  <c r="H1887" i="14"/>
  <c r="H1888" i="14"/>
  <c r="H1889" i="14"/>
  <c r="H1890" i="14"/>
  <c r="H1891" i="14"/>
  <c r="H1892" i="14"/>
  <c r="H1893" i="14"/>
  <c r="H1894" i="14"/>
  <c r="H1895" i="14"/>
  <c r="H1896" i="14"/>
  <c r="H1897" i="14"/>
  <c r="H1898" i="14"/>
  <c r="H1899" i="14"/>
  <c r="H1900" i="14"/>
  <c r="H1901" i="14"/>
  <c r="H1902" i="14"/>
  <c r="H1903" i="14"/>
  <c r="H1904" i="14"/>
  <c r="H1905" i="14"/>
  <c r="H1906" i="14"/>
  <c r="H1907" i="14"/>
  <c r="H1908" i="14"/>
  <c r="H1909" i="14"/>
  <c r="H1910" i="14"/>
  <c r="H1911" i="14"/>
  <c r="H1912" i="14"/>
  <c r="H1913" i="14"/>
  <c r="H1914" i="14"/>
  <c r="H1915" i="14"/>
  <c r="H1916" i="14"/>
  <c r="H1917" i="14"/>
  <c r="H1918" i="14"/>
  <c r="H1919" i="14"/>
  <c r="H1920" i="14"/>
  <c r="H1921" i="14"/>
  <c r="H1922" i="14"/>
  <c r="H1923" i="14"/>
  <c r="H1924" i="14"/>
  <c r="H1925" i="14"/>
  <c r="H1926" i="14"/>
  <c r="H1927" i="14"/>
  <c r="H1928" i="14"/>
  <c r="H1929" i="14"/>
  <c r="H1930" i="14"/>
  <c r="H1931" i="14"/>
  <c r="H1932" i="14"/>
  <c r="H1933" i="14"/>
  <c r="H1934" i="14"/>
  <c r="H1935" i="14"/>
  <c r="H1936" i="14"/>
  <c r="H1937" i="14"/>
  <c r="H1938" i="14"/>
  <c r="H1939" i="14"/>
  <c r="H1940" i="14"/>
  <c r="H1941" i="14"/>
  <c r="H1942" i="14"/>
  <c r="H1943" i="14"/>
  <c r="H1944" i="14"/>
  <c r="H1945" i="14"/>
  <c r="H1946" i="14"/>
  <c r="H1947" i="14"/>
  <c r="H1948" i="14"/>
  <c r="H1949" i="14"/>
  <c r="H1950" i="14"/>
  <c r="H1951" i="14"/>
  <c r="H1952" i="14"/>
  <c r="H1953" i="14"/>
  <c r="H1954" i="14"/>
  <c r="H1955" i="14"/>
  <c r="H1956" i="14"/>
  <c r="H1957" i="14"/>
  <c r="H1958" i="14"/>
  <c r="H1959" i="14"/>
  <c r="H1960" i="14"/>
  <c r="H1961" i="14"/>
  <c r="H1962" i="14"/>
  <c r="H1963" i="14"/>
  <c r="H1964" i="14"/>
  <c r="H1965" i="14"/>
  <c r="H1966" i="14"/>
  <c r="H1967" i="14"/>
  <c r="H1968" i="14"/>
  <c r="H1969" i="14"/>
  <c r="H1970" i="14"/>
  <c r="H1971" i="14"/>
  <c r="H1972" i="14"/>
  <c r="H1973" i="14"/>
  <c r="H1974" i="14"/>
  <c r="H1975" i="14"/>
  <c r="H1976" i="14"/>
  <c r="H1977" i="14"/>
  <c r="H1978" i="14"/>
  <c r="H1979" i="14"/>
  <c r="H1980" i="14"/>
  <c r="H1981" i="14"/>
  <c r="H1982" i="14"/>
  <c r="H1983" i="14"/>
  <c r="H1984" i="14"/>
  <c r="H1985" i="14"/>
  <c r="H1986" i="14"/>
  <c r="H1987" i="14"/>
  <c r="H1988" i="14"/>
  <c r="H1989" i="14"/>
  <c r="H1990" i="14"/>
  <c r="H1991" i="14"/>
  <c r="H1992" i="14"/>
  <c r="H1993" i="14"/>
  <c r="H1994" i="14"/>
  <c r="H1995" i="14"/>
  <c r="H1996" i="14"/>
  <c r="H1997" i="14"/>
  <c r="H1998" i="14"/>
  <c r="H1999" i="14"/>
  <c r="H2000" i="14"/>
  <c r="H2001" i="14"/>
  <c r="H2002" i="14"/>
  <c r="H2003" i="14"/>
  <c r="H2004" i="14"/>
  <c r="H2005" i="14"/>
  <c r="H2006" i="14"/>
  <c r="H2007" i="14"/>
  <c r="H2008" i="14"/>
  <c r="H2009" i="14"/>
  <c r="H2010" i="14"/>
  <c r="H2011" i="14"/>
  <c r="H2012" i="14"/>
  <c r="H2013" i="14"/>
  <c r="H2014" i="14"/>
  <c r="H2015" i="14"/>
  <c r="H2016" i="14"/>
  <c r="H2017" i="14"/>
  <c r="H2018" i="14"/>
  <c r="H2019" i="14"/>
  <c r="H2020" i="14"/>
  <c r="H2021" i="14"/>
  <c r="H2022" i="14"/>
  <c r="H2023" i="14"/>
  <c r="H2024" i="14"/>
  <c r="H2025" i="14"/>
  <c r="H2026" i="14"/>
  <c r="H2027" i="14"/>
  <c r="H2028" i="14"/>
  <c r="H2029" i="14"/>
  <c r="H2030" i="14"/>
  <c r="H2031" i="14"/>
  <c r="H2032" i="14"/>
  <c r="H2033" i="14"/>
  <c r="H2034" i="14"/>
  <c r="H2035" i="14"/>
  <c r="H2036" i="14"/>
  <c r="H2037" i="14"/>
  <c r="H2038" i="14"/>
  <c r="H2039" i="14"/>
  <c r="H2040" i="14"/>
  <c r="H2041" i="14"/>
  <c r="H2042" i="14"/>
  <c r="H2043" i="14"/>
  <c r="H2044" i="14"/>
  <c r="H2045" i="14"/>
  <c r="H2046" i="14"/>
  <c r="H2047" i="14"/>
  <c r="H2048" i="14"/>
  <c r="H2049" i="14"/>
  <c r="H2050" i="14"/>
  <c r="H2051" i="14"/>
  <c r="H2052" i="14"/>
  <c r="H2053" i="14"/>
  <c r="H2054" i="14"/>
  <c r="H2055" i="14"/>
  <c r="H2056" i="14"/>
  <c r="H2057" i="14"/>
  <c r="H2058" i="14"/>
  <c r="H2059" i="14"/>
  <c r="H2060" i="14"/>
  <c r="H2061" i="14"/>
  <c r="H2062" i="14"/>
  <c r="H2063" i="14"/>
  <c r="H2064" i="14"/>
  <c r="H2065" i="14"/>
  <c r="H2066" i="14"/>
  <c r="H2067" i="14"/>
  <c r="H2068" i="14"/>
  <c r="H2069" i="14"/>
  <c r="H2070" i="14"/>
  <c r="H2071" i="14"/>
  <c r="H2072" i="14"/>
  <c r="H2073" i="14"/>
  <c r="H2074" i="14"/>
  <c r="H2075" i="14"/>
  <c r="H2076" i="14"/>
  <c r="H2077" i="14"/>
  <c r="H2078" i="14"/>
  <c r="H2079" i="14"/>
  <c r="H2080" i="14"/>
  <c r="H2081" i="14"/>
  <c r="H2082" i="14"/>
  <c r="H2083" i="14"/>
  <c r="H2084" i="14"/>
  <c r="H2085" i="14"/>
  <c r="H2086" i="14"/>
  <c r="H2087" i="14"/>
  <c r="H2088" i="14"/>
  <c r="H2089" i="14"/>
  <c r="H2090" i="14"/>
  <c r="H2091" i="14"/>
  <c r="H2092" i="14"/>
  <c r="H2093" i="14"/>
  <c r="H2094" i="14"/>
  <c r="H2095" i="14"/>
  <c r="H2096" i="14"/>
  <c r="H2097" i="14"/>
  <c r="H2098" i="14"/>
  <c r="H2099" i="14"/>
  <c r="H2100" i="14"/>
  <c r="H2101" i="14"/>
  <c r="H2102" i="14"/>
  <c r="H2103" i="14"/>
  <c r="H2104" i="14"/>
  <c r="H2105" i="14"/>
  <c r="H2106" i="14"/>
  <c r="H2107" i="14"/>
  <c r="H2108" i="14"/>
  <c r="H2109" i="14"/>
  <c r="H2110" i="14"/>
  <c r="H2111" i="14"/>
  <c r="H2112" i="14"/>
  <c r="H2113" i="14"/>
  <c r="H2114" i="14"/>
  <c r="H2115" i="14"/>
  <c r="H2116" i="14"/>
  <c r="H2117" i="14"/>
  <c r="H2118" i="14"/>
  <c r="H2119" i="14"/>
  <c r="H2120" i="14"/>
  <c r="H2121" i="14"/>
  <c r="H2122" i="14"/>
  <c r="H2123" i="14"/>
  <c r="H2124" i="14"/>
  <c r="H2125" i="14"/>
  <c r="H2126" i="14"/>
  <c r="H2127" i="14"/>
  <c r="H2128" i="14"/>
  <c r="H2129" i="14"/>
  <c r="H2130" i="14"/>
  <c r="H2131" i="14"/>
  <c r="H2132" i="14"/>
  <c r="H2133" i="14"/>
  <c r="H2134" i="14"/>
  <c r="H2135" i="14"/>
  <c r="H2136" i="14"/>
  <c r="H2137" i="14"/>
  <c r="H2138" i="14"/>
  <c r="H2139" i="14"/>
  <c r="H2140" i="14"/>
  <c r="H2141" i="14"/>
  <c r="H2142" i="14"/>
  <c r="H2143" i="14"/>
  <c r="H2144" i="14"/>
  <c r="H2145" i="14"/>
  <c r="H2146" i="14"/>
  <c r="H2147" i="14"/>
  <c r="H2148" i="14"/>
  <c r="H2149" i="14"/>
  <c r="H2150" i="14"/>
  <c r="H2151" i="14"/>
  <c r="H2152" i="14"/>
  <c r="H2153" i="14"/>
  <c r="H2154" i="14"/>
  <c r="H2155" i="14"/>
  <c r="H2156" i="14"/>
  <c r="H2157" i="14"/>
  <c r="H2158" i="14"/>
  <c r="H2159" i="14"/>
  <c r="H2160" i="14"/>
  <c r="H2161" i="14"/>
  <c r="H2162" i="14"/>
  <c r="H2163" i="14"/>
  <c r="H2164" i="14"/>
  <c r="H2165" i="14"/>
  <c r="H2166" i="14"/>
  <c r="H2167" i="14"/>
  <c r="H2168" i="14"/>
  <c r="H2169" i="14"/>
  <c r="H2170" i="14"/>
  <c r="H2171" i="14"/>
  <c r="H2172" i="14"/>
  <c r="H2173" i="14"/>
  <c r="H2174" i="14"/>
  <c r="H2175" i="14"/>
  <c r="H2176" i="14"/>
  <c r="H2177" i="14"/>
  <c r="H2178" i="14"/>
  <c r="H2179" i="14"/>
  <c r="H2180" i="14"/>
  <c r="H2181" i="14"/>
  <c r="H2182" i="14"/>
  <c r="H2183" i="14"/>
  <c r="H2184" i="14"/>
  <c r="H2185" i="14"/>
  <c r="H2186" i="14"/>
  <c r="H2187" i="14"/>
  <c r="H2188" i="14"/>
  <c r="H2189" i="14"/>
  <c r="H2190" i="14"/>
  <c r="H2191" i="14"/>
  <c r="H2192" i="14"/>
  <c r="H2193" i="14"/>
  <c r="H2194" i="14"/>
  <c r="H2195" i="14"/>
  <c r="H2196" i="14"/>
  <c r="H2197" i="14"/>
  <c r="H2198" i="14"/>
  <c r="H2199" i="14"/>
  <c r="H2200" i="14"/>
  <c r="H2201" i="14"/>
  <c r="H2202" i="14"/>
  <c r="H2203" i="14"/>
  <c r="H2204" i="14"/>
  <c r="H2205" i="14"/>
  <c r="H2206" i="14"/>
  <c r="H2207" i="14"/>
  <c r="H2208" i="14"/>
  <c r="H2209" i="14"/>
  <c r="H2210" i="14"/>
  <c r="H2211" i="14"/>
  <c r="H2212" i="14"/>
  <c r="H2213" i="14"/>
  <c r="H2214" i="14"/>
  <c r="H2215" i="14"/>
  <c r="H2216" i="14"/>
  <c r="H2217" i="14"/>
  <c r="H2218" i="14"/>
  <c r="H2219" i="14"/>
  <c r="H2220" i="14"/>
  <c r="H2221" i="14"/>
  <c r="H2222" i="14"/>
  <c r="H2223" i="14"/>
  <c r="H2224" i="14"/>
  <c r="H2225" i="14"/>
  <c r="H2226" i="14"/>
  <c r="H2227" i="14"/>
  <c r="H2228" i="14"/>
  <c r="H2229" i="14"/>
  <c r="H2230" i="14"/>
  <c r="H2231" i="14"/>
  <c r="H2232" i="14"/>
  <c r="H2233" i="14"/>
  <c r="H2234" i="14"/>
  <c r="H2235" i="14"/>
  <c r="H2236" i="14"/>
  <c r="H2237" i="14"/>
  <c r="H2238" i="14"/>
  <c r="H2239" i="14"/>
  <c r="H2240" i="14"/>
  <c r="H2241" i="14"/>
  <c r="H2242" i="14"/>
  <c r="H2243" i="14"/>
  <c r="H2244" i="14"/>
  <c r="H2245" i="14"/>
  <c r="H2246" i="14"/>
  <c r="H2247" i="14"/>
  <c r="H2248" i="14"/>
  <c r="H2249" i="14"/>
  <c r="H2250" i="14"/>
  <c r="H2251" i="14"/>
  <c r="H2252" i="14"/>
  <c r="H2253" i="14"/>
  <c r="H2254" i="14"/>
  <c r="H2255" i="14"/>
  <c r="H2256" i="14"/>
  <c r="H2257" i="14"/>
  <c r="H2258" i="14"/>
  <c r="H2259" i="14"/>
  <c r="H2260" i="14"/>
  <c r="H2261" i="14"/>
  <c r="H2262" i="14"/>
  <c r="H2263" i="14"/>
  <c r="H2264" i="14"/>
  <c r="H2265" i="14"/>
  <c r="H2266" i="14"/>
  <c r="H2267" i="14"/>
  <c r="H2268" i="14"/>
  <c r="H2269" i="14"/>
  <c r="H2270" i="14"/>
  <c r="H2271" i="14"/>
  <c r="H2272" i="14"/>
  <c r="H2273" i="14"/>
  <c r="H2274" i="14"/>
  <c r="H2275" i="14"/>
  <c r="H2276" i="14"/>
  <c r="H2277" i="14"/>
  <c r="H2278" i="14"/>
  <c r="H2279" i="14"/>
  <c r="H2280" i="14"/>
  <c r="H2281" i="14"/>
  <c r="H2282" i="14"/>
  <c r="H2283" i="14"/>
  <c r="H2284" i="14"/>
  <c r="H2285" i="14"/>
  <c r="H2286" i="14"/>
  <c r="H2287" i="14"/>
  <c r="H2288" i="14"/>
  <c r="H2289" i="14"/>
  <c r="H2290" i="14"/>
  <c r="H2291" i="14"/>
  <c r="H2292" i="14"/>
  <c r="H2293" i="14"/>
  <c r="H2294" i="14"/>
  <c r="H2295" i="14"/>
  <c r="H2296" i="14"/>
  <c r="H2297" i="14"/>
  <c r="H2298" i="14"/>
  <c r="H2299" i="14"/>
  <c r="H2300" i="14"/>
  <c r="H2301" i="14"/>
  <c r="H2302" i="14"/>
  <c r="H2303" i="14"/>
  <c r="H2304" i="14"/>
  <c r="H2305" i="14"/>
  <c r="H2306" i="14"/>
  <c r="H2307" i="14"/>
  <c r="H2308" i="14"/>
  <c r="H2309" i="14"/>
  <c r="H2310" i="14"/>
  <c r="H2311" i="14"/>
  <c r="H2312" i="14"/>
  <c r="H2313" i="14"/>
  <c r="H2314" i="14"/>
  <c r="H2315" i="14"/>
  <c r="H2316" i="14"/>
  <c r="H2317" i="14"/>
  <c r="H2318" i="14"/>
  <c r="H2319" i="14"/>
  <c r="H2320" i="14"/>
  <c r="H2321" i="14"/>
  <c r="H2322" i="14"/>
  <c r="H2323" i="14"/>
  <c r="H2324" i="14"/>
  <c r="H2325" i="14"/>
  <c r="H2326" i="14"/>
  <c r="H2327" i="14"/>
  <c r="H2328" i="14"/>
  <c r="H2329" i="14"/>
  <c r="H2330" i="14"/>
  <c r="H2331" i="14"/>
  <c r="H2332" i="14"/>
  <c r="H2333" i="14"/>
  <c r="H2334" i="14"/>
  <c r="H2335" i="14"/>
  <c r="H2336" i="14"/>
  <c r="H2337" i="14"/>
  <c r="H2338" i="14"/>
  <c r="H2339" i="14"/>
  <c r="H2340" i="14"/>
  <c r="H2341" i="14"/>
  <c r="H2342" i="14"/>
  <c r="H2343" i="14"/>
  <c r="H2344" i="1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Q2" i="14"/>
  <c r="P2" i="14"/>
  <c r="O2" i="14"/>
  <c r="N2" i="14"/>
  <c r="M2" i="14"/>
  <c r="L2" i="14"/>
  <c r="K2" i="14"/>
  <c r="J2" i="14"/>
  <c r="I2" i="14"/>
  <c r="H2" i="14"/>
  <c r="G2" i="14"/>
  <c r="F2" i="14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E173" i="14"/>
  <c r="E174" i="14"/>
  <c r="E175" i="14"/>
  <c r="E176" i="14"/>
  <c r="E177" i="14"/>
  <c r="E178" i="14"/>
  <c r="E179" i="14"/>
  <c r="E180" i="14"/>
  <c r="E181" i="14"/>
  <c r="E182" i="14"/>
  <c r="E183" i="14"/>
  <c r="E184" i="14"/>
  <c r="E185" i="14"/>
  <c r="E186" i="14"/>
  <c r="E187" i="14"/>
  <c r="E188" i="14"/>
  <c r="E189" i="14"/>
  <c r="E190" i="14"/>
  <c r="E191" i="14"/>
  <c r="E192" i="14"/>
  <c r="E193" i="14"/>
  <c r="E194" i="14"/>
  <c r="E195" i="14"/>
  <c r="E196" i="14"/>
  <c r="E197" i="14"/>
  <c r="E198" i="14"/>
  <c r="E199" i="14"/>
  <c r="E200" i="14"/>
  <c r="E201" i="14"/>
  <c r="E202" i="14"/>
  <c r="E203" i="14"/>
  <c r="E204" i="14"/>
  <c r="E205" i="14"/>
  <c r="E206" i="14"/>
  <c r="E207" i="14"/>
  <c r="E208" i="14"/>
  <c r="E209" i="14"/>
  <c r="E210" i="14"/>
  <c r="E211" i="14"/>
  <c r="E212" i="14"/>
  <c r="E213" i="14"/>
  <c r="E214" i="14"/>
  <c r="E215" i="14"/>
  <c r="E216" i="14"/>
  <c r="E217" i="14"/>
  <c r="E218" i="14"/>
  <c r="E219" i="14"/>
  <c r="E220" i="14"/>
  <c r="E221" i="14"/>
  <c r="E222" i="14"/>
  <c r="E223" i="14"/>
  <c r="E224" i="14"/>
  <c r="E225" i="14"/>
  <c r="E226" i="14"/>
  <c r="E227" i="14"/>
  <c r="E228" i="14"/>
  <c r="E229" i="14"/>
  <c r="E230" i="14"/>
  <c r="E231" i="14"/>
  <c r="E232" i="14"/>
  <c r="E233" i="14"/>
  <c r="E234" i="14"/>
  <c r="E235" i="14"/>
  <c r="E236" i="14"/>
  <c r="E237" i="14"/>
  <c r="E238" i="14"/>
  <c r="E239" i="14"/>
  <c r="E240" i="14"/>
  <c r="E241" i="14"/>
  <c r="E242" i="14"/>
  <c r="E243" i="14"/>
  <c r="E244" i="14"/>
  <c r="E245" i="14"/>
  <c r="E246" i="14"/>
  <c r="E247" i="14"/>
  <c r="E248" i="14"/>
  <c r="E249" i="14"/>
  <c r="E250" i="14"/>
  <c r="E251" i="14"/>
  <c r="E252" i="14"/>
  <c r="E253" i="14"/>
  <c r="E254" i="14"/>
  <c r="E255" i="14"/>
  <c r="E256" i="14"/>
  <c r="E257" i="14"/>
  <c r="E258" i="14"/>
  <c r="E259" i="14"/>
  <c r="E260" i="14"/>
  <c r="E261" i="14"/>
  <c r="E262" i="14"/>
  <c r="E263" i="14"/>
  <c r="E264" i="14"/>
  <c r="E265" i="14"/>
  <c r="E266" i="14"/>
  <c r="E267" i="14"/>
  <c r="E268" i="14"/>
  <c r="E269" i="14"/>
  <c r="E270" i="14"/>
  <c r="E271" i="14"/>
  <c r="E272" i="14"/>
  <c r="E273" i="14"/>
  <c r="E274" i="14"/>
  <c r="E275" i="14"/>
  <c r="E276" i="14"/>
  <c r="E277" i="14"/>
  <c r="E278" i="14"/>
  <c r="E279" i="14"/>
  <c r="E280" i="14"/>
  <c r="E281" i="14"/>
  <c r="E282" i="14"/>
  <c r="E283" i="14"/>
  <c r="E284" i="14"/>
  <c r="E285" i="14"/>
  <c r="E286" i="14"/>
  <c r="E287" i="14"/>
  <c r="E288" i="14"/>
  <c r="E289" i="14"/>
  <c r="E290" i="14"/>
  <c r="E291" i="14"/>
  <c r="E292" i="14"/>
  <c r="E293" i="14"/>
  <c r="E294" i="14"/>
  <c r="E295" i="14"/>
  <c r="E296" i="14"/>
  <c r="E297" i="14"/>
  <c r="E298" i="14"/>
  <c r="E299" i="14"/>
  <c r="E300" i="14"/>
  <c r="E301" i="14"/>
  <c r="E302" i="14"/>
  <c r="E303" i="14"/>
  <c r="E304" i="14"/>
  <c r="E305" i="14"/>
  <c r="E306" i="14"/>
  <c r="E307" i="14"/>
  <c r="E308" i="14"/>
  <c r="E309" i="14"/>
  <c r="E310" i="14"/>
  <c r="E311" i="14"/>
  <c r="E312" i="14"/>
  <c r="E313" i="14"/>
  <c r="E314" i="14"/>
  <c r="E315" i="14"/>
  <c r="E316" i="14"/>
  <c r="E317" i="14"/>
  <c r="E318" i="14"/>
  <c r="E319" i="14"/>
  <c r="E320" i="14"/>
  <c r="E321" i="14"/>
  <c r="E322" i="14"/>
  <c r="E323" i="14"/>
  <c r="E324" i="14"/>
  <c r="E325" i="14"/>
  <c r="E326" i="14"/>
  <c r="E327" i="14"/>
  <c r="E328" i="14"/>
  <c r="E329" i="14"/>
  <c r="E330" i="14"/>
  <c r="E331" i="14"/>
  <c r="E332" i="14"/>
  <c r="E333" i="14"/>
  <c r="E334" i="14"/>
  <c r="E335" i="14"/>
  <c r="E336" i="14"/>
  <c r="E337" i="14"/>
  <c r="E338" i="14"/>
  <c r="E339" i="14"/>
  <c r="E340" i="14"/>
  <c r="E341" i="14"/>
  <c r="E342" i="14"/>
  <c r="E343" i="14"/>
  <c r="E344" i="14"/>
  <c r="E345" i="14"/>
  <c r="E346" i="14"/>
  <c r="E347" i="14"/>
  <c r="E348" i="14"/>
  <c r="E349" i="14"/>
  <c r="E350" i="14"/>
  <c r="E351" i="14"/>
  <c r="E352" i="14"/>
  <c r="E353" i="14"/>
  <c r="E354" i="14"/>
  <c r="E355" i="14"/>
  <c r="E356" i="14"/>
  <c r="E357" i="14"/>
  <c r="E358" i="14"/>
  <c r="E359" i="14"/>
  <c r="E360" i="14"/>
  <c r="E361" i="14"/>
  <c r="E362" i="14"/>
  <c r="E363" i="14"/>
  <c r="E364" i="14"/>
  <c r="E365" i="14"/>
  <c r="E366" i="14"/>
  <c r="E367" i="14"/>
  <c r="E368" i="14"/>
  <c r="E369" i="14"/>
  <c r="E370" i="14"/>
  <c r="E371" i="14"/>
  <c r="E372" i="14"/>
  <c r="E373" i="14"/>
  <c r="E374" i="14"/>
  <c r="E375" i="14"/>
  <c r="E376" i="14"/>
  <c r="E377" i="14"/>
  <c r="E378" i="14"/>
  <c r="E379" i="14"/>
  <c r="E380" i="14"/>
  <c r="E381" i="14"/>
  <c r="E382" i="14"/>
  <c r="E383" i="14"/>
  <c r="E384" i="14"/>
  <c r="E385" i="14"/>
  <c r="E386" i="14"/>
  <c r="E387" i="14"/>
  <c r="E388" i="14"/>
  <c r="E389" i="14"/>
  <c r="E390" i="14"/>
  <c r="E391" i="14"/>
  <c r="E392" i="14"/>
  <c r="E393" i="14"/>
  <c r="E394" i="14"/>
  <c r="E395" i="14"/>
  <c r="E396" i="14"/>
  <c r="E397" i="14"/>
  <c r="E398" i="14"/>
  <c r="E399" i="14"/>
  <c r="E400" i="14"/>
  <c r="E401" i="14"/>
  <c r="E402" i="14"/>
  <c r="E403" i="14"/>
  <c r="E404" i="14"/>
  <c r="E405" i="14"/>
  <c r="E406" i="14"/>
  <c r="E407" i="14"/>
  <c r="E408" i="14"/>
  <c r="E409" i="14"/>
  <c r="E410" i="14"/>
  <c r="E411" i="14"/>
  <c r="E412" i="14"/>
  <c r="E413" i="14"/>
  <c r="E414" i="14"/>
  <c r="E415" i="14"/>
  <c r="E416" i="14"/>
  <c r="E417" i="14"/>
  <c r="E418" i="14"/>
  <c r="E419" i="14"/>
  <c r="E420" i="14"/>
  <c r="E421" i="14"/>
  <c r="E422" i="14"/>
  <c r="E423" i="14"/>
  <c r="E424" i="14"/>
  <c r="E425" i="14"/>
  <c r="E426" i="14"/>
  <c r="E427" i="14"/>
  <c r="E428" i="14"/>
  <c r="E429" i="14"/>
  <c r="E430" i="14"/>
  <c r="E431" i="14"/>
  <c r="E432" i="14"/>
  <c r="E433" i="14"/>
  <c r="E434" i="14"/>
  <c r="E435" i="14"/>
  <c r="E436" i="14"/>
  <c r="E437" i="14"/>
  <c r="E438" i="14"/>
  <c r="E439" i="14"/>
  <c r="E440" i="14"/>
  <c r="E441" i="14"/>
  <c r="E442" i="14"/>
  <c r="E443" i="14"/>
  <c r="E444" i="14"/>
  <c r="E445" i="14"/>
  <c r="E446" i="14"/>
  <c r="E447" i="14"/>
  <c r="E448" i="14"/>
  <c r="E449" i="14"/>
  <c r="E450" i="14"/>
  <c r="E451" i="14"/>
  <c r="E452" i="14"/>
  <c r="E453" i="14"/>
  <c r="E454" i="14"/>
  <c r="E455" i="14"/>
  <c r="E456" i="14"/>
  <c r="E457" i="14"/>
  <c r="E458" i="14"/>
  <c r="E459" i="14"/>
  <c r="E460" i="14"/>
  <c r="E461" i="14"/>
  <c r="E462" i="14"/>
  <c r="E463" i="14"/>
  <c r="E464" i="14"/>
  <c r="E465" i="14"/>
  <c r="E466" i="14"/>
  <c r="E467" i="14"/>
  <c r="E468" i="14"/>
  <c r="E469" i="14"/>
  <c r="E470" i="14"/>
  <c r="E471" i="14"/>
  <c r="E472" i="14"/>
  <c r="E473" i="14"/>
  <c r="E474" i="14"/>
  <c r="E475" i="14"/>
  <c r="E476" i="14"/>
  <c r="E477" i="14"/>
  <c r="E478" i="14"/>
  <c r="E479" i="14"/>
  <c r="E480" i="14"/>
  <c r="E481" i="14"/>
  <c r="E482" i="14"/>
  <c r="E483" i="14"/>
  <c r="E484" i="14"/>
  <c r="E485" i="14"/>
  <c r="E486" i="14"/>
  <c r="E487" i="14"/>
  <c r="E488" i="14"/>
  <c r="E489" i="14"/>
  <c r="E490" i="14"/>
  <c r="E491" i="14"/>
  <c r="E492" i="14"/>
  <c r="E493" i="14"/>
  <c r="E494" i="14"/>
  <c r="E495" i="14"/>
  <c r="E496" i="14"/>
  <c r="E497" i="14"/>
  <c r="E498" i="14"/>
  <c r="E499" i="14"/>
  <c r="E500" i="14"/>
  <c r="E501" i="14"/>
  <c r="E502" i="14"/>
  <c r="E503" i="14"/>
  <c r="E504" i="14"/>
  <c r="E505" i="14"/>
  <c r="E506" i="14"/>
  <c r="E507" i="14"/>
  <c r="E508" i="14"/>
  <c r="E509" i="14"/>
  <c r="E510" i="14"/>
  <c r="E511" i="14"/>
  <c r="E512" i="14"/>
  <c r="E513" i="14"/>
  <c r="E514" i="14"/>
  <c r="E515" i="14"/>
  <c r="E516" i="14"/>
  <c r="E517" i="14"/>
  <c r="E518" i="14"/>
  <c r="E519" i="14"/>
  <c r="E520" i="14"/>
  <c r="E521" i="14"/>
  <c r="E522" i="14"/>
  <c r="E523" i="14"/>
  <c r="E524" i="14"/>
  <c r="E525" i="14"/>
  <c r="E526" i="14"/>
  <c r="E527" i="14"/>
  <c r="E528" i="14"/>
  <c r="E529" i="14"/>
  <c r="E530" i="14"/>
  <c r="E531" i="14"/>
  <c r="E532" i="14"/>
  <c r="E533" i="14"/>
  <c r="E534" i="14"/>
  <c r="E535" i="14"/>
  <c r="E536" i="14"/>
  <c r="E537" i="14"/>
  <c r="E538" i="14"/>
  <c r="E539" i="14"/>
  <c r="E540" i="14"/>
  <c r="E541" i="14"/>
  <c r="E542" i="14"/>
  <c r="E543" i="14"/>
  <c r="E544" i="14"/>
  <c r="E545" i="14"/>
  <c r="E546" i="14"/>
  <c r="E547" i="14"/>
  <c r="E548" i="14"/>
  <c r="E549" i="14"/>
  <c r="E550" i="14"/>
  <c r="E551" i="14"/>
  <c r="E552" i="14"/>
  <c r="E553" i="14"/>
  <c r="E554" i="14"/>
  <c r="E555" i="14"/>
  <c r="E556" i="14"/>
  <c r="E557" i="14"/>
  <c r="E558" i="14"/>
  <c r="E559" i="14"/>
  <c r="E560" i="14"/>
  <c r="E561" i="14"/>
  <c r="E562" i="14"/>
  <c r="E563" i="14"/>
  <c r="E564" i="14"/>
  <c r="E565" i="14"/>
  <c r="E566" i="14"/>
  <c r="E567" i="14"/>
  <c r="E568" i="14"/>
  <c r="E569" i="14"/>
  <c r="E570" i="14"/>
  <c r="E571" i="14"/>
  <c r="E572" i="14"/>
  <c r="E573" i="14"/>
  <c r="E574" i="14"/>
  <c r="E575" i="14"/>
  <c r="E576" i="14"/>
  <c r="E577" i="14"/>
  <c r="E578" i="14"/>
  <c r="E579" i="14"/>
  <c r="E580" i="14"/>
  <c r="E581" i="14"/>
  <c r="E582" i="14"/>
  <c r="E583" i="14"/>
  <c r="E584" i="14"/>
  <c r="E585" i="14"/>
  <c r="E586" i="14"/>
  <c r="E587" i="14"/>
  <c r="E588" i="14"/>
  <c r="E589" i="14"/>
  <c r="E590" i="14"/>
  <c r="E591" i="14"/>
  <c r="E592" i="14"/>
  <c r="E593" i="14"/>
  <c r="E594" i="14"/>
  <c r="E595" i="14"/>
  <c r="E596" i="14"/>
  <c r="E597" i="14"/>
  <c r="E598" i="14"/>
  <c r="E599" i="14"/>
  <c r="E600" i="14"/>
  <c r="E601" i="14"/>
  <c r="E602" i="14"/>
  <c r="E603" i="14"/>
  <c r="E604" i="14"/>
  <c r="E605" i="14"/>
  <c r="E606" i="14"/>
  <c r="E607" i="14"/>
  <c r="E608" i="14"/>
  <c r="E609" i="14"/>
  <c r="E610" i="14"/>
  <c r="E611" i="14"/>
  <c r="E612" i="14"/>
  <c r="E613" i="14"/>
  <c r="E614" i="14"/>
  <c r="E615" i="14"/>
  <c r="E616" i="14"/>
  <c r="E617" i="14"/>
  <c r="E618" i="14"/>
  <c r="E619" i="14"/>
  <c r="E620" i="14"/>
  <c r="E621" i="14"/>
  <c r="E622" i="14"/>
  <c r="E623" i="14"/>
  <c r="E624" i="14"/>
  <c r="E625" i="14"/>
  <c r="E626" i="14"/>
  <c r="E627" i="14"/>
  <c r="E628" i="14"/>
  <c r="E629" i="14"/>
  <c r="E630" i="14"/>
  <c r="E631" i="14"/>
  <c r="E632" i="14"/>
  <c r="E633" i="14"/>
  <c r="E634" i="14"/>
  <c r="E635" i="14"/>
  <c r="E636" i="14"/>
  <c r="E637" i="14"/>
  <c r="E638" i="14"/>
  <c r="E639" i="14"/>
  <c r="E640" i="14"/>
  <c r="E641" i="14"/>
  <c r="E642" i="14"/>
  <c r="E643" i="14"/>
  <c r="E644" i="14"/>
  <c r="E645" i="14"/>
  <c r="E646" i="14"/>
  <c r="E647" i="14"/>
  <c r="E648" i="14"/>
  <c r="E649" i="14"/>
  <c r="E650" i="14"/>
  <c r="E651" i="14"/>
  <c r="E652" i="14"/>
  <c r="E653" i="14"/>
  <c r="E654" i="14"/>
  <c r="E655" i="14"/>
  <c r="E656" i="14"/>
  <c r="E657" i="14"/>
  <c r="E658" i="14"/>
  <c r="E659" i="14"/>
  <c r="E660" i="14"/>
  <c r="E661" i="14"/>
  <c r="E662" i="14"/>
  <c r="E663" i="14"/>
  <c r="E664" i="14"/>
  <c r="E665" i="14"/>
  <c r="E666" i="14"/>
  <c r="E667" i="14"/>
  <c r="E668" i="14"/>
  <c r="E669" i="14"/>
  <c r="E670" i="14"/>
  <c r="E671" i="14"/>
  <c r="E672" i="14"/>
  <c r="E673" i="14"/>
  <c r="E674" i="14"/>
  <c r="E675" i="14"/>
  <c r="E676" i="14"/>
  <c r="E677" i="14"/>
  <c r="E678" i="14"/>
  <c r="E679" i="14"/>
  <c r="E680" i="14"/>
  <c r="E681" i="14"/>
  <c r="E682" i="14"/>
  <c r="E683" i="14"/>
  <c r="E684" i="14"/>
  <c r="E685" i="14"/>
  <c r="E686" i="14"/>
  <c r="E687" i="14"/>
  <c r="E688" i="14"/>
  <c r="E689" i="14"/>
  <c r="E690" i="14"/>
  <c r="E691" i="14"/>
  <c r="E692" i="14"/>
  <c r="E693" i="14"/>
  <c r="E694" i="14"/>
  <c r="E695" i="14"/>
  <c r="E696" i="14"/>
  <c r="E697" i="14"/>
  <c r="E698" i="14"/>
  <c r="E699" i="14"/>
  <c r="E700" i="14"/>
  <c r="E701" i="14"/>
  <c r="E702" i="14"/>
  <c r="E703" i="14"/>
  <c r="E704" i="14"/>
  <c r="E705" i="14"/>
  <c r="E706" i="14"/>
  <c r="E707" i="14"/>
  <c r="E708" i="14"/>
  <c r="E709" i="14"/>
  <c r="E710" i="14"/>
  <c r="E711" i="14"/>
  <c r="E712" i="14"/>
  <c r="E713" i="14"/>
  <c r="E714" i="14"/>
  <c r="E715" i="14"/>
  <c r="E716" i="14"/>
  <c r="E717" i="14"/>
  <c r="E718" i="14"/>
  <c r="E719" i="14"/>
  <c r="E720" i="14"/>
  <c r="E721" i="14"/>
  <c r="E722" i="14"/>
  <c r="E723" i="14"/>
  <c r="E724" i="14"/>
  <c r="E725" i="14"/>
  <c r="E726" i="14"/>
  <c r="E727" i="14"/>
  <c r="E728" i="14"/>
  <c r="E729" i="14"/>
  <c r="E730" i="14"/>
  <c r="E731" i="14"/>
  <c r="E732" i="14"/>
  <c r="E733" i="14"/>
  <c r="E734" i="14"/>
  <c r="E735" i="14"/>
  <c r="E736" i="14"/>
  <c r="E737" i="14"/>
  <c r="E738" i="14"/>
  <c r="E739" i="14"/>
  <c r="E740" i="14"/>
  <c r="E741" i="14"/>
  <c r="E742" i="14"/>
  <c r="E743" i="14"/>
  <c r="E744" i="14"/>
  <c r="E745" i="14"/>
  <c r="E746" i="14"/>
  <c r="E747" i="14"/>
  <c r="E748" i="14"/>
  <c r="E749" i="14"/>
  <c r="E750" i="14"/>
  <c r="E751" i="14"/>
  <c r="E752" i="14"/>
  <c r="E753" i="14"/>
  <c r="E754" i="14"/>
  <c r="E755" i="14"/>
  <c r="E756" i="14"/>
  <c r="E757" i="14"/>
  <c r="E758" i="14"/>
  <c r="E759" i="14"/>
  <c r="E760" i="14"/>
  <c r="E761" i="14"/>
  <c r="E762" i="14"/>
  <c r="E763" i="14"/>
  <c r="E764" i="14"/>
  <c r="E765" i="14"/>
  <c r="E766" i="14"/>
  <c r="E767" i="14"/>
  <c r="E768" i="14"/>
  <c r="E769" i="14"/>
  <c r="E770" i="14"/>
  <c r="E771" i="14"/>
  <c r="E772" i="14"/>
  <c r="E773" i="14"/>
  <c r="E774" i="14"/>
  <c r="E775" i="14"/>
  <c r="E776" i="14"/>
  <c r="E777" i="14"/>
  <c r="E778" i="14"/>
  <c r="E779" i="14"/>
  <c r="E780" i="14"/>
  <c r="E781" i="14"/>
  <c r="E782" i="14"/>
  <c r="E783" i="14"/>
  <c r="E784" i="14"/>
  <c r="E785" i="14"/>
  <c r="E786" i="14"/>
  <c r="E787" i="14"/>
  <c r="E788" i="14"/>
  <c r="E789" i="14"/>
  <c r="E790" i="14"/>
  <c r="E791" i="14"/>
  <c r="E792" i="14"/>
  <c r="E793" i="14"/>
  <c r="E794" i="14"/>
  <c r="E795" i="14"/>
  <c r="E796" i="14"/>
  <c r="E797" i="14"/>
  <c r="E798" i="14"/>
  <c r="E799" i="14"/>
  <c r="E800" i="14"/>
  <c r="E801" i="14"/>
  <c r="E802" i="14"/>
  <c r="E803" i="14"/>
  <c r="E804" i="14"/>
  <c r="E805" i="14"/>
  <c r="E806" i="14"/>
  <c r="E807" i="14"/>
  <c r="E808" i="14"/>
  <c r="E809" i="14"/>
  <c r="E810" i="14"/>
  <c r="E811" i="14"/>
  <c r="E812" i="14"/>
  <c r="E813" i="14"/>
  <c r="E814" i="14"/>
  <c r="E815" i="14"/>
  <c r="E816" i="14"/>
  <c r="E817" i="14"/>
  <c r="E818" i="14"/>
  <c r="E819" i="14"/>
  <c r="E820" i="14"/>
  <c r="E821" i="14"/>
  <c r="E822" i="14"/>
  <c r="E823" i="14"/>
  <c r="E824" i="14"/>
  <c r="E825" i="14"/>
  <c r="E826" i="14"/>
  <c r="E827" i="14"/>
  <c r="E828" i="14"/>
  <c r="E829" i="14"/>
  <c r="E830" i="14"/>
  <c r="E831" i="14"/>
  <c r="E832" i="14"/>
  <c r="E833" i="14"/>
  <c r="E834" i="14"/>
  <c r="E835" i="14"/>
  <c r="E836" i="14"/>
  <c r="E837" i="14"/>
  <c r="E838" i="14"/>
  <c r="E839" i="14"/>
  <c r="E840" i="14"/>
  <c r="E841" i="14"/>
  <c r="E842" i="14"/>
  <c r="E843" i="14"/>
  <c r="E844" i="14"/>
  <c r="E845" i="14"/>
  <c r="E846" i="14"/>
  <c r="E847" i="14"/>
  <c r="E848" i="14"/>
  <c r="E849" i="14"/>
  <c r="E850" i="14"/>
  <c r="E851" i="14"/>
  <c r="E852" i="14"/>
  <c r="E853" i="14"/>
  <c r="E854" i="14"/>
  <c r="E855" i="14"/>
  <c r="E856" i="14"/>
  <c r="E857" i="14"/>
  <c r="E858" i="14"/>
  <c r="E859" i="14"/>
  <c r="E860" i="14"/>
  <c r="E861" i="14"/>
  <c r="E862" i="14"/>
  <c r="E863" i="14"/>
  <c r="E864" i="14"/>
  <c r="E865" i="14"/>
  <c r="E866" i="14"/>
  <c r="E867" i="14"/>
  <c r="E868" i="14"/>
  <c r="E869" i="14"/>
  <c r="E870" i="14"/>
  <c r="E871" i="14"/>
  <c r="E872" i="14"/>
  <c r="E873" i="14"/>
  <c r="E874" i="14"/>
  <c r="E875" i="14"/>
  <c r="E876" i="14"/>
  <c r="E877" i="14"/>
  <c r="E878" i="14"/>
  <c r="E879" i="14"/>
  <c r="E880" i="14"/>
  <c r="E881" i="14"/>
  <c r="E882" i="14"/>
  <c r="E883" i="14"/>
  <c r="E884" i="14"/>
  <c r="E885" i="14"/>
  <c r="E886" i="14"/>
  <c r="E887" i="14"/>
  <c r="E888" i="14"/>
  <c r="E889" i="14"/>
  <c r="E890" i="14"/>
  <c r="E891" i="14"/>
  <c r="E892" i="14"/>
  <c r="E893" i="14"/>
  <c r="E894" i="14"/>
  <c r="E895" i="14"/>
  <c r="E896" i="14"/>
  <c r="E897" i="14"/>
  <c r="E898" i="14"/>
  <c r="E899" i="14"/>
  <c r="E900" i="14"/>
  <c r="E901" i="14"/>
  <c r="E902" i="14"/>
  <c r="E903" i="14"/>
  <c r="E904" i="14"/>
  <c r="E905" i="14"/>
  <c r="E906" i="14"/>
  <c r="E907" i="14"/>
  <c r="E908" i="14"/>
  <c r="E909" i="14"/>
  <c r="E910" i="14"/>
  <c r="E911" i="14"/>
  <c r="E912" i="14"/>
  <c r="E913" i="14"/>
  <c r="E914" i="14"/>
  <c r="E915" i="14"/>
  <c r="E916" i="14"/>
  <c r="E917" i="14"/>
  <c r="E918" i="14"/>
  <c r="E919" i="14"/>
  <c r="E920" i="14"/>
  <c r="E921" i="14"/>
  <c r="E922" i="14"/>
  <c r="E923" i="14"/>
  <c r="E924" i="14"/>
  <c r="E925" i="14"/>
  <c r="E926" i="14"/>
  <c r="E927" i="14"/>
  <c r="E928" i="14"/>
  <c r="E929" i="14"/>
  <c r="E930" i="14"/>
  <c r="E931" i="14"/>
  <c r="E932" i="14"/>
  <c r="E933" i="14"/>
  <c r="E934" i="14"/>
  <c r="E935" i="14"/>
  <c r="E936" i="14"/>
  <c r="E937" i="14"/>
  <c r="E938" i="14"/>
  <c r="E939" i="14"/>
  <c r="E940" i="14"/>
  <c r="E941" i="14"/>
  <c r="E942" i="14"/>
  <c r="E943" i="14"/>
  <c r="E944" i="14"/>
  <c r="E945" i="14"/>
  <c r="E946" i="14"/>
  <c r="E947" i="14"/>
  <c r="E948" i="14"/>
  <c r="E949" i="14"/>
  <c r="E950" i="14"/>
  <c r="E951" i="14"/>
  <c r="E952" i="14"/>
  <c r="E953" i="14"/>
  <c r="E954" i="14"/>
  <c r="E955" i="14"/>
  <c r="E956" i="14"/>
  <c r="E957" i="14"/>
  <c r="E958" i="14"/>
  <c r="E959" i="14"/>
  <c r="E960" i="14"/>
  <c r="E961" i="14"/>
  <c r="E962" i="14"/>
  <c r="E963" i="14"/>
  <c r="E964" i="14"/>
  <c r="E965" i="14"/>
  <c r="E966" i="14"/>
  <c r="E967" i="14"/>
  <c r="E968" i="14"/>
  <c r="E969" i="14"/>
  <c r="E970" i="14"/>
  <c r="E2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289" i="14"/>
  <c r="D290" i="14"/>
  <c r="D291" i="14"/>
  <c r="D292" i="14"/>
  <c r="D293" i="14"/>
  <c r="D294" i="14"/>
  <c r="D295" i="14"/>
  <c r="D296" i="14"/>
  <c r="D297" i="14"/>
  <c r="D298" i="14"/>
  <c r="D299" i="14"/>
  <c r="D300" i="14"/>
  <c r="D301" i="14"/>
  <c r="D302" i="14"/>
  <c r="D303" i="14"/>
  <c r="D304" i="14"/>
  <c r="D305" i="14"/>
  <c r="D306" i="14"/>
  <c r="D307" i="14"/>
  <c r="D308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D321" i="14"/>
  <c r="D322" i="14"/>
  <c r="D323" i="14"/>
  <c r="D324" i="14"/>
  <c r="D325" i="14"/>
  <c r="D326" i="14"/>
  <c r="D327" i="14"/>
  <c r="D328" i="14"/>
  <c r="D329" i="14"/>
  <c r="D330" i="14"/>
  <c r="D331" i="14"/>
  <c r="D332" i="14"/>
  <c r="D333" i="14"/>
  <c r="D334" i="14"/>
  <c r="D335" i="14"/>
  <c r="D336" i="14"/>
  <c r="D337" i="14"/>
  <c r="D338" i="14"/>
  <c r="D339" i="14"/>
  <c r="D340" i="14"/>
  <c r="D341" i="14"/>
  <c r="D342" i="14"/>
  <c r="D343" i="14"/>
  <c r="D344" i="14"/>
  <c r="D345" i="14"/>
  <c r="D346" i="14"/>
  <c r="D347" i="14"/>
  <c r="D348" i="14"/>
  <c r="D349" i="14"/>
  <c r="D350" i="14"/>
  <c r="D351" i="14"/>
  <c r="D352" i="14"/>
  <c r="D353" i="14"/>
  <c r="D354" i="14"/>
  <c r="D355" i="14"/>
  <c r="D356" i="14"/>
  <c r="D357" i="14"/>
  <c r="D358" i="14"/>
  <c r="D359" i="14"/>
  <c r="D360" i="14"/>
  <c r="D361" i="14"/>
  <c r="D362" i="14"/>
  <c r="D363" i="14"/>
  <c r="D364" i="14"/>
  <c r="D365" i="14"/>
  <c r="D366" i="14"/>
  <c r="D367" i="14"/>
  <c r="D368" i="14"/>
  <c r="D369" i="14"/>
  <c r="D370" i="14"/>
  <c r="D371" i="14"/>
  <c r="D372" i="14"/>
  <c r="D373" i="14"/>
  <c r="D374" i="14"/>
  <c r="D375" i="14"/>
  <c r="D376" i="14"/>
  <c r="D377" i="14"/>
  <c r="D378" i="14"/>
  <c r="D379" i="14"/>
  <c r="D380" i="14"/>
  <c r="D381" i="14"/>
  <c r="D382" i="14"/>
  <c r="D383" i="14"/>
  <c r="D384" i="14"/>
  <c r="D385" i="14"/>
  <c r="D386" i="14"/>
  <c r="D387" i="14"/>
  <c r="D388" i="14"/>
  <c r="D389" i="14"/>
  <c r="D390" i="14"/>
  <c r="D391" i="14"/>
  <c r="D392" i="14"/>
  <c r="D393" i="14"/>
  <c r="D394" i="14"/>
  <c r="D395" i="14"/>
  <c r="D396" i="14"/>
  <c r="D397" i="14"/>
  <c r="D398" i="14"/>
  <c r="D399" i="14"/>
  <c r="D400" i="14"/>
  <c r="D401" i="14"/>
  <c r="D402" i="14"/>
  <c r="D403" i="14"/>
  <c r="D404" i="14"/>
  <c r="D405" i="14"/>
  <c r="D406" i="14"/>
  <c r="D407" i="14"/>
  <c r="D408" i="14"/>
  <c r="D409" i="14"/>
  <c r="D410" i="14"/>
  <c r="D411" i="14"/>
  <c r="D412" i="14"/>
  <c r="D413" i="14"/>
  <c r="D414" i="14"/>
  <c r="D415" i="14"/>
  <c r="D416" i="14"/>
  <c r="D417" i="14"/>
  <c r="D418" i="14"/>
  <c r="D419" i="14"/>
  <c r="D420" i="14"/>
  <c r="D421" i="14"/>
  <c r="D422" i="14"/>
  <c r="D423" i="14"/>
  <c r="D424" i="14"/>
  <c r="D425" i="14"/>
  <c r="D426" i="14"/>
  <c r="D427" i="14"/>
  <c r="D428" i="14"/>
  <c r="D429" i="14"/>
  <c r="D430" i="14"/>
  <c r="D431" i="14"/>
  <c r="D432" i="14"/>
  <c r="D433" i="14"/>
  <c r="D434" i="14"/>
  <c r="D435" i="14"/>
  <c r="D436" i="14"/>
  <c r="D437" i="14"/>
  <c r="D438" i="14"/>
  <c r="D439" i="14"/>
  <c r="D440" i="14"/>
  <c r="D441" i="14"/>
  <c r="D442" i="14"/>
  <c r="D443" i="14"/>
  <c r="D444" i="14"/>
  <c r="D445" i="14"/>
  <c r="D446" i="14"/>
  <c r="D447" i="14"/>
  <c r="D448" i="14"/>
  <c r="D449" i="14"/>
  <c r="D450" i="14"/>
  <c r="D451" i="14"/>
  <c r="D452" i="14"/>
  <c r="D453" i="14"/>
  <c r="D454" i="14"/>
  <c r="D455" i="14"/>
  <c r="D456" i="14"/>
  <c r="D457" i="14"/>
  <c r="D458" i="14"/>
  <c r="D459" i="14"/>
  <c r="D460" i="14"/>
  <c r="D461" i="14"/>
  <c r="D462" i="14"/>
  <c r="D463" i="14"/>
  <c r="D464" i="14"/>
  <c r="D465" i="14"/>
  <c r="D466" i="14"/>
  <c r="D467" i="14"/>
  <c r="D468" i="14"/>
  <c r="D469" i="14"/>
  <c r="D470" i="14"/>
  <c r="D471" i="14"/>
  <c r="D472" i="14"/>
  <c r="D473" i="14"/>
  <c r="D474" i="14"/>
  <c r="D475" i="14"/>
  <c r="D476" i="14"/>
  <c r="D477" i="14"/>
  <c r="D478" i="14"/>
  <c r="D479" i="14"/>
  <c r="D480" i="14"/>
  <c r="D481" i="14"/>
  <c r="D482" i="14"/>
  <c r="D483" i="14"/>
  <c r="D484" i="14"/>
  <c r="D485" i="14"/>
  <c r="D486" i="14"/>
  <c r="D487" i="14"/>
  <c r="D488" i="14"/>
  <c r="D489" i="14"/>
  <c r="D490" i="14"/>
  <c r="D491" i="14"/>
  <c r="D492" i="14"/>
  <c r="D493" i="14"/>
  <c r="D494" i="14"/>
  <c r="D495" i="14"/>
  <c r="D496" i="14"/>
  <c r="D497" i="14"/>
  <c r="D498" i="14"/>
  <c r="D499" i="14"/>
  <c r="D500" i="14"/>
  <c r="D501" i="14"/>
  <c r="D502" i="14"/>
  <c r="D503" i="14"/>
  <c r="D504" i="14"/>
  <c r="D505" i="14"/>
  <c r="D506" i="14"/>
  <c r="D507" i="14"/>
  <c r="D508" i="14"/>
  <c r="D509" i="14"/>
  <c r="D510" i="14"/>
  <c r="D511" i="14"/>
  <c r="D512" i="14"/>
  <c r="D513" i="14"/>
  <c r="D514" i="14"/>
  <c r="D515" i="14"/>
  <c r="D516" i="14"/>
  <c r="D517" i="14"/>
  <c r="D518" i="14"/>
  <c r="D519" i="14"/>
  <c r="D520" i="14"/>
  <c r="D521" i="14"/>
  <c r="D522" i="14"/>
  <c r="D523" i="14"/>
  <c r="D524" i="14"/>
  <c r="D525" i="14"/>
  <c r="D526" i="14"/>
  <c r="D527" i="14"/>
  <c r="D528" i="14"/>
  <c r="D529" i="14"/>
  <c r="D530" i="14"/>
  <c r="D531" i="14"/>
  <c r="D532" i="14"/>
  <c r="D533" i="14"/>
  <c r="D534" i="14"/>
  <c r="D535" i="14"/>
  <c r="D536" i="14"/>
  <c r="D537" i="14"/>
  <c r="D538" i="14"/>
  <c r="D539" i="14"/>
  <c r="D540" i="14"/>
  <c r="D541" i="14"/>
  <c r="D542" i="14"/>
  <c r="D543" i="14"/>
  <c r="D544" i="14"/>
  <c r="D545" i="14"/>
  <c r="D546" i="14"/>
  <c r="D547" i="14"/>
  <c r="D548" i="14"/>
  <c r="D549" i="14"/>
  <c r="D550" i="14"/>
  <c r="D551" i="14"/>
  <c r="D552" i="14"/>
  <c r="D553" i="14"/>
  <c r="D554" i="14"/>
  <c r="D555" i="14"/>
  <c r="D556" i="14"/>
  <c r="D557" i="14"/>
  <c r="D558" i="14"/>
  <c r="D559" i="14"/>
  <c r="D560" i="14"/>
  <c r="D561" i="14"/>
  <c r="D562" i="14"/>
  <c r="D563" i="14"/>
  <c r="D564" i="14"/>
  <c r="D565" i="14"/>
  <c r="D566" i="14"/>
  <c r="D567" i="14"/>
  <c r="D568" i="14"/>
  <c r="D569" i="14"/>
  <c r="D570" i="14"/>
  <c r="D571" i="14"/>
  <c r="D572" i="14"/>
  <c r="D573" i="14"/>
  <c r="D574" i="14"/>
  <c r="D575" i="14"/>
  <c r="D576" i="14"/>
  <c r="D577" i="14"/>
  <c r="D578" i="14"/>
  <c r="D579" i="14"/>
  <c r="D580" i="14"/>
  <c r="D581" i="14"/>
  <c r="D582" i="14"/>
  <c r="D583" i="14"/>
  <c r="D584" i="14"/>
  <c r="D585" i="14"/>
  <c r="D586" i="14"/>
  <c r="D587" i="14"/>
  <c r="D588" i="14"/>
  <c r="D589" i="14"/>
  <c r="D590" i="14"/>
  <c r="D591" i="14"/>
  <c r="D592" i="14"/>
  <c r="D593" i="14"/>
  <c r="D594" i="14"/>
  <c r="D595" i="14"/>
  <c r="D596" i="14"/>
  <c r="D597" i="14"/>
  <c r="D598" i="14"/>
  <c r="D599" i="14"/>
  <c r="D600" i="14"/>
  <c r="D601" i="14"/>
  <c r="D602" i="14"/>
  <c r="D603" i="14"/>
  <c r="D604" i="14"/>
  <c r="D605" i="14"/>
  <c r="D606" i="14"/>
  <c r="D607" i="14"/>
  <c r="D608" i="14"/>
  <c r="D609" i="14"/>
  <c r="D610" i="14"/>
  <c r="D611" i="14"/>
  <c r="D612" i="14"/>
  <c r="D613" i="14"/>
  <c r="D614" i="14"/>
  <c r="D615" i="14"/>
  <c r="D616" i="14"/>
  <c r="D617" i="14"/>
  <c r="D618" i="14"/>
  <c r="D619" i="14"/>
  <c r="D620" i="14"/>
  <c r="D621" i="14"/>
  <c r="D622" i="14"/>
  <c r="D623" i="14"/>
  <c r="D624" i="14"/>
  <c r="D625" i="14"/>
  <c r="D626" i="14"/>
  <c r="D627" i="14"/>
  <c r="D628" i="14"/>
  <c r="D629" i="14"/>
  <c r="D630" i="14"/>
  <c r="D631" i="14"/>
  <c r="D632" i="14"/>
  <c r="D633" i="14"/>
  <c r="D634" i="14"/>
  <c r="D635" i="14"/>
  <c r="D636" i="14"/>
  <c r="D637" i="14"/>
  <c r="D638" i="14"/>
  <c r="D639" i="14"/>
  <c r="D640" i="14"/>
  <c r="D641" i="14"/>
  <c r="D642" i="14"/>
  <c r="D643" i="14"/>
  <c r="D644" i="14"/>
  <c r="D645" i="14"/>
  <c r="D646" i="14"/>
  <c r="D647" i="14"/>
  <c r="D648" i="14"/>
  <c r="D649" i="14"/>
  <c r="D650" i="14"/>
  <c r="D651" i="14"/>
  <c r="D652" i="14"/>
  <c r="D653" i="14"/>
  <c r="D654" i="14"/>
  <c r="D655" i="14"/>
  <c r="D656" i="14"/>
  <c r="D657" i="14"/>
  <c r="D658" i="14"/>
  <c r="D659" i="14"/>
  <c r="D660" i="14"/>
  <c r="D661" i="14"/>
  <c r="D662" i="14"/>
  <c r="D663" i="14"/>
  <c r="D664" i="14"/>
  <c r="D665" i="14"/>
  <c r="D666" i="14"/>
  <c r="D667" i="14"/>
  <c r="D668" i="14"/>
  <c r="D669" i="14"/>
  <c r="D670" i="14"/>
  <c r="D671" i="14"/>
  <c r="D672" i="14"/>
  <c r="D673" i="14"/>
  <c r="D674" i="14"/>
  <c r="D675" i="14"/>
  <c r="D676" i="14"/>
  <c r="D677" i="14"/>
  <c r="D678" i="14"/>
  <c r="D679" i="14"/>
  <c r="D680" i="14"/>
  <c r="D681" i="14"/>
  <c r="D682" i="14"/>
  <c r="D683" i="14"/>
  <c r="D684" i="14"/>
  <c r="D685" i="14"/>
  <c r="D686" i="14"/>
  <c r="D687" i="14"/>
  <c r="D688" i="14"/>
  <c r="D689" i="14"/>
  <c r="D690" i="14"/>
  <c r="D691" i="14"/>
  <c r="D692" i="14"/>
  <c r="D693" i="14"/>
  <c r="D694" i="14"/>
  <c r="D695" i="14"/>
  <c r="D696" i="14"/>
  <c r="D697" i="14"/>
  <c r="D698" i="14"/>
  <c r="D699" i="14"/>
  <c r="D700" i="14"/>
  <c r="D701" i="14"/>
  <c r="D702" i="14"/>
  <c r="D703" i="14"/>
  <c r="D704" i="14"/>
  <c r="D705" i="14"/>
  <c r="D706" i="14"/>
  <c r="D707" i="14"/>
  <c r="D708" i="14"/>
  <c r="D709" i="14"/>
  <c r="D710" i="14"/>
  <c r="D711" i="14"/>
  <c r="D712" i="14"/>
  <c r="D713" i="14"/>
  <c r="D714" i="14"/>
  <c r="D715" i="14"/>
  <c r="D716" i="14"/>
  <c r="D717" i="14"/>
  <c r="D718" i="14"/>
  <c r="D719" i="14"/>
  <c r="D720" i="14"/>
  <c r="D721" i="14"/>
  <c r="D722" i="14"/>
  <c r="D723" i="14"/>
  <c r="D724" i="14"/>
  <c r="D725" i="14"/>
  <c r="D726" i="14"/>
  <c r="D727" i="14"/>
  <c r="D728" i="14"/>
  <c r="D729" i="14"/>
  <c r="D730" i="14"/>
  <c r="D731" i="14"/>
  <c r="D732" i="14"/>
  <c r="D733" i="14"/>
  <c r="D734" i="14"/>
  <c r="D735" i="14"/>
  <c r="D736" i="14"/>
  <c r="D737" i="14"/>
  <c r="D738" i="14"/>
  <c r="D739" i="14"/>
  <c r="D740" i="14"/>
  <c r="D741" i="14"/>
  <c r="D742" i="14"/>
  <c r="D743" i="14"/>
  <c r="D744" i="14"/>
  <c r="D745" i="14"/>
  <c r="D746" i="14"/>
  <c r="D747" i="14"/>
  <c r="D748" i="14"/>
  <c r="D749" i="14"/>
  <c r="D750" i="14"/>
  <c r="D751" i="14"/>
  <c r="D752" i="14"/>
  <c r="D753" i="14"/>
  <c r="D754" i="14"/>
  <c r="D755" i="14"/>
  <c r="D756" i="14"/>
  <c r="D757" i="14"/>
  <c r="D758" i="14"/>
  <c r="D759" i="14"/>
  <c r="D760" i="14"/>
  <c r="D761" i="14"/>
  <c r="D762" i="14"/>
  <c r="D763" i="14"/>
  <c r="D764" i="14"/>
  <c r="D765" i="14"/>
  <c r="D766" i="14"/>
  <c r="D767" i="14"/>
  <c r="D768" i="14"/>
  <c r="D769" i="14"/>
  <c r="D770" i="14"/>
  <c r="D771" i="14"/>
  <c r="D772" i="14"/>
  <c r="D773" i="14"/>
  <c r="D774" i="14"/>
  <c r="D775" i="14"/>
  <c r="D776" i="14"/>
  <c r="D777" i="14"/>
  <c r="D778" i="14"/>
  <c r="D779" i="14"/>
  <c r="D780" i="14"/>
  <c r="D781" i="14"/>
  <c r="D782" i="14"/>
  <c r="D783" i="14"/>
  <c r="D784" i="14"/>
  <c r="D785" i="14"/>
  <c r="D786" i="14"/>
  <c r="D787" i="14"/>
  <c r="D788" i="14"/>
  <c r="D789" i="14"/>
  <c r="D790" i="14"/>
  <c r="D791" i="14"/>
  <c r="D792" i="14"/>
  <c r="D793" i="14"/>
  <c r="D794" i="14"/>
  <c r="D795" i="14"/>
  <c r="D796" i="14"/>
  <c r="D797" i="14"/>
  <c r="D798" i="14"/>
  <c r="D799" i="14"/>
  <c r="D800" i="14"/>
  <c r="D801" i="14"/>
  <c r="D802" i="14"/>
  <c r="D803" i="14"/>
  <c r="D804" i="14"/>
  <c r="D805" i="14"/>
  <c r="D806" i="14"/>
  <c r="D807" i="14"/>
  <c r="D808" i="14"/>
  <c r="D809" i="14"/>
  <c r="D810" i="14"/>
  <c r="D811" i="14"/>
  <c r="D812" i="14"/>
  <c r="D813" i="14"/>
  <c r="D814" i="14"/>
  <c r="D815" i="14"/>
  <c r="D816" i="14"/>
  <c r="D817" i="14"/>
  <c r="D818" i="14"/>
  <c r="D819" i="14"/>
  <c r="D820" i="14"/>
  <c r="D821" i="14"/>
  <c r="D822" i="14"/>
  <c r="D823" i="14"/>
  <c r="D824" i="14"/>
  <c r="D825" i="14"/>
  <c r="D826" i="14"/>
  <c r="D827" i="14"/>
  <c r="D828" i="14"/>
  <c r="D829" i="14"/>
  <c r="D830" i="14"/>
  <c r="D831" i="14"/>
  <c r="D832" i="14"/>
  <c r="D833" i="14"/>
  <c r="D834" i="14"/>
  <c r="D835" i="14"/>
  <c r="D836" i="14"/>
  <c r="D837" i="14"/>
  <c r="D838" i="14"/>
  <c r="D839" i="14"/>
  <c r="D840" i="14"/>
  <c r="D841" i="14"/>
  <c r="D842" i="14"/>
  <c r="D843" i="14"/>
  <c r="D844" i="14"/>
  <c r="D845" i="14"/>
  <c r="D846" i="14"/>
  <c r="D847" i="14"/>
  <c r="D848" i="14"/>
  <c r="D849" i="14"/>
  <c r="D850" i="14"/>
  <c r="D851" i="14"/>
  <c r="D852" i="14"/>
  <c r="D853" i="14"/>
  <c r="D854" i="14"/>
  <c r="D855" i="14"/>
  <c r="D856" i="14"/>
  <c r="D857" i="14"/>
  <c r="D858" i="14"/>
  <c r="D859" i="14"/>
  <c r="D860" i="14"/>
  <c r="D861" i="14"/>
  <c r="D862" i="14"/>
  <c r="D863" i="14"/>
  <c r="D864" i="14"/>
  <c r="D865" i="14"/>
  <c r="D866" i="14"/>
  <c r="D867" i="14"/>
  <c r="D868" i="14"/>
  <c r="D869" i="14"/>
  <c r="D870" i="14"/>
  <c r="D871" i="14"/>
  <c r="D872" i="14"/>
  <c r="D873" i="14"/>
  <c r="D874" i="14"/>
  <c r="D875" i="14"/>
  <c r="D876" i="14"/>
  <c r="D877" i="14"/>
  <c r="D878" i="14"/>
  <c r="D879" i="14"/>
  <c r="D880" i="14"/>
  <c r="D881" i="14"/>
  <c r="D882" i="14"/>
  <c r="D883" i="14"/>
  <c r="D884" i="14"/>
  <c r="D885" i="14"/>
  <c r="D886" i="14"/>
  <c r="D887" i="14"/>
  <c r="D888" i="14"/>
  <c r="D889" i="14"/>
  <c r="D890" i="14"/>
  <c r="D891" i="14"/>
  <c r="D892" i="14"/>
  <c r="D893" i="14"/>
  <c r="D894" i="14"/>
  <c r="D895" i="14"/>
  <c r="D896" i="14"/>
  <c r="D897" i="14"/>
  <c r="D898" i="14"/>
  <c r="D899" i="14"/>
  <c r="D900" i="14"/>
  <c r="D901" i="14"/>
  <c r="D902" i="14"/>
  <c r="D903" i="14"/>
  <c r="D904" i="14"/>
  <c r="D905" i="14"/>
  <c r="D906" i="14"/>
  <c r="D907" i="14"/>
  <c r="D908" i="14"/>
  <c r="D909" i="14"/>
  <c r="D910" i="14"/>
  <c r="D911" i="14"/>
  <c r="D912" i="14"/>
  <c r="D913" i="14"/>
  <c r="D914" i="14"/>
  <c r="D915" i="14"/>
  <c r="D916" i="14"/>
  <c r="D917" i="14"/>
  <c r="D918" i="14"/>
  <c r="D919" i="14"/>
  <c r="D920" i="14"/>
  <c r="D921" i="14"/>
  <c r="D922" i="14"/>
  <c r="D923" i="14"/>
  <c r="D924" i="14"/>
  <c r="D925" i="14"/>
  <c r="D926" i="14"/>
  <c r="D927" i="14"/>
  <c r="D928" i="14"/>
  <c r="D929" i="14"/>
  <c r="D930" i="14"/>
  <c r="D931" i="14"/>
  <c r="D932" i="14"/>
  <c r="D933" i="14"/>
  <c r="D934" i="14"/>
  <c r="D935" i="14"/>
  <c r="D936" i="14"/>
  <c r="D937" i="14"/>
  <c r="D938" i="14"/>
  <c r="D939" i="14"/>
  <c r="D940" i="14"/>
  <c r="D941" i="14"/>
  <c r="D942" i="14"/>
  <c r="D943" i="14"/>
  <c r="D944" i="14"/>
  <c r="D945" i="14"/>
  <c r="D946" i="14"/>
  <c r="D947" i="14"/>
  <c r="D948" i="14"/>
  <c r="D949" i="14"/>
  <c r="D950" i="14"/>
  <c r="D951" i="14"/>
  <c r="D952" i="14"/>
  <c r="D953" i="14"/>
  <c r="D954" i="14"/>
  <c r="D955" i="14"/>
  <c r="D956" i="14"/>
  <c r="D957" i="14"/>
  <c r="D958" i="14"/>
  <c r="D959" i="14"/>
  <c r="D960" i="14"/>
  <c r="D961" i="14"/>
  <c r="D962" i="14"/>
  <c r="D963" i="14"/>
  <c r="D964" i="14"/>
  <c r="D965" i="14"/>
  <c r="D966" i="14"/>
  <c r="D967" i="14"/>
  <c r="D968" i="14"/>
  <c r="D969" i="14"/>
  <c r="D970" i="14"/>
  <c r="D971" i="14"/>
  <c r="D972" i="14"/>
  <c r="D973" i="14"/>
  <c r="D974" i="14"/>
  <c r="D975" i="14"/>
  <c r="D976" i="14"/>
  <c r="D977" i="14"/>
  <c r="D978" i="14"/>
  <c r="D979" i="14"/>
  <c r="D980" i="14"/>
  <c r="D981" i="14"/>
  <c r="D982" i="14"/>
  <c r="D983" i="14"/>
  <c r="D984" i="14"/>
  <c r="D985" i="14"/>
  <c r="D986" i="14"/>
  <c r="D987" i="14"/>
  <c r="D988" i="14"/>
  <c r="D989" i="14"/>
  <c r="D990" i="14"/>
  <c r="D3" i="14"/>
  <c r="D4" i="14"/>
  <c r="D5" i="14"/>
  <c r="D6" i="14"/>
  <c r="D7" i="14"/>
  <c r="D8" i="14"/>
  <c r="D9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8" i="14"/>
  <c r="C259" i="14"/>
  <c r="C260" i="14"/>
  <c r="C261" i="1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0" i="14"/>
  <c r="C291" i="14"/>
  <c r="C292" i="14"/>
  <c r="C293" i="14"/>
  <c r="C294" i="14"/>
  <c r="C295" i="14"/>
  <c r="C296" i="14"/>
  <c r="C297" i="14"/>
  <c r="C298" i="14"/>
  <c r="C299" i="14"/>
  <c r="C300" i="14"/>
  <c r="C301" i="14"/>
  <c r="C302" i="14"/>
  <c r="C303" i="14"/>
  <c r="C304" i="14"/>
  <c r="C305" i="14"/>
  <c r="C306" i="14"/>
  <c r="C307" i="14"/>
  <c r="C308" i="14"/>
  <c r="C309" i="14"/>
  <c r="C310" i="14"/>
  <c r="C311" i="14"/>
  <c r="C312" i="14"/>
  <c r="C313" i="14"/>
  <c r="C314" i="14"/>
  <c r="C315" i="14"/>
  <c r="C316" i="14"/>
  <c r="C317" i="14"/>
  <c r="C318" i="14"/>
  <c r="C319" i="14"/>
  <c r="C320" i="14"/>
  <c r="C321" i="14"/>
  <c r="C322" i="14"/>
  <c r="C323" i="14"/>
  <c r="C324" i="14"/>
  <c r="C325" i="14"/>
  <c r="C326" i="14"/>
  <c r="C327" i="14"/>
  <c r="C328" i="14"/>
  <c r="C329" i="14"/>
  <c r="C330" i="14"/>
  <c r="C331" i="14"/>
  <c r="C332" i="14"/>
  <c r="C333" i="14"/>
  <c r="C334" i="14"/>
  <c r="C335" i="14"/>
  <c r="C336" i="14"/>
  <c r="C337" i="14"/>
  <c r="C338" i="14"/>
  <c r="C339" i="14"/>
  <c r="C340" i="14"/>
  <c r="C341" i="14"/>
  <c r="C342" i="14"/>
  <c r="C343" i="14"/>
  <c r="C344" i="14"/>
  <c r="C345" i="14"/>
  <c r="C346" i="14"/>
  <c r="C347" i="14"/>
  <c r="C348" i="14"/>
  <c r="C349" i="14"/>
  <c r="C350" i="14"/>
  <c r="C351" i="14"/>
  <c r="C352" i="14"/>
  <c r="C353" i="14"/>
  <c r="C354" i="14"/>
  <c r="C355" i="14"/>
  <c r="C356" i="14"/>
  <c r="C357" i="14"/>
  <c r="C358" i="14"/>
  <c r="C359" i="14"/>
  <c r="C360" i="14"/>
  <c r="C361" i="14"/>
  <c r="C362" i="14"/>
  <c r="C363" i="14"/>
  <c r="C364" i="14"/>
  <c r="C365" i="14"/>
  <c r="C366" i="14"/>
  <c r="C367" i="14"/>
  <c r="C368" i="14"/>
  <c r="C369" i="14"/>
  <c r="C370" i="14"/>
  <c r="C371" i="14"/>
  <c r="C372" i="14"/>
  <c r="C373" i="14"/>
  <c r="C374" i="14"/>
  <c r="C375" i="14"/>
  <c r="C376" i="14"/>
  <c r="C377" i="14"/>
  <c r="C378" i="14"/>
  <c r="C379" i="14"/>
  <c r="C380" i="14"/>
  <c r="C381" i="14"/>
  <c r="C382" i="14"/>
  <c r="C383" i="14"/>
  <c r="C384" i="14"/>
  <c r="C385" i="14"/>
  <c r="C386" i="14"/>
  <c r="C387" i="14"/>
  <c r="C388" i="14"/>
  <c r="C389" i="14"/>
  <c r="C390" i="14"/>
  <c r="C391" i="14"/>
  <c r="C392" i="14"/>
  <c r="C393" i="14"/>
  <c r="C394" i="14"/>
  <c r="C395" i="14"/>
  <c r="C396" i="14"/>
  <c r="C397" i="14"/>
  <c r="C398" i="14"/>
  <c r="C399" i="14"/>
  <c r="C400" i="14"/>
  <c r="C401" i="14"/>
  <c r="C402" i="14"/>
  <c r="C403" i="14"/>
  <c r="C404" i="14"/>
  <c r="C405" i="14"/>
  <c r="C406" i="14"/>
  <c r="C407" i="14"/>
  <c r="C408" i="14"/>
  <c r="C409" i="14"/>
  <c r="C410" i="14"/>
  <c r="C411" i="14"/>
  <c r="C412" i="14"/>
  <c r="C413" i="14"/>
  <c r="C414" i="14"/>
  <c r="C415" i="14"/>
  <c r="C416" i="14"/>
  <c r="C417" i="14"/>
  <c r="C418" i="14"/>
  <c r="C419" i="14"/>
  <c r="C420" i="14"/>
  <c r="C421" i="14"/>
  <c r="C422" i="14"/>
  <c r="C423" i="14"/>
  <c r="C424" i="14"/>
  <c r="C425" i="14"/>
  <c r="C426" i="14"/>
  <c r="C427" i="14"/>
  <c r="C428" i="14"/>
  <c r="C429" i="14"/>
  <c r="C430" i="14"/>
  <c r="C431" i="14"/>
  <c r="C432" i="14"/>
  <c r="C433" i="14"/>
  <c r="C434" i="14"/>
  <c r="C435" i="14"/>
  <c r="C436" i="14"/>
  <c r="C437" i="14"/>
  <c r="C438" i="14"/>
  <c r="C439" i="14"/>
  <c r="C440" i="14"/>
  <c r="C441" i="14"/>
  <c r="C442" i="14"/>
  <c r="C443" i="14"/>
  <c r="C444" i="14"/>
  <c r="C445" i="14"/>
  <c r="C446" i="14"/>
  <c r="C447" i="14"/>
  <c r="C448" i="14"/>
  <c r="C449" i="14"/>
  <c r="C450" i="14"/>
  <c r="C451" i="14"/>
  <c r="C452" i="14"/>
  <c r="C453" i="14"/>
  <c r="C454" i="14"/>
  <c r="C455" i="14"/>
  <c r="C456" i="14"/>
  <c r="C457" i="14"/>
  <c r="C458" i="14"/>
  <c r="C459" i="14"/>
  <c r="C460" i="14"/>
  <c r="C461" i="14"/>
  <c r="C462" i="14"/>
  <c r="C463" i="14"/>
  <c r="C464" i="14"/>
  <c r="C465" i="14"/>
  <c r="C466" i="14"/>
  <c r="C467" i="14"/>
  <c r="C468" i="14"/>
  <c r="C469" i="14"/>
  <c r="C470" i="14"/>
  <c r="C471" i="14"/>
  <c r="C472" i="14"/>
  <c r="C473" i="14"/>
  <c r="C474" i="14"/>
  <c r="C475" i="14"/>
  <c r="C476" i="14"/>
  <c r="C477" i="14"/>
  <c r="C478" i="14"/>
  <c r="C479" i="14"/>
  <c r="C480" i="14"/>
  <c r="C481" i="14"/>
  <c r="C482" i="14"/>
  <c r="C483" i="14"/>
  <c r="C484" i="14"/>
  <c r="C485" i="14"/>
  <c r="C486" i="14"/>
  <c r="C487" i="14"/>
  <c r="C488" i="14"/>
  <c r="C489" i="14"/>
  <c r="C490" i="14"/>
  <c r="C491" i="14"/>
  <c r="C492" i="14"/>
  <c r="C493" i="14"/>
  <c r="C494" i="14"/>
  <c r="C495" i="14"/>
  <c r="C496" i="14"/>
  <c r="C497" i="14"/>
  <c r="C498" i="14"/>
  <c r="C499" i="14"/>
  <c r="C500" i="14"/>
  <c r="C501" i="14"/>
  <c r="C502" i="14"/>
  <c r="C503" i="14"/>
  <c r="C504" i="14"/>
  <c r="C505" i="14"/>
  <c r="C506" i="14"/>
  <c r="C507" i="14"/>
  <c r="C508" i="14"/>
  <c r="C509" i="14"/>
  <c r="C510" i="14"/>
  <c r="C511" i="14"/>
  <c r="C512" i="14"/>
  <c r="C513" i="14"/>
  <c r="C514" i="14"/>
  <c r="C515" i="14"/>
  <c r="C516" i="14"/>
  <c r="C517" i="14"/>
  <c r="C518" i="14"/>
  <c r="C519" i="14"/>
  <c r="C520" i="14"/>
  <c r="C521" i="14"/>
  <c r="C522" i="14"/>
  <c r="C523" i="14"/>
  <c r="C524" i="14"/>
  <c r="C525" i="14"/>
  <c r="C526" i="14"/>
  <c r="C527" i="14"/>
  <c r="C528" i="14"/>
  <c r="C529" i="14"/>
  <c r="C530" i="14"/>
  <c r="C531" i="14"/>
  <c r="C532" i="14"/>
  <c r="C533" i="14"/>
  <c r="C534" i="14"/>
  <c r="C535" i="14"/>
  <c r="C536" i="14"/>
  <c r="C537" i="14"/>
  <c r="C538" i="14"/>
  <c r="C539" i="14"/>
  <c r="C540" i="14"/>
  <c r="C541" i="14"/>
  <c r="C542" i="14"/>
  <c r="C543" i="14"/>
  <c r="C544" i="14"/>
  <c r="C545" i="14"/>
  <c r="C546" i="14"/>
  <c r="C547" i="14"/>
  <c r="C548" i="14"/>
  <c r="C549" i="14"/>
  <c r="C550" i="14"/>
  <c r="C551" i="14"/>
  <c r="C552" i="14"/>
  <c r="C553" i="14"/>
  <c r="C554" i="14"/>
  <c r="C555" i="14"/>
  <c r="C556" i="14"/>
  <c r="C557" i="14"/>
  <c r="C558" i="14"/>
  <c r="C559" i="14"/>
  <c r="C560" i="14"/>
  <c r="C561" i="14"/>
  <c r="C562" i="14"/>
  <c r="C563" i="14"/>
  <c r="C564" i="14"/>
  <c r="C565" i="14"/>
  <c r="C566" i="14"/>
  <c r="C567" i="14"/>
  <c r="C568" i="14"/>
  <c r="C569" i="14"/>
  <c r="C570" i="14"/>
  <c r="C571" i="14"/>
  <c r="C572" i="14"/>
  <c r="C573" i="14"/>
  <c r="C574" i="14"/>
  <c r="C575" i="14"/>
  <c r="C576" i="14"/>
  <c r="C577" i="14"/>
  <c r="C578" i="14"/>
  <c r="C579" i="14"/>
  <c r="C580" i="14"/>
  <c r="C581" i="14"/>
  <c r="C582" i="14"/>
  <c r="C583" i="14"/>
  <c r="C584" i="14"/>
  <c r="C585" i="14"/>
  <c r="C586" i="14"/>
  <c r="C587" i="14"/>
  <c r="C588" i="14"/>
  <c r="C589" i="14"/>
  <c r="C590" i="14"/>
  <c r="C591" i="14"/>
  <c r="C592" i="14"/>
  <c r="C593" i="14"/>
  <c r="C594" i="14"/>
  <c r="C595" i="14"/>
  <c r="C596" i="14"/>
  <c r="C597" i="14"/>
  <c r="C598" i="14"/>
  <c r="C599" i="14"/>
  <c r="C600" i="14"/>
  <c r="C601" i="14"/>
  <c r="C602" i="14"/>
  <c r="C603" i="14"/>
  <c r="C604" i="14"/>
  <c r="C605" i="14"/>
  <c r="C606" i="14"/>
  <c r="C607" i="14"/>
  <c r="C608" i="14"/>
  <c r="C609" i="14"/>
  <c r="C610" i="14"/>
  <c r="C611" i="14"/>
  <c r="C612" i="14"/>
  <c r="C613" i="14"/>
  <c r="C614" i="14"/>
  <c r="C615" i="14"/>
  <c r="C616" i="14"/>
  <c r="C617" i="14"/>
  <c r="C618" i="14"/>
  <c r="C619" i="14"/>
  <c r="C620" i="14"/>
  <c r="C621" i="14"/>
  <c r="C622" i="14"/>
  <c r="C623" i="14"/>
  <c r="C624" i="14"/>
  <c r="C625" i="14"/>
  <c r="C626" i="14"/>
  <c r="C627" i="14"/>
  <c r="C628" i="14"/>
  <c r="C629" i="14"/>
  <c r="C630" i="14"/>
  <c r="C631" i="14"/>
  <c r="C632" i="14"/>
  <c r="C633" i="14"/>
  <c r="C634" i="14"/>
  <c r="C635" i="14"/>
  <c r="C636" i="14"/>
  <c r="C637" i="14"/>
  <c r="C638" i="14"/>
  <c r="C639" i="14"/>
  <c r="C640" i="14"/>
  <c r="C641" i="14"/>
  <c r="C642" i="14"/>
  <c r="C643" i="14"/>
  <c r="C644" i="14"/>
  <c r="C645" i="14"/>
  <c r="C646" i="14"/>
  <c r="C647" i="14"/>
  <c r="C648" i="14"/>
  <c r="C649" i="14"/>
  <c r="C650" i="14"/>
  <c r="C651" i="14"/>
  <c r="C652" i="14"/>
  <c r="C653" i="14"/>
  <c r="C654" i="14"/>
  <c r="C655" i="14"/>
  <c r="C656" i="14"/>
  <c r="C657" i="14"/>
  <c r="C658" i="14"/>
  <c r="C659" i="14"/>
  <c r="C660" i="14"/>
  <c r="C661" i="14"/>
  <c r="C662" i="14"/>
  <c r="C663" i="14"/>
  <c r="C664" i="14"/>
  <c r="C665" i="14"/>
  <c r="C666" i="14"/>
  <c r="C667" i="14"/>
  <c r="C668" i="14"/>
  <c r="C669" i="14"/>
  <c r="C670" i="14"/>
  <c r="C671" i="14"/>
  <c r="C672" i="14"/>
  <c r="C673" i="14"/>
  <c r="C674" i="14"/>
  <c r="C675" i="14"/>
  <c r="C676" i="14"/>
  <c r="C677" i="14"/>
  <c r="C678" i="14"/>
  <c r="C679" i="14"/>
  <c r="C680" i="14"/>
  <c r="C681" i="14"/>
  <c r="C682" i="14"/>
  <c r="C683" i="14"/>
  <c r="C684" i="14"/>
  <c r="C685" i="14"/>
  <c r="C686" i="14"/>
  <c r="C687" i="14"/>
  <c r="C688" i="14"/>
  <c r="C689" i="14"/>
  <c r="C690" i="14"/>
  <c r="C691" i="14"/>
  <c r="C692" i="14"/>
  <c r="C693" i="14"/>
  <c r="C694" i="14"/>
  <c r="C695" i="14"/>
  <c r="C696" i="14"/>
  <c r="C697" i="14"/>
  <c r="C698" i="14"/>
  <c r="C699" i="14"/>
  <c r="C700" i="14"/>
  <c r="C701" i="14"/>
  <c r="C702" i="14"/>
  <c r="C703" i="14"/>
  <c r="C704" i="14"/>
  <c r="C705" i="14"/>
  <c r="C706" i="14"/>
  <c r="C707" i="14"/>
  <c r="C708" i="14"/>
  <c r="C709" i="14"/>
  <c r="C710" i="14"/>
  <c r="C711" i="14"/>
  <c r="C712" i="14"/>
  <c r="C713" i="14"/>
  <c r="C714" i="14"/>
  <c r="C715" i="14"/>
  <c r="C716" i="14"/>
  <c r="C717" i="14"/>
  <c r="C718" i="14"/>
  <c r="C719" i="14"/>
  <c r="C720" i="14"/>
  <c r="C721" i="14"/>
  <c r="C722" i="14"/>
  <c r="C723" i="14"/>
  <c r="C724" i="14"/>
  <c r="C725" i="14"/>
  <c r="C726" i="14"/>
  <c r="C727" i="14"/>
  <c r="C728" i="14"/>
  <c r="C729" i="14"/>
  <c r="C730" i="14"/>
  <c r="C731" i="14"/>
  <c r="C732" i="14"/>
  <c r="C733" i="14"/>
  <c r="C734" i="14"/>
  <c r="C735" i="14"/>
  <c r="C736" i="14"/>
  <c r="C737" i="14"/>
  <c r="C738" i="14"/>
  <c r="C739" i="14"/>
  <c r="C740" i="14"/>
  <c r="C741" i="14"/>
  <c r="C742" i="14"/>
  <c r="C743" i="14"/>
  <c r="C744" i="14"/>
  <c r="C745" i="14"/>
  <c r="C746" i="14"/>
  <c r="C747" i="14"/>
  <c r="C748" i="14"/>
  <c r="C749" i="14"/>
  <c r="C750" i="14"/>
  <c r="C751" i="14"/>
  <c r="C752" i="14"/>
  <c r="C753" i="14"/>
  <c r="C754" i="14"/>
  <c r="C755" i="14"/>
  <c r="C756" i="14"/>
  <c r="C757" i="14"/>
  <c r="C758" i="14"/>
  <c r="C759" i="14"/>
  <c r="C760" i="14"/>
  <c r="C761" i="14"/>
  <c r="C762" i="14"/>
  <c r="C763" i="14"/>
  <c r="C764" i="14"/>
  <c r="C765" i="14"/>
  <c r="C766" i="14"/>
  <c r="C767" i="14"/>
  <c r="C768" i="14"/>
  <c r="C769" i="14"/>
  <c r="C770" i="14"/>
  <c r="C771" i="14"/>
  <c r="C772" i="14"/>
  <c r="C773" i="14"/>
  <c r="C774" i="14"/>
  <c r="C775" i="14"/>
  <c r="C776" i="14"/>
  <c r="C777" i="14"/>
  <c r="C778" i="14"/>
  <c r="C779" i="14"/>
  <c r="C780" i="14"/>
  <c r="C781" i="14"/>
  <c r="C782" i="14"/>
  <c r="C783" i="14"/>
  <c r="C784" i="14"/>
  <c r="C785" i="14"/>
  <c r="C786" i="14"/>
  <c r="C787" i="14"/>
  <c r="C788" i="14"/>
  <c r="C789" i="14"/>
  <c r="C790" i="14"/>
  <c r="C791" i="14"/>
  <c r="C792" i="14"/>
  <c r="C793" i="14"/>
  <c r="C794" i="14"/>
  <c r="C795" i="14"/>
  <c r="C796" i="14"/>
  <c r="C797" i="14"/>
  <c r="C798" i="14"/>
  <c r="C799" i="14"/>
  <c r="C800" i="14"/>
  <c r="C801" i="14"/>
  <c r="C802" i="14"/>
  <c r="C803" i="14"/>
  <c r="C804" i="14"/>
  <c r="C805" i="14"/>
  <c r="C806" i="14"/>
  <c r="C807" i="14"/>
  <c r="C808" i="14"/>
  <c r="C809" i="14"/>
  <c r="C810" i="14"/>
  <c r="C811" i="14"/>
  <c r="C812" i="14"/>
  <c r="C813" i="14"/>
  <c r="C814" i="14"/>
  <c r="C815" i="14"/>
  <c r="C816" i="14"/>
  <c r="C817" i="14"/>
  <c r="C818" i="14"/>
  <c r="C819" i="14"/>
  <c r="C820" i="14"/>
  <c r="C821" i="14"/>
  <c r="C822" i="14"/>
  <c r="C823" i="14"/>
  <c r="C824" i="14"/>
  <c r="C825" i="14"/>
  <c r="C826" i="14"/>
  <c r="C827" i="14"/>
  <c r="C828" i="14"/>
  <c r="C829" i="14"/>
  <c r="C830" i="14"/>
  <c r="C831" i="14"/>
  <c r="C832" i="14"/>
  <c r="C833" i="14"/>
  <c r="C834" i="14"/>
  <c r="C835" i="14"/>
  <c r="C836" i="14"/>
  <c r="C837" i="14"/>
  <c r="C838" i="14"/>
  <c r="C839" i="14"/>
  <c r="C840" i="14"/>
  <c r="C841" i="14"/>
  <c r="C842" i="14"/>
  <c r="C843" i="14"/>
  <c r="C844" i="14"/>
  <c r="C845" i="14"/>
  <c r="C846" i="14"/>
  <c r="C847" i="14"/>
  <c r="C848" i="14"/>
  <c r="C849" i="14"/>
  <c r="C850" i="14"/>
  <c r="C851" i="14"/>
  <c r="C852" i="14"/>
  <c r="C853" i="14"/>
  <c r="C854" i="14"/>
  <c r="C855" i="14"/>
  <c r="C856" i="14"/>
  <c r="C857" i="14"/>
  <c r="C858" i="14"/>
  <c r="C859" i="14"/>
  <c r="C860" i="14"/>
  <c r="C861" i="14"/>
  <c r="C862" i="14"/>
  <c r="C863" i="14"/>
  <c r="C864" i="14"/>
  <c r="C865" i="14"/>
  <c r="C866" i="14"/>
  <c r="C867" i="14"/>
  <c r="C868" i="14"/>
  <c r="C869" i="14"/>
  <c r="C870" i="14"/>
  <c r="C871" i="14"/>
  <c r="C872" i="14"/>
  <c r="C873" i="14"/>
  <c r="C874" i="14"/>
  <c r="C875" i="14"/>
  <c r="C876" i="14"/>
  <c r="C877" i="14"/>
  <c r="C878" i="14"/>
  <c r="C879" i="14"/>
  <c r="C880" i="14"/>
  <c r="C881" i="14"/>
  <c r="C882" i="14"/>
  <c r="C883" i="14"/>
  <c r="C884" i="14"/>
  <c r="C885" i="14"/>
  <c r="C886" i="14"/>
  <c r="C887" i="14"/>
  <c r="C888" i="14"/>
  <c r="C889" i="14"/>
  <c r="C890" i="14"/>
  <c r="C891" i="14"/>
  <c r="C892" i="14"/>
  <c r="C893" i="14"/>
  <c r="C894" i="14"/>
  <c r="C895" i="14"/>
  <c r="C896" i="14"/>
  <c r="C897" i="14"/>
  <c r="C898" i="14"/>
  <c r="C899" i="14"/>
  <c r="C900" i="14"/>
  <c r="C901" i="14"/>
  <c r="C902" i="14"/>
  <c r="C903" i="14"/>
  <c r="C904" i="14"/>
  <c r="C905" i="14"/>
  <c r="C906" i="14"/>
  <c r="C907" i="14"/>
  <c r="C908" i="14"/>
  <c r="C909" i="14"/>
  <c r="C910" i="14"/>
  <c r="C911" i="14"/>
  <c r="C912" i="14"/>
  <c r="C913" i="14"/>
  <c r="C914" i="14"/>
  <c r="C915" i="14"/>
  <c r="C916" i="14"/>
  <c r="C917" i="14"/>
  <c r="C918" i="14"/>
  <c r="C919" i="14"/>
  <c r="C920" i="14"/>
  <c r="C921" i="14"/>
  <c r="C922" i="14"/>
  <c r="C923" i="14"/>
  <c r="C924" i="14"/>
  <c r="C925" i="14"/>
  <c r="C926" i="14"/>
  <c r="C927" i="14"/>
  <c r="C928" i="14"/>
  <c r="C929" i="14"/>
  <c r="C930" i="14"/>
  <c r="C931" i="14"/>
  <c r="C932" i="14"/>
  <c r="C933" i="14"/>
  <c r="C934" i="14"/>
  <c r="C935" i="14"/>
  <c r="C936" i="14"/>
  <c r="C937" i="14"/>
  <c r="C938" i="14"/>
  <c r="C939" i="14"/>
  <c r="C940" i="14"/>
  <c r="C941" i="14"/>
  <c r="C942" i="14"/>
  <c r="C943" i="14"/>
  <c r="C944" i="14"/>
  <c r="C945" i="14"/>
  <c r="C946" i="14"/>
  <c r="C947" i="14"/>
  <c r="C948" i="14"/>
  <c r="C949" i="14"/>
  <c r="C950" i="14"/>
  <c r="C951" i="14"/>
  <c r="C952" i="14"/>
  <c r="C953" i="14"/>
  <c r="C954" i="14"/>
  <c r="C955" i="14"/>
  <c r="C956" i="14"/>
  <c r="C957" i="14"/>
  <c r="C958" i="14"/>
  <c r="C959" i="14"/>
  <c r="C960" i="14"/>
  <c r="C961" i="14"/>
  <c r="C962" i="14"/>
  <c r="C963" i="14"/>
  <c r="C964" i="14"/>
  <c r="C965" i="14"/>
  <c r="C966" i="14"/>
  <c r="C967" i="14"/>
  <c r="C968" i="14"/>
  <c r="C969" i="14"/>
  <c r="C970" i="14"/>
  <c r="C971" i="14"/>
  <c r="C972" i="14"/>
  <c r="C973" i="14"/>
  <c r="C974" i="14"/>
  <c r="C975" i="14"/>
  <c r="C976" i="14"/>
  <c r="C977" i="14"/>
  <c r="C978" i="14"/>
  <c r="C979" i="14"/>
  <c r="C980" i="14"/>
  <c r="C981" i="14"/>
  <c r="C982" i="14"/>
  <c r="C983" i="14"/>
  <c r="C984" i="14"/>
  <c r="C985" i="14"/>
  <c r="C986" i="14"/>
  <c r="C987" i="14"/>
  <c r="C988" i="14"/>
  <c r="C989" i="14"/>
  <c r="C990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3" i="14"/>
  <c r="C4" i="14"/>
  <c r="C5" i="14"/>
  <c r="C6" i="14"/>
  <c r="C2" i="14"/>
  <c r="D2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B268" i="14"/>
  <c r="B269" i="14"/>
  <c r="B270" i="14"/>
  <c r="B271" i="14"/>
  <c r="B272" i="14"/>
  <c r="B273" i="14"/>
  <c r="B274" i="14"/>
  <c r="B275" i="14"/>
  <c r="B276" i="14"/>
  <c r="B277" i="14"/>
  <c r="B278" i="14"/>
  <c r="B279" i="14"/>
  <c r="B280" i="14"/>
  <c r="B281" i="14"/>
  <c r="B282" i="14"/>
  <c r="B283" i="14"/>
  <c r="B284" i="14"/>
  <c r="B285" i="14"/>
  <c r="B286" i="14"/>
  <c r="B287" i="14"/>
  <c r="B288" i="14"/>
  <c r="B289" i="14"/>
  <c r="B290" i="14"/>
  <c r="B291" i="14"/>
  <c r="B292" i="14"/>
  <c r="B293" i="14"/>
  <c r="B294" i="14"/>
  <c r="B295" i="14"/>
  <c r="B296" i="14"/>
  <c r="B297" i="14"/>
  <c r="B298" i="14"/>
  <c r="B299" i="14"/>
  <c r="B300" i="14"/>
  <c r="B301" i="14"/>
  <c r="B302" i="14"/>
  <c r="B303" i="14"/>
  <c r="B304" i="14"/>
  <c r="B305" i="14"/>
  <c r="B306" i="14"/>
  <c r="B307" i="14"/>
  <c r="B308" i="14"/>
  <c r="B309" i="14"/>
  <c r="B310" i="14"/>
  <c r="B311" i="14"/>
  <c r="B312" i="14"/>
  <c r="B313" i="14"/>
  <c r="B314" i="14"/>
  <c r="B315" i="14"/>
  <c r="B316" i="14"/>
  <c r="B317" i="14"/>
  <c r="B318" i="14"/>
  <c r="B319" i="14"/>
  <c r="B320" i="14"/>
  <c r="B321" i="14"/>
  <c r="B322" i="14"/>
  <c r="B323" i="14"/>
  <c r="B324" i="14"/>
  <c r="B325" i="14"/>
  <c r="B326" i="14"/>
  <c r="B327" i="14"/>
  <c r="B328" i="14"/>
  <c r="B329" i="14"/>
  <c r="B330" i="14"/>
  <c r="B331" i="14"/>
  <c r="B332" i="14"/>
  <c r="B333" i="14"/>
  <c r="B334" i="14"/>
  <c r="B335" i="14"/>
  <c r="B336" i="14"/>
  <c r="B337" i="14"/>
  <c r="B338" i="14"/>
  <c r="B339" i="14"/>
  <c r="B340" i="14"/>
  <c r="B341" i="14"/>
  <c r="B342" i="14"/>
  <c r="B343" i="14"/>
  <c r="B344" i="14"/>
  <c r="B345" i="14"/>
  <c r="B346" i="14"/>
  <c r="B347" i="14"/>
  <c r="B348" i="14"/>
  <c r="B349" i="14"/>
  <c r="B350" i="14"/>
  <c r="B351" i="14"/>
  <c r="B352" i="14"/>
  <c r="B353" i="14"/>
  <c r="B354" i="14"/>
  <c r="B355" i="14"/>
  <c r="B356" i="14"/>
  <c r="B357" i="14"/>
  <c r="B358" i="14"/>
  <c r="B359" i="14"/>
  <c r="B360" i="14"/>
  <c r="B361" i="14"/>
  <c r="B362" i="14"/>
  <c r="B363" i="14"/>
  <c r="B364" i="14"/>
  <c r="B365" i="14"/>
  <c r="B366" i="14"/>
  <c r="B367" i="14"/>
  <c r="B368" i="14"/>
  <c r="B369" i="14"/>
  <c r="B370" i="14"/>
  <c r="B371" i="14"/>
  <c r="B372" i="14"/>
  <c r="B373" i="14"/>
  <c r="B374" i="14"/>
  <c r="B375" i="14"/>
  <c r="B376" i="14"/>
  <c r="B377" i="14"/>
  <c r="B378" i="14"/>
  <c r="B379" i="14"/>
  <c r="B380" i="14"/>
  <c r="B381" i="14"/>
  <c r="B382" i="14"/>
  <c r="B383" i="14"/>
  <c r="B384" i="14"/>
  <c r="B385" i="14"/>
  <c r="B386" i="14"/>
  <c r="B387" i="14"/>
  <c r="B388" i="14"/>
  <c r="B389" i="14"/>
  <c r="B390" i="14"/>
  <c r="B391" i="14"/>
  <c r="B392" i="14"/>
  <c r="B393" i="14"/>
  <c r="B394" i="14"/>
  <c r="B395" i="14"/>
  <c r="B396" i="14"/>
  <c r="B397" i="14"/>
  <c r="B398" i="14"/>
  <c r="B399" i="14"/>
  <c r="B400" i="14"/>
  <c r="B401" i="14"/>
  <c r="B402" i="14"/>
  <c r="B403" i="14"/>
  <c r="B404" i="14"/>
  <c r="B405" i="14"/>
  <c r="B406" i="14"/>
  <c r="B407" i="14"/>
  <c r="B408" i="14"/>
  <c r="B409" i="14"/>
  <c r="B410" i="14"/>
  <c r="B411" i="14"/>
  <c r="B412" i="14"/>
  <c r="B413" i="14"/>
  <c r="B414" i="14"/>
  <c r="B415" i="14"/>
  <c r="B416" i="14"/>
  <c r="B417" i="14"/>
  <c r="B418" i="14"/>
  <c r="B419" i="14"/>
  <c r="B420" i="14"/>
  <c r="B421" i="14"/>
  <c r="B422" i="14"/>
  <c r="B423" i="14"/>
  <c r="B424" i="14"/>
  <c r="B425" i="14"/>
  <c r="B426" i="14"/>
  <c r="B427" i="14"/>
  <c r="B428" i="14"/>
  <c r="B429" i="14"/>
  <c r="B430" i="14"/>
  <c r="B431" i="14"/>
  <c r="B432" i="14"/>
  <c r="B433" i="14"/>
  <c r="B434" i="14"/>
  <c r="B435" i="14"/>
  <c r="B436" i="14"/>
  <c r="B437" i="14"/>
  <c r="B438" i="14"/>
  <c r="B439" i="14"/>
  <c r="B440" i="14"/>
  <c r="B441" i="14"/>
  <c r="B442" i="14"/>
  <c r="B443" i="14"/>
  <c r="B444" i="14"/>
  <c r="B445" i="14"/>
  <c r="B446" i="14"/>
  <c r="B447" i="14"/>
  <c r="B448" i="14"/>
  <c r="B449" i="14"/>
  <c r="B450" i="14"/>
  <c r="B451" i="14"/>
  <c r="B452" i="14"/>
  <c r="B453" i="14"/>
  <c r="B454" i="14"/>
  <c r="B455" i="14"/>
  <c r="B456" i="14"/>
  <c r="B457" i="14"/>
  <c r="B458" i="14"/>
  <c r="B459" i="14"/>
  <c r="B460" i="14"/>
  <c r="B461" i="14"/>
  <c r="B462" i="14"/>
  <c r="B463" i="14"/>
  <c r="B464" i="14"/>
  <c r="B465" i="14"/>
  <c r="B466" i="14"/>
  <c r="B467" i="14"/>
  <c r="B468" i="14"/>
  <c r="B469" i="14"/>
  <c r="B470" i="14"/>
  <c r="B471" i="14"/>
  <c r="B472" i="14"/>
  <c r="B473" i="14"/>
  <c r="B474" i="14"/>
  <c r="B475" i="14"/>
  <c r="B476" i="14"/>
  <c r="B477" i="14"/>
  <c r="B478" i="14"/>
  <c r="B479" i="14"/>
  <c r="B480" i="14"/>
  <c r="B481" i="14"/>
  <c r="B482" i="14"/>
  <c r="B483" i="14"/>
  <c r="B484" i="14"/>
  <c r="B485" i="14"/>
  <c r="B486" i="14"/>
  <c r="B487" i="14"/>
  <c r="B488" i="14"/>
  <c r="B489" i="14"/>
  <c r="B490" i="14"/>
  <c r="B491" i="14"/>
  <c r="B492" i="14"/>
  <c r="B493" i="14"/>
  <c r="B494" i="14"/>
  <c r="B495" i="14"/>
  <c r="B496" i="14"/>
  <c r="B497" i="14"/>
  <c r="B498" i="14"/>
  <c r="B499" i="14"/>
  <c r="B500" i="14"/>
  <c r="B501" i="14"/>
  <c r="B502" i="14"/>
  <c r="B503" i="14"/>
  <c r="B504" i="14"/>
  <c r="B505" i="14"/>
  <c r="B506" i="14"/>
  <c r="B507" i="14"/>
  <c r="B508" i="14"/>
  <c r="B509" i="14"/>
  <c r="B510" i="14"/>
  <c r="B511" i="14"/>
  <c r="B512" i="14"/>
  <c r="B513" i="14"/>
  <c r="B514" i="14"/>
  <c r="B515" i="14"/>
  <c r="B516" i="14"/>
  <c r="B517" i="14"/>
  <c r="B518" i="14"/>
  <c r="B519" i="14"/>
  <c r="B520" i="14"/>
  <c r="B521" i="14"/>
  <c r="B522" i="14"/>
  <c r="B523" i="14"/>
  <c r="B524" i="14"/>
  <c r="B525" i="14"/>
  <c r="B526" i="14"/>
  <c r="B527" i="14"/>
  <c r="B528" i="14"/>
  <c r="B529" i="14"/>
  <c r="B530" i="14"/>
  <c r="B531" i="14"/>
  <c r="B532" i="14"/>
  <c r="B533" i="14"/>
  <c r="B534" i="14"/>
  <c r="B535" i="14"/>
  <c r="B536" i="14"/>
  <c r="B537" i="14"/>
  <c r="B538" i="14"/>
  <c r="B539" i="14"/>
  <c r="B540" i="14"/>
  <c r="B541" i="14"/>
  <c r="B542" i="14"/>
  <c r="B543" i="14"/>
  <c r="B544" i="14"/>
  <c r="B545" i="14"/>
  <c r="B546" i="14"/>
  <c r="B547" i="14"/>
  <c r="B548" i="14"/>
  <c r="B549" i="14"/>
  <c r="B550" i="14"/>
  <c r="B551" i="14"/>
  <c r="B552" i="14"/>
  <c r="B553" i="14"/>
  <c r="B554" i="14"/>
  <c r="B555" i="14"/>
  <c r="B556" i="14"/>
  <c r="B557" i="14"/>
  <c r="B558" i="14"/>
  <c r="B559" i="14"/>
  <c r="B560" i="14"/>
  <c r="B561" i="14"/>
  <c r="B562" i="14"/>
  <c r="B563" i="14"/>
  <c r="B564" i="14"/>
  <c r="B565" i="14"/>
  <c r="B566" i="14"/>
  <c r="B567" i="14"/>
  <c r="B568" i="14"/>
  <c r="B569" i="14"/>
  <c r="B570" i="14"/>
  <c r="B571" i="14"/>
  <c r="B572" i="14"/>
  <c r="B573" i="14"/>
  <c r="B574" i="14"/>
  <c r="B575" i="14"/>
  <c r="B576" i="14"/>
  <c r="B577" i="14"/>
  <c r="B578" i="14"/>
  <c r="B579" i="14"/>
  <c r="B580" i="14"/>
  <c r="B581" i="14"/>
  <c r="B582" i="14"/>
  <c r="B583" i="14"/>
  <c r="B584" i="14"/>
  <c r="B585" i="14"/>
  <c r="B586" i="14"/>
  <c r="B587" i="14"/>
  <c r="B588" i="14"/>
  <c r="B589" i="14"/>
  <c r="B590" i="14"/>
  <c r="B591" i="14"/>
  <c r="B592" i="14"/>
  <c r="B593" i="14"/>
  <c r="B594" i="14"/>
  <c r="B595" i="14"/>
  <c r="B596" i="14"/>
  <c r="B597" i="14"/>
  <c r="B598" i="14"/>
  <c r="B599" i="14"/>
  <c r="B600" i="14"/>
  <c r="B601" i="14"/>
  <c r="B602" i="14"/>
  <c r="B603" i="14"/>
  <c r="B604" i="14"/>
  <c r="B605" i="14"/>
  <c r="B606" i="14"/>
  <c r="B607" i="14"/>
  <c r="B608" i="14"/>
  <c r="B609" i="14"/>
  <c r="B610" i="14"/>
  <c r="B611" i="14"/>
  <c r="B612" i="14"/>
  <c r="B613" i="14"/>
  <c r="B614" i="14"/>
  <c r="B615" i="14"/>
  <c r="B616" i="14"/>
  <c r="B617" i="14"/>
  <c r="B618" i="14"/>
  <c r="B619" i="14"/>
  <c r="B620" i="14"/>
  <c r="B621" i="14"/>
  <c r="B622" i="14"/>
  <c r="B623" i="14"/>
  <c r="B624" i="14"/>
  <c r="B625" i="14"/>
  <c r="B626" i="14"/>
  <c r="B627" i="14"/>
  <c r="B628" i="14"/>
  <c r="B629" i="14"/>
  <c r="B630" i="14"/>
  <c r="B631" i="14"/>
  <c r="B632" i="14"/>
  <c r="B633" i="14"/>
  <c r="B634" i="14"/>
  <c r="B635" i="14"/>
  <c r="B636" i="14"/>
  <c r="B637" i="14"/>
  <c r="B638" i="14"/>
  <c r="B639" i="14"/>
  <c r="B640" i="14"/>
  <c r="B641" i="14"/>
  <c r="B642" i="14"/>
  <c r="B643" i="14"/>
  <c r="B644" i="14"/>
  <c r="B645" i="14"/>
  <c r="B646" i="14"/>
  <c r="B647" i="14"/>
  <c r="B648" i="14"/>
  <c r="B649" i="14"/>
  <c r="B650" i="14"/>
  <c r="B651" i="14"/>
  <c r="B652" i="14"/>
  <c r="B653" i="14"/>
  <c r="B654" i="14"/>
  <c r="B655" i="14"/>
  <c r="B656" i="14"/>
  <c r="B657" i="14"/>
  <c r="B658" i="14"/>
  <c r="B659" i="14"/>
  <c r="B660" i="14"/>
  <c r="B661" i="14"/>
  <c r="B662" i="14"/>
  <c r="B663" i="14"/>
  <c r="B664" i="14"/>
  <c r="B665" i="14"/>
  <c r="B666" i="14"/>
  <c r="B667" i="14"/>
  <c r="B668" i="14"/>
  <c r="B669" i="14"/>
  <c r="B670" i="14"/>
  <c r="B671" i="14"/>
  <c r="B672" i="14"/>
  <c r="B673" i="14"/>
  <c r="B674" i="14"/>
  <c r="B675" i="14"/>
  <c r="B676" i="14"/>
  <c r="B677" i="14"/>
  <c r="B678" i="14"/>
  <c r="B679" i="14"/>
  <c r="B680" i="14"/>
  <c r="B681" i="14"/>
  <c r="B682" i="14"/>
  <c r="B683" i="14"/>
  <c r="B684" i="14"/>
  <c r="B685" i="14"/>
  <c r="B686" i="14"/>
  <c r="B687" i="14"/>
  <c r="B688" i="14"/>
  <c r="B689" i="14"/>
  <c r="B690" i="14"/>
  <c r="B691" i="14"/>
  <c r="B692" i="14"/>
  <c r="B693" i="14"/>
  <c r="B694" i="14"/>
  <c r="B695" i="14"/>
  <c r="B696" i="14"/>
  <c r="B697" i="14"/>
  <c r="B698" i="14"/>
  <c r="B699" i="14"/>
  <c r="B700" i="14"/>
  <c r="B701" i="14"/>
  <c r="B702" i="14"/>
  <c r="B703" i="14"/>
  <c r="B704" i="14"/>
  <c r="B705" i="14"/>
  <c r="B706" i="14"/>
  <c r="B707" i="14"/>
  <c r="B708" i="14"/>
  <c r="B709" i="14"/>
  <c r="B710" i="14"/>
  <c r="B711" i="14"/>
  <c r="B712" i="14"/>
  <c r="B713" i="14"/>
  <c r="B714" i="14"/>
  <c r="B715" i="14"/>
  <c r="B716" i="14"/>
  <c r="B717" i="14"/>
  <c r="B718" i="14"/>
  <c r="B719" i="14"/>
  <c r="B720" i="14"/>
  <c r="B721" i="14"/>
  <c r="B722" i="14"/>
  <c r="B723" i="14"/>
  <c r="B724" i="14"/>
  <c r="B725" i="14"/>
  <c r="B726" i="14"/>
  <c r="B727" i="14"/>
  <c r="B728" i="14"/>
  <c r="B729" i="14"/>
  <c r="B730" i="14"/>
  <c r="B731" i="14"/>
  <c r="B732" i="14"/>
  <c r="B733" i="14"/>
  <c r="B734" i="14"/>
  <c r="B735" i="14"/>
  <c r="B736" i="14"/>
  <c r="B737" i="14"/>
  <c r="B738" i="14"/>
  <c r="B739" i="14"/>
  <c r="B740" i="14"/>
  <c r="B741" i="14"/>
  <c r="B742" i="14"/>
  <c r="B743" i="14"/>
  <c r="B744" i="14"/>
  <c r="B745" i="14"/>
  <c r="B746" i="14"/>
  <c r="B747" i="14"/>
  <c r="B748" i="14"/>
  <c r="B749" i="14"/>
  <c r="B750" i="14"/>
  <c r="B751" i="14"/>
  <c r="B752" i="14"/>
  <c r="B753" i="14"/>
  <c r="B754" i="14"/>
  <c r="B755" i="14"/>
  <c r="B756" i="14"/>
  <c r="B757" i="14"/>
  <c r="B758" i="14"/>
  <c r="B759" i="14"/>
  <c r="B760" i="14"/>
  <c r="B761" i="14"/>
  <c r="B762" i="14"/>
  <c r="B763" i="14"/>
  <c r="B764" i="14"/>
  <c r="B765" i="14"/>
  <c r="B766" i="14"/>
  <c r="B767" i="14"/>
  <c r="B768" i="14"/>
  <c r="B769" i="14"/>
  <c r="B770" i="14"/>
  <c r="B771" i="14"/>
  <c r="B772" i="14"/>
  <c r="B773" i="14"/>
  <c r="B774" i="14"/>
  <c r="B775" i="14"/>
  <c r="B776" i="14"/>
  <c r="B777" i="14"/>
  <c r="B778" i="14"/>
  <c r="B779" i="14"/>
  <c r="B780" i="14"/>
  <c r="B781" i="14"/>
  <c r="B782" i="14"/>
  <c r="B783" i="14"/>
  <c r="B784" i="14"/>
  <c r="B785" i="14"/>
  <c r="B786" i="14"/>
  <c r="B787" i="14"/>
  <c r="B788" i="14"/>
  <c r="B789" i="14"/>
  <c r="B790" i="14"/>
  <c r="B791" i="14"/>
  <c r="B792" i="14"/>
  <c r="B793" i="14"/>
  <c r="B794" i="14"/>
  <c r="B795" i="14"/>
  <c r="B796" i="14"/>
  <c r="B797" i="14"/>
  <c r="B798" i="14"/>
  <c r="B799" i="14"/>
  <c r="B800" i="14"/>
  <c r="B801" i="14"/>
  <c r="B802" i="14"/>
  <c r="B803" i="14"/>
  <c r="B804" i="14"/>
  <c r="B805" i="14"/>
  <c r="B806" i="14"/>
  <c r="B807" i="14"/>
  <c r="B808" i="14"/>
  <c r="B809" i="14"/>
  <c r="B810" i="14"/>
  <c r="B811" i="14"/>
  <c r="B812" i="14"/>
  <c r="B813" i="14"/>
  <c r="B814" i="14"/>
  <c r="B815" i="14"/>
  <c r="B816" i="14"/>
  <c r="B817" i="14"/>
  <c r="B818" i="14"/>
  <c r="B819" i="14"/>
  <c r="B820" i="14"/>
  <c r="B821" i="14"/>
  <c r="B822" i="14"/>
  <c r="B823" i="14"/>
  <c r="B824" i="14"/>
  <c r="B825" i="14"/>
  <c r="B826" i="14"/>
  <c r="B827" i="14"/>
  <c r="B828" i="14"/>
  <c r="B829" i="14"/>
  <c r="B830" i="14"/>
  <c r="B831" i="14"/>
  <c r="B832" i="14"/>
  <c r="B833" i="14"/>
  <c r="B834" i="14"/>
  <c r="B835" i="14"/>
  <c r="B836" i="14"/>
  <c r="B837" i="14"/>
  <c r="B838" i="14"/>
  <c r="B839" i="14"/>
  <c r="B840" i="14"/>
  <c r="B841" i="14"/>
  <c r="B842" i="14"/>
  <c r="B843" i="14"/>
  <c r="B844" i="14"/>
  <c r="B845" i="14"/>
  <c r="B846" i="14"/>
  <c r="B847" i="14"/>
  <c r="B848" i="14"/>
  <c r="B849" i="14"/>
  <c r="B850" i="14"/>
  <c r="B851" i="14"/>
  <c r="B852" i="14"/>
  <c r="B853" i="14"/>
  <c r="B854" i="14"/>
  <c r="B855" i="14"/>
  <c r="B856" i="14"/>
  <c r="B857" i="14"/>
  <c r="B858" i="14"/>
  <c r="B859" i="14"/>
  <c r="B860" i="14"/>
  <c r="B861" i="14"/>
  <c r="B862" i="14"/>
  <c r="B863" i="14"/>
  <c r="B864" i="14"/>
  <c r="B865" i="14"/>
  <c r="B866" i="14"/>
  <c r="B867" i="14"/>
  <c r="B868" i="14"/>
  <c r="B869" i="14"/>
  <c r="B870" i="14"/>
  <c r="B871" i="14"/>
  <c r="B872" i="14"/>
  <c r="B873" i="14"/>
  <c r="B874" i="14"/>
  <c r="B875" i="14"/>
  <c r="B876" i="14"/>
  <c r="B877" i="14"/>
  <c r="B878" i="14"/>
  <c r="B879" i="14"/>
  <c r="B880" i="14"/>
  <c r="B881" i="14"/>
  <c r="B882" i="14"/>
  <c r="B883" i="14"/>
  <c r="B884" i="14"/>
  <c r="B885" i="14"/>
  <c r="B886" i="14"/>
  <c r="B887" i="14"/>
  <c r="B888" i="14"/>
  <c r="B889" i="14"/>
  <c r="B890" i="14"/>
  <c r="B891" i="14"/>
  <c r="B892" i="14"/>
  <c r="B893" i="14"/>
  <c r="B894" i="14"/>
  <c r="B895" i="14"/>
  <c r="B896" i="14"/>
  <c r="B897" i="14"/>
  <c r="B898" i="14"/>
  <c r="B899" i="14"/>
  <c r="B900" i="14"/>
  <c r="B901" i="14"/>
  <c r="B902" i="14"/>
  <c r="B903" i="14"/>
  <c r="B904" i="14"/>
  <c r="B905" i="14"/>
  <c r="B906" i="14"/>
  <c r="B907" i="14"/>
  <c r="B908" i="14"/>
  <c r="B909" i="14"/>
  <c r="B910" i="14"/>
  <c r="B911" i="14"/>
  <c r="B912" i="14"/>
  <c r="B913" i="14"/>
  <c r="B914" i="14"/>
  <c r="B915" i="14"/>
  <c r="B916" i="14"/>
  <c r="B917" i="14"/>
  <c r="B918" i="14"/>
  <c r="B919" i="14"/>
  <c r="B920" i="14"/>
  <c r="B921" i="14"/>
  <c r="B922" i="14"/>
  <c r="B923" i="14"/>
  <c r="B924" i="14"/>
  <c r="B925" i="14"/>
  <c r="B926" i="14"/>
  <c r="B927" i="14"/>
  <c r="B928" i="14"/>
  <c r="B929" i="14"/>
  <c r="B930" i="14"/>
  <c r="B931" i="14"/>
  <c r="B932" i="14"/>
  <c r="B933" i="14"/>
  <c r="B934" i="14"/>
  <c r="B935" i="14"/>
  <c r="B936" i="14"/>
  <c r="B937" i="14"/>
  <c r="B938" i="14"/>
  <c r="B939" i="14"/>
  <c r="B940" i="14"/>
  <c r="B941" i="14"/>
  <c r="B942" i="14"/>
  <c r="B943" i="14"/>
  <c r="B944" i="14"/>
  <c r="B945" i="14"/>
  <c r="B946" i="14"/>
  <c r="B947" i="14"/>
  <c r="B948" i="14"/>
  <c r="B949" i="14"/>
  <c r="B950" i="14"/>
  <c r="B951" i="14"/>
  <c r="B952" i="14"/>
  <c r="B953" i="14"/>
  <c r="B954" i="14"/>
  <c r="B955" i="14"/>
  <c r="B956" i="14"/>
  <c r="B957" i="14"/>
  <c r="B958" i="14"/>
  <c r="B959" i="14"/>
  <c r="B960" i="14"/>
  <c r="B961" i="14"/>
  <c r="B962" i="14"/>
  <c r="B963" i="14"/>
  <c r="B964" i="14"/>
  <c r="B965" i="14"/>
  <c r="B966" i="14"/>
  <c r="B967" i="14"/>
  <c r="B968" i="14"/>
  <c r="B969" i="14"/>
  <c r="B970" i="14"/>
  <c r="B971" i="14"/>
  <c r="B972" i="14"/>
  <c r="B973" i="14"/>
  <c r="B974" i="14"/>
  <c r="B975" i="14"/>
  <c r="B976" i="14"/>
  <c r="B977" i="14"/>
  <c r="B978" i="14"/>
  <c r="B979" i="14"/>
  <c r="B980" i="14"/>
  <c r="B981" i="14"/>
  <c r="B982" i="14"/>
  <c r="B983" i="14"/>
  <c r="B984" i="14"/>
  <c r="B985" i="14"/>
  <c r="B986" i="14"/>
  <c r="B987" i="14"/>
  <c r="B988" i="14"/>
  <c r="B989" i="14"/>
  <c r="B990" i="14"/>
  <c r="B4" i="14"/>
  <c r="B5" i="14"/>
  <c r="B6" i="14"/>
  <c r="B7" i="14"/>
  <c r="B8" i="14"/>
  <c r="B9" i="14"/>
  <c r="B3" i="14"/>
  <c r="B2" i="14"/>
  <c r="E2" i="9" a="1"/>
  <c r="E2" i="9" s="1"/>
  <c r="E3" i="9" a="1"/>
  <c r="E3" i="9"/>
  <c r="E4" i="9" a="1"/>
  <c r="E4" i="9" s="1"/>
  <c r="E5" i="9" a="1"/>
  <c r="E5" i="9"/>
  <c r="E6" i="9" a="1"/>
  <c r="E6" i="9" s="1"/>
  <c r="E7" i="9" a="1"/>
  <c r="E7" i="9" s="1"/>
  <c r="E8" i="9" a="1"/>
  <c r="E8" i="9" s="1"/>
  <c r="E9" i="9" a="1"/>
  <c r="E9" i="9"/>
  <c r="E10" i="9" a="1"/>
  <c r="E10" i="9" s="1"/>
  <c r="E11" i="9" a="1"/>
  <c r="E11" i="9"/>
  <c r="E12" i="9" a="1"/>
  <c r="E12" i="9" s="1"/>
  <c r="E13" i="9" a="1"/>
  <c r="E13" i="9"/>
  <c r="E14" i="9" a="1"/>
  <c r="E14" i="9" s="1"/>
  <c r="E15" i="9" a="1"/>
  <c r="E15" i="9" s="1"/>
  <c r="E16" i="9" a="1"/>
  <c r="E16" i="9" s="1"/>
  <c r="E17" i="9" a="1"/>
  <c r="E17" i="9"/>
  <c r="E18" i="9" a="1"/>
  <c r="E18" i="9" s="1"/>
  <c r="E19" i="9" a="1"/>
  <c r="E19" i="9" s="1"/>
  <c r="E20" i="9" a="1"/>
  <c r="E20" i="9" s="1"/>
  <c r="E21" i="9" a="1"/>
  <c r="E21" i="9"/>
  <c r="E22" i="9" a="1"/>
  <c r="E22" i="9" s="1"/>
  <c r="E23" i="9" a="1"/>
  <c r="E23" i="9" s="1"/>
  <c r="E24" i="9" a="1"/>
  <c r="E24" i="9" s="1"/>
  <c r="E25" i="9" a="1"/>
  <c r="E25" i="9" s="1"/>
  <c r="E26" i="9" a="1"/>
  <c r="E26" i="9" s="1"/>
  <c r="E27" i="9" a="1"/>
  <c r="E27" i="9"/>
  <c r="E28" i="9" a="1"/>
  <c r="E28" i="9" s="1"/>
  <c r="E29" i="9" a="1"/>
  <c r="E29" i="9"/>
  <c r="E30" i="9" a="1"/>
  <c r="E30" i="9" s="1"/>
  <c r="E31" i="9" a="1"/>
  <c r="E31" i="9" s="1"/>
  <c r="E32" i="9" a="1"/>
  <c r="E32" i="9" s="1"/>
  <c r="E33" i="9" a="1"/>
  <c r="E33" i="9"/>
  <c r="E34" i="9" a="1"/>
  <c r="E34" i="9" s="1"/>
  <c r="E35" i="9" a="1"/>
  <c r="E35" i="9"/>
  <c r="E36" i="9" a="1"/>
  <c r="E36" i="9" s="1"/>
  <c r="E37" i="9" a="1"/>
  <c r="E37" i="9"/>
  <c r="E38" i="9" a="1"/>
  <c r="E38" i="9" s="1"/>
  <c r="E39" i="9" a="1"/>
  <c r="E39" i="9" s="1"/>
  <c r="E40" i="9" a="1"/>
  <c r="E40" i="9" s="1"/>
  <c r="E41" i="9" a="1"/>
  <c r="E41" i="9"/>
  <c r="E42" i="9" a="1"/>
  <c r="E42" i="9" s="1"/>
  <c r="E43" i="9" a="1"/>
  <c r="E43" i="9"/>
  <c r="E44" i="9" a="1"/>
  <c r="E44" i="9" s="1"/>
  <c r="E45" i="9" a="1"/>
  <c r="E45" i="9"/>
  <c r="E46" i="9" a="1"/>
  <c r="E46" i="9" s="1"/>
  <c r="E47" i="9" a="1"/>
  <c r="E47" i="9" s="1"/>
  <c r="E48" i="9" a="1"/>
  <c r="E48" i="9" s="1"/>
  <c r="E49" i="9" a="1"/>
  <c r="E49" i="9"/>
  <c r="E50" i="9" a="1"/>
  <c r="E50" i="9" s="1"/>
  <c r="E51" i="9" a="1"/>
  <c r="E51" i="9" s="1"/>
  <c r="E52" i="9" a="1"/>
  <c r="E52" i="9" s="1"/>
  <c r="E53" i="9" a="1"/>
  <c r="E53" i="9"/>
  <c r="E54" i="9" a="1"/>
  <c r="E54" i="9" s="1"/>
  <c r="E55" i="9" a="1"/>
  <c r="E55" i="9" s="1"/>
  <c r="E56" i="9" a="1"/>
  <c r="E56" i="9" s="1"/>
  <c r="E57" i="9" a="1"/>
  <c r="E57" i="9" s="1"/>
  <c r="E58" i="9" a="1"/>
  <c r="E58" i="9" s="1"/>
  <c r="E59" i="9" a="1"/>
  <c r="E59" i="9"/>
  <c r="E60" i="9" a="1"/>
  <c r="E60" i="9" s="1"/>
  <c r="E61" i="9" a="1"/>
  <c r="E61" i="9"/>
  <c r="E62" i="9" a="1"/>
  <c r="E62" i="9" s="1"/>
  <c r="E63" i="9" a="1"/>
  <c r="E63" i="9" s="1"/>
  <c r="E64" i="9" a="1"/>
  <c r="E64" i="9" s="1"/>
  <c r="E65" i="9" a="1"/>
  <c r="E65" i="9"/>
  <c r="E66" i="9" a="1"/>
  <c r="E66" i="9" s="1"/>
  <c r="E67" i="9" a="1"/>
  <c r="E67" i="9"/>
  <c r="E68" i="9" a="1"/>
  <c r="E68" i="9" s="1"/>
  <c r="E69" i="9" a="1"/>
  <c r="E69" i="9"/>
  <c r="E70" i="9" a="1"/>
  <c r="E70" i="9" s="1"/>
  <c r="E71" i="9" a="1"/>
  <c r="E71" i="9" s="1"/>
  <c r="E72" i="9" a="1"/>
  <c r="E72" i="9" s="1"/>
  <c r="E73" i="9" a="1"/>
  <c r="E73" i="9"/>
  <c r="E74" i="9" a="1"/>
  <c r="E74" i="9" s="1"/>
  <c r="E75" i="9" a="1"/>
  <c r="E75" i="9"/>
  <c r="E76" i="9" a="1"/>
  <c r="E76" i="9" s="1"/>
  <c r="E77" i="9" a="1"/>
  <c r="E77" i="9"/>
  <c r="E78" i="9" a="1"/>
  <c r="E78" i="9" s="1"/>
  <c r="E79" i="9" a="1"/>
  <c r="E79" i="9" s="1"/>
  <c r="E80" i="9" a="1"/>
  <c r="E80" i="9" s="1"/>
  <c r="E81" i="9" a="1"/>
  <c r="E81" i="9"/>
  <c r="E82" i="9" a="1"/>
  <c r="E82" i="9" s="1"/>
  <c r="E83" i="9" a="1"/>
  <c r="E83" i="9" s="1"/>
  <c r="E84" i="9" a="1"/>
  <c r="E84" i="9" s="1"/>
  <c r="E85" i="9" a="1"/>
  <c r="E85" i="9"/>
  <c r="E86" i="9" a="1"/>
  <c r="E86" i="9" s="1"/>
  <c r="E87" i="9" a="1"/>
  <c r="E87" i="9" s="1"/>
  <c r="E88" i="9" a="1"/>
  <c r="E88" i="9" s="1"/>
  <c r="E89" i="9" a="1"/>
  <c r="E89" i="9" s="1"/>
  <c r="E90" i="9" a="1"/>
  <c r="E90" i="9" s="1"/>
  <c r="E91" i="9" a="1"/>
  <c r="E91" i="9"/>
  <c r="E92" i="9" a="1"/>
  <c r="E92" i="9" s="1"/>
  <c r="E93" i="9" a="1"/>
  <c r="E93" i="9"/>
  <c r="E94" i="9" a="1"/>
  <c r="E94" i="9" s="1"/>
  <c r="E95" i="9" a="1"/>
  <c r="E95" i="9" s="1"/>
  <c r="E96" i="9" a="1"/>
  <c r="E96" i="9" s="1"/>
  <c r="E97" i="9" a="1"/>
  <c r="E97" i="9"/>
  <c r="E98" i="9" a="1"/>
  <c r="E98" i="9" s="1"/>
  <c r="E99" i="9" a="1"/>
  <c r="E99" i="9"/>
  <c r="E100" i="9" a="1"/>
  <c r="E100" i="9" s="1"/>
  <c r="E101" i="9" a="1"/>
  <c r="E101" i="9"/>
  <c r="E102" i="9" a="1"/>
  <c r="E102" i="9" s="1"/>
  <c r="E103" i="9" a="1"/>
  <c r="E103" i="9" s="1"/>
  <c r="E104" i="9" a="1"/>
  <c r="E104" i="9" s="1"/>
  <c r="E105" i="9" a="1"/>
  <c r="E105" i="9"/>
  <c r="E106" i="9" a="1"/>
  <c r="E106" i="9" s="1"/>
  <c r="E107" i="9" a="1"/>
  <c r="E107" i="9"/>
  <c r="E108" i="9" a="1"/>
  <c r="E108" i="9" s="1"/>
  <c r="E109" i="9" a="1"/>
  <c r="E109" i="9"/>
  <c r="E110" i="9" a="1"/>
  <c r="E110" i="9" s="1"/>
  <c r="E111" i="9" a="1"/>
  <c r="E111" i="9" s="1"/>
  <c r="E112" i="9" a="1"/>
  <c r="E112" i="9" s="1"/>
  <c r="E113" i="9" a="1"/>
  <c r="E113" i="9"/>
  <c r="E114" i="9" a="1"/>
  <c r="E114" i="9" s="1"/>
  <c r="E115" i="9" a="1"/>
  <c r="E115" i="9" s="1"/>
  <c r="E116" i="9" a="1"/>
  <c r="E116" i="9" s="1"/>
  <c r="E117" i="9" a="1"/>
  <c r="E117" i="9"/>
  <c r="E118" i="9" a="1"/>
  <c r="E118" i="9" s="1"/>
  <c r="E119" i="9" a="1"/>
  <c r="E119" i="9" s="1"/>
  <c r="E120" i="9" a="1"/>
  <c r="E120" i="9" s="1"/>
  <c r="E121" i="9" a="1"/>
  <c r="E121" i="9" s="1"/>
  <c r="E122" i="9" a="1"/>
  <c r="E122" i="9" s="1"/>
  <c r="E123" i="9" a="1"/>
  <c r="E123" i="9"/>
  <c r="E124" i="9" a="1"/>
  <c r="E124" i="9" s="1"/>
  <c r="E125" i="9" a="1"/>
  <c r="E125" i="9"/>
  <c r="E126" i="9" a="1"/>
  <c r="E126" i="9" s="1"/>
  <c r="E127" i="9" a="1"/>
  <c r="E127" i="9" s="1"/>
  <c r="E128" i="9" a="1"/>
  <c r="E128" i="9" s="1"/>
  <c r="E129" i="9" a="1"/>
  <c r="E129" i="9"/>
  <c r="E130" i="9" a="1"/>
  <c r="E130" i="9" s="1"/>
  <c r="E131" i="9" a="1"/>
  <c r="E131" i="9"/>
  <c r="E132" i="9" a="1"/>
  <c r="E132" i="9" s="1"/>
  <c r="E133" i="9" a="1"/>
  <c r="E133" i="9"/>
  <c r="E134" i="9" a="1"/>
  <c r="E134" i="9" s="1"/>
  <c r="E135" i="9" a="1"/>
  <c r="E135" i="9" s="1"/>
  <c r="E136" i="9" a="1"/>
  <c r="E136" i="9" s="1"/>
  <c r="E137" i="9" a="1"/>
  <c r="E137" i="9"/>
  <c r="E138" i="9" a="1"/>
  <c r="E138" i="9" s="1"/>
  <c r="E139" i="9" a="1"/>
  <c r="E139" i="9"/>
  <c r="E140" i="9" a="1"/>
  <c r="E140" i="9" s="1"/>
  <c r="E141" i="9" a="1"/>
  <c r="E141" i="9"/>
  <c r="E142" i="9" a="1"/>
  <c r="E142" i="9" s="1"/>
  <c r="E143" i="9" a="1"/>
  <c r="E143" i="9" s="1"/>
  <c r="E144" i="9" a="1"/>
  <c r="E144" i="9" s="1"/>
  <c r="E145" i="9" a="1"/>
  <c r="E145" i="9"/>
  <c r="E146" i="9" a="1"/>
  <c r="E146" i="9" s="1"/>
  <c r="E147" i="9" a="1"/>
  <c r="E147" i="9" s="1"/>
  <c r="E148" i="9" a="1"/>
  <c r="E148" i="9" s="1"/>
  <c r="E149" i="9" a="1"/>
  <c r="E149" i="9"/>
  <c r="E150" i="9" a="1"/>
  <c r="E150" i="9" s="1"/>
  <c r="E151" i="9" a="1"/>
  <c r="E151" i="9" s="1"/>
  <c r="E152" i="9" a="1"/>
  <c r="E152" i="9" s="1"/>
  <c r="E153" i="9" a="1"/>
  <c r="E153" i="9" s="1"/>
  <c r="E154" i="9" a="1"/>
  <c r="E154" i="9" s="1"/>
  <c r="E155" i="9" a="1"/>
  <c r="E155" i="9"/>
  <c r="E156" i="9" a="1"/>
  <c r="E156" i="9" s="1"/>
  <c r="E157" i="9" a="1"/>
  <c r="E157" i="9"/>
  <c r="E158" i="9" a="1"/>
  <c r="E158" i="9" s="1"/>
  <c r="E159" i="9" a="1"/>
  <c r="E159" i="9" s="1"/>
  <c r="E160" i="9" a="1"/>
  <c r="E160" i="9" s="1"/>
  <c r="E161" i="9" a="1"/>
  <c r="E161" i="9"/>
  <c r="E162" i="9" a="1"/>
  <c r="E162" i="9" s="1"/>
  <c r="E163" i="9" a="1"/>
  <c r="E163" i="9"/>
  <c r="E164" i="9" a="1"/>
  <c r="E164" i="9" s="1"/>
  <c r="E165" i="9" a="1"/>
  <c r="E165" i="9"/>
  <c r="E166" i="9" a="1"/>
  <c r="E166" i="9" s="1"/>
  <c r="E167" i="9" a="1"/>
  <c r="E167" i="9" s="1"/>
  <c r="E168" i="9" a="1"/>
  <c r="E168" i="9" s="1"/>
  <c r="E169" i="9" a="1"/>
  <c r="E169" i="9"/>
  <c r="E170" i="9" a="1"/>
  <c r="E170" i="9" s="1"/>
  <c r="E171" i="9" a="1"/>
  <c r="E171" i="9"/>
  <c r="E172" i="9" a="1"/>
  <c r="E172" i="9" s="1"/>
  <c r="E173" i="9" a="1"/>
  <c r="E173" i="9" s="1"/>
  <c r="E174" i="9" a="1"/>
  <c r="E174" i="9" s="1"/>
  <c r="E175" i="9" a="1"/>
  <c r="E175" i="9"/>
  <c r="E176" i="9" a="1"/>
  <c r="E176" i="9" s="1"/>
  <c r="E177" i="9" a="1"/>
  <c r="E177" i="9"/>
  <c r="E178" i="9" a="1"/>
  <c r="E178" i="9" s="1"/>
  <c r="E179" i="9" a="1"/>
  <c r="E179" i="9"/>
  <c r="E180" i="9" a="1"/>
  <c r="E180" i="9" s="1"/>
  <c r="E181" i="9" a="1"/>
  <c r="E181" i="9" s="1"/>
  <c r="E182" i="9" a="1"/>
  <c r="E182" i="9" s="1"/>
  <c r="E183" i="9" a="1"/>
  <c r="E183" i="9"/>
  <c r="E184" i="9" a="1"/>
  <c r="E184" i="9" s="1"/>
  <c r="E185" i="9" a="1"/>
  <c r="E185" i="9"/>
  <c r="E186" i="9" a="1"/>
  <c r="E186" i="9" s="1"/>
  <c r="E187" i="9" a="1"/>
  <c r="E187" i="9"/>
  <c r="E188" i="9" a="1"/>
  <c r="E188" i="9" s="1"/>
  <c r="E189" i="9" a="1"/>
  <c r="E189" i="9" s="1"/>
  <c r="E190" i="9" a="1"/>
  <c r="E190" i="9" s="1"/>
  <c r="E191" i="9" a="1"/>
  <c r="E191" i="9"/>
  <c r="E192" i="9" a="1"/>
  <c r="E192" i="9" s="1"/>
  <c r="E193" i="9" a="1"/>
  <c r="E193" i="9"/>
  <c r="E194" i="9" a="1"/>
  <c r="E194" i="9" s="1"/>
  <c r="E195" i="9" a="1"/>
  <c r="E195" i="9"/>
  <c r="E196" i="9" a="1"/>
  <c r="E196" i="9" s="1"/>
  <c r="E197" i="9" a="1"/>
  <c r="E197" i="9" s="1"/>
  <c r="E198" i="9" a="1"/>
  <c r="E198" i="9" s="1"/>
  <c r="E199" i="9" a="1"/>
  <c r="E199" i="9"/>
  <c r="E200" i="9" a="1"/>
  <c r="E200" i="9" s="1"/>
  <c r="E201" i="9" a="1"/>
  <c r="E201" i="9"/>
  <c r="E202" i="9" a="1"/>
  <c r="E202" i="9" s="1"/>
  <c r="E203" i="9" a="1"/>
  <c r="E203" i="9"/>
  <c r="E204" i="9" a="1"/>
  <c r="E204" i="9" s="1"/>
  <c r="E205" i="9" a="1"/>
  <c r="E205" i="9" s="1"/>
  <c r="E206" i="9" a="1"/>
  <c r="E206" i="9" s="1"/>
  <c r="E207" i="9" a="1"/>
  <c r="E207" i="9"/>
  <c r="E208" i="9" a="1"/>
  <c r="E208" i="9" s="1"/>
  <c r="E209" i="9" a="1"/>
  <c r="E209" i="9"/>
  <c r="E210" i="9" a="1"/>
  <c r="E210" i="9" s="1"/>
  <c r="E211" i="9" a="1"/>
  <c r="E211" i="9"/>
  <c r="E212" i="9" a="1"/>
  <c r="E212" i="9" s="1"/>
  <c r="E213" i="9" a="1"/>
  <c r="E213" i="9" s="1"/>
  <c r="E214" i="9" a="1"/>
  <c r="E214" i="9" s="1"/>
  <c r="E215" i="9" a="1"/>
  <c r="E215" i="9"/>
  <c r="E216" i="9" a="1"/>
  <c r="E216" i="9" s="1"/>
  <c r="E217" i="9" a="1"/>
  <c r="E217" i="9"/>
  <c r="E218" i="9" a="1"/>
  <c r="E218" i="9" s="1"/>
  <c r="E219" i="9" a="1"/>
  <c r="E219" i="9"/>
  <c r="E220" i="9" a="1"/>
  <c r="E220" i="9" s="1"/>
  <c r="E221" i="9" a="1"/>
  <c r="E221" i="9" s="1"/>
  <c r="E222" i="9" a="1"/>
  <c r="E222" i="9" s="1"/>
  <c r="E223" i="9" a="1"/>
  <c r="E223" i="9"/>
  <c r="E224" i="9" a="1"/>
  <c r="E224" i="9" s="1"/>
  <c r="E225" i="9" a="1"/>
  <c r="E225" i="9"/>
  <c r="E226" i="9" a="1"/>
  <c r="E226" i="9" s="1"/>
  <c r="E227" i="9" a="1"/>
  <c r="E227" i="9"/>
  <c r="E228" i="9" a="1"/>
  <c r="E228" i="9" s="1"/>
  <c r="E229" i="9" a="1"/>
  <c r="E229" i="9" s="1"/>
  <c r="E230" i="9" a="1"/>
  <c r="E230" i="9" s="1"/>
  <c r="E231" i="9" a="1"/>
  <c r="E231" i="9"/>
  <c r="E232" i="9" a="1"/>
  <c r="E232" i="9" s="1"/>
  <c r="E233" i="9" a="1"/>
  <c r="E233" i="9"/>
  <c r="E234" i="9" a="1"/>
  <c r="E234" i="9" s="1"/>
  <c r="E235" i="9" a="1"/>
  <c r="E235" i="9"/>
  <c r="E236" i="9" a="1"/>
  <c r="E236" i="9" s="1"/>
  <c r="E237" i="9" a="1"/>
  <c r="E237" i="9" s="1"/>
  <c r="E238" i="9" a="1"/>
  <c r="E238" i="9" s="1"/>
  <c r="E239" i="9" a="1"/>
  <c r="E239" i="9"/>
  <c r="E240" i="9" a="1"/>
  <c r="E240" i="9" s="1"/>
  <c r="E241" i="9" a="1"/>
  <c r="E241" i="9"/>
  <c r="E242" i="9" a="1"/>
  <c r="E242" i="9" s="1"/>
  <c r="E243" i="9" a="1"/>
  <c r="E243" i="9"/>
  <c r="E244" i="9" a="1"/>
  <c r="E244" i="9" s="1"/>
  <c r="E245" i="9" a="1"/>
  <c r="E245" i="9" s="1"/>
  <c r="E246" i="9" a="1"/>
  <c r="E246" i="9" s="1"/>
  <c r="E247" i="9" a="1"/>
  <c r="E247" i="9"/>
  <c r="E248" i="9" a="1"/>
  <c r="E248" i="9" s="1"/>
  <c r="E249" i="9" a="1"/>
  <c r="E249" i="9"/>
  <c r="E250" i="9" a="1"/>
  <c r="E250" i="9" s="1"/>
  <c r="E251" i="9" a="1"/>
  <c r="E251" i="9"/>
  <c r="E252" i="9" a="1"/>
  <c r="E252" i="9" s="1"/>
  <c r="E253" i="9" a="1"/>
  <c r="E253" i="9" s="1"/>
  <c r="E254" i="9" a="1"/>
  <c r="E254" i="9" s="1"/>
  <c r="E255" i="9" a="1"/>
  <c r="E255" i="9"/>
  <c r="E256" i="9" a="1"/>
  <c r="E256" i="9" s="1"/>
  <c r="E257" i="9" a="1"/>
  <c r="E257" i="9"/>
  <c r="E258" i="9" a="1"/>
  <c r="E258" i="9" s="1"/>
  <c r="E259" i="9" a="1"/>
  <c r="E259" i="9"/>
  <c r="E260" i="9" a="1"/>
  <c r="E260" i="9" s="1"/>
  <c r="E261" i="9" a="1"/>
  <c r="E261" i="9" s="1"/>
  <c r="E262" i="9" a="1"/>
  <c r="E262" i="9" s="1"/>
  <c r="E263" i="9" a="1"/>
  <c r="E263" i="9"/>
  <c r="E264" i="9" a="1"/>
  <c r="E264" i="9" s="1"/>
  <c r="E265" i="9" a="1"/>
  <c r="E265" i="9"/>
  <c r="E266" i="9" a="1"/>
  <c r="E266" i="9" s="1"/>
  <c r="E267" i="9" a="1"/>
  <c r="E267" i="9"/>
  <c r="E268" i="9" a="1"/>
  <c r="E268" i="9" s="1"/>
  <c r="E269" i="9" a="1"/>
  <c r="E269" i="9" s="1"/>
  <c r="E270" i="9" a="1"/>
  <c r="E270" i="9" s="1"/>
  <c r="E271" i="9" a="1"/>
  <c r="E271" i="9"/>
  <c r="E272" i="9" a="1"/>
  <c r="E272" i="9" s="1"/>
  <c r="E273" i="9" a="1"/>
  <c r="E273" i="9"/>
  <c r="E274" i="9" a="1"/>
  <c r="E274" i="9" s="1"/>
  <c r="E275" i="9" a="1"/>
  <c r="E275" i="9"/>
  <c r="E276" i="9" a="1"/>
  <c r="E276" i="9" s="1"/>
  <c r="E277" i="9" a="1"/>
  <c r="E277" i="9" s="1"/>
  <c r="E278" i="9" a="1"/>
  <c r="E278" i="9" s="1"/>
  <c r="E279" i="9" a="1"/>
  <c r="E279" i="9"/>
  <c r="E280" i="9" a="1"/>
  <c r="E280" i="9" s="1"/>
  <c r="E281" i="9" a="1"/>
  <c r="E281" i="9"/>
  <c r="E282" i="9" a="1"/>
  <c r="E282" i="9" s="1"/>
  <c r="E283" i="9" a="1"/>
  <c r="E283" i="9"/>
  <c r="E284" i="9" a="1"/>
  <c r="E284" i="9" s="1"/>
  <c r="E285" i="9" a="1"/>
  <c r="E285" i="9" s="1"/>
  <c r="E286" i="9" a="1"/>
  <c r="E286" i="9" s="1"/>
  <c r="E287" i="9" a="1"/>
  <c r="E287" i="9"/>
  <c r="E288" i="9" a="1"/>
  <c r="E288" i="9" s="1"/>
  <c r="E289" i="9" a="1"/>
  <c r="E289" i="9"/>
  <c r="E290" i="9" a="1"/>
  <c r="E290" i="9" s="1"/>
  <c r="E291" i="9" a="1"/>
  <c r="E291" i="9"/>
  <c r="E292" i="9" a="1"/>
  <c r="E292" i="9" s="1"/>
  <c r="E293" i="9" a="1"/>
  <c r="E293" i="9" s="1"/>
  <c r="E294" i="9" a="1"/>
  <c r="E294" i="9" s="1"/>
  <c r="E295" i="9" a="1"/>
  <c r="E295" i="9"/>
  <c r="E296" i="9" a="1"/>
  <c r="E296" i="9" s="1"/>
  <c r="E297" i="9" a="1"/>
  <c r="E297" i="9"/>
  <c r="E298" i="9" a="1"/>
  <c r="E298" i="9" s="1"/>
  <c r="E299" i="9" a="1"/>
  <c r="E299" i="9"/>
  <c r="E300" i="9" a="1"/>
  <c r="E300" i="9"/>
  <c r="E301" i="9" a="1"/>
  <c r="E301" i="9"/>
  <c r="E302" i="9" a="1"/>
  <c r="E302" i="9"/>
  <c r="E303" i="9" a="1"/>
  <c r="E303" i="9"/>
  <c r="E304" i="9" a="1"/>
  <c r="E304" i="9"/>
  <c r="E305" i="9" a="1"/>
  <c r="E305" i="9"/>
  <c r="E306" i="9" a="1"/>
  <c r="E306" i="9"/>
  <c r="E307" i="9" a="1"/>
  <c r="E307" i="9"/>
  <c r="E308" i="9" a="1"/>
  <c r="E308" i="9"/>
  <c r="E309" i="9" a="1"/>
  <c r="E309" i="9"/>
  <c r="E310" i="9" a="1"/>
  <c r="E310" i="9"/>
  <c r="E311" i="9" a="1"/>
  <c r="E311" i="9"/>
  <c r="E312" i="9" a="1"/>
  <c r="E312" i="9"/>
  <c r="E313" i="9" a="1"/>
  <c r="E313" i="9"/>
  <c r="E314" i="9" a="1"/>
  <c r="E314" i="9"/>
  <c r="E315" i="9" a="1"/>
  <c r="E315" i="9"/>
  <c r="E316" i="9" a="1"/>
  <c r="E316" i="9"/>
  <c r="E317" i="9" a="1"/>
  <c r="E317" i="9"/>
  <c r="E318" i="9" a="1"/>
  <c r="E318" i="9"/>
  <c r="E319" i="9" a="1"/>
  <c r="E319" i="9"/>
  <c r="E320" i="9" a="1"/>
  <c r="E320" i="9"/>
  <c r="E321" i="9" a="1"/>
  <c r="E321" i="9"/>
  <c r="E322" i="9" a="1"/>
  <c r="E322" i="9"/>
  <c r="E323" i="9" a="1"/>
  <c r="E323" i="9"/>
  <c r="E324" i="9" a="1"/>
  <c r="E324" i="9"/>
  <c r="E325" i="9" a="1"/>
  <c r="E325" i="9"/>
  <c r="E326" i="9" a="1"/>
  <c r="E326" i="9"/>
  <c r="E327" i="9" a="1"/>
  <c r="E327" i="9"/>
  <c r="E328" i="9" a="1"/>
  <c r="E328" i="9"/>
  <c r="E329" i="9" a="1"/>
  <c r="E329" i="9"/>
  <c r="E330" i="9" a="1"/>
  <c r="E330" i="9"/>
  <c r="E331" i="9" a="1"/>
  <c r="E331" i="9"/>
  <c r="E332" i="9" a="1"/>
  <c r="E332" i="9"/>
  <c r="E333" i="9" a="1"/>
  <c r="E333" i="9"/>
  <c r="E334" i="9" a="1"/>
  <c r="E334" i="9"/>
  <c r="E335" i="9" a="1"/>
  <c r="E335" i="9"/>
  <c r="E336" i="9" a="1"/>
  <c r="E336" i="9"/>
  <c r="E337" i="9" a="1"/>
  <c r="E337" i="9"/>
  <c r="E338" i="9" a="1"/>
  <c r="E338" i="9"/>
  <c r="E339" i="9" a="1"/>
  <c r="E339" i="9"/>
  <c r="E340" i="9" a="1"/>
  <c r="E340" i="9"/>
  <c r="E341" i="9" a="1"/>
  <c r="E341" i="9"/>
  <c r="E342" i="9" a="1"/>
  <c r="E342" i="9"/>
  <c r="E343" i="9" a="1"/>
  <c r="E343" i="9"/>
  <c r="E344" i="9" a="1"/>
  <c r="E344" i="9"/>
  <c r="E345" i="9" a="1"/>
  <c r="E345" i="9"/>
  <c r="E346" i="9" a="1"/>
  <c r="E346" i="9"/>
  <c r="E347" i="9" a="1"/>
  <c r="E347" i="9"/>
  <c r="E348" i="9" a="1"/>
  <c r="E348" i="9"/>
  <c r="E349" i="9" a="1"/>
  <c r="E349" i="9"/>
  <c r="E350" i="9" a="1"/>
  <c r="E350" i="9"/>
  <c r="E351" i="9" a="1"/>
  <c r="E351" i="9"/>
  <c r="E352" i="9" a="1"/>
  <c r="E352" i="9"/>
  <c r="E353" i="9" a="1"/>
  <c r="E353" i="9"/>
  <c r="E354" i="9" a="1"/>
  <c r="E354" i="9"/>
  <c r="E355" i="9" a="1"/>
  <c r="E355" i="9"/>
  <c r="E356" i="9" a="1"/>
  <c r="E356" i="9"/>
  <c r="E357" i="9" a="1"/>
  <c r="E357" i="9"/>
  <c r="E358" i="9" a="1"/>
  <c r="E358" i="9"/>
  <c r="E359" i="9" a="1"/>
  <c r="E359" i="9"/>
  <c r="E360" i="9" a="1"/>
  <c r="E360" i="9"/>
  <c r="E361" i="9" a="1"/>
  <c r="E361" i="9"/>
  <c r="E362" i="9" a="1"/>
  <c r="E362" i="9"/>
  <c r="E363" i="9" a="1"/>
  <c r="E363" i="9"/>
  <c r="E364" i="9" a="1"/>
  <c r="E364" i="9"/>
  <c r="E365" i="9" a="1"/>
  <c r="E365" i="9"/>
  <c r="E366" i="9" a="1"/>
  <c r="E366" i="9"/>
  <c r="E367" i="9" a="1"/>
  <c r="E367" i="9"/>
  <c r="E368" i="9" a="1"/>
  <c r="E368" i="9"/>
  <c r="E369" i="9" a="1"/>
  <c r="E369" i="9"/>
  <c r="E370" i="9" a="1"/>
  <c r="E370" i="9"/>
  <c r="E371" i="9" a="1"/>
  <c r="E371" i="9"/>
  <c r="E372" i="9" a="1"/>
  <c r="E372" i="9"/>
  <c r="E373" i="9" a="1"/>
  <c r="E373" i="9"/>
  <c r="E374" i="9" a="1"/>
  <c r="E374" i="9"/>
  <c r="E375" i="9" a="1"/>
  <c r="E375" i="9"/>
  <c r="E376" i="9" a="1"/>
  <c r="E376" i="9"/>
  <c r="E377" i="9" a="1"/>
  <c r="E377" i="9"/>
  <c r="E378" i="9" a="1"/>
  <c r="E378" i="9"/>
  <c r="E379" i="9" a="1"/>
  <c r="E379" i="9"/>
  <c r="E380" i="9" a="1"/>
  <c r="E380" i="9"/>
  <c r="E381" i="9" a="1"/>
  <c r="E381" i="9"/>
  <c r="E382" i="9" a="1"/>
  <c r="E382" i="9"/>
  <c r="E383" i="9" a="1"/>
  <c r="E383" i="9"/>
  <c r="E384" i="9" a="1"/>
  <c r="E384" i="9"/>
  <c r="E385" i="9" a="1"/>
  <c r="E385" i="9"/>
  <c r="E386" i="9" a="1"/>
  <c r="E386" i="9"/>
  <c r="E387" i="9" a="1"/>
  <c r="E387" i="9"/>
  <c r="E388" i="9" a="1"/>
  <c r="E388" i="9"/>
  <c r="E389" i="9" a="1"/>
  <c r="E389" i="9"/>
  <c r="E390" i="9" a="1"/>
  <c r="E390" i="9"/>
  <c r="E391" i="9" a="1"/>
  <c r="E391" i="9"/>
  <c r="E392" i="9" a="1"/>
  <c r="E392" i="9"/>
  <c r="E393" i="9" a="1"/>
  <c r="E393" i="9"/>
  <c r="E394" i="9" a="1"/>
  <c r="E394" i="9"/>
  <c r="E395" i="9" a="1"/>
  <c r="E395" i="9"/>
  <c r="E396" i="9" a="1"/>
  <c r="E396" i="9"/>
  <c r="E397" i="9" a="1"/>
  <c r="E397" i="9"/>
  <c r="E398" i="9" a="1"/>
  <c r="E398" i="9"/>
  <c r="E399" i="9" a="1"/>
  <c r="E399" i="9"/>
  <c r="E400" i="9" a="1"/>
  <c r="E400" i="9"/>
  <c r="E401" i="9" a="1"/>
  <c r="E401" i="9"/>
  <c r="E402" i="9" a="1"/>
  <c r="E402" i="9"/>
  <c r="E403" i="9" a="1"/>
  <c r="E403" i="9"/>
  <c r="E404" i="9" a="1"/>
  <c r="E404" i="9"/>
  <c r="E405" i="9" a="1"/>
  <c r="E405" i="9"/>
  <c r="E406" i="9" a="1"/>
  <c r="E406" i="9"/>
  <c r="E407" i="9" a="1"/>
  <c r="E407" i="9"/>
  <c r="E408" i="9" a="1"/>
  <c r="E408" i="9"/>
  <c r="E409" i="9" a="1"/>
  <c r="E409" i="9"/>
  <c r="E410" i="9" a="1"/>
  <c r="E410" i="9"/>
  <c r="E411" i="9" a="1"/>
  <c r="E411" i="9"/>
  <c r="E412" i="9" a="1"/>
  <c r="E412" i="9"/>
  <c r="E413" i="9" a="1"/>
  <c r="E413" i="9"/>
  <c r="E414" i="9" a="1"/>
  <c r="E414" i="9"/>
  <c r="E415" i="9" a="1"/>
  <c r="E415" i="9"/>
  <c r="E416" i="9" a="1"/>
  <c r="E416" i="9"/>
  <c r="E417" i="9" a="1"/>
  <c r="E417" i="9"/>
  <c r="E418" i="9" a="1"/>
  <c r="E418" i="9"/>
  <c r="E419" i="9" a="1"/>
  <c r="E419" i="9"/>
  <c r="E420" i="9" a="1"/>
  <c r="E420" i="9"/>
  <c r="E421" i="9" a="1"/>
  <c r="E421" i="9"/>
  <c r="E422" i="9" a="1"/>
  <c r="E422" i="9"/>
  <c r="E423" i="9" a="1"/>
  <c r="E423" i="9"/>
  <c r="E424" i="9" a="1"/>
  <c r="E424" i="9"/>
  <c r="E425" i="9" a="1"/>
  <c r="E425" i="9"/>
  <c r="E426" i="9" a="1"/>
  <c r="E426" i="9"/>
  <c r="E427" i="9" a="1"/>
  <c r="E427" i="9"/>
  <c r="E428" i="9" a="1"/>
  <c r="E428" i="9"/>
  <c r="E429" i="9" a="1"/>
  <c r="E429" i="9"/>
  <c r="E430" i="9" a="1"/>
  <c r="E430" i="9"/>
  <c r="E431" i="9" a="1"/>
  <c r="E431" i="9"/>
  <c r="E432" i="9" a="1"/>
  <c r="E432" i="9"/>
  <c r="E433" i="9" a="1"/>
  <c r="E433" i="9"/>
  <c r="E434" i="9" a="1"/>
  <c r="E434" i="9"/>
  <c r="E435" i="9" a="1"/>
  <c r="E435" i="9"/>
  <c r="E436" i="9" a="1"/>
  <c r="E436" i="9"/>
  <c r="E437" i="9" a="1"/>
  <c r="E437" i="9"/>
  <c r="E438" i="9" a="1"/>
  <c r="E438" i="9"/>
  <c r="E439" i="9" a="1"/>
  <c r="E439" i="9"/>
  <c r="E440" i="9" a="1"/>
  <c r="E440" i="9"/>
  <c r="E441" i="9" a="1"/>
  <c r="E441" i="9"/>
  <c r="E442" i="9" a="1"/>
  <c r="E442" i="9"/>
  <c r="E443" i="9" a="1"/>
  <c r="E443" i="9"/>
  <c r="E444" i="9" a="1"/>
  <c r="E444" i="9"/>
  <c r="E445" i="9" a="1"/>
  <c r="E445" i="9"/>
  <c r="E446" i="9" a="1"/>
  <c r="E446" i="9"/>
  <c r="E447" i="9" a="1"/>
  <c r="E447" i="9"/>
  <c r="E448" i="9" a="1"/>
  <c r="E448" i="9"/>
  <c r="E449" i="9" a="1"/>
  <c r="E449" i="9"/>
  <c r="E450" i="9" a="1"/>
  <c r="E450" i="9"/>
  <c r="E451" i="9" a="1"/>
  <c r="E451" i="9"/>
  <c r="E452" i="9" a="1"/>
  <c r="E452" i="9"/>
  <c r="E453" i="9" a="1"/>
  <c r="E453" i="9"/>
  <c r="E454" i="9" a="1"/>
  <c r="E454" i="9"/>
  <c r="E455" i="9" a="1"/>
  <c r="E455" i="9"/>
  <c r="E456" i="9" a="1"/>
  <c r="E456" i="9"/>
  <c r="E457" i="9" a="1"/>
  <c r="E457" i="9"/>
  <c r="E458" i="9" a="1"/>
  <c r="E458" i="9"/>
  <c r="E459" i="9" a="1"/>
  <c r="E459" i="9"/>
  <c r="E460" i="9" a="1"/>
  <c r="E460" i="9"/>
  <c r="E461" i="9" a="1"/>
  <c r="E461" i="9"/>
  <c r="E462" i="9" a="1"/>
  <c r="E462" i="9"/>
  <c r="E463" i="9" a="1"/>
  <c r="E463" i="9"/>
  <c r="E464" i="9" a="1"/>
  <c r="E464" i="9"/>
  <c r="E465" i="9" a="1"/>
  <c r="E465" i="9"/>
  <c r="E466" i="9" a="1"/>
  <c r="E466" i="9"/>
  <c r="E467" i="9" a="1"/>
  <c r="E467" i="9"/>
  <c r="E468" i="9" a="1"/>
  <c r="E468" i="9"/>
  <c r="E469" i="9" a="1"/>
  <c r="E469" i="9"/>
  <c r="E470" i="9" a="1"/>
  <c r="E470" i="9"/>
  <c r="E471" i="9" a="1"/>
  <c r="E471" i="9"/>
  <c r="E472" i="9" a="1"/>
  <c r="E472" i="9"/>
  <c r="E473" i="9" a="1"/>
  <c r="E473" i="9"/>
  <c r="E474" i="9" a="1"/>
  <c r="E474" i="9"/>
  <c r="E475" i="9" a="1"/>
  <c r="E475" i="9"/>
  <c r="E476" i="9" a="1"/>
  <c r="E476" i="9"/>
  <c r="E477" i="9" a="1"/>
  <c r="E477" i="9"/>
  <c r="E478" i="9" a="1"/>
  <c r="E478" i="9"/>
  <c r="E479" i="9" a="1"/>
  <c r="E479" i="9"/>
  <c r="E480" i="9" a="1"/>
  <c r="E480" i="9"/>
  <c r="E481" i="9" a="1"/>
  <c r="E481" i="9"/>
  <c r="E482" i="9" a="1"/>
  <c r="E482" i="9"/>
  <c r="E483" i="9" a="1"/>
  <c r="E483" i="9"/>
  <c r="E484" i="9" a="1"/>
  <c r="E484" i="9"/>
  <c r="E485" i="9" a="1"/>
  <c r="E485" i="9"/>
  <c r="E486" i="9" a="1"/>
  <c r="E486" i="9"/>
  <c r="E487" i="9" a="1"/>
  <c r="E487" i="9"/>
  <c r="E488" i="9" a="1"/>
  <c r="E488" i="9"/>
  <c r="E489" i="9" a="1"/>
  <c r="E489" i="9"/>
  <c r="E490" i="9" a="1"/>
  <c r="E490" i="9"/>
  <c r="E491" i="9" a="1"/>
  <c r="E491" i="9"/>
  <c r="E492" i="9" a="1"/>
  <c r="E492" i="9"/>
  <c r="E493" i="9" a="1"/>
  <c r="E493" i="9"/>
  <c r="E494" i="9" a="1"/>
  <c r="E494" i="9"/>
  <c r="E495" i="9" a="1"/>
  <c r="E495" i="9"/>
  <c r="E496" i="9" a="1"/>
  <c r="E496" i="9"/>
  <c r="E497" i="9" a="1"/>
  <c r="E497" i="9"/>
  <c r="E498" i="9" a="1"/>
  <c r="E498" i="9"/>
  <c r="E499" i="9" a="1"/>
  <c r="E499" i="9"/>
  <c r="E500" i="9" a="1"/>
  <c r="E500" i="9"/>
  <c r="E501" i="9" a="1"/>
  <c r="E501" i="9"/>
  <c r="E502" i="9" a="1"/>
  <c r="E502" i="9"/>
  <c r="E503" i="9" a="1"/>
  <c r="E503" i="9"/>
  <c r="E504" i="9" a="1"/>
  <c r="E504" i="9"/>
  <c r="E505" i="9" a="1"/>
  <c r="E505" i="9"/>
  <c r="E506" i="9" a="1"/>
  <c r="E506" i="9"/>
  <c r="E507" i="9" a="1"/>
  <c r="E507" i="9"/>
  <c r="E508" i="9" a="1"/>
  <c r="E508" i="9"/>
  <c r="E509" i="9" a="1"/>
  <c r="E509" i="9"/>
  <c r="E510" i="9" a="1"/>
  <c r="E510" i="9"/>
  <c r="E511" i="9" a="1"/>
  <c r="E511" i="9"/>
  <c r="E512" i="9" a="1"/>
  <c r="E512" i="9"/>
  <c r="E513" i="9" a="1"/>
  <c r="E513" i="9"/>
  <c r="E514" i="9" a="1"/>
  <c r="E514" i="9"/>
  <c r="E515" i="9" a="1"/>
  <c r="E515" i="9"/>
  <c r="E516" i="9" a="1"/>
  <c r="E516" i="9"/>
  <c r="E517" i="9" a="1"/>
  <c r="E517" i="9"/>
  <c r="E518" i="9" a="1"/>
  <c r="E518" i="9"/>
  <c r="E519" i="9" a="1"/>
  <c r="E519" i="9"/>
  <c r="E520" i="9" a="1"/>
  <c r="E520" i="9"/>
  <c r="E521" i="9" a="1"/>
  <c r="E521" i="9"/>
  <c r="E522" i="9" a="1"/>
  <c r="E522" i="9"/>
  <c r="E523" i="9" a="1"/>
  <c r="E523" i="9"/>
  <c r="E524" i="9" a="1"/>
  <c r="E524" i="9"/>
  <c r="E525" i="9" a="1"/>
  <c r="E525" i="9"/>
  <c r="E526" i="9" a="1"/>
  <c r="E526" i="9"/>
  <c r="E527" i="9" a="1"/>
  <c r="E527" i="9"/>
  <c r="E528" i="9" a="1"/>
  <c r="E528" i="9"/>
  <c r="E529" i="9" a="1"/>
  <c r="E529" i="9"/>
  <c r="E530" i="9" a="1"/>
  <c r="E530" i="9"/>
  <c r="E531" i="9" a="1"/>
  <c r="E531" i="9"/>
  <c r="E532" i="9" a="1"/>
  <c r="E532" i="9"/>
  <c r="E533" i="9" a="1"/>
  <c r="E533" i="9"/>
  <c r="E534" i="9" a="1"/>
  <c r="E534" i="9"/>
  <c r="E535" i="9" a="1"/>
  <c r="E535" i="9"/>
  <c r="E536" i="9" a="1"/>
  <c r="E536" i="9"/>
  <c r="E537" i="9" a="1"/>
  <c r="E537" i="9"/>
  <c r="E538" i="9" a="1"/>
  <c r="E538" i="9"/>
  <c r="E539" i="9" a="1"/>
  <c r="E539" i="9"/>
  <c r="E540" i="9" a="1"/>
  <c r="E540" i="9"/>
  <c r="E541" i="9" a="1"/>
  <c r="E541" i="9"/>
  <c r="E542" i="9" a="1"/>
  <c r="E542" i="9"/>
  <c r="E543" i="9" a="1"/>
  <c r="E543" i="9"/>
  <c r="E544" i="9" a="1"/>
  <c r="E544" i="9"/>
  <c r="E545" i="9" a="1"/>
  <c r="E545" i="9"/>
  <c r="E546" i="9" a="1"/>
  <c r="E546" i="9"/>
  <c r="E547" i="9" a="1"/>
  <c r="E547" i="9"/>
  <c r="E548" i="9" a="1"/>
  <c r="E548" i="9"/>
  <c r="E549" i="9" a="1"/>
  <c r="E549" i="9"/>
  <c r="E550" i="9" a="1"/>
  <c r="E550" i="9"/>
  <c r="E551" i="9" a="1"/>
  <c r="E551" i="9"/>
  <c r="E552" i="9" a="1"/>
  <c r="E552" i="9"/>
  <c r="E553" i="9" a="1"/>
  <c r="E553" i="9"/>
  <c r="E554" i="9" a="1"/>
  <c r="E554" i="9"/>
  <c r="E555" i="9" a="1"/>
  <c r="E555" i="9"/>
  <c r="E556" i="9" a="1"/>
  <c r="E556" i="9"/>
  <c r="E557" i="9" a="1"/>
  <c r="E557" i="9"/>
  <c r="E558" i="9" a="1"/>
  <c r="E558" i="9"/>
  <c r="E559" i="9" a="1"/>
  <c r="E559" i="9"/>
  <c r="E560" i="9" a="1"/>
  <c r="E560" i="9"/>
  <c r="E561" i="9" a="1"/>
  <c r="E561" i="9"/>
  <c r="E562" i="9" a="1"/>
  <c r="E562" i="9"/>
  <c r="E563" i="9" a="1"/>
  <c r="E563" i="9"/>
  <c r="E564" i="9" a="1"/>
  <c r="E564" i="9"/>
  <c r="E565" i="9" a="1"/>
  <c r="E565" i="9"/>
  <c r="E566" i="9" a="1"/>
  <c r="E566" i="9"/>
  <c r="E567" i="9" a="1"/>
  <c r="E567" i="9"/>
  <c r="E568" i="9" a="1"/>
  <c r="E568" i="9"/>
  <c r="E569" i="9" a="1"/>
  <c r="E569" i="9"/>
  <c r="E570" i="9" a="1"/>
  <c r="E570" i="9"/>
  <c r="E571" i="9" a="1"/>
  <c r="E571" i="9"/>
  <c r="E572" i="9" a="1"/>
  <c r="E572" i="9"/>
  <c r="E573" i="9" a="1"/>
  <c r="E573" i="9"/>
  <c r="E574" i="9" a="1"/>
  <c r="E574" i="9"/>
  <c r="E575" i="9" a="1"/>
  <c r="E575" i="9"/>
  <c r="E576" i="9" a="1"/>
  <c r="E576" i="9"/>
  <c r="E577" i="9" a="1"/>
  <c r="E577" i="9"/>
  <c r="E578" i="9" a="1"/>
  <c r="E578" i="9"/>
  <c r="E579" i="9" a="1"/>
  <c r="E579" i="9"/>
  <c r="E580" i="9" a="1"/>
  <c r="E580" i="9"/>
  <c r="E581" i="9" a="1"/>
  <c r="E581" i="9"/>
  <c r="E582" i="9" a="1"/>
  <c r="E582" i="9"/>
  <c r="E583" i="9" a="1"/>
  <c r="E583" i="9"/>
  <c r="E584" i="9" a="1"/>
  <c r="E584" i="9"/>
  <c r="E585" i="9" a="1"/>
  <c r="E585" i="9"/>
  <c r="E586" i="9" a="1"/>
  <c r="E586" i="9"/>
  <c r="E587" i="9" a="1"/>
  <c r="E587" i="9"/>
  <c r="E588" i="9" a="1"/>
  <c r="E588" i="9"/>
  <c r="E589" i="9" a="1"/>
  <c r="E589" i="9"/>
  <c r="E590" i="9" a="1"/>
  <c r="E590" i="9"/>
  <c r="E591" i="9" a="1"/>
  <c r="E591" i="9"/>
  <c r="E592" i="9" a="1"/>
  <c r="E592" i="9"/>
  <c r="E593" i="9" a="1"/>
  <c r="E593" i="9"/>
  <c r="E594" i="9" a="1"/>
  <c r="E594" i="9"/>
  <c r="E595" i="9" a="1"/>
  <c r="E595" i="9"/>
  <c r="E596" i="9" a="1"/>
  <c r="E596" i="9"/>
  <c r="E597" i="9" a="1"/>
  <c r="E597" i="9"/>
  <c r="E598" i="9" a="1"/>
  <c r="E598" i="9"/>
  <c r="E599" i="9" a="1"/>
  <c r="E599" i="9"/>
  <c r="E600" i="9" a="1"/>
  <c r="E600" i="9"/>
  <c r="E601" i="9" a="1"/>
  <c r="E601" i="9"/>
  <c r="E602" i="9" a="1"/>
  <c r="E602" i="9"/>
  <c r="E603" i="9" a="1"/>
  <c r="E603" i="9"/>
  <c r="E604" i="9" a="1"/>
  <c r="E604" i="9"/>
  <c r="E605" i="9" a="1"/>
  <c r="E605" i="9"/>
  <c r="E606" i="9" a="1"/>
  <c r="E606" i="9"/>
  <c r="E607" i="9" a="1"/>
  <c r="E607" i="9"/>
  <c r="E608" i="9" a="1"/>
  <c r="E608" i="9"/>
  <c r="E609" i="9" a="1"/>
  <c r="E609" i="9"/>
  <c r="E610" i="9" a="1"/>
  <c r="E610" i="9"/>
  <c r="E611" i="9" a="1"/>
  <c r="E611" i="9"/>
  <c r="E612" i="9" a="1"/>
  <c r="E612" i="9"/>
  <c r="E613" i="9" a="1"/>
  <c r="E613" i="9"/>
  <c r="E614" i="9" a="1"/>
  <c r="E614" i="9"/>
  <c r="E615" i="9" a="1"/>
  <c r="E615" i="9"/>
  <c r="E616" i="9" a="1"/>
  <c r="E616" i="9"/>
  <c r="E617" i="9" a="1"/>
  <c r="E617" i="9"/>
  <c r="E618" i="9" a="1"/>
  <c r="E618" i="9"/>
  <c r="E619" i="9" a="1"/>
  <c r="E619" i="9"/>
  <c r="E620" i="9" a="1"/>
  <c r="E620" i="9"/>
  <c r="E621" i="9" a="1"/>
  <c r="E621" i="9"/>
  <c r="E622" i="9" a="1"/>
  <c r="E622" i="9"/>
  <c r="E623" i="9" a="1"/>
  <c r="E623" i="9"/>
  <c r="E624" i="9" a="1"/>
  <c r="E624" i="9"/>
  <c r="E625" i="9" a="1"/>
  <c r="E625" i="9"/>
  <c r="E626" i="9" a="1"/>
  <c r="E626" i="9"/>
  <c r="E627" i="9" a="1"/>
  <c r="E627" i="9"/>
  <c r="E628" i="9" a="1"/>
  <c r="E628" i="9"/>
  <c r="E629" i="9" a="1"/>
  <c r="E629" i="9"/>
  <c r="E630" i="9" a="1"/>
  <c r="E630" i="9"/>
  <c r="E631" i="9" a="1"/>
  <c r="E631" i="9"/>
  <c r="E632" i="9" a="1"/>
  <c r="E632" i="9"/>
  <c r="E633" i="9" a="1"/>
  <c r="E633" i="9"/>
  <c r="E634" i="9" a="1"/>
  <c r="E634" i="9"/>
  <c r="E635" i="9" a="1"/>
  <c r="E635" i="9"/>
  <c r="E636" i="9" a="1"/>
  <c r="E636" i="9"/>
  <c r="E637" i="9" a="1"/>
  <c r="E637" i="9"/>
  <c r="E638" i="9" a="1"/>
  <c r="E638" i="9"/>
  <c r="E639" i="9" a="1"/>
  <c r="E639" i="9"/>
  <c r="E640" i="9" a="1"/>
  <c r="E640" i="9"/>
  <c r="E641" i="9" a="1"/>
  <c r="E641" i="9"/>
  <c r="E642" i="9" a="1"/>
  <c r="E642" i="9"/>
  <c r="E643" i="9" a="1"/>
  <c r="E643" i="9"/>
  <c r="E644" i="9" a="1"/>
  <c r="E644" i="9"/>
  <c r="E645" i="9" a="1"/>
  <c r="E645" i="9"/>
  <c r="E646" i="9" a="1"/>
  <c r="E646" i="9"/>
  <c r="E647" i="9" a="1"/>
  <c r="E647" i="9"/>
  <c r="E648" i="9" a="1"/>
  <c r="E648" i="9"/>
  <c r="E649" i="9" a="1"/>
  <c r="E649" i="9"/>
  <c r="E650" i="9" a="1"/>
  <c r="E650" i="9"/>
  <c r="E651" i="9" a="1"/>
  <c r="E651" i="9"/>
  <c r="E652" i="9" a="1"/>
  <c r="E652" i="9"/>
  <c r="E653" i="9" a="1"/>
  <c r="E653" i="9"/>
  <c r="E654" i="9" a="1"/>
  <c r="E654" i="9"/>
  <c r="E655" i="9" a="1"/>
  <c r="E655" i="9"/>
  <c r="E656" i="9" a="1"/>
  <c r="E656" i="9"/>
  <c r="E657" i="9" a="1"/>
  <c r="E657" i="9"/>
  <c r="E658" i="9" a="1"/>
  <c r="E658" i="9"/>
  <c r="E659" i="9" a="1"/>
  <c r="E659" i="9"/>
  <c r="E660" i="9" a="1"/>
  <c r="E660" i="9"/>
  <c r="E661" i="9" a="1"/>
  <c r="E661" i="9"/>
  <c r="E662" i="9" a="1"/>
  <c r="E662" i="9"/>
  <c r="E663" i="9" a="1"/>
  <c r="E663" i="9"/>
  <c r="E664" i="9" a="1"/>
  <c r="E664" i="9"/>
  <c r="E665" i="9" a="1"/>
  <c r="E665" i="9"/>
  <c r="E666" i="9" a="1"/>
  <c r="E666" i="9"/>
  <c r="E667" i="9" a="1"/>
  <c r="E667" i="9"/>
  <c r="E668" i="9" a="1"/>
  <c r="E668" i="9"/>
  <c r="E669" i="9" a="1"/>
  <c r="E669" i="9"/>
  <c r="E670" i="9" a="1"/>
  <c r="E670" i="9"/>
  <c r="E671" i="9" a="1"/>
  <c r="E671" i="9"/>
  <c r="E672" i="9" a="1"/>
  <c r="E672" i="9"/>
  <c r="E673" i="9" a="1"/>
  <c r="E673" i="9"/>
  <c r="E674" i="9" a="1"/>
  <c r="E674" i="9"/>
  <c r="E675" i="9" a="1"/>
  <c r="E675" i="9"/>
  <c r="E676" i="9" a="1"/>
  <c r="E676" i="9"/>
  <c r="E677" i="9" a="1"/>
  <c r="E677" i="9"/>
  <c r="E678" i="9" a="1"/>
  <c r="E678" i="9"/>
  <c r="E679" i="9" a="1"/>
  <c r="E679" i="9"/>
  <c r="E680" i="9" a="1"/>
  <c r="E680" i="9"/>
  <c r="E681" i="9" a="1"/>
  <c r="E681" i="9"/>
  <c r="E682" i="9" a="1"/>
  <c r="E682" i="9"/>
  <c r="E683" i="9" a="1"/>
  <c r="E683" i="9"/>
  <c r="E684" i="9" a="1"/>
  <c r="E684" i="9"/>
  <c r="E685" i="9" a="1"/>
  <c r="E685" i="9"/>
  <c r="E686" i="9" a="1"/>
  <c r="E686" i="9"/>
  <c r="E687" i="9" a="1"/>
  <c r="E687" i="9"/>
  <c r="E688" i="9" a="1"/>
  <c r="E688" i="9"/>
  <c r="E689" i="9" a="1"/>
  <c r="E689" i="9"/>
  <c r="E690" i="9" a="1"/>
  <c r="E690" i="9"/>
  <c r="E691" i="9" a="1"/>
  <c r="E691" i="9"/>
  <c r="E692" i="9" a="1"/>
  <c r="E692" i="9"/>
  <c r="E693" i="9" a="1"/>
  <c r="E693" i="9"/>
  <c r="E694" i="9" a="1"/>
  <c r="E694" i="9"/>
  <c r="E695" i="9" a="1"/>
  <c r="E695" i="9"/>
  <c r="E696" i="9" a="1"/>
  <c r="E696" i="9"/>
  <c r="E697" i="9" a="1"/>
  <c r="E697" i="9"/>
  <c r="E698" i="9" a="1"/>
  <c r="E698" i="9"/>
  <c r="E699" i="9" a="1"/>
  <c r="E699" i="9"/>
  <c r="E700" i="9" a="1"/>
  <c r="E700" i="9"/>
  <c r="E701" i="9" a="1"/>
  <c r="E701" i="9"/>
  <c r="E702" i="9" a="1"/>
  <c r="E702" i="9"/>
  <c r="E703" i="9" a="1"/>
  <c r="E703" i="9"/>
  <c r="E704" i="9" a="1"/>
  <c r="E704" i="9"/>
  <c r="E705" i="9" a="1"/>
  <c r="E705" i="9"/>
  <c r="E706" i="9" a="1"/>
  <c r="E706" i="9"/>
  <c r="E707" i="9" a="1"/>
  <c r="E707" i="9"/>
  <c r="E708" i="9" a="1"/>
  <c r="E708" i="9"/>
  <c r="E709" i="9" a="1"/>
  <c r="E709" i="9"/>
  <c r="E710" i="9" a="1"/>
  <c r="E710" i="9"/>
  <c r="E711" i="9" a="1"/>
  <c r="E711" i="9"/>
  <c r="E712" i="9" a="1"/>
  <c r="E712" i="9"/>
  <c r="E713" i="9" a="1"/>
  <c r="E713" i="9"/>
  <c r="E714" i="9" a="1"/>
  <c r="E714" i="9"/>
  <c r="E715" i="9" a="1"/>
  <c r="E715" i="9"/>
  <c r="E716" i="9" a="1"/>
  <c r="E716" i="9"/>
  <c r="E717" i="9" a="1"/>
  <c r="E717" i="9"/>
  <c r="E718" i="9" a="1"/>
  <c r="E718" i="9"/>
  <c r="E719" i="9" a="1"/>
  <c r="E719" i="9"/>
  <c r="E720" i="9" a="1"/>
  <c r="E720" i="9"/>
  <c r="E721" i="9" a="1"/>
  <c r="E721" i="9"/>
  <c r="E722" i="9" a="1"/>
  <c r="E722" i="9"/>
  <c r="E723" i="9" a="1"/>
  <c r="E723" i="9"/>
  <c r="E724" i="9" a="1"/>
  <c r="E724" i="9"/>
  <c r="E725" i="9" a="1"/>
  <c r="E725" i="9"/>
  <c r="E726" i="9" a="1"/>
  <c r="E726" i="9"/>
  <c r="E727" i="9" a="1"/>
  <c r="E727" i="9"/>
  <c r="E728" i="9" a="1"/>
  <c r="E728" i="9"/>
  <c r="E729" i="9" a="1"/>
  <c r="E729" i="9"/>
  <c r="E730" i="9" a="1"/>
  <c r="E730" i="9"/>
  <c r="E731" i="9" a="1"/>
  <c r="E731" i="9"/>
  <c r="E732" i="9" a="1"/>
  <c r="E732" i="9"/>
  <c r="E733" i="9" a="1"/>
  <c r="E733" i="9"/>
  <c r="E734" i="9" a="1"/>
  <c r="E734" i="9"/>
  <c r="E735" i="9" a="1"/>
  <c r="E735" i="9"/>
  <c r="E736" i="9" a="1"/>
  <c r="E736" i="9"/>
  <c r="E737" i="9" a="1"/>
  <c r="E737" i="9"/>
  <c r="E738" i="9" a="1"/>
  <c r="E738" i="9"/>
  <c r="E739" i="9" a="1"/>
  <c r="E739" i="9"/>
  <c r="E740" i="9" a="1"/>
  <c r="E740" i="9"/>
  <c r="E741" i="9" a="1"/>
  <c r="E741" i="9"/>
  <c r="E742" i="9" a="1"/>
  <c r="E742" i="9"/>
  <c r="E743" i="9" a="1"/>
  <c r="E743" i="9"/>
  <c r="E744" i="9" a="1"/>
  <c r="E744" i="9"/>
  <c r="E745" i="9" a="1"/>
  <c r="E745" i="9"/>
  <c r="E746" i="9" a="1"/>
  <c r="E746" i="9"/>
  <c r="E747" i="9" a="1"/>
  <c r="E747" i="9"/>
  <c r="E748" i="9" a="1"/>
  <c r="E748" i="9"/>
  <c r="E749" i="9" a="1"/>
  <c r="E749" i="9"/>
  <c r="E750" i="9" a="1"/>
  <c r="E750" i="9"/>
  <c r="E751" i="9" a="1"/>
  <c r="E751" i="9"/>
  <c r="E752" i="9" a="1"/>
  <c r="E752" i="9"/>
  <c r="E753" i="9" a="1"/>
  <c r="E753" i="9"/>
  <c r="E754" i="9" a="1"/>
  <c r="E754" i="9"/>
  <c r="E755" i="9" a="1"/>
  <c r="E755" i="9"/>
  <c r="E756" i="9" a="1"/>
  <c r="E756" i="9"/>
  <c r="E757" i="9" a="1"/>
  <c r="E757" i="9"/>
  <c r="E758" i="9" a="1"/>
  <c r="E758" i="9"/>
  <c r="E759" i="9" a="1"/>
  <c r="E759" i="9"/>
  <c r="E760" i="9" a="1"/>
  <c r="E760" i="9"/>
  <c r="E761" i="9" a="1"/>
  <c r="E761" i="9"/>
  <c r="E762" i="9" a="1"/>
  <c r="E762" i="9"/>
  <c r="E763" i="9" a="1"/>
  <c r="E763" i="9"/>
  <c r="E764" i="9" a="1"/>
  <c r="E764" i="9"/>
  <c r="E765" i="9" a="1"/>
  <c r="E765" i="9"/>
  <c r="E766" i="9" a="1"/>
  <c r="E766" i="9"/>
  <c r="E767" i="9" a="1"/>
  <c r="E767" i="9"/>
  <c r="E768" i="9" a="1"/>
  <c r="E768" i="9"/>
  <c r="E769" i="9" a="1"/>
  <c r="E769" i="9"/>
  <c r="E770" i="9" a="1"/>
  <c r="E770" i="9"/>
  <c r="E771" i="9" a="1"/>
  <c r="E771" i="9"/>
  <c r="E772" i="9" a="1"/>
  <c r="E772" i="9"/>
  <c r="E773" i="9" a="1"/>
  <c r="E773" i="9"/>
  <c r="E774" i="9" a="1"/>
  <c r="E774" i="9"/>
  <c r="E775" i="9" a="1"/>
  <c r="E775" i="9"/>
  <c r="E776" i="9" a="1"/>
  <c r="E776" i="9"/>
  <c r="E777" i="9" a="1"/>
  <c r="E777" i="9"/>
  <c r="E778" i="9" a="1"/>
  <c r="E778" i="9"/>
  <c r="E779" i="9" a="1"/>
  <c r="E779" i="9"/>
  <c r="E780" i="9" a="1"/>
  <c r="E780" i="9"/>
  <c r="E781" i="9" a="1"/>
  <c r="E781" i="9"/>
  <c r="E782" i="9" a="1"/>
  <c r="E782" i="9"/>
  <c r="E783" i="9" a="1"/>
  <c r="E783" i="9"/>
  <c r="E784" i="9" a="1"/>
  <c r="E784" i="9"/>
  <c r="E785" i="9" a="1"/>
  <c r="E785" i="9"/>
  <c r="E786" i="9" a="1"/>
  <c r="E786" i="9"/>
  <c r="E787" i="9" a="1"/>
  <c r="E787" i="9"/>
  <c r="E788" i="9" a="1"/>
  <c r="E788" i="9"/>
  <c r="E789" i="9" a="1"/>
  <c r="E789" i="9"/>
  <c r="E790" i="9" a="1"/>
  <c r="E790" i="9"/>
  <c r="E791" i="9" a="1"/>
  <c r="E791" i="9"/>
  <c r="E792" i="9" a="1"/>
  <c r="E792" i="9"/>
  <c r="E793" i="9" a="1"/>
  <c r="E793" i="9"/>
  <c r="E794" i="9" a="1"/>
  <c r="E794" i="9"/>
  <c r="E795" i="9" a="1"/>
  <c r="E795" i="9"/>
  <c r="E796" i="9" a="1"/>
  <c r="E796" i="9"/>
  <c r="E797" i="9" a="1"/>
  <c r="E797" i="9"/>
  <c r="E798" i="9" a="1"/>
  <c r="E798" i="9"/>
  <c r="E799" i="9" a="1"/>
  <c r="E799" i="9"/>
  <c r="E800" i="9" a="1"/>
  <c r="E800" i="9"/>
  <c r="E801" i="9" a="1"/>
  <c r="E801" i="9"/>
  <c r="E802" i="9" a="1"/>
  <c r="E802" i="9"/>
  <c r="E803" i="9" a="1"/>
  <c r="E803" i="9"/>
  <c r="E804" i="9" a="1"/>
  <c r="E804" i="9"/>
  <c r="E805" i="9" a="1"/>
  <c r="E805" i="9"/>
  <c r="E806" i="9" a="1"/>
  <c r="E806" i="9"/>
  <c r="E807" i="9" a="1"/>
  <c r="E807" i="9"/>
  <c r="E808" i="9" a="1"/>
  <c r="E808" i="9"/>
  <c r="E809" i="9" a="1"/>
  <c r="E809" i="9"/>
  <c r="E810" i="9" a="1"/>
  <c r="E810" i="9"/>
  <c r="E811" i="9" a="1"/>
  <c r="E811" i="9"/>
  <c r="E812" i="9" a="1"/>
  <c r="E812" i="9"/>
  <c r="E813" i="9" a="1"/>
  <c r="E813" i="9"/>
  <c r="E814" i="9" a="1"/>
  <c r="E814" i="9"/>
  <c r="E815" i="9" a="1"/>
  <c r="E815" i="9"/>
  <c r="E816" i="9" a="1"/>
  <c r="E816" i="9"/>
  <c r="E817" i="9" a="1"/>
  <c r="E817" i="9"/>
  <c r="E818" i="9" a="1"/>
  <c r="E818" i="9"/>
  <c r="E819" i="9" a="1"/>
  <c r="E819" i="9"/>
  <c r="E820" i="9" a="1"/>
  <c r="E820" i="9"/>
  <c r="E821" i="9" a="1"/>
  <c r="E821" i="9"/>
  <c r="E822" i="9" a="1"/>
  <c r="E822" i="9"/>
  <c r="E823" i="9" a="1"/>
  <c r="E823" i="9"/>
  <c r="E824" i="9" a="1"/>
  <c r="E824" i="9"/>
  <c r="E825" i="9" a="1"/>
  <c r="E825" i="9"/>
  <c r="E826" i="9" a="1"/>
  <c r="E826" i="9"/>
  <c r="E827" i="9" a="1"/>
  <c r="E827" i="9"/>
  <c r="E828" i="9" a="1"/>
  <c r="E828" i="9"/>
  <c r="E829" i="9" a="1"/>
  <c r="E829" i="9"/>
  <c r="E830" i="9" a="1"/>
  <c r="E830" i="9"/>
  <c r="E831" i="9" a="1"/>
  <c r="E831" i="9"/>
  <c r="E832" i="9" a="1"/>
  <c r="E832" i="9"/>
  <c r="E833" i="9" a="1"/>
  <c r="E833" i="9"/>
  <c r="E834" i="9" a="1"/>
  <c r="E834" i="9"/>
  <c r="E835" i="9" a="1"/>
  <c r="E835" i="9"/>
  <c r="E836" i="9" a="1"/>
  <c r="E836" i="9"/>
  <c r="E837" i="9" a="1"/>
  <c r="E837" i="9"/>
  <c r="E838" i="9" a="1"/>
  <c r="E838" i="9"/>
  <c r="E839" i="9" a="1"/>
  <c r="E839" i="9"/>
  <c r="E840" i="9" a="1"/>
  <c r="E840" i="9"/>
  <c r="E841" i="9" a="1"/>
  <c r="E841" i="9"/>
  <c r="E842" i="9" a="1"/>
  <c r="E842" i="9"/>
  <c r="E843" i="9" a="1"/>
  <c r="E843" i="9"/>
  <c r="E844" i="9" a="1"/>
  <c r="E844" i="9"/>
  <c r="E845" i="9" a="1"/>
  <c r="E845" i="9"/>
  <c r="E846" i="9" a="1"/>
  <c r="E846" i="9"/>
  <c r="E847" i="9" a="1"/>
  <c r="E847" i="9"/>
  <c r="E848" i="9" a="1"/>
  <c r="E848" i="9"/>
  <c r="E849" i="9" a="1"/>
  <c r="E849" i="9"/>
  <c r="E850" i="9" a="1"/>
  <c r="E850" i="9"/>
  <c r="E851" i="9" a="1"/>
  <c r="E851" i="9"/>
  <c r="E852" i="9" a="1"/>
  <c r="E852" i="9"/>
  <c r="E853" i="9" a="1"/>
  <c r="E853" i="9"/>
  <c r="E854" i="9" a="1"/>
  <c r="E854" i="9"/>
  <c r="E855" i="9" a="1"/>
  <c r="E855" i="9"/>
  <c r="E856" i="9" a="1"/>
  <c r="E856" i="9"/>
  <c r="E857" i="9" a="1"/>
  <c r="E857" i="9"/>
  <c r="E858" i="9" a="1"/>
  <c r="E858" i="9"/>
  <c r="E859" i="9" a="1"/>
  <c r="E859" i="9"/>
  <c r="E860" i="9" a="1"/>
  <c r="E860" i="9"/>
  <c r="E861" i="9" a="1"/>
  <c r="E861" i="9"/>
  <c r="E862" i="9" a="1"/>
  <c r="E862" i="9"/>
  <c r="E863" i="9" a="1"/>
  <c r="E863" i="9"/>
  <c r="E864" i="9" a="1"/>
  <c r="E864" i="9"/>
  <c r="E865" i="9" a="1"/>
  <c r="E865" i="9"/>
  <c r="E866" i="9" a="1"/>
  <c r="E866" i="9"/>
  <c r="E867" i="9" a="1"/>
  <c r="E867" i="9"/>
  <c r="E868" i="9" a="1"/>
  <c r="E868" i="9"/>
  <c r="E869" i="9" a="1"/>
  <c r="E869" i="9"/>
  <c r="E870" i="9" a="1"/>
  <c r="E870" i="9"/>
  <c r="E871" i="9" a="1"/>
  <c r="E871" i="9"/>
  <c r="E872" i="9" a="1"/>
  <c r="E872" i="9"/>
  <c r="E873" i="9" a="1"/>
  <c r="E873" i="9"/>
  <c r="E874" i="9" a="1"/>
  <c r="E874" i="9"/>
  <c r="E875" i="9" a="1"/>
  <c r="E875" i="9"/>
  <c r="E876" i="9" a="1"/>
  <c r="E876" i="9"/>
  <c r="E877" i="9" a="1"/>
  <c r="E877" i="9"/>
  <c r="E878" i="9" a="1"/>
  <c r="E878" i="9"/>
  <c r="E879" i="9" a="1"/>
  <c r="E879" i="9"/>
  <c r="E880" i="9" a="1"/>
  <c r="E880" i="9"/>
  <c r="E881" i="9" a="1"/>
  <c r="E881" i="9"/>
  <c r="E882" i="9" a="1"/>
  <c r="E882" i="9"/>
  <c r="E883" i="9" a="1"/>
  <c r="E883" i="9"/>
  <c r="E884" i="9" a="1"/>
  <c r="E884" i="9"/>
  <c r="E885" i="9" a="1"/>
  <c r="E885" i="9"/>
  <c r="E886" i="9" a="1"/>
  <c r="E886" i="9"/>
  <c r="E887" i="9" a="1"/>
  <c r="E887" i="9"/>
  <c r="E888" i="9" a="1"/>
  <c r="E888" i="9"/>
  <c r="E889" i="9" a="1"/>
  <c r="E889" i="9"/>
  <c r="E890" i="9" a="1"/>
  <c r="E890" i="9"/>
  <c r="E891" i="9" a="1"/>
  <c r="E891" i="9"/>
  <c r="E892" i="9" a="1"/>
  <c r="E892" i="9"/>
  <c r="E893" i="9" a="1"/>
  <c r="E893" i="9"/>
  <c r="E894" i="9" a="1"/>
  <c r="E894" i="9"/>
  <c r="E895" i="9" a="1"/>
  <c r="E895" i="9"/>
  <c r="E896" i="9" a="1"/>
  <c r="E896" i="9"/>
  <c r="E897" i="9" a="1"/>
  <c r="E897" i="9"/>
  <c r="E898" i="9" a="1"/>
  <c r="E898" i="9"/>
  <c r="E899" i="9" a="1"/>
  <c r="E899" i="9"/>
  <c r="E900" i="9" a="1"/>
  <c r="E900" i="9"/>
  <c r="E901" i="9" a="1"/>
  <c r="E901" i="9"/>
  <c r="E902" i="9" a="1"/>
  <c r="E902" i="9"/>
  <c r="E903" i="9" a="1"/>
  <c r="E903" i="9"/>
  <c r="E904" i="9" a="1"/>
  <c r="E904" i="9"/>
  <c r="E905" i="9" a="1"/>
  <c r="E905" i="9"/>
  <c r="E906" i="9" a="1"/>
  <c r="E906" i="9"/>
  <c r="E907" i="9" a="1"/>
  <c r="E907" i="9"/>
  <c r="E908" i="9" a="1"/>
  <c r="E908" i="9"/>
  <c r="E909" i="9" a="1"/>
  <c r="E909" i="9"/>
  <c r="E910" i="9" a="1"/>
  <c r="E910" i="9"/>
  <c r="E911" i="9" a="1"/>
  <c r="E911" i="9"/>
  <c r="E912" i="9" a="1"/>
  <c r="E912" i="9"/>
  <c r="E913" i="9" a="1"/>
  <c r="E913" i="9"/>
  <c r="E914" i="9" a="1"/>
  <c r="E914" i="9"/>
  <c r="E915" i="9" a="1"/>
  <c r="E915" i="9"/>
  <c r="E916" i="9" a="1"/>
  <c r="E916" i="9"/>
  <c r="E917" i="9" a="1"/>
  <c r="E917" i="9"/>
  <c r="E918" i="9" a="1"/>
  <c r="E918" i="9"/>
  <c r="E919" i="9" a="1"/>
  <c r="E919" i="9"/>
  <c r="E920" i="9" a="1"/>
  <c r="E920" i="9"/>
  <c r="E921" i="9" a="1"/>
  <c r="E921" i="9"/>
  <c r="E922" i="9" a="1"/>
  <c r="E922" i="9"/>
  <c r="E923" i="9" a="1"/>
  <c r="E923" i="9"/>
  <c r="E924" i="9" a="1"/>
  <c r="E924" i="9"/>
  <c r="E925" i="9" a="1"/>
  <c r="E925" i="9"/>
  <c r="E926" i="9" a="1"/>
  <c r="E926" i="9"/>
  <c r="E927" i="9" a="1"/>
  <c r="E927" i="9"/>
  <c r="E928" i="9" a="1"/>
  <c r="E928" i="9"/>
  <c r="E929" i="9" a="1"/>
  <c r="E929" i="9"/>
  <c r="E930" i="9" a="1"/>
  <c r="E930" i="9"/>
  <c r="E931" i="9" a="1"/>
  <c r="E931" i="9"/>
  <c r="E932" i="9" a="1"/>
  <c r="E932" i="9"/>
  <c r="E933" i="9" a="1"/>
  <c r="E933" i="9"/>
  <c r="E934" i="9" a="1"/>
  <c r="E934" i="9"/>
  <c r="E935" i="9" a="1"/>
  <c r="E935" i="9"/>
  <c r="E936" i="9" a="1"/>
  <c r="E936" i="9"/>
  <c r="E937" i="9" a="1"/>
  <c r="E937" i="9"/>
  <c r="E938" i="9" a="1"/>
  <c r="E938" i="9"/>
  <c r="E939" i="9" a="1"/>
  <c r="E939" i="9"/>
  <c r="E940" i="9" a="1"/>
  <c r="E940" i="9"/>
  <c r="E941" i="9" a="1"/>
  <c r="E941" i="9"/>
  <c r="E942" i="9" a="1"/>
  <c r="E942" i="9"/>
  <c r="E943" i="9" a="1"/>
  <c r="E943" i="9"/>
  <c r="E944" i="9" a="1"/>
  <c r="E944" i="9"/>
  <c r="E945" i="9" a="1"/>
  <c r="E945" i="9"/>
  <c r="E946" i="9" a="1"/>
  <c r="E946" i="9"/>
  <c r="E947" i="9" a="1"/>
  <c r="E947" i="9"/>
  <c r="E948" i="9" a="1"/>
  <c r="E948" i="9"/>
  <c r="E949" i="9" a="1"/>
  <c r="E949" i="9"/>
  <c r="E950" i="9" a="1"/>
  <c r="E950" i="9"/>
  <c r="E951" i="9" a="1"/>
  <c r="E951" i="9"/>
  <c r="E952" i="9" a="1"/>
  <c r="E952" i="9"/>
  <c r="E953" i="9" a="1"/>
  <c r="E953" i="9"/>
  <c r="E954" i="9" a="1"/>
  <c r="E954" i="9"/>
  <c r="E955" i="9" a="1"/>
  <c r="E955" i="9"/>
  <c r="E956" i="9" a="1"/>
  <c r="E956" i="9"/>
  <c r="E957" i="9" a="1"/>
  <c r="E957" i="9"/>
  <c r="E958" i="9" a="1"/>
  <c r="E958" i="9"/>
  <c r="E959" i="9" a="1"/>
  <c r="E959" i="9"/>
  <c r="E960" i="9" a="1"/>
  <c r="E960" i="9"/>
  <c r="E961" i="9" a="1"/>
  <c r="E961" i="9"/>
  <c r="E962" i="9" a="1"/>
  <c r="E962" i="9"/>
  <c r="E963" i="9" a="1"/>
  <c r="E963" i="9"/>
  <c r="E964" i="9" a="1"/>
  <c r="E964" i="9"/>
  <c r="E965" i="9" a="1"/>
  <c r="E965" i="9"/>
  <c r="E966" i="9" a="1"/>
  <c r="E966" i="9"/>
  <c r="E967" i="9" a="1"/>
  <c r="E967" i="9"/>
  <c r="E968" i="9" a="1"/>
  <c r="E968" i="9"/>
  <c r="E969" i="9" a="1"/>
  <c r="E969" i="9"/>
  <c r="E970" i="9" a="1"/>
  <c r="E970" i="9"/>
  <c r="E971" i="9" a="1"/>
  <c r="E971" i="9"/>
  <c r="E972" i="9" a="1"/>
  <c r="E972" i="9"/>
  <c r="E973" i="9" a="1"/>
  <c r="E973" i="9"/>
  <c r="E974" i="9" a="1"/>
  <c r="E974" i="9"/>
  <c r="E975" i="9" a="1"/>
  <c r="E975" i="9"/>
  <c r="E976" i="9" a="1"/>
  <c r="E976" i="9"/>
  <c r="E977" i="9" a="1"/>
  <c r="E977" i="9"/>
  <c r="E978" i="9" a="1"/>
  <c r="E978" i="9"/>
  <c r="E979" i="9" a="1"/>
  <c r="E979" i="9"/>
  <c r="E980" i="9" a="1"/>
  <c r="E980" i="9"/>
  <c r="E981" i="9" a="1"/>
  <c r="E981" i="9"/>
  <c r="E982" i="9" a="1"/>
  <c r="E982" i="9"/>
  <c r="E983" i="9" a="1"/>
  <c r="E983" i="9"/>
  <c r="E984" i="9" a="1"/>
  <c r="E984" i="9"/>
  <c r="E985" i="9" a="1"/>
  <c r="E985" i="9"/>
  <c r="E986" i="9" a="1"/>
  <c r="E986" i="9"/>
  <c r="E987" i="9" a="1"/>
  <c r="E987" i="9"/>
  <c r="E988" i="9" a="1"/>
  <c r="E988" i="9"/>
  <c r="E989" i="9" a="1"/>
  <c r="E989" i="9"/>
  <c r="E990" i="9" a="1"/>
  <c r="E990" i="9"/>
  <c r="E991" i="9" a="1"/>
  <c r="E991" i="9"/>
  <c r="E992" i="9" a="1"/>
  <c r="E992" i="9"/>
  <c r="E993" i="9" a="1"/>
  <c r="E993" i="9"/>
  <c r="E994" i="9" a="1"/>
  <c r="E994" i="9"/>
  <c r="E995" i="9" a="1"/>
  <c r="E995" i="9"/>
  <c r="E996" i="9" a="1"/>
  <c r="E996" i="9"/>
  <c r="E997" i="9" a="1"/>
  <c r="E997" i="9"/>
  <c r="E998" i="9" a="1"/>
  <c r="E998" i="9"/>
  <c r="E999" i="9" a="1"/>
  <c r="E999" i="9"/>
  <c r="E1000" i="9" a="1"/>
  <c r="E1000" i="9"/>
  <c r="E1001" i="9" a="1"/>
  <c r="E1001" i="9"/>
  <c r="E1002" i="9" a="1"/>
  <c r="E1002" i="9"/>
  <c r="E1003" i="9" a="1"/>
  <c r="E1003" i="9"/>
  <c r="E1004" i="9" a="1"/>
  <c r="E1004" i="9"/>
  <c r="E1005" i="9" a="1"/>
  <c r="E1005" i="9"/>
  <c r="E1006" i="9" a="1"/>
  <c r="E1006" i="9"/>
  <c r="E1007" i="9" a="1"/>
  <c r="E1007" i="9"/>
  <c r="E1008" i="9" a="1"/>
  <c r="E1008" i="9"/>
  <c r="E1009" i="9" a="1"/>
  <c r="E1009" i="9"/>
  <c r="E1010" i="9" a="1"/>
  <c r="E1010" i="9"/>
  <c r="E1011" i="9" a="1"/>
  <c r="E1011" i="9"/>
  <c r="E1012" i="9" a="1"/>
  <c r="E1012" i="9"/>
  <c r="E1013" i="9" a="1"/>
  <c r="E1013" i="9"/>
  <c r="E1014" i="9" a="1"/>
  <c r="E1014" i="9"/>
  <c r="E1015" i="9" a="1"/>
  <c r="E1015" i="9"/>
  <c r="E1016" i="9" a="1"/>
  <c r="E1016" i="9"/>
  <c r="E1017" i="9" a="1"/>
  <c r="E1017" i="9"/>
  <c r="E1018" i="9" a="1"/>
  <c r="E1018" i="9"/>
  <c r="E1019" i="9" a="1"/>
  <c r="E1019" i="9"/>
  <c r="E1020" i="9" a="1"/>
  <c r="E1020" i="9"/>
  <c r="E1021" i="9" a="1"/>
  <c r="E1021" i="9"/>
  <c r="E1022" i="9" a="1"/>
  <c r="E1022" i="9"/>
  <c r="E1023" i="9" a="1"/>
  <c r="E1023" i="9"/>
  <c r="E1024" i="9" a="1"/>
  <c r="E1024" i="9"/>
  <c r="E1025" i="9" a="1"/>
  <c r="E1025" i="9"/>
  <c r="E1026" i="9" a="1"/>
  <c r="E1026" i="9"/>
  <c r="E1027" i="9" a="1"/>
  <c r="E1027" i="9"/>
  <c r="E1028" i="9" a="1"/>
  <c r="E1028" i="9"/>
  <c r="E1029" i="9" a="1"/>
  <c r="E1029" i="9"/>
  <c r="E1030" i="9" a="1"/>
  <c r="E1030" i="9"/>
  <c r="E1031" i="9" a="1"/>
  <c r="E1031" i="9"/>
  <c r="E1032" i="9" a="1"/>
  <c r="E1032" i="9"/>
  <c r="E1033" i="9" a="1"/>
  <c r="E1033" i="9"/>
  <c r="E1034" i="9" a="1"/>
  <c r="E1034" i="9"/>
  <c r="E1035" i="9" a="1"/>
  <c r="E1035" i="9"/>
  <c r="E1036" i="9" a="1"/>
  <c r="E1036" i="9"/>
  <c r="E1037" i="9" a="1"/>
  <c r="E1037" i="9"/>
  <c r="E1038" i="9" a="1"/>
  <c r="E1038" i="9"/>
  <c r="E1039" i="9" a="1"/>
  <c r="E1039" i="9"/>
  <c r="E1040" i="9" a="1"/>
  <c r="E1040" i="9"/>
  <c r="E1041" i="9" a="1"/>
  <c r="E1041" i="9"/>
  <c r="E1042" i="9" a="1"/>
  <c r="E1042" i="9"/>
  <c r="E1043" i="9" a="1"/>
  <c r="E1043" i="9"/>
  <c r="E1044" i="9" a="1"/>
  <c r="E1044" i="9"/>
  <c r="E1045" i="9" a="1"/>
  <c r="E1045" i="9"/>
  <c r="E1046" i="9" a="1"/>
  <c r="E1046" i="9"/>
  <c r="E1047" i="9" a="1"/>
  <c r="E1047" i="9"/>
  <c r="E1048" i="9" a="1"/>
  <c r="E1048" i="9"/>
  <c r="E1049" i="9" a="1"/>
  <c r="E1049" i="9"/>
  <c r="E1050" i="9" a="1"/>
  <c r="E1050" i="9"/>
  <c r="E1051" i="9" a="1"/>
  <c r="E1051" i="9"/>
  <c r="E1052" i="9" a="1"/>
  <c r="E1052" i="9"/>
  <c r="E1053" i="9" a="1"/>
  <c r="E1053" i="9"/>
  <c r="E1054" i="9" a="1"/>
  <c r="E1054" i="9"/>
  <c r="E1055" i="9" a="1"/>
  <c r="E1055" i="9"/>
  <c r="E1056" i="9" a="1"/>
  <c r="E1056" i="9"/>
  <c r="E1057" i="9" a="1"/>
  <c r="E1057" i="9"/>
  <c r="E1058" i="9" a="1"/>
  <c r="E1058" i="9"/>
  <c r="E1059" i="9" a="1"/>
  <c r="E1059" i="9"/>
  <c r="E1060" i="9" a="1"/>
  <c r="E1060" i="9"/>
  <c r="E1061" i="9" a="1"/>
  <c r="E1061" i="9"/>
  <c r="E1062" i="9" a="1"/>
  <c r="E1062" i="9"/>
  <c r="E1063" i="9" a="1"/>
  <c r="E1063" i="9"/>
  <c r="E1064" i="9" a="1"/>
  <c r="E1064" i="9"/>
  <c r="E1065" i="9" a="1"/>
  <c r="E1065" i="9"/>
  <c r="E1066" i="9" a="1"/>
  <c r="E1066" i="9"/>
  <c r="E1067" i="9" a="1"/>
  <c r="E1067" i="9"/>
  <c r="E1068" i="9" a="1"/>
  <c r="E1068" i="9"/>
  <c r="E1069" i="9" a="1"/>
  <c r="E1069" i="9"/>
  <c r="E1070" i="9" a="1"/>
  <c r="E1070" i="9"/>
  <c r="E1071" i="9" a="1"/>
  <c r="E1071" i="9"/>
  <c r="E1072" i="9" a="1"/>
  <c r="E1072" i="9"/>
  <c r="E1073" i="9" a="1"/>
  <c r="E1073" i="9"/>
  <c r="E1074" i="9" a="1"/>
  <c r="E1074" i="9"/>
  <c r="E1075" i="9" a="1"/>
  <c r="E1075" i="9"/>
  <c r="E1076" i="9" a="1"/>
  <c r="E1076" i="9"/>
  <c r="E1077" i="9" a="1"/>
  <c r="E1077" i="9"/>
  <c r="E1078" i="9" a="1"/>
  <c r="E1078" i="9"/>
  <c r="E1079" i="9" a="1"/>
  <c r="E1079" i="9"/>
  <c r="E1080" i="9" a="1"/>
  <c r="E1080" i="9"/>
  <c r="E1081" i="9" a="1"/>
  <c r="E1081" i="9"/>
  <c r="E1082" i="9" a="1"/>
  <c r="E1082" i="9"/>
  <c r="E1083" i="9" a="1"/>
  <c r="E1083" i="9"/>
  <c r="E1084" i="9" a="1"/>
  <c r="E1084" i="9"/>
  <c r="E1085" i="9" a="1"/>
  <c r="E1085" i="9"/>
  <c r="E1086" i="9" a="1"/>
  <c r="E1086" i="9"/>
  <c r="E1087" i="9" a="1"/>
  <c r="E1087" i="9"/>
  <c r="E1088" i="9" a="1"/>
  <c r="E1088" i="9"/>
  <c r="E1089" i="9" a="1"/>
  <c r="E1089" i="9"/>
  <c r="E1090" i="9" a="1"/>
  <c r="E1090" i="9"/>
  <c r="E1091" i="9" a="1"/>
  <c r="E1091" i="9"/>
  <c r="E1092" i="9" a="1"/>
  <c r="E1092" i="9"/>
  <c r="E1093" i="9" a="1"/>
  <c r="E1093" i="9"/>
  <c r="E1094" i="9" a="1"/>
  <c r="E1094" i="9"/>
  <c r="E1095" i="9" a="1"/>
  <c r="E1095" i="9"/>
  <c r="E1096" i="9" a="1"/>
  <c r="E1096" i="9"/>
  <c r="E1097" i="9" a="1"/>
  <c r="E1097" i="9"/>
  <c r="E1098" i="9" a="1"/>
  <c r="E1098" i="9"/>
  <c r="E1099" i="9" a="1"/>
  <c r="E1099" i="9"/>
  <c r="E1100" i="9" a="1"/>
  <c r="E1100" i="9"/>
  <c r="E1101" i="9" a="1"/>
  <c r="E1101" i="9"/>
  <c r="E1102" i="9" a="1"/>
  <c r="E1102" i="9"/>
  <c r="E1103" i="9" a="1"/>
  <c r="E1103" i="9"/>
  <c r="E1104" i="9" a="1"/>
  <c r="E1104" i="9"/>
  <c r="E1105" i="9" a="1"/>
  <c r="E1105" i="9"/>
  <c r="E1106" i="9" a="1"/>
  <c r="E1106" i="9"/>
  <c r="E1107" i="9" a="1"/>
  <c r="E1107" i="9"/>
  <c r="E1108" i="9" a="1"/>
  <c r="E1108" i="9"/>
  <c r="E1109" i="9" a="1"/>
  <c r="E1109" i="9"/>
  <c r="E1110" i="9" a="1"/>
  <c r="E1110" i="9"/>
  <c r="E1111" i="9" a="1"/>
  <c r="E1111" i="9"/>
  <c r="E1112" i="9" a="1"/>
  <c r="E1112" i="9"/>
  <c r="E1113" i="9" a="1"/>
  <c r="E1113" i="9"/>
  <c r="E1114" i="9" a="1"/>
  <c r="E1114" i="9"/>
  <c r="E1115" i="9" a="1"/>
  <c r="E1115" i="9"/>
  <c r="E1116" i="9" a="1"/>
  <c r="E1116" i="9"/>
  <c r="E1117" i="9" a="1"/>
  <c r="E1117" i="9"/>
  <c r="E1118" i="9" a="1"/>
  <c r="E1118" i="9"/>
  <c r="E1119" i="9" a="1"/>
  <c r="E1119" i="9"/>
  <c r="E1120" i="9" a="1"/>
  <c r="E1120" i="9"/>
  <c r="E1121" i="9" a="1"/>
  <c r="E1121" i="9"/>
  <c r="E1122" i="9" a="1"/>
  <c r="E1122" i="9"/>
  <c r="E1123" i="9" a="1"/>
  <c r="E1123" i="9"/>
  <c r="E1124" i="9" a="1"/>
  <c r="E1124" i="9"/>
  <c r="E1125" i="9" a="1"/>
  <c r="E1125" i="9"/>
  <c r="E1126" i="9" a="1"/>
  <c r="E1126" i="9"/>
  <c r="E1127" i="9" a="1"/>
  <c r="E1127" i="9"/>
  <c r="E1128" i="9" a="1"/>
  <c r="E1128" i="9"/>
  <c r="E1129" i="9" a="1"/>
  <c r="E1129" i="9"/>
  <c r="E1130" i="9" a="1"/>
  <c r="E1130" i="9"/>
  <c r="E1131" i="9" a="1"/>
  <c r="E1131" i="9"/>
  <c r="E1132" i="9" a="1"/>
  <c r="E1132" i="9"/>
  <c r="E1133" i="9" a="1"/>
  <c r="E1133" i="9"/>
  <c r="E1134" i="9" a="1"/>
  <c r="E1134" i="9"/>
  <c r="E1135" i="9" a="1"/>
  <c r="E1135" i="9"/>
  <c r="E1136" i="9" a="1"/>
  <c r="E1136" i="9"/>
  <c r="E1137" i="9" a="1"/>
  <c r="E1137" i="9"/>
  <c r="E1138" i="9" a="1"/>
  <c r="E1138" i="9"/>
  <c r="E1139" i="9" a="1"/>
  <c r="E1139" i="9"/>
  <c r="E1140" i="9" a="1"/>
  <c r="E1140" i="9"/>
  <c r="E1141" i="9" a="1"/>
  <c r="E1141" i="9"/>
  <c r="E1142" i="9" a="1"/>
  <c r="E1142" i="9"/>
  <c r="E1143" i="9" a="1"/>
  <c r="E1143" i="9"/>
  <c r="E1144" i="9" a="1"/>
  <c r="E1144" i="9"/>
  <c r="E1145" i="9" a="1"/>
  <c r="E1145" i="9"/>
  <c r="E1146" i="9" a="1"/>
  <c r="E1146" i="9"/>
  <c r="E1147" i="9" a="1"/>
  <c r="E1147" i="9"/>
  <c r="E1148" i="9" a="1"/>
  <c r="E1148" i="9"/>
  <c r="E1149" i="9" a="1"/>
  <c r="E1149" i="9"/>
  <c r="E1150" i="9" a="1"/>
  <c r="E1150" i="9"/>
  <c r="E1151" i="9" a="1"/>
  <c r="E1151" i="9"/>
  <c r="E1152" i="9" a="1"/>
  <c r="E1152" i="9"/>
  <c r="E1153" i="9" a="1"/>
  <c r="E1153" i="9"/>
  <c r="E1154" i="9" a="1"/>
  <c r="E1154" i="9"/>
  <c r="E1155" i="9" a="1"/>
  <c r="E1155" i="9"/>
  <c r="E1156" i="9" a="1"/>
  <c r="E1156" i="9"/>
  <c r="E1157" i="9" a="1"/>
  <c r="E1157" i="9"/>
  <c r="E1158" i="9" a="1"/>
  <c r="E1158" i="9"/>
  <c r="E1159" i="9" a="1"/>
  <c r="E1159" i="9"/>
  <c r="E1160" i="9" a="1"/>
  <c r="E1160" i="9"/>
  <c r="E1161" i="9" a="1"/>
  <c r="E1161" i="9"/>
  <c r="E1162" i="9" a="1"/>
  <c r="E1162" i="9"/>
  <c r="E1163" i="9" a="1"/>
  <c r="E1163" i="9"/>
  <c r="E1164" i="9" a="1"/>
  <c r="E1164" i="9"/>
  <c r="E1165" i="9" a="1"/>
  <c r="E1165" i="9"/>
  <c r="E1166" i="9" a="1"/>
  <c r="E1166" i="9"/>
  <c r="E1167" i="9" a="1"/>
  <c r="E1167" i="9"/>
  <c r="E1168" i="9" a="1"/>
  <c r="E1168" i="9"/>
  <c r="E1169" i="9" a="1"/>
  <c r="E1169" i="9"/>
  <c r="E1170" i="9" a="1"/>
  <c r="E1170" i="9"/>
  <c r="E1171" i="9" a="1"/>
  <c r="E1171" i="9"/>
  <c r="E1172" i="9" a="1"/>
  <c r="E1172" i="9"/>
  <c r="E1173" i="9" a="1"/>
  <c r="E1173" i="9"/>
  <c r="E1174" i="9" a="1"/>
  <c r="E1174" i="9"/>
  <c r="E1175" i="9" a="1"/>
  <c r="E1175" i="9"/>
  <c r="E1176" i="9" a="1"/>
  <c r="E1176" i="9"/>
  <c r="E1177" i="9" a="1"/>
  <c r="E1177" i="9"/>
  <c r="E1178" i="9" a="1"/>
  <c r="E1178" i="9"/>
  <c r="E1179" i="9" a="1"/>
  <c r="E1179" i="9"/>
  <c r="E1180" i="9" a="1"/>
  <c r="E1180" i="9"/>
  <c r="E1181" i="9" a="1"/>
  <c r="E1181" i="9"/>
  <c r="E1182" i="9" a="1"/>
  <c r="E1182" i="9"/>
  <c r="E1183" i="9" a="1"/>
  <c r="E1183" i="9"/>
  <c r="E1184" i="9" a="1"/>
  <c r="E1184" i="9"/>
  <c r="E1185" i="9" a="1"/>
  <c r="E1185" i="9"/>
  <c r="E1186" i="9" a="1"/>
  <c r="E1186" i="9"/>
  <c r="E1187" i="9" a="1"/>
  <c r="E1187" i="9"/>
  <c r="E1188" i="9" a="1"/>
  <c r="E1188" i="9"/>
  <c r="E1189" i="9" a="1"/>
  <c r="E1189" i="9"/>
  <c r="E1190" i="9" a="1"/>
  <c r="E1190" i="9"/>
  <c r="E1191" i="9" a="1"/>
  <c r="E1191" i="9"/>
  <c r="E1192" i="9" a="1"/>
  <c r="E1192" i="9"/>
  <c r="E1193" i="9" a="1"/>
  <c r="E1193" i="9"/>
  <c r="E1194" i="9" a="1"/>
  <c r="E1194" i="9"/>
  <c r="E1195" i="9" a="1"/>
  <c r="E1195" i="9"/>
  <c r="E1196" i="9" a="1"/>
  <c r="E1196" i="9"/>
  <c r="E1197" i="9" a="1"/>
  <c r="E1197" i="9"/>
  <c r="E1198" i="9" a="1"/>
  <c r="E1198" i="9"/>
  <c r="E1199" i="9" a="1"/>
  <c r="E1199" i="9"/>
  <c r="E1200" i="9" a="1"/>
  <c r="E1200" i="9"/>
  <c r="E1201" i="9" a="1"/>
  <c r="E1201" i="9"/>
  <c r="E1202" i="9" a="1"/>
  <c r="E1202" i="9"/>
  <c r="E1203" i="9" a="1"/>
  <c r="E1203" i="9"/>
  <c r="E1204" i="9" a="1"/>
  <c r="E1204" i="9"/>
  <c r="E1205" i="9" a="1"/>
  <c r="E1205" i="9"/>
  <c r="E1206" i="9" a="1"/>
  <c r="E1206" i="9"/>
  <c r="E1207" i="9" a="1"/>
  <c r="E1207" i="9"/>
  <c r="E1208" i="9" a="1"/>
  <c r="E1208" i="9"/>
  <c r="E1209" i="9" a="1"/>
  <c r="E1209" i="9"/>
  <c r="E1210" i="9" a="1"/>
  <c r="E1210" i="9"/>
  <c r="E1211" i="9" a="1"/>
  <c r="E1211" i="9"/>
  <c r="E1212" i="9" a="1"/>
  <c r="E1212" i="9"/>
  <c r="E1213" i="9" a="1"/>
  <c r="E1213" i="9"/>
  <c r="E1214" i="9" a="1"/>
  <c r="E1214" i="9"/>
  <c r="E1215" i="9" a="1"/>
  <c r="E1215" i="9"/>
  <c r="E1216" i="9" a="1"/>
  <c r="E1216" i="9"/>
  <c r="E1217" i="9" a="1"/>
  <c r="E1217" i="9"/>
  <c r="E1218" i="9" a="1"/>
  <c r="E1218" i="9"/>
  <c r="E1219" i="9" a="1"/>
  <c r="E1219" i="9"/>
  <c r="E1220" i="9" a="1"/>
  <c r="E1220" i="9"/>
  <c r="E1221" i="9" a="1"/>
  <c r="E1221" i="9"/>
  <c r="E1222" i="9" a="1"/>
  <c r="E1222" i="9"/>
  <c r="E1223" i="9" a="1"/>
  <c r="E1223" i="9"/>
  <c r="E1224" i="9" a="1"/>
  <c r="E1224" i="9"/>
  <c r="E1225" i="9" a="1"/>
  <c r="E1225" i="9"/>
  <c r="E1226" i="9" a="1"/>
  <c r="E1226" i="9"/>
  <c r="E1227" i="9" a="1"/>
  <c r="E1227" i="9"/>
  <c r="E1228" i="9" a="1"/>
  <c r="E1228" i="9"/>
  <c r="E1229" i="9" a="1"/>
  <c r="E1229" i="9"/>
  <c r="E1230" i="9" a="1"/>
  <c r="E1230" i="9"/>
  <c r="E1231" i="9" a="1"/>
  <c r="E1231" i="9"/>
  <c r="E1232" i="9" a="1"/>
  <c r="E1232" i="9"/>
  <c r="E1233" i="9" a="1"/>
  <c r="E1233" i="9"/>
  <c r="E1234" i="9" a="1"/>
  <c r="E1234" i="9"/>
  <c r="E1235" i="9" a="1"/>
  <c r="E1235" i="9"/>
  <c r="E1236" i="9" a="1"/>
  <c r="E1236" i="9"/>
  <c r="E1237" i="9" a="1"/>
  <c r="E1237" i="9"/>
  <c r="E1238" i="9" a="1"/>
  <c r="E1238" i="9"/>
  <c r="E1239" i="9" a="1"/>
  <c r="E1239" i="9"/>
  <c r="E1240" i="9" a="1"/>
  <c r="E1240" i="9"/>
  <c r="E1241" i="9" a="1"/>
  <c r="E1241" i="9"/>
  <c r="E1242" i="9" a="1"/>
  <c r="E1242" i="9"/>
  <c r="E1243" i="9" a="1"/>
  <c r="E1243" i="9"/>
  <c r="E1244" i="9" a="1"/>
  <c r="E1244" i="9"/>
  <c r="E1245" i="9" a="1"/>
  <c r="E1245" i="9"/>
  <c r="E1246" i="9" a="1"/>
  <c r="E1246" i="9"/>
  <c r="E1247" i="9" a="1"/>
  <c r="E1247" i="9"/>
  <c r="E1248" i="9" a="1"/>
  <c r="E1248" i="9"/>
  <c r="E1249" i="9" a="1"/>
  <c r="E1249" i="9"/>
  <c r="E1250" i="9" a="1"/>
  <c r="E1250" i="9"/>
  <c r="E1251" i="9" a="1"/>
  <c r="E1251" i="9"/>
  <c r="E1252" i="9" a="1"/>
  <c r="E1252" i="9"/>
  <c r="E1253" i="9" a="1"/>
  <c r="E1253" i="9"/>
  <c r="E1254" i="9" a="1"/>
  <c r="E1254" i="9"/>
  <c r="E1255" i="9" a="1"/>
  <c r="E1255" i="9"/>
  <c r="E1256" i="9" a="1"/>
  <c r="E1256" i="9"/>
  <c r="E1257" i="9" a="1"/>
  <c r="E1257" i="9"/>
  <c r="E1258" i="9" a="1"/>
  <c r="E1258" i="9"/>
  <c r="E1259" i="9" a="1"/>
  <c r="E1259" i="9"/>
  <c r="E1260" i="9" a="1"/>
  <c r="E1260" i="9"/>
  <c r="E1261" i="9" a="1"/>
  <c r="E1261" i="9"/>
  <c r="E1262" i="9" a="1"/>
  <c r="E1262" i="9"/>
  <c r="E1263" i="9" a="1"/>
  <c r="E1263" i="9"/>
  <c r="E1264" i="9" a="1"/>
  <c r="E1264" i="9"/>
  <c r="E1265" i="9" a="1"/>
  <c r="E1265" i="9"/>
  <c r="E1266" i="9" a="1"/>
  <c r="E1266" i="9"/>
  <c r="E1267" i="9" a="1"/>
  <c r="E1267" i="9"/>
  <c r="E1268" i="9" a="1"/>
  <c r="E1268" i="9"/>
  <c r="E1269" i="9" a="1"/>
  <c r="E1269" i="9"/>
  <c r="E1270" i="9" a="1"/>
  <c r="E1270" i="9"/>
  <c r="E1271" i="9" a="1"/>
  <c r="E1271" i="9"/>
  <c r="E1272" i="9" a="1"/>
  <c r="E1272" i="9"/>
  <c r="E1273" i="9" a="1"/>
  <c r="E1273" i="9"/>
  <c r="E1274" i="9" a="1"/>
  <c r="E1274" i="9"/>
  <c r="E1275" i="9" a="1"/>
  <c r="E1275" i="9"/>
  <c r="E1276" i="9" a="1"/>
  <c r="E1276" i="9"/>
  <c r="E1277" i="9" a="1"/>
  <c r="E1277" i="9"/>
  <c r="E1278" i="9" a="1"/>
  <c r="E1278" i="9"/>
  <c r="E1279" i="9" a="1"/>
  <c r="E1279" i="9"/>
  <c r="E1280" i="9" a="1"/>
  <c r="E1280" i="9"/>
  <c r="E1281" i="9" a="1"/>
  <c r="E1281" i="9"/>
  <c r="E1282" i="9" a="1"/>
  <c r="E1282" i="9"/>
  <c r="E1283" i="9" a="1"/>
  <c r="E1283" i="9"/>
  <c r="E1284" i="9" a="1"/>
  <c r="E1284" i="9"/>
  <c r="E1285" i="9" a="1"/>
  <c r="E1285" i="9"/>
  <c r="E1286" i="9" a="1"/>
  <c r="E1286" i="9"/>
  <c r="E1287" i="9" a="1"/>
  <c r="E1287" i="9"/>
  <c r="E1288" i="9" a="1"/>
  <c r="E1288" i="9"/>
  <c r="E1289" i="9" a="1"/>
  <c r="E1289" i="9"/>
  <c r="E1290" i="9" a="1"/>
  <c r="E1290" i="9"/>
  <c r="E1291" i="9" a="1"/>
  <c r="E1291" i="9"/>
  <c r="E1292" i="9" a="1"/>
  <c r="E1292" i="9"/>
  <c r="E1293" i="9" a="1"/>
  <c r="E1293" i="9"/>
  <c r="E1294" i="9" a="1"/>
  <c r="E1294" i="9"/>
  <c r="E1295" i="9" a="1"/>
  <c r="E1295" i="9"/>
  <c r="E1296" i="9" a="1"/>
  <c r="E1296" i="9"/>
  <c r="E1297" i="9" a="1"/>
  <c r="E1297" i="9"/>
  <c r="E1298" i="9" a="1"/>
  <c r="E1298" i="9"/>
  <c r="E1299" i="9" a="1"/>
  <c r="E1299" i="9"/>
  <c r="E1300" i="9" a="1"/>
  <c r="E1300" i="9"/>
  <c r="E1301" i="9" a="1"/>
  <c r="E1301" i="9"/>
  <c r="E1302" i="9" a="1"/>
  <c r="E1302" i="9"/>
  <c r="E1303" i="9" a="1"/>
  <c r="E1303" i="9"/>
  <c r="E1304" i="9" a="1"/>
  <c r="E1304" i="9"/>
  <c r="E1305" i="9" a="1"/>
  <c r="E1305" i="9"/>
  <c r="E1306" i="9" a="1"/>
  <c r="E1306" i="9"/>
  <c r="E1307" i="9" a="1"/>
  <c r="E1307" i="9"/>
  <c r="E1308" i="9" a="1"/>
  <c r="E1308" i="9"/>
  <c r="E1309" i="9" a="1"/>
  <c r="E1309" i="9"/>
  <c r="E1310" i="9" a="1"/>
  <c r="E1310" i="9"/>
  <c r="E1311" i="9" a="1"/>
  <c r="E1311" i="9"/>
  <c r="E1312" i="9" a="1"/>
  <c r="E1312" i="9"/>
  <c r="E1313" i="9" a="1"/>
  <c r="E1313" i="9"/>
  <c r="E1314" i="9" a="1"/>
  <c r="E1314" i="9"/>
  <c r="E1315" i="9" a="1"/>
  <c r="E1315" i="9"/>
  <c r="E1316" i="9" a="1"/>
  <c r="E1316" i="9"/>
  <c r="E1317" i="9" a="1"/>
  <c r="E1317" i="9"/>
  <c r="E1318" i="9" a="1"/>
  <c r="E1318" i="9"/>
  <c r="E1319" i="9" a="1"/>
  <c r="E1319" i="9"/>
  <c r="E1320" i="9" a="1"/>
  <c r="E1320" i="9"/>
  <c r="E1321" i="9" a="1"/>
  <c r="E1321" i="9"/>
  <c r="E1322" i="9" a="1"/>
  <c r="E1322" i="9"/>
  <c r="E1323" i="9" a="1"/>
  <c r="E1323" i="9"/>
  <c r="E1324" i="9" a="1"/>
  <c r="E1324" i="9"/>
  <c r="E1325" i="9" a="1"/>
  <c r="E1325" i="9"/>
  <c r="E1326" i="9" a="1"/>
  <c r="E1326" i="9"/>
  <c r="E1327" i="9" a="1"/>
  <c r="E1327" i="9"/>
  <c r="E1328" i="9" a="1"/>
  <c r="E1328" i="9"/>
  <c r="E1329" i="9" a="1"/>
  <c r="E1329" i="9"/>
  <c r="E1330" i="9" a="1"/>
  <c r="E1330" i="9"/>
  <c r="E1331" i="9" a="1"/>
  <c r="E1331" i="9"/>
  <c r="E1332" i="9" a="1"/>
  <c r="E1332" i="9"/>
  <c r="E1333" i="9" a="1"/>
  <c r="E1333" i="9"/>
  <c r="E1334" i="9" a="1"/>
  <c r="E1334" i="9"/>
  <c r="E1335" i="9" a="1"/>
  <c r="E1335" i="9"/>
  <c r="E1336" i="9" a="1"/>
  <c r="E1336" i="9"/>
  <c r="E1337" i="9" a="1"/>
  <c r="E1337" i="9"/>
  <c r="E1338" i="9" a="1"/>
  <c r="E1338" i="9"/>
  <c r="E1339" i="9" a="1"/>
  <c r="E1339" i="9"/>
  <c r="E1340" i="9" a="1"/>
  <c r="E1340" i="9"/>
  <c r="E1341" i="9" a="1"/>
  <c r="E1341" i="9"/>
  <c r="E1342" i="9" a="1"/>
  <c r="E1342" i="9"/>
  <c r="E1343" i="9" a="1"/>
  <c r="E1343" i="9"/>
  <c r="E1344" i="9" a="1"/>
  <c r="E1344" i="9"/>
  <c r="E1345" i="9" a="1"/>
  <c r="E1345" i="9"/>
  <c r="E1346" i="9" a="1"/>
  <c r="E1346" i="9"/>
  <c r="E1347" i="9" a="1"/>
  <c r="E1347" i="9"/>
  <c r="E1348" i="9" a="1"/>
  <c r="E1348" i="9"/>
  <c r="E1349" i="9" a="1"/>
  <c r="E1349" i="9"/>
  <c r="E1350" i="9" a="1"/>
  <c r="E1350" i="9"/>
  <c r="E1351" i="9" a="1"/>
  <c r="E1351" i="9"/>
  <c r="E1352" i="9" a="1"/>
  <c r="E1352" i="9"/>
  <c r="E1353" i="9" a="1"/>
  <c r="E1353" i="9"/>
  <c r="E1354" i="9" a="1"/>
  <c r="E1354" i="9"/>
  <c r="E1355" i="9" a="1"/>
  <c r="E1355" i="9"/>
  <c r="E1356" i="9" a="1"/>
  <c r="E1356" i="9"/>
  <c r="E1357" i="9" a="1"/>
  <c r="E1357" i="9"/>
  <c r="E1358" i="9" a="1"/>
  <c r="E1358" i="9"/>
  <c r="E1359" i="9" a="1"/>
  <c r="E1359" i="9"/>
  <c r="E1360" i="9" a="1"/>
  <c r="E1360" i="9"/>
  <c r="E1361" i="9" a="1"/>
  <c r="E1361" i="9"/>
  <c r="E1362" i="9" a="1"/>
  <c r="E1362" i="9"/>
  <c r="E1363" i="9" a="1"/>
  <c r="E1363" i="9"/>
  <c r="E1364" i="9" a="1"/>
  <c r="E1364" i="9"/>
  <c r="E1365" i="9" a="1"/>
  <c r="E1365" i="9"/>
  <c r="E1366" i="9" a="1"/>
  <c r="E1366" i="9"/>
  <c r="E1367" i="9" a="1"/>
  <c r="E1367" i="9"/>
  <c r="E1368" i="9" a="1"/>
  <c r="E1368" i="9"/>
  <c r="E1369" i="9" a="1"/>
  <c r="E1369" i="9"/>
  <c r="E1370" i="9" a="1"/>
  <c r="E1370" i="9"/>
  <c r="E1371" i="9" a="1"/>
  <c r="E1371" i="9"/>
  <c r="E1372" i="9" a="1"/>
  <c r="E1372" i="9"/>
  <c r="E1373" i="9" a="1"/>
  <c r="E1373" i="9"/>
  <c r="E1374" i="9" a="1"/>
  <c r="E1374" i="9"/>
  <c r="E1375" i="9" a="1"/>
  <c r="E1375" i="9"/>
  <c r="E1376" i="9" a="1"/>
  <c r="E1376" i="9"/>
  <c r="E1377" i="9" a="1"/>
  <c r="E1377" i="9"/>
  <c r="E1378" i="9" a="1"/>
  <c r="E1378" i="9"/>
  <c r="E1379" i="9" a="1"/>
  <c r="E1379" i="9"/>
  <c r="E1380" i="9" a="1"/>
  <c r="E1380" i="9"/>
  <c r="E1381" i="9" a="1"/>
  <c r="E1381" i="9"/>
  <c r="E1382" i="9" a="1"/>
  <c r="E1382" i="9"/>
  <c r="E1383" i="9" a="1"/>
  <c r="E1383" i="9"/>
  <c r="E1384" i="9" a="1"/>
  <c r="E1384" i="9"/>
  <c r="E1385" i="9" a="1"/>
  <c r="E1385" i="9"/>
  <c r="E1386" i="9" a="1"/>
  <c r="E1386" i="9"/>
  <c r="E1387" i="9" a="1"/>
  <c r="E1387" i="9"/>
  <c r="E1388" i="9" a="1"/>
  <c r="E1388" i="9"/>
  <c r="E1389" i="9" a="1"/>
  <c r="E1389" i="9"/>
  <c r="E1390" i="9" a="1"/>
  <c r="E1390" i="9"/>
  <c r="E1391" i="9" a="1"/>
  <c r="E1391" i="9"/>
  <c r="E1392" i="9" a="1"/>
  <c r="E1392" i="9"/>
  <c r="E1393" i="9" a="1"/>
  <c r="E1393" i="9"/>
  <c r="E1394" i="9" a="1"/>
  <c r="E1394" i="9"/>
  <c r="E1395" i="9" a="1"/>
  <c r="E1395" i="9"/>
  <c r="E1396" i="9" a="1"/>
  <c r="E1396" i="9"/>
  <c r="E1397" i="9" a="1"/>
  <c r="E1397" i="9"/>
  <c r="E1398" i="9" a="1"/>
  <c r="E1398" i="9"/>
  <c r="E1399" i="9" a="1"/>
  <c r="E1399" i="9"/>
  <c r="E1400" i="9" a="1"/>
  <c r="E1400" i="9"/>
  <c r="E1401" i="9" a="1"/>
  <c r="E1401" i="9"/>
  <c r="E1402" i="9" a="1"/>
  <c r="E1402" i="9"/>
  <c r="E1403" i="9" a="1"/>
  <c r="E1403" i="9"/>
  <c r="E1404" i="9" a="1"/>
  <c r="E1404" i="9"/>
  <c r="E1405" i="9" a="1"/>
  <c r="E1405" i="9"/>
  <c r="E1406" i="9" a="1"/>
  <c r="E1406" i="9"/>
  <c r="E1407" i="9" a="1"/>
  <c r="E1407" i="9"/>
  <c r="E1408" i="9" a="1"/>
  <c r="E1408" i="9"/>
  <c r="E1409" i="9" a="1"/>
  <c r="E1409" i="9"/>
  <c r="E1410" i="9" a="1"/>
  <c r="E1410" i="9"/>
  <c r="E1411" i="9" a="1"/>
  <c r="E1411" i="9"/>
  <c r="E1412" i="9" a="1"/>
  <c r="E1412" i="9"/>
  <c r="E1413" i="9" a="1"/>
  <c r="E1413" i="9"/>
  <c r="E1414" i="9" a="1"/>
  <c r="E1414" i="9"/>
  <c r="E1415" i="9" a="1"/>
  <c r="E1415" i="9"/>
  <c r="E1416" i="9" a="1"/>
  <c r="E1416" i="9"/>
  <c r="E1417" i="9" a="1"/>
  <c r="E1417" i="9"/>
  <c r="E1418" i="9" a="1"/>
  <c r="E1418" i="9"/>
  <c r="E1419" i="9" a="1"/>
  <c r="E1419" i="9"/>
  <c r="E1420" i="9" a="1"/>
  <c r="E1420" i="9"/>
  <c r="E1421" i="9" a="1"/>
  <c r="E1421" i="9"/>
  <c r="E1422" i="9" a="1"/>
  <c r="E1422" i="9"/>
  <c r="E1423" i="9" a="1"/>
  <c r="E1423" i="9"/>
  <c r="E1424" i="9" a="1"/>
  <c r="E1424" i="9"/>
  <c r="E1425" i="9" a="1"/>
  <c r="E1425" i="9"/>
  <c r="E1426" i="9" a="1"/>
  <c r="E1426" i="9"/>
  <c r="E1427" i="9" a="1"/>
  <c r="E1427" i="9"/>
  <c r="E1428" i="9" a="1"/>
  <c r="E1428" i="9"/>
  <c r="E1429" i="9" a="1"/>
  <c r="E1429" i="9"/>
  <c r="E1430" i="9" a="1"/>
  <c r="E1430" i="9"/>
  <c r="E1431" i="9" a="1"/>
  <c r="E1431" i="9"/>
  <c r="E1432" i="9" a="1"/>
  <c r="E1432" i="9"/>
  <c r="E1433" i="9" a="1"/>
  <c r="E1433" i="9"/>
  <c r="E1434" i="9" a="1"/>
  <c r="E1434" i="9"/>
  <c r="E1435" i="9" a="1"/>
  <c r="E1435" i="9"/>
  <c r="E1436" i="9" a="1"/>
  <c r="E1436" i="9"/>
  <c r="E1437" i="9" a="1"/>
  <c r="E1437" i="9"/>
  <c r="E1438" i="9" a="1"/>
  <c r="E1438" i="9"/>
  <c r="E1439" i="9" a="1"/>
  <c r="E1439" i="9"/>
  <c r="E1440" i="9" a="1"/>
  <c r="E1440" i="9"/>
  <c r="E1441" i="9" a="1"/>
  <c r="E1441" i="9"/>
  <c r="E1442" i="9" a="1"/>
  <c r="E1442" i="9"/>
  <c r="E1443" i="9" a="1"/>
  <c r="E1443" i="9"/>
  <c r="E1444" i="9" a="1"/>
  <c r="E1444" i="9"/>
  <c r="E1445" i="9" a="1"/>
  <c r="E1445" i="9"/>
  <c r="E1446" i="9" a="1"/>
  <c r="E1446" i="9"/>
  <c r="E1447" i="9" a="1"/>
  <c r="E1447" i="9"/>
  <c r="E1448" i="9" a="1"/>
  <c r="E1448" i="9"/>
  <c r="E1449" i="9" a="1"/>
  <c r="E1449" i="9"/>
  <c r="E1450" i="9" a="1"/>
  <c r="E1450" i="9"/>
  <c r="E1451" i="9" a="1"/>
  <c r="E1451" i="9"/>
  <c r="E1452" i="9" a="1"/>
  <c r="E1452" i="9"/>
  <c r="E1453" i="9" a="1"/>
  <c r="E1453" i="9"/>
  <c r="E1454" i="9" a="1"/>
  <c r="E1454" i="9"/>
  <c r="E1455" i="9" a="1"/>
  <c r="E1455" i="9"/>
  <c r="E1456" i="9" a="1"/>
  <c r="E1456" i="9"/>
  <c r="E1457" i="9" a="1"/>
  <c r="E1457" i="9"/>
  <c r="E1458" i="9" a="1"/>
  <c r="E1458" i="9"/>
  <c r="E1459" i="9" a="1"/>
  <c r="E1459" i="9"/>
  <c r="E1460" i="9" a="1"/>
  <c r="E1460" i="9"/>
  <c r="E1461" i="9" a="1"/>
  <c r="E1461" i="9"/>
  <c r="E1462" i="9" a="1"/>
  <c r="E1462" i="9"/>
  <c r="E1463" i="9" a="1"/>
  <c r="E1463" i="9"/>
  <c r="E1464" i="9" a="1"/>
  <c r="E1464" i="9"/>
  <c r="E1465" i="9" a="1"/>
  <c r="E1465" i="9"/>
  <c r="E1466" i="9" a="1"/>
  <c r="E1466" i="9"/>
  <c r="E1467" i="9" a="1"/>
  <c r="E1467" i="9"/>
  <c r="E1468" i="9" a="1"/>
  <c r="E1468" i="9"/>
  <c r="E1469" i="9" a="1"/>
  <c r="E1469" i="9"/>
  <c r="E1470" i="9" a="1"/>
  <c r="E1470" i="9"/>
  <c r="E1471" i="9" a="1"/>
  <c r="E1471" i="9"/>
  <c r="E1472" i="9" a="1"/>
  <c r="E1472" i="9"/>
  <c r="E1473" i="9" a="1"/>
  <c r="E1473" i="9"/>
  <c r="E1474" i="9" a="1"/>
  <c r="E1474" i="9"/>
  <c r="E1475" i="9" a="1"/>
  <c r="E1475" i="9"/>
  <c r="E1476" i="9" a="1"/>
  <c r="E1476" i="9"/>
  <c r="E1477" i="9" a="1"/>
  <c r="E1477" i="9"/>
  <c r="E1478" i="9" a="1"/>
  <c r="E1478" i="9"/>
  <c r="E1479" i="9" a="1"/>
  <c r="E1479" i="9"/>
  <c r="E1480" i="9" a="1"/>
  <c r="E1480" i="9"/>
  <c r="E1481" i="9" a="1"/>
  <c r="E1481" i="9"/>
  <c r="E1482" i="9" a="1"/>
  <c r="E1482" i="9"/>
  <c r="E1483" i="9" a="1"/>
  <c r="E1483" i="9"/>
  <c r="E1484" i="9" a="1"/>
  <c r="E1484" i="9"/>
  <c r="E1485" i="9" a="1"/>
  <c r="E1485" i="9"/>
  <c r="E1486" i="9" a="1"/>
  <c r="E1486" i="9"/>
  <c r="E1487" i="9" a="1"/>
  <c r="E1487" i="9"/>
  <c r="E1488" i="9" a="1"/>
  <c r="E1488" i="9"/>
  <c r="E1489" i="9" a="1"/>
  <c r="E1489" i="9"/>
  <c r="E1490" i="9" a="1"/>
  <c r="E1490" i="9"/>
  <c r="E1491" i="9" a="1"/>
  <c r="E1491" i="9"/>
  <c r="E1492" i="9" a="1"/>
  <c r="E1492" i="9"/>
  <c r="E1493" i="9" a="1"/>
  <c r="E1493" i="9"/>
  <c r="E1494" i="9" a="1"/>
  <c r="E1494" i="9"/>
  <c r="E1495" i="9" a="1"/>
  <c r="E1495" i="9"/>
  <c r="E1496" i="9" a="1"/>
  <c r="E1496" i="9"/>
  <c r="E1497" i="9" a="1"/>
  <c r="E1497" i="9"/>
  <c r="E1498" i="9" a="1"/>
  <c r="E1498" i="9"/>
  <c r="E1499" i="9" a="1"/>
  <c r="E1499" i="9"/>
  <c r="E1500" i="9" a="1"/>
  <c r="E1500" i="9"/>
  <c r="E1501" i="9" a="1"/>
  <c r="E1501" i="9"/>
  <c r="E1502" i="9" a="1"/>
  <c r="E1502" i="9"/>
  <c r="E1503" i="9" a="1"/>
  <c r="E1503" i="9"/>
  <c r="E1504" i="9" a="1"/>
  <c r="E1504" i="9"/>
  <c r="E1505" i="9" a="1"/>
  <c r="E1505" i="9"/>
  <c r="E1506" i="9" a="1"/>
  <c r="E1506" i="9"/>
  <c r="E1507" i="9" a="1"/>
  <c r="E1507" i="9"/>
  <c r="E1508" i="9" a="1"/>
  <c r="E1508" i="9"/>
  <c r="E1509" i="9" a="1"/>
  <c r="E1509" i="9"/>
  <c r="E1510" i="9" a="1"/>
  <c r="E1510" i="9"/>
  <c r="E1511" i="9" a="1"/>
  <c r="E1511" i="9"/>
  <c r="E1512" i="9" a="1"/>
  <c r="E1512" i="9"/>
  <c r="E1513" i="9" a="1"/>
  <c r="E1513" i="9"/>
  <c r="E1514" i="9" a="1"/>
  <c r="E1514" i="9"/>
  <c r="E1515" i="9" a="1"/>
  <c r="E1515" i="9"/>
  <c r="E1516" i="9" a="1"/>
  <c r="E1516" i="9"/>
  <c r="E1517" i="9" a="1"/>
  <c r="E1517" i="9"/>
  <c r="E1518" i="9" a="1"/>
  <c r="E1518" i="9"/>
  <c r="E1519" i="9" a="1"/>
  <c r="E1519" i="9"/>
  <c r="E1520" i="9" a="1"/>
  <c r="E1520" i="9"/>
  <c r="E1521" i="9" a="1"/>
  <c r="E1521" i="9"/>
  <c r="E1522" i="9" a="1"/>
  <c r="E1522" i="9"/>
  <c r="E1523" i="9" a="1"/>
  <c r="E1523" i="9"/>
  <c r="E1524" i="9" a="1"/>
  <c r="E1524" i="9"/>
  <c r="E1525" i="9" a="1"/>
  <c r="E1525" i="9"/>
  <c r="E1526" i="9" a="1"/>
  <c r="E1526" i="9"/>
  <c r="E1527" i="9" a="1"/>
  <c r="E1527" i="9"/>
  <c r="E1528" i="9" a="1"/>
  <c r="E1528" i="9"/>
  <c r="E1529" i="9" a="1"/>
  <c r="E1529" i="9"/>
  <c r="E1530" i="9" a="1"/>
  <c r="E1530" i="9"/>
  <c r="E1531" i="9" a="1"/>
  <c r="E1531" i="9"/>
  <c r="E1532" i="9" a="1"/>
  <c r="E1532" i="9"/>
  <c r="E1533" i="9" a="1"/>
  <c r="E1533" i="9"/>
  <c r="E1534" i="9" a="1"/>
  <c r="E1534" i="9"/>
  <c r="E1535" i="9" a="1"/>
  <c r="E1535" i="9"/>
  <c r="E1536" i="9" a="1"/>
  <c r="E1536" i="9"/>
  <c r="E1537" i="9" a="1"/>
  <c r="E1537" i="9"/>
  <c r="E1538" i="9" a="1"/>
  <c r="E1538" i="9"/>
  <c r="E1539" i="9" a="1"/>
  <c r="E1539" i="9"/>
  <c r="E1540" i="9" a="1"/>
  <c r="E1540" i="9"/>
  <c r="E1541" i="9" a="1"/>
  <c r="E1541" i="9"/>
  <c r="E1542" i="9" a="1"/>
  <c r="E1542" i="9"/>
  <c r="E1543" i="9" a="1"/>
  <c r="E1543" i="9"/>
  <c r="E1544" i="9" a="1"/>
  <c r="E1544" i="9"/>
  <c r="E1545" i="9" a="1"/>
  <c r="E1545" i="9"/>
  <c r="E1546" i="9" a="1"/>
  <c r="E1546" i="9"/>
  <c r="E1547" i="9" a="1"/>
  <c r="E1547" i="9"/>
  <c r="E1548" i="9" a="1"/>
  <c r="E1548" i="9"/>
  <c r="E1549" i="9" a="1"/>
  <c r="E1549" i="9"/>
  <c r="E1550" i="9" a="1"/>
  <c r="E1550" i="9"/>
  <c r="E1551" i="9" a="1"/>
  <c r="E1551" i="9"/>
  <c r="E1552" i="9" a="1"/>
  <c r="E1552" i="9"/>
  <c r="E1553" i="9" a="1"/>
  <c r="E1553" i="9"/>
  <c r="E1554" i="9" a="1"/>
  <c r="E1554" i="9"/>
  <c r="E1555" i="9" a="1"/>
  <c r="E1555" i="9"/>
  <c r="E1556" i="9" a="1"/>
  <c r="E1556" i="9"/>
  <c r="E1557" i="9" a="1"/>
  <c r="E1557" i="9"/>
  <c r="E1558" i="9" a="1"/>
  <c r="E1558" i="9"/>
  <c r="E1559" i="9" a="1"/>
  <c r="E1559" i="9"/>
  <c r="E1560" i="9" a="1"/>
  <c r="E1560" i="9"/>
  <c r="E1561" i="9" a="1"/>
  <c r="E1561" i="9"/>
  <c r="E1562" i="9" a="1"/>
  <c r="E1562" i="9"/>
  <c r="E1563" i="9" a="1"/>
  <c r="E1563" i="9"/>
  <c r="E1564" i="9" a="1"/>
  <c r="E1564" i="9"/>
  <c r="E1565" i="9" a="1"/>
  <c r="E1565" i="9"/>
  <c r="E1566" i="9" a="1"/>
  <c r="E1566" i="9"/>
  <c r="E1567" i="9" a="1"/>
  <c r="E1567" i="9"/>
  <c r="E1568" i="9" a="1"/>
  <c r="E1568" i="9"/>
  <c r="E1569" i="9" a="1"/>
  <c r="E1569" i="9"/>
  <c r="E1570" i="9" a="1"/>
  <c r="E1570" i="9"/>
  <c r="E1571" i="9" a="1"/>
  <c r="E1571" i="9"/>
  <c r="E1572" i="9" a="1"/>
  <c r="E1572" i="9"/>
  <c r="E1573" i="9" a="1"/>
  <c r="E1573" i="9"/>
  <c r="E1574" i="9" a="1"/>
  <c r="E1574" i="9"/>
  <c r="E1575" i="9" a="1"/>
  <c r="E1575" i="9"/>
  <c r="E1576" i="9" a="1"/>
  <c r="E1576" i="9"/>
  <c r="E1577" i="9" a="1"/>
  <c r="E1577" i="9"/>
  <c r="E1578" i="9" a="1"/>
  <c r="E1578" i="9"/>
  <c r="E1579" i="9" a="1"/>
  <c r="E1579" i="9"/>
  <c r="E1580" i="9" a="1"/>
  <c r="E1580" i="9"/>
  <c r="E1581" i="9" a="1"/>
  <c r="E1581" i="9"/>
  <c r="E1582" i="9" a="1"/>
  <c r="E1582" i="9"/>
  <c r="E1583" i="9" a="1"/>
  <c r="E1583" i="9"/>
  <c r="E1584" i="9" a="1"/>
  <c r="E1584" i="9"/>
  <c r="E1585" i="9" a="1"/>
  <c r="E1585" i="9"/>
  <c r="E1586" i="9" a="1"/>
  <c r="E1586" i="9"/>
  <c r="E1587" i="9" a="1"/>
  <c r="E1587" i="9"/>
  <c r="E1588" i="9" a="1"/>
  <c r="E1588" i="9"/>
  <c r="E1589" i="9" a="1"/>
  <c r="E1589" i="9"/>
  <c r="E1590" i="9" a="1"/>
  <c r="E1590" i="9"/>
  <c r="E1591" i="9" a="1"/>
  <c r="E1591" i="9"/>
  <c r="E1592" i="9" a="1"/>
  <c r="E1592" i="9"/>
  <c r="E1593" i="9" a="1"/>
  <c r="E1593" i="9"/>
  <c r="E1594" i="9" a="1"/>
  <c r="E1594" i="9"/>
  <c r="E1595" i="9" a="1"/>
  <c r="E1595" i="9"/>
  <c r="E1596" i="9" a="1"/>
  <c r="E1596" i="9"/>
  <c r="E1597" i="9" a="1"/>
  <c r="E1597" i="9"/>
  <c r="E1598" i="9" a="1"/>
  <c r="E1598" i="9"/>
  <c r="E1599" i="9" a="1"/>
  <c r="E1599" i="9"/>
  <c r="E1600" i="9" a="1"/>
  <c r="E1600" i="9"/>
  <c r="E1601" i="9" a="1"/>
  <c r="E1601" i="9"/>
  <c r="E1602" i="9" a="1"/>
  <c r="E1602" i="9"/>
  <c r="E1603" i="9" a="1"/>
  <c r="E1603" i="9"/>
  <c r="E1604" i="9" a="1"/>
  <c r="E1604" i="9"/>
  <c r="E1605" i="9" a="1"/>
  <c r="E1605" i="9"/>
  <c r="E1606" i="9" a="1"/>
  <c r="E1606" i="9"/>
  <c r="E1607" i="9" a="1"/>
  <c r="E1607" i="9"/>
  <c r="E1608" i="9" a="1"/>
  <c r="E1608" i="9"/>
  <c r="E1609" i="9" a="1"/>
  <c r="E1609" i="9"/>
  <c r="E1610" i="9" a="1"/>
  <c r="E1610" i="9"/>
  <c r="E1611" i="9" a="1"/>
  <c r="E1611" i="9"/>
  <c r="E1612" i="9" a="1"/>
  <c r="E1612" i="9"/>
  <c r="E1613" i="9" a="1"/>
  <c r="E1613" i="9"/>
  <c r="E1614" i="9" a="1"/>
  <c r="E1614" i="9"/>
  <c r="E1615" i="9" a="1"/>
  <c r="E1615" i="9"/>
  <c r="E1616" i="9" a="1"/>
  <c r="E1616" i="9"/>
  <c r="E1617" i="9" a="1"/>
  <c r="E1617" i="9"/>
  <c r="E1618" i="9" a="1"/>
  <c r="E1618" i="9"/>
  <c r="E1619" i="9" a="1"/>
  <c r="E1619" i="9"/>
  <c r="E1620" i="9" a="1"/>
  <c r="E1620" i="9"/>
  <c r="E1621" i="9" a="1"/>
  <c r="E1621" i="9"/>
  <c r="E1622" i="9" a="1"/>
  <c r="E1622" i="9"/>
  <c r="E1623" i="9" a="1"/>
  <c r="E1623" i="9"/>
  <c r="E1624" i="9" a="1"/>
  <c r="E1624" i="9"/>
  <c r="E1625" i="9" a="1"/>
  <c r="E1625" i="9"/>
  <c r="E1626" i="9" a="1"/>
  <c r="E1626" i="9"/>
  <c r="E1627" i="9" a="1"/>
  <c r="E1627" i="9"/>
  <c r="E1628" i="9" a="1"/>
  <c r="E1628" i="9"/>
  <c r="E1629" i="9" a="1"/>
  <c r="E1629" i="9"/>
  <c r="E1630" i="9" a="1"/>
  <c r="E1630" i="9"/>
  <c r="E1631" i="9" a="1"/>
  <c r="E1631" i="9"/>
  <c r="E1632" i="9" a="1"/>
  <c r="E1632" i="9"/>
  <c r="E1633" i="9" a="1"/>
  <c r="E1633" i="9"/>
  <c r="E1634" i="9" a="1"/>
  <c r="E1634" i="9"/>
  <c r="E1635" i="9" a="1"/>
  <c r="E1635" i="9"/>
  <c r="E1636" i="9" a="1"/>
  <c r="E1636" i="9"/>
  <c r="E1637" i="9" a="1"/>
  <c r="E1637" i="9"/>
  <c r="E1638" i="9" a="1"/>
  <c r="E1638" i="9"/>
  <c r="E1639" i="9" a="1"/>
  <c r="E1639" i="9"/>
  <c r="E1640" i="9" a="1"/>
  <c r="E1640" i="9"/>
  <c r="E1641" i="9" a="1"/>
  <c r="E1641" i="9"/>
  <c r="E1642" i="9" a="1"/>
  <c r="E1642" i="9"/>
  <c r="E1643" i="9" a="1"/>
  <c r="E1643" i="9"/>
  <c r="E1644" i="9" a="1"/>
  <c r="E1644" i="9"/>
  <c r="E1645" i="9" a="1"/>
  <c r="E1645" i="9"/>
  <c r="E1646" i="9" a="1"/>
  <c r="E1646" i="9"/>
  <c r="E1647" i="9" a="1"/>
  <c r="E1647" i="9"/>
  <c r="E1648" i="9" a="1"/>
  <c r="E1648" i="9"/>
  <c r="E1649" i="9" a="1"/>
  <c r="E1649" i="9"/>
  <c r="E1650" i="9" a="1"/>
  <c r="E1650" i="9"/>
  <c r="E1651" i="9" a="1"/>
  <c r="E1651" i="9"/>
  <c r="E1652" i="9" a="1"/>
  <c r="E1652" i="9"/>
  <c r="E1653" i="9" a="1"/>
  <c r="E1653" i="9"/>
  <c r="E1654" i="9" a="1"/>
  <c r="E1654" i="9"/>
  <c r="E1655" i="9" a="1"/>
  <c r="E1655" i="9"/>
  <c r="E1656" i="9" a="1"/>
  <c r="E1656" i="9"/>
  <c r="E1657" i="9" a="1"/>
  <c r="E1657" i="9"/>
  <c r="E1658" i="9" a="1"/>
  <c r="E1658" i="9"/>
  <c r="E1659" i="9" a="1"/>
  <c r="E1659" i="9"/>
  <c r="E1660" i="9" a="1"/>
  <c r="E1660" i="9"/>
  <c r="E1661" i="9" a="1"/>
  <c r="E1661" i="9"/>
  <c r="E1662" i="9" a="1"/>
  <c r="E1662" i="9"/>
  <c r="E1663" i="9" a="1"/>
  <c r="E1663" i="9"/>
  <c r="E1664" i="9" a="1"/>
  <c r="E1664" i="9"/>
  <c r="E1665" i="9" a="1"/>
  <c r="E1665" i="9"/>
  <c r="E1666" i="9" a="1"/>
  <c r="E1666" i="9"/>
  <c r="E1667" i="9" a="1"/>
  <c r="E1667" i="9"/>
  <c r="E1668" i="9" a="1"/>
  <c r="E1668" i="9"/>
  <c r="E1669" i="9" a="1"/>
  <c r="E1669" i="9"/>
  <c r="E1670" i="9" a="1"/>
  <c r="E1670" i="9"/>
  <c r="E1671" i="9" a="1"/>
  <c r="E1671" i="9"/>
  <c r="E1672" i="9" a="1"/>
  <c r="E1672" i="9"/>
  <c r="E1673" i="9" a="1"/>
  <c r="E1673" i="9"/>
  <c r="E1674" i="9" a="1"/>
  <c r="E1674" i="9"/>
  <c r="E1675" i="9" a="1"/>
  <c r="E1675" i="9"/>
  <c r="E1676" i="9" a="1"/>
  <c r="E1676" i="9"/>
  <c r="E1677" i="9" a="1"/>
  <c r="E1677" i="9"/>
  <c r="E1678" i="9" a="1"/>
  <c r="E1678" i="9"/>
  <c r="E1679" i="9" a="1"/>
  <c r="E1679" i="9"/>
  <c r="E1680" i="9" a="1"/>
  <c r="E1680" i="9"/>
  <c r="E1681" i="9" a="1"/>
  <c r="E1681" i="9"/>
  <c r="E1682" i="9" a="1"/>
  <c r="E1682" i="9"/>
  <c r="E1683" i="9" a="1"/>
  <c r="E1683" i="9"/>
  <c r="E1684" i="9" a="1"/>
  <c r="E1684" i="9"/>
  <c r="E1685" i="9" a="1"/>
  <c r="E1685" i="9"/>
  <c r="E1686" i="9" a="1"/>
  <c r="E1686" i="9"/>
  <c r="E1687" i="9" a="1"/>
  <c r="E1687" i="9"/>
  <c r="E1688" i="9" a="1"/>
  <c r="E1688" i="9"/>
  <c r="E1689" i="9" a="1"/>
  <c r="E1689" i="9"/>
  <c r="E1690" i="9" a="1"/>
  <c r="E1690" i="9"/>
  <c r="E1691" i="9" a="1"/>
  <c r="E1691" i="9"/>
  <c r="E1692" i="9" a="1"/>
  <c r="E1692" i="9"/>
  <c r="E1693" i="9" a="1"/>
  <c r="E1693" i="9"/>
  <c r="E1694" i="9" a="1"/>
  <c r="E1694" i="9"/>
  <c r="E1695" i="9" a="1"/>
  <c r="E1695" i="9"/>
  <c r="E1696" i="9" a="1"/>
  <c r="E1696" i="9"/>
  <c r="E1697" i="9" a="1"/>
  <c r="E1697" i="9"/>
  <c r="E1698" i="9" a="1"/>
  <c r="E1698" i="9"/>
  <c r="E1699" i="9" a="1"/>
  <c r="E1699" i="9"/>
  <c r="E1700" i="9" a="1"/>
  <c r="E1700" i="9"/>
  <c r="E1701" i="9" a="1"/>
  <c r="E1701" i="9"/>
  <c r="E1702" i="9" a="1"/>
  <c r="E1702" i="9"/>
  <c r="E1703" i="9" a="1"/>
  <c r="E1703" i="9"/>
  <c r="E1704" i="9" a="1"/>
  <c r="E1704" i="9"/>
  <c r="E1705" i="9" a="1"/>
  <c r="E1705" i="9"/>
  <c r="E1706" i="9" a="1"/>
  <c r="E1706" i="9"/>
  <c r="E1707" i="9" a="1"/>
  <c r="E1707" i="9"/>
  <c r="E1708" i="9" a="1"/>
  <c r="E1708" i="9"/>
  <c r="E1709" i="9" a="1"/>
  <c r="E1709" i="9"/>
  <c r="E1710" i="9" a="1"/>
  <c r="E1710" i="9"/>
  <c r="E1711" i="9" a="1"/>
  <c r="E1711" i="9"/>
  <c r="E1712" i="9" a="1"/>
  <c r="E1712" i="9"/>
  <c r="E1713" i="9" a="1"/>
  <c r="E1713" i="9"/>
  <c r="E1714" i="9" a="1"/>
  <c r="E1714" i="9"/>
  <c r="E1715" i="9" a="1"/>
  <c r="E1715" i="9"/>
  <c r="E1716" i="9" a="1"/>
  <c r="E1716" i="9"/>
  <c r="E1717" i="9" a="1"/>
  <c r="E1717" i="9"/>
  <c r="E1718" i="9" a="1"/>
  <c r="E1718" i="9"/>
  <c r="E1719" i="9" a="1"/>
  <c r="E1719" i="9"/>
  <c r="E1720" i="9" a="1"/>
  <c r="E1720" i="9"/>
  <c r="E1721" i="9" a="1"/>
  <c r="E1721" i="9"/>
  <c r="E1722" i="9" a="1"/>
  <c r="E1722" i="9"/>
  <c r="E1723" i="9" a="1"/>
  <c r="E1723" i="9"/>
  <c r="E1724" i="9" a="1"/>
  <c r="E1724" i="9"/>
  <c r="E1725" i="9" a="1"/>
  <c r="E1725" i="9"/>
  <c r="E1726" i="9" a="1"/>
  <c r="E1726" i="9"/>
  <c r="E1727" i="9" a="1"/>
  <c r="E1727" i="9"/>
  <c r="E1728" i="9" a="1"/>
  <c r="E1728" i="9"/>
  <c r="E1729" i="9" a="1"/>
  <c r="E1729" i="9"/>
  <c r="E1730" i="9" a="1"/>
  <c r="E1730" i="9"/>
  <c r="E1731" i="9" a="1"/>
  <c r="E1731" i="9"/>
  <c r="E1732" i="9" a="1"/>
  <c r="E1732" i="9"/>
  <c r="E1733" i="9" a="1"/>
  <c r="E1733" i="9"/>
  <c r="E1734" i="9" a="1"/>
  <c r="E1734" i="9"/>
  <c r="E1735" i="9" a="1"/>
  <c r="E1735" i="9"/>
  <c r="E1736" i="9" a="1"/>
  <c r="E1736" i="9"/>
  <c r="E1737" i="9" a="1"/>
  <c r="E1737" i="9"/>
  <c r="E1738" i="9" a="1"/>
  <c r="E1738" i="9"/>
  <c r="E1739" i="9" a="1"/>
  <c r="E1739" i="9"/>
  <c r="E1740" i="9" a="1"/>
  <c r="E1740" i="9"/>
  <c r="E1741" i="9" a="1"/>
  <c r="E1741" i="9"/>
  <c r="E1742" i="9" a="1"/>
  <c r="E1742" i="9"/>
  <c r="E1743" i="9" a="1"/>
  <c r="E1743" i="9"/>
  <c r="E1744" i="9" a="1"/>
  <c r="E1744" i="9"/>
  <c r="E1745" i="9" a="1"/>
  <c r="E1745" i="9"/>
  <c r="E1746" i="9" a="1"/>
  <c r="E1746" i="9"/>
  <c r="E1747" i="9" a="1"/>
  <c r="E1747" i="9"/>
  <c r="E1748" i="9" a="1"/>
  <c r="E1748" i="9"/>
  <c r="E1749" i="9" a="1"/>
  <c r="E1749" i="9"/>
  <c r="E1750" i="9" a="1"/>
  <c r="E1750" i="9"/>
  <c r="E1751" i="9" a="1"/>
  <c r="E1751" i="9"/>
  <c r="E1752" i="9" a="1"/>
  <c r="E1752" i="9"/>
  <c r="E1753" i="9" a="1"/>
  <c r="E1753" i="9"/>
  <c r="E1754" i="9" a="1"/>
  <c r="E1754" i="9"/>
  <c r="E1755" i="9" a="1"/>
  <c r="E1755" i="9"/>
  <c r="E1756" i="9" a="1"/>
  <c r="E1756" i="9"/>
  <c r="E1757" i="9" a="1"/>
  <c r="E1757" i="9"/>
  <c r="E1758" i="9" a="1"/>
  <c r="E1758" i="9"/>
  <c r="E1759" i="9" a="1"/>
  <c r="E1759" i="9"/>
  <c r="E1760" i="9" a="1"/>
  <c r="E1760" i="9"/>
  <c r="E1761" i="9" a="1"/>
  <c r="E1761" i="9"/>
  <c r="E1762" i="9" a="1"/>
  <c r="E1762" i="9"/>
  <c r="E1763" i="9" a="1"/>
  <c r="E1763" i="9"/>
  <c r="E1764" i="9" a="1"/>
  <c r="E1764" i="9"/>
  <c r="E1765" i="9" a="1"/>
  <c r="E1765" i="9"/>
  <c r="E1766" i="9" a="1"/>
  <c r="E1766" i="9"/>
  <c r="E1767" i="9" a="1"/>
  <c r="E1767" i="9"/>
  <c r="E1768" i="9" a="1"/>
  <c r="E1768" i="9"/>
  <c r="E1769" i="9" a="1"/>
  <c r="E1769" i="9"/>
  <c r="E1770" i="9" a="1"/>
  <c r="E1770" i="9"/>
  <c r="E1771" i="9" a="1"/>
  <c r="E1771" i="9"/>
  <c r="E1772" i="9" a="1"/>
  <c r="E1772" i="9"/>
  <c r="E1773" i="9" a="1"/>
  <c r="E1773" i="9"/>
  <c r="E1774" i="9" a="1"/>
  <c r="E1774" i="9"/>
  <c r="E1775" i="9" a="1"/>
  <c r="E1775" i="9"/>
  <c r="E1776" i="9" a="1"/>
  <c r="E1776" i="9"/>
  <c r="E1777" i="9" a="1"/>
  <c r="E1777" i="9"/>
  <c r="E1778" i="9" a="1"/>
  <c r="E1778" i="9"/>
  <c r="E1779" i="9" a="1"/>
  <c r="E1779" i="9"/>
  <c r="E1780" i="9" a="1"/>
  <c r="E1780" i="9"/>
  <c r="E1781" i="9" a="1"/>
  <c r="E1781" i="9"/>
  <c r="E1782" i="9" a="1"/>
  <c r="E1782" i="9"/>
  <c r="E1783" i="9" a="1"/>
  <c r="E1783" i="9"/>
  <c r="E1784" i="9" a="1"/>
  <c r="E1784" i="9"/>
  <c r="E1785" i="9" a="1"/>
  <c r="E1785" i="9"/>
  <c r="E1786" i="9" a="1"/>
  <c r="E1786" i="9"/>
  <c r="E1787" i="9" a="1"/>
  <c r="E1787" i="9"/>
  <c r="E1788" i="9" a="1"/>
  <c r="E1788" i="9"/>
  <c r="E1789" i="9" a="1"/>
  <c r="E1789" i="9"/>
  <c r="E1790" i="9" a="1"/>
  <c r="E1790" i="9"/>
  <c r="E1791" i="9" a="1"/>
  <c r="E1791" i="9"/>
  <c r="E1792" i="9" a="1"/>
  <c r="E1792" i="9"/>
  <c r="E1793" i="9" a="1"/>
  <c r="E1793" i="9"/>
  <c r="E1794" i="9" a="1"/>
  <c r="E1794" i="9"/>
  <c r="E1795" i="9" a="1"/>
  <c r="E1795" i="9"/>
  <c r="E1796" i="9" a="1"/>
  <c r="E1796" i="9"/>
  <c r="E1797" i="9" a="1"/>
  <c r="E1797" i="9"/>
  <c r="E1798" i="9" a="1"/>
  <c r="E1798" i="9"/>
  <c r="E1799" i="9" a="1"/>
  <c r="E1799" i="9"/>
  <c r="E1800" i="9" a="1"/>
  <c r="E1800" i="9"/>
  <c r="E1801" i="9" a="1"/>
  <c r="E1801" i="9"/>
  <c r="E1802" i="9" a="1"/>
  <c r="E1802" i="9"/>
  <c r="E1803" i="9" a="1"/>
  <c r="E1803" i="9"/>
  <c r="E1804" i="9" a="1"/>
  <c r="E1804" i="9"/>
  <c r="E1805" i="9" a="1"/>
  <c r="E1805" i="9"/>
  <c r="E1806" i="9" a="1"/>
  <c r="E1806" i="9"/>
  <c r="E1807" i="9" a="1"/>
  <c r="E1807" i="9"/>
  <c r="E1808" i="9" a="1"/>
  <c r="E1808" i="9"/>
  <c r="E1809" i="9" a="1"/>
  <c r="E1809" i="9"/>
  <c r="E1810" i="9" a="1"/>
  <c r="E1810" i="9"/>
  <c r="E1811" i="9" a="1"/>
  <c r="E1811" i="9"/>
  <c r="E1812" i="9" a="1"/>
  <c r="E1812" i="9"/>
  <c r="E1813" i="9" a="1"/>
  <c r="E1813" i="9"/>
  <c r="E1814" i="9" a="1"/>
  <c r="E1814" i="9"/>
  <c r="E1815" i="9" a="1"/>
  <c r="E1815" i="9"/>
  <c r="E1816" i="9" a="1"/>
  <c r="E1816" i="9"/>
  <c r="E1817" i="9" a="1"/>
  <c r="E1817" i="9"/>
  <c r="E1818" i="9" a="1"/>
  <c r="E1818" i="9"/>
  <c r="E1819" i="9" a="1"/>
  <c r="E1819" i="9"/>
  <c r="E1820" i="9" a="1"/>
  <c r="E1820" i="9"/>
  <c r="E1821" i="9" a="1"/>
  <c r="E1821" i="9"/>
  <c r="E1822" i="9" a="1"/>
  <c r="E1822" i="9"/>
  <c r="E1823" i="9" a="1"/>
  <c r="E1823" i="9"/>
  <c r="E1824" i="9" a="1"/>
  <c r="E1824" i="9"/>
  <c r="E1825" i="9" a="1"/>
  <c r="E1825" i="9"/>
  <c r="E1826" i="9" a="1"/>
  <c r="E1826" i="9"/>
  <c r="E1827" i="9" a="1"/>
  <c r="E1827" i="9"/>
  <c r="E1828" i="9" a="1"/>
  <c r="E1828" i="9"/>
  <c r="E1829" i="9" a="1"/>
  <c r="E1829" i="9"/>
  <c r="E1830" i="9" a="1"/>
  <c r="E1830" i="9"/>
  <c r="E1831" i="9" a="1"/>
  <c r="E1831" i="9"/>
  <c r="E1832" i="9" a="1"/>
  <c r="E1832" i="9"/>
  <c r="E1833" i="9" a="1"/>
  <c r="E1833" i="9"/>
  <c r="E1834" i="9" a="1"/>
  <c r="E1834" i="9"/>
  <c r="E1835" i="9" a="1"/>
  <c r="E1835" i="9"/>
  <c r="E1836" i="9" a="1"/>
  <c r="E1836" i="9"/>
  <c r="E1837" i="9" a="1"/>
  <c r="E1837" i="9"/>
  <c r="E1838" i="9" a="1"/>
  <c r="E1838" i="9"/>
  <c r="E1839" i="9" a="1"/>
  <c r="E1839" i="9"/>
  <c r="E1840" i="9" a="1"/>
  <c r="E1840" i="9"/>
  <c r="E1841" i="9" a="1"/>
  <c r="E1841" i="9"/>
  <c r="E1842" i="9" a="1"/>
  <c r="E1842" i="9"/>
  <c r="E1843" i="9" a="1"/>
  <c r="E1843" i="9"/>
  <c r="E1844" i="9" a="1"/>
  <c r="E1844" i="9"/>
  <c r="E1845" i="9" a="1"/>
  <c r="E1845" i="9"/>
  <c r="E1846" i="9" a="1"/>
  <c r="E1846" i="9"/>
  <c r="E1847" i="9" a="1"/>
  <c r="E1847" i="9"/>
  <c r="E1848" i="9" a="1"/>
  <c r="E1848" i="9"/>
  <c r="E1849" i="9" a="1"/>
  <c r="E1849" i="9"/>
  <c r="E1850" i="9" a="1"/>
  <c r="E1850" i="9"/>
  <c r="E1851" i="9" a="1"/>
  <c r="E1851" i="9"/>
  <c r="E1852" i="9" a="1"/>
  <c r="E1852" i="9"/>
  <c r="E1853" i="9" a="1"/>
  <c r="E1853" i="9"/>
  <c r="E1854" i="9" a="1"/>
  <c r="E1854" i="9"/>
  <c r="E1855" i="9" a="1"/>
  <c r="E1855" i="9"/>
  <c r="E1856" i="9" a="1"/>
  <c r="E1856" i="9"/>
  <c r="E1857" i="9" a="1"/>
  <c r="E1857" i="9"/>
  <c r="E1858" i="9" a="1"/>
  <c r="E1858" i="9"/>
  <c r="E1859" i="9" a="1"/>
  <c r="E1859" i="9"/>
  <c r="E1860" i="9" a="1"/>
  <c r="E1860" i="9"/>
  <c r="E1861" i="9" a="1"/>
  <c r="E1861" i="9"/>
  <c r="E1862" i="9" a="1"/>
  <c r="E1862" i="9"/>
  <c r="E1863" i="9" a="1"/>
  <c r="E1863" i="9"/>
  <c r="E1864" i="9" a="1"/>
  <c r="E1864" i="9"/>
  <c r="E1865" i="9" a="1"/>
  <c r="E1865" i="9"/>
  <c r="E1866" i="9" a="1"/>
  <c r="E1866" i="9"/>
  <c r="E1867" i="9" a="1"/>
  <c r="E1867" i="9"/>
  <c r="E1868" i="9" a="1"/>
  <c r="E1868" i="9"/>
  <c r="E1869" i="9" a="1"/>
  <c r="E1869" i="9"/>
  <c r="E1870" i="9" a="1"/>
  <c r="E1870" i="9"/>
  <c r="E1871" i="9" a="1"/>
  <c r="E1871" i="9"/>
  <c r="E1872" i="9" a="1"/>
  <c r="E1872" i="9"/>
  <c r="E1873" i="9" a="1"/>
  <c r="E1873" i="9"/>
  <c r="E1874" i="9" a="1"/>
  <c r="E1874" i="9"/>
  <c r="E1875" i="9" a="1"/>
  <c r="E1875" i="9"/>
  <c r="E1876" i="9" a="1"/>
  <c r="E1876" i="9"/>
  <c r="E1877" i="9" a="1"/>
  <c r="E1877" i="9"/>
  <c r="E1878" i="9" a="1"/>
  <c r="E1878" i="9"/>
  <c r="E1879" i="9" a="1"/>
  <c r="E1879" i="9"/>
  <c r="E1880" i="9" a="1"/>
  <c r="E1880" i="9"/>
  <c r="E1881" i="9" a="1"/>
  <c r="E1881" i="9"/>
  <c r="E1882" i="9" a="1"/>
  <c r="E1882" i="9"/>
  <c r="E1883" i="9" a="1"/>
  <c r="E1883" i="9"/>
  <c r="E1884" i="9" a="1"/>
  <c r="E1884" i="9"/>
  <c r="E1885" i="9" a="1"/>
  <c r="E1885" i="9"/>
  <c r="E1886" i="9" a="1"/>
  <c r="E1886" i="9"/>
  <c r="E1887" i="9" a="1"/>
  <c r="E1887" i="9"/>
  <c r="E1888" i="9" a="1"/>
  <c r="E1888" i="9"/>
  <c r="E1889" i="9" a="1"/>
  <c r="E1889" i="9"/>
  <c r="E1890" i="9" a="1"/>
  <c r="E1890" i="9"/>
  <c r="E1891" i="9" a="1"/>
  <c r="E1891" i="9"/>
  <c r="E1892" i="9" a="1"/>
  <c r="E1892" i="9"/>
  <c r="E1893" i="9" a="1"/>
  <c r="E1893" i="9"/>
  <c r="E1894" i="9" a="1"/>
  <c r="E1894" i="9"/>
  <c r="E1895" i="9" a="1"/>
  <c r="E1895" i="9"/>
  <c r="E1896" i="9" a="1"/>
  <c r="E1896" i="9"/>
  <c r="E1897" i="9" a="1"/>
  <c r="E1897" i="9"/>
  <c r="E1898" i="9" a="1"/>
  <c r="E1898" i="9"/>
  <c r="E1899" i="9" a="1"/>
  <c r="E1899" i="9"/>
  <c r="E1900" i="9" a="1"/>
  <c r="E1900" i="9"/>
  <c r="E1901" i="9" a="1"/>
  <c r="E1901" i="9"/>
  <c r="E1902" i="9" a="1"/>
  <c r="E1902" i="9"/>
  <c r="E1903" i="9" a="1"/>
  <c r="E1903" i="9"/>
  <c r="E1904" i="9" a="1"/>
  <c r="E1904" i="9"/>
  <c r="E1905" i="9" a="1"/>
  <c r="E1905" i="9"/>
  <c r="E1906" i="9" a="1"/>
  <c r="E1906" i="9"/>
  <c r="E1907" i="9" a="1"/>
  <c r="E1907" i="9"/>
  <c r="E1908" i="9" a="1"/>
  <c r="E1908" i="9"/>
  <c r="E1909" i="9" a="1"/>
  <c r="E1909" i="9"/>
  <c r="E1910" i="9" a="1"/>
  <c r="E1910" i="9"/>
  <c r="E1911" i="9" a="1"/>
  <c r="E1911" i="9"/>
  <c r="E1912" i="9" a="1"/>
  <c r="E1912" i="9"/>
  <c r="E1913" i="9" a="1"/>
  <c r="E1913" i="9"/>
  <c r="E1914" i="9" a="1"/>
  <c r="E1914" i="9"/>
  <c r="E1915" i="9" a="1"/>
  <c r="E1915" i="9"/>
  <c r="E1916" i="9" a="1"/>
  <c r="E1916" i="9"/>
  <c r="E1917" i="9" a="1"/>
  <c r="E1917" i="9"/>
  <c r="E1918" i="9" a="1"/>
  <c r="E1918" i="9"/>
  <c r="E1919" i="9" a="1"/>
  <c r="E1919" i="9"/>
  <c r="E1920" i="9" a="1"/>
  <c r="E1920" i="9"/>
  <c r="E1921" i="9" a="1"/>
  <c r="E1921" i="9"/>
  <c r="E1922" i="9" a="1"/>
  <c r="E1922" i="9"/>
  <c r="E1923" i="9" a="1"/>
  <c r="E1923" i="9"/>
  <c r="E1924" i="9" a="1"/>
  <c r="E1924" i="9"/>
  <c r="E1925" i="9" a="1"/>
  <c r="E1925" i="9"/>
  <c r="E1926" i="9" a="1"/>
  <c r="E1926" i="9"/>
  <c r="E1927" i="9" a="1"/>
  <c r="E1927" i="9"/>
  <c r="E1928" i="9" a="1"/>
  <c r="E1928" i="9"/>
  <c r="E1929" i="9" a="1"/>
  <c r="E1929" i="9"/>
  <c r="E1930" i="9" a="1"/>
  <c r="E1930" i="9"/>
  <c r="E1931" i="9" a="1"/>
  <c r="E1931" i="9"/>
  <c r="E1932" i="9" a="1"/>
  <c r="E1932" i="9"/>
  <c r="E1933" i="9" a="1"/>
  <c r="E1933" i="9"/>
  <c r="E1934" i="9" a="1"/>
  <c r="E1934" i="9"/>
  <c r="E1935" i="9" a="1"/>
  <c r="E1935" i="9"/>
  <c r="E1936" i="9" a="1"/>
  <c r="E1936" i="9"/>
  <c r="E1937" i="9" a="1"/>
  <c r="E1937" i="9"/>
  <c r="E1938" i="9" a="1"/>
  <c r="E1938" i="9"/>
  <c r="E1939" i="9" a="1"/>
  <c r="E1939" i="9"/>
  <c r="E1940" i="9" a="1"/>
  <c r="E1940" i="9"/>
  <c r="E1941" i="9" a="1"/>
  <c r="E1941" i="9"/>
  <c r="E1942" i="9" a="1"/>
  <c r="E1942" i="9"/>
  <c r="E1943" i="9" a="1"/>
  <c r="E1943" i="9"/>
  <c r="E1944" i="9" a="1"/>
  <c r="E1944" i="9"/>
  <c r="E1945" i="9" a="1"/>
  <c r="E1945" i="9"/>
  <c r="E1946" i="9" a="1"/>
  <c r="E1946" i="9"/>
  <c r="E1947" i="9" a="1"/>
  <c r="E1947" i="9"/>
  <c r="E1948" i="9" a="1"/>
  <c r="E1948" i="9"/>
  <c r="E1949" i="9" a="1"/>
  <c r="E1949" i="9"/>
  <c r="E1950" i="9" a="1"/>
  <c r="E1950" i="9"/>
  <c r="E1951" i="9" a="1"/>
  <c r="E1951" i="9"/>
  <c r="E1952" i="9" a="1"/>
  <c r="E1952" i="9"/>
  <c r="E1953" i="9" a="1"/>
  <c r="E1953" i="9"/>
  <c r="E1954" i="9" a="1"/>
  <c r="E1954" i="9"/>
  <c r="E1955" i="9" a="1"/>
  <c r="E1955" i="9"/>
  <c r="E1956" i="9" a="1"/>
  <c r="E1956" i="9"/>
  <c r="E1957" i="9" a="1"/>
  <c r="E1957" i="9"/>
  <c r="E1958" i="9" a="1"/>
  <c r="E1958" i="9"/>
  <c r="E1959" i="9" a="1"/>
  <c r="E1959" i="9"/>
  <c r="E1960" i="9" a="1"/>
  <c r="E1960" i="9"/>
  <c r="E1961" i="9" a="1"/>
  <c r="E1961" i="9"/>
  <c r="E1962" i="9" a="1"/>
  <c r="E1962" i="9"/>
  <c r="E1963" i="9" a="1"/>
  <c r="E1963" i="9"/>
  <c r="E1964" i="9" a="1"/>
  <c r="E1964" i="9"/>
  <c r="E1965" i="9" a="1"/>
  <c r="E1965" i="9"/>
  <c r="E1966" i="9" a="1"/>
  <c r="E1966" i="9"/>
  <c r="E1967" i="9" a="1"/>
  <c r="E1967" i="9"/>
  <c r="E1968" i="9" a="1"/>
  <c r="E1968" i="9"/>
  <c r="E1969" i="9" a="1"/>
  <c r="E1969" i="9"/>
  <c r="E1970" i="9" a="1"/>
  <c r="E1970" i="9"/>
  <c r="E1971" i="9" a="1"/>
  <c r="E1971" i="9"/>
  <c r="E1972" i="9" a="1"/>
  <c r="E1972" i="9"/>
  <c r="E1973" i="9" a="1"/>
  <c r="E1973" i="9"/>
  <c r="E1974" i="9" a="1"/>
  <c r="E1974" i="9"/>
  <c r="E1975" i="9" a="1"/>
  <c r="E1975" i="9"/>
  <c r="E1976" i="9" a="1"/>
  <c r="E1976" i="9"/>
  <c r="E1977" i="9" a="1"/>
  <c r="E1977" i="9"/>
  <c r="E1978" i="9" a="1"/>
  <c r="E1978" i="9"/>
  <c r="E1979" i="9" a="1"/>
  <c r="E1979" i="9"/>
  <c r="E1980" i="9" a="1"/>
  <c r="E1980" i="9"/>
  <c r="E1981" i="9" a="1"/>
  <c r="E1981" i="9"/>
  <c r="E1982" i="9" a="1"/>
  <c r="E1982" i="9"/>
  <c r="E1983" i="9" a="1"/>
  <c r="E1983" i="9"/>
  <c r="E1984" i="9" a="1"/>
  <c r="E1984" i="9"/>
  <c r="E1985" i="9" a="1"/>
  <c r="E1985" i="9"/>
  <c r="E1986" i="9" a="1"/>
  <c r="E1986" i="9"/>
  <c r="E1987" i="9" a="1"/>
  <c r="E1987" i="9"/>
  <c r="E1988" i="9" a="1"/>
  <c r="E1988" i="9"/>
  <c r="E1989" i="9" a="1"/>
  <c r="E1989" i="9"/>
  <c r="E1990" i="9" a="1"/>
  <c r="E1990" i="9"/>
  <c r="E1991" i="9" a="1"/>
  <c r="E1991" i="9"/>
  <c r="E1992" i="9" a="1"/>
  <c r="E1992" i="9"/>
  <c r="E1993" i="9" a="1"/>
  <c r="E1993" i="9"/>
  <c r="E1994" i="9" a="1"/>
  <c r="E1994" i="9"/>
  <c r="E1995" i="9" a="1"/>
  <c r="E1995" i="9"/>
  <c r="E1996" i="9" a="1"/>
  <c r="E1996" i="9"/>
  <c r="E1997" i="9" a="1"/>
  <c r="E1997" i="9"/>
  <c r="E1998" i="9" a="1"/>
  <c r="E1998" i="9"/>
  <c r="E1999" i="9" a="1"/>
  <c r="E1999" i="9"/>
  <c r="E2000" i="9" a="1"/>
  <c r="E2000" i="9"/>
  <c r="E2001" i="9" a="1"/>
  <c r="E2001" i="9"/>
  <c r="E2002" i="9" a="1"/>
  <c r="E2002" i="9"/>
  <c r="E2003" i="9" a="1"/>
  <c r="E2003" i="9"/>
  <c r="E2004" i="9" a="1"/>
  <c r="E2004" i="9"/>
  <c r="E2005" i="9" a="1"/>
  <c r="E2005" i="9"/>
  <c r="E2006" i="9" a="1"/>
  <c r="E2006" i="9"/>
  <c r="E2007" i="9" a="1"/>
  <c r="E2007" i="9"/>
  <c r="E2008" i="9" a="1"/>
  <c r="E2008" i="9"/>
  <c r="E2009" i="9" a="1"/>
  <c r="E2009" i="9"/>
  <c r="E2010" i="9" a="1"/>
  <c r="E2010" i="9"/>
  <c r="E2011" i="9" a="1"/>
  <c r="E2011" i="9"/>
  <c r="E2012" i="9" a="1"/>
  <c r="E2012" i="9"/>
  <c r="E2013" i="9" a="1"/>
  <c r="E2013" i="9"/>
  <c r="E2014" i="9" a="1"/>
  <c r="E2014" i="9"/>
  <c r="E2015" i="9" a="1"/>
  <c r="E2015" i="9"/>
  <c r="E2016" i="9" a="1"/>
  <c r="E2016" i="9"/>
  <c r="E2017" i="9" a="1"/>
  <c r="E2017" i="9"/>
  <c r="E2018" i="9" a="1"/>
  <c r="E2018" i="9"/>
  <c r="E2019" i="9" a="1"/>
  <c r="E2019" i="9"/>
  <c r="E2020" i="9" a="1"/>
  <c r="E2020" i="9"/>
  <c r="E2021" i="9" a="1"/>
  <c r="E2021" i="9"/>
  <c r="E2022" i="9" a="1"/>
  <c r="E2022" i="9"/>
  <c r="E2023" i="9" a="1"/>
  <c r="E2023" i="9"/>
  <c r="E2024" i="9" a="1"/>
  <c r="E2024" i="9"/>
  <c r="E2025" i="9" a="1"/>
  <c r="E2025" i="9"/>
  <c r="E2026" i="9" a="1"/>
  <c r="E2026" i="9"/>
  <c r="E2027" i="9" a="1"/>
  <c r="E2027" i="9"/>
  <c r="E2028" i="9" a="1"/>
  <c r="E2028" i="9"/>
  <c r="E2029" i="9" a="1"/>
  <c r="E2029" i="9"/>
  <c r="E2030" i="9" a="1"/>
  <c r="E2030" i="9"/>
  <c r="E2031" i="9" a="1"/>
  <c r="E2031" i="9"/>
  <c r="E2032" i="9" a="1"/>
  <c r="E2032" i="9"/>
  <c r="E2033" i="9" a="1"/>
  <c r="E2033" i="9"/>
  <c r="E2034" i="9" a="1"/>
  <c r="E2034" i="9"/>
  <c r="E2035" i="9" a="1"/>
  <c r="E2035" i="9"/>
  <c r="E2036" i="9" a="1"/>
  <c r="E2036" i="9"/>
  <c r="E2037" i="9" a="1"/>
  <c r="E2037" i="9"/>
  <c r="E2038" i="9" a="1"/>
  <c r="E2038" i="9"/>
  <c r="E2039" i="9" a="1"/>
  <c r="E2039" i="9"/>
  <c r="E2040" i="9" a="1"/>
  <c r="E2040" i="9"/>
  <c r="E2041" i="9" a="1"/>
  <c r="E2041" i="9"/>
  <c r="E2042" i="9" a="1"/>
  <c r="E2042" i="9"/>
  <c r="E2043" i="9" a="1"/>
  <c r="E2043" i="9"/>
  <c r="E2044" i="9" a="1"/>
  <c r="E2044" i="9"/>
  <c r="E2045" i="9" a="1"/>
  <c r="E2045" i="9"/>
  <c r="E2046" i="9" a="1"/>
  <c r="E2046" i="9"/>
  <c r="E2047" i="9" a="1"/>
  <c r="E2047" i="9"/>
  <c r="E2048" i="9" a="1"/>
  <c r="E2048" i="9"/>
  <c r="E2049" i="9" a="1"/>
  <c r="E2049" i="9"/>
  <c r="E2050" i="9" a="1"/>
  <c r="E2050" i="9"/>
  <c r="E2051" i="9" a="1"/>
  <c r="E2051" i="9"/>
  <c r="E2052" i="9" a="1"/>
  <c r="E2052" i="9"/>
  <c r="E2053" i="9" a="1"/>
  <c r="E2053" i="9"/>
  <c r="E2054" i="9" a="1"/>
  <c r="E2054" i="9"/>
  <c r="E2055" i="9" a="1"/>
  <c r="E2055" i="9"/>
  <c r="E2056" i="9" a="1"/>
  <c r="E2056" i="9"/>
  <c r="E2057" i="9" a="1"/>
  <c r="E2057" i="9"/>
  <c r="E2058" i="9" a="1"/>
  <c r="E2058" i="9"/>
  <c r="E2059" i="9" a="1"/>
  <c r="E2059" i="9"/>
  <c r="E2060" i="9" a="1"/>
  <c r="E2060" i="9"/>
  <c r="E2061" i="9" a="1"/>
  <c r="E2061" i="9"/>
  <c r="E2062" i="9" a="1"/>
  <c r="E2062" i="9"/>
  <c r="E2063" i="9" a="1"/>
  <c r="E2063" i="9"/>
  <c r="E2064" i="9" a="1"/>
  <c r="E2064" i="9"/>
  <c r="E2065" i="9" a="1"/>
  <c r="E2065" i="9"/>
  <c r="E2066" i="9" a="1"/>
  <c r="E2066" i="9"/>
  <c r="E2067" i="9" a="1"/>
  <c r="E2067" i="9"/>
  <c r="E2068" i="9" a="1"/>
  <c r="E2068" i="9"/>
  <c r="E2069" i="9" a="1"/>
  <c r="E2069" i="9"/>
  <c r="E2070" i="9" a="1"/>
  <c r="E2070" i="9"/>
  <c r="E2071" i="9" a="1"/>
  <c r="E2071" i="9"/>
  <c r="E2072" i="9" a="1"/>
  <c r="E2072" i="9"/>
  <c r="E2073" i="9" a="1"/>
  <c r="E2073" i="9"/>
  <c r="E2074" i="9" a="1"/>
  <c r="E2074" i="9"/>
  <c r="E2075" i="9" a="1"/>
  <c r="E2075" i="9"/>
  <c r="E2076" i="9" a="1"/>
  <c r="E2076" i="9"/>
  <c r="E2077" i="9" a="1"/>
  <c r="E2077" i="9"/>
  <c r="E2078" i="9" a="1"/>
  <c r="E2078" i="9"/>
  <c r="E2079" i="9" a="1"/>
  <c r="E2079" i="9"/>
  <c r="E2080" i="9" a="1"/>
  <c r="E2080" i="9"/>
  <c r="E2081" i="9" a="1"/>
  <c r="E2081" i="9"/>
  <c r="E2082" i="9" a="1"/>
  <c r="E2082" i="9"/>
  <c r="E2083" i="9" a="1"/>
  <c r="E2083" i="9"/>
  <c r="E2084" i="9" a="1"/>
  <c r="E2084" i="9"/>
  <c r="E2085" i="9" a="1"/>
  <c r="E2085" i="9"/>
  <c r="E2086" i="9" a="1"/>
  <c r="E2086" i="9"/>
  <c r="E2087" i="9" a="1"/>
  <c r="E2087" i="9"/>
  <c r="E2088" i="9" a="1"/>
  <c r="E2088" i="9"/>
  <c r="E2089" i="9" a="1"/>
  <c r="E2089" i="9"/>
  <c r="E2090" i="9" a="1"/>
  <c r="E2090" i="9"/>
  <c r="E2091" i="9" a="1"/>
  <c r="E2091" i="9"/>
  <c r="E2092" i="9" a="1"/>
  <c r="E2092" i="9"/>
  <c r="E2093" i="9" a="1"/>
  <c r="E2093" i="9"/>
  <c r="E2094" i="9" a="1"/>
  <c r="E2094" i="9"/>
  <c r="E2095" i="9" a="1"/>
  <c r="E2095" i="9"/>
  <c r="E2096" i="9" a="1"/>
  <c r="E2096" i="9"/>
  <c r="E2097" i="9" a="1"/>
  <c r="E2097" i="9"/>
  <c r="E2098" i="9" a="1"/>
  <c r="E2098" i="9"/>
  <c r="E2099" i="9" a="1"/>
  <c r="E2099" i="9"/>
  <c r="E2100" i="9" a="1"/>
  <c r="E2100" i="9"/>
  <c r="E2101" i="9" a="1"/>
  <c r="E2101" i="9"/>
  <c r="E2102" i="9" a="1"/>
  <c r="E2102" i="9"/>
  <c r="E2103" i="9" a="1"/>
  <c r="E2103" i="9"/>
  <c r="E2104" i="9" a="1"/>
  <c r="E2104" i="9"/>
  <c r="E2105" i="9" a="1"/>
  <c r="E2105" i="9"/>
  <c r="E2106" i="9" a="1"/>
  <c r="E2106" i="9"/>
  <c r="E2107" i="9" a="1"/>
  <c r="E2107" i="9"/>
  <c r="E2108" i="9" a="1"/>
  <c r="E2108" i="9"/>
  <c r="E2109" i="9" a="1"/>
  <c r="E2109" i="9"/>
  <c r="E2110" i="9" a="1"/>
  <c r="E2110" i="9"/>
  <c r="E2111" i="9" a="1"/>
  <c r="E2111" i="9"/>
  <c r="E2112" i="9" a="1"/>
  <c r="E2112" i="9"/>
  <c r="E2113" i="9" a="1"/>
  <c r="E2113" i="9"/>
  <c r="E2114" i="9" a="1"/>
  <c r="E2114" i="9"/>
  <c r="E2115" i="9" a="1"/>
  <c r="E2115" i="9"/>
  <c r="E2116" i="9" a="1"/>
  <c r="E2116" i="9"/>
  <c r="E2117" i="9" a="1"/>
  <c r="E2117" i="9"/>
  <c r="E2118" i="9" a="1"/>
  <c r="E2118" i="9"/>
  <c r="E2119" i="9" a="1"/>
  <c r="E2119" i="9"/>
  <c r="E2120" i="9" a="1"/>
  <c r="E2120" i="9"/>
  <c r="E2121" i="9" a="1"/>
  <c r="E2121" i="9"/>
  <c r="E2122" i="9" a="1"/>
  <c r="E2122" i="9"/>
  <c r="E2123" i="9" a="1"/>
  <c r="E2123" i="9"/>
  <c r="E2124" i="9" a="1"/>
  <c r="E2124" i="9"/>
  <c r="E2125" i="9" a="1"/>
  <c r="E2125" i="9"/>
  <c r="E2126" i="9" a="1"/>
  <c r="E2126" i="9"/>
  <c r="E2127" i="9" a="1"/>
  <c r="E2127" i="9"/>
  <c r="E2128" i="9" a="1"/>
  <c r="E2128" i="9"/>
  <c r="E2129" i="9" a="1"/>
  <c r="E2129" i="9"/>
  <c r="E2130" i="9" a="1"/>
  <c r="E2130" i="9"/>
  <c r="E2131" i="9" a="1"/>
  <c r="E2131" i="9"/>
  <c r="E2132" i="9" a="1"/>
  <c r="E2132" i="9"/>
  <c r="E2133" i="9" a="1"/>
  <c r="E2133" i="9"/>
  <c r="E2134" i="9" a="1"/>
  <c r="E2134" i="9"/>
  <c r="E2135" i="9" a="1"/>
  <c r="E2135" i="9"/>
  <c r="E2136" i="9" a="1"/>
  <c r="E2136" i="9"/>
  <c r="E2137" i="9" a="1"/>
  <c r="E2137" i="9"/>
  <c r="E2138" i="9" a="1"/>
  <c r="E2138" i="9"/>
  <c r="E2139" i="9" a="1"/>
  <c r="E2139" i="9"/>
  <c r="E2140" i="9" a="1"/>
  <c r="E2140" i="9"/>
  <c r="E2141" i="9" a="1"/>
  <c r="E2141" i="9"/>
  <c r="E2142" i="9" a="1"/>
  <c r="E2142" i="9"/>
  <c r="E2143" i="9" a="1"/>
  <c r="E2143" i="9"/>
  <c r="E2144" i="9" a="1"/>
  <c r="E2144" i="9"/>
  <c r="E2145" i="9" a="1"/>
  <c r="E2145" i="9"/>
  <c r="E2146" i="9" a="1"/>
  <c r="E2146" i="9"/>
  <c r="E2147" i="9" a="1"/>
  <c r="E2147" i="9"/>
  <c r="E2148" i="9" a="1"/>
  <c r="E2148" i="9"/>
  <c r="E2149" i="9" a="1"/>
  <c r="E2149" i="9"/>
  <c r="E2150" i="9" a="1"/>
  <c r="E2150" i="9"/>
  <c r="E2151" i="9" a="1"/>
  <c r="E2151" i="9"/>
  <c r="E2152" i="9" a="1"/>
  <c r="E2152" i="9"/>
  <c r="E2153" i="9" a="1"/>
  <c r="E2153" i="9"/>
  <c r="E2154" i="9" a="1"/>
  <c r="E2154" i="9"/>
  <c r="E2155" i="9" a="1"/>
  <c r="E2155" i="9"/>
  <c r="E2156" i="9" a="1"/>
  <c r="E2156" i="9"/>
  <c r="E2157" i="9" a="1"/>
  <c r="E2157" i="9"/>
  <c r="E2158" i="9" a="1"/>
  <c r="E2158" i="9"/>
  <c r="E2159" i="9" a="1"/>
  <c r="E2159" i="9"/>
  <c r="E2160" i="9" a="1"/>
  <c r="E2160" i="9"/>
  <c r="E2161" i="9" a="1"/>
  <c r="E2161" i="9"/>
  <c r="E2162" i="9" a="1"/>
  <c r="E2162" i="9"/>
  <c r="E2163" i="9" a="1"/>
  <c r="E2163" i="9"/>
  <c r="E2164" i="9" a="1"/>
  <c r="E2164" i="9"/>
  <c r="E2165" i="9" a="1"/>
  <c r="E2165" i="9"/>
  <c r="E2166" i="9" a="1"/>
  <c r="E2166" i="9"/>
  <c r="E2167" i="9" a="1"/>
  <c r="E2167" i="9"/>
  <c r="E2168" i="9" a="1"/>
  <c r="E2168" i="9"/>
  <c r="E2169" i="9" a="1"/>
  <c r="E2169" i="9"/>
  <c r="E2170" i="9" a="1"/>
  <c r="E2170" i="9"/>
  <c r="E2171" i="9" a="1"/>
  <c r="E2171" i="9"/>
  <c r="E2172" i="9" a="1"/>
  <c r="E2172" i="9"/>
  <c r="E2173" i="9" a="1"/>
  <c r="E2173" i="9"/>
  <c r="E2174" i="9" a="1"/>
  <c r="E2174" i="9"/>
  <c r="E2175" i="9" a="1"/>
  <c r="E2175" i="9"/>
  <c r="E2176" i="9" a="1"/>
  <c r="E2176" i="9"/>
  <c r="E2177" i="9" a="1"/>
  <c r="E2177" i="9"/>
  <c r="E2178" i="9" a="1"/>
  <c r="E2178" i="9"/>
  <c r="E2179" i="9" a="1"/>
  <c r="E2179" i="9"/>
  <c r="E2180" i="9" a="1"/>
  <c r="E2180" i="9"/>
  <c r="E2181" i="9" a="1"/>
  <c r="E2181" i="9"/>
  <c r="E2182" i="9" a="1"/>
  <c r="E2182" i="9"/>
  <c r="E2183" i="9" a="1"/>
  <c r="E2183" i="9"/>
  <c r="E2184" i="9" a="1"/>
  <c r="E2184" i="9"/>
  <c r="E2185" i="9" a="1"/>
  <c r="E2185" i="9"/>
  <c r="E2186" i="9" a="1"/>
  <c r="E2186" i="9"/>
  <c r="E2187" i="9" a="1"/>
  <c r="E2187" i="9"/>
  <c r="E2188" i="9" a="1"/>
  <c r="E2188" i="9"/>
  <c r="E2189" i="9" a="1"/>
  <c r="E2189" i="9"/>
  <c r="E2190" i="9" a="1"/>
  <c r="E2190" i="9"/>
  <c r="E2191" i="9" a="1"/>
  <c r="E2191" i="9"/>
  <c r="E2192" i="9" a="1"/>
  <c r="E2192" i="9"/>
  <c r="E2193" i="9" a="1"/>
  <c r="E2193" i="9"/>
  <c r="E2194" i="9" a="1"/>
  <c r="E2194" i="9"/>
  <c r="E2195" i="9" a="1"/>
  <c r="E2195" i="9"/>
  <c r="E2196" i="9" a="1"/>
  <c r="E2196" i="9"/>
  <c r="E2197" i="9" a="1"/>
  <c r="E2197" i="9"/>
  <c r="E2198" i="9" a="1"/>
  <c r="E2198" i="9"/>
  <c r="E2199" i="9" a="1"/>
  <c r="E2199" i="9"/>
  <c r="E2200" i="9" a="1"/>
  <c r="E2200" i="9"/>
  <c r="E2201" i="9" a="1"/>
  <c r="E2201" i="9"/>
  <c r="E2202" i="9" a="1"/>
  <c r="E2202" i="9"/>
  <c r="E2203" i="9" a="1"/>
  <c r="E2203" i="9"/>
  <c r="E2204" i="9" a="1"/>
  <c r="E2204" i="9"/>
  <c r="E2205" i="9" a="1"/>
  <c r="E2205" i="9"/>
  <c r="E2206" i="9" a="1"/>
  <c r="E2206" i="9"/>
  <c r="E2207" i="9" a="1"/>
  <c r="E2207" i="9"/>
  <c r="E2208" i="9" a="1"/>
  <c r="E2208" i="9"/>
  <c r="E2209" i="9" a="1"/>
  <c r="E2209" i="9"/>
  <c r="E2210" i="9" a="1"/>
  <c r="E2210" i="9"/>
  <c r="E2211" i="9" a="1"/>
  <c r="E2211" i="9"/>
  <c r="E2212" i="9" a="1"/>
  <c r="E2212" i="9"/>
  <c r="E2213" i="9" a="1"/>
  <c r="E2213" i="9"/>
  <c r="E2214" i="9" a="1"/>
  <c r="E2214" i="9"/>
  <c r="E2215" i="9" a="1"/>
  <c r="E2215" i="9"/>
  <c r="E2216" i="9" a="1"/>
  <c r="E2216" i="9"/>
  <c r="E2217" i="9" a="1"/>
  <c r="E2217" i="9"/>
  <c r="E2218" i="9" a="1"/>
  <c r="E2218" i="9"/>
  <c r="E2219" i="9" a="1"/>
  <c r="E2219" i="9"/>
  <c r="E2220" i="9" a="1"/>
  <c r="E2220" i="9"/>
  <c r="E2221" i="9" a="1"/>
  <c r="E2221" i="9"/>
  <c r="E2222" i="9" a="1"/>
  <c r="E2222" i="9"/>
  <c r="E2223" i="9" a="1"/>
  <c r="E2223" i="9"/>
  <c r="E2224" i="9" a="1"/>
  <c r="E2224" i="9"/>
  <c r="E2225" i="9" a="1"/>
  <c r="E2225" i="9"/>
  <c r="E2226" i="9" a="1"/>
  <c r="E2226" i="9"/>
  <c r="E2227" i="9" a="1"/>
  <c r="E2227" i="9"/>
  <c r="E2228" i="9" a="1"/>
  <c r="E2228" i="9"/>
  <c r="E2229" i="9" a="1"/>
  <c r="E2229" i="9"/>
  <c r="E2230" i="9" a="1"/>
  <c r="E2230" i="9"/>
  <c r="E2231" i="9" a="1"/>
  <c r="E2231" i="9"/>
  <c r="E2232" i="9" a="1"/>
  <c r="E2232" i="9"/>
  <c r="E2233" i="9" a="1"/>
  <c r="E2233" i="9"/>
  <c r="E2234" i="9" a="1"/>
  <c r="E2234" i="9"/>
  <c r="E2235" i="9" a="1"/>
  <c r="E2235" i="9"/>
  <c r="E2236" i="9" a="1"/>
  <c r="E2236" i="9"/>
  <c r="E2237" i="9" a="1"/>
  <c r="E2237" i="9"/>
  <c r="E2238" i="9" a="1"/>
  <c r="E2238" i="9"/>
  <c r="E2239" i="9" a="1"/>
  <c r="E2239" i="9"/>
  <c r="E2240" i="9" a="1"/>
  <c r="E2240" i="9"/>
  <c r="E2241" i="9" a="1"/>
  <c r="E2241" i="9"/>
  <c r="E2242" i="9" a="1"/>
  <c r="E2242" i="9"/>
  <c r="E2243" i="9" a="1"/>
  <c r="E2243" i="9"/>
  <c r="E2244" i="9" a="1"/>
  <c r="E2244" i="9"/>
  <c r="E2245" i="9" a="1"/>
  <c r="E2245" i="9"/>
  <c r="E2246" i="9" a="1"/>
  <c r="E2246" i="9"/>
  <c r="E2247" i="9" a="1"/>
  <c r="E2247" i="9"/>
  <c r="E2248" i="9" a="1"/>
  <c r="E2248" i="9"/>
  <c r="E2249" i="9" a="1"/>
  <c r="E2249" i="9"/>
  <c r="E2250" i="9" a="1"/>
  <c r="E2250" i="9"/>
  <c r="E2251" i="9" a="1"/>
  <c r="E2251" i="9"/>
  <c r="E2252" i="9" a="1"/>
  <c r="E2252" i="9"/>
  <c r="E2253" i="9" a="1"/>
  <c r="E2253" i="9"/>
  <c r="E2254" i="9" a="1"/>
  <c r="E2254" i="9"/>
  <c r="E2255" i="9" a="1"/>
  <c r="E2255" i="9"/>
  <c r="E2256" i="9" a="1"/>
  <c r="E2256" i="9"/>
  <c r="E2257" i="9" a="1"/>
  <c r="E2257" i="9"/>
  <c r="E2258" i="9" a="1"/>
  <c r="E2258" i="9"/>
  <c r="E2259" i="9" a="1"/>
  <c r="E2259" i="9"/>
  <c r="E2260" i="9" a="1"/>
  <c r="E2260" i="9"/>
  <c r="E2261" i="9" a="1"/>
  <c r="E2261" i="9"/>
  <c r="E2262" i="9" a="1"/>
  <c r="E2262" i="9"/>
  <c r="E2263" i="9" a="1"/>
  <c r="E2263" i="9"/>
  <c r="E2264" i="9" a="1"/>
  <c r="E2264" i="9"/>
  <c r="E2265" i="9" a="1"/>
  <c r="E2265" i="9"/>
  <c r="E2266" i="9" a="1"/>
  <c r="E2266" i="9"/>
  <c r="E2267" i="9" a="1"/>
  <c r="E2267" i="9"/>
  <c r="E2268" i="9" a="1"/>
  <c r="E2268" i="9"/>
  <c r="E2269" i="9" a="1"/>
  <c r="E2269" i="9"/>
  <c r="E2270" i="9" a="1"/>
  <c r="E2270" i="9"/>
  <c r="E2271" i="9" a="1"/>
  <c r="E2271" i="9"/>
  <c r="E2272" i="9" a="1"/>
  <c r="E2272" i="9"/>
  <c r="E2273" i="9" a="1"/>
  <c r="E2273" i="9"/>
  <c r="E2274" i="9" a="1"/>
  <c r="E2274" i="9"/>
  <c r="E2275" i="9" a="1"/>
  <c r="E2275" i="9"/>
  <c r="E2276" i="9" a="1"/>
  <c r="E2276" i="9"/>
  <c r="E2277" i="9" a="1"/>
  <c r="E2277" i="9"/>
  <c r="E2278" i="9" a="1"/>
  <c r="E2278" i="9"/>
  <c r="E2279" i="9" a="1"/>
  <c r="E2279" i="9"/>
  <c r="E2280" i="9" a="1"/>
  <c r="E2280" i="9"/>
  <c r="E2281" i="9" a="1"/>
  <c r="E2281" i="9"/>
  <c r="E2282" i="9" a="1"/>
  <c r="E2282" i="9"/>
  <c r="E2283" i="9" a="1"/>
  <c r="E2283" i="9"/>
  <c r="E2284" i="9" a="1"/>
  <c r="E2284" i="9"/>
  <c r="E2285" i="9" a="1"/>
  <c r="E2285" i="9"/>
  <c r="E2286" i="9" a="1"/>
  <c r="E2286" i="9"/>
  <c r="E2287" i="9" a="1"/>
  <c r="E2287" i="9"/>
  <c r="E2288" i="9" a="1"/>
  <c r="E2288" i="9"/>
  <c r="E2289" i="9" a="1"/>
  <c r="E2289" i="9"/>
  <c r="E2290" i="9" a="1"/>
  <c r="E2290" i="9"/>
  <c r="E2291" i="9" a="1"/>
  <c r="E2291" i="9"/>
  <c r="E2292" i="9" a="1"/>
  <c r="E2292" i="9"/>
  <c r="E2293" i="9" a="1"/>
  <c r="E2293" i="9"/>
  <c r="E2294" i="9" a="1"/>
  <c r="E2294" i="9"/>
  <c r="E2295" i="9" a="1"/>
  <c r="E2295" i="9"/>
  <c r="E2296" i="9" a="1"/>
  <c r="E2296" i="9"/>
  <c r="E2297" i="9" a="1"/>
  <c r="E2297" i="9"/>
  <c r="E2298" i="9" a="1"/>
  <c r="E2298" i="9"/>
  <c r="E2299" i="9" a="1"/>
  <c r="E2299" i="9"/>
  <c r="E2300" i="9" a="1"/>
  <c r="E2300" i="9"/>
  <c r="E2301" i="9" a="1"/>
  <c r="E2301" i="9"/>
  <c r="E2302" i="9" a="1"/>
  <c r="E2302" i="9"/>
  <c r="E2303" i="9" a="1"/>
  <c r="E2303" i="9"/>
  <c r="E2304" i="9" a="1"/>
  <c r="E2304" i="9"/>
  <c r="E2305" i="9" a="1"/>
  <c r="E2305" i="9"/>
  <c r="E2306" i="9" a="1"/>
  <c r="E2306" i="9"/>
  <c r="E2307" i="9" a="1"/>
  <c r="E2307" i="9"/>
  <c r="E2308" i="9" a="1"/>
  <c r="E2308" i="9"/>
  <c r="E2309" i="9" a="1"/>
  <c r="E2309" i="9"/>
  <c r="E2310" i="9" a="1"/>
  <c r="E2310" i="9"/>
  <c r="E2311" i="9" a="1"/>
  <c r="E2311" i="9"/>
  <c r="E2312" i="9" a="1"/>
  <c r="E2312" i="9"/>
  <c r="E2313" i="9" a="1"/>
  <c r="E2313" i="9"/>
  <c r="E2314" i="9" a="1"/>
  <c r="E2314" i="9"/>
  <c r="E2315" i="9" a="1"/>
  <c r="E2315" i="9"/>
  <c r="E2316" i="9" a="1"/>
  <c r="E2316" i="9"/>
  <c r="E2317" i="9" a="1"/>
  <c r="E2317" i="9"/>
  <c r="E2318" i="9" a="1"/>
  <c r="E2318" i="9"/>
  <c r="E2319" i="9" a="1"/>
  <c r="E2319" i="9"/>
  <c r="E2320" i="9" a="1"/>
  <c r="E2320" i="9"/>
  <c r="E2321" i="9" a="1"/>
  <c r="E2321" i="9"/>
  <c r="E2322" i="9" a="1"/>
  <c r="E2322" i="9"/>
  <c r="E2323" i="9" a="1"/>
  <c r="E2323" i="9"/>
  <c r="E2324" i="9" a="1"/>
  <c r="E2324" i="9"/>
  <c r="E2325" i="9" a="1"/>
  <c r="E2325" i="9"/>
  <c r="E2326" i="9" a="1"/>
  <c r="E2326" i="9"/>
  <c r="E2327" i="9" a="1"/>
  <c r="E2327" i="9"/>
  <c r="E2328" i="9" a="1"/>
  <c r="E2328" i="9"/>
  <c r="E2329" i="9" a="1"/>
  <c r="E2329" i="9"/>
  <c r="E2330" i="9" a="1"/>
  <c r="E2330" i="9"/>
  <c r="E2331" i="9" a="1"/>
  <c r="E2331" i="9"/>
  <c r="E2332" i="9" a="1"/>
  <c r="E2332" i="9"/>
  <c r="E2333" i="9" a="1"/>
  <c r="E2333" i="9"/>
  <c r="E2334" i="9" a="1"/>
  <c r="E2334" i="9"/>
  <c r="E2335" i="9" a="1"/>
  <c r="E2335" i="9"/>
  <c r="E2336" i="9" a="1"/>
  <c r="E2336" i="9"/>
  <c r="C768" i="9" a="1"/>
  <c r="C768" i="9" s="1"/>
  <c r="C2" i="9" a="1"/>
  <c r="C2" i="9" s="1"/>
  <c r="C3" i="9" a="1"/>
  <c r="C3" i="9" s="1"/>
  <c r="C4" i="9" a="1"/>
  <c r="C4" i="9" s="1"/>
  <c r="C5" i="9" a="1"/>
  <c r="C5" i="9" s="1"/>
  <c r="C6" i="9" a="1"/>
  <c r="C6" i="9" s="1"/>
  <c r="C7" i="9" a="1"/>
  <c r="C7" i="9" s="1"/>
  <c r="C8" i="9" a="1"/>
  <c r="C8" i="9" s="1"/>
  <c r="C9" i="9" a="1"/>
  <c r="C9" i="9" s="1"/>
  <c r="C10" i="9" a="1"/>
  <c r="C10" i="9" s="1"/>
  <c r="C11" i="9" a="1"/>
  <c r="C11" i="9" s="1"/>
  <c r="C12" i="9" a="1"/>
  <c r="C12" i="9" s="1"/>
  <c r="C13" i="9" a="1"/>
  <c r="C13" i="9" s="1"/>
  <c r="C14" i="9" a="1"/>
  <c r="C14" i="9" s="1"/>
  <c r="C15" i="9" a="1"/>
  <c r="C15" i="9" s="1"/>
  <c r="C16" i="9" a="1"/>
  <c r="C16" i="9" s="1"/>
  <c r="C17" i="9" a="1"/>
  <c r="C17" i="9" s="1"/>
  <c r="C18" i="9" a="1"/>
  <c r="C18" i="9" s="1"/>
  <c r="C19" i="9" a="1"/>
  <c r="C19" i="9" s="1"/>
  <c r="C20" i="9" a="1"/>
  <c r="C20" i="9" s="1"/>
  <c r="C21" i="9" a="1"/>
  <c r="C21" i="9"/>
  <c r="C22" i="9" a="1"/>
  <c r="C22" i="9" s="1"/>
  <c r="C23" i="9" a="1"/>
  <c r="C23" i="9" s="1"/>
  <c r="C24" i="9" a="1"/>
  <c r="C24" i="9" s="1"/>
  <c r="C25" i="9" a="1"/>
  <c r="C25" i="9" s="1"/>
  <c r="C26" i="9" a="1"/>
  <c r="C26" i="9" s="1"/>
  <c r="C27" i="9" a="1"/>
  <c r="C27" i="9" s="1"/>
  <c r="C28" i="9" a="1"/>
  <c r="C28" i="9" s="1"/>
  <c r="C29" i="9" a="1"/>
  <c r="C29" i="9"/>
  <c r="C30" i="9" a="1"/>
  <c r="C30" i="9" s="1"/>
  <c r="C31" i="9" a="1"/>
  <c r="C31" i="9" s="1"/>
  <c r="C32" i="9" a="1"/>
  <c r="C32" i="9" s="1"/>
  <c r="C33" i="9" a="1"/>
  <c r="C33" i="9" s="1"/>
  <c r="C34" i="9" a="1"/>
  <c r="C34" i="9" s="1"/>
  <c r="C35" i="9" a="1"/>
  <c r="C35" i="9" s="1"/>
  <c r="C36" i="9" a="1"/>
  <c r="C36" i="9" s="1"/>
  <c r="C37" i="9" a="1"/>
  <c r="C37" i="9"/>
  <c r="C38" i="9" a="1"/>
  <c r="C38" i="9" s="1"/>
  <c r="C39" i="9" a="1"/>
  <c r="C39" i="9" s="1"/>
  <c r="C40" i="9" a="1"/>
  <c r="C40" i="9" s="1"/>
  <c r="C41" i="9" a="1"/>
  <c r="C41" i="9" s="1"/>
  <c r="C42" i="9" a="1"/>
  <c r="C42" i="9" s="1"/>
  <c r="C43" i="9" a="1"/>
  <c r="C43" i="9" s="1"/>
  <c r="C44" i="9" a="1"/>
  <c r="C44" i="9" s="1"/>
  <c r="C45" i="9" a="1"/>
  <c r="C45" i="9" s="1"/>
  <c r="C46" i="9" a="1"/>
  <c r="C46" i="9" s="1"/>
  <c r="C47" i="9" a="1"/>
  <c r="C47" i="9" s="1"/>
  <c r="C48" i="9" a="1"/>
  <c r="C48" i="9" s="1"/>
  <c r="C49" i="9" a="1"/>
  <c r="C49" i="9"/>
  <c r="C50" i="9" a="1"/>
  <c r="C50" i="9" s="1"/>
  <c r="C51" i="9" a="1"/>
  <c r="C51" i="9" s="1"/>
  <c r="C52" i="9" a="1"/>
  <c r="C52" i="9" s="1"/>
  <c r="C53" i="9" a="1"/>
  <c r="C53" i="9" s="1"/>
  <c r="C54" i="9" a="1"/>
  <c r="C54" i="9" s="1"/>
  <c r="C55" i="9" a="1"/>
  <c r="C55" i="9" s="1"/>
  <c r="C56" i="9" a="1"/>
  <c r="C56" i="9" s="1"/>
  <c r="C57" i="9" a="1"/>
  <c r="C57" i="9" s="1"/>
  <c r="C58" i="9" a="1"/>
  <c r="C58" i="9" s="1"/>
  <c r="C59" i="9" a="1"/>
  <c r="C59" i="9" s="1"/>
  <c r="C60" i="9" a="1"/>
  <c r="C60" i="9" s="1"/>
  <c r="C61" i="9" a="1"/>
  <c r="C61" i="9"/>
  <c r="C62" i="9" a="1"/>
  <c r="C62" i="9" s="1"/>
  <c r="C63" i="9" a="1"/>
  <c r="C63" i="9" s="1"/>
  <c r="C64" i="9" a="1"/>
  <c r="C64" i="9" s="1"/>
  <c r="C65" i="9" a="1"/>
  <c r="C65" i="9" s="1"/>
  <c r="C66" i="9" a="1"/>
  <c r="C66" i="9" s="1"/>
  <c r="C67" i="9" a="1"/>
  <c r="C67" i="9" s="1"/>
  <c r="C68" i="9" a="1"/>
  <c r="C68" i="9" s="1"/>
  <c r="C69" i="9" a="1"/>
  <c r="C69" i="9"/>
  <c r="C70" i="9" a="1"/>
  <c r="C70" i="9" s="1"/>
  <c r="C71" i="9" a="1"/>
  <c r="C71" i="9" s="1"/>
  <c r="C72" i="9" a="1"/>
  <c r="C72" i="9" s="1"/>
  <c r="C73" i="9" a="1"/>
  <c r="C73" i="9" s="1"/>
  <c r="C74" i="9" a="1"/>
  <c r="C74" i="9" s="1"/>
  <c r="C75" i="9" a="1"/>
  <c r="C75" i="9"/>
  <c r="C76" i="9" a="1"/>
  <c r="C76" i="9" s="1"/>
  <c r="C77" i="9" a="1"/>
  <c r="C77" i="9" s="1"/>
  <c r="C78" i="9" a="1"/>
  <c r="C78" i="9" s="1"/>
  <c r="C79" i="9" a="1"/>
  <c r="C79" i="9" s="1"/>
  <c r="C80" i="9" a="1"/>
  <c r="C80" i="9" s="1"/>
  <c r="C81" i="9" a="1"/>
  <c r="C81" i="9"/>
  <c r="C82" i="9" a="1"/>
  <c r="C82" i="9" s="1"/>
  <c r="C83" i="9" a="1"/>
  <c r="C83" i="9" s="1"/>
  <c r="C84" i="9" a="1"/>
  <c r="C84" i="9" s="1"/>
  <c r="C85" i="9" a="1"/>
  <c r="C85" i="9"/>
  <c r="C86" i="9" a="1"/>
  <c r="C86" i="9" s="1"/>
  <c r="C87" i="9" a="1"/>
  <c r="C87" i="9" s="1"/>
  <c r="C88" i="9" a="1"/>
  <c r="C88" i="9" s="1"/>
  <c r="C89" i="9" a="1"/>
  <c r="C89" i="9" s="1"/>
  <c r="C90" i="9" a="1"/>
  <c r="C90" i="9" s="1"/>
  <c r="C91" i="9" a="1"/>
  <c r="C91" i="9" s="1"/>
  <c r="C92" i="9" a="1"/>
  <c r="C92" i="9" s="1"/>
  <c r="C93" i="9" a="1"/>
  <c r="C93" i="9"/>
  <c r="C94" i="9" a="1"/>
  <c r="C94" i="9" s="1"/>
  <c r="C95" i="9" a="1"/>
  <c r="C95" i="9" s="1"/>
  <c r="C96" i="9" a="1"/>
  <c r="C96" i="9" s="1"/>
  <c r="C97" i="9" a="1"/>
  <c r="C97" i="9" s="1"/>
  <c r="C98" i="9" a="1"/>
  <c r="C98" i="9" s="1"/>
  <c r="C99" i="9" a="1"/>
  <c r="C99" i="9" s="1"/>
  <c r="C100" i="9" a="1"/>
  <c r="C100" i="9" s="1"/>
  <c r="C101" i="9" a="1"/>
  <c r="C101" i="9" s="1"/>
  <c r="C102" i="9" a="1"/>
  <c r="C102" i="9" s="1"/>
  <c r="C103" i="9" a="1"/>
  <c r="C103" i="9" s="1"/>
  <c r="C104" i="9" a="1"/>
  <c r="C104" i="9" s="1"/>
  <c r="C105" i="9" a="1"/>
  <c r="C105" i="9" s="1"/>
  <c r="C106" i="9" a="1"/>
  <c r="C106" i="9" s="1"/>
  <c r="C107" i="9" a="1"/>
  <c r="C107" i="9"/>
  <c r="C108" i="9" a="1"/>
  <c r="C108" i="9" s="1"/>
  <c r="C109" i="9" a="1"/>
  <c r="C109" i="9"/>
  <c r="C110" i="9" a="1"/>
  <c r="C110" i="9" s="1"/>
  <c r="C111" i="9" a="1"/>
  <c r="C111" i="9" s="1"/>
  <c r="C112" i="9" a="1"/>
  <c r="C112" i="9" s="1"/>
  <c r="C113" i="9" a="1"/>
  <c r="C113" i="9"/>
  <c r="C114" i="9" a="1"/>
  <c r="C114" i="9" s="1"/>
  <c r="C115" i="9" a="1"/>
  <c r="C115" i="9"/>
  <c r="C116" i="9" a="1"/>
  <c r="C116" i="9" s="1"/>
  <c r="C117" i="9" a="1"/>
  <c r="C117" i="9"/>
  <c r="C118" i="9" a="1"/>
  <c r="C118" i="9" s="1"/>
  <c r="C119" i="9" a="1"/>
  <c r="C119" i="9" s="1"/>
  <c r="C120" i="9" a="1"/>
  <c r="C120" i="9" s="1"/>
  <c r="C121" i="9" a="1"/>
  <c r="C121" i="9"/>
  <c r="C122" i="9" a="1"/>
  <c r="C122" i="9" s="1"/>
  <c r="C123" i="9" a="1"/>
  <c r="C123" i="9" s="1"/>
  <c r="C124" i="9" a="1"/>
  <c r="C124" i="9" s="1"/>
  <c r="C125" i="9" a="1"/>
  <c r="C125" i="9"/>
  <c r="C126" i="9" a="1"/>
  <c r="C126" i="9" s="1"/>
  <c r="C127" i="9" a="1"/>
  <c r="C127" i="9" s="1"/>
  <c r="C128" i="9" a="1"/>
  <c r="C128" i="9" s="1"/>
  <c r="C129" i="9" a="1"/>
  <c r="C129" i="9" s="1"/>
  <c r="C130" i="9" a="1"/>
  <c r="C130" i="9" s="1"/>
  <c r="C131" i="9" a="1"/>
  <c r="C131" i="9" s="1"/>
  <c r="C132" i="9" a="1"/>
  <c r="C132" i="9" s="1"/>
  <c r="C133" i="9" a="1"/>
  <c r="C133" i="9" s="1"/>
  <c r="C134" i="9" a="1"/>
  <c r="C134" i="9" s="1"/>
  <c r="C135" i="9" a="1"/>
  <c r="C135" i="9" s="1"/>
  <c r="C136" i="9" a="1"/>
  <c r="C136" i="9" s="1"/>
  <c r="C137" i="9" a="1"/>
  <c r="C137" i="9" s="1"/>
  <c r="C138" i="9" a="1"/>
  <c r="C138" i="9" s="1"/>
  <c r="C139" i="9" a="1"/>
  <c r="C139" i="9" s="1"/>
  <c r="C140" i="9" a="1"/>
  <c r="C140" i="9" s="1"/>
  <c r="C141" i="9" a="1"/>
  <c r="C141" i="9"/>
  <c r="C142" i="9" a="1"/>
  <c r="C142" i="9" s="1"/>
  <c r="C143" i="9" a="1"/>
  <c r="C143" i="9" s="1"/>
  <c r="C144" i="9" a="1"/>
  <c r="C144" i="9" s="1"/>
  <c r="C145" i="9" a="1"/>
  <c r="C145" i="9" s="1"/>
  <c r="C146" i="9" a="1"/>
  <c r="C146" i="9" s="1"/>
  <c r="C147" i="9" a="1"/>
  <c r="C147" i="9" s="1"/>
  <c r="C148" i="9" a="1"/>
  <c r="C148" i="9" s="1"/>
  <c r="C149" i="9" a="1"/>
  <c r="C149" i="9" s="1"/>
  <c r="C150" i="9" a="1"/>
  <c r="C150" i="9" s="1"/>
  <c r="C151" i="9" a="1"/>
  <c r="C151" i="9" s="1"/>
  <c r="C152" i="9" a="1"/>
  <c r="C152" i="9" s="1"/>
  <c r="C153" i="9" a="1"/>
  <c r="C153" i="9" s="1"/>
  <c r="C154" i="9" a="1"/>
  <c r="C154" i="9" s="1"/>
  <c r="C155" i="9" a="1"/>
  <c r="C155" i="9" s="1"/>
  <c r="C156" i="9" a="1"/>
  <c r="C156" i="9" s="1"/>
  <c r="C157" i="9" a="1"/>
  <c r="C157" i="9"/>
  <c r="C158" i="9" a="1"/>
  <c r="C158" i="9" s="1"/>
  <c r="C159" i="9" a="1"/>
  <c r="C159" i="9" s="1"/>
  <c r="C160" i="9" a="1"/>
  <c r="C160" i="9" s="1"/>
  <c r="C161" i="9" a="1"/>
  <c r="C161" i="9" s="1"/>
  <c r="C162" i="9" a="1"/>
  <c r="C162" i="9" s="1"/>
  <c r="C163" i="9" a="1"/>
  <c r="C163" i="9" s="1"/>
  <c r="C164" i="9" a="1"/>
  <c r="C164" i="9" s="1"/>
  <c r="C165" i="9" a="1"/>
  <c r="C165" i="9"/>
  <c r="C166" i="9" a="1"/>
  <c r="C166" i="9" s="1"/>
  <c r="C167" i="9" a="1"/>
  <c r="C167" i="9" s="1"/>
  <c r="C168" i="9" a="1"/>
  <c r="C168" i="9" s="1"/>
  <c r="C169" i="9" a="1"/>
  <c r="C169" i="9" s="1"/>
  <c r="C170" i="9" a="1"/>
  <c r="C170" i="9" s="1"/>
  <c r="C171" i="9" a="1"/>
  <c r="C171" i="9"/>
  <c r="C172" i="9" a="1"/>
  <c r="C172" i="9" s="1"/>
  <c r="C173" i="9" a="1"/>
  <c r="C173" i="9" s="1"/>
  <c r="C174" i="9" a="1"/>
  <c r="C174" i="9" s="1"/>
  <c r="C175" i="9" a="1"/>
  <c r="C175" i="9" s="1"/>
  <c r="C176" i="9" a="1"/>
  <c r="C176" i="9" s="1"/>
  <c r="C177" i="9" a="1"/>
  <c r="C177" i="9"/>
  <c r="C178" i="9" a="1"/>
  <c r="C178" i="9" s="1"/>
  <c r="C179" i="9" a="1"/>
  <c r="C179" i="9" s="1"/>
  <c r="C180" i="9" a="1"/>
  <c r="C180" i="9" s="1"/>
  <c r="C181" i="9" a="1"/>
  <c r="C181" i="9"/>
  <c r="C182" i="9" a="1"/>
  <c r="C182" i="9" s="1"/>
  <c r="C183" i="9" a="1"/>
  <c r="C183" i="9" s="1"/>
  <c r="C184" i="9" a="1"/>
  <c r="C184" i="9" s="1"/>
  <c r="C185" i="9" a="1"/>
  <c r="C185" i="9" s="1"/>
  <c r="C186" i="9" a="1"/>
  <c r="C186" i="9" s="1"/>
  <c r="C187" i="9" a="1"/>
  <c r="C187" i="9"/>
  <c r="C188" i="9" a="1"/>
  <c r="C188" i="9" s="1"/>
  <c r="C189" i="9" a="1"/>
  <c r="C189" i="9" s="1"/>
  <c r="C190" i="9" a="1"/>
  <c r="C190" i="9" s="1"/>
  <c r="C191" i="9" a="1"/>
  <c r="C191" i="9" s="1"/>
  <c r="C192" i="9" a="1"/>
  <c r="C192" i="9" s="1"/>
  <c r="C193" i="9" a="1"/>
  <c r="C193" i="9"/>
  <c r="C194" i="9" a="1"/>
  <c r="C194" i="9" s="1"/>
  <c r="C195" i="9" a="1"/>
  <c r="C195" i="9" s="1"/>
  <c r="C196" i="9" a="1"/>
  <c r="C196" i="9" s="1"/>
  <c r="C197" i="9" a="1"/>
  <c r="C197" i="9" s="1"/>
  <c r="C198" i="9" a="1"/>
  <c r="C198" i="9" s="1"/>
  <c r="C199" i="9" a="1"/>
  <c r="C199" i="9" s="1"/>
  <c r="C200" i="9" a="1"/>
  <c r="C200" i="9" s="1"/>
  <c r="C201" i="9" a="1"/>
  <c r="C201" i="9" s="1"/>
  <c r="C202" i="9" a="1"/>
  <c r="C202" i="9" s="1"/>
  <c r="C203" i="9" a="1"/>
  <c r="C203" i="9" s="1"/>
  <c r="C204" i="9" a="1"/>
  <c r="C204" i="9" s="1"/>
  <c r="C205" i="9" a="1"/>
  <c r="C205" i="9"/>
  <c r="C206" i="9" a="1"/>
  <c r="C206" i="9" s="1"/>
  <c r="C207" i="9" a="1"/>
  <c r="C207" i="9" s="1"/>
  <c r="C208" i="9" a="1"/>
  <c r="C208" i="9" s="1"/>
  <c r="C209" i="9" a="1"/>
  <c r="C209" i="9" s="1"/>
  <c r="C210" i="9" a="1"/>
  <c r="C210" i="9" s="1"/>
  <c r="C211" i="9" a="1"/>
  <c r="C211" i="9" s="1"/>
  <c r="C212" i="9" a="1"/>
  <c r="C212" i="9" s="1"/>
  <c r="C213" i="9" a="1"/>
  <c r="C213" i="9" s="1"/>
  <c r="C214" i="9" a="1"/>
  <c r="C214" i="9" s="1"/>
  <c r="C215" i="9" a="1"/>
  <c r="C215" i="9" s="1"/>
  <c r="C216" i="9" a="1"/>
  <c r="C216" i="9" s="1"/>
  <c r="C217" i="9" a="1"/>
  <c r="C217" i="9" s="1"/>
  <c r="C218" i="9" a="1"/>
  <c r="C218" i="9" s="1"/>
  <c r="C219" i="9" a="1"/>
  <c r="C219" i="9" s="1"/>
  <c r="C220" i="9" a="1"/>
  <c r="C220" i="9" s="1"/>
  <c r="C221" i="9" a="1"/>
  <c r="C221" i="9"/>
  <c r="C222" i="9" a="1"/>
  <c r="C222" i="9" s="1"/>
  <c r="C223" i="9" a="1"/>
  <c r="C223" i="9" s="1"/>
  <c r="C224" i="9" a="1"/>
  <c r="C224" i="9" s="1"/>
  <c r="C225" i="9" a="1"/>
  <c r="C225" i="9" s="1"/>
  <c r="C226" i="9" a="1"/>
  <c r="C226" i="9" s="1"/>
  <c r="C227" i="9" a="1"/>
  <c r="C227" i="9" s="1"/>
  <c r="C228" i="9" a="1"/>
  <c r="C228" i="9" s="1"/>
  <c r="C229" i="9" a="1"/>
  <c r="C229" i="9"/>
  <c r="C230" i="9" a="1"/>
  <c r="C230" i="9" s="1"/>
  <c r="C231" i="9" a="1"/>
  <c r="C231" i="9" s="1"/>
  <c r="C232" i="9" a="1"/>
  <c r="C232" i="9" s="1"/>
  <c r="C233" i="9" a="1"/>
  <c r="C233" i="9" s="1"/>
  <c r="C234" i="9" a="1"/>
  <c r="C234" i="9" s="1"/>
  <c r="C235" i="9" a="1"/>
  <c r="C235" i="9"/>
  <c r="C236" i="9" a="1"/>
  <c r="C236" i="9" s="1"/>
  <c r="C237" i="9" a="1"/>
  <c r="C237" i="9" s="1"/>
  <c r="C238" i="9" a="1"/>
  <c r="C238" i="9" s="1"/>
  <c r="C239" i="9" a="1"/>
  <c r="C239" i="9" s="1"/>
  <c r="C240" i="9" a="1"/>
  <c r="C240" i="9" s="1"/>
  <c r="C241" i="9" a="1"/>
  <c r="C241" i="9"/>
  <c r="C242" i="9" a="1"/>
  <c r="C242" i="9" s="1"/>
  <c r="C243" i="9" a="1"/>
  <c r="C243" i="9" s="1"/>
  <c r="C244" i="9" a="1"/>
  <c r="C244" i="9" s="1"/>
  <c r="C245" i="9" a="1"/>
  <c r="C245" i="9"/>
  <c r="C246" i="9" a="1"/>
  <c r="C246" i="9" s="1"/>
  <c r="C247" i="9" a="1"/>
  <c r="C247" i="9" s="1"/>
  <c r="C249" i="9" a="1"/>
  <c r="C249" i="9" s="1"/>
  <c r="C250" i="9" a="1"/>
  <c r="C250" i="9" s="1"/>
  <c r="C251" i="9" a="1"/>
  <c r="C251" i="9" s="1"/>
  <c r="C252" i="9" a="1"/>
  <c r="C252" i="9" s="1"/>
  <c r="C253" i="9" a="1"/>
  <c r="C253" i="9" s="1"/>
  <c r="C254" i="9" a="1"/>
  <c r="C254" i="9" s="1"/>
  <c r="C255" i="9" a="1"/>
  <c r="C255" i="9" s="1"/>
  <c r="C256" i="9" a="1"/>
  <c r="C256" i="9" s="1"/>
  <c r="C257" i="9" a="1"/>
  <c r="C257" i="9" s="1"/>
  <c r="C258" i="9" a="1"/>
  <c r="C258" i="9" s="1"/>
  <c r="C259" i="9" a="1"/>
  <c r="C259" i="9" s="1"/>
  <c r="C260" i="9" a="1"/>
  <c r="C260" i="9" s="1"/>
  <c r="C261" i="9" a="1"/>
  <c r="C261" i="9"/>
  <c r="C262" i="9" a="1"/>
  <c r="C262" i="9" s="1"/>
  <c r="C263" i="9" a="1"/>
  <c r="C263" i="9" s="1"/>
  <c r="C264" i="9" a="1"/>
  <c r="C264" i="9" s="1"/>
  <c r="C265" i="9" a="1"/>
  <c r="C265" i="9" s="1"/>
  <c r="C266" i="9" a="1"/>
  <c r="C266" i="9" s="1"/>
  <c r="C267" i="9" a="1"/>
  <c r="C267" i="9"/>
  <c r="C268" i="9" a="1"/>
  <c r="C268" i="9" s="1"/>
  <c r="C269" i="9" a="1"/>
  <c r="C269" i="9"/>
  <c r="C270" i="9" a="1"/>
  <c r="C270" i="9" s="1"/>
  <c r="C271" i="9" a="1"/>
  <c r="C271" i="9" s="1"/>
  <c r="C272" i="9" a="1"/>
  <c r="C272" i="9" s="1"/>
  <c r="C273" i="9" a="1"/>
  <c r="C273" i="9"/>
  <c r="C274" i="9" a="1"/>
  <c r="C274" i="9" s="1"/>
  <c r="C275" i="9" a="1"/>
  <c r="C275" i="9" s="1"/>
  <c r="C276" i="9" a="1"/>
  <c r="C276" i="9" s="1"/>
  <c r="C277" i="9" a="1"/>
  <c r="C277" i="9" s="1"/>
  <c r="C278" i="9" a="1"/>
  <c r="C278" i="9" s="1"/>
  <c r="C279" i="9" a="1"/>
  <c r="C279" i="9" s="1"/>
  <c r="C280" i="9" a="1"/>
  <c r="C280" i="9" s="1"/>
  <c r="C281" i="9" a="1"/>
  <c r="C281" i="9" s="1"/>
  <c r="C282" i="9" a="1"/>
  <c r="C282" i="9" s="1"/>
  <c r="C283" i="9" a="1"/>
  <c r="C283" i="9" s="1"/>
  <c r="C284" i="9" a="1"/>
  <c r="C284" i="9" s="1"/>
  <c r="C285" i="9" a="1"/>
  <c r="C285" i="9" s="1"/>
  <c r="C286" i="9" a="1"/>
  <c r="C286" i="9" s="1"/>
  <c r="C287" i="9" a="1"/>
  <c r="C287" i="9" s="1"/>
  <c r="C288" i="9" a="1"/>
  <c r="C288" i="9" s="1"/>
  <c r="C289" i="9" a="1"/>
  <c r="C289" i="9" s="1"/>
  <c r="C290" i="9" a="1"/>
  <c r="C290" i="9" s="1"/>
  <c r="C291" i="9" a="1"/>
  <c r="C291" i="9" s="1"/>
  <c r="C292" i="9" a="1"/>
  <c r="C292" i="9" s="1"/>
  <c r="C293" i="9" a="1"/>
  <c r="C293" i="9"/>
  <c r="C294" i="9" a="1"/>
  <c r="C294" i="9" s="1"/>
  <c r="C295" i="9" a="1"/>
  <c r="C295" i="9" s="1"/>
  <c r="C296" i="9" a="1"/>
  <c r="C296" i="9" s="1"/>
  <c r="C297" i="9" a="1"/>
  <c r="C297" i="9" s="1"/>
  <c r="C298" i="9" a="1"/>
  <c r="C298" i="9" s="1"/>
  <c r="C299" i="9" a="1"/>
  <c r="C299" i="9" s="1"/>
  <c r="C300" i="9" a="1"/>
  <c r="C300" i="9" s="1"/>
  <c r="C301" i="9" a="1"/>
  <c r="C301" i="9" s="1"/>
  <c r="C302" i="9" a="1"/>
  <c r="C302" i="9" s="1"/>
  <c r="C303" i="9" a="1"/>
  <c r="C303" i="9" s="1"/>
  <c r="C304" i="9" a="1"/>
  <c r="C304" i="9" s="1"/>
  <c r="C305" i="9" a="1"/>
  <c r="C305" i="9"/>
  <c r="C306" i="9" a="1"/>
  <c r="C306" i="9" s="1"/>
  <c r="C307" i="9" a="1"/>
  <c r="C307" i="9"/>
  <c r="C308" i="9" a="1"/>
  <c r="C308" i="9" s="1"/>
  <c r="C309" i="9" a="1"/>
  <c r="C309" i="9" s="1"/>
  <c r="C310" i="9" a="1"/>
  <c r="C310" i="9" s="1"/>
  <c r="C311" i="9" a="1"/>
  <c r="C311" i="9"/>
  <c r="C312" i="9" a="1"/>
  <c r="C312" i="9" s="1"/>
  <c r="C313" i="9" a="1"/>
  <c r="C313" i="9"/>
  <c r="C314" i="9" a="1"/>
  <c r="C314" i="9" s="1"/>
  <c r="C315" i="9" a="1"/>
  <c r="C315" i="9"/>
  <c r="C316" i="9" a="1"/>
  <c r="C316" i="9" s="1"/>
  <c r="C317" i="9" a="1"/>
  <c r="C317" i="9" s="1"/>
  <c r="C318" i="9" a="1"/>
  <c r="C318" i="9" s="1"/>
  <c r="C319" i="9" a="1"/>
  <c r="C319" i="9"/>
  <c r="C320" i="9" a="1"/>
  <c r="C320" i="9" s="1"/>
  <c r="C321" i="9" a="1"/>
  <c r="C321" i="9" s="1"/>
  <c r="C322" i="9" a="1"/>
  <c r="C322" i="9" s="1"/>
  <c r="C323" i="9" a="1"/>
  <c r="C323" i="9"/>
  <c r="C324" i="9" a="1"/>
  <c r="C324" i="9" s="1"/>
  <c r="C325" i="9" a="1"/>
  <c r="C325" i="9" s="1"/>
  <c r="C326" i="9" a="1"/>
  <c r="C326" i="9" s="1"/>
  <c r="C327" i="9" a="1"/>
  <c r="C327" i="9" s="1"/>
  <c r="C328" i="9" a="1"/>
  <c r="C328" i="9" s="1"/>
  <c r="C329" i="9" a="1"/>
  <c r="C329" i="9" s="1"/>
  <c r="C330" i="9" a="1"/>
  <c r="C330" i="9" s="1"/>
  <c r="C331" i="9" a="1"/>
  <c r="C331" i="9" s="1"/>
  <c r="C332" i="9" a="1"/>
  <c r="C332" i="9" s="1"/>
  <c r="C333" i="9" a="1"/>
  <c r="C333" i="9" s="1"/>
  <c r="C334" i="9" a="1"/>
  <c r="C334" i="9" s="1"/>
  <c r="C335" i="9" a="1"/>
  <c r="C335" i="9" s="1"/>
  <c r="C336" i="9" a="1"/>
  <c r="C336" i="9" s="1"/>
  <c r="C337" i="9" a="1"/>
  <c r="C337" i="9" s="1"/>
  <c r="C338" i="9" a="1"/>
  <c r="C338" i="9" s="1"/>
  <c r="C339" i="9" a="1"/>
  <c r="C339" i="9"/>
  <c r="C340" i="9" a="1"/>
  <c r="C340" i="9" s="1"/>
  <c r="C341" i="9" a="1"/>
  <c r="C341" i="9" s="1"/>
  <c r="C342" i="9" a="1"/>
  <c r="C342" i="9" s="1"/>
  <c r="C343" i="9" a="1"/>
  <c r="C343" i="9" s="1"/>
  <c r="C344" i="9" a="1"/>
  <c r="C344" i="9" s="1"/>
  <c r="C345" i="9" a="1"/>
  <c r="C345" i="9"/>
  <c r="C346" i="9" a="1"/>
  <c r="C346" i="9" s="1"/>
  <c r="C347" i="9" a="1"/>
  <c r="C347" i="9"/>
  <c r="C348" i="9" a="1"/>
  <c r="C348" i="9" s="1"/>
  <c r="C349" i="9" a="1"/>
  <c r="C349" i="9" s="1"/>
  <c r="C350" i="9" a="1"/>
  <c r="C350" i="9" s="1"/>
  <c r="C351" i="9" a="1"/>
  <c r="C351" i="9"/>
  <c r="C352" i="9" a="1"/>
  <c r="C352" i="9" s="1"/>
  <c r="C353" i="9" a="1"/>
  <c r="C353" i="9" s="1"/>
  <c r="C354" i="9" a="1"/>
  <c r="C354" i="9" s="1"/>
  <c r="C355" i="9" a="1"/>
  <c r="C355" i="9" s="1"/>
  <c r="C356" i="9" a="1"/>
  <c r="C356" i="9" s="1"/>
  <c r="C357" i="9" a="1"/>
  <c r="C357" i="9" s="1"/>
  <c r="C358" i="9" a="1"/>
  <c r="C358" i="9" s="1"/>
  <c r="C359" i="9" a="1"/>
  <c r="C359" i="9" s="1"/>
  <c r="C360" i="9" a="1"/>
  <c r="C360" i="9" s="1"/>
  <c r="C361" i="9" a="1"/>
  <c r="C361" i="9" s="1"/>
  <c r="C362" i="9" a="1"/>
  <c r="C362" i="9" s="1"/>
  <c r="C363" i="9" a="1"/>
  <c r="C363" i="9" s="1"/>
  <c r="C364" i="9" a="1"/>
  <c r="C364" i="9" s="1"/>
  <c r="C365" i="9" a="1"/>
  <c r="C365" i="9" s="1"/>
  <c r="C366" i="9" a="1"/>
  <c r="C366" i="9" s="1"/>
  <c r="C367" i="9" a="1"/>
  <c r="C367" i="9" s="1"/>
  <c r="C368" i="9" a="1"/>
  <c r="C368" i="9" s="1"/>
  <c r="C369" i="9" a="1"/>
  <c r="C369" i="9" s="1"/>
  <c r="C370" i="9" a="1"/>
  <c r="C370" i="9" s="1"/>
  <c r="C371" i="9" a="1"/>
  <c r="C371" i="9"/>
  <c r="C372" i="9" a="1"/>
  <c r="C372" i="9" s="1"/>
  <c r="C373" i="9" a="1"/>
  <c r="C373" i="9" s="1"/>
  <c r="C374" i="9" a="1"/>
  <c r="C374" i="9" s="1"/>
  <c r="C375" i="9" a="1"/>
  <c r="C375" i="9" s="1"/>
  <c r="C376" i="9" a="1"/>
  <c r="C376" i="9" s="1"/>
  <c r="C377" i="9" a="1"/>
  <c r="C377" i="9"/>
  <c r="C378" i="9" a="1"/>
  <c r="C378" i="9" s="1"/>
  <c r="C379" i="9" a="1"/>
  <c r="C379" i="9"/>
  <c r="C380" i="9" a="1"/>
  <c r="C380" i="9" s="1"/>
  <c r="C381" i="9" a="1"/>
  <c r="C381" i="9" s="1"/>
  <c r="C382" i="9" a="1"/>
  <c r="C382" i="9" s="1"/>
  <c r="C383" i="9" a="1"/>
  <c r="C383" i="9"/>
  <c r="C384" i="9" a="1"/>
  <c r="C384" i="9" s="1"/>
  <c r="C385" i="9" a="1"/>
  <c r="C385" i="9" s="1"/>
  <c r="C386" i="9" a="1"/>
  <c r="C386" i="9" s="1"/>
  <c r="C387" i="9" a="1"/>
  <c r="C387" i="9" s="1"/>
  <c r="C388" i="9" a="1"/>
  <c r="C388" i="9" s="1"/>
  <c r="C389" i="9" a="1"/>
  <c r="C389" i="9" s="1"/>
  <c r="C390" i="9" a="1"/>
  <c r="C390" i="9" s="1"/>
  <c r="C391" i="9" a="1"/>
  <c r="C391" i="9" s="1"/>
  <c r="C392" i="9" a="1"/>
  <c r="C392" i="9" s="1"/>
  <c r="C393" i="9" a="1"/>
  <c r="C393" i="9" s="1"/>
  <c r="C394" i="9" a="1"/>
  <c r="C394" i="9" s="1"/>
  <c r="C395" i="9" a="1"/>
  <c r="C395" i="9" s="1"/>
  <c r="C396" i="9" a="1"/>
  <c r="C396" i="9" s="1"/>
  <c r="C397" i="9" a="1"/>
  <c r="C397" i="9" s="1"/>
  <c r="C398" i="9" a="1"/>
  <c r="C398" i="9" s="1"/>
  <c r="C399" i="9" a="1"/>
  <c r="C399" i="9" s="1"/>
  <c r="C400" i="9" a="1"/>
  <c r="C400" i="9" s="1"/>
  <c r="C401" i="9" a="1"/>
  <c r="C401" i="9"/>
  <c r="C402" i="9" a="1"/>
  <c r="C402" i="9" s="1"/>
  <c r="C403" i="9" a="1"/>
  <c r="C403" i="9"/>
  <c r="C404" i="9" a="1"/>
  <c r="C404" i="9" s="1"/>
  <c r="C405" i="9" a="1"/>
  <c r="C405" i="9" s="1"/>
  <c r="C406" i="9" a="1"/>
  <c r="C406" i="9" s="1"/>
  <c r="C407" i="9" a="1"/>
  <c r="C407" i="9"/>
  <c r="C408" i="9" a="1"/>
  <c r="C408" i="9" s="1"/>
  <c r="C409" i="9" a="1"/>
  <c r="C409" i="9"/>
  <c r="C410" i="9" a="1"/>
  <c r="C410" i="9" s="1"/>
  <c r="C411" i="9" a="1"/>
  <c r="C411" i="9"/>
  <c r="C412" i="9" a="1"/>
  <c r="C412" i="9" s="1"/>
  <c r="C413" i="9" a="1"/>
  <c r="C413" i="9" s="1"/>
  <c r="C414" i="9" a="1"/>
  <c r="C414" i="9" s="1"/>
  <c r="C415" i="9" a="1"/>
  <c r="C415" i="9"/>
  <c r="C416" i="9" a="1"/>
  <c r="C416" i="9" s="1"/>
  <c r="C417" i="9" a="1"/>
  <c r="C417" i="9" s="1"/>
  <c r="C418" i="9" a="1"/>
  <c r="C418" i="9" s="1"/>
  <c r="C419" i="9" a="1"/>
  <c r="C419" i="9"/>
  <c r="C420" i="9" a="1"/>
  <c r="C420" i="9" s="1"/>
  <c r="C421" i="9" a="1"/>
  <c r="C421" i="9" s="1"/>
  <c r="C422" i="9" a="1"/>
  <c r="C422" i="9" s="1"/>
  <c r="C423" i="9" a="1"/>
  <c r="C423" i="9" s="1"/>
  <c r="C424" i="9" a="1"/>
  <c r="C424" i="9" s="1"/>
  <c r="C425" i="9" a="1"/>
  <c r="C425" i="9" s="1"/>
  <c r="C426" i="9" a="1"/>
  <c r="C426" i="9" s="1"/>
  <c r="C427" i="9" a="1"/>
  <c r="C427" i="9" s="1"/>
  <c r="C428" i="9" a="1"/>
  <c r="C428" i="9" s="1"/>
  <c r="C429" i="9" a="1"/>
  <c r="C429" i="9"/>
  <c r="C430" i="9" a="1"/>
  <c r="C430" i="9" s="1"/>
  <c r="C431" i="9" a="1"/>
  <c r="C431" i="9"/>
  <c r="C432" i="9" a="1"/>
  <c r="C432" i="9" s="1"/>
  <c r="C433" i="9" a="1"/>
  <c r="C433" i="9" s="1"/>
  <c r="C434" i="9" a="1"/>
  <c r="C434" i="9" s="1"/>
  <c r="C435" i="9" a="1"/>
  <c r="C435" i="9"/>
  <c r="C436" i="9" a="1"/>
  <c r="C436" i="9" s="1"/>
  <c r="C437" i="9" a="1"/>
  <c r="C437" i="9" s="1"/>
  <c r="C438" i="9" a="1"/>
  <c r="C438" i="9" s="1"/>
  <c r="C439" i="9" a="1"/>
  <c r="C439" i="9" s="1"/>
  <c r="C440" i="9" a="1"/>
  <c r="C440" i="9" s="1"/>
  <c r="C441" i="9" a="1"/>
  <c r="C441" i="9" s="1"/>
  <c r="C442" i="9" a="1"/>
  <c r="C442" i="9" s="1"/>
  <c r="C443" i="9" a="1"/>
  <c r="C443" i="9" s="1"/>
  <c r="C444" i="9" a="1"/>
  <c r="C444" i="9" s="1"/>
  <c r="C445" i="9" a="1"/>
  <c r="C445" i="9" s="1"/>
  <c r="C446" i="9" a="1"/>
  <c r="C446" i="9" s="1"/>
  <c r="C447" i="9" a="1"/>
  <c r="C447" i="9"/>
  <c r="C448" i="9" a="1"/>
  <c r="C448" i="9" s="1"/>
  <c r="C449" i="9" a="1"/>
  <c r="C449" i="9" s="1"/>
  <c r="C450" i="9" a="1"/>
  <c r="C450" i="9" s="1"/>
  <c r="C451" i="9" a="1"/>
  <c r="C451" i="9" s="1"/>
  <c r="C452" i="9" a="1"/>
  <c r="C452" i="9" s="1"/>
  <c r="C453" i="9" a="1"/>
  <c r="C453" i="9" s="1"/>
  <c r="C454" i="9" a="1"/>
  <c r="C454" i="9" s="1"/>
  <c r="C455" i="9" a="1"/>
  <c r="C455" i="9" s="1"/>
  <c r="C456" i="9" a="1"/>
  <c r="C456" i="9" s="1"/>
  <c r="C457" i="9" a="1"/>
  <c r="C457" i="9" s="1"/>
  <c r="C458" i="9" a="1"/>
  <c r="C458" i="9" s="1"/>
  <c r="C459" i="9" a="1"/>
  <c r="C459" i="9" s="1"/>
  <c r="C460" i="9" a="1"/>
  <c r="C460" i="9" s="1"/>
  <c r="C461" i="9" a="1"/>
  <c r="C461" i="9" s="1"/>
  <c r="C462" i="9" a="1"/>
  <c r="C462" i="9" s="1"/>
  <c r="C463" i="9" a="1"/>
  <c r="C463" i="9"/>
  <c r="C464" i="9" a="1"/>
  <c r="C464" i="9" s="1"/>
  <c r="C465" i="9" a="1"/>
  <c r="C465" i="9" s="1"/>
  <c r="C466" i="9" a="1"/>
  <c r="C466" i="9" s="1"/>
  <c r="C467" i="9" a="1"/>
  <c r="C467" i="9" s="1"/>
  <c r="C468" i="9" a="1"/>
  <c r="C468" i="9" s="1"/>
  <c r="C469" i="9" a="1"/>
  <c r="C469" i="9" s="1"/>
  <c r="C470" i="9" a="1"/>
  <c r="C470" i="9" s="1"/>
  <c r="C471" i="9" a="1"/>
  <c r="C471" i="9" s="1"/>
  <c r="C472" i="9" a="1"/>
  <c r="C472" i="9" s="1"/>
  <c r="C473" i="9" a="1"/>
  <c r="C473" i="9" s="1"/>
  <c r="C474" i="9" a="1"/>
  <c r="C474" i="9" s="1"/>
  <c r="C475" i="9" a="1"/>
  <c r="C475" i="9" s="1"/>
  <c r="C476" i="9" a="1"/>
  <c r="C476" i="9" s="1"/>
  <c r="C477" i="9" a="1"/>
  <c r="C477" i="9"/>
  <c r="C478" i="9" a="1"/>
  <c r="C478" i="9" s="1"/>
  <c r="C479" i="9" a="1"/>
  <c r="C479" i="9"/>
  <c r="C480" i="9" a="1"/>
  <c r="C480" i="9" s="1"/>
  <c r="C481" i="9" a="1"/>
  <c r="C481" i="9" s="1"/>
  <c r="C482" i="9" a="1"/>
  <c r="C482" i="9" s="1"/>
  <c r="C483" i="9" a="1"/>
  <c r="C483" i="9"/>
  <c r="C484" i="9" a="1"/>
  <c r="C484" i="9" s="1"/>
  <c r="C485" i="9" a="1"/>
  <c r="C485" i="9" s="1"/>
  <c r="C486" i="9" a="1"/>
  <c r="C486" i="9" s="1"/>
  <c r="C487" i="9" a="1"/>
  <c r="C487" i="9" s="1"/>
  <c r="C488" i="9" a="1"/>
  <c r="C488" i="9" s="1"/>
  <c r="C489" i="9" a="1"/>
  <c r="C489" i="9" s="1"/>
  <c r="C490" i="9" a="1"/>
  <c r="C490" i="9" s="1"/>
  <c r="C491" i="9" a="1"/>
  <c r="C491" i="9" s="1"/>
  <c r="C492" i="9" a="1"/>
  <c r="C492" i="9" s="1"/>
  <c r="C493" i="9" a="1"/>
  <c r="C493" i="9"/>
  <c r="C494" i="9" a="1"/>
  <c r="C494" i="9" s="1"/>
  <c r="C495" i="9" a="1"/>
  <c r="C495" i="9"/>
  <c r="C496" i="9" a="1"/>
  <c r="C496" i="9" s="1"/>
  <c r="C497" i="9" a="1"/>
  <c r="C497" i="9" s="1"/>
  <c r="C498" i="9" a="1"/>
  <c r="C498" i="9" s="1"/>
  <c r="C499" i="9" a="1"/>
  <c r="C499" i="9"/>
  <c r="C500" i="9" a="1"/>
  <c r="C500" i="9" s="1"/>
  <c r="C501" i="9" a="1"/>
  <c r="C501" i="9" s="1"/>
  <c r="C502" i="9" a="1"/>
  <c r="C502" i="9" s="1"/>
  <c r="C503" i="9" a="1"/>
  <c r="C503" i="9" s="1"/>
  <c r="C504" i="9" a="1"/>
  <c r="C504" i="9" s="1"/>
  <c r="C505" i="9" a="1"/>
  <c r="C505" i="9" s="1"/>
  <c r="C506" i="9" a="1"/>
  <c r="C506" i="9" s="1"/>
  <c r="C507" i="9" a="1"/>
  <c r="C507" i="9" s="1"/>
  <c r="C508" i="9" a="1"/>
  <c r="C508" i="9" s="1"/>
  <c r="C509" i="9" a="1"/>
  <c r="C509" i="9" s="1"/>
  <c r="C510" i="9" a="1"/>
  <c r="C510" i="9" s="1"/>
  <c r="C511" i="9" a="1"/>
  <c r="C511" i="9"/>
  <c r="C512" i="9" a="1"/>
  <c r="C512" i="9" s="1"/>
  <c r="C513" i="9" a="1"/>
  <c r="C513" i="9" s="1"/>
  <c r="C514" i="9" a="1"/>
  <c r="C514" i="9" s="1"/>
  <c r="C515" i="9" a="1"/>
  <c r="C515" i="9" s="1"/>
  <c r="C516" i="9" a="1"/>
  <c r="C516" i="9" s="1"/>
  <c r="C517" i="9" a="1"/>
  <c r="C517" i="9" s="1"/>
  <c r="C518" i="9" a="1"/>
  <c r="C518" i="9" s="1"/>
  <c r="C519" i="9" a="1"/>
  <c r="C519" i="9" s="1"/>
  <c r="C520" i="9" a="1"/>
  <c r="C520" i="9" s="1"/>
  <c r="C521" i="9" a="1"/>
  <c r="C521" i="9" s="1"/>
  <c r="C522" i="9" a="1"/>
  <c r="C522" i="9" s="1"/>
  <c r="C523" i="9" a="1"/>
  <c r="C523" i="9" s="1"/>
  <c r="C524" i="9" a="1"/>
  <c r="C524" i="9" s="1"/>
  <c r="C525" i="9" a="1"/>
  <c r="C525" i="9" s="1"/>
  <c r="C526" i="9" a="1"/>
  <c r="C526" i="9" s="1"/>
  <c r="C527" i="9" a="1"/>
  <c r="C527" i="9"/>
  <c r="C528" i="9" a="1"/>
  <c r="C528" i="9" s="1"/>
  <c r="C529" i="9" a="1"/>
  <c r="C529" i="9" s="1"/>
  <c r="C530" i="9" a="1"/>
  <c r="C530" i="9" s="1"/>
  <c r="C531" i="9" a="1"/>
  <c r="C531" i="9" s="1"/>
  <c r="C532" i="9" a="1"/>
  <c r="C532" i="9" s="1"/>
  <c r="C533" i="9" a="1"/>
  <c r="C533" i="9" s="1"/>
  <c r="C534" i="9" a="1"/>
  <c r="C534" i="9" s="1"/>
  <c r="C535" i="9" a="1"/>
  <c r="C535" i="9" s="1"/>
  <c r="C536" i="9" a="1"/>
  <c r="C536" i="9"/>
  <c r="C537" i="9" a="1"/>
  <c r="C537" i="9" s="1"/>
  <c r="C538" i="9" a="1"/>
  <c r="C538" i="9" s="1"/>
  <c r="C539" i="9" a="1"/>
  <c r="C539" i="9" s="1"/>
  <c r="C540" i="9" a="1"/>
  <c r="C540" i="9"/>
  <c r="C541" i="9" a="1"/>
  <c r="C541" i="9" s="1"/>
  <c r="C542" i="9" a="1"/>
  <c r="C542" i="9" s="1"/>
  <c r="C543" i="9" a="1"/>
  <c r="C543" i="9" s="1"/>
  <c r="C544" i="9" a="1"/>
  <c r="C544" i="9"/>
  <c r="C545" i="9" a="1"/>
  <c r="C545" i="9" s="1"/>
  <c r="C546" i="9" a="1"/>
  <c r="C546" i="9" s="1"/>
  <c r="C547" i="9" a="1"/>
  <c r="C547" i="9" s="1"/>
  <c r="C548" i="9" a="1"/>
  <c r="C548" i="9" s="1"/>
  <c r="C549" i="9" a="1"/>
  <c r="C549" i="9" s="1"/>
  <c r="C550" i="9" a="1"/>
  <c r="C550" i="9" s="1"/>
  <c r="C551" i="9" a="1"/>
  <c r="C551" i="9" s="1"/>
  <c r="C552" i="9" a="1"/>
  <c r="C552" i="9"/>
  <c r="C553" i="9" a="1"/>
  <c r="C553" i="9" s="1"/>
  <c r="C554" i="9" a="1"/>
  <c r="C554" i="9" s="1"/>
  <c r="C555" i="9" a="1"/>
  <c r="C555" i="9" s="1"/>
  <c r="C556" i="9" a="1"/>
  <c r="C556" i="9"/>
  <c r="C557" i="9" a="1"/>
  <c r="C557" i="9" s="1"/>
  <c r="C558" i="9" a="1"/>
  <c r="C558" i="9" s="1"/>
  <c r="C559" i="9" a="1"/>
  <c r="C559" i="9" s="1"/>
  <c r="C560" i="9" a="1"/>
  <c r="C560" i="9"/>
  <c r="C561" i="9" a="1"/>
  <c r="C561" i="9" s="1"/>
  <c r="C562" i="9" a="1"/>
  <c r="C562" i="9" s="1"/>
  <c r="C563" i="9" a="1"/>
  <c r="C563" i="9" s="1"/>
  <c r="C564" i="9" a="1"/>
  <c r="C564" i="9" s="1"/>
  <c r="C565" i="9" a="1"/>
  <c r="C565" i="9" s="1"/>
  <c r="C566" i="9" a="1"/>
  <c r="C566" i="9" s="1"/>
  <c r="C567" i="9" a="1"/>
  <c r="C567" i="9" s="1"/>
  <c r="C568" i="9" a="1"/>
  <c r="C568" i="9"/>
  <c r="C569" i="9" a="1"/>
  <c r="C569" i="9" s="1"/>
  <c r="C570" i="9" a="1"/>
  <c r="C570" i="9" s="1"/>
  <c r="C571" i="9" a="1"/>
  <c r="C571" i="9" s="1"/>
  <c r="C572" i="9" a="1"/>
  <c r="C572" i="9"/>
  <c r="C573" i="9" a="1"/>
  <c r="C573" i="9" s="1"/>
  <c r="C574" i="9" a="1"/>
  <c r="C574" i="9" s="1"/>
  <c r="C575" i="9" a="1"/>
  <c r="C575" i="9" s="1"/>
  <c r="C576" i="9" a="1"/>
  <c r="C576" i="9" s="1"/>
  <c r="C577" i="9" a="1"/>
  <c r="C577" i="9" s="1"/>
  <c r="C578" i="9" a="1"/>
  <c r="C578" i="9" s="1"/>
  <c r="C579" i="9" a="1"/>
  <c r="C579" i="9" s="1"/>
  <c r="C580" i="9" a="1"/>
  <c r="C580" i="9" s="1"/>
  <c r="C581" i="9" a="1"/>
  <c r="C581" i="9" s="1"/>
  <c r="C582" i="9" a="1"/>
  <c r="C582" i="9" s="1"/>
  <c r="C583" i="9" a="1"/>
  <c r="C583" i="9" s="1"/>
  <c r="C584" i="9" a="1"/>
  <c r="C584" i="9"/>
  <c r="C585" i="9" a="1"/>
  <c r="C585" i="9" s="1"/>
  <c r="C586" i="9" a="1"/>
  <c r="C586" i="9" s="1"/>
  <c r="C587" i="9" a="1"/>
  <c r="C587" i="9" s="1"/>
  <c r="C588" i="9" a="1"/>
  <c r="C588" i="9"/>
  <c r="C589" i="9" a="1"/>
  <c r="C589" i="9" s="1"/>
  <c r="C590" i="9" a="1"/>
  <c r="C590" i="9" s="1"/>
  <c r="C591" i="9" a="1"/>
  <c r="C591" i="9" s="1"/>
  <c r="C592" i="9" a="1"/>
  <c r="C592" i="9" s="1"/>
  <c r="C593" i="9" a="1"/>
  <c r="C593" i="9" s="1"/>
  <c r="C594" i="9" a="1"/>
  <c r="C594" i="9" s="1"/>
  <c r="C595" i="9" a="1"/>
  <c r="C595" i="9" s="1"/>
  <c r="C596" i="9" a="1"/>
  <c r="C596" i="9" s="1"/>
  <c r="C597" i="9" a="1"/>
  <c r="C597" i="9" s="1"/>
  <c r="C598" i="9" a="1"/>
  <c r="C598" i="9" s="1"/>
  <c r="C599" i="9" a="1"/>
  <c r="C599" i="9" s="1"/>
  <c r="C600" i="9" a="1"/>
  <c r="C600" i="9"/>
  <c r="C601" i="9" a="1"/>
  <c r="C601" i="9" s="1"/>
  <c r="C602" i="9" a="1"/>
  <c r="C602" i="9" s="1"/>
  <c r="C603" i="9" a="1"/>
  <c r="C603" i="9" s="1"/>
  <c r="C604" i="9" a="1"/>
  <c r="C604" i="9"/>
  <c r="C605" i="9" a="1"/>
  <c r="C605" i="9" s="1"/>
  <c r="C606" i="9" a="1"/>
  <c r="C606" i="9" s="1"/>
  <c r="C607" i="9" a="1"/>
  <c r="C607" i="9" s="1"/>
  <c r="C608" i="9" a="1"/>
  <c r="C608" i="9"/>
  <c r="C609" i="9" a="1"/>
  <c r="C609" i="9" s="1"/>
  <c r="C610" i="9" a="1"/>
  <c r="C610" i="9" s="1"/>
  <c r="C611" i="9" a="1"/>
  <c r="C611" i="9" s="1"/>
  <c r="C612" i="9" a="1"/>
  <c r="C612" i="9" s="1"/>
  <c r="C613" i="9" a="1"/>
  <c r="C613" i="9" s="1"/>
  <c r="C614" i="9" a="1"/>
  <c r="C614" i="9" s="1"/>
  <c r="C615" i="9" a="1"/>
  <c r="C615" i="9" s="1"/>
  <c r="C616" i="9" a="1"/>
  <c r="C616" i="9"/>
  <c r="C617" i="9" a="1"/>
  <c r="C617" i="9" s="1"/>
  <c r="C618" i="9" a="1"/>
  <c r="C618" i="9" s="1"/>
  <c r="C619" i="9" a="1"/>
  <c r="C619" i="9" s="1"/>
  <c r="C620" i="9" a="1"/>
  <c r="C620" i="9"/>
  <c r="C621" i="9" a="1"/>
  <c r="C621" i="9" s="1"/>
  <c r="C622" i="9" a="1"/>
  <c r="C622" i="9" s="1"/>
  <c r="C623" i="9" a="1"/>
  <c r="C623" i="9" s="1"/>
  <c r="C624" i="9" a="1"/>
  <c r="C624" i="9" s="1"/>
  <c r="C625" i="9" a="1"/>
  <c r="C625" i="9" s="1"/>
  <c r="C626" i="9" a="1"/>
  <c r="C626" i="9" s="1"/>
  <c r="C627" i="9" a="1"/>
  <c r="C627" i="9" s="1"/>
  <c r="C628" i="9" a="1"/>
  <c r="C628" i="9" s="1"/>
  <c r="C629" i="9" a="1"/>
  <c r="C629" i="9" s="1"/>
  <c r="C630" i="9" a="1"/>
  <c r="C630" i="9" s="1"/>
  <c r="C631" i="9" a="1"/>
  <c r="C631" i="9" s="1"/>
  <c r="C632" i="9" a="1"/>
  <c r="C632" i="9"/>
  <c r="C633" i="9" a="1"/>
  <c r="C633" i="9" s="1"/>
  <c r="C634" i="9" a="1"/>
  <c r="C634" i="9" s="1"/>
  <c r="C635" i="9" a="1"/>
  <c r="C635" i="9" s="1"/>
  <c r="C636" i="9" a="1"/>
  <c r="C636" i="9"/>
  <c r="C637" i="9" a="1"/>
  <c r="C637" i="9" s="1"/>
  <c r="C638" i="9" a="1"/>
  <c r="C638" i="9" s="1"/>
  <c r="C639" i="9" a="1"/>
  <c r="C639" i="9" s="1"/>
  <c r="C640" i="9" a="1"/>
  <c r="C640" i="9"/>
  <c r="C641" i="9" a="1"/>
  <c r="C641" i="9" s="1"/>
  <c r="C642" i="9" a="1"/>
  <c r="C642" i="9" s="1"/>
  <c r="C643" i="9" a="1"/>
  <c r="C643" i="9" s="1"/>
  <c r="C644" i="9" a="1"/>
  <c r="C644" i="9" s="1"/>
  <c r="C645" i="9" a="1"/>
  <c r="C645" i="9" s="1"/>
  <c r="C646" i="9" a="1"/>
  <c r="C646" i="9" s="1"/>
  <c r="C647" i="9" a="1"/>
  <c r="C647" i="9" s="1"/>
  <c r="C648" i="9" a="1"/>
  <c r="C648" i="9"/>
  <c r="C649" i="9" a="1"/>
  <c r="C649" i="9" s="1"/>
  <c r="C650" i="9" a="1"/>
  <c r="C650" i="9" s="1"/>
  <c r="C651" i="9" a="1"/>
  <c r="C651" i="9" s="1"/>
  <c r="C652" i="9" a="1"/>
  <c r="C652" i="9"/>
  <c r="C653" i="9" a="1"/>
  <c r="C653" i="9" s="1"/>
  <c r="C654" i="9" a="1"/>
  <c r="C654" i="9" s="1"/>
  <c r="C655" i="9" a="1"/>
  <c r="C655" i="9" s="1"/>
  <c r="C656" i="9" a="1"/>
  <c r="C656" i="9" s="1"/>
  <c r="C657" i="9" a="1"/>
  <c r="C657" i="9" s="1"/>
  <c r="C658" i="9" a="1"/>
  <c r="C658" i="9" s="1"/>
  <c r="C659" i="9" a="1"/>
  <c r="C659" i="9" s="1"/>
  <c r="C660" i="9" a="1"/>
  <c r="C660" i="9" s="1"/>
  <c r="C661" i="9" a="1"/>
  <c r="C661" i="9" s="1"/>
  <c r="C662" i="9" a="1"/>
  <c r="C662" i="9" s="1"/>
  <c r="C663" i="9" a="1"/>
  <c r="C663" i="9" s="1"/>
  <c r="C664" i="9" a="1"/>
  <c r="C664" i="9"/>
  <c r="C665" i="9" a="1"/>
  <c r="C665" i="9" s="1"/>
  <c r="C666" i="9" a="1"/>
  <c r="C666" i="9" s="1"/>
  <c r="C667" i="9" a="1"/>
  <c r="C667" i="9" s="1"/>
  <c r="C668" i="9" a="1"/>
  <c r="C668" i="9"/>
  <c r="C669" i="9" a="1"/>
  <c r="C669" i="9" s="1"/>
  <c r="C670" i="9" a="1"/>
  <c r="C670" i="9" s="1"/>
  <c r="C671" i="9" a="1"/>
  <c r="C671" i="9" s="1"/>
  <c r="C672" i="9" a="1"/>
  <c r="C672" i="9"/>
  <c r="C673" i="9" a="1"/>
  <c r="C673" i="9" s="1"/>
  <c r="C674" i="9" a="1"/>
  <c r="C674" i="9" s="1"/>
  <c r="C675" i="9" a="1"/>
  <c r="C675" i="9" s="1"/>
  <c r="C676" i="9" a="1"/>
  <c r="C676" i="9" s="1"/>
  <c r="C677" i="9" a="1"/>
  <c r="C677" i="9" s="1"/>
  <c r="C678" i="9" a="1"/>
  <c r="C678" i="9" s="1"/>
  <c r="C679" i="9" a="1"/>
  <c r="C679" i="9" s="1"/>
  <c r="C680" i="9" a="1"/>
  <c r="C680" i="9"/>
  <c r="C681" i="9" a="1"/>
  <c r="C681" i="9" s="1"/>
  <c r="C682" i="9" a="1"/>
  <c r="C682" i="9" s="1"/>
  <c r="C683" i="9" a="1"/>
  <c r="C683" i="9" s="1"/>
  <c r="C684" i="9" a="1"/>
  <c r="C684" i="9"/>
  <c r="C685" i="9" a="1"/>
  <c r="C685" i="9" s="1"/>
  <c r="C686" i="9" a="1"/>
  <c r="C686" i="9" s="1"/>
  <c r="C687" i="9" a="1"/>
  <c r="C687" i="9" s="1"/>
  <c r="C688" i="9" a="1"/>
  <c r="C688" i="9" s="1"/>
  <c r="C689" i="9" a="1"/>
  <c r="C689" i="9" s="1"/>
  <c r="C690" i="9" a="1"/>
  <c r="C690" i="9" s="1"/>
  <c r="C691" i="9" a="1"/>
  <c r="C691" i="9" s="1"/>
  <c r="C692" i="9" a="1"/>
  <c r="C692" i="9" s="1"/>
  <c r="C693" i="9" a="1"/>
  <c r="C693" i="9" s="1"/>
  <c r="C694" i="9" a="1"/>
  <c r="C694" i="9" s="1"/>
  <c r="C695" i="9" a="1"/>
  <c r="C695" i="9" s="1"/>
  <c r="C696" i="9" a="1"/>
  <c r="C696" i="9"/>
  <c r="C697" i="9" a="1"/>
  <c r="C697" i="9" s="1"/>
  <c r="C698" i="9" a="1"/>
  <c r="C698" i="9" s="1"/>
  <c r="C699" i="9" a="1"/>
  <c r="C699" i="9" s="1"/>
  <c r="C700" i="9" a="1"/>
  <c r="C700" i="9"/>
  <c r="C701" i="9" a="1"/>
  <c r="C701" i="9" s="1"/>
  <c r="C702" i="9" a="1"/>
  <c r="C702" i="9" s="1"/>
  <c r="C703" i="9" a="1"/>
  <c r="C703" i="9" s="1"/>
  <c r="C704" i="9" a="1"/>
  <c r="C704" i="9"/>
  <c r="C705" i="9" a="1"/>
  <c r="C705" i="9" s="1"/>
  <c r="C706" i="9" a="1"/>
  <c r="C706" i="9" s="1"/>
  <c r="C707" i="9" a="1"/>
  <c r="C707" i="9" s="1"/>
  <c r="C708" i="9" a="1"/>
  <c r="C708" i="9" s="1"/>
  <c r="C709" i="9" a="1"/>
  <c r="C709" i="9" s="1"/>
  <c r="C710" i="9" a="1"/>
  <c r="C710" i="9" s="1"/>
  <c r="C711" i="9" a="1"/>
  <c r="C711" i="9" s="1"/>
  <c r="C712" i="9" a="1"/>
  <c r="C712" i="9"/>
  <c r="C713" i="9" a="1"/>
  <c r="C713" i="9" s="1"/>
  <c r="C714" i="9" a="1"/>
  <c r="C714" i="9" s="1"/>
  <c r="C715" i="9" a="1"/>
  <c r="C715" i="9" s="1"/>
  <c r="C716" i="9" a="1"/>
  <c r="C716" i="9"/>
  <c r="C717" i="9" a="1"/>
  <c r="C717" i="9" s="1"/>
  <c r="C718" i="9" a="1"/>
  <c r="C718" i="9" s="1"/>
  <c r="C719" i="9" a="1"/>
  <c r="C719" i="9" s="1"/>
  <c r="C720" i="9" a="1"/>
  <c r="C720" i="9" s="1"/>
  <c r="C721" i="9" a="1"/>
  <c r="C721" i="9" s="1"/>
  <c r="C722" i="9" a="1"/>
  <c r="C722" i="9" s="1"/>
  <c r="C723" i="9" a="1"/>
  <c r="C723" i="9" s="1"/>
  <c r="C724" i="9" a="1"/>
  <c r="C724" i="9" s="1"/>
  <c r="C725" i="9" a="1"/>
  <c r="C725" i="9" s="1"/>
  <c r="C726" i="9" a="1"/>
  <c r="C726" i="9" s="1"/>
  <c r="C727" i="9" a="1"/>
  <c r="C727" i="9" s="1"/>
  <c r="C728" i="9" a="1"/>
  <c r="C728" i="9"/>
  <c r="C729" i="9" a="1"/>
  <c r="C729" i="9" s="1"/>
  <c r="C730" i="9" a="1"/>
  <c r="C730" i="9" s="1"/>
  <c r="C731" i="9" a="1"/>
  <c r="C731" i="9" s="1"/>
  <c r="C732" i="9" a="1"/>
  <c r="C732" i="9"/>
  <c r="C733" i="9" a="1"/>
  <c r="C733" i="9" s="1"/>
  <c r="C734" i="9" a="1"/>
  <c r="C734" i="9" s="1"/>
  <c r="C735" i="9" a="1"/>
  <c r="C735" i="9" s="1"/>
  <c r="C736" i="9" a="1"/>
  <c r="C736" i="9"/>
  <c r="C737" i="9" a="1"/>
  <c r="C737" i="9" s="1"/>
  <c r="C738" i="9" a="1"/>
  <c r="C738" i="9" s="1"/>
  <c r="C739" i="9" a="1"/>
  <c r="C739" i="9" s="1"/>
  <c r="C740" i="9" a="1"/>
  <c r="C740" i="9" s="1"/>
  <c r="C741" i="9" a="1"/>
  <c r="C741" i="9" s="1"/>
  <c r="C742" i="9" a="1"/>
  <c r="C742" i="9" s="1"/>
  <c r="C743" i="9" a="1"/>
  <c r="C743" i="9" s="1"/>
  <c r="C744" i="9" a="1"/>
  <c r="C744" i="9"/>
  <c r="C745" i="9" a="1"/>
  <c r="C745" i="9" s="1"/>
  <c r="C746" i="9" a="1"/>
  <c r="C746" i="9" s="1"/>
  <c r="C747" i="9" a="1"/>
  <c r="C747" i="9" s="1"/>
  <c r="C748" i="9" a="1"/>
  <c r="C748" i="9"/>
  <c r="C749" i="9" a="1"/>
  <c r="C749" i="9" s="1"/>
  <c r="C750" i="9" a="1"/>
  <c r="C750" i="9" s="1"/>
  <c r="C751" i="9" a="1"/>
  <c r="C751" i="9" s="1"/>
  <c r="C752" i="9" a="1"/>
  <c r="C752" i="9" s="1"/>
  <c r="C753" i="9" a="1"/>
  <c r="C753" i="9" s="1"/>
  <c r="C754" i="9" a="1"/>
  <c r="C754" i="9" s="1"/>
  <c r="C755" i="9" a="1"/>
  <c r="C755" i="9" s="1"/>
  <c r="C756" i="9" a="1"/>
  <c r="C756" i="9" s="1"/>
  <c r="C757" i="9" a="1"/>
  <c r="C757" i="9" s="1"/>
  <c r="C758" i="9" a="1"/>
  <c r="C758" i="9" s="1"/>
  <c r="C759" i="9" a="1"/>
  <c r="C759" i="9" s="1"/>
  <c r="C760" i="9" a="1"/>
  <c r="C760" i="9"/>
  <c r="C761" i="9" a="1"/>
  <c r="C761" i="9" s="1"/>
  <c r="C762" i="9" a="1"/>
  <c r="C762" i="9" s="1"/>
  <c r="C763" i="9" a="1"/>
  <c r="C763" i="9" s="1"/>
  <c r="C764" i="9" a="1"/>
  <c r="C764" i="9"/>
  <c r="C765" i="9" a="1"/>
  <c r="C765" i="9" s="1"/>
  <c r="C767" i="9" a="1"/>
  <c r="C767" i="9" s="1"/>
  <c r="C769" i="9" a="1"/>
  <c r="C769" i="9" s="1"/>
  <c r="C770" i="9" a="1"/>
  <c r="C770" i="9" s="1"/>
  <c r="C771" i="9" a="1"/>
  <c r="C771" i="9" s="1"/>
  <c r="C772" i="9" a="1"/>
  <c r="C772" i="9"/>
  <c r="C773" i="9" a="1"/>
  <c r="C773" i="9" s="1"/>
  <c r="C774" i="9" a="1"/>
  <c r="C774" i="9" s="1"/>
  <c r="C775" i="9" a="1"/>
  <c r="C775" i="9" s="1"/>
  <c r="C776" i="9" a="1"/>
  <c r="C776" i="9"/>
  <c r="C777" i="9" a="1"/>
  <c r="C777" i="9" s="1"/>
  <c r="C778" i="9" a="1"/>
  <c r="C778" i="9" s="1"/>
  <c r="C779" i="9" a="1"/>
  <c r="C779" i="9" s="1"/>
  <c r="C780" i="9" a="1"/>
  <c r="C780" i="9"/>
  <c r="C781" i="9" a="1"/>
  <c r="C781" i="9" s="1"/>
  <c r="C782" i="9" a="1"/>
  <c r="C782" i="9" s="1"/>
  <c r="C783" i="9" a="1"/>
  <c r="C783" i="9" s="1"/>
  <c r="C784" i="9" a="1"/>
  <c r="C784" i="9" s="1"/>
  <c r="C785" i="9" a="1"/>
  <c r="C785" i="9" s="1"/>
  <c r="C786" i="9" a="1"/>
  <c r="C786" i="9" s="1"/>
  <c r="C787" i="9" a="1"/>
  <c r="C787" i="9" s="1"/>
  <c r="C788" i="9" a="1"/>
  <c r="C788" i="9"/>
  <c r="C789" i="9" a="1"/>
  <c r="C789" i="9" s="1"/>
  <c r="C790" i="9" a="1"/>
  <c r="C790" i="9" s="1"/>
  <c r="C791" i="9" a="1"/>
  <c r="C791" i="9" s="1"/>
  <c r="C792" i="9" a="1"/>
  <c r="C792" i="9"/>
  <c r="C793" i="9" a="1"/>
  <c r="C793" i="9" s="1"/>
  <c r="C794" i="9" a="1"/>
  <c r="C794" i="9" s="1"/>
  <c r="C795" i="9" a="1"/>
  <c r="C795" i="9" s="1"/>
  <c r="C796" i="9" a="1"/>
  <c r="C796" i="9" s="1"/>
  <c r="C797" i="9" a="1"/>
  <c r="C797" i="9" s="1"/>
  <c r="C798" i="9" a="1"/>
  <c r="C798" i="9" s="1"/>
  <c r="C799" i="9" a="1"/>
  <c r="C799" i="9" s="1"/>
  <c r="C800" i="9" a="1"/>
  <c r="C800" i="9" s="1"/>
  <c r="C801" i="9" a="1"/>
  <c r="C801" i="9" s="1"/>
  <c r="C802" i="9" a="1"/>
  <c r="C802" i="9" s="1"/>
  <c r="C803" i="9" a="1"/>
  <c r="C803" i="9" s="1"/>
  <c r="C804" i="9" a="1"/>
  <c r="C804" i="9"/>
  <c r="C805" i="9" a="1"/>
  <c r="C805" i="9" s="1"/>
  <c r="C806" i="9" a="1"/>
  <c r="C806" i="9" s="1"/>
  <c r="C807" i="9" a="1"/>
  <c r="C807" i="9" s="1"/>
  <c r="C808" i="9" a="1"/>
  <c r="C808" i="9"/>
  <c r="C809" i="9" a="1"/>
  <c r="C809" i="9" s="1"/>
  <c r="C810" i="9" a="1"/>
  <c r="C810" i="9" s="1"/>
  <c r="C811" i="9" a="1"/>
  <c r="C811" i="9" s="1"/>
  <c r="C812" i="9" a="1"/>
  <c r="C812" i="9"/>
  <c r="C813" i="9" a="1"/>
  <c r="C813" i="9"/>
  <c r="C814" i="9" a="1"/>
  <c r="C814" i="9"/>
  <c r="C815" i="9" a="1"/>
  <c r="C815" i="9"/>
  <c r="C816" i="9" a="1"/>
  <c r="C816" i="9"/>
  <c r="C817" i="9" a="1"/>
  <c r="C817" i="9"/>
  <c r="C818" i="9" a="1"/>
  <c r="C818" i="9"/>
  <c r="C819" i="9" a="1"/>
  <c r="C819" i="9"/>
  <c r="C820" i="9" a="1"/>
  <c r="C820" i="9"/>
  <c r="C821" i="9" a="1"/>
  <c r="C821" i="9"/>
  <c r="C822" i="9" a="1"/>
  <c r="C822" i="9"/>
  <c r="C823" i="9" a="1"/>
  <c r="C823" i="9"/>
  <c r="C824" i="9" a="1"/>
  <c r="C824" i="9"/>
  <c r="C825" i="9" a="1"/>
  <c r="C825" i="9"/>
  <c r="C826" i="9" a="1"/>
  <c r="C826" i="9"/>
  <c r="C827" i="9" a="1"/>
  <c r="C827" i="9"/>
  <c r="C828" i="9" a="1"/>
  <c r="C828" i="9"/>
  <c r="C829" i="9" a="1"/>
  <c r="C829" i="9"/>
  <c r="C830" i="9" a="1"/>
  <c r="C830" i="9"/>
  <c r="C831" i="9" a="1"/>
  <c r="C831" i="9"/>
  <c r="C832" i="9" a="1"/>
  <c r="C832" i="9"/>
  <c r="C833" i="9" a="1"/>
  <c r="C833" i="9"/>
  <c r="C834" i="9" a="1"/>
  <c r="C834" i="9"/>
  <c r="C835" i="9" a="1"/>
  <c r="C835" i="9"/>
  <c r="C836" i="9" a="1"/>
  <c r="C836" i="9"/>
  <c r="C837" i="9" a="1"/>
  <c r="C837" i="9"/>
  <c r="C838" i="9" a="1"/>
  <c r="C838" i="9"/>
  <c r="C839" i="9" a="1"/>
  <c r="C839" i="9"/>
  <c r="C840" i="9" a="1"/>
  <c r="C840" i="9"/>
  <c r="C841" i="9" a="1"/>
  <c r="C841" i="9"/>
  <c r="C842" i="9" a="1"/>
  <c r="C842" i="9"/>
  <c r="C843" i="9" a="1"/>
  <c r="C843" i="9"/>
  <c r="C844" i="9" a="1"/>
  <c r="C844" i="9"/>
  <c r="C845" i="9" a="1"/>
  <c r="C845" i="9"/>
  <c r="C846" i="9" a="1"/>
  <c r="C846" i="9"/>
  <c r="C847" i="9" a="1"/>
  <c r="C847" i="9"/>
  <c r="C848" i="9" a="1"/>
  <c r="C848" i="9"/>
  <c r="C849" i="9" a="1"/>
  <c r="C849" i="9"/>
  <c r="C850" i="9" a="1"/>
  <c r="C850" i="9"/>
  <c r="C851" i="9" a="1"/>
  <c r="C851" i="9"/>
  <c r="C852" i="9" a="1"/>
  <c r="C852" i="9"/>
  <c r="C853" i="9" a="1"/>
  <c r="C853" i="9"/>
  <c r="C854" i="9" a="1"/>
  <c r="C854" i="9"/>
  <c r="C855" i="9" a="1"/>
  <c r="C855" i="9"/>
  <c r="C856" i="9" a="1"/>
  <c r="C856" i="9"/>
  <c r="C857" i="9" a="1"/>
  <c r="C857" i="9"/>
  <c r="C858" i="9" a="1"/>
  <c r="C858" i="9"/>
  <c r="C859" i="9" a="1"/>
  <c r="C859" i="9"/>
  <c r="C860" i="9" a="1"/>
  <c r="C860" i="9"/>
  <c r="C861" i="9" a="1"/>
  <c r="C861" i="9"/>
  <c r="C862" i="9" a="1"/>
  <c r="C862" i="9"/>
  <c r="C863" i="9" a="1"/>
  <c r="C863" i="9"/>
  <c r="C864" i="9" a="1"/>
  <c r="C864" i="9"/>
  <c r="C865" i="9" a="1"/>
  <c r="C865" i="9"/>
  <c r="C866" i="9" a="1"/>
  <c r="C866" i="9"/>
  <c r="C867" i="9" a="1"/>
  <c r="C867" i="9"/>
  <c r="C868" i="9" a="1"/>
  <c r="C868" i="9"/>
  <c r="C869" i="9" a="1"/>
  <c r="C869" i="9"/>
  <c r="C870" i="9" a="1"/>
  <c r="C870" i="9"/>
  <c r="C871" i="9" a="1"/>
  <c r="C871" i="9"/>
  <c r="C872" i="9" a="1"/>
  <c r="C872" i="9"/>
  <c r="C873" i="9" a="1"/>
  <c r="C873" i="9"/>
  <c r="C874" i="9" a="1"/>
  <c r="C874" i="9"/>
  <c r="C875" i="9" a="1"/>
  <c r="C875" i="9"/>
  <c r="C876" i="9" a="1"/>
  <c r="C876" i="9"/>
  <c r="C877" i="9" a="1"/>
  <c r="C877" i="9"/>
  <c r="C878" i="9" a="1"/>
  <c r="C878" i="9"/>
  <c r="C879" i="9" a="1"/>
  <c r="C879" i="9"/>
  <c r="C880" i="9" a="1"/>
  <c r="C880" i="9"/>
  <c r="C881" i="9" a="1"/>
  <c r="C881" i="9"/>
  <c r="C882" i="9" a="1"/>
  <c r="C882" i="9"/>
  <c r="C883" i="9" a="1"/>
  <c r="C883" i="9"/>
  <c r="C884" i="9" a="1"/>
  <c r="C884" i="9"/>
  <c r="C885" i="9" a="1"/>
  <c r="C885" i="9"/>
  <c r="C886" i="9" a="1"/>
  <c r="C886" i="9"/>
  <c r="C887" i="9" a="1"/>
  <c r="C887" i="9"/>
  <c r="C888" i="9" a="1"/>
  <c r="C888" i="9"/>
  <c r="C889" i="9" a="1"/>
  <c r="C889" i="9"/>
  <c r="C890" i="9" a="1"/>
  <c r="C890" i="9"/>
  <c r="C891" i="9" a="1"/>
  <c r="C891" i="9"/>
  <c r="C892" i="9" a="1"/>
  <c r="C892" i="9"/>
  <c r="C893" i="9" a="1"/>
  <c r="C893" i="9"/>
  <c r="C894" i="9" a="1"/>
  <c r="C894" i="9"/>
  <c r="C895" i="9" a="1"/>
  <c r="C895" i="9"/>
  <c r="C896" i="9" a="1"/>
  <c r="C896" i="9"/>
  <c r="C897" i="9" a="1"/>
  <c r="C897" i="9"/>
  <c r="C898" i="9" a="1"/>
  <c r="C898" i="9"/>
  <c r="C899" i="9" a="1"/>
  <c r="C899" i="9"/>
  <c r="C900" i="9" a="1"/>
  <c r="C900" i="9"/>
  <c r="C901" i="9" a="1"/>
  <c r="C901" i="9"/>
  <c r="C902" i="9" a="1"/>
  <c r="C902" i="9"/>
  <c r="C903" i="9" a="1"/>
  <c r="C903" i="9"/>
  <c r="C904" i="9" a="1"/>
  <c r="C904" i="9"/>
  <c r="C905" i="9" a="1"/>
  <c r="C905" i="9"/>
  <c r="C906" i="9" a="1"/>
  <c r="C906" i="9" s="1"/>
  <c r="C907" i="9" a="1"/>
  <c r="C907" i="9" s="1"/>
  <c r="C908" i="9" a="1"/>
  <c r="C908" i="9"/>
  <c r="C909" i="9" a="1"/>
  <c r="C909" i="9" s="1"/>
  <c r="C910" i="9" a="1"/>
  <c r="C910" i="9"/>
  <c r="C911" i="9" a="1"/>
  <c r="C911" i="9" s="1"/>
  <c r="C912" i="9" a="1"/>
  <c r="C912" i="9" s="1"/>
  <c r="C913" i="9" a="1"/>
  <c r="C913" i="9" s="1"/>
  <c r="C914" i="9" a="1"/>
  <c r="C914" i="9"/>
  <c r="C915" i="9" a="1"/>
  <c r="C915" i="9" s="1"/>
  <c r="C916" i="9" a="1"/>
  <c r="C916" i="9" s="1"/>
  <c r="C917" i="9" a="1"/>
  <c r="C917" i="9" s="1"/>
  <c r="C918" i="9" a="1"/>
  <c r="C918" i="9"/>
  <c r="C919" i="9" a="1"/>
  <c r="C919" i="9" s="1"/>
  <c r="C920" i="9" a="1"/>
  <c r="C920" i="9" s="1"/>
  <c r="C921" i="9" a="1"/>
  <c r="C921" i="9" s="1"/>
  <c r="C922" i="9" a="1"/>
  <c r="C922" i="9" s="1"/>
  <c r="C923" i="9" a="1"/>
  <c r="C923" i="9" s="1"/>
  <c r="C924" i="9" a="1"/>
  <c r="C924" i="9"/>
  <c r="C925" i="9" a="1"/>
  <c r="C925" i="9" s="1"/>
  <c r="C926" i="9" a="1"/>
  <c r="C926" i="9"/>
  <c r="C927" i="9" a="1"/>
  <c r="C927" i="9" s="1"/>
  <c r="C928" i="9" a="1"/>
  <c r="C928" i="9" s="1"/>
  <c r="C929" i="9" a="1"/>
  <c r="C929" i="9" s="1"/>
  <c r="C930" i="9" a="1"/>
  <c r="C930" i="9"/>
  <c r="C931" i="9" a="1"/>
  <c r="C931" i="9" s="1"/>
  <c r="C932" i="9" a="1"/>
  <c r="C932" i="9" s="1"/>
  <c r="C933" i="9" a="1"/>
  <c r="C933" i="9" s="1"/>
  <c r="C934" i="9" a="1"/>
  <c r="C934" i="9"/>
  <c r="C935" i="9" a="1"/>
  <c r="C935" i="9" s="1"/>
  <c r="C936" i="9" a="1"/>
  <c r="C936" i="9" s="1"/>
  <c r="C937" i="9" a="1"/>
  <c r="C937" i="9" s="1"/>
  <c r="C938" i="9" a="1"/>
  <c r="C938" i="9" s="1"/>
  <c r="C939" i="9" a="1"/>
  <c r="C939" i="9" s="1"/>
  <c r="C940" i="9" a="1"/>
  <c r="C940" i="9"/>
  <c r="C941" i="9" a="1"/>
  <c r="C941" i="9" s="1"/>
  <c r="C942" i="9" a="1"/>
  <c r="C942" i="9"/>
  <c r="C943" i="9" a="1"/>
  <c r="C943" i="9" s="1"/>
  <c r="C944" i="9" a="1"/>
  <c r="C944" i="9" s="1"/>
  <c r="C945" i="9" a="1"/>
  <c r="C945" i="9" s="1"/>
  <c r="C946" i="9" a="1"/>
  <c r="C946" i="9"/>
  <c r="C947" i="9" a="1"/>
  <c r="C947" i="9" s="1"/>
  <c r="C948" i="9" a="1"/>
  <c r="C948" i="9" s="1"/>
  <c r="C949" i="9" a="1"/>
  <c r="C949" i="9" s="1"/>
  <c r="C950" i="9" a="1"/>
  <c r="C950" i="9"/>
  <c r="C951" i="9" a="1"/>
  <c r="C951" i="9" s="1"/>
  <c r="C952" i="9" a="1"/>
  <c r="C952" i="9" s="1"/>
  <c r="C953" i="9" a="1"/>
  <c r="C953" i="9" s="1"/>
  <c r="C954" i="9" a="1"/>
  <c r="C954" i="9" s="1"/>
  <c r="C955" i="9" a="1"/>
  <c r="C955" i="9" s="1"/>
  <c r="C956" i="9" a="1"/>
  <c r="C956" i="9"/>
  <c r="C957" i="9" a="1"/>
  <c r="C957" i="9" s="1"/>
  <c r="C958" i="9" a="1"/>
  <c r="C958" i="9"/>
  <c r="C959" i="9" a="1"/>
  <c r="C959" i="9" s="1"/>
  <c r="C960" i="9" a="1"/>
  <c r="C960" i="9" s="1"/>
  <c r="C961" i="9" a="1"/>
  <c r="C961" i="9" s="1"/>
  <c r="C962" i="9" a="1"/>
  <c r="C962" i="9"/>
  <c r="C963" i="9" a="1"/>
  <c r="C963" i="9" s="1"/>
  <c r="C964" i="9" a="1"/>
  <c r="C964" i="9" s="1"/>
  <c r="C965" i="9" a="1"/>
  <c r="C965" i="9" s="1"/>
  <c r="C966" i="9" a="1"/>
  <c r="C966" i="9"/>
  <c r="C967" i="9" a="1"/>
  <c r="C967" i="9" s="1"/>
  <c r="C968" i="9" a="1"/>
  <c r="C968" i="9" s="1"/>
  <c r="C969" i="9" a="1"/>
  <c r="C969" i="9" s="1"/>
  <c r="C970" i="9" a="1"/>
  <c r="C970" i="9" s="1"/>
  <c r="C971" i="9" a="1"/>
  <c r="C971" i="9" s="1"/>
  <c r="C972" i="9" a="1"/>
  <c r="C972" i="9"/>
  <c r="C973" i="9" a="1"/>
  <c r="C973" i="9" s="1"/>
  <c r="C974" i="9" a="1"/>
  <c r="C974" i="9"/>
  <c r="C975" i="9" a="1"/>
  <c r="C975" i="9" s="1"/>
  <c r="C976" i="9" a="1"/>
  <c r="C976" i="9" s="1"/>
  <c r="C977" i="9" a="1"/>
  <c r="C977" i="9" s="1"/>
  <c r="C978" i="9" a="1"/>
  <c r="C978" i="9"/>
  <c r="C979" i="9" a="1"/>
  <c r="C979" i="9" s="1"/>
  <c r="C980" i="9" a="1"/>
  <c r="C980" i="9" s="1"/>
  <c r="C981" i="9" a="1"/>
  <c r="C981" i="9" s="1"/>
  <c r="C982" i="9" a="1"/>
  <c r="C982" i="9"/>
  <c r="C983" i="9" a="1"/>
  <c r="C983" i="9" s="1"/>
  <c r="C984" i="9" a="1"/>
  <c r="C984" i="9" s="1"/>
  <c r="C985" i="9" a="1"/>
  <c r="C985" i="9" s="1"/>
  <c r="C986" i="9" a="1"/>
  <c r="C986" i="9" s="1"/>
  <c r="C987" i="9" a="1"/>
  <c r="C987" i="9" s="1"/>
  <c r="C988" i="9" a="1"/>
  <c r="C988" i="9"/>
  <c r="C989" i="9" a="1"/>
  <c r="C989" i="9" s="1"/>
  <c r="C990" i="9" a="1"/>
  <c r="C990" i="9"/>
  <c r="C991" i="9" a="1"/>
  <c r="C991" i="9" s="1"/>
  <c r="C992" i="9" a="1"/>
  <c r="C992" i="9" s="1"/>
  <c r="C993" i="9" a="1"/>
  <c r="C993" i="9" s="1"/>
  <c r="C994" i="9" a="1"/>
  <c r="C994" i="9"/>
  <c r="C995" i="9" a="1"/>
  <c r="C995" i="9" s="1"/>
  <c r="C996" i="9" a="1"/>
  <c r="C996" i="9" s="1"/>
  <c r="C997" i="9" a="1"/>
  <c r="C997" i="9" s="1"/>
  <c r="C998" i="9" a="1"/>
  <c r="C998" i="9"/>
  <c r="C999" i="9" a="1"/>
  <c r="C999" i="9" s="1"/>
  <c r="C1000" i="9" a="1"/>
  <c r="C1000" i="9" s="1"/>
  <c r="C1001" i="9" a="1"/>
  <c r="C1001" i="9" s="1"/>
  <c r="C1002" i="9" a="1"/>
  <c r="C1002" i="9" s="1"/>
  <c r="C1003" i="9" a="1"/>
  <c r="C1003" i="9" s="1"/>
  <c r="C1004" i="9" a="1"/>
  <c r="C1004" i="9"/>
  <c r="C1005" i="9" a="1"/>
  <c r="C1005" i="9" s="1"/>
  <c r="C1006" i="9" a="1"/>
  <c r="C1006" i="9"/>
  <c r="C1007" i="9" a="1"/>
  <c r="C1007" i="9" s="1"/>
  <c r="C1008" i="9" a="1"/>
  <c r="C1008" i="9" s="1"/>
  <c r="C1009" i="9" a="1"/>
  <c r="C1009" i="9" s="1"/>
  <c r="C1010" i="9" a="1"/>
  <c r="C1010" i="9"/>
  <c r="C1011" i="9" a="1"/>
  <c r="C1011" i="9" s="1"/>
  <c r="C1012" i="9" a="1"/>
  <c r="C1012" i="9" s="1"/>
  <c r="C1013" i="9" a="1"/>
  <c r="C1013" i="9" s="1"/>
  <c r="C1014" i="9" a="1"/>
  <c r="C1014" i="9"/>
  <c r="C1015" i="9" a="1"/>
  <c r="C1015" i="9" s="1"/>
  <c r="C1016" i="9" a="1"/>
  <c r="C1016" i="9" s="1"/>
  <c r="C1017" i="9" a="1"/>
  <c r="C1017" i="9" s="1"/>
  <c r="C1018" i="9" a="1"/>
  <c r="C1018" i="9" s="1"/>
  <c r="C1019" i="9" a="1"/>
  <c r="C1019" i="9" s="1"/>
  <c r="C1020" i="9" a="1"/>
  <c r="C1020" i="9"/>
  <c r="C1021" i="9" a="1"/>
  <c r="C1021" i="9" s="1"/>
  <c r="C1022" i="9" a="1"/>
  <c r="C1022" i="9"/>
  <c r="C1023" i="9" a="1"/>
  <c r="C1023" i="9" s="1"/>
  <c r="C1024" i="9" a="1"/>
  <c r="C1024" i="9" s="1"/>
  <c r="C1025" i="9" a="1"/>
  <c r="C1025" i="9" s="1"/>
  <c r="C1026" i="9" a="1"/>
  <c r="C1026" i="9"/>
  <c r="C1027" i="9" a="1"/>
  <c r="C1027" i="9" s="1"/>
  <c r="C1028" i="9" a="1"/>
  <c r="C1028" i="9" s="1"/>
  <c r="C1029" i="9" a="1"/>
  <c r="C1029" i="9" s="1"/>
  <c r="C1030" i="9" a="1"/>
  <c r="C1030" i="9"/>
  <c r="C1031" i="9" a="1"/>
  <c r="C1031" i="9" s="1"/>
  <c r="C1032" i="9" a="1"/>
  <c r="C1032" i="9" s="1"/>
  <c r="C1033" i="9" a="1"/>
  <c r="C1033" i="9" s="1"/>
  <c r="C1034" i="9" a="1"/>
  <c r="C1034" i="9" s="1"/>
  <c r="C1035" i="9" a="1"/>
  <c r="C1035" i="9" s="1"/>
  <c r="C1036" i="9" a="1"/>
  <c r="C1036" i="9"/>
  <c r="C1037" i="9" a="1"/>
  <c r="C1037" i="9" s="1"/>
  <c r="C1038" i="9" a="1"/>
  <c r="C1038" i="9"/>
  <c r="C1039" i="9" a="1"/>
  <c r="C1039" i="9" s="1"/>
  <c r="C1040" i="9" a="1"/>
  <c r="C1040" i="9" s="1"/>
  <c r="C1041" i="9" a="1"/>
  <c r="C1041" i="9" s="1"/>
  <c r="C1042" i="9" a="1"/>
  <c r="C1042" i="9"/>
  <c r="C1043" i="9" a="1"/>
  <c r="C1043" i="9" s="1"/>
  <c r="C1044" i="9" a="1"/>
  <c r="C1044" i="9" s="1"/>
  <c r="C1045" i="9" a="1"/>
  <c r="C1045" i="9" s="1"/>
  <c r="C1046" i="9" a="1"/>
  <c r="C1046" i="9"/>
  <c r="C1047" i="9" a="1"/>
  <c r="C1047" i="9" s="1"/>
  <c r="C1048" i="9" a="1"/>
  <c r="C1048" i="9" s="1"/>
  <c r="C1049" i="9" a="1"/>
  <c r="C1049" i="9" s="1"/>
  <c r="C1050" i="9" a="1"/>
  <c r="C1050" i="9" s="1"/>
  <c r="C1051" i="9" a="1"/>
  <c r="C1051" i="9" s="1"/>
  <c r="C1052" i="9" a="1"/>
  <c r="C1052" i="9"/>
  <c r="C1053" i="9" a="1"/>
  <c r="C1053" i="9" s="1"/>
  <c r="C1054" i="9" a="1"/>
  <c r="C1054" i="9"/>
  <c r="C1055" i="9" a="1"/>
  <c r="C1055" i="9" s="1"/>
  <c r="C1056" i="9" a="1"/>
  <c r="C1056" i="9" s="1"/>
  <c r="C1057" i="9" a="1"/>
  <c r="C1057" i="9" s="1"/>
  <c r="C1058" i="9" a="1"/>
  <c r="C1058" i="9"/>
  <c r="C1059" i="9" a="1"/>
  <c r="C1059" i="9" s="1"/>
  <c r="C1060" i="9" a="1"/>
  <c r="C1060" i="9" s="1"/>
  <c r="C1061" i="9" a="1"/>
  <c r="C1061" i="9" s="1"/>
  <c r="C1062" i="9" a="1"/>
  <c r="C1062" i="9"/>
  <c r="C1063" i="9" a="1"/>
  <c r="C1063" i="9" s="1"/>
  <c r="C1064" i="9" a="1"/>
  <c r="C1064" i="9" s="1"/>
  <c r="C1065" i="9" a="1"/>
  <c r="C1065" i="9" s="1"/>
  <c r="C1066" i="9" a="1"/>
  <c r="C1066" i="9" s="1"/>
  <c r="C1067" i="9" a="1"/>
  <c r="C1067" i="9" s="1"/>
  <c r="C1068" i="9" a="1"/>
  <c r="C1068" i="9"/>
  <c r="C1069" i="9" a="1"/>
  <c r="C1069" i="9" s="1"/>
  <c r="C1070" i="9" a="1"/>
  <c r="C1070" i="9"/>
  <c r="C1071" i="9" a="1"/>
  <c r="C1071" i="9" s="1"/>
  <c r="C1072" i="9" a="1"/>
  <c r="C1072" i="9" s="1"/>
  <c r="C1074" i="9" a="1"/>
  <c r="C1074" i="9" s="1"/>
  <c r="C1075" i="9" a="1"/>
  <c r="C1075" i="9" s="1"/>
  <c r="C1076" i="9" a="1"/>
  <c r="C1076" i="9"/>
  <c r="C1077" i="9" a="1"/>
  <c r="C1077" i="9" s="1"/>
  <c r="C1078" i="9" a="1"/>
  <c r="C1078" i="9" s="1"/>
  <c r="C1079" i="9" a="1"/>
  <c r="C1079" i="9" s="1"/>
  <c r="C1080" i="9" a="1"/>
  <c r="C1080" i="9"/>
  <c r="C1081" i="9" a="1"/>
  <c r="C1081" i="9" s="1"/>
  <c r="C1082" i="9" a="1"/>
  <c r="C1082" i="9" s="1"/>
  <c r="C1083" i="9" a="1"/>
  <c r="C1083" i="9" s="1"/>
  <c r="C1084" i="9" a="1"/>
  <c r="C1084" i="9"/>
  <c r="C1085" i="9" a="1"/>
  <c r="C1085" i="9" s="1"/>
  <c r="C1086" i="9" a="1"/>
  <c r="C1086" i="9" s="1"/>
  <c r="C1087" i="9" a="1"/>
  <c r="C1087" i="9" s="1"/>
  <c r="C1088" i="9" a="1"/>
  <c r="C1088" i="9"/>
  <c r="C1089" i="9" a="1"/>
  <c r="C1089" i="9" s="1"/>
  <c r="C1090" i="9" a="1"/>
  <c r="C1090" i="9" s="1"/>
  <c r="C1091" i="9" a="1"/>
  <c r="C1091" i="9" s="1"/>
  <c r="C1092" i="9" a="1"/>
  <c r="C1092" i="9"/>
  <c r="C1093" i="9" a="1"/>
  <c r="C1093" i="9" s="1"/>
  <c r="C1094" i="9" a="1"/>
  <c r="C1094" i="9" s="1"/>
  <c r="C1095" i="9" a="1"/>
  <c r="C1095" i="9" s="1"/>
  <c r="C1096" i="9" a="1"/>
  <c r="C1096" i="9"/>
  <c r="C1097" i="9" a="1"/>
  <c r="C1097" i="9" s="1"/>
  <c r="C1098" i="9" a="1"/>
  <c r="C1098" i="9" s="1"/>
  <c r="C1099" i="9" a="1"/>
  <c r="C1099" i="9" s="1"/>
  <c r="C1100" i="9" a="1"/>
  <c r="C1100" i="9"/>
  <c r="C1101" i="9" a="1"/>
  <c r="C1101" i="9" s="1"/>
  <c r="C1102" i="9" a="1"/>
  <c r="C1102" i="9" s="1"/>
  <c r="C1103" i="9" a="1"/>
  <c r="C1103" i="9" s="1"/>
  <c r="C1104" i="9" a="1"/>
  <c r="C1104" i="9"/>
  <c r="C1105" i="9" a="1"/>
  <c r="C1105" i="9" s="1"/>
  <c r="C1106" i="9" a="1"/>
  <c r="C1106" i="9" s="1"/>
  <c r="C1107" i="9" a="1"/>
  <c r="C1107" i="9" s="1"/>
  <c r="C1108" i="9" a="1"/>
  <c r="C1108" i="9"/>
  <c r="C1109" i="9" a="1"/>
  <c r="C1109" i="9" s="1"/>
  <c r="C1110" i="9" a="1"/>
  <c r="C1110" i="9" s="1"/>
  <c r="C1111" i="9" a="1"/>
  <c r="C1111" i="9" s="1"/>
  <c r="C1112" i="9" a="1"/>
  <c r="C1112" i="9"/>
  <c r="C1113" i="9" a="1"/>
  <c r="C1113" i="9" s="1"/>
  <c r="C1114" i="9" a="1"/>
  <c r="C1114" i="9" s="1"/>
  <c r="C1115" i="9" a="1"/>
  <c r="C1115" i="9" s="1"/>
  <c r="C1116" i="9" a="1"/>
  <c r="C1116" i="9"/>
  <c r="C1117" i="9" a="1"/>
  <c r="C1117" i="9" s="1"/>
  <c r="C1118" i="9" a="1"/>
  <c r="C1118" i="9" s="1"/>
  <c r="C1119" i="9" a="1"/>
  <c r="C1119" i="9" s="1"/>
  <c r="C1120" i="9" a="1"/>
  <c r="C1120" i="9"/>
  <c r="C1121" i="9" a="1"/>
  <c r="C1121" i="9" s="1"/>
  <c r="C1122" i="9" a="1"/>
  <c r="C1122" i="9" s="1"/>
  <c r="C1123" i="9" a="1"/>
  <c r="C1123" i="9" s="1"/>
  <c r="C1124" i="9" a="1"/>
  <c r="C1124" i="9"/>
  <c r="C1125" i="9" a="1"/>
  <c r="C1125" i="9" s="1"/>
  <c r="C1126" i="9" a="1"/>
  <c r="C1126" i="9" s="1"/>
  <c r="C1127" i="9" a="1"/>
  <c r="C1127" i="9" s="1"/>
  <c r="C1128" i="9" a="1"/>
  <c r="C1128" i="9"/>
  <c r="C1129" i="9" a="1"/>
  <c r="C1129" i="9" s="1"/>
  <c r="C1130" i="9" a="1"/>
  <c r="C1130" i="9" s="1"/>
  <c r="C1131" i="9" a="1"/>
  <c r="C1131" i="9" s="1"/>
  <c r="C1132" i="9" a="1"/>
  <c r="C1132" i="9"/>
  <c r="C1133" i="9" a="1"/>
  <c r="C1133" i="9" s="1"/>
  <c r="C1134" i="9" a="1"/>
  <c r="C1134" i="9" s="1"/>
  <c r="C1135" i="9" a="1"/>
  <c r="C1135" i="9" s="1"/>
  <c r="C1136" i="9" a="1"/>
  <c r="C1136" i="9"/>
  <c r="C1137" i="9" a="1"/>
  <c r="C1137" i="9" s="1"/>
  <c r="C1138" i="9" a="1"/>
  <c r="C1138" i="9" s="1"/>
  <c r="C1139" i="9" a="1"/>
  <c r="C1139" i="9" s="1"/>
  <c r="C1140" i="9" a="1"/>
  <c r="C1140" i="9"/>
  <c r="C1141" i="9" a="1"/>
  <c r="C1141" i="9" s="1"/>
  <c r="C1142" i="9" a="1"/>
  <c r="C1142" i="9" s="1"/>
  <c r="C1143" i="9" a="1"/>
  <c r="C1143" i="9" s="1"/>
  <c r="C1144" i="9" a="1"/>
  <c r="C1144" i="9"/>
  <c r="C1145" i="9" a="1"/>
  <c r="C1145" i="9" s="1"/>
  <c r="C1146" i="9" a="1"/>
  <c r="C1146" i="9" s="1"/>
  <c r="C1147" i="9" a="1"/>
  <c r="C1147" i="9" s="1"/>
  <c r="C1148" i="9" a="1"/>
  <c r="C1148" i="9"/>
  <c r="C1149" i="9" a="1"/>
  <c r="C1149" i="9" s="1"/>
  <c r="C1150" i="9" a="1"/>
  <c r="C1150" i="9" s="1"/>
  <c r="C1151" i="9" a="1"/>
  <c r="C1151" i="9" s="1"/>
  <c r="C1152" i="9" a="1"/>
  <c r="C1152" i="9"/>
  <c r="C1153" i="9" a="1"/>
  <c r="C1153" i="9" s="1"/>
  <c r="C1154" i="9" a="1"/>
  <c r="C1154" i="9" s="1"/>
  <c r="C1155" i="9" a="1"/>
  <c r="C1155" i="9" s="1"/>
  <c r="C1156" i="9" a="1"/>
  <c r="C1156" i="9"/>
  <c r="C1157" i="9" a="1"/>
  <c r="C1157" i="9" s="1"/>
  <c r="C1158" i="9" a="1"/>
  <c r="C1158" i="9" s="1"/>
  <c r="C1159" i="9" a="1"/>
  <c r="C1159" i="9" s="1"/>
  <c r="C1160" i="9" a="1"/>
  <c r="C1160" i="9"/>
  <c r="C1161" i="9" a="1"/>
  <c r="C1161" i="9" s="1"/>
  <c r="C1162" i="9" a="1"/>
  <c r="C1162" i="9" s="1"/>
  <c r="C1163" i="9" a="1"/>
  <c r="C1163" i="9" s="1"/>
  <c r="C1164" i="9" a="1"/>
  <c r="C1164" i="9"/>
  <c r="C1165" i="9" a="1"/>
  <c r="C1165" i="9" s="1"/>
  <c r="C1166" i="9" a="1"/>
  <c r="C1166" i="9" s="1"/>
  <c r="C1167" i="9" a="1"/>
  <c r="C1167" i="9" s="1"/>
  <c r="C1168" i="9" a="1"/>
  <c r="C1168" i="9"/>
  <c r="C1169" i="9" a="1"/>
  <c r="C1169" i="9" s="1"/>
  <c r="C1170" i="9" a="1"/>
  <c r="C1170" i="9"/>
  <c r="C1171" i="9" a="1"/>
  <c r="C1171" i="9" s="1"/>
  <c r="C1172" i="9" a="1"/>
  <c r="C1172" i="9" s="1"/>
  <c r="C1173" i="9" a="1"/>
  <c r="C1173" i="9" s="1"/>
  <c r="C1174" i="9" a="1"/>
  <c r="C1174" i="9"/>
  <c r="C1175" i="9" a="1"/>
  <c r="C1175" i="9" s="1"/>
  <c r="C1176" i="9" a="1"/>
  <c r="C1176" i="9"/>
  <c r="C1177" i="9" a="1"/>
  <c r="C1177" i="9" s="1"/>
  <c r="C1178" i="9" a="1"/>
  <c r="C1178" i="9"/>
  <c r="C1179" i="9" a="1"/>
  <c r="C1179" i="9" s="1"/>
  <c r="C1180" i="9" a="1"/>
  <c r="C1180" i="9" s="1"/>
  <c r="C1181" i="9" a="1"/>
  <c r="C1181" i="9" s="1"/>
  <c r="C1182" i="9" a="1"/>
  <c r="C1182" i="9"/>
  <c r="C1183" i="9" a="1"/>
  <c r="C1183" i="9" s="1"/>
  <c r="C1184" i="9" a="1"/>
  <c r="C1184" i="9"/>
  <c r="C1185" i="9" a="1"/>
  <c r="C1185" i="9" s="1"/>
  <c r="C1186" i="9" a="1"/>
  <c r="C1186" i="9"/>
  <c r="C1187" i="9" a="1"/>
  <c r="C1187" i="9" s="1"/>
  <c r="C1188" i="9" a="1"/>
  <c r="C1188" i="9" s="1"/>
  <c r="C1189" i="9" a="1"/>
  <c r="C1189" i="9" s="1"/>
  <c r="C1190" i="9" a="1"/>
  <c r="C1190" i="9" s="1"/>
  <c r="C1191" i="9" a="1"/>
  <c r="C1191" i="9" s="1"/>
  <c r="C1192" i="9" a="1"/>
  <c r="C1192" i="9"/>
  <c r="C1193" i="9" a="1"/>
  <c r="C1193" i="9" s="1"/>
  <c r="C1194" i="9" a="1"/>
  <c r="C1194" i="9"/>
  <c r="C1195" i="9" a="1"/>
  <c r="C1195" i="9" s="1"/>
  <c r="C1196" i="9" a="1"/>
  <c r="C1196" i="9" s="1"/>
  <c r="C1197" i="9" a="1"/>
  <c r="C1197" i="9" s="1"/>
  <c r="C1198" i="9" a="1"/>
  <c r="C1198" i="9"/>
  <c r="C1199" i="9" a="1"/>
  <c r="C1199" i="9" s="1"/>
  <c r="C1200" i="9" a="1"/>
  <c r="C1200" i="9"/>
  <c r="C1201" i="9" a="1"/>
  <c r="C1201" i="9" s="1"/>
  <c r="C1202" i="9" a="1"/>
  <c r="C1202" i="9"/>
  <c r="C1203" i="9" a="1"/>
  <c r="C1203" i="9" s="1"/>
  <c r="C1204" i="9" a="1"/>
  <c r="C1204" i="9" s="1"/>
  <c r="C1205" i="9" a="1"/>
  <c r="C1205" i="9" s="1"/>
  <c r="C1206" i="9" a="1"/>
  <c r="C1206" i="9"/>
  <c r="C1207" i="9" a="1"/>
  <c r="C1207" i="9" s="1"/>
  <c r="C1208" i="9" a="1"/>
  <c r="C1208" i="9"/>
  <c r="C1209" i="9" a="1"/>
  <c r="C1209" i="9" s="1"/>
  <c r="C1210" i="9" a="1"/>
  <c r="C1210" i="9"/>
  <c r="C1211" i="9" a="1"/>
  <c r="C1211" i="9" s="1"/>
  <c r="C1212" i="9" a="1"/>
  <c r="C1212" i="9" s="1"/>
  <c r="C1213" i="9" a="1"/>
  <c r="C1213" i="9" s="1"/>
  <c r="C1214" i="9" a="1"/>
  <c r="C1214" i="9"/>
  <c r="C1215" i="9" a="1"/>
  <c r="C1215" i="9" s="1"/>
  <c r="C1216" i="9" a="1"/>
  <c r="C1216" i="9"/>
  <c r="C1217" i="9" a="1"/>
  <c r="C1217" i="9" s="1"/>
  <c r="C1218" i="9" a="1"/>
  <c r="C1218" i="9"/>
  <c r="C1219" i="9" a="1"/>
  <c r="C1219" i="9" s="1"/>
  <c r="C1220" i="9" a="1"/>
  <c r="C1220" i="9" s="1"/>
  <c r="C1221" i="9" a="1"/>
  <c r="C1221" i="9" s="1"/>
  <c r="C1222" i="9" a="1"/>
  <c r="C1222" i="9" s="1"/>
  <c r="C1223" i="9" a="1"/>
  <c r="C1223" i="9" s="1"/>
  <c r="C1224" i="9" a="1"/>
  <c r="C1224" i="9"/>
  <c r="C1225" i="9" a="1"/>
  <c r="C1225" i="9" s="1"/>
  <c r="C1226" i="9" a="1"/>
  <c r="C1226" i="9"/>
  <c r="C1227" i="9" a="1"/>
  <c r="C1227" i="9" s="1"/>
  <c r="C1228" i="9" a="1"/>
  <c r="C1228" i="9" s="1"/>
  <c r="C1229" i="9" a="1"/>
  <c r="C1229" i="9" s="1"/>
  <c r="C1230" i="9" a="1"/>
  <c r="C1230" i="9"/>
  <c r="C1231" i="9" a="1"/>
  <c r="C1231" i="9" s="1"/>
  <c r="C1232" i="9" a="1"/>
  <c r="C1232" i="9"/>
  <c r="C1233" i="9" a="1"/>
  <c r="C1233" i="9" s="1"/>
  <c r="C1234" i="9" a="1"/>
  <c r="C1234" i="9"/>
  <c r="C1235" i="9" a="1"/>
  <c r="C1235" i="9" s="1"/>
  <c r="C1236" i="9" a="1"/>
  <c r="C1236" i="9" s="1"/>
  <c r="C1237" i="9" a="1"/>
  <c r="C1237" i="9" s="1"/>
  <c r="C1238" i="9" a="1"/>
  <c r="C1238" i="9"/>
  <c r="C1239" i="9" a="1"/>
  <c r="C1239" i="9" s="1"/>
  <c r="C1240" i="9" a="1"/>
  <c r="C1240" i="9"/>
  <c r="C1241" i="9" a="1"/>
  <c r="C1241" i="9" s="1"/>
  <c r="C1242" i="9" a="1"/>
  <c r="C1242" i="9"/>
  <c r="C1243" i="9" a="1"/>
  <c r="C1243" i="9" s="1"/>
  <c r="C1244" i="9" a="1"/>
  <c r="C1244" i="9" s="1"/>
  <c r="C1245" i="9" a="1"/>
  <c r="C1245" i="9" s="1"/>
  <c r="C1246" i="9" a="1"/>
  <c r="C1246" i="9"/>
  <c r="C1247" i="9" a="1"/>
  <c r="C1247" i="9" s="1"/>
  <c r="C1248" i="9" a="1"/>
  <c r="C1248" i="9"/>
  <c r="C1249" i="9" a="1"/>
  <c r="C1249" i="9" s="1"/>
  <c r="C1250" i="9" a="1"/>
  <c r="C1250" i="9"/>
  <c r="C1251" i="9" a="1"/>
  <c r="C1251" i="9" s="1"/>
  <c r="C1252" i="9" a="1"/>
  <c r="C1252" i="9" s="1"/>
  <c r="C1253" i="9" a="1"/>
  <c r="C1253" i="9" s="1"/>
  <c r="C1254" i="9" a="1"/>
  <c r="C1254" i="9" s="1"/>
  <c r="C1255" i="9" a="1"/>
  <c r="C1255" i="9" s="1"/>
  <c r="C1256" i="9" a="1"/>
  <c r="C1256" i="9"/>
  <c r="C1257" i="9" a="1"/>
  <c r="C1257" i="9" s="1"/>
  <c r="C1258" i="9" a="1"/>
  <c r="C1258" i="9"/>
  <c r="C1259" i="9" a="1"/>
  <c r="C1259" i="9" s="1"/>
  <c r="C1260" i="9" a="1"/>
  <c r="C1260" i="9" s="1"/>
  <c r="C1261" i="9" a="1"/>
  <c r="C1261" i="9" s="1"/>
  <c r="C1262" i="9" a="1"/>
  <c r="C1262" i="9"/>
  <c r="C1263" i="9" a="1"/>
  <c r="C1263" i="9" s="1"/>
  <c r="C1264" i="9" a="1"/>
  <c r="C1264" i="9"/>
  <c r="C1265" i="9" a="1"/>
  <c r="C1265" i="9" s="1"/>
  <c r="C1266" i="9" a="1"/>
  <c r="C1266" i="9"/>
  <c r="C1267" i="9" a="1"/>
  <c r="C1267" i="9" s="1"/>
  <c r="C1268" i="9" a="1"/>
  <c r="C1268" i="9" s="1"/>
  <c r="C1269" i="9" a="1"/>
  <c r="C1269" i="9" s="1"/>
  <c r="C1270" i="9" a="1"/>
  <c r="C1270" i="9"/>
  <c r="C1271" i="9" a="1"/>
  <c r="C1271" i="9" s="1"/>
  <c r="C1272" i="9" a="1"/>
  <c r="C1272" i="9"/>
  <c r="C1273" i="9" a="1"/>
  <c r="C1273" i="9" s="1"/>
  <c r="C1274" i="9" a="1"/>
  <c r="C1274" i="9"/>
  <c r="C1275" i="9" a="1"/>
  <c r="C1275" i="9" s="1"/>
  <c r="C1276" i="9" a="1"/>
  <c r="C1276" i="9" s="1"/>
  <c r="C1277" i="9" a="1"/>
  <c r="C1277" i="9" s="1"/>
  <c r="C1278" i="9" a="1"/>
  <c r="C1278" i="9"/>
  <c r="C1279" i="9" a="1"/>
  <c r="C1279" i="9" s="1"/>
  <c r="C1280" i="9" a="1"/>
  <c r="C1280" i="9"/>
  <c r="C1281" i="9" a="1"/>
  <c r="C1281" i="9" s="1"/>
  <c r="C1282" i="9" a="1"/>
  <c r="C1282" i="9"/>
  <c r="C1283" i="9" a="1"/>
  <c r="C1283" i="9" s="1"/>
  <c r="C1284" i="9" a="1"/>
  <c r="C1284" i="9" s="1"/>
  <c r="C1285" i="9" a="1"/>
  <c r="C1285" i="9" s="1"/>
  <c r="C1286" i="9" a="1"/>
  <c r="C1286" i="9" s="1"/>
  <c r="C1287" i="9" a="1"/>
  <c r="C1287" i="9" s="1"/>
  <c r="C1288" i="9" a="1"/>
  <c r="C1288" i="9"/>
  <c r="C1289" i="9" a="1"/>
  <c r="C1289" i="9" s="1"/>
  <c r="C1290" i="9" a="1"/>
  <c r="C1290" i="9"/>
  <c r="C1291" i="9" a="1"/>
  <c r="C1291" i="9" s="1"/>
  <c r="C1292" i="9" a="1"/>
  <c r="C1292" i="9" s="1"/>
  <c r="C1293" i="9" a="1"/>
  <c r="C1293" i="9" s="1"/>
  <c r="C1294" i="9" a="1"/>
  <c r="C1294" i="9"/>
  <c r="C1295" i="9" a="1"/>
  <c r="C1295" i="9" s="1"/>
  <c r="C1296" i="9" a="1"/>
  <c r="C1296" i="9"/>
  <c r="C1297" i="9" a="1"/>
  <c r="C1297" i="9" s="1"/>
  <c r="C1298" i="9" a="1"/>
  <c r="C1298" i="9"/>
  <c r="C1299" i="9" a="1"/>
  <c r="C1299" i="9" s="1"/>
  <c r="C1300" i="9" a="1"/>
  <c r="C1300" i="9" s="1"/>
  <c r="C1301" i="9" a="1"/>
  <c r="C1301" i="9" s="1"/>
  <c r="C1302" i="9" a="1"/>
  <c r="C1302" i="9"/>
  <c r="C1303" i="9" a="1"/>
  <c r="C1303" i="9" s="1"/>
  <c r="C1304" i="9" a="1"/>
  <c r="C1304" i="9"/>
  <c r="C1305" i="9" a="1"/>
  <c r="C1305" i="9" s="1"/>
  <c r="C1306" i="9" a="1"/>
  <c r="C1306" i="9"/>
  <c r="C1307" i="9" a="1"/>
  <c r="C1307" i="9" s="1"/>
  <c r="C1308" i="9" a="1"/>
  <c r="C1308" i="9" s="1"/>
  <c r="C1309" i="9" a="1"/>
  <c r="C1309" i="9" s="1"/>
  <c r="C1310" i="9" a="1"/>
  <c r="C1310" i="9"/>
  <c r="C1311" i="9" a="1"/>
  <c r="C1311" i="9" s="1"/>
  <c r="C1312" i="9" a="1"/>
  <c r="C1312" i="9"/>
  <c r="C1313" i="9" a="1"/>
  <c r="C1313" i="9" s="1"/>
  <c r="C1314" i="9" a="1"/>
  <c r="C1314" i="9"/>
  <c r="C1315" i="9" a="1"/>
  <c r="C1315" i="9" s="1"/>
  <c r="C1316" i="9" a="1"/>
  <c r="C1316" i="9" s="1"/>
  <c r="C1317" i="9" a="1"/>
  <c r="C1317" i="9" s="1"/>
  <c r="C1318" i="9" a="1"/>
  <c r="C1318" i="9" s="1"/>
  <c r="C1319" i="9" a="1"/>
  <c r="C1319" i="9" s="1"/>
  <c r="C1320" i="9" a="1"/>
  <c r="C1320" i="9"/>
  <c r="C1321" i="9" a="1"/>
  <c r="C1321" i="9" s="1"/>
  <c r="C1322" i="9" a="1"/>
  <c r="C1322" i="9"/>
  <c r="C1323" i="9" a="1"/>
  <c r="C1323" i="9" s="1"/>
  <c r="C1324" i="9" a="1"/>
  <c r="C1324" i="9" s="1"/>
  <c r="C1325" i="9" a="1"/>
  <c r="C1325" i="9" s="1"/>
  <c r="C1326" i="9" a="1"/>
  <c r="C1326" i="9"/>
  <c r="C1327" i="9" a="1"/>
  <c r="C1327" i="9" s="1"/>
  <c r="C1328" i="9" a="1"/>
  <c r="C1328" i="9"/>
  <c r="C1329" i="9" a="1"/>
  <c r="C1329" i="9" s="1"/>
  <c r="C1330" i="9" a="1"/>
  <c r="C1330" i="9"/>
  <c r="C1331" i="9" a="1"/>
  <c r="C1331" i="9" s="1"/>
  <c r="C1332" i="9" a="1"/>
  <c r="C1332" i="9" s="1"/>
  <c r="C1333" i="9" a="1"/>
  <c r="C1333" i="9" s="1"/>
  <c r="C1334" i="9" a="1"/>
  <c r="C1334" i="9"/>
  <c r="C1335" i="9" a="1"/>
  <c r="C1335" i="9" s="1"/>
  <c r="C1336" i="9" a="1"/>
  <c r="C1336" i="9"/>
  <c r="C1337" i="9" a="1"/>
  <c r="C1337" i="9" s="1"/>
  <c r="C1338" i="9" a="1"/>
  <c r="C1338" i="9"/>
  <c r="C1339" i="9" a="1"/>
  <c r="C1339" i="9" s="1"/>
  <c r="C1340" i="9" a="1"/>
  <c r="C1340" i="9" s="1"/>
  <c r="C1341" i="9" a="1"/>
  <c r="C1341" i="9" s="1"/>
  <c r="C1342" i="9" a="1"/>
  <c r="C1342" i="9"/>
  <c r="C1343" i="9" a="1"/>
  <c r="C1343" i="9" s="1"/>
  <c r="C1344" i="9" a="1"/>
  <c r="C1344" i="9"/>
  <c r="C1345" i="9" a="1"/>
  <c r="C1345" i="9" s="1"/>
  <c r="C1346" i="9" a="1"/>
  <c r="C1346" i="9" s="1"/>
  <c r="C1347" i="9" a="1"/>
  <c r="C1347" i="9" s="1"/>
  <c r="C1348" i="9" a="1"/>
  <c r="C1348" i="9" s="1"/>
  <c r="C1349" i="9" a="1"/>
  <c r="C1349" i="9" s="1"/>
  <c r="C1350" i="9" a="1"/>
  <c r="C1350" i="9"/>
  <c r="C1351" i="9" a="1"/>
  <c r="C1351" i="9" s="1"/>
  <c r="C1352" i="9" a="1"/>
  <c r="C1352" i="9"/>
  <c r="C1353" i="9" a="1"/>
  <c r="C1353" i="9" s="1"/>
  <c r="C1354" i="9" a="1"/>
  <c r="C1354" i="9" s="1"/>
  <c r="C1355" i="9" a="1"/>
  <c r="C1355" i="9" s="1"/>
  <c r="C1356" i="9" a="1"/>
  <c r="C1356" i="9" s="1"/>
  <c r="C1357" i="9" a="1"/>
  <c r="C1357" i="9" s="1"/>
  <c r="C1358" i="9" a="1"/>
  <c r="C1358" i="9"/>
  <c r="C1359" i="9" a="1"/>
  <c r="C1359" i="9" s="1"/>
  <c r="C1360" i="9" a="1"/>
  <c r="C1360" i="9"/>
  <c r="C1361" i="9" a="1"/>
  <c r="C1361" i="9" s="1"/>
  <c r="C1362" i="9" a="1"/>
  <c r="C1362" i="9" s="1"/>
  <c r="C1363" i="9" a="1"/>
  <c r="C1363" i="9" s="1"/>
  <c r="C1364" i="9" a="1"/>
  <c r="C1364" i="9" s="1"/>
  <c r="C1365" i="9" a="1"/>
  <c r="C1365" i="9" s="1"/>
  <c r="C1366" i="9" a="1"/>
  <c r="C1366" i="9"/>
  <c r="C1367" i="9" a="1"/>
  <c r="C1367" i="9" s="1"/>
  <c r="C1368" i="9" a="1"/>
  <c r="C1368" i="9"/>
  <c r="C1369" i="9" a="1"/>
  <c r="C1369" i="9" s="1"/>
  <c r="C1370" i="9" a="1"/>
  <c r="C1370" i="9" s="1"/>
  <c r="C1371" i="9" a="1"/>
  <c r="C1371" i="9" s="1"/>
  <c r="C1372" i="9" a="1"/>
  <c r="C1372" i="9" s="1"/>
  <c r="C1373" i="9" a="1"/>
  <c r="C1373" i="9" s="1"/>
  <c r="C1374" i="9" a="1"/>
  <c r="C1374" i="9"/>
  <c r="C1375" i="9" a="1"/>
  <c r="C1375" i="9" s="1"/>
  <c r="C1376" i="9" a="1"/>
  <c r="C1376" i="9"/>
  <c r="C1377" i="9" a="1"/>
  <c r="C1377" i="9" s="1"/>
  <c r="C1378" i="9" a="1"/>
  <c r="C1378" i="9" s="1"/>
  <c r="C1379" i="9" a="1"/>
  <c r="C1379" i="9" s="1"/>
  <c r="C1380" i="9" a="1"/>
  <c r="C1380" i="9" s="1"/>
  <c r="C1381" i="9" a="1"/>
  <c r="C1381" i="9" s="1"/>
  <c r="C1382" i="9" a="1"/>
  <c r="C1382" i="9"/>
  <c r="C1383" i="9" a="1"/>
  <c r="C1383" i="9" s="1"/>
  <c r="C1384" i="9" a="1"/>
  <c r="C1384" i="9"/>
  <c r="C1385" i="9" a="1"/>
  <c r="C1385" i="9" s="1"/>
  <c r="C1386" i="9" a="1"/>
  <c r="C1386" i="9" s="1"/>
  <c r="C1387" i="9" a="1"/>
  <c r="C1387" i="9" s="1"/>
  <c r="C1388" i="9" a="1"/>
  <c r="C1388" i="9" s="1"/>
  <c r="C1389" i="9" a="1"/>
  <c r="C1389" i="9" s="1"/>
  <c r="C1390" i="9" a="1"/>
  <c r="C1390" i="9"/>
  <c r="C1391" i="9" a="1"/>
  <c r="C1391" i="9" s="1"/>
  <c r="C1392" i="9" a="1"/>
  <c r="C1392" i="9"/>
  <c r="C1393" i="9" a="1"/>
  <c r="C1393" i="9" s="1"/>
  <c r="C1394" i="9" a="1"/>
  <c r="C1394" i="9" s="1"/>
  <c r="C1395" i="9" a="1"/>
  <c r="C1395" i="9" s="1"/>
  <c r="C1396" i="9" a="1"/>
  <c r="C1396" i="9" s="1"/>
  <c r="C1397" i="9" a="1"/>
  <c r="C1397" i="9" s="1"/>
  <c r="C1398" i="9" a="1"/>
  <c r="C1398" i="9"/>
  <c r="C1399" i="9" a="1"/>
  <c r="C1399" i="9" s="1"/>
  <c r="C1400" i="9" a="1"/>
  <c r="C1400" i="9"/>
  <c r="C1401" i="9" a="1"/>
  <c r="C1401" i="9" s="1"/>
  <c r="C1402" i="9" a="1"/>
  <c r="C1402" i="9" s="1"/>
  <c r="C1403" i="9" a="1"/>
  <c r="C1403" i="9" s="1"/>
  <c r="C1404" i="9" a="1"/>
  <c r="C1404" i="9" s="1"/>
  <c r="C1405" i="9" a="1"/>
  <c r="C1405" i="9" s="1"/>
  <c r="C1406" i="9" a="1"/>
  <c r="C1406" i="9"/>
  <c r="C1407" i="9" a="1"/>
  <c r="C1407" i="9" s="1"/>
  <c r="C1408" i="9" a="1"/>
  <c r="C1408" i="9"/>
  <c r="C1409" i="9" a="1"/>
  <c r="C1409" i="9" s="1"/>
  <c r="C1410" i="9" a="1"/>
  <c r="C1410" i="9" s="1"/>
  <c r="C1411" i="9" a="1"/>
  <c r="C1411" i="9" s="1"/>
  <c r="C1412" i="9" a="1"/>
  <c r="C1412" i="9" s="1"/>
  <c r="C1413" i="9" a="1"/>
  <c r="C1413" i="9" s="1"/>
  <c r="C1414" i="9" a="1"/>
  <c r="C1414" i="9"/>
  <c r="C1415" i="9" a="1"/>
  <c r="C1415" i="9" s="1"/>
  <c r="C1416" i="9" a="1"/>
  <c r="C1416" i="9"/>
  <c r="C1417" i="9" a="1"/>
  <c r="C1417" i="9" s="1"/>
  <c r="C1418" i="9" a="1"/>
  <c r="C1418" i="9" s="1"/>
  <c r="C1419" i="9" a="1"/>
  <c r="C1419" i="9" s="1"/>
  <c r="C1420" i="9" a="1"/>
  <c r="C1420" i="9" s="1"/>
  <c r="C1421" i="9" a="1"/>
  <c r="C1421" i="9" s="1"/>
  <c r="C1422" i="9" a="1"/>
  <c r="C1422" i="9"/>
  <c r="C1423" i="9" a="1"/>
  <c r="C1423" i="9" s="1"/>
  <c r="C1424" i="9" a="1"/>
  <c r="C1424" i="9"/>
  <c r="C1425" i="9" a="1"/>
  <c r="C1425" i="9" s="1"/>
  <c r="C1426" i="9" a="1"/>
  <c r="C1426" i="9" s="1"/>
  <c r="C1427" i="9" a="1"/>
  <c r="C1427" i="9" s="1"/>
  <c r="C1428" i="9" a="1"/>
  <c r="C1428" i="9" s="1"/>
  <c r="C1429" i="9" a="1"/>
  <c r="C1429" i="9" s="1"/>
  <c r="C1430" i="9" a="1"/>
  <c r="C1430" i="9"/>
  <c r="C1431" i="9" a="1"/>
  <c r="C1431" i="9" s="1"/>
  <c r="C1432" i="9" a="1"/>
  <c r="C1432" i="9"/>
  <c r="C1433" i="9" a="1"/>
  <c r="C1433" i="9" s="1"/>
  <c r="C1434" i="9" a="1"/>
  <c r="C1434" i="9" s="1"/>
  <c r="C1435" i="9" a="1"/>
  <c r="C1435" i="9" s="1"/>
  <c r="C1436" i="9" a="1"/>
  <c r="C1436" i="9" s="1"/>
  <c r="C1437" i="9" a="1"/>
  <c r="C1437" i="9" s="1"/>
  <c r="C1438" i="9" a="1"/>
  <c r="C1438" i="9"/>
  <c r="C1439" i="9" a="1"/>
  <c r="C1439" i="9" s="1"/>
  <c r="C1440" i="9" a="1"/>
  <c r="C1440" i="9"/>
  <c r="C1441" i="9" a="1"/>
  <c r="C1441" i="9" s="1"/>
  <c r="C1442" i="9" a="1"/>
  <c r="C1442" i="9" s="1"/>
  <c r="C1443" i="9" a="1"/>
  <c r="C1443" i="9" s="1"/>
  <c r="C1444" i="9" a="1"/>
  <c r="C1444" i="9" s="1"/>
  <c r="C1445" i="9" a="1"/>
  <c r="C1445" i="9" s="1"/>
  <c r="C1446" i="9" a="1"/>
  <c r="C1446" i="9"/>
  <c r="C1447" i="9" a="1"/>
  <c r="C1447" i="9" s="1"/>
  <c r="C1448" i="9" a="1"/>
  <c r="C1448" i="9"/>
  <c r="C1449" i="9" a="1"/>
  <c r="C1449" i="9" s="1"/>
  <c r="C1450" i="9" a="1"/>
  <c r="C1450" i="9" s="1"/>
  <c r="C1451" i="9" a="1"/>
  <c r="C1451" i="9" s="1"/>
  <c r="C1452" i="9" a="1"/>
  <c r="C1452" i="9" s="1"/>
  <c r="C1453" i="9" a="1"/>
  <c r="C1453" i="9" s="1"/>
  <c r="C1454" i="9" a="1"/>
  <c r="C1454" i="9"/>
  <c r="C1455" i="9" a="1"/>
  <c r="C1455" i="9" s="1"/>
  <c r="C1456" i="9" a="1"/>
  <c r="C1456" i="9"/>
  <c r="C1457" i="9" a="1"/>
  <c r="C1457" i="9" s="1"/>
  <c r="C1458" i="9" a="1"/>
  <c r="C1458" i="9" s="1"/>
  <c r="C1459" i="9" a="1"/>
  <c r="C1459" i="9" s="1"/>
  <c r="C1460" i="9" a="1"/>
  <c r="C1460" i="9" s="1"/>
  <c r="C1461" i="9" a="1"/>
  <c r="C1461" i="9" s="1"/>
  <c r="C1462" i="9" a="1"/>
  <c r="C1462" i="9"/>
  <c r="C1463" i="9" a="1"/>
  <c r="C1463" i="9" s="1"/>
  <c r="C1464" i="9" a="1"/>
  <c r="C1464" i="9"/>
  <c r="C1465" i="9" a="1"/>
  <c r="C1465" i="9" s="1"/>
  <c r="C1466" i="9" a="1"/>
  <c r="C1466" i="9"/>
  <c r="C1467" i="9" a="1"/>
  <c r="C1467" i="9" s="1"/>
  <c r="C1468" i="9" a="1"/>
  <c r="C1468" i="9"/>
  <c r="C1469" i="9" a="1"/>
  <c r="C1469" i="9" s="1"/>
  <c r="C1470" i="9" a="1"/>
  <c r="C1470" i="9"/>
  <c r="C1471" i="9" a="1"/>
  <c r="C1471" i="9" s="1"/>
  <c r="C1472" i="9" a="1"/>
  <c r="C1472" i="9"/>
  <c r="C1473" i="9" a="1"/>
  <c r="C1473" i="9" s="1"/>
  <c r="C1474" i="9" a="1"/>
  <c r="C1474" i="9"/>
  <c r="C1475" i="9" a="1"/>
  <c r="C1475" i="9" s="1"/>
  <c r="C1476" i="9" a="1"/>
  <c r="C1476" i="9"/>
  <c r="C1477" i="9" a="1"/>
  <c r="C1477" i="9" s="1"/>
  <c r="C1478" i="9" a="1"/>
  <c r="C1478" i="9"/>
  <c r="C1479" i="9" a="1"/>
  <c r="C1479" i="9" s="1"/>
  <c r="C1480" i="9" a="1"/>
  <c r="C1480" i="9"/>
  <c r="C1481" i="9" a="1"/>
  <c r="C1481" i="9" s="1"/>
  <c r="C1482" i="9" a="1"/>
  <c r="C1482" i="9"/>
  <c r="C1483" i="9" a="1"/>
  <c r="C1483" i="9" s="1"/>
  <c r="C1484" i="9" a="1"/>
  <c r="C1484" i="9"/>
  <c r="C1485" i="9" a="1"/>
  <c r="C1485" i="9" s="1"/>
  <c r="C1486" i="9" a="1"/>
  <c r="C1486" i="9"/>
  <c r="C1487" i="9" a="1"/>
  <c r="C1487" i="9" s="1"/>
  <c r="C1488" i="9" a="1"/>
  <c r="C1488" i="9"/>
  <c r="C1489" i="9" a="1"/>
  <c r="C1489" i="9" s="1"/>
  <c r="C1490" i="9" a="1"/>
  <c r="C1490" i="9"/>
  <c r="C1491" i="9" a="1"/>
  <c r="C1491" i="9" s="1"/>
  <c r="C1492" i="9" a="1"/>
  <c r="C1492" i="9"/>
  <c r="C1493" i="9" a="1"/>
  <c r="C1493" i="9" s="1"/>
  <c r="C1494" i="9" a="1"/>
  <c r="C1494" i="9"/>
  <c r="C1495" i="9" a="1"/>
  <c r="C1495" i="9" s="1"/>
  <c r="C1496" i="9" a="1"/>
  <c r="C1496" i="9"/>
  <c r="C1497" i="9" a="1"/>
  <c r="C1497" i="9" s="1"/>
  <c r="C1498" i="9" a="1"/>
  <c r="C1498" i="9"/>
  <c r="C1499" i="9" a="1"/>
  <c r="C1499" i="9" s="1"/>
  <c r="C1500" i="9" a="1"/>
  <c r="C1500" i="9"/>
  <c r="C1501" i="9" a="1"/>
  <c r="C1501" i="9" s="1"/>
  <c r="C1502" i="9" a="1"/>
  <c r="C1502" i="9"/>
  <c r="C1503" i="9" a="1"/>
  <c r="C1503" i="9" s="1"/>
  <c r="C1504" i="9" a="1"/>
  <c r="C1504" i="9"/>
  <c r="C1505" i="9" a="1"/>
  <c r="C1505" i="9" s="1"/>
  <c r="C1506" i="9" a="1"/>
  <c r="C1506" i="9"/>
  <c r="C1507" i="9" a="1"/>
  <c r="C1507" i="9" s="1"/>
  <c r="C1508" i="9" a="1"/>
  <c r="C1508" i="9"/>
  <c r="C1509" i="9" a="1"/>
  <c r="C1509" i="9" s="1"/>
  <c r="C1510" i="9" a="1"/>
  <c r="C1510" i="9"/>
  <c r="C1511" i="9" a="1"/>
  <c r="C1511" i="9" s="1"/>
  <c r="C1512" i="9" a="1"/>
  <c r="C1512" i="9"/>
  <c r="C1513" i="9" a="1"/>
  <c r="C1513" i="9" s="1"/>
  <c r="C1514" i="9" a="1"/>
  <c r="C1514" i="9"/>
  <c r="C1515" i="9" a="1"/>
  <c r="C1515" i="9" s="1"/>
  <c r="C1516" i="9" a="1"/>
  <c r="C1516" i="9"/>
  <c r="C1517" i="9" a="1"/>
  <c r="C1517" i="9" s="1"/>
  <c r="C1518" i="9" a="1"/>
  <c r="C1518" i="9"/>
  <c r="C1519" i="9" a="1"/>
  <c r="C1519" i="9" s="1"/>
  <c r="C1520" i="9" a="1"/>
  <c r="C1520" i="9"/>
  <c r="C1521" i="9" a="1"/>
  <c r="C1521" i="9" s="1"/>
  <c r="C1522" i="9" a="1"/>
  <c r="C1522" i="9"/>
  <c r="C1523" i="9" a="1"/>
  <c r="C1523" i="9" s="1"/>
  <c r="C1524" i="9" a="1"/>
  <c r="C1524" i="9"/>
  <c r="C1525" i="9" a="1"/>
  <c r="C1525" i="9" s="1"/>
  <c r="C1526" i="9" a="1"/>
  <c r="C1526" i="9"/>
  <c r="C1527" i="9" a="1"/>
  <c r="C1527" i="9" s="1"/>
  <c r="C1528" i="9" a="1"/>
  <c r="C1528" i="9"/>
  <c r="C1529" i="9" a="1"/>
  <c r="C1529" i="9" s="1"/>
  <c r="C1530" i="9" a="1"/>
  <c r="C1530" i="9"/>
  <c r="C1531" i="9" a="1"/>
  <c r="C1531" i="9" s="1"/>
  <c r="C1532" i="9" a="1"/>
  <c r="C1532" i="9"/>
  <c r="C1533" i="9" a="1"/>
  <c r="C1533" i="9" s="1"/>
  <c r="C1534" i="9" a="1"/>
  <c r="C1534" i="9"/>
  <c r="C1535" i="9" a="1"/>
  <c r="C1535" i="9" s="1"/>
  <c r="C1536" i="9" a="1"/>
  <c r="C1536" i="9"/>
  <c r="C1537" i="9" a="1"/>
  <c r="C1537" i="9" s="1"/>
  <c r="C1538" i="9" a="1"/>
  <c r="C1538" i="9"/>
  <c r="C1539" i="9" a="1"/>
  <c r="C1539" i="9" s="1"/>
  <c r="C1540" i="9" a="1"/>
  <c r="C1540" i="9"/>
  <c r="C1541" i="9" a="1"/>
  <c r="C1541" i="9" s="1"/>
  <c r="C1542" i="9" a="1"/>
  <c r="C1542" i="9"/>
  <c r="C1543" i="9" a="1"/>
  <c r="C1543" i="9" s="1"/>
  <c r="C1544" i="9" a="1"/>
  <c r="C1544" i="9"/>
  <c r="C1545" i="9" a="1"/>
  <c r="C1545" i="9" s="1"/>
  <c r="C1546" i="9" a="1"/>
  <c r="C1546" i="9"/>
  <c r="C1547" i="9" a="1"/>
  <c r="C1547" i="9" s="1"/>
  <c r="C1548" i="9" a="1"/>
  <c r="C1548" i="9"/>
  <c r="C1549" i="9" a="1"/>
  <c r="C1549" i="9" s="1"/>
  <c r="C1550" i="9" a="1"/>
  <c r="C1550" i="9"/>
  <c r="C1551" i="9" a="1"/>
  <c r="C1551" i="9" s="1"/>
  <c r="C1552" i="9" a="1"/>
  <c r="C1552" i="9"/>
  <c r="C1553" i="9" a="1"/>
  <c r="C1553" i="9" s="1"/>
  <c r="C1554" i="9" a="1"/>
  <c r="C1554" i="9"/>
  <c r="C1555" i="9" a="1"/>
  <c r="C1555" i="9" s="1"/>
  <c r="C1556" i="9" a="1"/>
  <c r="C1556" i="9"/>
  <c r="C1557" i="9" a="1"/>
  <c r="C1557" i="9" s="1"/>
  <c r="C1558" i="9" a="1"/>
  <c r="C1558" i="9"/>
  <c r="C1559" i="9" a="1"/>
  <c r="C1559" i="9" s="1"/>
  <c r="C1560" i="9" a="1"/>
  <c r="C1560" i="9"/>
  <c r="C1561" i="9" a="1"/>
  <c r="C1561" i="9" s="1"/>
  <c r="C1562" i="9" a="1"/>
  <c r="C1562" i="9"/>
  <c r="C1563" i="9" a="1"/>
  <c r="C1563" i="9" s="1"/>
  <c r="C1564" i="9" a="1"/>
  <c r="C1564" i="9" s="1"/>
  <c r="C1565" i="9" a="1"/>
  <c r="C1565" i="9" s="1"/>
  <c r="C1566" i="9" a="1"/>
  <c r="C1566" i="9"/>
  <c r="C1567" i="9" a="1"/>
  <c r="C1567" i="9" s="1"/>
  <c r="C1568" i="9" a="1"/>
  <c r="C1568" i="9"/>
  <c r="C1569" i="9" a="1"/>
  <c r="C1569" i="9" s="1"/>
  <c r="C1570" i="9" a="1"/>
  <c r="C1570" i="9"/>
  <c r="C1571" i="9" a="1"/>
  <c r="C1571" i="9" s="1"/>
  <c r="C1572" i="9" a="1"/>
  <c r="C1572" i="9" s="1"/>
  <c r="C1573" i="9" a="1"/>
  <c r="C1573" i="9" s="1"/>
  <c r="C1574" i="9" a="1"/>
  <c r="C1574" i="9"/>
  <c r="C1575" i="9" a="1"/>
  <c r="C1575" i="9" s="1"/>
  <c r="C1576" i="9" a="1"/>
  <c r="C1576" i="9" s="1"/>
  <c r="C1577" i="9" a="1"/>
  <c r="C1577" i="9" s="1"/>
  <c r="C1578" i="9" a="1"/>
  <c r="C1578" i="9"/>
  <c r="C1579" i="9" a="1"/>
  <c r="C1579" i="9" s="1"/>
  <c r="C1580" i="9" a="1"/>
  <c r="C1580" i="9" s="1"/>
  <c r="C1581" i="9" a="1"/>
  <c r="C1581" i="9" s="1"/>
  <c r="C1582" i="9" a="1"/>
  <c r="C1582" i="9"/>
  <c r="C1583" i="9" a="1"/>
  <c r="C1583" i="9" s="1"/>
  <c r="C1584" i="9" a="1"/>
  <c r="C1584" i="9" s="1"/>
  <c r="C1585" i="9" a="1"/>
  <c r="C1585" i="9" s="1"/>
  <c r="C1586" i="9" a="1"/>
  <c r="C1586" i="9"/>
  <c r="C1587" i="9" a="1"/>
  <c r="C1587" i="9" s="1"/>
  <c r="C1588" i="9" a="1"/>
  <c r="C1588" i="9" s="1"/>
  <c r="C1589" i="9" a="1"/>
  <c r="C1589" i="9" s="1"/>
  <c r="C1590" i="9" a="1"/>
  <c r="C1590" i="9"/>
  <c r="C1591" i="9" a="1"/>
  <c r="C1591" i="9" s="1"/>
  <c r="C1592" i="9" a="1"/>
  <c r="C1592" i="9"/>
  <c r="C1593" i="9" a="1"/>
  <c r="C1593" i="9" s="1"/>
  <c r="C1594" i="9" a="1"/>
  <c r="C1594" i="9"/>
  <c r="C1595" i="9" a="1"/>
  <c r="C1595" i="9" s="1"/>
  <c r="C1596" i="9" a="1"/>
  <c r="C1596" i="9" s="1"/>
  <c r="C1597" i="9" a="1"/>
  <c r="C1597" i="9" s="1"/>
  <c r="C1598" i="9" a="1"/>
  <c r="C1598" i="9"/>
  <c r="C1599" i="9" a="1"/>
  <c r="C1599" i="9" s="1"/>
  <c r="C1600" i="9" a="1"/>
  <c r="C1600" i="9" s="1"/>
  <c r="C1601" i="9" a="1"/>
  <c r="C1601" i="9" s="1"/>
  <c r="C1602" i="9" a="1"/>
  <c r="C1602" i="9"/>
  <c r="C1603" i="9" a="1"/>
  <c r="C1603" i="9" s="1"/>
  <c r="C1604" i="9" a="1"/>
  <c r="C1604" i="9" s="1"/>
  <c r="C1605" i="9" a="1"/>
  <c r="C1605" i="9" s="1"/>
  <c r="C1606" i="9" a="1"/>
  <c r="C1606" i="9"/>
  <c r="C1607" i="9" a="1"/>
  <c r="C1607" i="9" s="1"/>
  <c r="C1608" i="9" a="1"/>
  <c r="C1608" i="9" s="1"/>
  <c r="C1609" i="9" a="1"/>
  <c r="C1609" i="9" s="1"/>
  <c r="C1610" i="9" a="1"/>
  <c r="C1610" i="9"/>
  <c r="C1611" i="9" a="1"/>
  <c r="C1611" i="9" s="1"/>
  <c r="C1612" i="9" a="1"/>
  <c r="C1612" i="9" s="1"/>
  <c r="C1613" i="9" a="1"/>
  <c r="C1613" i="9" s="1"/>
  <c r="C1614" i="9" a="1"/>
  <c r="C1614" i="9"/>
  <c r="C1615" i="9" a="1"/>
  <c r="C1615" i="9" s="1"/>
  <c r="C1616" i="9" a="1"/>
  <c r="C1616" i="9" s="1"/>
  <c r="C1617" i="9" a="1"/>
  <c r="C1617" i="9" s="1"/>
  <c r="C1618" i="9" a="1"/>
  <c r="C1618" i="9"/>
  <c r="C1619" i="9" a="1"/>
  <c r="C1619" i="9" s="1"/>
  <c r="C1620" i="9" a="1"/>
  <c r="C1620" i="9" s="1"/>
  <c r="C1621" i="9" a="1"/>
  <c r="C1621" i="9" s="1"/>
  <c r="C1622" i="9" a="1"/>
  <c r="C1622" i="9"/>
  <c r="C1623" i="9" a="1"/>
  <c r="C1623" i="9" s="1"/>
  <c r="C1624" i="9" a="1"/>
  <c r="C1624" i="9"/>
  <c r="C1625" i="9" a="1"/>
  <c r="C1625" i="9" s="1"/>
  <c r="C1626" i="9" a="1"/>
  <c r="C1626" i="9"/>
  <c r="C1627" i="9" a="1"/>
  <c r="C1627" i="9" s="1"/>
  <c r="C1628" i="9" a="1"/>
  <c r="C1628" i="9" s="1"/>
  <c r="C1629" i="9" a="1"/>
  <c r="C1629" i="9" s="1"/>
  <c r="C1630" i="9" a="1"/>
  <c r="C1630" i="9"/>
  <c r="C1631" i="9" a="1"/>
  <c r="C1631" i="9" s="1"/>
  <c r="C1632" i="9" a="1"/>
  <c r="C1632" i="9" s="1"/>
  <c r="C1633" i="9" a="1"/>
  <c r="C1633" i="9" s="1"/>
  <c r="C1634" i="9" a="1"/>
  <c r="C1634" i="9"/>
  <c r="C1635" i="9" a="1"/>
  <c r="C1635" i="9" s="1"/>
  <c r="C1636" i="9" a="1"/>
  <c r="C1636" i="9" s="1"/>
  <c r="C1637" i="9" a="1"/>
  <c r="C1637" i="9" s="1"/>
  <c r="C1638" i="9" a="1"/>
  <c r="C1638" i="9"/>
  <c r="C1639" i="9" a="1"/>
  <c r="C1639" i="9" s="1"/>
  <c r="C1640" i="9" a="1"/>
  <c r="C1640" i="9" s="1"/>
  <c r="C1641" i="9" a="1"/>
  <c r="C1641" i="9" s="1"/>
  <c r="C1642" i="9" a="1"/>
  <c r="C1642" i="9"/>
  <c r="C1643" i="9" a="1"/>
  <c r="C1643" i="9" s="1"/>
  <c r="C1644" i="9" a="1"/>
  <c r="C1644" i="9" s="1"/>
  <c r="C1645" i="9" a="1"/>
  <c r="C1645" i="9" s="1"/>
  <c r="C1646" i="9" a="1"/>
  <c r="C1646" i="9"/>
  <c r="C1647" i="9" a="1"/>
  <c r="C1647" i="9" s="1"/>
  <c r="C1648" i="9" a="1"/>
  <c r="C1648" i="9"/>
  <c r="C1649" i="9" a="1"/>
  <c r="C1649" i="9" s="1"/>
  <c r="C1650" i="9" a="1"/>
  <c r="C1650" i="9"/>
  <c r="C1651" i="9" a="1"/>
  <c r="C1651" i="9" s="1"/>
  <c r="C1652" i="9" a="1"/>
  <c r="C1652" i="9" s="1"/>
  <c r="C1653" i="9" a="1"/>
  <c r="C1653" i="9" s="1"/>
  <c r="C1654" i="9" a="1"/>
  <c r="C1654" i="9"/>
  <c r="C1655" i="9" a="1"/>
  <c r="C1655" i="9" s="1"/>
  <c r="C1656" i="9" a="1"/>
  <c r="C1656" i="9"/>
  <c r="C1657" i="9" a="1"/>
  <c r="C1657" i="9" s="1"/>
  <c r="C1658" i="9" a="1"/>
  <c r="C1658" i="9"/>
  <c r="C1659" i="9" a="1"/>
  <c r="C1659" i="9" s="1"/>
  <c r="C1660" i="9" a="1"/>
  <c r="C1660" i="9" s="1"/>
  <c r="C1661" i="9" a="1"/>
  <c r="C1661" i="9" s="1"/>
  <c r="C1662" i="9" a="1"/>
  <c r="C1662" i="9"/>
  <c r="C1663" i="9" a="1"/>
  <c r="C1663" i="9" s="1"/>
  <c r="C1664" i="9" a="1"/>
  <c r="C1664" i="9"/>
  <c r="C1665" i="9" a="1"/>
  <c r="C1665" i="9" s="1"/>
  <c r="C1666" i="9" a="1"/>
  <c r="C1666" i="9"/>
  <c r="C1667" i="9" a="1"/>
  <c r="C1667" i="9" s="1"/>
  <c r="C1668" i="9" a="1"/>
  <c r="C1668" i="9" s="1"/>
  <c r="C1669" i="9" a="1"/>
  <c r="C1669" i="9" s="1"/>
  <c r="C1670" i="9" a="1"/>
  <c r="C1670" i="9"/>
  <c r="C1671" i="9" a="1"/>
  <c r="C1671" i="9" s="1"/>
  <c r="C1672" i="9" a="1"/>
  <c r="C1672" i="9" s="1"/>
  <c r="C1673" i="9" a="1"/>
  <c r="C1673" i="9" s="1"/>
  <c r="C1674" i="9" a="1"/>
  <c r="C1674" i="9"/>
  <c r="C1675" i="9" a="1"/>
  <c r="C1675" i="9" s="1"/>
  <c r="C1676" i="9" a="1"/>
  <c r="C1676" i="9" s="1"/>
  <c r="C1677" i="9" a="1"/>
  <c r="C1677" i="9" s="1"/>
  <c r="C1678" i="9" a="1"/>
  <c r="C1678" i="9"/>
  <c r="C1679" i="9" a="1"/>
  <c r="C1679" i="9" s="1"/>
  <c r="C1680" i="9" a="1"/>
  <c r="C1680" i="9" s="1"/>
  <c r="C1681" i="9" a="1"/>
  <c r="C1681" i="9" s="1"/>
  <c r="C1682" i="9" a="1"/>
  <c r="C1682" i="9"/>
  <c r="C1683" i="9" a="1"/>
  <c r="C1683" i="9" s="1"/>
  <c r="C1684" i="9" a="1"/>
  <c r="C1684" i="9" s="1"/>
  <c r="C1685" i="9" a="1"/>
  <c r="C1685" i="9" s="1"/>
  <c r="C1686" i="9" a="1"/>
  <c r="C1686" i="9"/>
  <c r="C1687" i="9" a="1"/>
  <c r="C1687" i="9" s="1"/>
  <c r="C1688" i="9" a="1"/>
  <c r="C1688" i="9" s="1"/>
  <c r="C1689" i="9" a="1"/>
  <c r="C1689" i="9" s="1"/>
  <c r="C1690" i="9" a="1"/>
  <c r="C1690" i="9"/>
  <c r="C1691" i="9" a="1"/>
  <c r="C1691" i="9" s="1"/>
  <c r="C1692" i="9" a="1"/>
  <c r="C1692" i="9" s="1"/>
  <c r="C1693" i="9" a="1"/>
  <c r="C1693" i="9" s="1"/>
  <c r="C1694" i="9" a="1"/>
  <c r="C1694" i="9"/>
  <c r="C1695" i="9" a="1"/>
  <c r="C1695" i="9" s="1"/>
  <c r="C1696" i="9" a="1"/>
  <c r="C1696" i="9" s="1"/>
  <c r="C1697" i="9" a="1"/>
  <c r="C1697" i="9" s="1"/>
  <c r="C1698" i="9" a="1"/>
  <c r="C1698" i="9"/>
  <c r="C1699" i="9" a="1"/>
  <c r="C1699" i="9" s="1"/>
  <c r="C1700" i="9" a="1"/>
  <c r="C1700" i="9" s="1"/>
  <c r="C1701" i="9" a="1"/>
  <c r="C1701" i="9" s="1"/>
  <c r="C1702" i="9" a="1"/>
  <c r="C1702" i="9"/>
  <c r="C1703" i="9" a="1"/>
  <c r="C1703" i="9" s="1"/>
  <c r="C1704" i="9" a="1"/>
  <c r="C1704" i="9"/>
  <c r="C1705" i="9" a="1"/>
  <c r="C1705" i="9" s="1"/>
  <c r="C1706" i="9" a="1"/>
  <c r="C1706" i="9"/>
  <c r="C1707" i="9" a="1"/>
  <c r="C1707" i="9" s="1"/>
  <c r="C1708" i="9" a="1"/>
  <c r="C1708" i="9" s="1"/>
  <c r="C1709" i="9" a="1"/>
  <c r="C1709" i="9" s="1"/>
  <c r="C1710" i="9" a="1"/>
  <c r="C1710" i="9"/>
  <c r="C1711" i="9" a="1"/>
  <c r="C1711" i="9" s="1"/>
  <c r="C1712" i="9" a="1"/>
  <c r="C1712" i="9"/>
  <c r="C1713" i="9" a="1"/>
  <c r="C1713" i="9" s="1"/>
  <c r="C1714" i="9" a="1"/>
  <c r="C1714" i="9"/>
  <c r="C1715" i="9" a="1"/>
  <c r="C1715" i="9" s="1"/>
  <c r="C1716" i="9" a="1"/>
  <c r="C1716" i="9" s="1"/>
  <c r="C1717" i="9" a="1"/>
  <c r="C1717" i="9" s="1"/>
  <c r="C1718" i="9" a="1"/>
  <c r="C1718" i="9"/>
  <c r="C1719" i="9" a="1"/>
  <c r="C1719" i="9" s="1"/>
  <c r="C1720" i="9" a="1"/>
  <c r="C1720" i="9"/>
  <c r="C1721" i="9" a="1"/>
  <c r="C1721" i="9" s="1"/>
  <c r="C1722" i="9" a="1"/>
  <c r="C1722" i="9"/>
  <c r="C1723" i="9" a="1"/>
  <c r="C1723" i="9" s="1"/>
  <c r="C1724" i="9" a="1"/>
  <c r="C1724" i="9" s="1"/>
  <c r="C1725" i="9" a="1"/>
  <c r="C1725" i="9" s="1"/>
  <c r="C1726" i="9" a="1"/>
  <c r="C1726" i="9"/>
  <c r="C1727" i="9" a="1"/>
  <c r="C1727" i="9" s="1"/>
  <c r="C1728" i="9" a="1"/>
  <c r="C1728" i="9" s="1"/>
  <c r="C1729" i="9" a="1"/>
  <c r="C1729" i="9" s="1"/>
  <c r="C1730" i="9" a="1"/>
  <c r="C1730" i="9"/>
  <c r="C1731" i="9" a="1"/>
  <c r="C1731" i="9" s="1"/>
  <c r="C1732" i="9" a="1"/>
  <c r="C1732" i="9" s="1"/>
  <c r="C1733" i="9" a="1"/>
  <c r="C1733" i="9" s="1"/>
  <c r="C1734" i="9" a="1"/>
  <c r="C1734" i="9"/>
  <c r="C1735" i="9" a="1"/>
  <c r="C1735" i="9" s="1"/>
  <c r="C1736" i="9" a="1"/>
  <c r="C1736" i="9"/>
  <c r="C1737" i="9" a="1"/>
  <c r="C1737" i="9" s="1"/>
  <c r="C1738" i="9" a="1"/>
  <c r="C1738" i="9"/>
  <c r="C1739" i="9" a="1"/>
  <c r="C1739" i="9" s="1"/>
  <c r="C1740" i="9" a="1"/>
  <c r="C1740" i="9" s="1"/>
  <c r="C1741" i="9" a="1"/>
  <c r="C1741" i="9" s="1"/>
  <c r="C1742" i="9" a="1"/>
  <c r="C1742" i="9"/>
  <c r="C1743" i="9" a="1"/>
  <c r="C1743" i="9" s="1"/>
  <c r="C1744" i="9" a="1"/>
  <c r="C1744" i="9" s="1"/>
  <c r="C1745" i="9" a="1"/>
  <c r="C1745" i="9" s="1"/>
  <c r="C1746" i="9" a="1"/>
  <c r="C1746" i="9"/>
  <c r="C1747" i="9" a="1"/>
  <c r="C1747" i="9" s="1"/>
  <c r="C1748" i="9" a="1"/>
  <c r="C1748" i="9" s="1"/>
  <c r="C1749" i="9" a="1"/>
  <c r="C1749" i="9" s="1"/>
  <c r="C1750" i="9" a="1"/>
  <c r="C1750" i="9"/>
  <c r="C1751" i="9" a="1"/>
  <c r="C1751" i="9" s="1"/>
  <c r="C1752" i="9" a="1"/>
  <c r="C1752" i="9"/>
  <c r="C1753" i="9" a="1"/>
  <c r="C1753" i="9" s="1"/>
  <c r="C1754" i="9" a="1"/>
  <c r="C1754" i="9"/>
  <c r="C1755" i="9" a="1"/>
  <c r="C1755" i="9" s="1"/>
  <c r="C1756" i="9" a="1"/>
  <c r="C1756" i="9" s="1"/>
  <c r="C1757" i="9" a="1"/>
  <c r="C1757" i="9" s="1"/>
  <c r="C1758" i="9" a="1"/>
  <c r="C1758" i="9"/>
  <c r="C1759" i="9" a="1"/>
  <c r="C1759" i="9" s="1"/>
  <c r="C1760" i="9" a="1"/>
  <c r="C1760" i="9" s="1"/>
  <c r="C1761" i="9" a="1"/>
  <c r="C1761" i="9" s="1"/>
  <c r="C1762" i="9" a="1"/>
  <c r="C1762" i="9"/>
  <c r="C1763" i="9" a="1"/>
  <c r="C1763" i="9" s="1"/>
  <c r="C1764" i="9" a="1"/>
  <c r="C1764" i="9" s="1"/>
  <c r="C1765" i="9" a="1"/>
  <c r="C1765" i="9" s="1"/>
  <c r="C1766" i="9" a="1"/>
  <c r="C1766" i="9"/>
  <c r="C1767" i="9" a="1"/>
  <c r="C1767" i="9" s="1"/>
  <c r="C1768" i="9" a="1"/>
  <c r="C1768" i="9" s="1"/>
  <c r="C1769" i="9" a="1"/>
  <c r="C1769" i="9" s="1"/>
  <c r="C1770" i="9" a="1"/>
  <c r="C1770" i="9"/>
  <c r="C1771" i="9" a="1"/>
  <c r="C1771" i="9" s="1"/>
  <c r="C1772" i="9" a="1"/>
  <c r="C1772" i="9" s="1"/>
  <c r="C1773" i="9" a="1"/>
  <c r="C1773" i="9" s="1"/>
  <c r="C1774" i="9" a="1"/>
  <c r="C1774" i="9"/>
  <c r="C1775" i="9" a="1"/>
  <c r="C1775" i="9" s="1"/>
  <c r="C1776" i="9" a="1"/>
  <c r="C1776" i="9"/>
  <c r="C1777" i="9" a="1"/>
  <c r="C1777" i="9" s="1"/>
  <c r="C1778" i="9" a="1"/>
  <c r="C1778" i="9"/>
  <c r="C1779" i="9" a="1"/>
  <c r="C1779" i="9" s="1"/>
  <c r="C1780" i="9" a="1"/>
  <c r="C1780" i="9" s="1"/>
  <c r="C1781" i="9" a="1"/>
  <c r="C1781" i="9" s="1"/>
  <c r="C1782" i="9" a="1"/>
  <c r="C1782" i="9"/>
  <c r="C1783" i="9" a="1"/>
  <c r="C1783" i="9" s="1"/>
  <c r="C1784" i="9" a="1"/>
  <c r="C1784" i="9"/>
  <c r="C1785" i="9" a="1"/>
  <c r="C1785" i="9" s="1"/>
  <c r="C1786" i="9" a="1"/>
  <c r="C1786" i="9"/>
  <c r="C1787" i="9" a="1"/>
  <c r="C1787" i="9" s="1"/>
  <c r="C1788" i="9" a="1"/>
  <c r="C1788" i="9" s="1"/>
  <c r="C1789" i="9" a="1"/>
  <c r="C1789" i="9" s="1"/>
  <c r="C1790" i="9" a="1"/>
  <c r="C1790" i="9"/>
  <c r="C1791" i="9" a="1"/>
  <c r="C1791" i="9" s="1"/>
  <c r="C1792" i="9" a="1"/>
  <c r="C1792" i="9" s="1"/>
  <c r="C1793" i="9" a="1"/>
  <c r="C1793" i="9" s="1"/>
  <c r="C1794" i="9" a="1"/>
  <c r="C1794" i="9"/>
  <c r="C1795" i="9" a="1"/>
  <c r="C1795" i="9" s="1"/>
  <c r="C1796" i="9" a="1"/>
  <c r="C1796" i="9" s="1"/>
  <c r="C1797" i="9" a="1"/>
  <c r="C1797" i="9" s="1"/>
  <c r="C1798" i="9" a="1"/>
  <c r="C1798" i="9"/>
  <c r="C1799" i="9" a="1"/>
  <c r="C1799" i="9" s="1"/>
  <c r="C1800" i="9" a="1"/>
  <c r="C1800" i="9"/>
  <c r="C1801" i="9" a="1"/>
  <c r="C1801" i="9" s="1"/>
  <c r="C1802" i="9" a="1"/>
  <c r="C1802" i="9"/>
  <c r="C1803" i="9" a="1"/>
  <c r="C1803" i="9" s="1"/>
  <c r="C1804" i="9" a="1"/>
  <c r="C1804" i="9" s="1"/>
  <c r="C1805" i="9" a="1"/>
  <c r="C1805" i="9" s="1"/>
  <c r="C1806" i="9" a="1"/>
  <c r="C1806" i="9"/>
  <c r="C1807" i="9" a="1"/>
  <c r="C1807" i="9" s="1"/>
  <c r="C1808" i="9" a="1"/>
  <c r="C1808" i="9" s="1"/>
  <c r="C1809" i="9" a="1"/>
  <c r="C1809" i="9" s="1"/>
  <c r="C1810" i="9" a="1"/>
  <c r="C1810" i="9"/>
  <c r="C1811" i="9" a="1"/>
  <c r="C1811" i="9" s="1"/>
  <c r="C1812" i="9" a="1"/>
  <c r="C1812" i="9" s="1"/>
  <c r="C1813" i="9" a="1"/>
  <c r="C1813" i="9" s="1"/>
  <c r="C1814" i="9" a="1"/>
  <c r="C1814" i="9"/>
  <c r="C1815" i="9" a="1"/>
  <c r="C1815" i="9" s="1"/>
  <c r="C1816" i="9" a="1"/>
  <c r="C1816" i="9"/>
  <c r="C1817" i="9" a="1"/>
  <c r="C1817" i="9" s="1"/>
  <c r="C1818" i="9" a="1"/>
  <c r="C1818" i="9"/>
  <c r="C1819" i="9" a="1"/>
  <c r="C1819" i="9" s="1"/>
  <c r="C1820" i="9" a="1"/>
  <c r="C1820" i="9" s="1"/>
  <c r="C1821" i="9" a="1"/>
  <c r="C1821" i="9" s="1"/>
  <c r="C1822" i="9" a="1"/>
  <c r="C1822" i="9"/>
  <c r="C1823" i="9" a="1"/>
  <c r="C1823" i="9" s="1"/>
  <c r="C1824" i="9" a="1"/>
  <c r="C1824" i="9" s="1"/>
  <c r="C1825" i="9" a="1"/>
  <c r="C1825" i="9" s="1"/>
  <c r="C1826" i="9" a="1"/>
  <c r="C1826" i="9"/>
  <c r="C1827" i="9" a="1"/>
  <c r="C1827" i="9" s="1"/>
  <c r="C1828" i="9" a="1"/>
  <c r="C1828" i="9" s="1"/>
  <c r="C1829" i="9" a="1"/>
  <c r="C1829" i="9" s="1"/>
  <c r="C1830" i="9" a="1"/>
  <c r="C1830" i="9"/>
  <c r="C1831" i="9" a="1"/>
  <c r="C1831" i="9" s="1"/>
  <c r="C1832" i="9" a="1"/>
  <c r="C1832" i="9" s="1"/>
  <c r="C1833" i="9" a="1"/>
  <c r="C1833" i="9" s="1"/>
  <c r="C1834" i="9" a="1"/>
  <c r="C1834" i="9"/>
  <c r="C1835" i="9" a="1"/>
  <c r="C1835" i="9" s="1"/>
  <c r="C1836" i="9" a="1"/>
  <c r="C1836" i="9" s="1"/>
  <c r="C1837" i="9" a="1"/>
  <c r="C1837" i="9" s="1"/>
  <c r="C1838" i="9" a="1"/>
  <c r="C1838" i="9"/>
  <c r="C1839" i="9" a="1"/>
  <c r="C1839" i="9" s="1"/>
  <c r="C1840" i="9" a="1"/>
  <c r="C1840" i="9" s="1"/>
  <c r="C1841" i="9" a="1"/>
  <c r="C1841" i="9" s="1"/>
  <c r="C1842" i="9" a="1"/>
  <c r="C1842" i="9"/>
  <c r="C1843" i="9" a="1"/>
  <c r="C1843" i="9" s="1"/>
  <c r="C1844" i="9" a="1"/>
  <c r="C1844" i="9" s="1"/>
  <c r="C1845" i="9" a="1"/>
  <c r="C1845" i="9" s="1"/>
  <c r="C1846" i="9" a="1"/>
  <c r="C1846" i="9"/>
  <c r="C1847" i="9" a="1"/>
  <c r="C1847" i="9" s="1"/>
  <c r="C1848" i="9" a="1"/>
  <c r="C1848" i="9" s="1"/>
  <c r="C1849" i="9" a="1"/>
  <c r="C1849" i="9" s="1"/>
  <c r="C1850" i="9" a="1"/>
  <c r="C1850" i="9"/>
  <c r="C1851" i="9" a="1"/>
  <c r="C1851" i="9" s="1"/>
  <c r="C1852" i="9" a="1"/>
  <c r="C1852" i="9" s="1"/>
  <c r="C1853" i="9" a="1"/>
  <c r="C1853" i="9" s="1"/>
  <c r="C1854" i="9" a="1"/>
  <c r="C1854" i="9"/>
  <c r="C1855" i="9" a="1"/>
  <c r="C1855" i="9" s="1"/>
  <c r="C1856" i="9" a="1"/>
  <c r="C1856" i="9" s="1"/>
  <c r="C1857" i="9" a="1"/>
  <c r="C1857" i="9" s="1"/>
  <c r="C1858" i="9" a="1"/>
  <c r="C1858" i="9"/>
  <c r="C1859" i="9" a="1"/>
  <c r="C1859" i="9" s="1"/>
  <c r="C1860" i="9" a="1"/>
  <c r="C1860" i="9" s="1"/>
  <c r="C1861" i="9" a="1"/>
  <c r="C1861" i="9" s="1"/>
  <c r="C1862" i="9" a="1"/>
  <c r="C1862" i="9"/>
  <c r="C1863" i="9" a="1"/>
  <c r="C1863" i="9" s="1"/>
  <c r="C1864" i="9" a="1"/>
  <c r="C1864" i="9" s="1"/>
  <c r="C1865" i="9" a="1"/>
  <c r="C1865" i="9" s="1"/>
  <c r="C1866" i="9" a="1"/>
  <c r="C1866" i="9"/>
  <c r="C1867" i="9" a="1"/>
  <c r="C1867" i="9" s="1"/>
  <c r="C1868" i="9" a="1"/>
  <c r="C1868" i="9" s="1"/>
  <c r="C1869" i="9" a="1"/>
  <c r="C1869" i="9" s="1"/>
  <c r="C1870" i="9" a="1"/>
  <c r="C1870" i="9"/>
  <c r="C1871" i="9" a="1"/>
  <c r="C1871" i="9" s="1"/>
  <c r="C1872" i="9" a="1"/>
  <c r="C1872" i="9"/>
  <c r="C1873" i="9" a="1"/>
  <c r="C1873" i="9" s="1"/>
  <c r="C1874" i="9" a="1"/>
  <c r="C1874" i="9"/>
  <c r="C1875" i="9" a="1"/>
  <c r="C1875" i="9" s="1"/>
  <c r="C1876" i="9" a="1"/>
  <c r="C1876" i="9" s="1"/>
  <c r="C1877" i="9" a="1"/>
  <c r="C1877" i="9" s="1"/>
  <c r="C1878" i="9" a="1"/>
  <c r="C1878" i="9"/>
  <c r="C1879" i="9" a="1"/>
  <c r="C1879" i="9" s="1"/>
  <c r="C1880" i="9" a="1"/>
  <c r="C1880" i="9" s="1"/>
  <c r="C1881" i="9" a="1"/>
  <c r="C1881" i="9" s="1"/>
  <c r="C1882" i="9" a="1"/>
  <c r="C1882" i="9"/>
  <c r="C1883" i="9" a="1"/>
  <c r="C1883" i="9" s="1"/>
  <c r="C1884" i="9" a="1"/>
  <c r="C1884" i="9" s="1"/>
  <c r="C1885" i="9" a="1"/>
  <c r="C1885" i="9" s="1"/>
  <c r="C1886" i="9" a="1"/>
  <c r="C1886" i="9"/>
  <c r="C1887" i="9" a="1"/>
  <c r="C1887" i="9" s="1"/>
  <c r="C1888" i="9" a="1"/>
  <c r="C1888" i="9" s="1"/>
  <c r="C1889" i="9" a="1"/>
  <c r="C1889" i="9" s="1"/>
  <c r="C1890" i="9" a="1"/>
  <c r="C1890" i="9"/>
  <c r="C1891" i="9" a="1"/>
  <c r="C1891" i="9" s="1"/>
  <c r="C1892" i="9" a="1"/>
  <c r="C1892" i="9" s="1"/>
  <c r="C1893" i="9" a="1"/>
  <c r="C1893" i="9" s="1"/>
  <c r="C1894" i="9" a="1"/>
  <c r="C1894" i="9"/>
  <c r="C1895" i="9" a="1"/>
  <c r="C1895" i="9" s="1"/>
  <c r="C1896" i="9" a="1"/>
  <c r="C1896" i="9"/>
  <c r="C1897" i="9" a="1"/>
  <c r="C1897" i="9" s="1"/>
  <c r="C1898" i="9" a="1"/>
  <c r="C1898" i="9"/>
  <c r="C1899" i="9" a="1"/>
  <c r="C1899" i="9" s="1"/>
  <c r="C1900" i="9" a="1"/>
  <c r="C1900" i="9" s="1"/>
  <c r="C1901" i="9" a="1"/>
  <c r="C1901" i="9" s="1"/>
  <c r="C1902" i="9" a="1"/>
  <c r="C1902" i="9"/>
  <c r="C1903" i="9" a="1"/>
  <c r="C1903" i="9" s="1"/>
  <c r="C1904" i="9" a="1"/>
  <c r="C1904" i="9"/>
  <c r="C1905" i="9" a="1"/>
  <c r="C1905" i="9" s="1"/>
  <c r="C1906" i="9" a="1"/>
  <c r="C1906" i="9"/>
  <c r="C1907" i="9" a="1"/>
  <c r="C1907" i="9" s="1"/>
  <c r="C1908" i="9" a="1"/>
  <c r="C1908" i="9" s="1"/>
  <c r="C1909" i="9" a="1"/>
  <c r="C1909" i="9" s="1"/>
  <c r="C1910" i="9" a="1"/>
  <c r="C1910" i="9"/>
  <c r="C1911" i="9" a="1"/>
  <c r="C1911" i="9" s="1"/>
  <c r="C1912" i="9" a="1"/>
  <c r="C1912" i="9"/>
  <c r="C1913" i="9" a="1"/>
  <c r="C1913" i="9" s="1"/>
  <c r="C1914" i="9" a="1"/>
  <c r="C1914" i="9"/>
  <c r="C1915" i="9" a="1"/>
  <c r="C1915" i="9" s="1"/>
  <c r="C1916" i="9" a="1"/>
  <c r="C1916" i="9" s="1"/>
  <c r="C1917" i="9" a="1"/>
  <c r="C1917" i="9" s="1"/>
  <c r="C1918" i="9" a="1"/>
  <c r="C1918" i="9"/>
  <c r="C1919" i="9" a="1"/>
  <c r="C1919" i="9" s="1"/>
  <c r="C1920" i="9" a="1"/>
  <c r="C1920" i="9"/>
  <c r="C1921" i="9" a="1"/>
  <c r="C1921" i="9" s="1"/>
  <c r="C1922" i="9" a="1"/>
  <c r="C1922" i="9"/>
  <c r="C1923" i="9" a="1"/>
  <c r="C1923" i="9" s="1"/>
  <c r="C1924" i="9" a="1"/>
  <c r="C1924" i="9" s="1"/>
  <c r="C1925" i="9" a="1"/>
  <c r="C1925" i="9" s="1"/>
  <c r="C1926" i="9" a="1"/>
  <c r="C1926" i="9"/>
  <c r="C1927" i="9" a="1"/>
  <c r="C1927" i="9" s="1"/>
  <c r="C1928" i="9" a="1"/>
  <c r="C1928" i="9" s="1"/>
  <c r="C1929" i="9" a="1"/>
  <c r="C1929" i="9" s="1"/>
  <c r="C1930" i="9" a="1"/>
  <c r="C1930" i="9"/>
  <c r="C1931" i="9" a="1"/>
  <c r="C1931" i="9" s="1"/>
  <c r="C1932" i="9" a="1"/>
  <c r="C1932" i="9" s="1"/>
  <c r="C1933" i="9" a="1"/>
  <c r="C1933" i="9" s="1"/>
  <c r="C1934" i="9" a="1"/>
  <c r="C1934" i="9"/>
  <c r="C1935" i="9" a="1"/>
  <c r="C1935" i="9" s="1"/>
  <c r="C1936" i="9" a="1"/>
  <c r="C1936" i="9" s="1"/>
  <c r="C1937" i="9" a="1"/>
  <c r="C1937" i="9" s="1"/>
  <c r="C1938" i="9" a="1"/>
  <c r="C1938" i="9"/>
  <c r="C1939" i="9" a="1"/>
  <c r="C1939" i="9" s="1"/>
  <c r="C1940" i="9" a="1"/>
  <c r="C1940" i="9" s="1"/>
  <c r="C1941" i="9" a="1"/>
  <c r="C1941" i="9" s="1"/>
  <c r="C1942" i="9" a="1"/>
  <c r="C1942" i="9"/>
  <c r="C1943" i="9" a="1"/>
  <c r="C1943" i="9" s="1"/>
  <c r="C1944" i="9" a="1"/>
  <c r="C1944" i="9" s="1"/>
  <c r="C1945" i="9" a="1"/>
  <c r="C1945" i="9" s="1"/>
  <c r="C1946" i="9" a="1"/>
  <c r="C1946" i="9"/>
  <c r="C1947" i="9" a="1"/>
  <c r="C1947" i="9" s="1"/>
  <c r="C1948" i="9" a="1"/>
  <c r="C1948" i="9" s="1"/>
  <c r="C1949" i="9" a="1"/>
  <c r="C1949" i="9" s="1"/>
  <c r="C1950" i="9" a="1"/>
  <c r="C1950" i="9"/>
  <c r="C1951" i="9" a="1"/>
  <c r="C1951" i="9" s="1"/>
  <c r="C1952" i="9" a="1"/>
  <c r="C1952" i="9" s="1"/>
  <c r="C1953" i="9" a="1"/>
  <c r="C1953" i="9" s="1"/>
  <c r="C1954" i="9" a="1"/>
  <c r="C1954" i="9"/>
  <c r="C1955" i="9" a="1"/>
  <c r="C1955" i="9" s="1"/>
  <c r="C1956" i="9" a="1"/>
  <c r="C1956" i="9" s="1"/>
  <c r="C1957" i="9" a="1"/>
  <c r="C1957" i="9" s="1"/>
  <c r="C1958" i="9" a="1"/>
  <c r="C1958" i="9"/>
  <c r="C1959" i="9" a="1"/>
  <c r="C1959" i="9" s="1"/>
  <c r="C1960" i="9" a="1"/>
  <c r="C1960" i="9" s="1"/>
  <c r="C1961" i="9" a="1"/>
  <c r="C1961" i="9" s="1"/>
  <c r="C1962" i="9" a="1"/>
  <c r="C1962" i="9"/>
  <c r="C1963" i="9" a="1"/>
  <c r="C1963" i="9" s="1"/>
  <c r="C1964" i="9" a="1"/>
  <c r="C1964" i="9" s="1"/>
  <c r="C1965" i="9" a="1"/>
  <c r="C1965" i="9" s="1"/>
  <c r="C1966" i="9" a="1"/>
  <c r="C1966" i="9"/>
  <c r="C1967" i="9" a="1"/>
  <c r="C1967" i="9" s="1"/>
  <c r="C1968" i="9" a="1"/>
  <c r="C1968" i="9" s="1"/>
  <c r="C1969" i="9" a="1"/>
  <c r="C1969" i="9" s="1"/>
  <c r="C1970" i="9" a="1"/>
  <c r="C1970" i="9"/>
  <c r="C1971" i="9" a="1"/>
  <c r="C1971" i="9" s="1"/>
  <c r="C1972" i="9" a="1"/>
  <c r="C1972" i="9" s="1"/>
  <c r="C1973" i="9" a="1"/>
  <c r="C1973" i="9" s="1"/>
  <c r="C1974" i="9" a="1"/>
  <c r="C1974" i="9"/>
  <c r="C1975" i="9" a="1"/>
  <c r="C1975" i="9" s="1"/>
  <c r="C1976" i="9" a="1"/>
  <c r="C1976" i="9" s="1"/>
  <c r="C1977" i="9" a="1"/>
  <c r="C1977" i="9" s="1"/>
  <c r="C1978" i="9" a="1"/>
  <c r="C1978" i="9"/>
  <c r="C1979" i="9" a="1"/>
  <c r="C1979" i="9" s="1"/>
  <c r="C1980" i="9" a="1"/>
  <c r="C1980" i="9" s="1"/>
  <c r="C1981" i="9" a="1"/>
  <c r="C1981" i="9" s="1"/>
  <c r="C1982" i="9" a="1"/>
  <c r="C1982" i="9"/>
  <c r="C1983" i="9" a="1"/>
  <c r="C1983" i="9" s="1"/>
  <c r="C1984" i="9" a="1"/>
  <c r="C1984" i="9"/>
  <c r="C1985" i="9" a="1"/>
  <c r="C1985" i="9" s="1"/>
  <c r="C1986" i="9" a="1"/>
  <c r="C1986" i="9"/>
  <c r="C1987" i="9" a="1"/>
  <c r="C1987" i="9" s="1"/>
  <c r="C1988" i="9" a="1"/>
  <c r="C1988" i="9" s="1"/>
  <c r="C1989" i="9" a="1"/>
  <c r="C1989" i="9" s="1"/>
  <c r="C1990" i="9" a="1"/>
  <c r="C1990" i="9"/>
  <c r="C1991" i="9" a="1"/>
  <c r="C1991" i="9" s="1"/>
  <c r="C1992" i="9" a="1"/>
  <c r="C1992" i="9" s="1"/>
  <c r="C1993" i="9" a="1"/>
  <c r="C1993" i="9" s="1"/>
  <c r="C1994" i="9" a="1"/>
  <c r="C1994" i="9"/>
  <c r="C1995" i="9" a="1"/>
  <c r="C1995" i="9" s="1"/>
  <c r="C1996" i="9" a="1"/>
  <c r="C1996" i="9" s="1"/>
  <c r="C1997" i="9" a="1"/>
  <c r="C1997" i="9" s="1"/>
  <c r="C1998" i="9" a="1"/>
  <c r="C1998" i="9"/>
  <c r="C1999" i="9" a="1"/>
  <c r="C1999" i="9" s="1"/>
  <c r="C2000" i="9" a="1"/>
  <c r="C2000" i="9"/>
  <c r="C2001" i="9" a="1"/>
  <c r="C2001" i="9" s="1"/>
  <c r="C2002" i="9" a="1"/>
  <c r="C2002" i="9"/>
  <c r="C2003" i="9" a="1"/>
  <c r="C2003" i="9" s="1"/>
  <c r="C2004" i="9" a="1"/>
  <c r="C2004" i="9" s="1"/>
  <c r="C2005" i="9" a="1"/>
  <c r="C2005" i="9" s="1"/>
  <c r="C2006" i="9" a="1"/>
  <c r="C2006" i="9"/>
  <c r="C2007" i="9" a="1"/>
  <c r="C2007" i="9" s="1"/>
  <c r="C2008" i="9" a="1"/>
  <c r="C2008" i="9"/>
  <c r="C2009" i="9" a="1"/>
  <c r="C2009" i="9" s="1"/>
  <c r="C2010" i="9" a="1"/>
  <c r="C2010" i="9"/>
  <c r="C2011" i="9" a="1"/>
  <c r="C2011" i="9" s="1"/>
  <c r="C2012" i="9" a="1"/>
  <c r="C2012" i="9" s="1"/>
  <c r="C2013" i="9" a="1"/>
  <c r="C2013" i="9" s="1"/>
  <c r="C2014" i="9" a="1"/>
  <c r="C2014" i="9"/>
  <c r="C2015" i="9" a="1"/>
  <c r="C2015" i="9" s="1"/>
  <c r="C2016" i="9" a="1"/>
  <c r="C2016" i="9"/>
  <c r="C2017" i="9" a="1"/>
  <c r="C2017" i="9" s="1"/>
  <c r="C2018" i="9" a="1"/>
  <c r="C2018" i="9"/>
  <c r="C2019" i="9" a="1"/>
  <c r="C2019" i="9" s="1"/>
  <c r="C2020" i="9" a="1"/>
  <c r="C2020" i="9" s="1"/>
  <c r="C2021" i="9" a="1"/>
  <c r="C2021" i="9" s="1"/>
  <c r="C2022" i="9" a="1"/>
  <c r="C2022" i="9"/>
  <c r="C2023" i="9" a="1"/>
  <c r="C2023" i="9" s="1"/>
  <c r="C2024" i="9" a="1"/>
  <c r="C2024" i="9"/>
  <c r="C2025" i="9" a="1"/>
  <c r="C2025" i="9" s="1"/>
  <c r="C2026" i="9" a="1"/>
  <c r="C2026" i="9"/>
  <c r="C2027" i="9" a="1"/>
  <c r="C2027" i="9" s="1"/>
  <c r="C2028" i="9" a="1"/>
  <c r="C2028" i="9" s="1"/>
  <c r="C2029" i="9" a="1"/>
  <c r="C2029" i="9" s="1"/>
  <c r="C2030" i="9" a="1"/>
  <c r="C2030" i="9"/>
  <c r="C2031" i="9" a="1"/>
  <c r="C2031" i="9" s="1"/>
  <c r="C2032" i="9" a="1"/>
  <c r="C2032" i="9"/>
  <c r="C2033" i="9" a="1"/>
  <c r="C2033" i="9" s="1"/>
  <c r="C2034" i="9" a="1"/>
  <c r="C2034" i="9"/>
  <c r="C2035" i="9" a="1"/>
  <c r="C2035" i="9" s="1"/>
  <c r="C2036" i="9" a="1"/>
  <c r="C2036" i="9" s="1"/>
  <c r="C2037" i="9" a="1"/>
  <c r="C2037" i="9" s="1"/>
  <c r="C2038" i="9" a="1"/>
  <c r="C2038" i="9"/>
  <c r="C2039" i="9" a="1"/>
  <c r="C2039" i="9" s="1"/>
  <c r="C2040" i="9" a="1"/>
  <c r="C2040" i="9"/>
  <c r="C2041" i="9" a="1"/>
  <c r="C2041" i="9" s="1"/>
  <c r="C2042" i="9" a="1"/>
  <c r="C2042" i="9"/>
  <c r="C2043" i="9" a="1"/>
  <c r="C2043" i="9" s="1"/>
  <c r="C2044" i="9" a="1"/>
  <c r="C2044" i="9" s="1"/>
  <c r="C2045" i="9" a="1"/>
  <c r="C2045" i="9" s="1"/>
  <c r="C2046" i="9" a="1"/>
  <c r="C2046" i="9"/>
  <c r="C2047" i="9" a="1"/>
  <c r="C2047" i="9" s="1"/>
  <c r="C2048" i="9" a="1"/>
  <c r="C2048" i="9"/>
  <c r="C2049" i="9" a="1"/>
  <c r="C2049" i="9" s="1"/>
  <c r="C2050" i="9" a="1"/>
  <c r="C2050" i="9"/>
  <c r="C2051" i="9" a="1"/>
  <c r="C2051" i="9" s="1"/>
  <c r="C2052" i="9" a="1"/>
  <c r="C2052" i="9" s="1"/>
  <c r="C2053" i="9" a="1"/>
  <c r="C2053" i="9" s="1"/>
  <c r="C2054" i="9" a="1"/>
  <c r="C2054" i="9"/>
  <c r="C2055" i="9" a="1"/>
  <c r="C2055" i="9" s="1"/>
  <c r="C2056" i="9" a="1"/>
  <c r="C2056" i="9"/>
  <c r="C2057" i="9" a="1"/>
  <c r="C2057" i="9" s="1"/>
  <c r="C2058" i="9" a="1"/>
  <c r="C2058" i="9"/>
  <c r="C2059" i="9" a="1"/>
  <c r="C2059" i="9" s="1"/>
  <c r="C2060" i="9" a="1"/>
  <c r="C2060" i="9" s="1"/>
  <c r="C2061" i="9" a="1"/>
  <c r="C2061" i="9" s="1"/>
  <c r="C2062" i="9" a="1"/>
  <c r="C2062" i="9"/>
  <c r="C2063" i="9" a="1"/>
  <c r="C2063" i="9" s="1"/>
  <c r="C2064" i="9" a="1"/>
  <c r="C2064" i="9"/>
  <c r="C2065" i="9" a="1"/>
  <c r="C2065" i="9" s="1"/>
  <c r="C2066" i="9" a="1"/>
  <c r="C2066" i="9"/>
  <c r="C2067" i="9" a="1"/>
  <c r="C2067" i="9" s="1"/>
  <c r="C2068" i="9" a="1"/>
  <c r="C2068" i="9" s="1"/>
  <c r="C2069" i="9" a="1"/>
  <c r="C2069" i="9" s="1"/>
  <c r="C2070" i="9" a="1"/>
  <c r="C2070" i="9"/>
  <c r="C2071" i="9" a="1"/>
  <c r="C2071" i="9" s="1"/>
  <c r="C2072" i="9" a="1"/>
  <c r="C2072" i="9"/>
  <c r="C2073" i="9" a="1"/>
  <c r="C2073" i="9" s="1"/>
  <c r="C2074" i="9" a="1"/>
  <c r="C2074" i="9"/>
  <c r="C2075" i="9" a="1"/>
  <c r="C2075" i="9" s="1"/>
  <c r="C2076" i="9" a="1"/>
  <c r="C2076" i="9"/>
  <c r="C2077" i="9" a="1"/>
  <c r="C2077" i="9" s="1"/>
  <c r="C2078" i="9" a="1"/>
  <c r="C2078" i="9"/>
  <c r="C2079" i="9" a="1"/>
  <c r="C2079" i="9" s="1"/>
  <c r="C2080" i="9" a="1"/>
  <c r="C2080" i="9"/>
  <c r="C2081" i="9" a="1"/>
  <c r="C2081" i="9" s="1"/>
  <c r="C2082" i="9" a="1"/>
  <c r="C2082" i="9"/>
  <c r="C2083" i="9" a="1"/>
  <c r="C2083" i="9" s="1"/>
  <c r="C2084" i="9" a="1"/>
  <c r="C2084" i="9"/>
  <c r="C2085" i="9" a="1"/>
  <c r="C2085" i="9" s="1"/>
  <c r="C2086" i="9" a="1"/>
  <c r="C2086" i="9"/>
  <c r="C2087" i="9" a="1"/>
  <c r="C2087" i="9" s="1"/>
  <c r="C2088" i="9" a="1"/>
  <c r="C2088" i="9"/>
  <c r="C2089" i="9" a="1"/>
  <c r="C2089" i="9" s="1"/>
  <c r="C2090" i="9" a="1"/>
  <c r="C2090" i="9"/>
  <c r="C2091" i="9" a="1"/>
  <c r="C2091" i="9" s="1"/>
  <c r="C2092" i="9" a="1"/>
  <c r="C2092" i="9"/>
  <c r="C2093" i="9" a="1"/>
  <c r="C2093" i="9" s="1"/>
  <c r="C2094" i="9" a="1"/>
  <c r="C2094" i="9"/>
  <c r="C2095" i="9" a="1"/>
  <c r="C2095" i="9" s="1"/>
  <c r="C2096" i="9" a="1"/>
  <c r="C2096" i="9"/>
  <c r="C2097" i="9" a="1"/>
  <c r="C2097" i="9" s="1"/>
  <c r="C2098" i="9" a="1"/>
  <c r="C2098" i="9" s="1"/>
  <c r="C2099" i="9" a="1"/>
  <c r="C2099" i="9" s="1"/>
  <c r="C2100" i="9" a="1"/>
  <c r="C2100" i="9"/>
  <c r="C2101" i="9" a="1"/>
  <c r="C2101" i="9" s="1"/>
  <c r="C2102" i="9" a="1"/>
  <c r="C2102" i="9"/>
  <c r="C2103" i="9" a="1"/>
  <c r="C2103" i="9" s="1"/>
  <c r="C2104" i="9" a="1"/>
  <c r="C2104" i="9"/>
  <c r="C2105" i="9" a="1"/>
  <c r="C2105" i="9" s="1"/>
  <c r="C2106" i="9" a="1"/>
  <c r="C2106" i="9"/>
  <c r="C2107" i="9" a="1"/>
  <c r="C2107" i="9" s="1"/>
  <c r="C2108" i="9" a="1"/>
  <c r="C2108" i="9"/>
  <c r="C2109" i="9" a="1"/>
  <c r="C2109" i="9" s="1"/>
  <c r="C2110" i="9" a="1"/>
  <c r="C2110" i="9"/>
  <c r="C2111" i="9" a="1"/>
  <c r="C2111" i="9" s="1"/>
  <c r="C2112" i="9" a="1"/>
  <c r="C2112" i="9"/>
  <c r="C2113" i="9" a="1"/>
  <c r="C2113" i="9" s="1"/>
  <c r="C2114" i="9" a="1"/>
  <c r="C2114" i="9"/>
  <c r="C2115" i="9" a="1"/>
  <c r="C2115" i="9" s="1"/>
  <c r="C2116" i="9" a="1"/>
  <c r="C2116" i="9"/>
  <c r="C2117" i="9" a="1"/>
  <c r="C2117" i="9" s="1"/>
  <c r="C2118" i="9" a="1"/>
  <c r="C2118" i="9"/>
  <c r="C2119" i="9" a="1"/>
  <c r="C2119" i="9" s="1"/>
  <c r="C2120" i="9" a="1"/>
  <c r="C2120" i="9"/>
  <c r="C2121" i="9" a="1"/>
  <c r="C2121" i="9" s="1"/>
  <c r="C2122" i="9" a="1"/>
  <c r="C2122" i="9"/>
  <c r="C2123" i="9" a="1"/>
  <c r="C2123" i="9" s="1"/>
  <c r="C2124" i="9" a="1"/>
  <c r="C2124" i="9"/>
  <c r="C2125" i="9" a="1"/>
  <c r="C2125" i="9" s="1"/>
  <c r="C2126" i="9" a="1"/>
  <c r="C2126" i="9"/>
  <c r="C2127" i="9" a="1"/>
  <c r="C2127" i="9" s="1"/>
  <c r="C2128" i="9" a="1"/>
  <c r="C2128" i="9"/>
  <c r="C2129" i="9" a="1"/>
  <c r="C2129" i="9" s="1"/>
  <c r="C2130" i="9" a="1"/>
  <c r="C2130" i="9"/>
  <c r="C2131" i="9" a="1"/>
  <c r="C2131" i="9" s="1"/>
  <c r="C2132" i="9" a="1"/>
  <c r="C2132" i="9"/>
  <c r="C2133" i="9" a="1"/>
  <c r="C2133" i="9" s="1"/>
  <c r="C2134" i="9" a="1"/>
  <c r="C2134" i="9"/>
  <c r="C2135" i="9" a="1"/>
  <c r="C2135" i="9" s="1"/>
  <c r="C2136" i="9" a="1"/>
  <c r="C2136" i="9"/>
  <c r="C2137" i="9" a="1"/>
  <c r="C2137" i="9" s="1"/>
  <c r="C2138" i="9" a="1"/>
  <c r="C2138" i="9"/>
  <c r="C2139" i="9" a="1"/>
  <c r="C2139" i="9" s="1"/>
  <c r="C2140" i="9" a="1"/>
  <c r="C2140" i="9"/>
  <c r="C2141" i="9" a="1"/>
  <c r="C2141" i="9" s="1"/>
  <c r="C2142" i="9" a="1"/>
  <c r="C2142" i="9"/>
  <c r="C2143" i="9" a="1"/>
  <c r="C2143" i="9" s="1"/>
  <c r="C2144" i="9" a="1"/>
  <c r="C2144" i="9" s="1"/>
  <c r="C2145" i="9" a="1"/>
  <c r="C2145" i="9" s="1"/>
  <c r="C2146" i="9" a="1"/>
  <c r="C2146" i="9" s="1"/>
  <c r="C2147" i="9" a="1"/>
  <c r="C2147" i="9" s="1"/>
  <c r="C2148" i="9" a="1"/>
  <c r="C2148" i="9" s="1"/>
  <c r="C2149" i="9" a="1"/>
  <c r="C2149" i="9" s="1"/>
  <c r="C2150" i="9" a="1"/>
  <c r="C2150" i="9" s="1"/>
  <c r="C2151" i="9" a="1"/>
  <c r="C2151" i="9" s="1"/>
  <c r="C2152" i="9" a="1"/>
  <c r="C2152" i="9" s="1"/>
  <c r="C2153" i="9" a="1"/>
  <c r="C2153" i="9" s="1"/>
  <c r="C2154" i="9" a="1"/>
  <c r="C2154" i="9" s="1"/>
  <c r="C2155" i="9" a="1"/>
  <c r="C2155" i="9" s="1"/>
  <c r="C2156" i="9" a="1"/>
  <c r="C2156" i="9" s="1"/>
  <c r="C2157" i="9" a="1"/>
  <c r="C2157" i="9" s="1"/>
  <c r="C2158" i="9" a="1"/>
  <c r="C2158" i="9" s="1"/>
  <c r="C2159" i="9" a="1"/>
  <c r="C2159" i="9" s="1"/>
  <c r="C2160" i="9" a="1"/>
  <c r="C2160" i="9" s="1"/>
  <c r="C2161" i="9" a="1"/>
  <c r="C2161" i="9" s="1"/>
  <c r="C2162" i="9" a="1"/>
  <c r="C2162" i="9" s="1"/>
  <c r="C2163" i="9" a="1"/>
  <c r="C2163" i="9" s="1"/>
  <c r="C2164" i="9" a="1"/>
  <c r="C2164" i="9" s="1"/>
  <c r="C2165" i="9" a="1"/>
  <c r="C2165" i="9" s="1"/>
  <c r="C2166" i="9" a="1"/>
  <c r="C2166" i="9" s="1"/>
  <c r="C2167" i="9" a="1"/>
  <c r="C2167" i="9" s="1"/>
  <c r="C2168" i="9" a="1"/>
  <c r="C2168" i="9" s="1"/>
  <c r="C2169" i="9" a="1"/>
  <c r="C2169" i="9" s="1"/>
  <c r="C2170" i="9" a="1"/>
  <c r="C2170" i="9" s="1"/>
  <c r="C2171" i="9" a="1"/>
  <c r="C2171" i="9" s="1"/>
  <c r="C2172" i="9" a="1"/>
  <c r="C2172" i="9" s="1"/>
  <c r="C2173" i="9" a="1"/>
  <c r="C2173" i="9" s="1"/>
  <c r="C2174" i="9" a="1"/>
  <c r="C2174" i="9" s="1"/>
  <c r="C2175" i="9" a="1"/>
  <c r="C2175" i="9" s="1"/>
  <c r="C2176" i="9" a="1"/>
  <c r="C2176" i="9" s="1"/>
  <c r="C2177" i="9" a="1"/>
  <c r="C2177" i="9" s="1"/>
  <c r="C2178" i="9" a="1"/>
  <c r="C2178" i="9" s="1"/>
  <c r="C2179" i="9" a="1"/>
  <c r="C2179" i="9" s="1"/>
  <c r="C2180" i="9" a="1"/>
  <c r="C2180" i="9" s="1"/>
  <c r="C2181" i="9" a="1"/>
  <c r="C2181" i="9" s="1"/>
  <c r="C2182" i="9" a="1"/>
  <c r="C2182" i="9" s="1"/>
  <c r="C2183" i="9" a="1"/>
  <c r="C2183" i="9" s="1"/>
  <c r="C2184" i="9" a="1"/>
  <c r="C2184" i="9" s="1"/>
  <c r="C2185" i="9" a="1"/>
  <c r="C2185" i="9" s="1"/>
  <c r="C2186" i="9" a="1"/>
  <c r="C2186" i="9" s="1"/>
  <c r="C2187" i="9" a="1"/>
  <c r="C2187" i="9" s="1"/>
  <c r="C2188" i="9" a="1"/>
  <c r="C2188" i="9" s="1"/>
  <c r="C2189" i="9" a="1"/>
  <c r="C2189" i="9" s="1"/>
  <c r="C2190" i="9" a="1"/>
  <c r="C2190" i="9" s="1"/>
  <c r="C2191" i="9" a="1"/>
  <c r="C2191" i="9" s="1"/>
  <c r="C2192" i="9" a="1"/>
  <c r="C2192" i="9" s="1"/>
  <c r="C2193" i="9" a="1"/>
  <c r="C2193" i="9" s="1"/>
  <c r="C2194" i="9" a="1"/>
  <c r="C2194" i="9" s="1"/>
  <c r="C2195" i="9" a="1"/>
  <c r="C2195" i="9" s="1"/>
  <c r="C2196" i="9" a="1"/>
  <c r="C2196" i="9" s="1"/>
  <c r="C2197" i="9" a="1"/>
  <c r="C2197" i="9" s="1"/>
  <c r="C2198" i="9" a="1"/>
  <c r="C2198" i="9" s="1"/>
  <c r="C2199" i="9" a="1"/>
  <c r="C2199" i="9" s="1"/>
  <c r="C2200" i="9" a="1"/>
  <c r="C2200" i="9" s="1"/>
  <c r="C2201" i="9" a="1"/>
  <c r="C2201" i="9" s="1"/>
  <c r="C2202" i="9" a="1"/>
  <c r="C2202" i="9" s="1"/>
  <c r="C2203" i="9" a="1"/>
  <c r="C2203" i="9" s="1"/>
  <c r="C2204" i="9" a="1"/>
  <c r="C2204" i="9" s="1"/>
  <c r="C2205" i="9" a="1"/>
  <c r="C2205" i="9" s="1"/>
  <c r="C2206" i="9" a="1"/>
  <c r="C2206" i="9" s="1"/>
  <c r="C2207" i="9" a="1"/>
  <c r="C2207" i="9" s="1"/>
  <c r="C2208" i="9" a="1"/>
  <c r="C2208" i="9" s="1"/>
  <c r="C2209" i="9" a="1"/>
  <c r="C2209" i="9" s="1"/>
  <c r="C2210" i="9" a="1"/>
  <c r="C2210" i="9" s="1"/>
  <c r="C2211" i="9" a="1"/>
  <c r="C2211" i="9" s="1"/>
  <c r="C2212" i="9" a="1"/>
  <c r="C2212" i="9" s="1"/>
  <c r="C2213" i="9" a="1"/>
  <c r="C2213" i="9" s="1"/>
  <c r="C2214" i="9" a="1"/>
  <c r="C2214" i="9" s="1"/>
  <c r="C2215" i="9" a="1"/>
  <c r="C2215" i="9" s="1"/>
  <c r="C2216" i="9" a="1"/>
  <c r="C2216" i="9" s="1"/>
  <c r="C2217" i="9" a="1"/>
  <c r="C2217" i="9" s="1"/>
  <c r="C2218" i="9" a="1"/>
  <c r="C2218" i="9" s="1"/>
  <c r="C2219" i="9" a="1"/>
  <c r="C2219" i="9" s="1"/>
  <c r="C2220" i="9" a="1"/>
  <c r="C2220" i="9" s="1"/>
  <c r="C2221" i="9" a="1"/>
  <c r="C2221" i="9" s="1"/>
  <c r="C2222" i="9" a="1"/>
  <c r="C2222" i="9" s="1"/>
  <c r="C2223" i="9" a="1"/>
  <c r="C2223" i="9" s="1"/>
  <c r="C2224" i="9" a="1"/>
  <c r="C2224" i="9" s="1"/>
  <c r="C2225" i="9" a="1"/>
  <c r="C2225" i="9" s="1"/>
  <c r="C2226" i="9" a="1"/>
  <c r="C2226" i="9" s="1"/>
  <c r="C2227" i="9" a="1"/>
  <c r="C2227" i="9" s="1"/>
  <c r="C2228" i="9" a="1"/>
  <c r="C2228" i="9" s="1"/>
  <c r="C2229" i="9" a="1"/>
  <c r="C2229" i="9" s="1"/>
  <c r="C2230" i="9" a="1"/>
  <c r="C2230" i="9" s="1"/>
  <c r="C2231" i="9" a="1"/>
  <c r="C2231" i="9" s="1"/>
  <c r="C2232" i="9" a="1"/>
  <c r="C2232" i="9" s="1"/>
  <c r="C2233" i="9" a="1"/>
  <c r="C2233" i="9" s="1"/>
  <c r="C2234" i="9" a="1"/>
  <c r="C2234" i="9" s="1"/>
  <c r="C2235" i="9" a="1"/>
  <c r="C2235" i="9" s="1"/>
  <c r="C2236" i="9" a="1"/>
  <c r="C2236" i="9" s="1"/>
  <c r="C2237" i="9" a="1"/>
  <c r="C2237" i="9" s="1"/>
  <c r="C2238" i="9" a="1"/>
  <c r="C2238" i="9" s="1"/>
  <c r="C2239" i="9" a="1"/>
  <c r="C2239" i="9" s="1"/>
  <c r="C2240" i="9" a="1"/>
  <c r="C2240" i="9" s="1"/>
  <c r="C2241" i="9" a="1"/>
  <c r="C2241" i="9" s="1"/>
  <c r="C2242" i="9" a="1"/>
  <c r="C2242" i="9" s="1"/>
  <c r="C2243" i="9" a="1"/>
  <c r="C2243" i="9" s="1"/>
  <c r="C2244" i="9" a="1"/>
  <c r="C2244" i="9" s="1"/>
  <c r="C2245" i="9" a="1"/>
  <c r="C2245" i="9" s="1"/>
  <c r="C2246" i="9" a="1"/>
  <c r="C2246" i="9" s="1"/>
  <c r="C2247" i="9" a="1"/>
  <c r="C2247" i="9" s="1"/>
  <c r="C2248" i="9" a="1"/>
  <c r="C2248" i="9" s="1"/>
  <c r="C2249" i="9" a="1"/>
  <c r="C2249" i="9" s="1"/>
  <c r="C2250" i="9" a="1"/>
  <c r="C2250" i="9" s="1"/>
  <c r="C2251" i="9" a="1"/>
  <c r="C2251" i="9" s="1"/>
  <c r="C2252" i="9" a="1"/>
  <c r="C2252" i="9" s="1"/>
  <c r="C2253" i="9" a="1"/>
  <c r="C2253" i="9" s="1"/>
  <c r="C2254" i="9" a="1"/>
  <c r="C2254" i="9" s="1"/>
  <c r="C2255" i="9" a="1"/>
  <c r="C2255" i="9" s="1"/>
  <c r="C2256" i="9" a="1"/>
  <c r="C2256" i="9" s="1"/>
  <c r="C2257" i="9" a="1"/>
  <c r="C2257" i="9" s="1"/>
  <c r="C2258" i="9" a="1"/>
  <c r="C2258" i="9" s="1"/>
  <c r="C2259" i="9" a="1"/>
  <c r="C2259" i="9" s="1"/>
  <c r="C2260" i="9" a="1"/>
  <c r="C2260" i="9" s="1"/>
  <c r="C2261" i="9" a="1"/>
  <c r="C2261" i="9" s="1"/>
  <c r="C2262" i="9" a="1"/>
  <c r="C2262" i="9" s="1"/>
  <c r="C2263" i="9" a="1"/>
  <c r="C2263" i="9" s="1"/>
  <c r="C2264" i="9" a="1"/>
  <c r="C2264" i="9" s="1"/>
  <c r="C2265" i="9" a="1"/>
  <c r="C2265" i="9" s="1"/>
  <c r="C2266" i="9" a="1"/>
  <c r="C2266" i="9" s="1"/>
  <c r="C2267" i="9" a="1"/>
  <c r="C2267" i="9" s="1"/>
  <c r="C2268" i="9" a="1"/>
  <c r="C2268" i="9" s="1"/>
  <c r="C2269" i="9" a="1"/>
  <c r="C2269" i="9" s="1"/>
  <c r="C2270" i="9" a="1"/>
  <c r="C2270" i="9" s="1"/>
  <c r="C2271" i="9" a="1"/>
  <c r="C2271" i="9" s="1"/>
  <c r="C2272" i="9" a="1"/>
  <c r="C2272" i="9" s="1"/>
  <c r="C2273" i="9" a="1"/>
  <c r="C2273" i="9" s="1"/>
  <c r="C2274" i="9" a="1"/>
  <c r="C2274" i="9" s="1"/>
  <c r="C2275" i="9" a="1"/>
  <c r="C2275" i="9" s="1"/>
  <c r="C2276" i="9" a="1"/>
  <c r="C2276" i="9" s="1"/>
  <c r="C2277" i="9" a="1"/>
  <c r="C2277" i="9" s="1"/>
  <c r="C2278" i="9" a="1"/>
  <c r="C2278" i="9" s="1"/>
  <c r="C2279" i="9" a="1"/>
  <c r="C2279" i="9" s="1"/>
  <c r="C2280" i="9" a="1"/>
  <c r="C2280" i="9" s="1"/>
  <c r="C2281" i="9" a="1"/>
  <c r="C2281" i="9" s="1"/>
  <c r="C2282" i="9" a="1"/>
  <c r="C2282" i="9" s="1"/>
  <c r="C2283" i="9" a="1"/>
  <c r="C2283" i="9" s="1"/>
  <c r="C2284" i="9" a="1"/>
  <c r="C2284" i="9" s="1"/>
  <c r="C2285" i="9" a="1"/>
  <c r="C2285" i="9" s="1"/>
  <c r="C2286" i="9" a="1"/>
  <c r="C2286" i="9" s="1"/>
  <c r="C2287" i="9" a="1"/>
  <c r="C2287" i="9" s="1"/>
  <c r="C2288" i="9" a="1"/>
  <c r="C2288" i="9" s="1"/>
  <c r="C2289" i="9" a="1"/>
  <c r="C2289" i="9" s="1"/>
  <c r="C2290" i="9" a="1"/>
  <c r="C2290" i="9" s="1"/>
  <c r="C2291" i="9" a="1"/>
  <c r="C2291" i="9" s="1"/>
  <c r="C2292" i="9" a="1"/>
  <c r="C2292" i="9" s="1"/>
  <c r="C2293" i="9" a="1"/>
  <c r="C2293" i="9" s="1"/>
  <c r="C2294" i="9" a="1"/>
  <c r="C2294" i="9" s="1"/>
  <c r="C2295" i="9" a="1"/>
  <c r="C2295" i="9" s="1"/>
  <c r="C2296" i="9" a="1"/>
  <c r="C2296" i="9" s="1"/>
  <c r="C2297" i="9" a="1"/>
  <c r="C2297" i="9" s="1"/>
  <c r="C2298" i="9" a="1"/>
  <c r="C2298" i="9" s="1"/>
  <c r="C2299" i="9" a="1"/>
  <c r="C2299" i="9" s="1"/>
  <c r="C2300" i="9" a="1"/>
  <c r="C2300" i="9" s="1"/>
  <c r="C2301" i="9" a="1"/>
  <c r="C2301" i="9" s="1"/>
  <c r="C2302" i="9" a="1"/>
  <c r="C2302" i="9" s="1"/>
  <c r="C2303" i="9" a="1"/>
  <c r="C2303" i="9" s="1"/>
  <c r="C2304" i="9" a="1"/>
  <c r="C2304" i="9" s="1"/>
  <c r="C2305" i="9" a="1"/>
  <c r="C2305" i="9" s="1"/>
  <c r="C2306" i="9" a="1"/>
  <c r="C2306" i="9" s="1"/>
  <c r="C2307" i="9" a="1"/>
  <c r="C2307" i="9" s="1"/>
  <c r="C2308" i="9" a="1"/>
  <c r="C2308" i="9" s="1"/>
  <c r="C2309" i="9" a="1"/>
  <c r="C2309" i="9" s="1"/>
  <c r="C2310" i="9" a="1"/>
  <c r="C2310" i="9" s="1"/>
  <c r="C2311" i="9" a="1"/>
  <c r="C2311" i="9" s="1"/>
  <c r="C2312" i="9" a="1"/>
  <c r="C2312" i="9" s="1"/>
  <c r="C2313" i="9" a="1"/>
  <c r="C2313" i="9" s="1"/>
  <c r="C2314" i="9" a="1"/>
  <c r="C2314" i="9" s="1"/>
  <c r="C2315" i="9" a="1"/>
  <c r="C2315" i="9" s="1"/>
  <c r="C2316" i="9" a="1"/>
  <c r="C2316" i="9" s="1"/>
  <c r="C2317" i="9" a="1"/>
  <c r="C2317" i="9" s="1"/>
  <c r="C2318" i="9" a="1"/>
  <c r="C2318" i="9" s="1"/>
  <c r="C2319" i="9" a="1"/>
  <c r="C2319" i="9" s="1"/>
  <c r="C2320" i="9" a="1"/>
  <c r="C2320" i="9" s="1"/>
  <c r="C2321" i="9" a="1"/>
  <c r="C2321" i="9" s="1"/>
  <c r="C2322" i="9" a="1"/>
  <c r="C2322" i="9" s="1"/>
  <c r="C2323" i="9" a="1"/>
  <c r="C2323" i="9" s="1"/>
  <c r="C2324" i="9" a="1"/>
  <c r="C2324" i="9" s="1"/>
  <c r="C2325" i="9" a="1"/>
  <c r="C2325" i="9" s="1"/>
  <c r="C2326" i="9" a="1"/>
  <c r="C2326" i="9" s="1"/>
  <c r="C2327" i="9" a="1"/>
  <c r="C2327" i="9" s="1"/>
  <c r="C2328" i="9" a="1"/>
  <c r="C2328" i="9" s="1"/>
  <c r="C2329" i="9" a="1"/>
  <c r="C2329" i="9" s="1"/>
  <c r="C2330" i="9" a="1"/>
  <c r="C2330" i="9" s="1"/>
  <c r="C2331" i="9" a="1"/>
  <c r="C2331" i="9" s="1"/>
  <c r="C2332" i="9" a="1"/>
  <c r="C2332" i="9" s="1"/>
  <c r="C2333" i="9" a="1"/>
  <c r="C2333" i="9" s="1"/>
  <c r="C2334" i="9" a="1"/>
  <c r="C2334" i="9" s="1"/>
  <c r="C2335" i="9" a="1"/>
  <c r="C2335" i="9" s="1"/>
  <c r="C2336" i="9" a="1"/>
  <c r="C2336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5AE8AC-1B20-4DB1-BE33-09C6DB7F6BB6}" keepAlive="1" name="Query - Customer Names" description="Connection to the 'Customer Names' query in the workbook." type="5" refreshedVersion="7" background="1" saveData="1">
    <dbPr connection="Provider=Microsoft.Mashup.OleDb.1;Data Source=$Workbook$;Location=&quot;Customer Names&quot;;Extended Properties=&quot;&quot;" command="SELECT * FROM [Customer Names]"/>
  </connection>
  <connection id="2" xr16:uid="{2BB17068-916B-4B2E-91FD-134FD78931D9}" keepAlive="1" name="Query - Customer_Names" description="Connection to the 'Customer_Names' query in the workbook." type="5" refreshedVersion="7" background="1" saveData="1">
    <dbPr connection="Provider=Microsoft.Mashup.OleDb.1;Data Source=$Workbook$;Location=Customer_Names;Extended Properties=&quot;&quot;" command="SELECT * FROM [Customer_Names]"/>
  </connection>
  <connection id="3" xr16:uid="{D747047B-B2F0-4CA0-B804-469025BAA4FB}" keepAlive="1" name="Query - Hospitalisation Details" description="Connection to the 'Hospitalisation Details' query in the workbook." type="5" refreshedVersion="7" background="1" saveData="1">
    <dbPr connection="Provider=Microsoft.Mashup.OleDb.1;Data Source=$Workbook$;Location=&quot;Hospitalisation Details&quot;;Extended Properties=&quot;&quot;" command="SELECT * FROM [Hospitalisation Details]"/>
  </connection>
  <connection id="4" xr16:uid="{59C17FD4-494B-4709-835C-BED33DC813EF}" keepAlive="1" name="Query - Hospitalisation_Details" description="Connection to the 'Hospitalisation_Details' query in the workbook." type="5" refreshedVersion="0" background="1">
    <dbPr connection="Provider=Microsoft.Mashup.OleDb.1;Data Source=$Workbook$;Location=Hospitalisation_Details;Extended Properties=&quot;&quot;" command="SELECT * FROM [Hospitalisation_Details]"/>
  </connection>
  <connection id="5" xr16:uid="{5EA39629-9F74-44D1-A9B4-C8C423CF3C6C}" keepAlive="1" name="Query - Hospitalisation_Details_2" description="Connection to the 'Hospitalisation_Details_2' query in the workbook." type="5" refreshedVersion="0" background="1">
    <dbPr connection="Provider=Microsoft.Mashup.OleDb.1;Data Source=$Workbook$;Location=Hospitalisation_Details_2;Extended Properties=&quot;&quot;" command="SELECT * FROM [Hospitalisation_Details_2]"/>
  </connection>
  <connection id="6" xr16:uid="{3574979C-FB67-48CB-89B6-69D0E237684D}" keepAlive="1" name="Query - Hospitalisation_Details_2 (2)" description="Connection to the 'Hospitalisation_Details_2 (2)' query in the workbook." type="5" refreshedVersion="0" background="1">
    <dbPr connection="Provider=Microsoft.Mashup.OleDb.1;Data Source=$Workbook$;Location=&quot;Hospitalisation_Details_2 (2)&quot;;Extended Properties=&quot;&quot;" command="SELECT * FROM [Hospitalisation_Details_2 (2)]"/>
  </connection>
  <connection id="7" xr16:uid="{9222C681-70F4-422C-8A0C-0447BF3C392E}" keepAlive="1" name="Query - Hospitalisation_Details_2__2" description="Connection to the 'Hospitalisation_Details_2__2' query in the workbook." type="5" refreshedVersion="7" background="1" saveData="1">
    <dbPr connection="Provider=Microsoft.Mashup.OleDb.1;Data Source=$Workbook$;Location=Hospitalisation_Details_2__2;Extended Properties=&quot;&quot;" command="SELECT * FROM [Hospitalisation_Details_2__2]"/>
  </connection>
  <connection id="8" xr16:uid="{73C90D31-652A-4EE7-B88B-F0648DCD68C1}" keepAlive="1" name="Query - Medical Examinations" description="Connection to the 'Medical Examinations' query in the workbook." type="5" refreshedVersion="7" background="1" saveData="1">
    <dbPr connection="Provider=Microsoft.Mashup.OleDb.1;Data Source=$Workbook$;Location=&quot;Medical Examinations&quot;;Extended Properties=&quot;&quot;" command="SELECT * FROM [Medical Examinations]"/>
  </connection>
  <connection id="9" xr16:uid="{63C1CDC7-6EE1-4CCE-B90A-CD39C44641D0}" keepAlive="1" name="Query - Medical_Examinations" description="Connection to the 'Medical_Examinations' query in the workbook." type="5" refreshedVersion="7" background="1" saveData="1">
    <dbPr connection="Provider=Microsoft.Mashup.OleDb.1;Data Source=$Workbook$;Location=Medical_Examinations;Extended Properties=&quot;&quot;" command="SELECT * FROM [Medical_Examination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<sst xmlns="http://schemas.openxmlformats.org/spreadsheetml/2006/main" count="43287" uniqueCount="10734">
  <si>
    <t>Customer ID</t>
  </si>
  <si>
    <t>year</t>
  </si>
  <si>
    <t>month</t>
  </si>
  <si>
    <t>date</t>
  </si>
  <si>
    <t>children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</si>
  <si>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</si>
  <si>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</si>
  <si>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</si>
  <si>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</si>
  <si>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</si>
  <si>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</si>
  <si>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</si>
  <si>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</si>
  <si>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</si>
  <si>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</si>
  <si>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</si>
  <si>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</si>
  <si>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</si>
  <si>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</si>
  <si>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</si>
  <si>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</si>
  <si>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</si>
  <si>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</si>
  <si>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</si>
  <si>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</si>
  <si>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</si>
  <si>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</si>
  <si>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</si>
  <si>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</si>
  <si>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</si>
  <si>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</si>
  <si>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</si>
  <si>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</si>
  <si>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</si>
  <si>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</si>
  <si>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</si>
  <si>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</si>
  <si>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</si>
  <si>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</si>
  <si>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</si>
  <si>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</si>
  <si>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</si>
  <si>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</si>
  <si>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</si>
  <si>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</si>
  <si>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</si>
  <si>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</si>
  <si>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</si>
  <si>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</si>
  <si>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</si>
  <si>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</si>
  <si>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</si>
  <si>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</si>
  <si>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</si>
  <si>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</si>
  <si>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</si>
  <si>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</si>
  <si>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</si>
  <si>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</si>
  <si>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</si>
  <si>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</si>
  <si>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</si>
  <si>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</si>
  <si>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</si>
  <si>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</si>
  <si>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</si>
  <si>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</si>
  <si>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</si>
  <si>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</si>
  <si>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</si>
  <si>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</si>
  <si>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</si>
  <si>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</si>
  <si>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</si>
  <si>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</si>
  <si>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</si>
  <si>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</si>
  <si>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</si>
  <si>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</si>
  <si>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</si>
  <si>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</si>
  <si>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</si>
  <si>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</si>
  <si>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</si>
  <si>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</si>
  <si>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</si>
  <si>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</si>
  <si>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</si>
  <si>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</si>
  <si>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</si>
  <si>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</si>
  <si>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</si>
  <si>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</si>
  <si>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</si>
  <si>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</si>
  <si>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</si>
  <si>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</si>
  <si>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</si>
  <si>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</si>
  <si>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</si>
  <si>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</si>
  <si>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</si>
  <si>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</si>
  <si>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</si>
  <si>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</si>
  <si>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</si>
  <si>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</si>
  <si>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</si>
  <si>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</si>
  <si>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</si>
  <si>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</si>
  <si>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</si>
  <si>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</si>
  <si>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</si>
  <si>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</si>
  <si>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</si>
  <si>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</si>
  <si>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</si>
  <si>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</si>
  <si>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</si>
  <si>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</si>
  <si>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</si>
  <si>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</si>
  <si>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</si>
  <si>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</si>
  <si>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</si>
  <si>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</si>
  <si>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</si>
  <si>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</si>
  <si>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</si>
  <si>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</si>
  <si>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</si>
  <si>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</si>
  <si>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</si>
  <si>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</si>
  <si>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</si>
  <si>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</si>
  <si>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</si>
  <si>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</si>
  <si>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</si>
  <si>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</si>
  <si>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</si>
  <si>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</si>
  <si>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</si>
  <si>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</si>
  <si>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</si>
  <si>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</si>
  <si>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</si>
  <si>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</si>
  <si>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</si>
  <si>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</si>
  <si>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</si>
  <si>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</si>
  <si>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</si>
  <si>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</si>
  <si>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</si>
  <si>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</si>
  <si>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</si>
  <si>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</si>
  <si>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</si>
  <si>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</si>
  <si>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</si>
  <si>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</si>
  <si>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</si>
  <si>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</si>
  <si>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</si>
  <si>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</si>
  <si>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</si>
  <si>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</si>
  <si>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</si>
  <si>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</si>
  <si>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</si>
  <si>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</si>
  <si>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</si>
  <si>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</si>
  <si>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</si>
  <si>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</si>
  <si>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</si>
  <si>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</si>
  <si>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</si>
  <si>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</si>
  <si>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</si>
  <si>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</si>
  <si>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</si>
  <si>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</si>
  <si>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</si>
  <si>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</si>
  <si>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</si>
  <si>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</si>
  <si>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</si>
  <si>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</si>
  <si>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</si>
  <si>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</si>
  <si>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</si>
  <si>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</si>
  <si>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</si>
  <si>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</si>
  <si>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</si>
  <si>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</si>
  <si>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</si>
  <si>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</si>
  <si>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</si>
  <si>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</si>
  <si>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</si>
  <si>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</si>
  <si>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</si>
  <si>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</si>
  <si>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</si>
  <si>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</si>
  <si>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</si>
  <si>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</si>
  <si>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</si>
  <si>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</si>
  <si>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</si>
  <si>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</si>
  <si>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</si>
  <si>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</si>
  <si>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</si>
  <si>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</si>
  <si>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</si>
  <si>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</si>
  <si>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</si>
  <si>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</si>
  <si>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</si>
  <si>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</si>
  <si>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</si>
  <si>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</si>
  <si>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</si>
  <si>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</si>
  <si>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</si>
  <si>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</si>
  <si>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</si>
  <si>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</si>
  <si>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</si>
  <si>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</si>
  <si>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</si>
  <si>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</si>
  <si>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</si>
  <si>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</si>
  <si>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</si>
  <si>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</si>
  <si>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</si>
  <si>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</si>
  <si>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</si>
  <si>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</si>
  <si>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</si>
  <si>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</si>
  <si>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</si>
  <si>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</si>
  <si>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</si>
  <si>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</si>
  <si>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</si>
  <si>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</si>
  <si>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</si>
  <si>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</si>
  <si>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</si>
  <si>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</si>
  <si>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</si>
  <si>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</si>
  <si>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</si>
  <si>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</si>
  <si>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</si>
  <si>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</si>
  <si>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</si>
  <si>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</si>
  <si>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</si>
  <si>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</si>
  <si>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</si>
  <si>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</si>
  <si>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</si>
  <si>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</si>
  <si>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</si>
  <si>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</si>
  <si>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</si>
  <si>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</si>
  <si>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</si>
  <si>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</si>
  <si>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</si>
  <si>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</si>
  <si>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</si>
  <si>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</si>
  <si>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</si>
  <si>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</si>
  <si>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</si>
  <si>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</si>
  <si>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</si>
  <si>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</si>
  <si>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</si>
  <si>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</si>
  <si>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</si>
  <si>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</si>
  <si>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</si>
  <si>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</si>
  <si>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</si>
  <si>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</si>
  <si>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</si>
  <si>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</si>
  <si>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</si>
  <si>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</si>
  <si>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</si>
  <si>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</si>
  <si>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</si>
  <si>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</si>
  <si>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</si>
  <si>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</si>
  <si>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</si>
  <si>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</si>
  <si>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</si>
  <si>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</si>
  <si>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</si>
  <si>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</si>
  <si>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</si>
  <si>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</si>
  <si>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</si>
  <si>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</si>
  <si>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</si>
  <si>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</si>
  <si>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</si>
  <si>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</si>
  <si>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</si>
  <si>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</si>
  <si>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</si>
  <si>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</si>
  <si>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</si>
  <si>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</si>
  <si>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</si>
  <si>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</si>
  <si>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</si>
  <si>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</si>
  <si>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</si>
  <si>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</si>
  <si>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</si>
  <si>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</si>
  <si>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</si>
  <si>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</si>
  <si>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</si>
  <si>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</si>
  <si>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</si>
  <si>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</si>
  <si>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</si>
  <si>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</si>
  <si>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</si>
  <si>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</si>
  <si>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</si>
  <si>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</si>
  <si>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</si>
  <si>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</si>
  <si>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</si>
  <si>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</si>
  <si>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</si>
  <si>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</si>
  <si>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</si>
  <si>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</si>
  <si>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</si>
  <si>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</si>
  <si>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</si>
  <si>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</si>
  <si>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</si>
  <si>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</si>
  <si>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</si>
  <si>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</si>
  <si>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</si>
  <si>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</si>
  <si>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</si>
  <si>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</si>
  <si>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</si>
  <si>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</si>
  <si>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</si>
  <si>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</si>
  <si>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</si>
  <si>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</si>
  <si>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</si>
  <si>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</si>
  <si>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</si>
  <si>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</si>
  <si>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</si>
  <si>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</si>
  <si>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</si>
  <si>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</si>
  <si>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</si>
  <si>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</si>
  <si>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</si>
  <si>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</si>
  <si>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</si>
  <si>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</si>
  <si>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</si>
  <si>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</si>
  <si>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</si>
  <si>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</si>
  <si>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</si>
  <si>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</si>
  <si>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</si>
  <si>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</si>
  <si>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</si>
  <si>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</si>
  <si>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</si>
  <si>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</si>
  <si>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</si>
  <si>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</si>
  <si>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</si>
  <si>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</si>
  <si>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</si>
  <si>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</si>
  <si>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</si>
  <si>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</si>
  <si>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</si>
  <si>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</si>
  <si>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</si>
  <si>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</si>
  <si>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</si>
  <si>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</si>
  <si>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</si>
  <si>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</si>
  <si>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</si>
  <si>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</si>
  <si>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</si>
  <si>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</si>
  <si>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</si>
  <si>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</si>
  <si>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</si>
  <si>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</si>
  <si>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</si>
  <si>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</si>
  <si>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</si>
  <si>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</si>
  <si>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</si>
  <si>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</si>
  <si>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</si>
  <si>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</si>
  <si>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</si>
  <si>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</si>
  <si>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</si>
  <si>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</si>
  <si>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</si>
  <si>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</si>
  <si>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</si>
  <si>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</si>
  <si>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</si>
  <si>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</si>
  <si>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</si>
  <si>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</si>
  <si>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</si>
  <si>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</si>
  <si>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</si>
  <si>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</si>
  <si>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</si>
  <si>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</si>
  <si>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</si>
  <si>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</si>
  <si>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</si>
  <si>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</si>
  <si>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</si>
  <si>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</si>
  <si>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</si>
  <si>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</si>
  <si>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</si>
  <si>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</si>
  <si>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</si>
  <si>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</si>
  <si>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</si>
  <si>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</si>
  <si>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</si>
  <si>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</si>
  <si>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</si>
  <si>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</si>
  <si>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</si>
  <si>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</si>
  <si>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</si>
  <si>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</si>
  <si>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</si>
  <si>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</si>
  <si>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</si>
  <si>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</si>
  <si>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</si>
  <si>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</si>
  <si>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</si>
  <si>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</si>
  <si>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</si>
  <si>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</si>
  <si>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</si>
  <si>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</si>
  <si>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</si>
  <si>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</si>
  <si>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</si>
  <si>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</si>
  <si>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</si>
  <si>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</si>
  <si>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</si>
  <si>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</si>
  <si>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</si>
  <si>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</si>
  <si>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</si>
  <si>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</si>
  <si>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</si>
  <si>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</si>
  <si>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</si>
  <si>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</si>
  <si>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</si>
  <si>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</si>
  <si>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</si>
  <si>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</si>
  <si>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</si>
  <si>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</si>
  <si>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</si>
  <si>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</si>
  <si>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</si>
  <si>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</si>
  <si>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</si>
  <si>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</si>
  <si>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</si>
  <si>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</si>
  <si>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</si>
  <si>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</si>
  <si>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</si>
  <si>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</si>
  <si>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</si>
  <si>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</si>
  <si>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</si>
  <si>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</si>
  <si>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</si>
  <si>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</si>
  <si>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</si>
  <si>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</si>
  <si>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</si>
  <si>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</si>
  <si>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</si>
  <si>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</si>
  <si>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</si>
  <si>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</si>
  <si>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</si>
  <si>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</si>
  <si>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</si>
  <si>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</si>
  <si>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</si>
  <si>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</si>
  <si>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</si>
  <si>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</si>
  <si>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</si>
  <si>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</si>
  <si>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</si>
  <si>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</si>
  <si>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</si>
  <si>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</si>
  <si>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</si>
  <si>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</si>
  <si>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</si>
  <si>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</si>
  <si>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</si>
  <si>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</si>
  <si>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</si>
  <si>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</si>
  <si>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</si>
  <si>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</si>
  <si>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</si>
  <si>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</si>
  <si>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</si>
  <si>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</si>
  <si>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</si>
  <si>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</si>
  <si>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</si>
  <si>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</si>
  <si>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</si>
  <si>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</si>
  <si>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</si>
  <si>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</si>
  <si>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</si>
  <si>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</si>
  <si>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</si>
  <si>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</si>
  <si>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</si>
  <si>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</si>
  <si>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</si>
  <si>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</si>
  <si>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</si>
  <si>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</si>
  <si>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</si>
  <si>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</si>
  <si>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</si>
  <si>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</si>
  <si>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</si>
  <si>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</si>
  <si>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</si>
  <si>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</si>
  <si>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</si>
  <si>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</si>
  <si>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</si>
  <si>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</si>
  <si>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</si>
  <si>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</si>
  <si>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</si>
  <si>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</si>
  <si>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</si>
  <si>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</si>
  <si>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</si>
  <si>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</si>
  <si>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</si>
  <si>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</si>
  <si>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</si>
  <si>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</si>
  <si>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</si>
  <si>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</si>
  <si>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</si>
  <si>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</si>
  <si>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</si>
  <si>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</si>
  <si>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</si>
  <si>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</si>
  <si>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</si>
  <si>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</si>
  <si>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</si>
  <si>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</si>
  <si>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</si>
  <si>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</si>
  <si>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</si>
  <si>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</si>
  <si>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</si>
  <si>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</si>
  <si>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</si>
  <si>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</si>
  <si>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</si>
  <si>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</si>
  <si>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</si>
  <si>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</si>
  <si>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</si>
  <si>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</si>
  <si>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</si>
  <si>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</si>
  <si>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</si>
  <si>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</si>
  <si>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</si>
  <si>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</si>
  <si>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</si>
  <si>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</si>
  <si>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</si>
  <si>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</si>
  <si>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</si>
  <si>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</si>
  <si>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</si>
  <si>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</si>
  <si>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</si>
  <si>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</si>
  <si>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</si>
  <si>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</si>
  <si>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</si>
  <si>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</si>
  <si>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</si>
  <si>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</si>
  <si>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</si>
  <si>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</si>
  <si>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</si>
  <si>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</si>
  <si>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</si>
  <si>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</si>
  <si>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</si>
  <si>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</si>
  <si>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</si>
  <si>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</si>
  <si>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</si>
  <si>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</si>
  <si>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</si>
  <si>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</si>
  <si>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</si>
  <si>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</si>
  <si>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</si>
  <si>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</si>
  <si>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</si>
  <si>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</si>
  <si>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</si>
  <si>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</si>
  <si>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</si>
  <si>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</si>
  <si>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</si>
  <si>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</si>
  <si>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</si>
  <si>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</si>
  <si>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</si>
  <si>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</si>
  <si>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</si>
  <si>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</si>
  <si>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</si>
  <si>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</si>
  <si>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</si>
  <si>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</si>
  <si>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</si>
  <si>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</si>
  <si>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</si>
  <si>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</si>
  <si>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</si>
  <si>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</si>
  <si>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</si>
  <si>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</si>
  <si>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</si>
  <si>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</si>
  <si>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</si>
  <si>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</si>
  <si>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</si>
  <si>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</si>
  <si>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</si>
  <si>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</si>
  <si>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</si>
  <si>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</si>
  <si>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</si>
  <si>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</si>
  <si>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</si>
  <si>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</si>
  <si>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</si>
  <si>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</si>
  <si>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</si>
  <si>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</si>
  <si>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</si>
  <si>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</si>
  <si>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</si>
  <si>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</si>
  <si>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</si>
  <si>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</si>
  <si>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</si>
  <si>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</si>
  <si>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</si>
  <si>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</si>
  <si>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</si>
  <si>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</si>
  <si>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</si>
  <si>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</si>
  <si>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</si>
  <si>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</si>
  <si>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</si>
  <si>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</si>
  <si>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</si>
  <si>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</si>
  <si>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</si>
  <si>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</si>
  <si>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</si>
  <si>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</si>
  <si>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</si>
  <si>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</si>
  <si>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</si>
  <si>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</si>
  <si>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</si>
  <si>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</si>
  <si>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</si>
  <si>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</si>
  <si>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</si>
  <si>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</si>
  <si>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</si>
  <si>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</si>
  <si>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</si>
  <si>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</si>
  <si>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</si>
  <si>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</si>
  <si>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</si>
  <si>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</si>
  <si>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</si>
  <si>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</si>
  <si>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</si>
  <si>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</si>
  <si>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</si>
  <si>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</si>
  <si>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</si>
  <si>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</si>
  <si>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</si>
  <si>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</si>
  <si>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</si>
  <si>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</si>
  <si>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</si>
  <si>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</si>
  <si>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</si>
  <si>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</si>
  <si>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</si>
  <si>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</si>
  <si>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</si>
  <si>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</si>
  <si>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</si>
  <si>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</si>
  <si>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</si>
  <si>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</si>
  <si>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</si>
  <si>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</si>
  <si>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</si>
  <si>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</si>
  <si>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</si>
  <si>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</si>
  <si>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</si>
  <si>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</si>
  <si>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</si>
  <si>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</si>
  <si>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</si>
  <si>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</si>
  <si>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</si>
  <si>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</si>
  <si>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</si>
  <si>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</si>
  <si>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</si>
  <si>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</si>
  <si>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</si>
  <si>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</si>
  <si>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</si>
  <si>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</si>
  <si>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</si>
  <si>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</si>
  <si>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</si>
  <si>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</si>
  <si>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</si>
  <si>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</si>
  <si>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</si>
  <si>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</si>
  <si>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</si>
  <si>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</si>
  <si>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</si>
  <si>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</si>
  <si>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</si>
  <si>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</si>
  <si>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</si>
  <si>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</si>
  <si>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</si>
  <si>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</si>
  <si>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</si>
  <si>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</si>
  <si>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</si>
  <si>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</si>
  <si>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</si>
  <si>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</si>
  <si>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</si>
  <si>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</si>
  <si>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</si>
  <si>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</si>
  <si>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</si>
  <si>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</si>
  <si>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</si>
  <si>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</si>
  <si>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</si>
  <si>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</si>
  <si>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</si>
  <si>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</si>
  <si>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</si>
  <si>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</si>
  <si>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</si>
  <si>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</si>
  <si>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</si>
  <si>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</si>
  <si>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</si>
  <si>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</si>
  <si>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</si>
  <si>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</si>
  <si>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</si>
  <si>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</si>
  <si>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</si>
  <si>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</si>
  <si>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</si>
  <si>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</si>
  <si>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</si>
  <si>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</si>
  <si>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</si>
  <si>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</si>
  <si>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</si>
  <si>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</si>
  <si>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</si>
  <si>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</si>
  <si>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</si>
  <si>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</si>
  <si>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</si>
  <si>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</si>
  <si>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</si>
  <si>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</si>
  <si>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</si>
  <si>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</si>
  <si>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</si>
  <si>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</si>
  <si>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</si>
  <si>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</si>
  <si>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</si>
  <si>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</si>
  <si>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</si>
  <si>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</si>
  <si>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</si>
  <si>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</si>
  <si>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</si>
  <si>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</si>
  <si>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</si>
  <si>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</si>
  <si>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</si>
  <si>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</si>
  <si>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</si>
  <si>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</si>
  <si>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</si>
  <si>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</si>
  <si>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</si>
  <si>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</si>
  <si>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</si>
  <si>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</si>
  <si>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</si>
  <si>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</si>
  <si>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</si>
  <si>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</si>
  <si>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</si>
  <si>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</si>
  <si>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</si>
  <si>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</si>
  <si>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</si>
  <si>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</si>
  <si>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</si>
  <si>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</si>
  <si>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</si>
  <si>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</si>
  <si>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</si>
  <si>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</si>
  <si>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</si>
  <si>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</si>
  <si>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</si>
  <si>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</si>
  <si>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</si>
  <si>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</si>
  <si>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</si>
  <si>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</si>
  <si>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</si>
  <si>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</si>
  <si>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</si>
  <si>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</si>
  <si>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</si>
  <si>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</si>
  <si>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</si>
  <si>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</si>
  <si>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</si>
  <si>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</si>
  <si>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</si>
  <si>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</si>
  <si>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</si>
  <si>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</si>
  <si>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</si>
  <si>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</si>
  <si>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</si>
  <si>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</si>
  <si>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</si>
  <si>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</si>
  <si>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</si>
  <si>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</si>
  <si>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</si>
  <si>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</si>
  <si>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</si>
  <si>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</si>
  <si>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</si>
  <si>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</si>
  <si>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</si>
  <si>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</si>
  <si>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</si>
  <si>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</si>
  <si>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</si>
  <si>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</si>
  <si>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</si>
  <si>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</si>
  <si>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</si>
  <si>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</si>
  <si>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</si>
  <si>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</si>
  <si>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</si>
  <si>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</si>
  <si>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</si>
  <si>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</si>
  <si>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</si>
  <si>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</si>
  <si>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</si>
  <si>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</si>
  <si>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</si>
  <si>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</si>
  <si>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</si>
  <si>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</si>
  <si>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</si>
  <si>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</si>
  <si>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</si>
  <si>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</si>
  <si>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</si>
  <si>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</si>
  <si>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</si>
  <si>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</si>
  <si>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</si>
  <si>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</si>
  <si>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</si>
  <si>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</si>
  <si>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</si>
  <si>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</si>
  <si>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</si>
  <si>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</si>
  <si>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</si>
  <si>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</si>
  <si>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</si>
  <si>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</si>
  <si>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</si>
  <si>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</si>
  <si>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</si>
  <si>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</si>
  <si>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</si>
  <si>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</si>
  <si>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</si>
  <si>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</si>
  <si>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</si>
  <si>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</si>
  <si>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</si>
  <si>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</si>
  <si>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</si>
  <si>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</si>
  <si>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</si>
  <si>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</si>
  <si>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</si>
  <si>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</si>
  <si>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</si>
  <si>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</si>
  <si>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</si>
  <si>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</si>
  <si>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</si>
  <si>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</si>
  <si>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</si>
  <si>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</si>
  <si>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</si>
  <si>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</si>
  <si>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</si>
  <si>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</si>
  <si>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</si>
  <si>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</si>
  <si>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</si>
  <si>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</si>
  <si>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</si>
  <si>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</si>
  <si>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</si>
  <si>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</si>
  <si>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</si>
  <si>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</si>
  <si>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</si>
  <si>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</si>
  <si>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</si>
  <si>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</si>
  <si>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</si>
  <si>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</si>
  <si>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</si>
  <si>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</si>
  <si>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</si>
  <si>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</si>
  <si>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</si>
  <si>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</si>
  <si>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</si>
  <si>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</si>
  <si>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</si>
  <si>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</si>
  <si>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</si>
  <si>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</si>
  <si>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</si>
  <si>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</si>
  <si>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</si>
  <si>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</si>
  <si>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</si>
  <si>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</si>
  <si>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</si>
  <si>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</si>
  <si>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</si>
  <si>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</si>
  <si>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</si>
  <si>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</si>
  <si>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</si>
  <si>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</si>
  <si>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</si>
  <si>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</si>
  <si>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</si>
  <si>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</si>
  <si>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</si>
  <si>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</si>
  <si>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</si>
  <si>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</si>
  <si>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</si>
  <si>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</si>
  <si>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</si>
  <si>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</si>
  <si>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</si>
  <si>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</si>
  <si>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</si>
  <si>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</si>
  <si>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</si>
  <si>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</si>
  <si>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</si>
  <si>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</si>
  <si>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</si>
  <si>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</si>
  <si>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</si>
  <si>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</si>
  <si>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</si>
  <si>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</si>
  <si>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</si>
  <si>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</si>
  <si>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</si>
  <si>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</si>
  <si>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</si>
  <si>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</si>
  <si>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</si>
  <si>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</si>
  <si>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</si>
  <si>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</si>
  <si>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</si>
  <si>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</si>
  <si>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</si>
  <si>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</si>
  <si>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</si>
  <si>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</si>
  <si>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</si>
  <si>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</si>
  <si>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</si>
  <si>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</si>
  <si>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</si>
  <si>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</si>
  <si>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</si>
  <si>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</si>
  <si>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</si>
  <si>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</si>
  <si>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</si>
  <si>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</si>
  <si>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</si>
  <si>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</si>
  <si>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</si>
  <si>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</si>
  <si>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</si>
  <si>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</si>
  <si>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</si>
  <si>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</si>
  <si>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</si>
  <si>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</si>
  <si>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</si>
  <si>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</si>
  <si>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</si>
  <si>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</si>
  <si>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</si>
  <si>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</si>
  <si>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</si>
  <si>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</si>
  <si>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</si>
  <si>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</si>
  <si>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</si>
  <si>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</si>
  <si>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</si>
  <si>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</si>
  <si>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</si>
  <si>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</si>
  <si>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</si>
  <si>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</si>
  <si>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</si>
  <si>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</si>
  <si>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</si>
  <si>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</si>
  <si>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</si>
  <si>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</si>
  <si>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</si>
  <si>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</si>
  <si>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</si>
  <si>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</si>
  <si>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</si>
  <si>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</si>
  <si>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</si>
  <si>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</si>
  <si>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</si>
  <si>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</si>
  <si>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</si>
  <si>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</si>
  <si>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</si>
  <si>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</si>
  <si>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</si>
  <si>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</si>
  <si>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</si>
  <si>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</si>
  <si>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</si>
  <si>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</si>
  <si>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</si>
  <si>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</si>
  <si>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</si>
  <si>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</si>
  <si>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</si>
  <si>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</si>
  <si>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</si>
  <si>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</si>
  <si>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</si>
  <si>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</si>
  <si>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</si>
  <si>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</si>
  <si>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</si>
  <si>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</si>
  <si>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</si>
  <si>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</si>
  <si>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</si>
  <si>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</si>
  <si>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</si>
  <si>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</si>
  <si>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</si>
  <si>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</si>
  <si>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</si>
  <si>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</si>
  <si>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</si>
  <si>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</si>
  <si>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</si>
  <si>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</si>
  <si>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</si>
  <si>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</si>
  <si>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</si>
  <si>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</si>
  <si>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</si>
  <si>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</si>
  <si>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</si>
  <si>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</si>
  <si>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</si>
  <si>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</si>
  <si>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</si>
  <si>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</si>
  <si>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</si>
  <si>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</si>
  <si>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</si>
  <si>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</si>
  <si>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</si>
  <si>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</si>
  <si>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</si>
  <si>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</si>
  <si>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</si>
  <si>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</si>
  <si>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</si>
  <si>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</si>
  <si>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</si>
  <si>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</si>
  <si>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</si>
  <si>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</si>
  <si>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</si>
  <si>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</si>
  <si>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</si>
  <si>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</si>
  <si>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</si>
  <si>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</si>
  <si>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</si>
  <si>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</si>
  <si>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</si>
  <si>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</si>
  <si>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</si>
  <si>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</si>
  <si>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</si>
  <si>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</si>
  <si>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</si>
  <si>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</si>
  <si>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</si>
  <si>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</si>
  <si>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</si>
  <si>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</si>
  <si>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</si>
  <si>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</si>
  <si>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</si>
  <si>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</si>
  <si>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</si>
  <si>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</si>
  <si>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</si>
  <si>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</si>
  <si>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</si>
  <si>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</si>
  <si>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</si>
  <si>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</si>
  <si>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</si>
  <si>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</si>
  <si>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</si>
  <si>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</si>
  <si>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</si>
  <si>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</si>
  <si>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</si>
  <si>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</si>
  <si>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</si>
  <si>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</si>
  <si>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</si>
  <si>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</si>
  <si>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</si>
  <si>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</si>
  <si>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</si>
  <si>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</si>
  <si>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</si>
  <si>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</si>
  <si>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</si>
  <si>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</si>
  <si>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</si>
  <si>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</si>
  <si>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</si>
  <si>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</si>
  <si>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</si>
  <si>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</si>
  <si>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</si>
  <si>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</si>
  <si>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</si>
  <si>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</si>
  <si>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</si>
  <si>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</si>
  <si>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</si>
  <si>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</si>
  <si>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</si>
  <si>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</si>
  <si>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</si>
  <si>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</si>
  <si>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</si>
  <si>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</si>
  <si>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</si>
  <si>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</si>
  <si>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</si>
  <si>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</si>
  <si>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</si>
  <si>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</si>
  <si>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</si>
  <si>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</si>
  <si>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</si>
  <si>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</si>
  <si>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</si>
  <si>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</si>
  <si>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</si>
  <si>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</si>
  <si>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</si>
  <si>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</si>
  <si>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</si>
  <si>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</si>
  <si>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</si>
  <si>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</si>
  <si>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</si>
  <si>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</si>
  <si>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</si>
  <si>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</si>
  <si>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</si>
  <si>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</si>
  <si>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</si>
  <si>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</si>
  <si>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</si>
  <si>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</si>
  <si>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</si>
  <si>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</si>
  <si>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</si>
  <si>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</si>
  <si>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</si>
  <si>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</si>
  <si>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</si>
  <si>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</si>
  <si>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</si>
  <si>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</si>
  <si>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</si>
  <si>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</si>
  <si>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</si>
  <si>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</si>
  <si>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</si>
  <si>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</si>
  <si>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</si>
  <si>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</si>
  <si>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</si>
  <si>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</si>
  <si>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</si>
  <si>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</si>
  <si>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</si>
  <si>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</si>
  <si>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</si>
  <si>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</si>
  <si>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</si>
  <si>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</si>
  <si>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</si>
  <si>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</si>
  <si>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</si>
  <si>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</si>
  <si>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</si>
  <si>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</si>
  <si>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</si>
  <si>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</si>
  <si>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</si>
  <si>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</si>
  <si>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</si>
  <si>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</si>
  <si>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</si>
  <si>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</si>
  <si>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</si>
  <si>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</si>
  <si>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</si>
  <si>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</si>
  <si>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</si>
  <si>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</si>
  <si>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</si>
  <si>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</si>
  <si>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</si>
  <si>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</si>
  <si>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</si>
  <si>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</si>
  <si>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</si>
  <si>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</si>
  <si>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</si>
  <si>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</si>
  <si>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</si>
  <si>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</si>
  <si>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</si>
  <si>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</si>
  <si>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</si>
  <si>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</si>
  <si>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</si>
  <si>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</si>
  <si>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</si>
  <si>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</si>
  <si>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</si>
  <si>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</si>
  <si>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</si>
  <si>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</si>
  <si>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</si>
  <si>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</si>
  <si>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</si>
  <si>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</si>
  <si>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</si>
  <si>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</si>
  <si>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</si>
  <si>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</si>
  <si>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</si>
  <si>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</si>
  <si>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</si>
  <si>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</si>
  <si>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</si>
  <si>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</si>
  <si>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</si>
  <si>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</si>
  <si>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</si>
  <si>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</si>
  <si>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</si>
  <si>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</si>
  <si>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</si>
  <si>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</si>
  <si>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</si>
  <si>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</si>
  <si>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</si>
  <si>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</si>
  <si>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</si>
  <si>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</si>
  <si>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</si>
  <si>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</si>
  <si>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</si>
  <si>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</si>
  <si>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</si>
  <si>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</si>
  <si>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</si>
  <si>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</si>
  <si>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</si>
  <si>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</si>
  <si>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</si>
  <si>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</si>
  <si>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</si>
  <si>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</si>
  <si>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</si>
  <si>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</si>
  <si>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</si>
  <si>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</si>
  <si>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</si>
  <si>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</si>
  <si>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</si>
  <si>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</si>
  <si>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</si>
  <si>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</si>
  <si>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</si>
  <si>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</si>
  <si>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</si>
  <si>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</si>
  <si>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</si>
  <si>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</si>
  <si>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</si>
  <si>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</si>
  <si>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</si>
  <si>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</si>
  <si>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</si>
  <si>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</si>
  <si>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</si>
  <si>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</si>
  <si>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</si>
  <si>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</si>
  <si>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</si>
  <si>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</si>
  <si>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</si>
  <si>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</si>
  <si>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</si>
  <si>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</si>
  <si>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</si>
  <si>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</si>
  <si>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</si>
  <si>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</si>
  <si>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</si>
  <si>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</si>
  <si>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</si>
  <si>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</si>
  <si>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</si>
  <si>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</si>
  <si>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</si>
  <si>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</si>
  <si>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</si>
  <si>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</si>
  <si>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</si>
  <si>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</si>
  <si>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</si>
  <si>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</si>
  <si>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</si>
  <si>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</si>
  <si>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</si>
  <si>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</si>
  <si>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</si>
  <si>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</si>
  <si>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</si>
  <si>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</si>
  <si>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</si>
  <si>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</si>
  <si>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</si>
  <si>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</si>
  <si>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</si>
  <si>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</si>
  <si>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</si>
  <si>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</si>
  <si>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</si>
  <si>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</si>
  <si>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</si>
  <si>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</si>
  <si>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</si>
  <si>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</si>
  <si>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</si>
  <si>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</si>
  <si>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</si>
  <si>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</si>
  <si>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</si>
  <si>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</si>
  <si>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</si>
  <si>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</si>
  <si>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</si>
  <si>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</si>
  <si>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</si>
  <si>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</si>
  <si>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</si>
  <si>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</si>
  <si>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</si>
  <si>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</si>
  <si>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</si>
  <si>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</si>
  <si>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</si>
  <si>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</si>
  <si>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</si>
  <si>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</si>
  <si>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</si>
  <si>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</si>
  <si>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</si>
  <si>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</si>
  <si>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</si>
  <si>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</si>
  <si>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</si>
  <si>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</si>
  <si>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</si>
  <si>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</si>
  <si>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</si>
  <si>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</si>
  <si>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</si>
  <si>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</si>
  <si>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</si>
  <si>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</si>
  <si>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</si>
  <si>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</si>
  <si>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</si>
  <si>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</si>
  <si>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</si>
  <si>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</si>
  <si>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</si>
  <si>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</si>
  <si>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</si>
  <si>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</si>
  <si>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</si>
  <si>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</si>
  <si>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</si>
  <si>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</si>
  <si>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</si>
  <si>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</si>
  <si>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</si>
  <si>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</si>
  <si>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</si>
  <si>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</si>
  <si>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</si>
  <si>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</si>
  <si>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</si>
  <si>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</si>
  <si>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</si>
  <si>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</si>
  <si>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</si>
  <si>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</si>
  <si>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</si>
  <si>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</si>
  <si>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</si>
  <si>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</si>
  <si>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</si>
  <si>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</si>
  <si>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</si>
  <si>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</si>
  <si>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</si>
  <si>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</si>
  <si>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</si>
  <si>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</si>
  <si>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</si>
  <si>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</si>
  <si>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</si>
  <si>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</si>
  <si>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</si>
  <si>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</si>
  <si>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</si>
  <si>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</si>
  <si>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</si>
  <si>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</si>
  <si>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</si>
  <si>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</si>
  <si>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</si>
  <si>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</si>
  <si>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</si>
  <si>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</si>
  <si>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</si>
  <si>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</si>
  <si>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</si>
  <si>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</si>
  <si>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</si>
  <si>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</si>
  <si>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</si>
  <si>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</si>
  <si>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</si>
  <si>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</si>
  <si>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</si>
  <si>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</si>
  <si>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</si>
  <si>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</si>
  <si>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</si>
  <si>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</si>
  <si>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</si>
  <si>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</si>
  <si>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</si>
  <si>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</si>
  <si>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</si>
  <si>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</si>
  <si>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</si>
  <si>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</si>
  <si>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</si>
  <si>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</si>
  <si>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</si>
  <si>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</si>
  <si>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</si>
  <si>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</si>
  <si>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</si>
  <si>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</si>
  <si>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</si>
  <si>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</si>
  <si>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</si>
  <si>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</si>
  <si>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</si>
  <si>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</si>
  <si>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</si>
  <si>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</si>
  <si>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</si>
  <si>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</si>
  <si>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</si>
  <si>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</si>
  <si>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</si>
  <si>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</si>
  <si>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</si>
  <si>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</si>
  <si>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</si>
  <si>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</si>
  <si>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</si>
  <si>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</si>
  <si>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</si>
  <si>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</si>
  <si>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</si>
  <si>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</si>
  <si>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</si>
  <si>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</si>
  <si>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</si>
  <si>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</si>
  <si>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</si>
  <si>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</si>
  <si>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</si>
  <si>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</si>
  <si>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</si>
  <si>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</si>
  <si>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</si>
  <si>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</si>
  <si>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</si>
  <si>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</si>
  <si>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</si>
  <si>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</si>
  <si>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</si>
  <si>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</si>
  <si>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</si>
  <si>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</si>
  <si>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</si>
  <si>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</si>
  <si>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</si>
  <si>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</si>
  <si>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</si>
  <si>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</si>
  <si>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</si>
  <si>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</si>
  <si>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</si>
  <si>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</si>
  <si>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</si>
  <si>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</si>
  <si>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</si>
  <si>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</si>
  <si>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</si>
  <si>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</si>
  <si>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</si>
  <si>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</si>
  <si>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</si>
  <si>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</si>
  <si>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</si>
  <si>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</si>
  <si>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</si>
  <si>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</si>
  <si>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</si>
  <si>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</si>
  <si>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</si>
  <si>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</si>
  <si>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</si>
  <si>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</si>
  <si>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</si>
  <si>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</si>
  <si>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</si>
  <si>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</si>
  <si>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</si>
  <si>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</si>
  <si>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</si>
  <si>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</si>
  <si>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</si>
  <si>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</si>
  <si>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</si>
  <si>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</si>
  <si>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</si>
  <si>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</si>
  <si>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</si>
  <si>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</si>
  <si>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</si>
  <si>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</si>
  <si>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</si>
  <si>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</si>
  <si>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</si>
  <si>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</si>
  <si>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</si>
  <si>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</si>
  <si>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</si>
  <si>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</si>
  <si>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</si>
  <si>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</si>
  <si>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</si>
  <si>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</si>
  <si>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</si>
  <si>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</si>
  <si>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</si>
  <si>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</si>
  <si>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</si>
  <si>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</si>
  <si>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</si>
  <si>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</si>
  <si>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</si>
  <si>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</si>
  <si>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</si>
  <si>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</si>
  <si>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</si>
  <si>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</si>
  <si>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</si>
  <si>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</si>
  <si>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</si>
  <si>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</si>
  <si>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</si>
  <si>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</si>
  <si>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</si>
  <si>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</si>
  <si>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</si>
  <si>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</si>
  <si>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</si>
  <si>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</si>
  <si>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</si>
  <si>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</si>
  <si>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</si>
  <si>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</si>
  <si>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</si>
  <si>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</si>
  <si>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</si>
  <si>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</si>
  <si>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</si>
  <si>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</si>
  <si>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</si>
  <si>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</si>
  <si>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</si>
  <si>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</si>
  <si>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</si>
  <si>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</si>
  <si>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</si>
  <si>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</si>
  <si>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</si>
  <si>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</si>
  <si>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</si>
  <si>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</si>
  <si>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</si>
  <si>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</si>
  <si>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</si>
  <si>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</si>
  <si>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</si>
  <si>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</si>
  <si>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</si>
  <si>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</si>
  <si>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</si>
  <si>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</si>
  <si>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</si>
  <si>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</si>
  <si>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</si>
  <si>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</si>
  <si>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</si>
  <si>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</si>
  <si>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</si>
  <si>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</si>
  <si>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</si>
  <si>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</si>
  <si>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</si>
  <si>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</si>
  <si>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</si>
  <si>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</si>
  <si>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</si>
  <si>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</si>
  <si>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</si>
  <si>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</si>
  <si>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</si>
  <si>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</si>
  <si>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</si>
  <si>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</si>
  <si>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</si>
  <si>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</si>
  <si>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</si>
  <si>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</si>
  <si>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</si>
  <si>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</si>
  <si>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</si>
  <si>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</si>
  <si>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</si>
  <si>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</si>
  <si>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</si>
  <si>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</si>
  <si>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</si>
  <si>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</si>
  <si>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</si>
  <si>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</si>
  <si>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</si>
  <si>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</si>
  <si>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</si>
  <si>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</si>
  <si>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</si>
  <si>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</si>
  <si>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</si>
  <si>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</si>
  <si>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</si>
  <si>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</si>
  <si>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</si>
  <si>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</si>
  <si>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</si>
  <si>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</si>
  <si>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</si>
  <si>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</si>
  <si>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</si>
  <si>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</si>
  <si>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</si>
  <si>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</si>
  <si>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</si>
  <si>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</si>
  <si>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</si>
  <si>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</si>
  <si>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</si>
  <si>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</si>
  <si>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</si>
  <si>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</si>
  <si>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</si>
  <si>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</si>
  <si>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</si>
  <si>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</si>
  <si>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</si>
  <si>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</si>
  <si>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</si>
  <si>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</si>
  <si>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</si>
  <si>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</si>
  <si>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</si>
  <si>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</si>
  <si>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</si>
  <si>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</si>
  <si>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</si>
  <si>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</si>
  <si>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</si>
  <si>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</si>
  <si>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</si>
  <si>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</si>
  <si>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</si>
  <si>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</si>
  <si>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</si>
  <si>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</si>
  <si>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</si>
  <si>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</si>
  <si>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</si>
  <si>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</si>
  <si>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</si>
  <si>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</si>
  <si>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</si>
  <si>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</si>
  <si>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</si>
  <si>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</si>
  <si>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</si>
  <si>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</si>
  <si>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</si>
  <si>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</si>
  <si>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</si>
  <si>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</si>
  <si>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</si>
  <si>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</si>
  <si>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</si>
  <si>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</si>
  <si>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</si>
  <si>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</si>
  <si>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</si>
  <si>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</si>
  <si>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</si>
  <si>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</si>
  <si>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</si>
  <si>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</si>
  <si>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</si>
  <si>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</si>
  <si>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</si>
  <si>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</si>
  <si>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</si>
  <si>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</si>
  <si>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</si>
  <si>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</si>
  <si>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</si>
  <si>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</si>
  <si>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</si>
  <si>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</si>
  <si>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</si>
  <si>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</si>
  <si>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</si>
  <si>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</si>
  <si>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</si>
  <si>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</si>
  <si>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</si>
  <si>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</si>
  <si>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</si>
  <si>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</si>
  <si>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</si>
  <si>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</si>
  <si>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</si>
  <si>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</si>
  <si>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</si>
  <si>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</si>
  <si>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</si>
  <si>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</si>
  <si>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</si>
  <si>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</si>
  <si>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</si>
  <si>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</si>
  <si>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</si>
  <si>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</si>
  <si>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</si>
  <si>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</si>
  <si>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</si>
  <si>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</si>
  <si>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</si>
  <si>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</si>
  <si>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</si>
  <si>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</si>
  <si>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</si>
  <si>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</si>
  <si>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</si>
  <si>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</si>
  <si>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</si>
  <si>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</si>
  <si>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</si>
  <si>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</si>
  <si>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</si>
  <si>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</si>
  <si>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</si>
  <si>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</si>
  <si>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</si>
  <si>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</si>
  <si>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</si>
  <si>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</si>
  <si>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</si>
  <si>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</si>
  <si>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</si>
  <si>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</si>
  <si>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</si>
  <si>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</si>
  <si>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</si>
  <si>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</si>
  <si>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</si>
  <si>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</si>
  <si>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</si>
  <si>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</si>
  <si>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</si>
  <si>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</si>
  <si>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</si>
  <si>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</si>
  <si>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</si>
  <si>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</si>
  <si>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</si>
  <si>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</si>
  <si>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</si>
  <si>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</si>
  <si>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</si>
  <si>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</si>
  <si>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</si>
  <si>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</si>
  <si>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</si>
  <si>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</si>
  <si>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</si>
  <si>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</si>
  <si>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</si>
  <si>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</si>
  <si>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</si>
  <si>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</si>
  <si>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</si>
  <si>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</si>
  <si>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</si>
  <si>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</si>
  <si>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</si>
  <si>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</si>
  <si>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</si>
  <si>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</si>
  <si>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</si>
  <si>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</si>
  <si>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</si>
  <si>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</si>
  <si>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</si>
  <si>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</si>
  <si>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</si>
  <si>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</si>
  <si>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</si>
  <si>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</si>
  <si>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</si>
  <si>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</si>
  <si>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</si>
  <si>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</si>
  <si>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</si>
  <si>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</si>
  <si>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</si>
  <si>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</si>
  <si>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</si>
  <si>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</si>
  <si>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</si>
  <si>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</si>
  <si>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</si>
  <si>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</si>
  <si>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</si>
  <si>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</si>
  <si>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</si>
  <si>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</si>
  <si>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</si>
  <si>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</si>
  <si>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</si>
  <si>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</si>
  <si>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</si>
  <si>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</si>
  <si>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</si>
  <si>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</si>
  <si>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</si>
  <si>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</si>
  <si>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</si>
  <si>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</si>
  <si>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</si>
  <si>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</si>
  <si>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</si>
  <si>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</si>
  <si>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</si>
  <si>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</si>
  <si>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</si>
  <si>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</si>
  <si>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</si>
  <si>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</si>
  <si>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</si>
  <si>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</si>
  <si>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</si>
  <si>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</si>
  <si>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</si>
  <si>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</si>
  <si>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</si>
  <si>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</si>
  <si>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</si>
  <si>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</si>
  <si>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</si>
  <si>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</si>
  <si>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</si>
  <si>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</si>
  <si>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</si>
  <si>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</si>
  <si>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</si>
  <si>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</si>
  <si>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</si>
  <si>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</si>
  <si>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</si>
  <si>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</si>
  <si>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</si>
  <si>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</si>
  <si>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</si>
  <si>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</si>
  <si>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</si>
  <si>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</si>
  <si>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</si>
  <si>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</si>
  <si>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</si>
  <si>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</si>
  <si>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</si>
  <si>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</si>
  <si>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</si>
  <si>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</si>
  <si>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</si>
  <si>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</si>
  <si>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</si>
  <si>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</si>
  <si>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</si>
  <si>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</si>
  <si>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</si>
  <si>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</si>
  <si>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</si>
  <si>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</si>
  <si>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</si>
  <si>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</si>
  <si>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</si>
  <si>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</si>
  <si>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</si>
  <si>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</si>
  <si>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</si>
  <si>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</si>
  <si>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</si>
  <si>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</si>
  <si>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</si>
  <si>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</si>
  <si>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</si>
  <si>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</si>
  <si>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</si>
  <si>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</si>
  <si>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</si>
  <si>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</si>
  <si>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</si>
  <si>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</si>
  <si>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</si>
  <si>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</si>
  <si>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</si>
  <si>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</si>
  <si>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</si>
  <si>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</si>
  <si>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</si>
  <si>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</si>
  <si>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</si>
  <si>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</si>
  <si>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</si>
  <si>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</si>
  <si>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</si>
  <si>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</si>
  <si>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</si>
  <si>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</si>
  <si>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</si>
  <si>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</si>
  <si>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</si>
  <si>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</si>
  <si>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</si>
  <si>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</si>
  <si>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</si>
  <si>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</si>
  <si>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</si>
  <si>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</si>
  <si>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</si>
  <si>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</si>
  <si>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</si>
  <si>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</si>
  <si>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</si>
  <si>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</si>
  <si>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</si>
  <si>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</si>
  <si>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</si>
  <si>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</si>
  <si>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</si>
  <si>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</si>
  <si>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</si>
  <si>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</si>
  <si>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</si>
  <si>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</si>
  <si>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</si>
  <si>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</si>
  <si>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</si>
  <si>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</si>
  <si>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</si>
  <si>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</si>
  <si>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</si>
  <si>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</si>
  <si>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</si>
  <si>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</si>
  <si>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</si>
  <si>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</si>
  <si>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</si>
  <si>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</si>
  <si>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</si>
  <si>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</si>
  <si>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</si>
  <si>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</si>
  <si>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</si>
  <si>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</si>
  <si>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</si>
  <si>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</si>
  <si>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</si>
  <si>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</si>
  <si>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</si>
  <si>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</si>
  <si>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</si>
  <si>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</si>
  <si>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</si>
  <si>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</si>
  <si>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</si>
  <si>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</si>
  <si>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</si>
  <si>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</si>
  <si>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</si>
  <si>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</si>
  <si>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</si>
  <si>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</si>
  <si>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</si>
  <si>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</si>
  <si>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</si>
  <si>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</si>
  <si>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</si>
  <si>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</si>
  <si>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</si>
  <si>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</si>
  <si>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</si>
  <si>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</si>
  <si>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</si>
  <si>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</si>
  <si>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</si>
  <si>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</si>
  <si>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</si>
  <si>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</si>
  <si>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</si>
  <si>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</si>
  <si>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</si>
  <si>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</si>
  <si>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</si>
  <si>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</si>
  <si>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</si>
  <si>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</si>
  <si>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</si>
  <si>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</si>
  <si>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</si>
  <si>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</si>
  <si>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</si>
  <si>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</si>
  <si>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</si>
  <si>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</si>
  <si>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</si>
  <si>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</si>
  <si>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</si>
  <si>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</si>
  <si>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</si>
  <si>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</si>
  <si>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</si>
  <si>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</si>
  <si>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</si>
  <si>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</si>
  <si>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</si>
  <si>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</si>
  <si>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</si>
  <si>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</si>
  <si>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</si>
  <si>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</si>
  <si>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</si>
  <si>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</si>
  <si>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</si>
  <si>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</si>
  <si>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</si>
  <si>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</si>
  <si>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</si>
  <si>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</si>
  <si>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</si>
  <si>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</si>
  <si>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</si>
  <si>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</si>
  <si>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</si>
  <si>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</si>
  <si>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</si>
  <si>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</si>
  <si>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</si>
  <si>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</si>
  <si>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</si>
  <si>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</si>
  <si>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</si>
  <si>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</si>
  <si>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</si>
  <si>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</si>
  <si>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</si>
  <si>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</si>
  <si>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</si>
  <si>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</si>
  <si>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</si>
  <si>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</si>
  <si>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</si>
  <si>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</si>
  <si>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</si>
  <si>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</si>
  <si>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</si>
  <si>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</si>
  <si>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</si>
  <si>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</si>
  <si>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</si>
  <si>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</si>
  <si>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</si>
  <si>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</si>
  <si>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</si>
  <si>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</si>
  <si>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</si>
  <si>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</si>
  <si>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</si>
  <si>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</si>
  <si>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</si>
  <si>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</si>
  <si>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</si>
  <si>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</si>
  <si>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</si>
  <si>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</si>
  <si>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</si>
  <si>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</si>
  <si>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</si>
  <si>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</si>
  <si>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</si>
  <si>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</si>
  <si>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</si>
  <si>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</si>
  <si>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</si>
  <si>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</si>
  <si>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</si>
  <si>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</si>
  <si>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</si>
  <si>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</si>
  <si>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</si>
  <si>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</si>
  <si>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</si>
  <si>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</si>
  <si>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</si>
  <si>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</si>
  <si>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</si>
  <si>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</si>
  <si>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</si>
  <si>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</si>
  <si>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</si>
  <si>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</si>
  <si>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</si>
  <si>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</si>
  <si>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</si>
  <si>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</si>
  <si>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</si>
  <si>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</si>
  <si>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</si>
  <si>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</si>
  <si>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</si>
  <si>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</si>
  <si>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</si>
  <si>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</si>
  <si>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</si>
  <si>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</si>
  <si>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</si>
  <si>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</si>
  <si>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</si>
  <si>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</si>
  <si>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</si>
  <si>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</si>
  <si>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</si>
  <si>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</si>
  <si>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</si>
  <si>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</si>
  <si>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</si>
  <si>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</si>
  <si>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</si>
  <si>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</si>
  <si>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</si>
  <si>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</si>
  <si>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</si>
  <si>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</si>
  <si>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</si>
  <si>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</si>
  <si>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</si>
  <si>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</si>
  <si>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</si>
  <si>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</si>
  <si>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</si>
  <si>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No major surgery</t>
  </si>
  <si>
    <t>yes</t>
  </si>
  <si>
    <t>Yes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</si>
  <si>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</si>
  <si>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</si>
  <si>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</si>
  <si>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</si>
  <si>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</si>
  <si>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</si>
  <si>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</si>
  <si>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</si>
  <si>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</si>
  <si>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</si>
  <si>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</si>
  <si>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</si>
  <si>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</si>
  <si>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</si>
  <si>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</si>
  <si>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</si>
  <si>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</si>
  <si>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</si>
  <si>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</si>
  <si>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</si>
  <si>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</si>
  <si>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</si>
  <si>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</si>
  <si>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</si>
  <si>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</si>
  <si>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</si>
  <si>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</si>
  <si>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</si>
  <si>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</si>
  <si>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</si>
  <si>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</si>
  <si>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</si>
  <si>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</si>
  <si>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</si>
  <si>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</si>
  <si>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</si>
  <si>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</si>
  <si>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</si>
  <si>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</si>
  <si>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</si>
  <si>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</si>
  <si>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</si>
  <si>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</si>
  <si>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</si>
  <si>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</si>
  <si>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</si>
  <si>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</si>
  <si>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</si>
  <si>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</si>
  <si>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</si>
  <si>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</si>
  <si>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</si>
  <si>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</si>
  <si>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</si>
  <si>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</si>
  <si>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</si>
  <si>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</si>
  <si>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</si>
  <si>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</si>
  <si>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</si>
  <si>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</si>
  <si>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</si>
  <si>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</si>
  <si>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</si>
  <si>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</si>
  <si>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</si>
  <si>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</si>
  <si>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</si>
  <si>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</si>
  <si>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</si>
  <si>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</si>
  <si>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</si>
  <si>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</si>
  <si>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</si>
  <si>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</si>
  <si>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</si>
  <si>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</si>
  <si>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</si>
  <si>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</si>
  <si>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</si>
  <si>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</si>
  <si>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</si>
  <si>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</si>
  <si>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</si>
  <si>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</si>
  <si>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</si>
  <si>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</si>
  <si>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</si>
  <si>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</si>
  <si>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</si>
  <si>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</si>
  <si>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</si>
  <si>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</si>
  <si>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</si>
  <si>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</si>
  <si>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</si>
  <si>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</si>
  <si>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</si>
  <si>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</si>
  <si>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</si>
  <si>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</si>
  <si>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</si>
  <si>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</si>
  <si>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</si>
  <si>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</si>
  <si>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</si>
  <si>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</si>
  <si>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</si>
  <si>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</si>
  <si>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</si>
  <si>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</si>
  <si>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</si>
  <si>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</si>
  <si>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</si>
  <si>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</si>
  <si>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</si>
  <si>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</si>
  <si>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</si>
  <si>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</si>
  <si>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</si>
  <si>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</si>
  <si>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</si>
  <si>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</si>
  <si>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</si>
  <si>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</si>
  <si>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</si>
  <si>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</si>
  <si>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</si>
  <si>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</si>
  <si>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</si>
  <si>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</si>
  <si>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</si>
  <si>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</si>
  <si>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</si>
  <si>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</si>
  <si>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</si>
  <si>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</si>
  <si>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</si>
  <si>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</si>
  <si>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</si>
  <si>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</si>
  <si>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</si>
  <si>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</si>
  <si>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</si>
  <si>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</si>
  <si>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</si>
  <si>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</si>
  <si>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</si>
  <si>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</si>
  <si>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</si>
  <si>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</si>
  <si>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</si>
  <si>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</si>
  <si>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</si>
  <si>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</si>
  <si>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</si>
  <si>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</si>
  <si>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</si>
  <si>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</si>
  <si>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</si>
  <si>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</si>
  <si>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</si>
  <si>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</si>
  <si>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</si>
  <si>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</si>
  <si>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</si>
  <si>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</si>
  <si>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</si>
  <si>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</si>
  <si>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</si>
  <si>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</si>
  <si>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</si>
  <si>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</si>
  <si>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</si>
  <si>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</si>
  <si>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</si>
  <si>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</si>
  <si>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</si>
  <si>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</si>
  <si>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</si>
  <si>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</si>
  <si>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</si>
  <si>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</si>
  <si>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</si>
  <si>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</si>
  <si>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</si>
  <si>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</si>
  <si>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</si>
  <si>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</si>
  <si>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</si>
  <si>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</si>
  <si>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</si>
  <si>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</si>
  <si>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</si>
  <si>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</si>
  <si>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</si>
  <si>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</si>
  <si>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</si>
  <si>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</si>
  <si>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</si>
  <si>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</si>
  <si>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</si>
  <si>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</si>
  <si>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</si>
  <si>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</si>
  <si>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</si>
  <si>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</si>
  <si>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</si>
  <si>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</si>
  <si>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</si>
  <si>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</si>
  <si>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</si>
  <si>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</si>
  <si>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</si>
  <si>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</si>
  <si>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</si>
  <si>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</si>
  <si>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</si>
  <si>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</si>
  <si>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</si>
  <si>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</si>
  <si>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</si>
  <si>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</si>
  <si>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</si>
  <si>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</si>
  <si>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</si>
  <si>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</si>
  <si>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</si>
  <si>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</si>
  <si>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</si>
  <si>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</si>
  <si>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</si>
  <si>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</si>
  <si>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</si>
  <si>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</si>
  <si>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</si>
  <si>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</si>
  <si>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</si>
  <si>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</si>
  <si>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</si>
  <si>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</si>
  <si>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</si>
  <si>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</si>
  <si>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</si>
  <si>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</si>
  <si>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</si>
  <si>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</si>
  <si>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</si>
  <si>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</si>
  <si>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</si>
  <si>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</si>
  <si>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</si>
  <si>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</si>
  <si>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</si>
  <si>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</si>
  <si>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</si>
  <si>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</si>
  <si>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</si>
  <si>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</si>
  <si>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</si>
  <si>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</si>
  <si>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</si>
  <si>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</si>
  <si>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</si>
  <si>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</si>
  <si>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</si>
  <si>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</si>
  <si>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</si>
  <si>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</si>
  <si>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</si>
  <si>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</si>
  <si>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</si>
  <si>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</si>
  <si>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</si>
  <si>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</si>
  <si>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</si>
  <si>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</si>
  <si>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</si>
  <si>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</si>
  <si>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</si>
  <si>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</si>
  <si>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</si>
  <si>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</si>
  <si>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</si>
  <si>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</si>
  <si>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</si>
  <si>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</si>
  <si>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</si>
  <si>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</si>
  <si>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</si>
  <si>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</si>
  <si>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</si>
  <si>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</si>
  <si>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</si>
  <si>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</si>
  <si>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</si>
  <si>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</si>
  <si>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</si>
  <si>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</si>
  <si>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</si>
  <si>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</si>
  <si>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</si>
  <si>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</si>
  <si>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</si>
  <si>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</si>
  <si>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</si>
  <si>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</si>
  <si>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</si>
  <si>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</si>
  <si>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</si>
  <si>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</si>
  <si>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</si>
  <si>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</si>
  <si>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</si>
  <si>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</si>
  <si>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</si>
  <si>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</si>
  <si>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</si>
  <si>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</si>
  <si>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</si>
  <si>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</si>
  <si>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</si>
  <si>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</si>
  <si>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</si>
  <si>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</si>
  <si>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</si>
  <si>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</si>
  <si>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</si>
  <si>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</si>
  <si>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</si>
  <si>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</si>
  <si>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</si>
  <si>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</si>
  <si>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</si>
  <si>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</si>
  <si>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</si>
  <si>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</si>
  <si>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</si>
  <si>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</si>
  <si>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</si>
  <si>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</si>
  <si>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</si>
  <si>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</si>
  <si>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</si>
  <si>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</si>
  <si>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</si>
  <si>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</si>
  <si>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</si>
  <si>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</si>
  <si>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</si>
  <si>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</si>
  <si>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</si>
  <si>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</si>
  <si>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</si>
  <si>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</si>
  <si>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</si>
  <si>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</si>
  <si>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</si>
  <si>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</si>
  <si>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</si>
  <si>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</si>
  <si>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</si>
  <si>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</si>
  <si>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</si>
  <si>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</si>
  <si>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</si>
  <si>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</si>
  <si>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</si>
  <si>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</si>
  <si>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</si>
  <si>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</si>
  <si>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</si>
  <si>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</si>
  <si>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</si>
  <si>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</si>
  <si>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</si>
  <si>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</si>
  <si>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</si>
  <si>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</si>
  <si>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</si>
  <si>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</si>
  <si>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</si>
  <si>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</si>
  <si>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</si>
  <si>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</si>
  <si>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</si>
  <si>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</si>
  <si>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</si>
  <si>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</si>
  <si>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</si>
  <si>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</si>
  <si>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</si>
  <si>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</si>
  <si>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</si>
  <si>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</si>
  <si>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</si>
  <si>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</si>
  <si>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</si>
  <si>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</si>
  <si>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</si>
  <si>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</si>
  <si>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</si>
  <si>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</si>
  <si>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</si>
  <si>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</si>
  <si>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</si>
  <si>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</si>
  <si>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</si>
  <si>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</si>
  <si>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</si>
  <si>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</si>
  <si>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</si>
  <si>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</si>
  <si>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</si>
  <si>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</si>
  <si>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</si>
  <si>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</si>
  <si>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</si>
  <si>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</si>
  <si>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</si>
  <si>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</si>
  <si>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</si>
  <si>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</si>
  <si>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</si>
  <si>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</si>
  <si>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</si>
  <si>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</si>
  <si>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</si>
  <si>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</si>
  <si>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</si>
  <si>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</si>
  <si>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</si>
  <si>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</si>
  <si>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</si>
  <si>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</si>
  <si>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</si>
  <si>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</si>
  <si>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</si>
  <si>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</si>
  <si>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</si>
  <si>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</si>
  <si>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</si>
  <si>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</si>
  <si>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</si>
  <si>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</si>
  <si>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</si>
  <si>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</si>
  <si>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</si>
  <si>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</si>
  <si>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</si>
  <si>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</si>
  <si>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</si>
  <si>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</si>
  <si>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</si>
  <si>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</si>
  <si>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</si>
  <si>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</si>
  <si>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</si>
  <si>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</si>
  <si>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</si>
  <si>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</si>
  <si>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</si>
  <si>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</si>
  <si>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</si>
  <si>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</si>
  <si>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</si>
  <si>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</si>
  <si>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</si>
  <si>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</si>
  <si>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</si>
  <si>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</si>
  <si>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</si>
  <si>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</si>
  <si>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</si>
  <si>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</si>
  <si>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</si>
  <si>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</si>
  <si>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</si>
  <si>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</si>
  <si>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</si>
  <si>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</si>
  <si>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</si>
  <si>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</si>
  <si>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</si>
  <si>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</si>
  <si>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</si>
  <si>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</si>
  <si>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</si>
  <si>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</si>
  <si>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</si>
  <si>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</si>
  <si>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</si>
  <si>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</si>
  <si>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</si>
  <si>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</si>
  <si>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</si>
  <si>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</si>
  <si>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</si>
  <si>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</si>
  <si>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</si>
  <si>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</si>
  <si>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</si>
  <si>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</si>
  <si>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</si>
  <si>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</si>
  <si>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</si>
  <si>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</si>
  <si>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</si>
  <si>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</si>
  <si>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</si>
  <si>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</si>
  <si>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</si>
  <si>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</si>
  <si>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</si>
  <si>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</si>
  <si>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</si>
  <si>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</si>
  <si>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</si>
  <si>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</si>
  <si>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</si>
  <si>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</si>
  <si>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</si>
  <si>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</si>
  <si>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</si>
  <si>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</si>
  <si>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</si>
  <si>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</si>
  <si>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</si>
  <si>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</si>
  <si>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</si>
  <si>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</si>
  <si>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</si>
  <si>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</si>
  <si>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</si>
  <si>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</si>
  <si>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</si>
  <si>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</si>
  <si>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</si>
  <si>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</si>
  <si>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</si>
  <si>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</si>
  <si>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</si>
  <si>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</si>
  <si>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</si>
  <si>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</si>
  <si>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</si>
  <si>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</si>
  <si>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</si>
  <si>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</si>
  <si>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</si>
  <si>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</si>
  <si>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</si>
  <si>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</si>
  <si>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</si>
  <si>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</si>
  <si>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</si>
  <si>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</si>
  <si>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</si>
  <si>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</si>
  <si>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</si>
  <si>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</si>
  <si>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</si>
  <si>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</si>
  <si>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</si>
  <si>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</si>
  <si>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</si>
  <si>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</si>
  <si>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</si>
  <si>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</si>
  <si>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</si>
  <si>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</si>
  <si>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</si>
  <si>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</si>
  <si>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</si>
  <si>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</si>
  <si>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</si>
  <si>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</si>
  <si>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</si>
  <si>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</si>
  <si>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</si>
  <si>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</si>
  <si>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</si>
  <si>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</si>
  <si>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</si>
  <si>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</si>
  <si>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</si>
  <si>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</si>
  <si>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</si>
  <si>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</si>
  <si>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</si>
  <si>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</si>
  <si>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</si>
  <si>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</si>
  <si>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</si>
  <si>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</si>
  <si>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</si>
  <si>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</si>
  <si>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</si>
  <si>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</si>
  <si>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</si>
  <si>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</si>
  <si>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</si>
  <si>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</si>
  <si>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</si>
  <si>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</si>
  <si>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</si>
  <si>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</si>
  <si>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</si>
  <si>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</si>
  <si>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</si>
  <si>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</si>
  <si>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</si>
  <si>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</si>
  <si>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</si>
  <si>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</si>
  <si>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</si>
  <si>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</si>
  <si>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</si>
  <si>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</si>
  <si>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</si>
  <si>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</si>
  <si>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</si>
  <si>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</si>
  <si>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</si>
  <si>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</si>
  <si>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</si>
  <si>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</si>
  <si>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</si>
  <si>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</si>
  <si>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</si>
  <si>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</si>
  <si>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</si>
  <si>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</si>
  <si>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</si>
  <si>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</si>
  <si>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</si>
  <si>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</si>
  <si>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</si>
  <si>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</si>
  <si>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</si>
  <si>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</si>
  <si>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</si>
  <si>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</si>
  <si>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</si>
  <si>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</si>
  <si>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</si>
  <si>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</si>
  <si>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</si>
  <si>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</si>
  <si>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</si>
  <si>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</si>
  <si>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</si>
  <si>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</si>
  <si>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</si>
  <si>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</si>
  <si>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</si>
  <si>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</si>
  <si>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</si>
  <si>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</si>
  <si>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</si>
  <si>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</si>
  <si>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</si>
  <si>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</si>
  <si>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</si>
  <si>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</si>
  <si>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</si>
  <si>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</si>
  <si>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</si>
  <si>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</si>
  <si>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</si>
  <si>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</si>
  <si>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</si>
  <si>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</si>
  <si>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</si>
  <si>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</si>
  <si>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</si>
  <si>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</si>
  <si>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</si>
  <si>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</si>
  <si>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</si>
  <si>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</si>
  <si>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</si>
  <si>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</si>
  <si>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</si>
  <si>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</si>
  <si>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</si>
  <si>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</si>
  <si>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</si>
  <si>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</si>
  <si>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</si>
  <si>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</si>
  <si>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</si>
  <si>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</si>
  <si>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</si>
  <si>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</si>
  <si>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</si>
  <si>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</si>
  <si>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</si>
  <si>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</si>
  <si>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</si>
  <si>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</si>
  <si>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</si>
  <si>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</si>
  <si>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</si>
  <si>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</si>
  <si>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</si>
  <si>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</si>
  <si>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</si>
  <si>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</si>
  <si>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</si>
  <si>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</si>
  <si>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</si>
  <si>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</si>
  <si>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</si>
  <si>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</si>
  <si>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</si>
  <si>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</si>
  <si>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</si>
  <si>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</si>
  <si>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</si>
  <si>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</si>
  <si>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</si>
  <si>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</si>
  <si>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</si>
  <si>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</si>
  <si>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</si>
  <si>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</si>
  <si>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</si>
  <si>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</si>
  <si>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</si>
  <si>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</si>
  <si>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</si>
  <si>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</si>
  <si>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</si>
  <si>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</si>
  <si>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</si>
  <si>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</si>
  <si>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</si>
  <si>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</si>
  <si>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</si>
  <si>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</si>
  <si>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</si>
  <si>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</si>
  <si>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</si>
  <si>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</si>
  <si>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</si>
  <si>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</si>
  <si>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</si>
  <si>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</si>
  <si>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</si>
  <si>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</si>
  <si>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</si>
  <si>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</si>
  <si>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</si>
  <si>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</si>
  <si>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</si>
  <si>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</si>
  <si>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</si>
  <si>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</si>
  <si>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</si>
  <si>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</si>
  <si>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</si>
  <si>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</si>
  <si>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</si>
  <si>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</si>
  <si>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</si>
  <si>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</si>
  <si>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</si>
  <si>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</si>
  <si>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</si>
  <si>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</si>
  <si>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</si>
  <si>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</si>
  <si>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</si>
  <si>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</si>
  <si>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</si>
  <si>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</si>
  <si>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</si>
  <si>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</si>
  <si>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</si>
  <si>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</si>
  <si>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</si>
  <si>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</si>
  <si>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</si>
  <si>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</si>
  <si>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</si>
  <si>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</si>
  <si>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</si>
  <si>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</si>
  <si>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</si>
  <si>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</si>
  <si>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</si>
  <si>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</si>
  <si>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</si>
  <si>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</si>
  <si>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</si>
  <si>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</si>
  <si>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</si>
  <si>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</si>
  <si>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</si>
  <si>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</si>
  <si>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</si>
  <si>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</si>
  <si>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</si>
  <si>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</si>
  <si>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</si>
  <si>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</si>
  <si>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</si>
  <si>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</si>
  <si>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</si>
  <si>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</si>
  <si>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</si>
  <si>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</si>
  <si>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</si>
  <si>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</si>
  <si>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</si>
  <si>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</si>
  <si>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</si>
  <si>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</si>
  <si>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</si>
  <si>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</si>
  <si>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</si>
  <si>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</si>
  <si>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</si>
  <si>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</si>
  <si>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</si>
  <si>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</si>
  <si>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</si>
  <si>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</si>
  <si>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</si>
  <si>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</si>
  <si>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</si>
  <si>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</si>
  <si>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</si>
  <si>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</si>
  <si>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</si>
  <si>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</si>
  <si>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</si>
  <si>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</si>
  <si>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</si>
  <si>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</si>
  <si>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</si>
  <si>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</si>
  <si>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</si>
  <si>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</si>
  <si>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</si>
  <si>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</si>
  <si>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</si>
  <si>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</si>
  <si>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</si>
  <si>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</si>
  <si>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</si>
  <si>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</si>
  <si>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</si>
  <si>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</si>
  <si>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</si>
  <si>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</si>
  <si>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</si>
  <si>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</si>
  <si>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</si>
  <si>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</si>
  <si>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</si>
  <si>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</si>
  <si>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</si>
  <si>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</si>
  <si>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</si>
  <si>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</si>
  <si>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</si>
  <si>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</si>
  <si>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</si>
  <si>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</si>
  <si>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</si>
  <si>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</si>
  <si>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</si>
  <si>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</si>
  <si>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</si>
  <si>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</si>
  <si>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</si>
  <si>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</si>
  <si>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</si>
  <si>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</si>
  <si>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</si>
  <si>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</si>
  <si>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</si>
  <si>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</si>
  <si>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</si>
  <si>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</si>
  <si>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</si>
  <si>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</si>
  <si>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</si>
  <si>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</si>
  <si>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</si>
  <si>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</si>
  <si>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</si>
  <si>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</si>
  <si>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</si>
  <si>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</si>
  <si>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</si>
  <si>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</si>
  <si>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</si>
  <si>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</si>
  <si>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</si>
  <si>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</si>
  <si>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</si>
  <si>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</si>
  <si>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</si>
  <si>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</si>
  <si>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</si>
  <si>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</si>
  <si>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</si>
  <si>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</si>
  <si>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</si>
  <si>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</si>
  <si>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</si>
  <si>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</si>
  <si>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</si>
  <si>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</si>
  <si>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</si>
  <si>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</si>
  <si>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</si>
  <si>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</si>
  <si>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</si>
  <si>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</si>
  <si>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</si>
  <si>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</si>
  <si>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</si>
  <si>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</si>
  <si>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</si>
  <si>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</si>
  <si>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</si>
  <si>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</si>
  <si>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</si>
  <si>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</si>
  <si>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</si>
  <si>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</si>
  <si>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</si>
  <si>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</si>
  <si>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</si>
  <si>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</si>
  <si>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</si>
  <si>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</si>
  <si>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</si>
  <si>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</si>
  <si>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</si>
  <si>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</si>
  <si>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</si>
  <si>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</si>
  <si>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</si>
  <si>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</si>
  <si>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</si>
  <si>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</si>
  <si>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</si>
  <si>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</si>
  <si>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</si>
  <si>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</si>
  <si>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</si>
  <si>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</si>
  <si>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</si>
  <si>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</si>
  <si>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</si>
  <si>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</si>
  <si>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</si>
  <si>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</si>
  <si>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</si>
  <si>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</si>
  <si>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</si>
  <si>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</si>
  <si>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</si>
  <si>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</si>
  <si>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</si>
  <si>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</si>
  <si>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</si>
  <si>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</si>
  <si>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</si>
  <si>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</si>
  <si>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</si>
  <si>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</si>
  <si>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</si>
  <si>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</si>
  <si>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</si>
  <si>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</si>
  <si>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</si>
  <si>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</si>
  <si>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</si>
  <si>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</si>
  <si>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</si>
  <si>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</si>
  <si>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</si>
  <si>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</si>
  <si>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</si>
  <si>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</si>
  <si>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</si>
  <si>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</si>
  <si>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</si>
  <si>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</si>
  <si>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</si>
  <si>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</si>
  <si>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</si>
  <si>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</si>
  <si>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</si>
  <si>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</si>
  <si>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</si>
  <si>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</si>
  <si>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</si>
  <si>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</si>
  <si>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</si>
  <si>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</si>
  <si>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</si>
  <si>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</si>
  <si>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</si>
  <si>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</si>
  <si>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</si>
  <si>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</si>
  <si>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</si>
  <si>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</si>
  <si>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</si>
  <si>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</si>
  <si>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</si>
  <si>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</si>
  <si>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</si>
  <si>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</si>
  <si>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</si>
  <si>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</si>
  <si>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</si>
  <si>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</si>
  <si>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</si>
  <si>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</si>
  <si>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</si>
  <si>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</si>
  <si>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</si>
  <si>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</si>
  <si>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</si>
  <si>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</si>
  <si>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</si>
  <si>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</si>
  <si>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</si>
  <si>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</si>
  <si>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</si>
  <si>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</si>
  <si>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</si>
  <si>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</si>
  <si>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</si>
  <si>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</si>
  <si>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</si>
  <si>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</si>
  <si>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</si>
  <si>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</si>
  <si>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</si>
  <si>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</si>
  <si>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</si>
  <si>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</si>
  <si>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</si>
  <si>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</si>
  <si>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</si>
  <si>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</si>
  <si>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</si>
  <si>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</si>
  <si>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</si>
  <si>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</si>
  <si>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</si>
  <si>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</si>
  <si>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</si>
  <si>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</si>
  <si>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</si>
  <si>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</si>
  <si>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</si>
  <si>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</si>
  <si>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</si>
  <si>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</si>
  <si>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</si>
  <si>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</si>
  <si>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</si>
  <si>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</si>
  <si>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</si>
  <si>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</si>
  <si>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</si>
  <si>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</si>
  <si>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</si>
  <si>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</si>
  <si>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</si>
  <si>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</si>
  <si>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</si>
  <si>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</si>
  <si>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</si>
  <si>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</si>
  <si>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</si>
  <si>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</si>
  <si>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</si>
  <si>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</si>
  <si>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</si>
  <si>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</si>
  <si>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</si>
  <si>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</si>
  <si>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</si>
  <si>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</si>
  <si>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</si>
  <si>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</si>
  <si>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</si>
  <si>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</si>
  <si>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</si>
  <si>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</si>
  <si>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</si>
  <si>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</si>
  <si>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</si>
  <si>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</si>
  <si>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</si>
  <si>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</si>
  <si>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</si>
  <si>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</si>
  <si>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</si>
  <si>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</si>
  <si>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</si>
  <si>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</si>
  <si>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</si>
  <si>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</si>
  <si>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</si>
  <si>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</si>
  <si>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</si>
  <si>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</si>
  <si>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</si>
  <si>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</si>
  <si>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</si>
  <si>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</si>
  <si>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</si>
  <si>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</si>
  <si>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</si>
  <si>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</si>
  <si>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</si>
  <si>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</si>
  <si>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</si>
  <si>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</si>
  <si>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</si>
  <si>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</si>
  <si>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</si>
  <si>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</si>
  <si>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</si>
  <si>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</si>
  <si>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</si>
  <si>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</si>
  <si>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</si>
  <si>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</si>
  <si>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</si>
  <si>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</si>
  <si>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</si>
  <si>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</si>
  <si>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</si>
  <si>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</si>
  <si>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</si>
  <si>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</si>
  <si>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</si>
  <si>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</si>
  <si>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</si>
  <si>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</si>
  <si>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</si>
  <si>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</si>
  <si>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</si>
  <si>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</si>
  <si>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</si>
  <si>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</si>
  <si>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</si>
  <si>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</si>
  <si>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</si>
  <si>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</si>
  <si>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</si>
  <si>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</si>
  <si>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</si>
  <si>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</si>
  <si>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</si>
  <si>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</si>
  <si>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</si>
  <si>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</si>
  <si>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</si>
  <si>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</si>
  <si>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</si>
  <si>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</si>
  <si>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</si>
  <si>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</si>
  <si>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</si>
  <si>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</si>
  <si>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</si>
  <si>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</si>
  <si>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</si>
  <si>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</si>
  <si>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</si>
  <si>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</si>
  <si>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</si>
  <si>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</si>
  <si>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</si>
  <si>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</si>
  <si>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</si>
  <si>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</si>
  <si>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</si>
  <si>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</si>
  <si>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</si>
  <si>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</si>
  <si>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</si>
  <si>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</si>
  <si>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</si>
  <si>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</si>
  <si>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</si>
  <si>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</si>
  <si>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</si>
  <si>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</si>
  <si>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</si>
  <si>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</si>
  <si>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</si>
  <si>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</si>
  <si>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</si>
  <si>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</si>
  <si>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</si>
  <si>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</si>
  <si>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</si>
  <si>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</si>
  <si>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</si>
  <si>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</si>
  <si>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</si>
  <si>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</si>
  <si>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</si>
  <si>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</si>
  <si>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</si>
  <si>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</si>
  <si>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</si>
  <si>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</si>
  <si>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</si>
  <si>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</si>
  <si>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</si>
  <si>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</si>
  <si>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</si>
  <si>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</si>
  <si>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</si>
  <si>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</si>
  <si>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</si>
  <si>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</si>
  <si>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</si>
  <si>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</si>
  <si>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</si>
  <si>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</si>
  <si>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</si>
  <si>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</si>
  <si>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</si>
  <si>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</si>
  <si>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</si>
  <si>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</si>
  <si>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</si>
  <si>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</si>
  <si>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</si>
  <si>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</si>
  <si>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</si>
  <si>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</si>
  <si>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</si>
  <si>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</si>
  <si>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</si>
  <si>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</si>
  <si>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</si>
  <si>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</si>
  <si>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</si>
  <si>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</si>
  <si>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</si>
  <si>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</si>
  <si>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</si>
  <si>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</si>
  <si>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</si>
  <si>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</si>
  <si>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</si>
  <si>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</si>
  <si>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</si>
  <si>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</si>
  <si>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</si>
  <si>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</si>
  <si>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</si>
  <si>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</si>
  <si>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</si>
  <si>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</si>
  <si>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</si>
  <si>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</si>
  <si>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</si>
  <si>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</si>
  <si>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</si>
  <si>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</si>
  <si>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</si>
  <si>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</si>
  <si>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</si>
  <si>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</si>
  <si>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</si>
  <si>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</si>
  <si>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</si>
  <si>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</si>
  <si>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</si>
  <si>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</si>
  <si>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</si>
  <si>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</si>
  <si>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</si>
  <si>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</si>
  <si>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</si>
  <si>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</si>
  <si>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</si>
  <si>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</si>
  <si>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</si>
  <si>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</si>
  <si>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</si>
  <si>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</si>
  <si>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</si>
  <si>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</si>
  <si>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</si>
  <si>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</si>
  <si>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</si>
  <si>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</si>
  <si>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</si>
  <si>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</si>
  <si>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</si>
  <si>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</si>
  <si>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</si>
  <si>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</si>
  <si>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</si>
  <si>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</si>
  <si>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</si>
  <si>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</si>
  <si>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</si>
  <si>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</si>
  <si>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</si>
  <si>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</si>
  <si>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</si>
  <si>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</si>
  <si>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</si>
  <si>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</si>
  <si>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</si>
  <si>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</si>
  <si>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</si>
  <si>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</si>
  <si>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</si>
  <si>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</si>
  <si>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</si>
  <si>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</si>
  <si>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</si>
  <si>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</si>
  <si>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</si>
  <si>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</si>
  <si>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</si>
  <si>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</si>
  <si>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</si>
  <si>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</si>
  <si>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</si>
  <si>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</si>
  <si>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</si>
  <si>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</si>
  <si>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</si>
  <si>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</si>
  <si>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</si>
  <si>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</si>
  <si>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</si>
  <si>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</si>
  <si>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</si>
  <si>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</si>
  <si>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</si>
  <si>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</si>
  <si>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</si>
  <si>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</si>
  <si>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</si>
  <si>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</si>
  <si>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</si>
  <si>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</si>
  <si>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</si>
  <si>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</si>
  <si>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</si>
  <si>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</si>
  <si>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</si>
  <si>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</si>
  <si>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</si>
  <si>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</si>
  <si>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</si>
  <si>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</si>
  <si>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</si>
  <si>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</si>
  <si>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</si>
  <si>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</si>
  <si>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</si>
  <si>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</si>
  <si>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</si>
  <si>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</si>
  <si>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</si>
  <si>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</si>
  <si>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</si>
  <si>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</si>
  <si>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</si>
  <si>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</si>
  <si>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</si>
  <si>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</si>
  <si>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</si>
  <si>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</si>
  <si>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</si>
  <si>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</si>
  <si>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</si>
  <si>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</si>
  <si>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</si>
  <si>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</si>
  <si>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</si>
  <si>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</si>
  <si>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</si>
  <si>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</si>
  <si>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</si>
  <si>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</si>
  <si>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</si>
  <si>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</si>
  <si>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</si>
  <si>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</si>
  <si>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</si>
  <si>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</si>
  <si>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</si>
  <si>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</si>
  <si>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</si>
  <si>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</si>
  <si>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</si>
  <si>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</si>
  <si>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</si>
  <si>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</si>
  <si>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</si>
  <si>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</si>
  <si>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</si>
  <si>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</si>
  <si>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</si>
  <si>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</si>
  <si>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</si>
  <si>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</si>
  <si>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</si>
  <si>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</si>
  <si>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</si>
  <si>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</si>
  <si>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</si>
  <si>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</si>
  <si>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</si>
  <si>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</si>
  <si>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</si>
  <si>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</si>
  <si>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</si>
  <si>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</si>
  <si>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</si>
  <si>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</si>
  <si>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</si>
  <si>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</si>
  <si>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</si>
  <si>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</si>
  <si>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</si>
  <si>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</si>
  <si>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</si>
  <si>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</si>
  <si>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</si>
  <si>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</si>
  <si>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</si>
  <si>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</si>
  <si>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</si>
  <si>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</si>
  <si>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</si>
  <si>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</si>
  <si>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</si>
  <si>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</si>
  <si>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</si>
  <si>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</si>
  <si>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</si>
  <si>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</si>
  <si>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</si>
  <si>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</si>
  <si>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</si>
  <si>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</si>
  <si>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</si>
  <si>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</si>
  <si>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</si>
  <si>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</si>
  <si>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</si>
  <si>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</si>
  <si>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</si>
  <si>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</si>
  <si>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</si>
  <si>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</si>
  <si>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</si>
  <si>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</si>
  <si>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</si>
  <si>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</si>
  <si>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</si>
  <si>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</si>
  <si>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</si>
  <si>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</si>
  <si>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</si>
  <si>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</si>
  <si>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</si>
  <si>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</si>
  <si>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</si>
  <si>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</si>
  <si>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</si>
  <si>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</si>
  <si>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</si>
  <si>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</si>
  <si>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</si>
  <si>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</si>
  <si>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</si>
  <si>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</si>
  <si>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</si>
  <si>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</si>
  <si>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</si>
  <si>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</si>
  <si>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</si>
  <si>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</si>
  <si>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</si>
  <si>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</si>
  <si>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</si>
  <si>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</si>
  <si>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</si>
  <si>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</si>
  <si>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</si>
  <si>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</si>
  <si>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</si>
  <si>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</si>
  <si>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</si>
  <si>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</si>
  <si>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</si>
  <si>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</si>
  <si>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</si>
  <si>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</si>
  <si>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</si>
  <si>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</si>
  <si>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</si>
  <si>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</si>
  <si>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</si>
  <si>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</si>
  <si>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</si>
  <si>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</si>
  <si>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</si>
  <si>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</si>
  <si>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</si>
  <si>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</si>
  <si>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</si>
  <si>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</si>
  <si>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</si>
  <si>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</si>
  <si>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</si>
  <si>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</si>
  <si>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</si>
  <si>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</si>
  <si>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</si>
  <si>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</si>
  <si>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</si>
  <si>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</si>
  <si>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</si>
  <si>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</si>
  <si>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</si>
  <si>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</si>
  <si>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</si>
  <si>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</si>
  <si>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</si>
  <si>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</si>
  <si>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</si>
  <si>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</si>
  <si>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</si>
  <si>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</si>
  <si>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</si>
  <si>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</si>
  <si>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</si>
  <si>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</si>
  <si>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</si>
  <si>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</si>
  <si>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</si>
  <si>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</si>
  <si>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</si>
  <si>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</si>
  <si>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</si>
  <si>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</si>
  <si>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</si>
  <si>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</si>
  <si>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</si>
  <si>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</si>
  <si>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</si>
  <si>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</si>
  <si>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</si>
  <si>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</si>
  <si>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</si>
  <si>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</si>
  <si>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</si>
  <si>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</si>
  <si>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</si>
  <si>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</si>
  <si>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</si>
  <si>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</si>
  <si>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</si>
  <si>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</si>
  <si>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</si>
  <si>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</si>
  <si>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</si>
  <si>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</si>
  <si>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</si>
  <si>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</si>
  <si>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</si>
  <si>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</si>
  <si>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</si>
  <si>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</si>
  <si>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</si>
  <si>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</si>
  <si>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</si>
  <si>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</si>
  <si>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</si>
  <si>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</si>
  <si>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</si>
  <si>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</si>
  <si>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</si>
  <si>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</si>
  <si>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</si>
  <si>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</si>
  <si>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</si>
  <si>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</si>
  <si>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</si>
  <si>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</si>
  <si>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</si>
  <si>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</si>
  <si>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</si>
  <si>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</si>
  <si>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</si>
  <si>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</si>
  <si>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</si>
  <si>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</si>
  <si>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</si>
  <si>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</si>
  <si>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</si>
  <si>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</si>
  <si>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</si>
  <si>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</si>
  <si>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</si>
  <si>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</si>
  <si>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</si>
  <si>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</si>
  <si>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</si>
  <si>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</si>
  <si>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</si>
  <si>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</si>
  <si>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</si>
  <si>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</si>
  <si>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</si>
  <si>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</si>
  <si>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</si>
  <si>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</si>
  <si>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</si>
  <si>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</si>
  <si>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</si>
  <si>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</si>
  <si>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</si>
  <si>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</si>
  <si>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</si>
  <si>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</si>
  <si>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</si>
  <si>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</si>
  <si>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</si>
  <si>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</si>
  <si>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</si>
  <si>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</si>
  <si>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</si>
  <si>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</si>
  <si>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</si>
  <si>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</si>
  <si>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</si>
  <si>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</si>
  <si>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</si>
  <si>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</si>
  <si>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</si>
  <si>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</si>
  <si>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</si>
  <si>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</si>
  <si>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</si>
  <si>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</si>
  <si>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</si>
  <si>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</si>
  <si>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</si>
  <si>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</si>
  <si>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</si>
  <si>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</si>
  <si>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</si>
  <si>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</si>
  <si>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</si>
  <si>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</si>
  <si>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</si>
  <si>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</si>
  <si>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</si>
  <si>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</si>
  <si>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</si>
  <si>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</si>
  <si>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</si>
  <si>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</si>
  <si>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</si>
  <si>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</si>
  <si>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</si>
  <si>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</si>
  <si>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</si>
  <si>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</si>
  <si>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</si>
  <si>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</si>
  <si>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</si>
  <si>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</si>
  <si>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</si>
  <si>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</si>
  <si>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</si>
  <si>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</si>
  <si>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</si>
  <si>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</si>
  <si>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</si>
  <si>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</si>
  <si>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</si>
  <si>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</si>
  <si>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</si>
  <si>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</si>
  <si>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</si>
  <si>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</si>
  <si>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</si>
  <si>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</si>
  <si>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</si>
  <si>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</si>
  <si>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</si>
  <si>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</si>
  <si>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</si>
  <si>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</si>
  <si>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</si>
  <si>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</si>
  <si>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</si>
  <si>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</si>
  <si>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</si>
  <si>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</si>
  <si>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</si>
  <si>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</si>
  <si>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</si>
  <si>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</si>
  <si>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</si>
  <si>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</si>
  <si>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</si>
  <si>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</si>
  <si>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</si>
  <si>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</si>
  <si>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</si>
  <si>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</si>
  <si>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</si>
  <si>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</si>
  <si>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</si>
  <si>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</si>
  <si>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</si>
  <si>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</si>
  <si>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</si>
  <si>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</si>
  <si>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</si>
  <si>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</si>
  <si>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</si>
  <si>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</si>
  <si>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</si>
  <si>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</si>
  <si>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</si>
  <si>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</si>
  <si>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</si>
  <si>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</si>
  <si>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</si>
  <si>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</si>
  <si>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</si>
  <si>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</si>
  <si>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</si>
  <si>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</si>
  <si>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</si>
  <si>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</si>
  <si>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</si>
  <si>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</si>
  <si>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</si>
  <si>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</si>
  <si>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</si>
  <si>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</si>
  <si>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</si>
  <si>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</si>
  <si>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</si>
  <si>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</si>
  <si>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</si>
  <si>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</si>
  <si>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</si>
  <si>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</si>
  <si>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</si>
  <si>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</si>
  <si>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</si>
  <si>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</si>
  <si>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</si>
  <si>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</si>
  <si>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</si>
  <si>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</si>
  <si>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</si>
  <si>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</si>
  <si>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</si>
  <si>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</si>
  <si>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</si>
  <si>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</si>
  <si>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</si>
  <si>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</si>
  <si>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</si>
  <si>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</si>
  <si>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</si>
  <si>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</si>
  <si>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</si>
  <si>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</si>
  <si>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</si>
  <si>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</si>
  <si>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</si>
  <si>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</si>
  <si>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</si>
  <si>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</si>
  <si>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</si>
  <si>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</si>
  <si>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</si>
  <si>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</si>
  <si>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</si>
  <si>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</si>
  <si>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</si>
  <si>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</si>
  <si>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</si>
  <si>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</si>
  <si>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</si>
  <si>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</si>
  <si>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</si>
  <si>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</si>
  <si>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</si>
  <si>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</si>
  <si>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</si>
  <si>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</si>
  <si>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</si>
  <si>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</si>
  <si>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</si>
  <si>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</si>
  <si>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</si>
  <si>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</si>
  <si>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</si>
  <si>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</si>
  <si>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</si>
  <si>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</si>
  <si>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</si>
  <si>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</si>
  <si>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</si>
  <si>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</si>
  <si>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</si>
  <si>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</si>
  <si>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</si>
  <si>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</si>
  <si>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</si>
  <si>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</si>
  <si>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</si>
  <si>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</si>
  <si>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</si>
  <si>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</si>
  <si>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</si>
  <si>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</si>
  <si>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</si>
  <si>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</si>
  <si>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</si>
  <si>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</si>
  <si>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</si>
  <si>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</si>
  <si>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</si>
  <si>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</si>
  <si>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</si>
  <si>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</si>
  <si>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</si>
  <si>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</si>
  <si>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</si>
  <si>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</si>
  <si>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</si>
  <si>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</si>
  <si>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</si>
  <si>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</si>
  <si>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</si>
  <si>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</si>
  <si>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</si>
  <si>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</si>
  <si>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</si>
  <si>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</si>
  <si>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</si>
  <si>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</si>
  <si>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</si>
  <si>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</si>
  <si>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</si>
  <si>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</si>
  <si>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</si>
  <si>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</si>
  <si>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</si>
  <si>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</si>
  <si>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</si>
  <si>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</si>
  <si>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</si>
  <si>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</si>
  <si>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</si>
  <si>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</si>
  <si>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</si>
  <si>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</si>
  <si>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</si>
  <si>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</si>
  <si>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</si>
  <si>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</si>
  <si>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</si>
  <si>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</si>
  <si>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</si>
  <si>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</si>
  <si>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</si>
  <si>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</si>
  <si>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</si>
  <si>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</si>
  <si>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</si>
  <si>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</si>
  <si>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</si>
  <si>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</si>
  <si>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</si>
  <si>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</si>
  <si>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</si>
  <si>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</si>
  <si>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</si>
  <si>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</si>
  <si>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</si>
  <si>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</si>
  <si>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</si>
  <si>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</si>
  <si>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</si>
  <si>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</si>
  <si>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</si>
  <si>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</si>
  <si>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</si>
  <si>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</si>
  <si>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</si>
  <si>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</si>
  <si>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</si>
  <si>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</si>
  <si>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</si>
  <si>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</si>
  <si>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</si>
  <si>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</si>
  <si>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</si>
  <si>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</si>
  <si>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</si>
  <si>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</si>
  <si>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</si>
  <si>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</si>
  <si>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</si>
  <si>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</si>
  <si>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</si>
  <si>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</si>
  <si>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</si>
  <si>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</si>
  <si>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</si>
  <si>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</si>
  <si>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</si>
  <si>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</si>
  <si>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</si>
  <si>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</si>
  <si>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</si>
  <si>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</si>
  <si>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</si>
  <si>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</si>
  <si>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</si>
  <si>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</si>
  <si>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</si>
  <si>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</si>
  <si>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</si>
  <si>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</si>
  <si>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</si>
  <si>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</si>
  <si>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</si>
  <si>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</si>
  <si>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</si>
  <si>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</si>
  <si>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</si>
  <si>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</si>
  <si>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</si>
  <si>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</si>
  <si>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</si>
  <si>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</si>
  <si>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</si>
  <si>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</si>
  <si>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</si>
  <si>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</si>
  <si>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</si>
  <si>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</si>
  <si>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</si>
  <si>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</si>
  <si>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</si>
  <si>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</si>
  <si>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</si>
  <si>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</si>
  <si>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</si>
  <si>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</si>
  <si>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</si>
  <si>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</si>
  <si>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</si>
  <si>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</si>
  <si>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</si>
  <si>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</si>
  <si>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</si>
  <si>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</si>
  <si>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</si>
  <si>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</si>
  <si>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</si>
  <si>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</si>
  <si>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</si>
  <si>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</si>
  <si>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</si>
  <si>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</si>
  <si>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</si>
  <si>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</si>
  <si>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</si>
  <si>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</si>
  <si>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</si>
  <si>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</si>
  <si>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</si>
  <si>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</si>
  <si>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</si>
  <si>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</si>
  <si>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</si>
  <si>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</si>
  <si>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</si>
  <si>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</si>
  <si>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</si>
  <si>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</si>
  <si>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</si>
  <si>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</si>
  <si>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</si>
  <si>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</si>
  <si>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</si>
  <si>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</si>
  <si>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</si>
  <si>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</si>
  <si>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</si>
  <si>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</si>
  <si>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</si>
  <si>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</si>
  <si>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</si>
  <si>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</si>
  <si>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</si>
  <si>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</si>
  <si>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</si>
  <si>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</si>
  <si>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</si>
  <si>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</si>
  <si>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</si>
  <si>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</si>
  <si>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</si>
  <si>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</si>
  <si>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</si>
  <si>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</si>
  <si>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</si>
  <si>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</si>
  <si>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</si>
  <si>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</si>
  <si>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</si>
  <si>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</si>
  <si>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</si>
  <si>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</si>
  <si>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</si>
  <si>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</si>
  <si>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</si>
  <si>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</si>
  <si>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</si>
  <si>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</si>
  <si>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</si>
  <si>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</si>
  <si>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</si>
  <si>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</si>
  <si>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</si>
  <si>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</si>
  <si>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</si>
  <si>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</si>
  <si>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</si>
  <si>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</si>
  <si>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</si>
  <si>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</si>
  <si>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</si>
  <si>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</si>
  <si>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</si>
  <si>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</si>
  <si>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</si>
  <si>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</si>
  <si>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</si>
  <si>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</si>
  <si>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</si>
  <si>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</si>
  <si>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</si>
  <si>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</si>
  <si>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</si>
  <si>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</si>
  <si>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</si>
  <si>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</si>
  <si>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</si>
  <si>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</si>
  <si>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</si>
  <si>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</si>
  <si>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</si>
  <si>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</si>
  <si>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</si>
  <si>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</si>
  <si>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</si>
  <si>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</si>
  <si>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</si>
  <si>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</si>
  <si>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</si>
  <si>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</si>
  <si>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</si>
  <si>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</si>
  <si>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</si>
  <si>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</si>
  <si>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</si>
  <si>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</si>
  <si>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</si>
  <si>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</si>
  <si>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</si>
  <si>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</si>
  <si>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</si>
  <si>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</si>
  <si>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</si>
  <si>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</si>
  <si>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</si>
  <si>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</si>
  <si>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</si>
  <si>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</si>
  <si>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</si>
  <si>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</si>
  <si>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</si>
  <si>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</si>
  <si>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</si>
  <si>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</si>
  <si>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</si>
  <si>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</si>
  <si>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</si>
  <si>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</si>
  <si>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</si>
  <si>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</si>
  <si>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</si>
  <si>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</si>
  <si>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</si>
  <si>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</si>
  <si>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</si>
  <si>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</si>
  <si>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</si>
  <si>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</si>
  <si>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</si>
  <si>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</si>
  <si>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</si>
  <si>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</si>
  <si>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</si>
  <si>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</si>
  <si>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</si>
  <si>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</si>
  <si>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</si>
  <si>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</si>
  <si>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</si>
  <si>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</si>
  <si>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</si>
  <si>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</si>
  <si>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</si>
  <si>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</si>
  <si>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</si>
  <si>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</si>
  <si>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</si>
  <si>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</si>
  <si>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</si>
  <si>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</si>
  <si>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</si>
  <si>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</si>
  <si>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</si>
  <si>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</si>
  <si>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</si>
  <si>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</si>
  <si>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</si>
  <si>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</si>
  <si>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</si>
  <si>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</si>
  <si>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</si>
  <si>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</si>
  <si>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</si>
  <si>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</si>
  <si>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</si>
  <si>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</si>
  <si>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</si>
  <si>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</si>
  <si>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</si>
  <si>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</si>
  <si>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</si>
  <si>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</si>
  <si>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</si>
  <si>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</si>
  <si>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</si>
  <si>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</si>
  <si>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</si>
  <si>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</si>
  <si>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</si>
  <si>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</si>
  <si>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</si>
  <si>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</si>
  <si>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</si>
  <si>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</si>
  <si>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</si>
  <si>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</si>
  <si>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</si>
  <si>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</si>
  <si>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</si>
  <si>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</si>
  <si>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</si>
  <si>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</si>
  <si>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</si>
  <si>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</si>
  <si>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</si>
  <si>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</si>
  <si>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</si>
  <si>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</si>
  <si>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</si>
  <si>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</si>
  <si>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</si>
  <si>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</si>
  <si>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</si>
  <si>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</si>
  <si>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</si>
  <si>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</si>
  <si>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</si>
  <si>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</si>
  <si>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</si>
  <si>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</si>
  <si>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</si>
  <si>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</si>
  <si>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</si>
  <si>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</si>
  <si>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</si>
  <si>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</si>
  <si>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</si>
  <si>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</si>
  <si>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</si>
  <si>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</si>
  <si>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</si>
  <si>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</si>
  <si>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</si>
  <si>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</si>
  <si>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</si>
  <si>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</si>
  <si>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</si>
  <si>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</si>
  <si>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</si>
  <si>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</si>
  <si>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</si>
  <si>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</si>
  <si>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</si>
  <si>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</si>
  <si>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</si>
  <si>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</si>
  <si>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</si>
  <si>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</si>
  <si>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</si>
  <si>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</si>
  <si>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</si>
  <si>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</si>
  <si>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</si>
  <si>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</si>
  <si>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</si>
  <si>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</si>
  <si>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</si>
  <si>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</si>
  <si>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</si>
  <si>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</si>
  <si>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</si>
  <si>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</si>
  <si>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</si>
  <si>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</si>
  <si>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</si>
  <si>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</si>
  <si>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</si>
  <si>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</si>
  <si>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</si>
  <si>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</si>
  <si>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</si>
  <si>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</si>
  <si>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</si>
  <si>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</si>
  <si>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</si>
  <si>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</si>
  <si>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</si>
  <si>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</si>
  <si>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</si>
  <si>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</si>
  <si>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</si>
  <si>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</si>
  <si>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</si>
  <si>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</si>
  <si>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</si>
  <si>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</si>
  <si>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</si>
  <si>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</si>
  <si>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</si>
  <si>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</si>
  <si>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</si>
  <si>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</si>
  <si>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</si>
  <si>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</si>
  <si>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</si>
  <si>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</si>
  <si>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</si>
  <si>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</si>
  <si>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</si>
  <si>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</si>
  <si>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</si>
  <si>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</si>
  <si>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</si>
  <si>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</si>
  <si>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</si>
  <si>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</si>
  <si>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</si>
  <si>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</si>
  <si>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</si>
  <si>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</si>
  <si>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</si>
  <si>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</si>
  <si>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</si>
  <si>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</si>
  <si>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</si>
  <si>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</si>
  <si>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</si>
  <si>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</si>
  <si>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</si>
  <si>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</si>
  <si>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</si>
  <si>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</si>
  <si>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</si>
  <si>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</si>
  <si>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</si>
  <si>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</si>
  <si>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</si>
  <si>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</si>
  <si>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</si>
  <si>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</si>
  <si>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</si>
  <si>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</si>
  <si>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</si>
  <si>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</si>
  <si>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</si>
  <si>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</si>
  <si>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</si>
  <si>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</si>
  <si>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</si>
  <si>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</si>
  <si>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</si>
  <si>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Any transplants</t>
  </si>
  <si>
    <t>No.of surgeries</t>
  </si>
  <si>
    <t>Smoker</t>
  </si>
  <si>
    <t>Month</t>
  </si>
  <si>
    <t>Year</t>
  </si>
  <si>
    <t>Date</t>
  </si>
  <si>
    <t>Children</t>
  </si>
  <si>
    <t>Charges</t>
  </si>
  <si>
    <t>Hosp tier</t>
  </si>
  <si>
    <t>State id</t>
  </si>
  <si>
    <t>Customer id</t>
  </si>
  <si>
    <t>Month 2</t>
  </si>
  <si>
    <t>Year 2</t>
  </si>
  <si>
    <t>Column2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</si>
  <si>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</si>
  <si>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</si>
  <si>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</si>
  <si>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</si>
  <si>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</si>
  <si>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</si>
  <si>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</si>
  <si>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</si>
  <si>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tier-2</t>
  </si>
  <si>
    <t>Unknown</t>
  </si>
  <si>
    <t>Title</t>
  </si>
  <si>
    <t>First Name</t>
  </si>
  <si>
    <t>Last Name</t>
  </si>
  <si>
    <t>Hawks</t>
  </si>
  <si>
    <t>Lehner</t>
  </si>
  <si>
    <t>Lu</t>
  </si>
  <si>
    <t>Osborne</t>
  </si>
  <si>
    <t>Kadala</t>
  </si>
  <si>
    <t>Baker</t>
  </si>
  <si>
    <t>Macpherson</t>
  </si>
  <si>
    <t>Hallman</t>
  </si>
  <si>
    <t>Moran</t>
  </si>
  <si>
    <t>Benner</t>
  </si>
  <si>
    <t>Fierro Vargas</t>
  </si>
  <si>
    <t>Franz</t>
  </si>
  <si>
    <t>Foster</t>
  </si>
  <si>
    <t>Tenorio</t>
  </si>
  <si>
    <t>Rios</t>
  </si>
  <si>
    <t>Viau-Dupuis</t>
  </si>
  <si>
    <t>Cronin</t>
  </si>
  <si>
    <t>Noordstar</t>
  </si>
  <si>
    <t>Boudalia</t>
  </si>
  <si>
    <t>Kelly</t>
  </si>
  <si>
    <t>Phil</t>
  </si>
  <si>
    <t>Kelsey</t>
  </si>
  <si>
    <t>Kristyn</t>
  </si>
  <si>
    <t>Scott</t>
  </si>
  <si>
    <t>Stephen</t>
  </si>
  <si>
    <t>Andrea</t>
  </si>
  <si>
    <t>David</t>
  </si>
  <si>
    <t>Wade</t>
  </si>
  <si>
    <t>Franklin</t>
  </si>
  <si>
    <t>Matthew D</t>
  </si>
  <si>
    <t>Russell B.</t>
  </si>
  <si>
    <t>Patrick R.</t>
  </si>
  <si>
    <t>Brooke N.</t>
  </si>
  <si>
    <t>Leilani M.</t>
  </si>
  <si>
    <t>Mr.  Philippe</t>
  </si>
  <si>
    <t>Jennifer A.</t>
  </si>
  <si>
    <t>Christina M.</t>
  </si>
  <si>
    <t>Said Sr.</t>
  </si>
  <si>
    <t>Flor</t>
  </si>
  <si>
    <t>Fennon</t>
  </si>
  <si>
    <t>Hribar</t>
  </si>
  <si>
    <t>Tassello</t>
  </si>
  <si>
    <t>Mauricette</t>
  </si>
  <si>
    <t>Garcia</t>
  </si>
  <si>
    <t>Airoldi</t>
  </si>
  <si>
    <t>Cater-Cyker</t>
  </si>
  <si>
    <t>Hamm</t>
  </si>
  <si>
    <t>Cox</t>
  </si>
  <si>
    <t>Sachrajda</t>
  </si>
  <si>
    <t>Gareri</t>
  </si>
  <si>
    <t>Welch</t>
  </si>
  <si>
    <t>Prindiville</t>
  </si>
  <si>
    <t>Kincaid</t>
  </si>
  <si>
    <t>Bruestle</t>
  </si>
  <si>
    <t>Lachance</t>
  </si>
  <si>
    <t>Eason</t>
  </si>
  <si>
    <t>Grummon</t>
  </si>
  <si>
    <t>Vanwechel</t>
  </si>
  <si>
    <t>Fisher</t>
  </si>
  <si>
    <t>Jenkins</t>
  </si>
  <si>
    <t>Peters</t>
  </si>
  <si>
    <t>Aha</t>
  </si>
  <si>
    <t>McElwain</t>
  </si>
  <si>
    <t>Januszewski</t>
  </si>
  <si>
    <t>Rohne</t>
  </si>
  <si>
    <t>O'Grady</t>
  </si>
  <si>
    <t>De Simone</t>
  </si>
  <si>
    <t>Beckett</t>
  </si>
  <si>
    <t>Sobrilsky</t>
  </si>
  <si>
    <t>Wang</t>
  </si>
  <si>
    <t>Campa</t>
  </si>
  <si>
    <t>Clifford</t>
  </si>
  <si>
    <t>Dalmata</t>
  </si>
  <si>
    <t>Vishik</t>
  </si>
  <si>
    <t>Schorr</t>
  </si>
  <si>
    <t>Lusardi</t>
  </si>
  <si>
    <t>Rayner</t>
  </si>
  <si>
    <t>Voghel</t>
  </si>
  <si>
    <t>Rieth</t>
  </si>
  <si>
    <t>Gollotto</t>
  </si>
  <si>
    <t>Dunn</t>
  </si>
  <si>
    <t>Blitzer</t>
  </si>
  <si>
    <t>Smith</t>
  </si>
  <si>
    <t>Hyland</t>
  </si>
  <si>
    <t>Ducharme</t>
  </si>
  <si>
    <t>Johnson</t>
  </si>
  <si>
    <t>Mutz</t>
  </si>
  <si>
    <t>Lee</t>
  </si>
  <si>
    <t>Turner</t>
  </si>
  <si>
    <t>Rangel</t>
  </si>
  <si>
    <t>Lacey</t>
  </si>
  <si>
    <t>Stiger</t>
  </si>
  <si>
    <t>Caldwell</t>
  </si>
  <si>
    <t>Marmillod</t>
  </si>
  <si>
    <t>Cloutier-Simons</t>
  </si>
  <si>
    <t>Vegas</t>
  </si>
  <si>
    <t>Cochran</t>
  </si>
  <si>
    <t>Holtzapple</t>
  </si>
  <si>
    <t>Meyer</t>
  </si>
  <si>
    <t>Brickley</t>
  </si>
  <si>
    <t>Magee</t>
  </si>
  <si>
    <t>Thoma</t>
  </si>
  <si>
    <t>Heagy</t>
  </si>
  <si>
    <t>Regnier</t>
  </si>
  <si>
    <t>Parendo</t>
  </si>
  <si>
    <t>Schell</t>
  </si>
  <si>
    <t>Driscoll</t>
  </si>
  <si>
    <t>Mitchell</t>
  </si>
  <si>
    <t>Cutler</t>
  </si>
  <si>
    <t>Derian</t>
  </si>
  <si>
    <t>Farina</t>
  </si>
  <si>
    <t>Saunders</t>
  </si>
  <si>
    <t>Kratz</t>
  </si>
  <si>
    <t>Boland</t>
  </si>
  <si>
    <t>Van Hout</t>
  </si>
  <si>
    <t>Ramsey</t>
  </si>
  <si>
    <t>Gage</t>
  </si>
  <si>
    <t>Gollins</t>
  </si>
  <si>
    <t>Benestad</t>
  </si>
  <si>
    <t>Aviv</t>
  </si>
  <si>
    <t>Burns</t>
  </si>
  <si>
    <t>Maldonado</t>
  </si>
  <si>
    <t>Yitref</t>
  </si>
  <si>
    <t>Loudon-Brown</t>
  </si>
  <si>
    <t>Sugathadasa</t>
  </si>
  <si>
    <t>Ganley</t>
  </si>
  <si>
    <t>Potter</t>
  </si>
  <si>
    <t>Rasmussen</t>
  </si>
  <si>
    <t>Robinson</t>
  </si>
  <si>
    <t>Antonopoulos</t>
  </si>
  <si>
    <t>Groner</t>
  </si>
  <si>
    <t>Zywicki</t>
  </si>
  <si>
    <t>Cardinal</t>
  </si>
  <si>
    <t>Alleman</t>
  </si>
  <si>
    <t>Stroffolino</t>
  </si>
  <si>
    <t>Clubb</t>
  </si>
  <si>
    <t>McGoogan</t>
  </si>
  <si>
    <t>Keflezighi</t>
  </si>
  <si>
    <t>Syed</t>
  </si>
  <si>
    <t>Segal</t>
  </si>
  <si>
    <t>Defranco</t>
  </si>
  <si>
    <t>Kells</t>
  </si>
  <si>
    <t>Lawton</t>
  </si>
  <si>
    <t>Bejar</t>
  </si>
  <si>
    <t>Navarro Castro</t>
  </si>
  <si>
    <t>Tice</t>
  </si>
  <si>
    <t>Wolf</t>
  </si>
  <si>
    <t>Oppedal</t>
  </si>
  <si>
    <t>Wright</t>
  </si>
  <si>
    <t>Ellis</t>
  </si>
  <si>
    <t>Taormina</t>
  </si>
  <si>
    <t>Lynch</t>
  </si>
  <si>
    <t>Tavella</t>
  </si>
  <si>
    <t>Neufeld</t>
  </si>
  <si>
    <t>Walhovd</t>
  </si>
  <si>
    <t>Washburn</t>
  </si>
  <si>
    <t>Mroz</t>
  </si>
  <si>
    <t>Canaday</t>
  </si>
  <si>
    <t>Atkins</t>
  </si>
  <si>
    <t>Kropelnicki</t>
  </si>
  <si>
    <t>Braund</t>
  </si>
  <si>
    <t>Anderson</t>
  </si>
  <si>
    <t>Bilbrey</t>
  </si>
  <si>
    <t>Curtis</t>
  </si>
  <si>
    <t>Bardeesy</t>
  </si>
  <si>
    <t>Shanahan</t>
  </si>
  <si>
    <t>Sutter</t>
  </si>
  <si>
    <t>Yesian</t>
  </si>
  <si>
    <t>Meers</t>
  </si>
  <si>
    <t>Conlon</t>
  </si>
  <si>
    <t>Arnstein</t>
  </si>
  <si>
    <t>Jurek</t>
  </si>
  <si>
    <t>Thill</t>
  </si>
  <si>
    <t>Glaz</t>
  </si>
  <si>
    <t>Sampson</t>
  </si>
  <si>
    <t>Duliba</t>
  </si>
  <si>
    <t>Tanguay</t>
  </si>
  <si>
    <t>McClelland</t>
  </si>
  <si>
    <t>Gorman</t>
  </si>
  <si>
    <t>Nishimura</t>
  </si>
  <si>
    <t>Brimble</t>
  </si>
  <si>
    <t>Trenk</t>
  </si>
  <si>
    <t>Wittmann</t>
  </si>
  <si>
    <t>Tremblay</t>
  </si>
  <si>
    <t>Scofield</t>
  </si>
  <si>
    <t>Yost</t>
  </si>
  <si>
    <t>Torphy</t>
  </si>
  <si>
    <t>Busby</t>
  </si>
  <si>
    <t>Nguyen</t>
  </si>
  <si>
    <t>Hanley</t>
  </si>
  <si>
    <t>Scheer</t>
  </si>
  <si>
    <t>Rankin</t>
  </si>
  <si>
    <t>Ricardi</t>
  </si>
  <si>
    <t>Karkos</t>
  </si>
  <si>
    <t>Price-Dierksen</t>
  </si>
  <si>
    <t>Knispel</t>
  </si>
  <si>
    <t>King</t>
  </si>
  <si>
    <t>Samuelson</t>
  </si>
  <si>
    <t>Fredsall</t>
  </si>
  <si>
    <t>Eggleston</t>
  </si>
  <si>
    <t>Palombaro</t>
  </si>
  <si>
    <t>Silva</t>
  </si>
  <si>
    <t>Bugala</t>
  </si>
  <si>
    <t>Dublin</t>
  </si>
  <si>
    <t>Cleland</t>
  </si>
  <si>
    <t>Evans</t>
  </si>
  <si>
    <t>Boyd</t>
  </si>
  <si>
    <t>Roulier</t>
  </si>
  <si>
    <t>Mullins</t>
  </si>
  <si>
    <t>Hofmann</t>
  </si>
  <si>
    <t>Garcia Garcia</t>
  </si>
  <si>
    <t>Klecker</t>
  </si>
  <si>
    <t>Cancre</t>
  </si>
  <si>
    <t>Denucci</t>
  </si>
  <si>
    <t>Saldana</t>
  </si>
  <si>
    <t>Weinberg</t>
  </si>
  <si>
    <t>Walsh</t>
  </si>
  <si>
    <t>Pasten</t>
  </si>
  <si>
    <t>LaBelle</t>
  </si>
  <si>
    <t>Guzman</t>
  </si>
  <si>
    <t>Turnbull</t>
  </si>
  <si>
    <t>Aguero</t>
  </si>
  <si>
    <t>Woodward</t>
  </si>
  <si>
    <t>McElroy</t>
  </si>
  <si>
    <t>Lopez</t>
  </si>
  <si>
    <t>Cardosi</t>
  </si>
  <si>
    <t>Looney</t>
  </si>
  <si>
    <t>Zyryanov</t>
  </si>
  <si>
    <t>Gavin</t>
  </si>
  <si>
    <t>Littlefield</t>
  </si>
  <si>
    <t>Shearer</t>
  </si>
  <si>
    <t>Armstrong</t>
  </si>
  <si>
    <t>Warriner</t>
  </si>
  <si>
    <t>White</t>
  </si>
  <si>
    <t>Cordaro</t>
  </si>
  <si>
    <t>Hamilton</t>
  </si>
  <si>
    <t>Duke</t>
  </si>
  <si>
    <t>Malatesta</t>
  </si>
  <si>
    <t>Hinrichsen</t>
  </si>
  <si>
    <t>Lucan</t>
  </si>
  <si>
    <t>Koch</t>
  </si>
  <si>
    <t>O'Connor</t>
  </si>
  <si>
    <t>Kampwerth</t>
  </si>
  <si>
    <t>Federoff</t>
  </si>
  <si>
    <t>Goya</t>
  </si>
  <si>
    <t>Hodges</t>
  </si>
  <si>
    <t>Erickson</t>
  </si>
  <si>
    <t>Welleck</t>
  </si>
  <si>
    <t>Polen</t>
  </si>
  <si>
    <t>Hufstader</t>
  </si>
  <si>
    <t>Doak</t>
  </si>
  <si>
    <t>Noya</t>
  </si>
  <si>
    <t>Heninger</t>
  </si>
  <si>
    <t>Richardson</t>
  </si>
  <si>
    <t>Deucher</t>
  </si>
  <si>
    <t>Wilson</t>
  </si>
  <si>
    <t>Hall</t>
  </si>
  <si>
    <t>Reed</t>
  </si>
  <si>
    <t>Frome</t>
  </si>
  <si>
    <t>Creasy</t>
  </si>
  <si>
    <t>Latimer</t>
  </si>
  <si>
    <t>Wei</t>
  </si>
  <si>
    <t>Hayes</t>
  </si>
  <si>
    <t>Velardo</t>
  </si>
  <si>
    <t>Kastes</t>
  </si>
  <si>
    <t>Escorcia</t>
  </si>
  <si>
    <t>Larscheid</t>
  </si>
  <si>
    <t>O'Bannon</t>
  </si>
  <si>
    <t>Ridgway</t>
  </si>
  <si>
    <t>Black</t>
  </si>
  <si>
    <t>Canton</t>
  </si>
  <si>
    <t>Fine</t>
  </si>
  <si>
    <t>Bui</t>
  </si>
  <si>
    <t>Riepma</t>
  </si>
  <si>
    <t>Inman</t>
  </si>
  <si>
    <t>Kruzel</t>
  </si>
  <si>
    <t>Lindsay</t>
  </si>
  <si>
    <t>Land</t>
  </si>
  <si>
    <t>Brecher</t>
  </si>
  <si>
    <t>Debolt</t>
  </si>
  <si>
    <t>Oswalt</t>
  </si>
  <si>
    <t>Bulewich</t>
  </si>
  <si>
    <t>Fukuda</t>
  </si>
  <si>
    <t>Phillips</t>
  </si>
  <si>
    <t>Maddison</t>
  </si>
  <si>
    <t>Lockwood</t>
  </si>
  <si>
    <t>Defilippi</t>
  </si>
  <si>
    <t>Jackson</t>
  </si>
  <si>
    <t>Ozahowski</t>
  </si>
  <si>
    <t>Guthals</t>
  </si>
  <si>
    <t>Yates</t>
  </si>
  <si>
    <t>Lemos</t>
  </si>
  <si>
    <t>Seynders</t>
  </si>
  <si>
    <t>Walker</t>
  </si>
  <si>
    <t>Lam</t>
  </si>
  <si>
    <t>Sweigart</t>
  </si>
  <si>
    <t>Sieczkowski</t>
  </si>
  <si>
    <t>Jurgens</t>
  </si>
  <si>
    <t>Hackman</t>
  </si>
  <si>
    <t>Klarich</t>
  </si>
  <si>
    <t>Schulten</t>
  </si>
  <si>
    <t>Fagerstrom</t>
  </si>
  <si>
    <t>Bien</t>
  </si>
  <si>
    <t>Hess</t>
  </si>
  <si>
    <t>Shaw</t>
  </si>
  <si>
    <t>Williams</t>
  </si>
  <si>
    <t>Menzies</t>
  </si>
  <si>
    <t>Buehler</t>
  </si>
  <si>
    <t>Degen</t>
  </si>
  <si>
    <t>Arsenault</t>
  </si>
  <si>
    <t>Hoff</t>
  </si>
  <si>
    <t>Ashley</t>
  </si>
  <si>
    <t>Rindahl</t>
  </si>
  <si>
    <t>Clark</t>
  </si>
  <si>
    <t>Irish</t>
  </si>
  <si>
    <t>Dewitt</t>
  </si>
  <si>
    <t>Hickman</t>
  </si>
  <si>
    <t>Gonzalez</t>
  </si>
  <si>
    <t>Difani</t>
  </si>
  <si>
    <t>Widmann</t>
  </si>
  <si>
    <t>Tunney</t>
  </si>
  <si>
    <t>San Juan</t>
  </si>
  <si>
    <t>Croll</t>
  </si>
  <si>
    <t>Rolfes</t>
  </si>
  <si>
    <t>Hinkle</t>
  </si>
  <si>
    <t>Leuchanka</t>
  </si>
  <si>
    <t>Ayr</t>
  </si>
  <si>
    <t>Siegel</t>
  </si>
  <si>
    <t>Penrose</t>
  </si>
  <si>
    <t>Schuler</t>
  </si>
  <si>
    <t>Stange</t>
  </si>
  <si>
    <t>Roy</t>
  </si>
  <si>
    <t>Potere</t>
  </si>
  <si>
    <t>Podgurski</t>
  </si>
  <si>
    <t>Diamond</t>
  </si>
  <si>
    <t>Sallade</t>
  </si>
  <si>
    <t>Zhang</t>
  </si>
  <si>
    <t>Chatfield</t>
  </si>
  <si>
    <t>Bruns</t>
  </si>
  <si>
    <t>Yochum</t>
  </si>
  <si>
    <t>Freeburn</t>
  </si>
  <si>
    <t>Spencer</t>
  </si>
  <si>
    <t>Jarosik</t>
  </si>
  <si>
    <t>Heinzen</t>
  </si>
  <si>
    <t>Kelley</t>
  </si>
  <si>
    <t>Thacker</t>
  </si>
  <si>
    <t>Jeseritz</t>
  </si>
  <si>
    <t>Hohman</t>
  </si>
  <si>
    <t>Hill</t>
  </si>
  <si>
    <t>Kuepfer</t>
  </si>
  <si>
    <t>Kaczmarek</t>
  </si>
  <si>
    <t>Pitt</t>
  </si>
  <si>
    <t>Lorton</t>
  </si>
  <si>
    <t>Castaneda</t>
  </si>
  <si>
    <t>Cherop</t>
  </si>
  <si>
    <t>Howell</t>
  </si>
  <si>
    <t>Palmer</t>
  </si>
  <si>
    <t>Olson</t>
  </si>
  <si>
    <t>Waldron</t>
  </si>
  <si>
    <t>Stack</t>
  </si>
  <si>
    <t>Sanchez Y Torres</t>
  </si>
  <si>
    <t>Daniels</t>
  </si>
  <si>
    <t>Pepp</t>
  </si>
  <si>
    <t>Buechler</t>
  </si>
  <si>
    <t>Buenting</t>
  </si>
  <si>
    <t>Arcand</t>
  </si>
  <si>
    <t>Kesack</t>
  </si>
  <si>
    <t>Post</t>
  </si>
  <si>
    <t>Dunne</t>
  </si>
  <si>
    <t>Kilel</t>
  </si>
  <si>
    <t>Nicholson</t>
  </si>
  <si>
    <t>Susmann</t>
  </si>
  <si>
    <t>Harsh</t>
  </si>
  <si>
    <t>Pocasangre</t>
  </si>
  <si>
    <t>Martinez Lopez</t>
  </si>
  <si>
    <t>Riegel</t>
  </si>
  <si>
    <t>Monson</t>
  </si>
  <si>
    <t>Klubben</t>
  </si>
  <si>
    <t>Mascaro</t>
  </si>
  <si>
    <t>Norvell</t>
  </si>
  <si>
    <t>Ornelas</t>
  </si>
  <si>
    <t>Fitzpatrick</t>
  </si>
  <si>
    <t>Bloomquist</t>
  </si>
  <si>
    <t>Wick</t>
  </si>
  <si>
    <t>Zappala</t>
  </si>
  <si>
    <t>Earle</t>
  </si>
  <si>
    <t>Majewski</t>
  </si>
  <si>
    <t>Apfelbaum</t>
  </si>
  <si>
    <t>Graham</t>
  </si>
  <si>
    <t>Whitacre</t>
  </si>
  <si>
    <t>Wegener</t>
  </si>
  <si>
    <t>Collie</t>
  </si>
  <si>
    <t>Murphy</t>
  </si>
  <si>
    <t>Butters</t>
  </si>
  <si>
    <t>Cook</t>
  </si>
  <si>
    <t>Breen</t>
  </si>
  <si>
    <t>Fitzsimons</t>
  </si>
  <si>
    <t>Houle</t>
  </si>
  <si>
    <t>Ray</t>
  </si>
  <si>
    <t>Jennings</t>
  </si>
  <si>
    <t>Fuller</t>
  </si>
  <si>
    <t>Lovisek</t>
  </si>
  <si>
    <t>Painter</t>
  </si>
  <si>
    <t>Edwards</t>
  </si>
  <si>
    <t>Liebl</t>
  </si>
  <si>
    <t>Kasabian-Larson</t>
  </si>
  <si>
    <t>Creamer</t>
  </si>
  <si>
    <t>Kimbel</t>
  </si>
  <si>
    <t>Livensparger</t>
  </si>
  <si>
    <t>Grange</t>
  </si>
  <si>
    <t>Nunlist</t>
  </si>
  <si>
    <t>Cutter</t>
  </si>
  <si>
    <t>Martin</t>
  </si>
  <si>
    <t>Cooney</t>
  </si>
  <si>
    <t>Bier</t>
  </si>
  <si>
    <t>Muskopf</t>
  </si>
  <si>
    <t>Sirak</t>
  </si>
  <si>
    <t>Nelsen</t>
  </si>
  <si>
    <t>Schallner</t>
  </si>
  <si>
    <t>Dunlap</t>
  </si>
  <si>
    <t>Messing</t>
  </si>
  <si>
    <t>Bondell</t>
  </si>
  <si>
    <t>Gaughan</t>
  </si>
  <si>
    <t>Gruman</t>
  </si>
  <si>
    <t>Whitlow</t>
  </si>
  <si>
    <t>Sabo</t>
  </si>
  <si>
    <t>Nazarian</t>
  </si>
  <si>
    <t>Lerma</t>
  </si>
  <si>
    <t>Dahl</t>
  </si>
  <si>
    <t>Surtees</t>
  </si>
  <si>
    <t>Spetner</t>
  </si>
  <si>
    <t>Brandon</t>
  </si>
  <si>
    <t>Eley</t>
  </si>
  <si>
    <t>Sedicum</t>
  </si>
  <si>
    <t>Markle</t>
  </si>
  <si>
    <t>Kunz</t>
  </si>
  <si>
    <t>Wimert</t>
  </si>
  <si>
    <t>Peterson</t>
  </si>
  <si>
    <t>Mercier</t>
  </si>
  <si>
    <t>Laurie</t>
  </si>
  <si>
    <t>Sekaquaptewa</t>
  </si>
  <si>
    <t>Frash</t>
  </si>
  <si>
    <t>Bukowski</t>
  </si>
  <si>
    <t>Sandahl</t>
  </si>
  <si>
    <t>Speight</t>
  </si>
  <si>
    <t>Nielsen</t>
  </si>
  <si>
    <t>Zirdok</t>
  </si>
  <si>
    <t>Crudale</t>
  </si>
  <si>
    <t>Koopmans</t>
  </si>
  <si>
    <t>Milani</t>
  </si>
  <si>
    <t>Finelli</t>
  </si>
  <si>
    <t>Beasley</t>
  </si>
  <si>
    <t>Bedbury</t>
  </si>
  <si>
    <t>Stemberger</t>
  </si>
  <si>
    <t>Chebet</t>
  </si>
  <si>
    <t>Muir</t>
  </si>
  <si>
    <t>Yang</t>
  </si>
  <si>
    <t>Gravel</t>
  </si>
  <si>
    <t>Jamieson</t>
  </si>
  <si>
    <t>Dufeal</t>
  </si>
  <si>
    <t>Sansonetti</t>
  </si>
  <si>
    <t>Koneazny</t>
  </si>
  <si>
    <t>Glasson</t>
  </si>
  <si>
    <t>Canitz</t>
  </si>
  <si>
    <t>Li</t>
  </si>
  <si>
    <t>Parsons</t>
  </si>
  <si>
    <t>Raulli</t>
  </si>
  <si>
    <t>Sevcik</t>
  </si>
  <si>
    <t>Narang</t>
  </si>
  <si>
    <t>Royston</t>
  </si>
  <si>
    <t>Tieri</t>
  </si>
  <si>
    <t>Whitney</t>
  </si>
  <si>
    <t>Wandzilak</t>
  </si>
  <si>
    <t>Valenzona</t>
  </si>
  <si>
    <t>Young</t>
  </si>
  <si>
    <t>Richards</t>
  </si>
  <si>
    <t>Alexson</t>
  </si>
  <si>
    <t>McKenna</t>
  </si>
  <si>
    <t>Argall</t>
  </si>
  <si>
    <t>Patchell</t>
  </si>
  <si>
    <t>Catoggio</t>
  </si>
  <si>
    <t>Adams</t>
  </si>
  <si>
    <t>Windt</t>
  </si>
  <si>
    <t>Ryan</t>
  </si>
  <si>
    <t>Marion</t>
  </si>
  <si>
    <t>Raffetto</t>
  </si>
  <si>
    <t>Oehlke</t>
  </si>
  <si>
    <t>Sudol</t>
  </si>
  <si>
    <t>Van Es</t>
  </si>
  <si>
    <t>Dolge</t>
  </si>
  <si>
    <t>Marlier</t>
  </si>
  <si>
    <t>Girard</t>
  </si>
  <si>
    <t>Hubbard</t>
  </si>
  <si>
    <t>Koester</t>
  </si>
  <si>
    <t>Matthews</t>
  </si>
  <si>
    <t>Rubinich</t>
  </si>
  <si>
    <t>Alban</t>
  </si>
  <si>
    <t>Corcoran</t>
  </si>
  <si>
    <t>Sargent</t>
  </si>
  <si>
    <t>Watson</t>
  </si>
  <si>
    <t>Esponda</t>
  </si>
  <si>
    <t>Krall</t>
  </si>
  <si>
    <t>Poskin</t>
  </si>
  <si>
    <t>Halfmann</t>
  </si>
  <si>
    <t>Klapper</t>
  </si>
  <si>
    <t>George</t>
  </si>
  <si>
    <t>Hicks</t>
  </si>
  <si>
    <t>Lockyer</t>
  </si>
  <si>
    <t>Byrnes</t>
  </si>
  <si>
    <t>Norris</t>
  </si>
  <si>
    <t>Darda</t>
  </si>
  <si>
    <t>Otstot</t>
  </si>
  <si>
    <t>Bowley</t>
  </si>
  <si>
    <t>Rogers</t>
  </si>
  <si>
    <t>Mclaughlin</t>
  </si>
  <si>
    <t>Ziegler</t>
  </si>
  <si>
    <t>Hughey</t>
  </si>
  <si>
    <t>Knast</t>
  </si>
  <si>
    <t>Stob</t>
  </si>
  <si>
    <t>Jensen</t>
  </si>
  <si>
    <t>Mutter</t>
  </si>
  <si>
    <t>Ahern</t>
  </si>
  <si>
    <t>Chviruk</t>
  </si>
  <si>
    <t>Meehan</t>
  </si>
  <si>
    <t>Gammon</t>
  </si>
  <si>
    <t>Franco</t>
  </si>
  <si>
    <t>Patterson</t>
  </si>
  <si>
    <t>Valdes</t>
  </si>
  <si>
    <t>Craig</t>
  </si>
  <si>
    <t>Whipple</t>
  </si>
  <si>
    <t>Marton</t>
  </si>
  <si>
    <t>Hildebrandt</t>
  </si>
  <si>
    <t>Biggs</t>
  </si>
  <si>
    <t>Shigezumi</t>
  </si>
  <si>
    <t>Meineke</t>
  </si>
  <si>
    <t>Ludington</t>
  </si>
  <si>
    <t>Perrich</t>
  </si>
  <si>
    <t>Cervantes</t>
  </si>
  <si>
    <t>Andrews</t>
  </si>
  <si>
    <t>Ruvalcaba</t>
  </si>
  <si>
    <t>Stone</t>
  </si>
  <si>
    <t>Campbell</t>
  </si>
  <si>
    <t>Asher</t>
  </si>
  <si>
    <t>Mazzotta</t>
  </si>
  <si>
    <t>Huttl</t>
  </si>
  <si>
    <t>Ferron</t>
  </si>
  <si>
    <t>Colarusso</t>
  </si>
  <si>
    <t>Pearlman</t>
  </si>
  <si>
    <t>O'Mara</t>
  </si>
  <si>
    <t>Niska</t>
  </si>
  <si>
    <t>Schlich</t>
  </si>
  <si>
    <t>Zidek</t>
  </si>
  <si>
    <t>Ellgass</t>
  </si>
  <si>
    <t>Lowe</t>
  </si>
  <si>
    <t>Malone</t>
  </si>
  <si>
    <t>Dumke</t>
  </si>
  <si>
    <t>Strong</t>
  </si>
  <si>
    <t>Ferguson</t>
  </si>
  <si>
    <t>Klein</t>
  </si>
  <si>
    <t>Eusebio</t>
  </si>
  <si>
    <t>Szolosi</t>
  </si>
  <si>
    <t>Butler</t>
  </si>
  <si>
    <t>Fukuchi</t>
  </si>
  <si>
    <t>Drucker</t>
  </si>
  <si>
    <t>Aziz</t>
  </si>
  <si>
    <t>Pak</t>
  </si>
  <si>
    <t>Kieta</t>
  </si>
  <si>
    <t>Velez</t>
  </si>
  <si>
    <t>Bussiere</t>
  </si>
  <si>
    <t>McCartney</t>
  </si>
  <si>
    <t>Bambauer</t>
  </si>
  <si>
    <t>Mertz</t>
  </si>
  <si>
    <t>Mason</t>
  </si>
  <si>
    <t>Rotich</t>
  </si>
  <si>
    <t>Fetzer</t>
  </si>
  <si>
    <t>Mattis</t>
  </si>
  <si>
    <t>Balinsky</t>
  </si>
  <si>
    <t>Reilly</t>
  </si>
  <si>
    <t>Petry</t>
  </si>
  <si>
    <t>Laleman</t>
  </si>
  <si>
    <t>Colby</t>
  </si>
  <si>
    <t>Wathke</t>
  </si>
  <si>
    <t>Daly</t>
  </si>
  <si>
    <t>Dillon</t>
  </si>
  <si>
    <t>Pontes</t>
  </si>
  <si>
    <t>Spies</t>
  </si>
  <si>
    <t>Greig</t>
  </si>
  <si>
    <t>Erlandson</t>
  </si>
  <si>
    <t>Autrey</t>
  </si>
  <si>
    <t>Michalski</t>
  </si>
  <si>
    <t>Grillo</t>
  </si>
  <si>
    <t>Coronado</t>
  </si>
  <si>
    <t>Dewine</t>
  </si>
  <si>
    <t>Carman</t>
  </si>
  <si>
    <t>Neems</t>
  </si>
  <si>
    <t>Pesyna</t>
  </si>
  <si>
    <t>Meling</t>
  </si>
  <si>
    <t>Widlowski</t>
  </si>
  <si>
    <t>Nadar</t>
  </si>
  <si>
    <t>Leedham</t>
  </si>
  <si>
    <t>Haglund</t>
  </si>
  <si>
    <t>Mills</t>
  </si>
  <si>
    <t>Drnjevich</t>
  </si>
  <si>
    <t>Clay</t>
  </si>
  <si>
    <t>Marbury</t>
  </si>
  <si>
    <t>Coon</t>
  </si>
  <si>
    <t>Vanttinen</t>
  </si>
  <si>
    <t>Garges</t>
  </si>
  <si>
    <t>Rivel</t>
  </si>
  <si>
    <t>Lawson</t>
  </si>
  <si>
    <t>Cale</t>
  </si>
  <si>
    <t>Stewart</t>
  </si>
  <si>
    <t>Drotz</t>
  </si>
  <si>
    <t>Mutai</t>
  </si>
  <si>
    <t>Lovlien</t>
  </si>
  <si>
    <t>Stoney</t>
  </si>
  <si>
    <t>Markert</t>
  </si>
  <si>
    <t>McLucas</t>
  </si>
  <si>
    <t>Erwin</t>
  </si>
  <si>
    <t>Otsuka</t>
  </si>
  <si>
    <t>Myers</t>
  </si>
  <si>
    <t>Cote</t>
  </si>
  <si>
    <t>Ehrhardt</t>
  </si>
  <si>
    <t>Petersen</t>
  </si>
  <si>
    <t>Ertel</t>
  </si>
  <si>
    <t>Lanza</t>
  </si>
  <si>
    <t>Picklesimer</t>
  </si>
  <si>
    <t>Giles</t>
  </si>
  <si>
    <t>Harmon</t>
  </si>
  <si>
    <t>Pennings</t>
  </si>
  <si>
    <t>Tseronis</t>
  </si>
  <si>
    <t>Aliff</t>
  </si>
  <si>
    <t>Willenberg</t>
  </si>
  <si>
    <t>Millett</t>
  </si>
  <si>
    <t>Haley</t>
  </si>
  <si>
    <t>Ackerman</t>
  </si>
  <si>
    <t>Valdez</t>
  </si>
  <si>
    <t>Michaud</t>
  </si>
  <si>
    <t>Gunnink</t>
  </si>
  <si>
    <t>Knight</t>
  </si>
  <si>
    <t>Grosscup</t>
  </si>
  <si>
    <t>Koniuch</t>
  </si>
  <si>
    <t>Heitzman</t>
  </si>
  <si>
    <t>Tatton</t>
  </si>
  <si>
    <t>Flanagan</t>
  </si>
  <si>
    <t>Funk</t>
  </si>
  <si>
    <t>Davenport</t>
  </si>
  <si>
    <t>Lindbloom</t>
  </si>
  <si>
    <t>Wijayaratne</t>
  </si>
  <si>
    <t>Ainsworth</t>
  </si>
  <si>
    <t>Gayagoy</t>
  </si>
  <si>
    <t>Fitzmaurice</t>
  </si>
  <si>
    <t>Rodriguez</t>
  </si>
  <si>
    <t>Tsoucas</t>
  </si>
  <si>
    <t>Muhly</t>
  </si>
  <si>
    <t>Lund</t>
  </si>
  <si>
    <t>Battaglino</t>
  </si>
  <si>
    <t>Pena</t>
  </si>
  <si>
    <t>Thomason</t>
  </si>
  <si>
    <t>Hancox</t>
  </si>
  <si>
    <t>Canarecci</t>
  </si>
  <si>
    <t>Toupin</t>
  </si>
  <si>
    <t>Mulley</t>
  </si>
  <si>
    <t>Parry</t>
  </si>
  <si>
    <t>Mason Cox</t>
  </si>
  <si>
    <t>Thompson</t>
  </si>
  <si>
    <t>Nelson</t>
  </si>
  <si>
    <t>Forte</t>
  </si>
  <si>
    <t>Corona Iturriaga</t>
  </si>
  <si>
    <t>McCollum</t>
  </si>
  <si>
    <t>Hevner</t>
  </si>
  <si>
    <t>Looi</t>
  </si>
  <si>
    <t>Power</t>
  </si>
  <si>
    <t>Routon</t>
  </si>
  <si>
    <t>Dochelli</t>
  </si>
  <si>
    <t>Gillespie</t>
  </si>
  <si>
    <t>Oskvig</t>
  </si>
  <si>
    <t>Holland-Stergar</t>
  </si>
  <si>
    <t>Arai</t>
  </si>
  <si>
    <t>Olausson</t>
  </si>
  <si>
    <t>Wagner</t>
  </si>
  <si>
    <t>Delong</t>
  </si>
  <si>
    <t>Mehech</t>
  </si>
  <si>
    <t>Machiela</t>
  </si>
  <si>
    <t>Dupere</t>
  </si>
  <si>
    <t>Iandolo</t>
  </si>
  <si>
    <t>Ito</t>
  </si>
  <si>
    <t>Barry</t>
  </si>
  <si>
    <t>Boyce</t>
  </si>
  <si>
    <t>Lin</t>
  </si>
  <si>
    <t>Nalven</t>
  </si>
  <si>
    <t>Bourgeois</t>
  </si>
  <si>
    <t>Orloff</t>
  </si>
  <si>
    <t>Ramirez</t>
  </si>
  <si>
    <t>Fouquet</t>
  </si>
  <si>
    <t>McPhillips</t>
  </si>
  <si>
    <t>Burgin</t>
  </si>
  <si>
    <t>Roberts</t>
  </si>
  <si>
    <t>Nemec</t>
  </si>
  <si>
    <t>Appman</t>
  </si>
  <si>
    <t>Glotzbach</t>
  </si>
  <si>
    <t>Tenforde</t>
  </si>
  <si>
    <t>Stanley Torres</t>
  </si>
  <si>
    <t>Vandongen</t>
  </si>
  <si>
    <t>Liebald</t>
  </si>
  <si>
    <t>Holte</t>
  </si>
  <si>
    <t>Bartlett</t>
  </si>
  <si>
    <t>Bergman</t>
  </si>
  <si>
    <t>Aitken</t>
  </si>
  <si>
    <t>Berger</t>
  </si>
  <si>
    <t>Richey</t>
  </si>
  <si>
    <t>Trotter</t>
  </si>
  <si>
    <t>Chavez</t>
  </si>
  <si>
    <t>Orifice</t>
  </si>
  <si>
    <t>Farkash</t>
  </si>
  <si>
    <t>Crawford</t>
  </si>
  <si>
    <t>Sittlington</t>
  </si>
  <si>
    <t>Silbert</t>
  </si>
  <si>
    <t>Carrique</t>
  </si>
  <si>
    <t>Kosla</t>
  </si>
  <si>
    <t>Parker</t>
  </si>
  <si>
    <t>Horton</t>
  </si>
  <si>
    <t>Boller</t>
  </si>
  <si>
    <t>Olaru</t>
  </si>
  <si>
    <t>Prescott</t>
  </si>
  <si>
    <t>Hines</t>
  </si>
  <si>
    <t>Blanton</t>
  </si>
  <si>
    <t>Bustamante</t>
  </si>
  <si>
    <t>McCann</t>
  </si>
  <si>
    <t>Schmole</t>
  </si>
  <si>
    <t>Barber</t>
  </si>
  <si>
    <t>Reichmann</t>
  </si>
  <si>
    <t>Cavatorta</t>
  </si>
  <si>
    <t>Yaeger</t>
  </si>
  <si>
    <t>Hughes</t>
  </si>
  <si>
    <t>Donahue</t>
  </si>
  <si>
    <t>Greenwell</t>
  </si>
  <si>
    <t>Steele</t>
  </si>
  <si>
    <t>Gunter</t>
  </si>
  <si>
    <t>McDonough</t>
  </si>
  <si>
    <t>Sweetland</t>
  </si>
  <si>
    <t>Hammersmith</t>
  </si>
  <si>
    <t>French</t>
  </si>
  <si>
    <t>Garbe</t>
  </si>
  <si>
    <t>Duncan</t>
  </si>
  <si>
    <t>Wallace</t>
  </si>
  <si>
    <t>Tillman</t>
  </si>
  <si>
    <t>Taylor</t>
  </si>
  <si>
    <t>McSween</t>
  </si>
  <si>
    <t>Schubert</t>
  </si>
  <si>
    <t>Lalanne</t>
  </si>
  <si>
    <t>Arellano</t>
  </si>
  <si>
    <t>Charette</t>
  </si>
  <si>
    <t>Pena Reyes</t>
  </si>
  <si>
    <t>Broderick</t>
  </si>
  <si>
    <t>Summers</t>
  </si>
  <si>
    <t>Zhou</t>
  </si>
  <si>
    <t>Clarke-Ames</t>
  </si>
  <si>
    <t>Staton</t>
  </si>
  <si>
    <t>Forster</t>
  </si>
  <si>
    <t>Monaghan</t>
  </si>
  <si>
    <t>Kawamoto</t>
  </si>
  <si>
    <t>Dicharry</t>
  </si>
  <si>
    <t>Berry</t>
  </si>
  <si>
    <t>Porfirio</t>
  </si>
  <si>
    <t>Thind</t>
  </si>
  <si>
    <t>Horn</t>
  </si>
  <si>
    <t>Sabadosa</t>
  </si>
  <si>
    <t>Casady</t>
  </si>
  <si>
    <t>Ahokas</t>
  </si>
  <si>
    <t>Hebert</t>
  </si>
  <si>
    <t>Fair</t>
  </si>
  <si>
    <t>Swenson</t>
  </si>
  <si>
    <t>Revenis</t>
  </si>
  <si>
    <t>Engnes</t>
  </si>
  <si>
    <t>Wiltse</t>
  </si>
  <si>
    <t>Fernandez</t>
  </si>
  <si>
    <t>Pinney</t>
  </si>
  <si>
    <t>Levy</t>
  </si>
  <si>
    <t>Takeda</t>
  </si>
  <si>
    <t>Burke</t>
  </si>
  <si>
    <t>Duarte</t>
  </si>
  <si>
    <t>Nice</t>
  </si>
  <si>
    <t>Windler</t>
  </si>
  <si>
    <t>Jones</t>
  </si>
  <si>
    <t>Stevenson</t>
  </si>
  <si>
    <t>Humphrey</t>
  </si>
  <si>
    <t>Payne</t>
  </si>
  <si>
    <t>Hails</t>
  </si>
  <si>
    <t>Proctor</t>
  </si>
  <si>
    <t>Gresh</t>
  </si>
  <si>
    <t>Anis</t>
  </si>
  <si>
    <t>Swartz</t>
  </si>
  <si>
    <t>Schluneker</t>
  </si>
  <si>
    <t>Bellemare</t>
  </si>
  <si>
    <t>Vitalo</t>
  </si>
  <si>
    <t>Marshall</t>
  </si>
  <si>
    <t>Pittaway</t>
  </si>
  <si>
    <t>Bill</t>
  </si>
  <si>
    <t>Antrim</t>
  </si>
  <si>
    <t>Doolittle-Crider</t>
  </si>
  <si>
    <t>Ruhlman</t>
  </si>
  <si>
    <t>Uchiyama</t>
  </si>
  <si>
    <t>Desota</t>
  </si>
  <si>
    <t>Edmonds</t>
  </si>
  <si>
    <t>Otto</t>
  </si>
  <si>
    <t>Kurt</t>
  </si>
  <si>
    <t>Duhaime</t>
  </si>
  <si>
    <t>Swann</t>
  </si>
  <si>
    <t>Burton</t>
  </si>
  <si>
    <t>Joslyn</t>
  </si>
  <si>
    <t>Bennie</t>
  </si>
  <si>
    <t>Kanyane</t>
  </si>
  <si>
    <t>McFadden</t>
  </si>
  <si>
    <t>Connolly</t>
  </si>
  <si>
    <t>Merino</t>
  </si>
  <si>
    <t>Baird</t>
  </si>
  <si>
    <t>Locatelli</t>
  </si>
  <si>
    <t>Brake</t>
  </si>
  <si>
    <t>Jacobs</t>
  </si>
  <si>
    <t>Vaught</t>
  </si>
  <si>
    <t>Monteleone</t>
  </si>
  <si>
    <t>Verdugo</t>
  </si>
  <si>
    <t>Sellers</t>
  </si>
  <si>
    <t>Bowman</t>
  </si>
  <si>
    <t>Marley</t>
  </si>
  <si>
    <t>Grey</t>
  </si>
  <si>
    <t>O'Rourke</t>
  </si>
  <si>
    <t>Fatehali</t>
  </si>
  <si>
    <t>Piza-Taylor</t>
  </si>
  <si>
    <t>Cavanaugh</t>
  </si>
  <si>
    <t>Amako</t>
  </si>
  <si>
    <t>Musa</t>
  </si>
  <si>
    <t>Phillippi</t>
  </si>
  <si>
    <t>Hoskins</t>
  </si>
  <si>
    <t>Imbalzano Zegar</t>
  </si>
  <si>
    <t>Triedman</t>
  </si>
  <si>
    <t>Lovuolo</t>
  </si>
  <si>
    <t>Chung</t>
  </si>
  <si>
    <t>Newsom</t>
  </si>
  <si>
    <t>Harrington</t>
  </si>
  <si>
    <t>Hoffman</t>
  </si>
  <si>
    <t>Van Vugt</t>
  </si>
  <si>
    <t>Feehley</t>
  </si>
  <si>
    <t>Ashworth</t>
  </si>
  <si>
    <t>Hansen</t>
  </si>
  <si>
    <t>Czyz</t>
  </si>
  <si>
    <t>Bauder</t>
  </si>
  <si>
    <t>Mendoza</t>
  </si>
  <si>
    <t>Glass</t>
  </si>
  <si>
    <t>Butcher</t>
  </si>
  <si>
    <t>Traiser</t>
  </si>
  <si>
    <t>Mudy-Mader</t>
  </si>
  <si>
    <t>Woo</t>
  </si>
  <si>
    <t>Sheppard</t>
  </si>
  <si>
    <t>Doran</t>
  </si>
  <si>
    <t>Labrosse</t>
  </si>
  <si>
    <t>Thomas</t>
  </si>
  <si>
    <t>Lesniak</t>
  </si>
  <si>
    <t>Prowse</t>
  </si>
  <si>
    <t>Seigel</t>
  </si>
  <si>
    <t>Blas</t>
  </si>
  <si>
    <t>Simpson</t>
  </si>
  <si>
    <t>Gierman</t>
  </si>
  <si>
    <t>Jeuland</t>
  </si>
  <si>
    <t>Chorney</t>
  </si>
  <si>
    <t>Rook</t>
  </si>
  <si>
    <t>Chin</t>
  </si>
  <si>
    <t>Savage</t>
  </si>
  <si>
    <t>Hitchings</t>
  </si>
  <si>
    <t>Truitt</t>
  </si>
  <si>
    <t>Chang</t>
  </si>
  <si>
    <t>Frey</t>
  </si>
  <si>
    <t>Krishna</t>
  </si>
  <si>
    <t>Maher</t>
  </si>
  <si>
    <t>Boivin</t>
  </si>
  <si>
    <t>McAlister</t>
  </si>
  <si>
    <t>Akhmedova</t>
  </si>
  <si>
    <t>Tucker</t>
  </si>
  <si>
    <t>Gramelspacher</t>
  </si>
  <si>
    <t>Goldsmith</t>
  </si>
  <si>
    <t>Tranter</t>
  </si>
  <si>
    <t>Tu</t>
  </si>
  <si>
    <t>Kaczka</t>
  </si>
  <si>
    <t>Hunter</t>
  </si>
  <si>
    <t>Ashby</t>
  </si>
  <si>
    <t>Ausen</t>
  </si>
  <si>
    <t>O'Leary</t>
  </si>
  <si>
    <t>Scoville</t>
  </si>
  <si>
    <t>Kaus</t>
  </si>
  <si>
    <t>Rainey</t>
  </si>
  <si>
    <t>Rasch</t>
  </si>
  <si>
    <t>Plunkett</t>
  </si>
  <si>
    <t>Gusmer</t>
  </si>
  <si>
    <t>Loftus</t>
  </si>
  <si>
    <t>Alvarez</t>
  </si>
  <si>
    <t>Petersson</t>
  </si>
  <si>
    <t>Liaw</t>
  </si>
  <si>
    <t>Tripaldi</t>
  </si>
  <si>
    <t>Endara</t>
  </si>
  <si>
    <t>Valle</t>
  </si>
  <si>
    <t>Germain</t>
  </si>
  <si>
    <t>Finecey</t>
  </si>
  <si>
    <t>Roe</t>
  </si>
  <si>
    <t>Webb</t>
  </si>
  <si>
    <t>Stocker</t>
  </si>
  <si>
    <t>Jacobson</t>
  </si>
  <si>
    <t>Goodwin</t>
  </si>
  <si>
    <t>Brock</t>
  </si>
  <si>
    <t>Papp</t>
  </si>
  <si>
    <t>Siragusa</t>
  </si>
  <si>
    <t>Pizarro</t>
  </si>
  <si>
    <t>Strange</t>
  </si>
  <si>
    <t>Eidinger</t>
  </si>
  <si>
    <t>Ginsburg</t>
  </si>
  <si>
    <t>Truex</t>
  </si>
  <si>
    <t>Higgins</t>
  </si>
  <si>
    <t>McCurdy</t>
  </si>
  <si>
    <t>Varner</t>
  </si>
  <si>
    <t>Dahmen</t>
  </si>
  <si>
    <t>Fraser</t>
  </si>
  <si>
    <t>Deeg</t>
  </si>
  <si>
    <t>Robertson</t>
  </si>
  <si>
    <t>Peck</t>
  </si>
  <si>
    <t>Burger</t>
  </si>
  <si>
    <t>Blain</t>
  </si>
  <si>
    <t>Winters</t>
  </si>
  <si>
    <t>McCue</t>
  </si>
  <si>
    <t>Webster</t>
  </si>
  <si>
    <t>Chiappone</t>
  </si>
  <si>
    <t>Opie</t>
  </si>
  <si>
    <t>Donnelly</t>
  </si>
  <si>
    <t>Rall</t>
  </si>
  <si>
    <t>Chen</t>
  </si>
  <si>
    <t>Tufaro</t>
  </si>
  <si>
    <t>Susedik</t>
  </si>
  <si>
    <t>Deady</t>
  </si>
  <si>
    <t>Schaefer</t>
  </si>
  <si>
    <t>D'Alessandro</t>
  </si>
  <si>
    <t>Wyss</t>
  </si>
  <si>
    <t>Rose</t>
  </si>
  <si>
    <t>Hopper</t>
  </si>
  <si>
    <t>Finneran</t>
  </si>
  <si>
    <t>Basham</t>
  </si>
  <si>
    <t>Oscal</t>
  </si>
  <si>
    <t>Craft</t>
  </si>
  <si>
    <t>Kebede</t>
  </si>
  <si>
    <t>Strobel</t>
  </si>
  <si>
    <t>Dalton</t>
  </si>
  <si>
    <t>Morimoto</t>
  </si>
  <si>
    <t>Manlove</t>
  </si>
  <si>
    <t>Madzik</t>
  </si>
  <si>
    <t>Hobson</t>
  </si>
  <si>
    <t>Reyes</t>
  </si>
  <si>
    <t>Tierney</t>
  </si>
  <si>
    <t>Gabris</t>
  </si>
  <si>
    <t>Howard</t>
  </si>
  <si>
    <t>Kallay</t>
  </si>
  <si>
    <t>Leguizamo</t>
  </si>
  <si>
    <t>Escartin</t>
  </si>
  <si>
    <t>Chorey</t>
  </si>
  <si>
    <t>McVay</t>
  </si>
  <si>
    <t>Vinson</t>
  </si>
  <si>
    <t>Astrike-Davis</t>
  </si>
  <si>
    <t>Harder</t>
  </si>
  <si>
    <t>Bell</t>
  </si>
  <si>
    <t>Dawes</t>
  </si>
  <si>
    <t>Larios</t>
  </si>
  <si>
    <t>Yaremczuk</t>
  </si>
  <si>
    <t>Eversman</t>
  </si>
  <si>
    <t>Hickory</t>
  </si>
  <si>
    <t>Mooney</t>
  </si>
  <si>
    <t>Craighead</t>
  </si>
  <si>
    <t>Gardner</t>
  </si>
  <si>
    <t>Lohrenz</t>
  </si>
  <si>
    <t>Demise</t>
  </si>
  <si>
    <t>Guitard</t>
  </si>
  <si>
    <t>Navas</t>
  </si>
  <si>
    <t>Ptucha</t>
  </si>
  <si>
    <t>Kirouac</t>
  </si>
  <si>
    <t>Toews</t>
  </si>
  <si>
    <t>Perry</t>
  </si>
  <si>
    <t>Kretz</t>
  </si>
  <si>
    <t>Hempel</t>
  </si>
  <si>
    <t>McBroom</t>
  </si>
  <si>
    <t>Yoo</t>
  </si>
  <si>
    <t>Rand</t>
  </si>
  <si>
    <t>Wolfe</t>
  </si>
  <si>
    <t>Vance</t>
  </si>
  <si>
    <t>Burnett</t>
  </si>
  <si>
    <t>Clason</t>
  </si>
  <si>
    <t>Pietz</t>
  </si>
  <si>
    <t>Tegenkamp</t>
  </si>
  <si>
    <t>Dover</t>
  </si>
  <si>
    <t>Dockemeyer</t>
  </si>
  <si>
    <t>Harel</t>
  </si>
  <si>
    <t>Aguila</t>
  </si>
  <si>
    <t>Vallejo Sarmiento</t>
  </si>
  <si>
    <t>Beisheim</t>
  </si>
  <si>
    <t>Lenhoff</t>
  </si>
  <si>
    <t>Wehrwein</t>
  </si>
  <si>
    <t>Markowitz</t>
  </si>
  <si>
    <t>Vos</t>
  </si>
  <si>
    <t>McLeod</t>
  </si>
  <si>
    <t>Balcom</t>
  </si>
  <si>
    <t>Dirth</t>
  </si>
  <si>
    <t>Inglish</t>
  </si>
  <si>
    <t>Massa-Musiak</t>
  </si>
  <si>
    <t>Bailey</t>
  </si>
  <si>
    <t>Jacoby</t>
  </si>
  <si>
    <t>Crimmings</t>
  </si>
  <si>
    <t>Crane</t>
  </si>
  <si>
    <t>Swartzfager</t>
  </si>
  <si>
    <t>Clevenger</t>
  </si>
  <si>
    <t>Reichardt</t>
  </si>
  <si>
    <t>Morton</t>
  </si>
  <si>
    <t>Sunstrum</t>
  </si>
  <si>
    <t>Frownfelter</t>
  </si>
  <si>
    <t>Richter</t>
  </si>
  <si>
    <t>England</t>
  </si>
  <si>
    <t>McLean</t>
  </si>
  <si>
    <t>Lane</t>
  </si>
  <si>
    <t>Vonachen</t>
  </si>
  <si>
    <t>Kidwell</t>
  </si>
  <si>
    <t>Betancourth</t>
  </si>
  <si>
    <t>Henstrom</t>
  </si>
  <si>
    <t>Pereira</t>
  </si>
  <si>
    <t>Brown</t>
  </si>
  <si>
    <t>Reasoner</t>
  </si>
  <si>
    <t>Carver</t>
  </si>
  <si>
    <t>Borror</t>
  </si>
  <si>
    <t>Saad</t>
  </si>
  <si>
    <t>Paul</t>
  </si>
  <si>
    <t>Trail</t>
  </si>
  <si>
    <t>Benton</t>
  </si>
  <si>
    <t>Bauman</t>
  </si>
  <si>
    <t>Bakula</t>
  </si>
  <si>
    <t>Davis</t>
  </si>
  <si>
    <t>Weiler</t>
  </si>
  <si>
    <t>Schaaf</t>
  </si>
  <si>
    <t>Sack</t>
  </si>
  <si>
    <t>Chenard</t>
  </si>
  <si>
    <t>Williamson</t>
  </si>
  <si>
    <t>Dollas</t>
  </si>
  <si>
    <t>Sprague</t>
  </si>
  <si>
    <t>Michell</t>
  </si>
  <si>
    <t>Datwyler</t>
  </si>
  <si>
    <t>Mead</t>
  </si>
  <si>
    <t>Kennedy</t>
  </si>
  <si>
    <t>Czech</t>
  </si>
  <si>
    <t>O'Brien</t>
  </si>
  <si>
    <t>Bachman</t>
  </si>
  <si>
    <t>Bednar</t>
  </si>
  <si>
    <t>Daye</t>
  </si>
  <si>
    <t>Clarke</t>
  </si>
  <si>
    <t>Koren</t>
  </si>
  <si>
    <t>Kuramoto</t>
  </si>
  <si>
    <t>Lynn</t>
  </si>
  <si>
    <t>Dierksen</t>
  </si>
  <si>
    <t>Zoeller</t>
  </si>
  <si>
    <t>Flesch</t>
  </si>
  <si>
    <t>Maltby</t>
  </si>
  <si>
    <t>Custance</t>
  </si>
  <si>
    <t>Choi</t>
  </si>
  <si>
    <t>Barnett</t>
  </si>
  <si>
    <t>Proulx</t>
  </si>
  <si>
    <t>Lundine</t>
  </si>
  <si>
    <t>Paullin</t>
  </si>
  <si>
    <t>Delucia</t>
  </si>
  <si>
    <t>Valentine</t>
  </si>
  <si>
    <t>Mohara</t>
  </si>
  <si>
    <t>Fairbrother</t>
  </si>
  <si>
    <t>Fagan</t>
  </si>
  <si>
    <t>Toth</t>
  </si>
  <si>
    <t>Guinn</t>
  </si>
  <si>
    <t>Diviney</t>
  </si>
  <si>
    <t>Marlatt</t>
  </si>
  <si>
    <t>Ohler</t>
  </si>
  <si>
    <t>Mossler</t>
  </si>
  <si>
    <t>Segall</t>
  </si>
  <si>
    <t>Sprieser</t>
  </si>
  <si>
    <t>Blanco</t>
  </si>
  <si>
    <t>Sheptock</t>
  </si>
  <si>
    <t>Chruniak</t>
  </si>
  <si>
    <t>Miller</t>
  </si>
  <si>
    <t>Theis</t>
  </si>
  <si>
    <t>Sadler</t>
  </si>
  <si>
    <t>Auger</t>
  </si>
  <si>
    <t>Steadman</t>
  </si>
  <si>
    <t>McCarron</t>
  </si>
  <si>
    <t>Roecker</t>
  </si>
  <si>
    <t>Giumarra</t>
  </si>
  <si>
    <t>Bower</t>
  </si>
  <si>
    <t>Capriccioso</t>
  </si>
  <si>
    <t>Starbuck</t>
  </si>
  <si>
    <t>McMahon</t>
  </si>
  <si>
    <t>Rissell</t>
  </si>
  <si>
    <t>Kromroy</t>
  </si>
  <si>
    <t>Manfredi</t>
  </si>
  <si>
    <t>Manwaring</t>
  </si>
  <si>
    <t>Tomaszewski</t>
  </si>
  <si>
    <t>Gannon</t>
  </si>
  <si>
    <t>Frye</t>
  </si>
  <si>
    <t>Currier</t>
  </si>
  <si>
    <t>Whittendale</t>
  </si>
  <si>
    <t>Rixe</t>
  </si>
  <si>
    <t>Ballon-Landa</t>
  </si>
  <si>
    <t>Zaferos</t>
  </si>
  <si>
    <t>Evans Marke</t>
  </si>
  <si>
    <t>Samland</t>
  </si>
  <si>
    <t>Shapiro</t>
  </si>
  <si>
    <t>Snitzer</t>
  </si>
  <si>
    <t>Herra Arroyo</t>
  </si>
  <si>
    <t>Watters</t>
  </si>
  <si>
    <t>Steele-Belkin</t>
  </si>
  <si>
    <t>Christensen</t>
  </si>
  <si>
    <t>Hodge</t>
  </si>
  <si>
    <t>Rusterholz</t>
  </si>
  <si>
    <t>Lafrance</t>
  </si>
  <si>
    <t>Hallis</t>
  </si>
  <si>
    <t>Salowitz</t>
  </si>
  <si>
    <t>Blake</t>
  </si>
  <si>
    <t>Langerak</t>
  </si>
  <si>
    <t>Bonilla</t>
  </si>
  <si>
    <t>Ciabattoni</t>
  </si>
  <si>
    <t>Escanero Palmer</t>
  </si>
  <si>
    <t>Osmark</t>
  </si>
  <si>
    <t>Warwick</t>
  </si>
  <si>
    <t>Magnuson</t>
  </si>
  <si>
    <t>Marsh</t>
  </si>
  <si>
    <t>Kari</t>
  </si>
  <si>
    <t>Standiford</t>
  </si>
  <si>
    <t>Sherwin</t>
  </si>
  <si>
    <t>Blekeli</t>
  </si>
  <si>
    <t>Vangampleare</t>
  </si>
  <si>
    <t>Hiatt</t>
  </si>
  <si>
    <t>Tadesse</t>
  </si>
  <si>
    <t>Jaswell</t>
  </si>
  <si>
    <t>Phillips-Cook</t>
  </si>
  <si>
    <t>Desruisseaux</t>
  </si>
  <si>
    <t>Ripp</t>
  </si>
  <si>
    <t>Harris</t>
  </si>
  <si>
    <t>Shafer</t>
  </si>
  <si>
    <t>Hemesath</t>
  </si>
  <si>
    <t>Vinci</t>
  </si>
  <si>
    <t>Diamond-Husmann</t>
  </si>
  <si>
    <t>Soto</t>
  </si>
  <si>
    <t>Patrick</t>
  </si>
  <si>
    <t>Dacko</t>
  </si>
  <si>
    <t>Glassey</t>
  </si>
  <si>
    <t>Frechette</t>
  </si>
  <si>
    <t>Benitez</t>
  </si>
  <si>
    <t>Gauthier</t>
  </si>
  <si>
    <t>Fazioli</t>
  </si>
  <si>
    <t>Dannenhauer</t>
  </si>
  <si>
    <t>McComb</t>
  </si>
  <si>
    <t>Sambasivam</t>
  </si>
  <si>
    <t>Maina</t>
  </si>
  <si>
    <t>Keshian</t>
  </si>
  <si>
    <t>Maas</t>
  </si>
  <si>
    <t>Sinasac</t>
  </si>
  <si>
    <t>Van De Kamp</t>
  </si>
  <si>
    <t>Ruffo</t>
  </si>
  <si>
    <t>Long</t>
  </si>
  <si>
    <t>Rohde</t>
  </si>
  <si>
    <t>Bonzi</t>
  </si>
  <si>
    <t>Moore</t>
  </si>
  <si>
    <t>McGrane</t>
  </si>
  <si>
    <t>Stepnowski</t>
  </si>
  <si>
    <t>Merkle</t>
  </si>
  <si>
    <t>Vigneron</t>
  </si>
  <si>
    <t>Mucci</t>
  </si>
  <si>
    <t>MacDonald</t>
  </si>
  <si>
    <t>Deng</t>
  </si>
  <si>
    <t>De Mata</t>
  </si>
  <si>
    <t>Strickland</t>
  </si>
  <si>
    <t>Cheney</t>
  </si>
  <si>
    <t>Godoy</t>
  </si>
  <si>
    <t>Rider</t>
  </si>
  <si>
    <t>Walters</t>
  </si>
  <si>
    <t>Leboeuf</t>
  </si>
  <si>
    <t>Scheibel</t>
  </si>
  <si>
    <t>Ritter</t>
  </si>
  <si>
    <t>Pretot</t>
  </si>
  <si>
    <t>Willsey</t>
  </si>
  <si>
    <t>Roach</t>
  </si>
  <si>
    <t>Jacobsen</t>
  </si>
  <si>
    <t>O'Hora</t>
  </si>
  <si>
    <t>Amato</t>
  </si>
  <si>
    <t>Wegner</t>
  </si>
  <si>
    <t>Bokun</t>
  </si>
  <si>
    <t>Ainsley</t>
  </si>
  <si>
    <t>Overpeck</t>
  </si>
  <si>
    <t>Levine</t>
  </si>
  <si>
    <t>Jean</t>
  </si>
  <si>
    <t>Wild</t>
  </si>
  <si>
    <t>Tabor</t>
  </si>
  <si>
    <t>Steffen</t>
  </si>
  <si>
    <t>Tadich</t>
  </si>
  <si>
    <t>Christenson</t>
  </si>
  <si>
    <t>Shell</t>
  </si>
  <si>
    <t>Rao</t>
  </si>
  <si>
    <t>Gomez</t>
  </si>
  <si>
    <t>Hemingway</t>
  </si>
  <si>
    <t>Pett</t>
  </si>
  <si>
    <t>Meingast</t>
  </si>
  <si>
    <t>McCarthy</t>
  </si>
  <si>
    <t>Boyle</t>
  </si>
  <si>
    <t>Gundersen</t>
  </si>
  <si>
    <t>Wolswinkel</t>
  </si>
  <si>
    <t>Bomberger</t>
  </si>
  <si>
    <t>Lapierre</t>
  </si>
  <si>
    <t>Beaty</t>
  </si>
  <si>
    <t>Hammer</t>
  </si>
  <si>
    <t>Randolph</t>
  </si>
  <si>
    <t>Masterson</t>
  </si>
  <si>
    <t>Friess</t>
  </si>
  <si>
    <t>Mantoni</t>
  </si>
  <si>
    <t>Bodeen</t>
  </si>
  <si>
    <t>McPherson</t>
  </si>
  <si>
    <t>Palko</t>
  </si>
  <si>
    <t>Breathitt</t>
  </si>
  <si>
    <t>Evora</t>
  </si>
  <si>
    <t>Fischer</t>
  </si>
  <si>
    <t>Deba</t>
  </si>
  <si>
    <t>Leloup</t>
  </si>
  <si>
    <t>Labare</t>
  </si>
  <si>
    <t>Arouca</t>
  </si>
  <si>
    <t>Reese</t>
  </si>
  <si>
    <t>McCloskey</t>
  </si>
  <si>
    <t>Tedsen</t>
  </si>
  <si>
    <t>Koehlinger</t>
  </si>
  <si>
    <t>Pielechaty</t>
  </si>
  <si>
    <t>Korhonen</t>
  </si>
  <si>
    <t>Kehr</t>
  </si>
  <si>
    <t>Montagna</t>
  </si>
  <si>
    <t>M√ºller</t>
  </si>
  <si>
    <t>Sidebottom</t>
  </si>
  <si>
    <t>Morris</t>
  </si>
  <si>
    <t>Chaisson</t>
  </si>
  <si>
    <t>Pigott</t>
  </si>
  <si>
    <t>Cochrane</t>
  </si>
  <si>
    <t>Armitage</t>
  </si>
  <si>
    <t>Shen</t>
  </si>
  <si>
    <t>O'Kelly</t>
  </si>
  <si>
    <t>Huff</t>
  </si>
  <si>
    <t>Dye</t>
  </si>
  <si>
    <t>Willard</t>
  </si>
  <si>
    <t>D'Addario</t>
  </si>
  <si>
    <t>Buchanan</t>
  </si>
  <si>
    <t>Waterson</t>
  </si>
  <si>
    <t>Piras</t>
  </si>
  <si>
    <t>Landberg</t>
  </si>
  <si>
    <t>Flynn</t>
  </si>
  <si>
    <t>Bishop</t>
  </si>
  <si>
    <t>Devitt</t>
  </si>
  <si>
    <t>Tramontano</t>
  </si>
  <si>
    <t>Davidson</t>
  </si>
  <si>
    <t>McGraw</t>
  </si>
  <si>
    <t>Fellure</t>
  </si>
  <si>
    <t>Sanford</t>
  </si>
  <si>
    <t>Wrenn</t>
  </si>
  <si>
    <t>Lindsey</t>
  </si>
  <si>
    <t>Krueger</t>
  </si>
  <si>
    <t>Babler</t>
  </si>
  <si>
    <t>Brezenski</t>
  </si>
  <si>
    <t>Marschner</t>
  </si>
  <si>
    <t>Montez</t>
  </si>
  <si>
    <t>Hurt</t>
  </si>
  <si>
    <t>Garey</t>
  </si>
  <si>
    <t>Reddy</t>
  </si>
  <si>
    <t>Mueller</t>
  </si>
  <si>
    <t>Julia</t>
  </si>
  <si>
    <t>Uribe</t>
  </si>
  <si>
    <t>Hand</t>
  </si>
  <si>
    <t>Mac-Thiong</t>
  </si>
  <si>
    <t>Steidl</t>
  </si>
  <si>
    <t>Alderfer</t>
  </si>
  <si>
    <t>Ryland</t>
  </si>
  <si>
    <t>Bethea</t>
  </si>
  <si>
    <t>Blois</t>
  </si>
  <si>
    <t>Dayton</t>
  </si>
  <si>
    <t>Cloud</t>
  </si>
  <si>
    <t>Betournay</t>
  </si>
  <si>
    <t>Temple</t>
  </si>
  <si>
    <t>Rollie</t>
  </si>
  <si>
    <t>Roybal</t>
  </si>
  <si>
    <t>Turgeon</t>
  </si>
  <si>
    <t>Deingenis</t>
  </si>
  <si>
    <t>Gibbs</t>
  </si>
  <si>
    <t>Trom</t>
  </si>
  <si>
    <t>Sizer</t>
  </si>
  <si>
    <t>Ellison</t>
  </si>
  <si>
    <t>Sulkowski</t>
  </si>
  <si>
    <t>Maringo</t>
  </si>
  <si>
    <t>Lattin</t>
  </si>
  <si>
    <t>Deblander</t>
  </si>
  <si>
    <t>O'Neill</t>
  </si>
  <si>
    <t>Stanek</t>
  </si>
  <si>
    <t>Manning</t>
  </si>
  <si>
    <t>Barrera Munoz</t>
  </si>
  <si>
    <t>Schauwaers</t>
  </si>
  <si>
    <t>Hartman</t>
  </si>
  <si>
    <t>Fire</t>
  </si>
  <si>
    <t>Waliaula</t>
  </si>
  <si>
    <t>Blackshear</t>
  </si>
  <si>
    <t>Nettik</t>
  </si>
  <si>
    <t>Novales</t>
  </si>
  <si>
    <t>Rosauer</t>
  </si>
  <si>
    <t>Ryder</t>
  </si>
  <si>
    <t>Larsen</t>
  </si>
  <si>
    <t>Keate</t>
  </si>
  <si>
    <t>Starosciak</t>
  </si>
  <si>
    <t>Henderson</t>
  </si>
  <si>
    <t>Winkelman</t>
  </si>
  <si>
    <t>Monette</t>
  </si>
  <si>
    <t>Kramer</t>
  </si>
  <si>
    <t>Goldstein</t>
  </si>
  <si>
    <t>Barrett</t>
  </si>
  <si>
    <t>Irwin</t>
  </si>
  <si>
    <t>Glenn</t>
  </si>
  <si>
    <t>O'Meara</t>
  </si>
  <si>
    <t>Budrow</t>
  </si>
  <si>
    <t>Douglas</t>
  </si>
  <si>
    <t>Tecklenburg</t>
  </si>
  <si>
    <t>Schenck</t>
  </si>
  <si>
    <t>Blendell</t>
  </si>
  <si>
    <t>Parodi</t>
  </si>
  <si>
    <t>Morgan</t>
  </si>
  <si>
    <t>Linden</t>
  </si>
  <si>
    <t>Horning</t>
  </si>
  <si>
    <t>Goode</t>
  </si>
  <si>
    <t>Doden</t>
  </si>
  <si>
    <t>Groff</t>
  </si>
  <si>
    <t>Kuehler</t>
  </si>
  <si>
    <t>Gibby</t>
  </si>
  <si>
    <t>Busa</t>
  </si>
  <si>
    <t>Moyo</t>
  </si>
  <si>
    <t>Ash</t>
  </si>
  <si>
    <t>Do Prado</t>
  </si>
  <si>
    <t>Dever</t>
  </si>
  <si>
    <t>Horvath</t>
  </si>
  <si>
    <t>Danner</t>
  </si>
  <si>
    <t>Weiss</t>
  </si>
  <si>
    <t>D'Andrea</t>
  </si>
  <si>
    <t>Olesky</t>
  </si>
  <si>
    <t>Whitcraft</t>
  </si>
  <si>
    <t>Salazar</t>
  </si>
  <si>
    <t>Todd</t>
  </si>
  <si>
    <t>Pond</t>
  </si>
  <si>
    <t>Egan</t>
  </si>
  <si>
    <t>Bersani</t>
  </si>
  <si>
    <t>Creech</t>
  </si>
  <si>
    <t>Sudres</t>
  </si>
  <si>
    <t>Couture</t>
  </si>
  <si>
    <t>Patronick</t>
  </si>
  <si>
    <t>Depasquale</t>
  </si>
  <si>
    <t>Lavergne</t>
  </si>
  <si>
    <t>Kawakami</t>
  </si>
  <si>
    <t>Gonsalves</t>
  </si>
  <si>
    <t>Aure</t>
  </si>
  <si>
    <t>Mattingly</t>
  </si>
  <si>
    <t>Stelpflug</t>
  </si>
  <si>
    <t>Sanchez Antognini</t>
  </si>
  <si>
    <t>Condon</t>
  </si>
  <si>
    <t>Magato</t>
  </si>
  <si>
    <t>Dombrowski</t>
  </si>
  <si>
    <t>Ohara</t>
  </si>
  <si>
    <t>Cifuentes Fetiva</t>
  </si>
  <si>
    <t>Keno</t>
  </si>
  <si>
    <t>Bruce</t>
  </si>
  <si>
    <t>Lorch</t>
  </si>
  <si>
    <t>Sullivan</t>
  </si>
  <si>
    <t>Cave</t>
  </si>
  <si>
    <t>Gudenkauf</t>
  </si>
  <si>
    <t>Holley</t>
  </si>
  <si>
    <t>Kemble</t>
  </si>
  <si>
    <t>Bentley</t>
  </si>
  <si>
    <t>Bellucci</t>
  </si>
  <si>
    <t>Collins</t>
  </si>
  <si>
    <t>Gillman</t>
  </si>
  <si>
    <t>West</t>
  </si>
  <si>
    <t>Chida</t>
  </si>
  <si>
    <t>Reisenauer</t>
  </si>
  <si>
    <t>Rosenberg-Wohl</t>
  </si>
  <si>
    <t>Theriault</t>
  </si>
  <si>
    <t>Manuel</t>
  </si>
  <si>
    <t>Demko</t>
  </si>
  <si>
    <t>Battaglia</t>
  </si>
  <si>
    <t>Follo</t>
  </si>
  <si>
    <t>Barana</t>
  </si>
  <si>
    <t>Lysaght</t>
  </si>
  <si>
    <t>Chalmers</t>
  </si>
  <si>
    <t>MacPherson</t>
  </si>
  <si>
    <t>Delfidio</t>
  </si>
  <si>
    <t>Cummings</t>
  </si>
  <si>
    <t>Schroegel</t>
  </si>
  <si>
    <t>Casey</t>
  </si>
  <si>
    <t>Randall</t>
  </si>
  <si>
    <t>Doyon</t>
  </si>
  <si>
    <t>Sankey</t>
  </si>
  <si>
    <t>Stilgenbauer</t>
  </si>
  <si>
    <t>Jaskiewicz</t>
  </si>
  <si>
    <t>Deppen</t>
  </si>
  <si>
    <t>Hine</t>
  </si>
  <si>
    <t>Mathews</t>
  </si>
  <si>
    <t>Yabu</t>
  </si>
  <si>
    <t>Strang</t>
  </si>
  <si>
    <t>Frank</t>
  </si>
  <si>
    <t>Shanley</t>
  </si>
  <si>
    <t>Mancebo Garcia</t>
  </si>
  <si>
    <t>Keehan</t>
  </si>
  <si>
    <t>Mahaney</t>
  </si>
  <si>
    <t>Nolan</t>
  </si>
  <si>
    <t>Sobrino</t>
  </si>
  <si>
    <t>Gennaro</t>
  </si>
  <si>
    <t>Mayer</t>
  </si>
  <si>
    <t>Becker</t>
  </si>
  <si>
    <t>Platt</t>
  </si>
  <si>
    <t>Brodeur</t>
  </si>
  <si>
    <t>Knight Pech</t>
  </si>
  <si>
    <t>Jubinski</t>
  </si>
  <si>
    <t>Wall</t>
  </si>
  <si>
    <t>McKay</t>
  </si>
  <si>
    <t>Oh</t>
  </si>
  <si>
    <t>Kessell</t>
  </si>
  <si>
    <t>Hidalgo Zambrano</t>
  </si>
  <si>
    <t>Caprario</t>
  </si>
  <si>
    <t>Wong</t>
  </si>
  <si>
    <t>Lea</t>
  </si>
  <si>
    <t>Quigley</t>
  </si>
  <si>
    <t>Korir</t>
  </si>
  <si>
    <t>Downs</t>
  </si>
  <si>
    <t>Zywek</t>
  </si>
  <si>
    <t>Faulkner</t>
  </si>
  <si>
    <t>Erspamer</t>
  </si>
  <si>
    <t>Addison</t>
  </si>
  <si>
    <t>Wu</t>
  </si>
  <si>
    <t>Bosl</t>
  </si>
  <si>
    <t>Goldberg</t>
  </si>
  <si>
    <t>Johnston</t>
  </si>
  <si>
    <t>Keating</t>
  </si>
  <si>
    <t>Duhon</t>
  </si>
  <si>
    <t>Briseno</t>
  </si>
  <si>
    <t>Besse</t>
  </si>
  <si>
    <t>Shillings</t>
  </si>
  <si>
    <t>Tate</t>
  </si>
  <si>
    <t>Hengoed</t>
  </si>
  <si>
    <t>Aller</t>
  </si>
  <si>
    <t>Pisano</t>
  </si>
  <si>
    <t>Sanca</t>
  </si>
  <si>
    <t>Bond</t>
  </si>
  <si>
    <t>Carron</t>
  </si>
  <si>
    <t>Ellwanger</t>
  </si>
  <si>
    <t>Hanson</t>
  </si>
  <si>
    <t>Counts</t>
  </si>
  <si>
    <t>Carson</t>
  </si>
  <si>
    <t>Haines</t>
  </si>
  <si>
    <t>Schnabel</t>
  </si>
  <si>
    <t>Simon</t>
  </si>
  <si>
    <t>Arciniaga</t>
  </si>
  <si>
    <t>Lizak</t>
  </si>
  <si>
    <t>Howery</t>
  </si>
  <si>
    <t>Crain</t>
  </si>
  <si>
    <t>Hotze</t>
  </si>
  <si>
    <t>Chauhan</t>
  </si>
  <si>
    <t>Raab</t>
  </si>
  <si>
    <t>McKown</t>
  </si>
  <si>
    <t>Schiemann</t>
  </si>
  <si>
    <t>Cress</t>
  </si>
  <si>
    <t>Mawson</t>
  </si>
  <si>
    <t>Wigginton</t>
  </si>
  <si>
    <t>Schroeder</t>
  </si>
  <si>
    <t>Leonard</t>
  </si>
  <si>
    <t>Tissue</t>
  </si>
  <si>
    <t>Wood</t>
  </si>
  <si>
    <t>Denny</t>
  </si>
  <si>
    <t>Testa</t>
  </si>
  <si>
    <t>Buchholtz</t>
  </si>
  <si>
    <t>Hoyt</t>
  </si>
  <si>
    <t>Cabada</t>
  </si>
  <si>
    <t>Lobaciute</t>
  </si>
  <si>
    <t>Oberndorfer</t>
  </si>
  <si>
    <t>Hetherington</t>
  </si>
  <si>
    <t>Murray</t>
  </si>
  <si>
    <t>Higden</t>
  </si>
  <si>
    <t>Rediger</t>
  </si>
  <si>
    <t>Grise</t>
  </si>
  <si>
    <t>Skildum</t>
  </si>
  <si>
    <t>Fischer-Daly</t>
  </si>
  <si>
    <t>Rudder</t>
  </si>
  <si>
    <t>Cartmell</t>
  </si>
  <si>
    <t>Troland</t>
  </si>
  <si>
    <t>Berg</t>
  </si>
  <si>
    <t>Engtrakul</t>
  </si>
  <si>
    <t>Leonhardt</t>
  </si>
  <si>
    <t>Goetz</t>
  </si>
  <si>
    <t>Cacharelis</t>
  </si>
  <si>
    <t>Kariolis</t>
  </si>
  <si>
    <t>Zelwin</t>
  </si>
  <si>
    <t>Bannon</t>
  </si>
  <si>
    <t>Vetter</t>
  </si>
  <si>
    <t>Jablonski</t>
  </si>
  <si>
    <t>Jakubowitch</t>
  </si>
  <si>
    <t>Altshuler</t>
  </si>
  <si>
    <t>Ugarte</t>
  </si>
  <si>
    <t>Tusso</t>
  </si>
  <si>
    <t>Landry</t>
  </si>
  <si>
    <t>McDonald</t>
  </si>
  <si>
    <t>Larue</t>
  </si>
  <si>
    <t>Marcus</t>
  </si>
  <si>
    <t>Daubert</t>
  </si>
  <si>
    <t>Close</t>
  </si>
  <si>
    <t>Roels</t>
  </si>
  <si>
    <t>Venosky</t>
  </si>
  <si>
    <t>Gosnell</t>
  </si>
  <si>
    <t>Chewning-Kulick</t>
  </si>
  <si>
    <t>Manion</t>
  </si>
  <si>
    <t>Leblanc</t>
  </si>
  <si>
    <t>Goldsby</t>
  </si>
  <si>
    <t>Mahoney</t>
  </si>
  <si>
    <t>McCracken</t>
  </si>
  <si>
    <t>Spewak</t>
  </si>
  <si>
    <t>Cottini</t>
  </si>
  <si>
    <t>Findlay</t>
  </si>
  <si>
    <t>Strasburg</t>
  </si>
  <si>
    <t>Deeter</t>
  </si>
  <si>
    <t>Arpin</t>
  </si>
  <si>
    <t>Schoeneck</t>
  </si>
  <si>
    <t>Willits</t>
  </si>
  <si>
    <t>Syring</t>
  </si>
  <si>
    <t>Strike</t>
  </si>
  <si>
    <t>Hennigar</t>
  </si>
  <si>
    <t>May</t>
  </si>
  <si>
    <t>Metcalf</t>
  </si>
  <si>
    <t>Tiska</t>
  </si>
  <si>
    <t>Fairley</t>
  </si>
  <si>
    <t>Piasta</t>
  </si>
  <si>
    <t>Olsen</t>
  </si>
  <si>
    <t>De Jesus</t>
  </si>
  <si>
    <t>Bartus</t>
  </si>
  <si>
    <t>Stevens</t>
  </si>
  <si>
    <t>Rich</t>
  </si>
  <si>
    <t>Fayter</t>
  </si>
  <si>
    <t>Parise</t>
  </si>
  <si>
    <t>Andrew</t>
  </si>
  <si>
    <t>Gryniewicz</t>
  </si>
  <si>
    <t>Panora</t>
  </si>
  <si>
    <t>Lambe</t>
  </si>
  <si>
    <t>Casto</t>
  </si>
  <si>
    <t>Martelli</t>
  </si>
  <si>
    <t>Naskret</t>
  </si>
  <si>
    <t>Maloney</t>
  </si>
  <si>
    <t>Amherst</t>
  </si>
  <si>
    <t>Johansen</t>
  </si>
  <si>
    <t>Chandler</t>
  </si>
  <si>
    <t>Kaufmann</t>
  </si>
  <si>
    <t>Barnes-Zurkinden</t>
  </si>
  <si>
    <t>Wolter</t>
  </si>
  <si>
    <t>Pearson</t>
  </si>
  <si>
    <t>Leon</t>
  </si>
  <si>
    <t>Marriott</t>
  </si>
  <si>
    <t>Wilkins</t>
  </si>
  <si>
    <t>Saiter</t>
  </si>
  <si>
    <t>Winrow</t>
  </si>
  <si>
    <t>Gries</t>
  </si>
  <si>
    <t>Strohschein</t>
  </si>
  <si>
    <t>Coogan</t>
  </si>
  <si>
    <t>Gagnon</t>
  </si>
  <si>
    <t>Brian</t>
  </si>
  <si>
    <t>Fox</t>
  </si>
  <si>
    <t>Traver</t>
  </si>
  <si>
    <t>Quick</t>
  </si>
  <si>
    <t>Theriot</t>
  </si>
  <si>
    <t>Michalis</t>
  </si>
  <si>
    <t>Tjong Clemons</t>
  </si>
  <si>
    <t>Palma</t>
  </si>
  <si>
    <t>Takaoka</t>
  </si>
  <si>
    <t>Sherman</t>
  </si>
  <si>
    <t>Andre</t>
  </si>
  <si>
    <t>Switt</t>
  </si>
  <si>
    <t>Whitbeck</t>
  </si>
  <si>
    <t>Auer</t>
  </si>
  <si>
    <t>Attar</t>
  </si>
  <si>
    <t>Misuraca</t>
  </si>
  <si>
    <t>Spannaus</t>
  </si>
  <si>
    <t>Tarbiat</t>
  </si>
  <si>
    <t>Pulkkinen</t>
  </si>
  <si>
    <t>Trnovcova</t>
  </si>
  <si>
    <t>Anthony</t>
  </si>
  <si>
    <t>Hetrick</t>
  </si>
  <si>
    <t>Stern</t>
  </si>
  <si>
    <t>Newman</t>
  </si>
  <si>
    <t>Mone</t>
  </si>
  <si>
    <t>Powers</t>
  </si>
  <si>
    <t>Ulery</t>
  </si>
  <si>
    <t>Cho</t>
  </si>
  <si>
    <t>Reumann</t>
  </si>
  <si>
    <t>Cooper</t>
  </si>
  <si>
    <t>Cichon</t>
  </si>
  <si>
    <t>Maroevic</t>
  </si>
  <si>
    <t>Schulz</t>
  </si>
  <si>
    <t>Capriolo</t>
  </si>
  <si>
    <t>Borleis</t>
  </si>
  <si>
    <t>Conrad</t>
  </si>
  <si>
    <t>Karakoyunlu</t>
  </si>
  <si>
    <t>Desrosiers</t>
  </si>
  <si>
    <t>Shabot Marcos</t>
  </si>
  <si>
    <t>Comment</t>
  </si>
  <si>
    <t>Moss</t>
  </si>
  <si>
    <t>Clash</t>
  </si>
  <si>
    <t>Blankenship</t>
  </si>
  <si>
    <t>Lloyd</t>
  </si>
  <si>
    <t>Kong</t>
  </si>
  <si>
    <t>Benson</t>
  </si>
  <si>
    <t>Huntington</t>
  </si>
  <si>
    <t>Kendall</t>
  </si>
  <si>
    <t>Gast</t>
  </si>
  <si>
    <t>Scanlin</t>
  </si>
  <si>
    <t>Philbrook</t>
  </si>
  <si>
    <t>Cowan</t>
  </si>
  <si>
    <t>Sousa</t>
  </si>
  <si>
    <t>Stanton</t>
  </si>
  <si>
    <t>Mollak</t>
  </si>
  <si>
    <t>Weston</t>
  </si>
  <si>
    <t>Rabuzzi</t>
  </si>
  <si>
    <t>Hendrix</t>
  </si>
  <si>
    <t>Van Nielen</t>
  </si>
  <si>
    <t>Schout</t>
  </si>
  <si>
    <t>Schmaltz</t>
  </si>
  <si>
    <t>Eagen</t>
  </si>
  <si>
    <t>Rotramel</t>
  </si>
  <si>
    <t>Prevost</t>
  </si>
  <si>
    <t>Nyambaso</t>
  </si>
  <si>
    <t>Shaffer</t>
  </si>
  <si>
    <t>Corkum</t>
  </si>
  <si>
    <t>Pedersen</t>
  </si>
  <si>
    <t>Melo</t>
  </si>
  <si>
    <t>Sakamoto</t>
  </si>
  <si>
    <t>Lombardo</t>
  </si>
  <si>
    <t>Bode</t>
  </si>
  <si>
    <t>Norcross</t>
  </si>
  <si>
    <t>Lazrus</t>
  </si>
  <si>
    <t>Tsegay</t>
  </si>
  <si>
    <t>Schneider</t>
  </si>
  <si>
    <t>Loreto</t>
  </si>
  <si>
    <t>Callahan</t>
  </si>
  <si>
    <t>Timko</t>
  </si>
  <si>
    <t>Achatz</t>
  </si>
  <si>
    <t>Horwitz</t>
  </si>
  <si>
    <t>Gordyan</t>
  </si>
  <si>
    <t>Battoo</t>
  </si>
  <si>
    <t>Barker</t>
  </si>
  <si>
    <t>Saarnilehto</t>
  </si>
  <si>
    <t>Hillman</t>
  </si>
  <si>
    <t>Bartel</t>
  </si>
  <si>
    <t>Potekhina</t>
  </si>
  <si>
    <t>Lapp</t>
  </si>
  <si>
    <t>McCormick</t>
  </si>
  <si>
    <t>Coffed</t>
  </si>
  <si>
    <t>Estes</t>
  </si>
  <si>
    <t>Miles</t>
  </si>
  <si>
    <t>Zamore</t>
  </si>
  <si>
    <t>Donaghy</t>
  </si>
  <si>
    <t>Fiorini</t>
  </si>
  <si>
    <t>Alexander</t>
  </si>
  <si>
    <t>Watkins</t>
  </si>
  <si>
    <t>Cassel</t>
  </si>
  <si>
    <t>O'Sullivan</t>
  </si>
  <si>
    <t>Chepkirui</t>
  </si>
  <si>
    <t>Gurney</t>
  </si>
  <si>
    <t>Francis</t>
  </si>
  <si>
    <t>Gruca</t>
  </si>
  <si>
    <t>Rojas Alvarez</t>
  </si>
  <si>
    <t>Denton</t>
  </si>
  <si>
    <t>Trout</t>
  </si>
  <si>
    <t>Gilbert</t>
  </si>
  <si>
    <t>Chong</t>
  </si>
  <si>
    <t>Henry</t>
  </si>
  <si>
    <t>Brenneman</t>
  </si>
  <si>
    <t>Kemp</t>
  </si>
  <si>
    <t>Hillyard</t>
  </si>
  <si>
    <t>Gonzales</t>
  </si>
  <si>
    <t>Sayre</t>
  </si>
  <si>
    <t>Panke</t>
  </si>
  <si>
    <t>Brennan</t>
  </si>
  <si>
    <t>Ngo</t>
  </si>
  <si>
    <t>Guerdan</t>
  </si>
  <si>
    <t>Mills-Honarvar</t>
  </si>
  <si>
    <t>Farvard</t>
  </si>
  <si>
    <t>Skinner</t>
  </si>
  <si>
    <t>Shue</t>
  </si>
  <si>
    <t>Blinn</t>
  </si>
  <si>
    <t>Duyn</t>
  </si>
  <si>
    <t>Wardian</t>
  </si>
  <si>
    <t>Heuninck</t>
  </si>
  <si>
    <t>Kipyego</t>
  </si>
  <si>
    <t>Kuehl</t>
  </si>
  <si>
    <t>Burkholder</t>
  </si>
  <si>
    <t>Stadolnik</t>
  </si>
  <si>
    <t>Shields</t>
  </si>
  <si>
    <t>Margolis</t>
  </si>
  <si>
    <t>Uffenbeck</t>
  </si>
  <si>
    <t>Stepanova</t>
  </si>
  <si>
    <t>Verdi</t>
  </si>
  <si>
    <t>Mickelson</t>
  </si>
  <si>
    <t>Dibaba</t>
  </si>
  <si>
    <t>Shilling</t>
  </si>
  <si>
    <t>Bashaw</t>
  </si>
  <si>
    <t>Jacob</t>
  </si>
  <si>
    <t>McCutcheon</t>
  </si>
  <si>
    <t>Connor</t>
  </si>
  <si>
    <t>Geoghegan</t>
  </si>
  <si>
    <t>McGinn</t>
  </si>
  <si>
    <t>Quinteros</t>
  </si>
  <si>
    <t>Loenser</t>
  </si>
  <si>
    <t>Furrer</t>
  </si>
  <si>
    <t>Konigs</t>
  </si>
  <si>
    <t>Tesdahl</t>
  </si>
  <si>
    <t>Engel</t>
  </si>
  <si>
    <t>Kuck</t>
  </si>
  <si>
    <t>Neuschel</t>
  </si>
  <si>
    <t>Rosales Ramirez</t>
  </si>
  <si>
    <t>Marquez</t>
  </si>
  <si>
    <t>Green</t>
  </si>
  <si>
    <t>Schubel</t>
  </si>
  <si>
    <t>Jimenez</t>
  </si>
  <si>
    <t>Zimny-Schmitt</t>
  </si>
  <si>
    <t>Brohart</t>
  </si>
  <si>
    <t>Oka</t>
  </si>
  <si>
    <t>Metzger</t>
  </si>
  <si>
    <t>Vaughn</t>
  </si>
  <si>
    <t>Petty</t>
  </si>
  <si>
    <t>Lasseron</t>
  </si>
  <si>
    <t>Bushong</t>
  </si>
  <si>
    <t>Dennison</t>
  </si>
  <si>
    <t>Lira</t>
  </si>
  <si>
    <t>Nahigian</t>
  </si>
  <si>
    <t>Cackett</t>
  </si>
  <si>
    <t>Hunter-Galvan</t>
  </si>
  <si>
    <t>Pierret</t>
  </si>
  <si>
    <t>O'Neil</t>
  </si>
  <si>
    <t>Leitz</t>
  </si>
  <si>
    <t>Durfee</t>
  </si>
  <si>
    <t>Maylone</t>
  </si>
  <si>
    <t>Reiland</t>
  </si>
  <si>
    <t>Hu</t>
  </si>
  <si>
    <t>Lessek</t>
  </si>
  <si>
    <t>Colavincenzo</t>
  </si>
  <si>
    <t>Mendez-Karr</t>
  </si>
  <si>
    <t>Saulnier</t>
  </si>
  <si>
    <t>Schoonover</t>
  </si>
  <si>
    <t>Hass</t>
  </si>
  <si>
    <t>Cadotte</t>
  </si>
  <si>
    <t>Cacciapaglia</t>
  </si>
  <si>
    <t>Mininger</t>
  </si>
  <si>
    <t>Mayo</t>
  </si>
  <si>
    <t>Zicko</t>
  </si>
  <si>
    <t>Cupp</t>
  </si>
  <si>
    <t>Klassen</t>
  </si>
  <si>
    <t>Musal</t>
  </si>
  <si>
    <t>Kitayama</t>
  </si>
  <si>
    <t>Altman</t>
  </si>
  <si>
    <t>Demchko</t>
  </si>
  <si>
    <t>Betts</t>
  </si>
  <si>
    <t>Vandeventer</t>
  </si>
  <si>
    <t>Hirano</t>
  </si>
  <si>
    <t>Davi</t>
  </si>
  <si>
    <t>Sloan</t>
  </si>
  <si>
    <t>Homich</t>
  </si>
  <si>
    <t>Kristjansson</t>
  </si>
  <si>
    <t>Pitman</t>
  </si>
  <si>
    <t>Curley</t>
  </si>
  <si>
    <t>Zimmer</t>
  </si>
  <si>
    <t>Granski</t>
  </si>
  <si>
    <t>Regina</t>
  </si>
  <si>
    <t>Howe</t>
  </si>
  <si>
    <t>Atwater</t>
  </si>
  <si>
    <t>Gurganus</t>
  </si>
  <si>
    <t>Holden</t>
  </si>
  <si>
    <t>Parton</t>
  </si>
  <si>
    <t>Dent</t>
  </si>
  <si>
    <t>Ranti</t>
  </si>
  <si>
    <t>Ishaq</t>
  </si>
  <si>
    <t>Wiles</t>
  </si>
  <si>
    <t>Serafini</t>
  </si>
  <si>
    <t>Button</t>
  </si>
  <si>
    <t>Gaal</t>
  </si>
  <si>
    <t>Liptak</t>
  </si>
  <si>
    <t>Kellam</t>
  </si>
  <si>
    <t>Gordon</t>
  </si>
  <si>
    <t>Wagoner</t>
  </si>
  <si>
    <t>Goffi</t>
  </si>
  <si>
    <t>Salovaara</t>
  </si>
  <si>
    <t>Reid</t>
  </si>
  <si>
    <t>Allan</t>
  </si>
  <si>
    <t>McLaughlin</t>
  </si>
  <si>
    <t>Tang</t>
  </si>
  <si>
    <t>Chepkwony</t>
  </si>
  <si>
    <t>Szynkarczuk</t>
  </si>
  <si>
    <t>Brill</t>
  </si>
  <si>
    <t>Nunn</t>
  </si>
  <si>
    <t>Blair</t>
  </si>
  <si>
    <t>Sharkey</t>
  </si>
  <si>
    <t>Scalard</t>
  </si>
  <si>
    <t>Burget</t>
  </si>
  <si>
    <t>English</t>
  </si>
  <si>
    <t>Hampton</t>
  </si>
  <si>
    <t>Lucas</t>
  </si>
  <si>
    <t>Cherewatti</t>
  </si>
  <si>
    <t>Olle</t>
  </si>
  <si>
    <t>Hamsi</t>
  </si>
  <si>
    <t>Finnegan</t>
  </si>
  <si>
    <t>Villa</t>
  </si>
  <si>
    <t>Cable</t>
  </si>
  <si>
    <t>Eiring</t>
  </si>
  <si>
    <t>Friedman</t>
  </si>
  <si>
    <t>Croker</t>
  </si>
  <si>
    <t>Beganics</t>
  </si>
  <si>
    <t>Huberty</t>
  </si>
  <si>
    <t>Hazlehurst</t>
  </si>
  <si>
    <t>Marin</t>
  </si>
  <si>
    <t>Dear</t>
  </si>
  <si>
    <t>Lederer</t>
  </si>
  <si>
    <t>Robson</t>
  </si>
  <si>
    <t>Galvan</t>
  </si>
  <si>
    <t>Teeuwen</t>
  </si>
  <si>
    <t>List</t>
  </si>
  <si>
    <t>Shafar</t>
  </si>
  <si>
    <t>Copenhaver</t>
  </si>
  <si>
    <t>Stump</t>
  </si>
  <si>
    <t>Wehrman</t>
  </si>
  <si>
    <t>Sischo</t>
  </si>
  <si>
    <t>Fonti</t>
  </si>
  <si>
    <t>Merlis</t>
  </si>
  <si>
    <t>Hasegawa</t>
  </si>
  <si>
    <t>Haselden</t>
  </si>
  <si>
    <t>Simonson</t>
  </si>
  <si>
    <t>Montag</t>
  </si>
  <si>
    <t>Deroian</t>
  </si>
  <si>
    <t>Brady</t>
  </si>
  <si>
    <t>Strickler</t>
  </si>
  <si>
    <t>Simone</t>
  </si>
  <si>
    <t>Von Rock</t>
  </si>
  <si>
    <t>Woodard</t>
  </si>
  <si>
    <t>Sinda</t>
  </si>
  <si>
    <t>Rydland</t>
  </si>
  <si>
    <t>Vespa</t>
  </si>
  <si>
    <t>Meadows</t>
  </si>
  <si>
    <t>Toppen</t>
  </si>
  <si>
    <t>Ermer</t>
  </si>
  <si>
    <t>Dionne</t>
  </si>
  <si>
    <t>Stasulli</t>
  </si>
  <si>
    <t>Duran</t>
  </si>
  <si>
    <t>Klundt</t>
  </si>
  <si>
    <t>Waters</t>
  </si>
  <si>
    <t>Rusk</t>
  </si>
  <si>
    <t>Gersbach</t>
  </si>
  <si>
    <t>Taylor-Watson</t>
  </si>
  <si>
    <t>Levitsky</t>
  </si>
  <si>
    <t>Carroll</t>
  </si>
  <si>
    <t>Campos</t>
  </si>
  <si>
    <t>Flajslik</t>
  </si>
  <si>
    <t>Chua</t>
  </si>
  <si>
    <t>Wilzbacher</t>
  </si>
  <si>
    <t>Thayer</t>
  </si>
  <si>
    <t>Brosseau</t>
  </si>
  <si>
    <t>Phares</t>
  </si>
  <si>
    <t>Padula</t>
  </si>
  <si>
    <t>Gamirov</t>
  </si>
  <si>
    <t>Briot</t>
  </si>
  <si>
    <t>De Hueck</t>
  </si>
  <si>
    <t>Putt</t>
  </si>
  <si>
    <t>Deiman</t>
  </si>
  <si>
    <t>Bonanni</t>
  </si>
  <si>
    <t>Stein</t>
  </si>
  <si>
    <t>Laumann</t>
  </si>
  <si>
    <t>Galaviz</t>
  </si>
  <si>
    <t>Piper</t>
  </si>
  <si>
    <t>Cantini</t>
  </si>
  <si>
    <t>Werhane</t>
  </si>
  <si>
    <t>Davies</t>
  </si>
  <si>
    <t>Hummel</t>
  </si>
  <si>
    <t>Lutz</t>
  </si>
  <si>
    <t>Viglienzoni</t>
  </si>
  <si>
    <t>Rathbun</t>
  </si>
  <si>
    <t>crane</t>
  </si>
  <si>
    <t>Conant</t>
  </si>
  <si>
    <t>Huyser-Wierenga</t>
  </si>
  <si>
    <t>Natalini</t>
  </si>
  <si>
    <t>Robbins</t>
  </si>
  <si>
    <t>Stanislav</t>
  </si>
  <si>
    <t>Mears</t>
  </si>
  <si>
    <t>Neill</t>
  </si>
  <si>
    <t>Tola</t>
  </si>
  <si>
    <t>Briskman</t>
  </si>
  <si>
    <t>Ritzenhein</t>
  </si>
  <si>
    <t>Malkowski</t>
  </si>
  <si>
    <t>Andreyko</t>
  </si>
  <si>
    <t>Lozier</t>
  </si>
  <si>
    <t>Rodas</t>
  </si>
  <si>
    <t>Karmen</t>
  </si>
  <si>
    <t>Lippmann</t>
  </si>
  <si>
    <t>Klehm</t>
  </si>
  <si>
    <t>Desisa</t>
  </si>
  <si>
    <t>Brooks</t>
  </si>
  <si>
    <t>Weispfennig</t>
  </si>
  <si>
    <t>Sorrell</t>
  </si>
  <si>
    <t>Marek</t>
  </si>
  <si>
    <t>Werner</t>
  </si>
  <si>
    <t>Penny</t>
  </si>
  <si>
    <t>Masayesva</t>
  </si>
  <si>
    <t>Paavola</t>
  </si>
  <si>
    <t>Gehlsen</t>
  </si>
  <si>
    <t>Roche</t>
  </si>
  <si>
    <t>Hearn</t>
  </si>
  <si>
    <t>Dimson</t>
  </si>
  <si>
    <t>Slason</t>
  </si>
  <si>
    <t>Gibson</t>
  </si>
  <si>
    <t>Erdos</t>
  </si>
  <si>
    <t>Cushman</t>
  </si>
  <si>
    <t>Hammel</t>
  </si>
  <si>
    <t>Ytterstad</t>
  </si>
  <si>
    <t>Prince</t>
  </si>
  <si>
    <t>Freeman</t>
  </si>
  <si>
    <t>Petrulak</t>
  </si>
  <si>
    <t>Zablocki</t>
  </si>
  <si>
    <t>Van Meter</t>
  </si>
  <si>
    <t>Babay</t>
  </si>
  <si>
    <t>Moody</t>
  </si>
  <si>
    <t>Swierzbinski</t>
  </si>
  <si>
    <t>Schwartz</t>
  </si>
  <si>
    <t>Sanseverino</t>
  </si>
  <si>
    <t>Lawder</t>
  </si>
  <si>
    <t>Hoerner</t>
  </si>
  <si>
    <t>Beaulne</t>
  </si>
  <si>
    <t>Lunz</t>
  </si>
  <si>
    <t>Kyle</t>
  </si>
  <si>
    <t>Brackenwagen</t>
  </si>
  <si>
    <t>Schmitt</t>
  </si>
  <si>
    <t>Borden</t>
  </si>
  <si>
    <t>Regan</t>
  </si>
  <si>
    <t>Koenis</t>
  </si>
  <si>
    <t>Kittaka</t>
  </si>
  <si>
    <t>Concannon</t>
  </si>
  <si>
    <t>Schultz</t>
  </si>
  <si>
    <t>Brannigan</t>
  </si>
  <si>
    <t>Cavallo</t>
  </si>
  <si>
    <t>Axelrod</t>
  </si>
  <si>
    <t>Roberge</t>
  </si>
  <si>
    <t>Schmidt</t>
  </si>
  <si>
    <t>Kosters</t>
  </si>
  <si>
    <t>Dykes</t>
  </si>
  <si>
    <t>Velan</t>
  </si>
  <si>
    <t>Goolik</t>
  </si>
  <si>
    <t>Bain</t>
  </si>
  <si>
    <t>Wieck</t>
  </si>
  <si>
    <t>Friel</t>
  </si>
  <si>
    <t>Santandreu</t>
  </si>
  <si>
    <t>Gerber</t>
  </si>
  <si>
    <t>Benadum</t>
  </si>
  <si>
    <t>Ragazzini</t>
  </si>
  <si>
    <t>Kessinger</t>
  </si>
  <si>
    <t>Bezgin</t>
  </si>
  <si>
    <t>Woldesilassie</t>
  </si>
  <si>
    <t>Ruiz Herrero</t>
  </si>
  <si>
    <t>Bin Alias</t>
  </si>
  <si>
    <t>Pulliam</t>
  </si>
  <si>
    <t>Guisinger</t>
  </si>
  <si>
    <t>Arnerich</t>
  </si>
  <si>
    <t>Nolette</t>
  </si>
  <si>
    <t>Chabrier</t>
  </si>
  <si>
    <t>Knotts</t>
  </si>
  <si>
    <t>Pultorak</t>
  </si>
  <si>
    <t>Maxon</t>
  </si>
  <si>
    <t>Kraai</t>
  </si>
  <si>
    <t>Larosa</t>
  </si>
  <si>
    <t>Haney</t>
  </si>
  <si>
    <t>Boulay</t>
  </si>
  <si>
    <t>Luy</t>
  </si>
  <si>
    <t>Fava</t>
  </si>
  <si>
    <t>Montoya</t>
  </si>
  <si>
    <t>Albertson</t>
  </si>
  <si>
    <t>Barger</t>
  </si>
  <si>
    <t>Fraioli</t>
  </si>
  <si>
    <t>April</t>
  </si>
  <si>
    <t>Talhelm</t>
  </si>
  <si>
    <t>Treece</t>
  </si>
  <si>
    <t>Beisel</t>
  </si>
  <si>
    <t>Enke</t>
  </si>
  <si>
    <t>Ruiz-Tagle Barros</t>
  </si>
  <si>
    <t>Ferrell</t>
  </si>
  <si>
    <t>Gates</t>
  </si>
  <si>
    <t>Jeffers</t>
  </si>
  <si>
    <t>Sulhanek</t>
  </si>
  <si>
    <t>Caron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</si>
  <si>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</si>
  <si>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</si>
  <si>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</si>
  <si>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</si>
  <si>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</si>
  <si>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</si>
  <si>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</si>
  <si>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</si>
  <si>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</si>
  <si>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>Murakami</t>
  </si>
  <si>
    <t>Petermann</t>
  </si>
  <si>
    <t>Graves - Rostro</t>
  </si>
  <si>
    <t>Danielson</t>
  </si>
  <si>
    <t>Street</t>
  </si>
  <si>
    <t>Buss</t>
  </si>
  <si>
    <t>Duffy</t>
  </si>
  <si>
    <t>Castro</t>
  </si>
  <si>
    <t>Avery</t>
  </si>
  <si>
    <t>Bohinski</t>
  </si>
  <si>
    <t>Kohls</t>
  </si>
  <si>
    <t>Brietzke</t>
  </si>
  <si>
    <t>Riveros Gonzalez</t>
  </si>
  <si>
    <t>Albano</t>
  </si>
  <si>
    <t>Rosendahl</t>
  </si>
  <si>
    <t>German</t>
  </si>
  <si>
    <t>Ms.  Paola Andrea</t>
  </si>
  <si>
    <t>John</t>
  </si>
  <si>
    <t>Myles</t>
  </si>
  <si>
    <t>Madelyn C</t>
  </si>
  <si>
    <t>Nicole</t>
  </si>
  <si>
    <t>Eric A.</t>
  </si>
  <si>
    <t>Emiliano I.</t>
  </si>
  <si>
    <t>Adam</t>
  </si>
  <si>
    <t>Mr.  Zach</t>
  </si>
  <si>
    <t>Stephanie W.</t>
  </si>
  <si>
    <t>Natalie</t>
  </si>
  <si>
    <t>Nicole J.</t>
  </si>
  <si>
    <t>Jefferson D</t>
  </si>
  <si>
    <t>Brendan D.</t>
  </si>
  <si>
    <t>Courtney</t>
  </si>
  <si>
    <t>Sydney L.</t>
  </si>
  <si>
    <t>Julien</t>
  </si>
  <si>
    <t>Ryan M</t>
  </si>
  <si>
    <t>Anna H.</t>
  </si>
  <si>
    <t>Samantha</t>
  </si>
  <si>
    <t>Robert</t>
  </si>
  <si>
    <t>James R.</t>
  </si>
  <si>
    <t>Roseann</t>
  </si>
  <si>
    <t>Eric W</t>
  </si>
  <si>
    <t>Brianna L</t>
  </si>
  <si>
    <t>Thomas J.</t>
  </si>
  <si>
    <t>Melissa L</t>
  </si>
  <si>
    <t>Mr.  Flavio</t>
  </si>
  <si>
    <t>Anthony J.</t>
  </si>
  <si>
    <t>Alex</t>
  </si>
  <si>
    <t>Andrew B</t>
  </si>
  <si>
    <t>Dara E</t>
  </si>
  <si>
    <t>Inna</t>
  </si>
  <si>
    <t>Ari</t>
  </si>
  <si>
    <t>Kenny</t>
  </si>
  <si>
    <t>Louise</t>
  </si>
  <si>
    <t>Cameron</t>
  </si>
  <si>
    <t>Katie T.</t>
  </si>
  <si>
    <t>Bryson C.</t>
  </si>
  <si>
    <t>Megan</t>
  </si>
  <si>
    <t>Daniel</t>
  </si>
  <si>
    <t>Steven M.</t>
  </si>
  <si>
    <t>Jenna L.</t>
  </si>
  <si>
    <t>Jeff</t>
  </si>
  <si>
    <t>Elenilton V. Sr.</t>
  </si>
  <si>
    <t>Maurya</t>
  </si>
  <si>
    <t>Samantha C</t>
  </si>
  <si>
    <t>Bethany A</t>
  </si>
  <si>
    <t>Yves</t>
  </si>
  <si>
    <t>Ms.  Danielle</t>
  </si>
  <si>
    <t>Joshua</t>
  </si>
  <si>
    <t>Jennifer</t>
  </si>
  <si>
    <t>Gwen M.</t>
  </si>
  <si>
    <t>Kate</t>
  </si>
  <si>
    <t>Kevin</t>
  </si>
  <si>
    <t>Stephen II</t>
  </si>
  <si>
    <t>Philip</t>
  </si>
  <si>
    <t>Brett A</t>
  </si>
  <si>
    <t>Rebecca</t>
  </si>
  <si>
    <t>Abigail K</t>
  </si>
  <si>
    <t>Hope</t>
  </si>
  <si>
    <t>Elyse M.</t>
  </si>
  <si>
    <t>Nicholas</t>
  </si>
  <si>
    <t>Ms.  Pamela J.</t>
  </si>
  <si>
    <t>Jessica</t>
  </si>
  <si>
    <t>Ron N</t>
  </si>
  <si>
    <t>Sari</t>
  </si>
  <si>
    <t>Robert M.</t>
  </si>
  <si>
    <t>Ricardo</t>
  </si>
  <si>
    <t>Gedion</t>
  </si>
  <si>
    <t>Mr.  Mark</t>
  </si>
  <si>
    <t>Gamini P.</t>
  </si>
  <si>
    <t>Emily J</t>
  </si>
  <si>
    <t>Amanda</t>
  </si>
  <si>
    <t>Knox</t>
  </si>
  <si>
    <t>Yianna</t>
  </si>
  <si>
    <t>Roberta</t>
  </si>
  <si>
    <t>Benjamin P.</t>
  </si>
  <si>
    <t>Ann</t>
  </si>
  <si>
    <t>Jamie P</t>
  </si>
  <si>
    <t>Charlie</t>
  </si>
  <si>
    <t>Meb</t>
  </si>
  <si>
    <t>Aaqib L.</t>
  </si>
  <si>
    <t>Craig A.</t>
  </si>
  <si>
    <t>Meredith</t>
  </si>
  <si>
    <t>Doug</t>
  </si>
  <si>
    <t>Elizabeth J.</t>
  </si>
  <si>
    <t>Matthew P</t>
  </si>
  <si>
    <t>Mr.  Guillermo Sr.</t>
  </si>
  <si>
    <t>Ryan C</t>
  </si>
  <si>
    <t>Dane</t>
  </si>
  <si>
    <t>Jonas</t>
  </si>
  <si>
    <t>George E</t>
  </si>
  <si>
    <t>Sara S</t>
  </si>
  <si>
    <t>Nick</t>
  </si>
  <si>
    <t>Timothy</t>
  </si>
  <si>
    <t>Becky L</t>
  </si>
  <si>
    <t>Steph K.</t>
  </si>
  <si>
    <t>Kristine B.</t>
  </si>
  <si>
    <t>Taylor B</t>
  </si>
  <si>
    <t>William</t>
  </si>
  <si>
    <t>Sage</t>
  </si>
  <si>
    <t>Cole</t>
  </si>
  <si>
    <t>Jesse</t>
  </si>
  <si>
    <t>Tammi J.</t>
  </si>
  <si>
    <t>Matthew S.</t>
  </si>
  <si>
    <t>Eric</t>
  </si>
  <si>
    <t>Valeria R</t>
  </si>
  <si>
    <t>Michael P</t>
  </si>
  <si>
    <t>Rami</t>
  </si>
  <si>
    <t>Denis</t>
  </si>
  <si>
    <t>Brian E</t>
  </si>
  <si>
    <t>Bonnie</t>
  </si>
  <si>
    <t>Michael</t>
  </si>
  <si>
    <t>Samuel</t>
  </si>
  <si>
    <t>Matthew</t>
  </si>
  <si>
    <t>Syndy</t>
  </si>
  <si>
    <t>Aleksandra</t>
  </si>
  <si>
    <t>Steeve T Sr.</t>
  </si>
  <si>
    <t>Richard</t>
  </si>
  <si>
    <t>Aaron T</t>
  </si>
  <si>
    <t>Akira</t>
  </si>
  <si>
    <t>Ben</t>
  </si>
  <si>
    <t>Jana</t>
  </si>
  <si>
    <t>Jay T.</t>
  </si>
  <si>
    <t>Marie-Helene</t>
  </si>
  <si>
    <t>Bret R</t>
  </si>
  <si>
    <t>Gardner L</t>
  </si>
  <si>
    <t>Bobby</t>
  </si>
  <si>
    <t>Lina</t>
  </si>
  <si>
    <t>Zebulon</t>
  </si>
  <si>
    <t>Greg</t>
  </si>
  <si>
    <t>Kelsey A.</t>
  </si>
  <si>
    <t>Ms.  Bronwen L</t>
  </si>
  <si>
    <t>Manuela</t>
  </si>
  <si>
    <t>Jennifer L</t>
  </si>
  <si>
    <t>Abby W.</t>
  </si>
  <si>
    <t>Tyler</t>
  </si>
  <si>
    <t>Jeffrey</t>
  </si>
  <si>
    <t>Matthew F</t>
  </si>
  <si>
    <t>Ryan J.</t>
  </si>
  <si>
    <t>Amy</t>
  </si>
  <si>
    <t>Andrew P</t>
  </si>
  <si>
    <t>George M. V</t>
  </si>
  <si>
    <t>Sarah</t>
  </si>
  <si>
    <t>Lara</t>
  </si>
  <si>
    <t>Sebastien</t>
  </si>
  <si>
    <t>Padraig</t>
  </si>
  <si>
    <t>Heather</t>
  </si>
  <si>
    <t>Mr.  Jorge</t>
  </si>
  <si>
    <t>Jack R</t>
  </si>
  <si>
    <t>Felix</t>
  </si>
  <si>
    <t>Christopher C</t>
  </si>
  <si>
    <t>Jill</t>
  </si>
  <si>
    <t>Alejandro</t>
  </si>
  <si>
    <t>Ian E.</t>
  </si>
  <si>
    <t>Hector Sr.</t>
  </si>
  <si>
    <t>Matt</t>
  </si>
  <si>
    <t>Elizabeth H</t>
  </si>
  <si>
    <t>Grace</t>
  </si>
  <si>
    <t>Jaime</t>
  </si>
  <si>
    <t>Calesse</t>
  </si>
  <si>
    <t>Kate L</t>
  </si>
  <si>
    <t>Sergey</t>
  </si>
  <si>
    <t>Timothy V</t>
  </si>
  <si>
    <t>Andrew S</t>
  </si>
  <si>
    <t>Lawrence</t>
  </si>
  <si>
    <t>Gavin M.</t>
  </si>
  <si>
    <t>Rick E</t>
  </si>
  <si>
    <t>Andrea H.</t>
  </si>
  <si>
    <t>Anthony S</t>
  </si>
  <si>
    <t>Erik</t>
  </si>
  <si>
    <t>Kiley D</t>
  </si>
  <si>
    <t>Chris</t>
  </si>
  <si>
    <t>Marian M.</t>
  </si>
  <si>
    <t>Jeremy</t>
  </si>
  <si>
    <t>Allison H</t>
  </si>
  <si>
    <t>Elizabeth</t>
  </si>
  <si>
    <t>Anders J</t>
  </si>
  <si>
    <t>Sean</t>
  </si>
  <si>
    <t>Brian M.</t>
  </si>
  <si>
    <t>Susannah</t>
  </si>
  <si>
    <t>Randy</t>
  </si>
  <si>
    <t>Leslie</t>
  </si>
  <si>
    <t>Brittany L.</t>
  </si>
  <si>
    <t>Cassie J.</t>
  </si>
  <si>
    <t>Peter W</t>
  </si>
  <si>
    <t>Dan</t>
  </si>
  <si>
    <t>Dan M.</t>
  </si>
  <si>
    <t>Eric L.</t>
  </si>
  <si>
    <t>Les J</t>
  </si>
  <si>
    <t>Stephanie</t>
  </si>
  <si>
    <t>Melissa Y</t>
  </si>
  <si>
    <t>Stephanie M.</t>
  </si>
  <si>
    <t>Kylie</t>
  </si>
  <si>
    <t>Carrie</t>
  </si>
  <si>
    <t>Zach S</t>
  </si>
  <si>
    <t>Alan</t>
  </si>
  <si>
    <t>Nate</t>
  </si>
  <si>
    <t>Jesse G.</t>
  </si>
  <si>
    <t>Jason</t>
  </si>
  <si>
    <t>Megan A.</t>
  </si>
  <si>
    <t>Luke M</t>
  </si>
  <si>
    <t>Jacy D</t>
  </si>
  <si>
    <t>Simon G.</t>
  </si>
  <si>
    <t>Ainsley E.</t>
  </si>
  <si>
    <t>Erica A.</t>
  </si>
  <si>
    <t>Erin C.</t>
  </si>
  <si>
    <t>Adrienne</t>
  </si>
  <si>
    <t>Yutaka</t>
  </si>
  <si>
    <t>Tyler M</t>
  </si>
  <si>
    <t>Andrew B.</t>
  </si>
  <si>
    <t>James</t>
  </si>
  <si>
    <t>Shawn P.</t>
  </si>
  <si>
    <t>Nathaniel</t>
  </si>
  <si>
    <t>Kevin D.</t>
  </si>
  <si>
    <t>Joan</t>
  </si>
  <si>
    <t>Christopher A</t>
  </si>
  <si>
    <t>Kacy L.</t>
  </si>
  <si>
    <t>Benjamin H.</t>
  </si>
  <si>
    <t>Xaviour J.</t>
  </si>
  <si>
    <t>Michael T.</t>
  </si>
  <si>
    <t>Bradley</t>
  </si>
  <si>
    <t>Nancy M</t>
  </si>
  <si>
    <t>Erik T.</t>
  </si>
  <si>
    <t>Rod W</t>
  </si>
  <si>
    <t>Joey</t>
  </si>
  <si>
    <t>Hillary L.</t>
  </si>
  <si>
    <t>Eric J</t>
  </si>
  <si>
    <t>Nicolas</t>
  </si>
  <si>
    <t>Marcel</t>
  </si>
  <si>
    <t>Ashley N</t>
  </si>
  <si>
    <t>Evan D</t>
  </si>
  <si>
    <t>Krisana</t>
  </si>
  <si>
    <t>Martin A.</t>
  </si>
  <si>
    <t>Stacey</t>
  </si>
  <si>
    <t>Christine</t>
  </si>
  <si>
    <t>Sarah C.</t>
  </si>
  <si>
    <t>Jason W</t>
  </si>
  <si>
    <t>Michele</t>
  </si>
  <si>
    <t>Nikki</t>
  </si>
  <si>
    <t>Philip J.</t>
  </si>
  <si>
    <t>Bryan L</t>
  </si>
  <si>
    <t>Timothy F</t>
  </si>
  <si>
    <t>Ms.  Angielyn M</t>
  </si>
  <si>
    <t>Jeanie M.</t>
  </si>
  <si>
    <t>Aliaksandr</t>
  </si>
  <si>
    <t>Jason M.</t>
  </si>
  <si>
    <t>Sheera K</t>
  </si>
  <si>
    <t>Janice</t>
  </si>
  <si>
    <t>Timothy G.</t>
  </si>
  <si>
    <t>Alan R</t>
  </si>
  <si>
    <t>Marie-France</t>
  </si>
  <si>
    <t>Erik F.</t>
  </si>
  <si>
    <t>Yu</t>
  </si>
  <si>
    <t>Caleb N</t>
  </si>
  <si>
    <t>Angela R</t>
  </si>
  <si>
    <t>Keith J</t>
  </si>
  <si>
    <t>Emma</t>
  </si>
  <si>
    <t>Nathan A</t>
  </si>
  <si>
    <t>Kathryn</t>
  </si>
  <si>
    <t>Elizabeth H.</t>
  </si>
  <si>
    <t>Cheryl A</t>
  </si>
  <si>
    <t>Kimberly A</t>
  </si>
  <si>
    <t>Cynthia</t>
  </si>
  <si>
    <t>Allison</t>
  </si>
  <si>
    <t>Gabriela</t>
  </si>
  <si>
    <t>Sharon</t>
  </si>
  <si>
    <t>Jason A</t>
  </si>
  <si>
    <t>Chelsey C.</t>
  </si>
  <si>
    <t>Devon A.</t>
  </si>
  <si>
    <t>Joni L</t>
  </si>
  <si>
    <t>Colin</t>
  </si>
  <si>
    <t>Rachael</t>
  </si>
  <si>
    <t>Torres, Ms.  Maricela</t>
  </si>
  <si>
    <t>Marie</t>
  </si>
  <si>
    <t>Jeffry</t>
  </si>
  <si>
    <t>Mike</t>
  </si>
  <si>
    <t>Rick</t>
  </si>
  <si>
    <t>Pierre-Michel</t>
  </si>
  <si>
    <t>Brian L.</t>
  </si>
  <si>
    <t>Morgan M.</t>
  </si>
  <si>
    <t>Caroline</t>
  </si>
  <si>
    <t>Drew T.</t>
  </si>
  <si>
    <t>Austin W</t>
  </si>
  <si>
    <t>Berenice</t>
  </si>
  <si>
    <t>Kenneth A</t>
  </si>
  <si>
    <t>Mr.  Miguel</t>
  </si>
  <si>
    <t>Hadley T.</t>
  </si>
  <si>
    <t>Tenielle M</t>
  </si>
  <si>
    <t>Nora P</t>
  </si>
  <si>
    <t>Zachary</t>
  </si>
  <si>
    <t>Alyssa K.</t>
  </si>
  <si>
    <t>Dante</t>
  </si>
  <si>
    <t>Sara E.</t>
  </si>
  <si>
    <t>Danielle</t>
  </si>
  <si>
    <t>Andrew D.</t>
  </si>
  <si>
    <t>Joel D</t>
  </si>
  <si>
    <t>Michelle</t>
  </si>
  <si>
    <t>Michael J.</t>
  </si>
  <si>
    <t>Summer B.</t>
  </si>
  <si>
    <t>Edward</t>
  </si>
  <si>
    <t>Kacee</t>
  </si>
  <si>
    <t>Dave</t>
  </si>
  <si>
    <t>Maryanna</t>
  </si>
  <si>
    <t>Jessica H.</t>
  </si>
  <si>
    <t>Deanna</t>
  </si>
  <si>
    <t>Peter</t>
  </si>
  <si>
    <t>Elizabeth M.</t>
  </si>
  <si>
    <t>Gregory</t>
  </si>
  <si>
    <t>Ms.  Sarah E.</t>
  </si>
  <si>
    <t>Anne Elise</t>
  </si>
  <si>
    <t>Christopher R</t>
  </si>
  <si>
    <t>Elliot</t>
  </si>
  <si>
    <t>Christopher D.</t>
  </si>
  <si>
    <t>Corey</t>
  </si>
  <si>
    <t>Patrick D.</t>
  </si>
  <si>
    <t>Anthony D.</t>
  </si>
  <si>
    <t>Melissa</t>
  </si>
  <si>
    <t>Raven</t>
  </si>
  <si>
    <t>Christopher</t>
  </si>
  <si>
    <t>Kendra A</t>
  </si>
  <si>
    <t>Jordan</t>
  </si>
  <si>
    <t>Nils</t>
  </si>
  <si>
    <t>Angela</t>
  </si>
  <si>
    <t>Caitlin O.</t>
  </si>
  <si>
    <t>Tracy M</t>
  </si>
  <si>
    <t>Dustin M.</t>
  </si>
  <si>
    <t>Jenny</t>
  </si>
  <si>
    <t>Emily</t>
  </si>
  <si>
    <t>Fabienne</t>
  </si>
  <si>
    <t>Taryn L</t>
  </si>
  <si>
    <t>Temima</t>
  </si>
  <si>
    <t>Serena M.</t>
  </si>
  <si>
    <t>Victoria M.</t>
  </si>
  <si>
    <t>Phoebe</t>
  </si>
  <si>
    <t>Nicholas D</t>
  </si>
  <si>
    <t>Christian</t>
  </si>
  <si>
    <t>Jonathon S.</t>
  </si>
  <si>
    <t>Joshua D.</t>
  </si>
  <si>
    <t>Nichole</t>
  </si>
  <si>
    <t>Denise M</t>
  </si>
  <si>
    <t>Peter R.</t>
  </si>
  <si>
    <t>Johnson K</t>
  </si>
  <si>
    <t>Katherine</t>
  </si>
  <si>
    <t>Lynda</t>
  </si>
  <si>
    <t>Linnea C.</t>
  </si>
  <si>
    <t>Massimiliano A.</t>
  </si>
  <si>
    <t>James M.</t>
  </si>
  <si>
    <t>Lauren</t>
  </si>
  <si>
    <t>Michele V.</t>
  </si>
  <si>
    <t>Xiao</t>
  </si>
  <si>
    <t>Harper L</t>
  </si>
  <si>
    <t>Shizhong</t>
  </si>
  <si>
    <t>Marie-Claire</t>
  </si>
  <si>
    <t>Todd J.</t>
  </si>
  <si>
    <t>Carolyn</t>
  </si>
  <si>
    <t>Marissa D</t>
  </si>
  <si>
    <t>Jean Luc</t>
  </si>
  <si>
    <t>Jim</t>
  </si>
  <si>
    <t>Matthew T</t>
  </si>
  <si>
    <t>Rachel L.</t>
  </si>
  <si>
    <t>Corina</t>
  </si>
  <si>
    <t>Guannan</t>
  </si>
  <si>
    <t>Don</t>
  </si>
  <si>
    <t>Gavin V.</t>
  </si>
  <si>
    <t>Jatin</t>
  </si>
  <si>
    <t>J P. II</t>
  </si>
  <si>
    <t>Angela M.</t>
  </si>
  <si>
    <t>Blake K.</t>
  </si>
  <si>
    <t>Brian T.</t>
  </si>
  <si>
    <t>Damon</t>
  </si>
  <si>
    <t>Malcolm J.</t>
  </si>
  <si>
    <t>Margaret B.</t>
  </si>
  <si>
    <t>Helen</t>
  </si>
  <si>
    <t>Tara R</t>
  </si>
  <si>
    <t>Kristin</t>
  </si>
  <si>
    <t>Carly E</t>
  </si>
  <si>
    <t>Lisa</t>
  </si>
  <si>
    <t>Louis</t>
  </si>
  <si>
    <t>Brian R.</t>
  </si>
  <si>
    <t>Dawn M.</t>
  </si>
  <si>
    <t>Mr.  Chris</t>
  </si>
  <si>
    <t>Karen</t>
  </si>
  <si>
    <t>Mathieu</t>
  </si>
  <si>
    <t>Kam S.</t>
  </si>
  <si>
    <t>Valerie A</t>
  </si>
  <si>
    <t>Freya R</t>
  </si>
  <si>
    <t>Kara</t>
  </si>
  <si>
    <t>Bradley A.</t>
  </si>
  <si>
    <t>Brendan</t>
  </si>
  <si>
    <t>Amber R</t>
  </si>
  <si>
    <t>Sean K</t>
  </si>
  <si>
    <t>Kameko</t>
  </si>
  <si>
    <t>Jeremy A</t>
  </si>
  <si>
    <t>Sabine</t>
  </si>
  <si>
    <t>Joseph</t>
  </si>
  <si>
    <t>Karolyn A</t>
  </si>
  <si>
    <t>Anita L.</t>
  </si>
  <si>
    <t>Laura E.</t>
  </si>
  <si>
    <t>Ashley E</t>
  </si>
  <si>
    <t>Dan R.</t>
  </si>
  <si>
    <t>Katie</t>
  </si>
  <si>
    <t>Cathryn</t>
  </si>
  <si>
    <t>Shauna</t>
  </si>
  <si>
    <t>Terence</t>
  </si>
  <si>
    <t>Marisol</t>
  </si>
  <si>
    <t>Brett W</t>
  </si>
  <si>
    <t>Dylan J</t>
  </si>
  <si>
    <t>Brooke M.</t>
  </si>
  <si>
    <t>Teiko</t>
  </si>
  <si>
    <t>Johannah</t>
  </si>
  <si>
    <t>Ryan A</t>
  </si>
  <si>
    <t>Andres Sr.</t>
  </si>
  <si>
    <t>Bryan</t>
  </si>
  <si>
    <t>Lizette</t>
  </si>
  <si>
    <t>Jeb</t>
  </si>
  <si>
    <t>Amy R.</t>
  </si>
  <si>
    <t>Mike G</t>
  </si>
  <si>
    <t>Simonezitrone Sr.</t>
  </si>
  <si>
    <t>Angela M</t>
  </si>
  <si>
    <t>Oz</t>
  </si>
  <si>
    <t>Erin M.</t>
  </si>
  <si>
    <t>Bobby E.</t>
  </si>
  <si>
    <t>Daniel P.</t>
  </si>
  <si>
    <t>Marie E.</t>
  </si>
  <si>
    <t>Eric D</t>
  </si>
  <si>
    <t>Tara</t>
  </si>
  <si>
    <t>Haley L</t>
  </si>
  <si>
    <t>Kayla B.</t>
  </si>
  <si>
    <t>Mark D.</t>
  </si>
  <si>
    <t>Patrick J.</t>
  </si>
  <si>
    <t>Beth A</t>
  </si>
  <si>
    <t>Jason R</t>
  </si>
  <si>
    <t>Yoshinori</t>
  </si>
  <si>
    <t>Adrienne G.</t>
  </si>
  <si>
    <t>Junyong</t>
  </si>
  <si>
    <t>Kristen A.</t>
  </si>
  <si>
    <t>Maria I.</t>
  </si>
  <si>
    <t>Jonathan</t>
  </si>
  <si>
    <t>Benjamina C</t>
  </si>
  <si>
    <t>Alison B</t>
  </si>
  <si>
    <t>Alexis N</t>
  </si>
  <si>
    <t>Shanda L</t>
  </si>
  <si>
    <t>Laurette</t>
  </si>
  <si>
    <t>Mary</t>
  </si>
  <si>
    <t>Kati A</t>
  </si>
  <si>
    <t>Kelly J</t>
  </si>
  <si>
    <t>Greer D</t>
  </si>
  <si>
    <t>Brent</t>
  </si>
  <si>
    <t>Eugene M</t>
  </si>
  <si>
    <t>Erin D</t>
  </si>
  <si>
    <t>Kamilla</t>
  </si>
  <si>
    <t>Wayne I.</t>
  </si>
  <si>
    <t>Tracy L</t>
  </si>
  <si>
    <t>Megan C</t>
  </si>
  <si>
    <t>Greg D.</t>
  </si>
  <si>
    <t>Steven L.</t>
  </si>
  <si>
    <t>Gianfilippo</t>
  </si>
  <si>
    <t>Hector</t>
  </si>
  <si>
    <t>Mark W.</t>
  </si>
  <si>
    <t>Aubri</t>
  </si>
  <si>
    <t>Justin</t>
  </si>
  <si>
    <t>Erika M.</t>
  </si>
  <si>
    <t>Daniel G.</t>
  </si>
  <si>
    <t>Devin C.</t>
  </si>
  <si>
    <t>Louise A</t>
  </si>
  <si>
    <t>Jessica L</t>
  </si>
  <si>
    <t>Kristina K</t>
  </si>
  <si>
    <t>Brad</t>
  </si>
  <si>
    <t>Margaret O</t>
  </si>
  <si>
    <t>Craig R.</t>
  </si>
  <si>
    <t>Simo</t>
  </si>
  <si>
    <t>Christopher J</t>
  </si>
  <si>
    <t>Mario Sr.</t>
  </si>
  <si>
    <t>Meghann R.</t>
  </si>
  <si>
    <t>Scott M</t>
  </si>
  <si>
    <t>Caitlin E.</t>
  </si>
  <si>
    <t>Samantha A.</t>
  </si>
  <si>
    <t>Maya</t>
  </si>
  <si>
    <t>Zachary T</t>
  </si>
  <si>
    <t>Hilda</t>
  </si>
  <si>
    <t>Bethany N.</t>
  </si>
  <si>
    <t>Sandra H</t>
  </si>
  <si>
    <t>Takuo</t>
  </si>
  <si>
    <t>Kelly A.</t>
  </si>
  <si>
    <t>Benoit</t>
  </si>
  <si>
    <t>Jessica A.</t>
  </si>
  <si>
    <t>Monica K</t>
  </si>
  <si>
    <t>Kevin L</t>
  </si>
  <si>
    <t>Della</t>
  </si>
  <si>
    <t>Victoria</t>
  </si>
  <si>
    <t>Tasos</t>
  </si>
  <si>
    <t>Lukasz</t>
  </si>
  <si>
    <t>Matthew A.</t>
  </si>
  <si>
    <t>Meta</t>
  </si>
  <si>
    <t>Rachel E</t>
  </si>
  <si>
    <t>Angelica</t>
  </si>
  <si>
    <t>Kathleen</t>
  </si>
  <si>
    <t>Gabriel D.</t>
  </si>
  <si>
    <t>Jeff T</t>
  </si>
  <si>
    <t>Neil D</t>
  </si>
  <si>
    <t>Katherine L.</t>
  </si>
  <si>
    <t>Ariel E</t>
  </si>
  <si>
    <t>Christopher P</t>
  </si>
  <si>
    <t>Molly K.</t>
  </si>
  <si>
    <t>Daniel M</t>
  </si>
  <si>
    <t>Hiruni</t>
  </si>
  <si>
    <t>Reina H.</t>
  </si>
  <si>
    <t>Kristi</t>
  </si>
  <si>
    <t>Meredith L.</t>
  </si>
  <si>
    <t>Jocelyn</t>
  </si>
  <si>
    <t>Daphne</t>
  </si>
  <si>
    <t>Margaret E</t>
  </si>
  <si>
    <t>Mario J.</t>
  </si>
  <si>
    <t>Carolina</t>
  </si>
  <si>
    <t>Jenny K.</t>
  </si>
  <si>
    <t>Kimberly D</t>
  </si>
  <si>
    <t>Marc-Olivier</t>
  </si>
  <si>
    <t>Russell J</t>
  </si>
  <si>
    <t>Karine</t>
  </si>
  <si>
    <t>Ms.  Cheryl</t>
  </si>
  <si>
    <t>Allison M.</t>
  </si>
  <si>
    <t>Adriana</t>
  </si>
  <si>
    <t>Miranda J</t>
  </si>
  <si>
    <t>Mr.  Roberto</t>
  </si>
  <si>
    <t>Rebecca B.</t>
  </si>
  <si>
    <t>Tiffany</t>
  </si>
  <si>
    <t>Rich M</t>
  </si>
  <si>
    <t>Aaron C</t>
  </si>
  <si>
    <t>Maria M</t>
  </si>
  <si>
    <t>Daven W</t>
  </si>
  <si>
    <t>Mrs.  Brianne</t>
  </si>
  <si>
    <t>Hiroki</t>
  </si>
  <si>
    <t>Anders</t>
  </si>
  <si>
    <t>Candace N</t>
  </si>
  <si>
    <t>Bruno F.</t>
  </si>
  <si>
    <t>Sally</t>
  </si>
  <si>
    <t>Meaghan J</t>
  </si>
  <si>
    <t>Rina</t>
  </si>
  <si>
    <t>Kristin P.</t>
  </si>
  <si>
    <t>Albert</t>
  </si>
  <si>
    <t>Shannon L</t>
  </si>
  <si>
    <t>Amy B</t>
  </si>
  <si>
    <t>A Danielle</t>
  </si>
  <si>
    <t>Conrad F</t>
  </si>
  <si>
    <t>Josh</t>
  </si>
  <si>
    <t>Maxime</t>
  </si>
  <si>
    <t>Laura P.</t>
  </si>
  <si>
    <t>William D. Jr.</t>
  </si>
  <si>
    <t>Adam S</t>
  </si>
  <si>
    <t>Armando</t>
  </si>
  <si>
    <t>Ms.  Dana</t>
  </si>
  <si>
    <t>Benjamin</t>
  </si>
  <si>
    <t>Tanya</t>
  </si>
  <si>
    <t>Tracy</t>
  </si>
  <si>
    <t>Emily S</t>
  </si>
  <si>
    <t>Kelly R</t>
  </si>
  <si>
    <t>Bruce A Jr.</t>
  </si>
  <si>
    <t>Cary J</t>
  </si>
  <si>
    <t>Jill M</t>
  </si>
  <si>
    <t>Michael E.</t>
  </si>
  <si>
    <t>Kathryn E</t>
  </si>
  <si>
    <t>Polly</t>
  </si>
  <si>
    <t>Mark H.</t>
  </si>
  <si>
    <t>Jessie M.</t>
  </si>
  <si>
    <t>Caroline S.</t>
  </si>
  <si>
    <t>Nuta</t>
  </si>
  <si>
    <t>Margie</t>
  </si>
  <si>
    <t>Heidi</t>
  </si>
  <si>
    <t>Diego J</t>
  </si>
  <si>
    <t>Enrique M Sr.</t>
  </si>
  <si>
    <t>Filip</t>
  </si>
  <si>
    <t>Rosemary E.</t>
  </si>
  <si>
    <t>Jennifer R.</t>
  </si>
  <si>
    <t>Lauren E</t>
  </si>
  <si>
    <t>Ashley M.</t>
  </si>
  <si>
    <t>Alison R.</t>
  </si>
  <si>
    <t>Madeleine</t>
  </si>
  <si>
    <t>Kimberly</t>
  </si>
  <si>
    <t>Jeremy J</t>
  </si>
  <si>
    <t>Amy L.</t>
  </si>
  <si>
    <t>Karen L.</t>
  </si>
  <si>
    <t>Tennille</t>
  </si>
  <si>
    <t>Justin E</t>
  </si>
  <si>
    <t>Shalane</t>
  </si>
  <si>
    <t>Jessica N.</t>
  </si>
  <si>
    <t>Melanie</t>
  </si>
  <si>
    <t>Ms.  Ruth Angelica</t>
  </si>
  <si>
    <t>Una M</t>
  </si>
  <si>
    <t>Taralyn</t>
  </si>
  <si>
    <t>James A</t>
  </si>
  <si>
    <t>Ning</t>
  </si>
  <si>
    <t>Mr.  Joel</t>
  </si>
  <si>
    <t>Pamela J.</t>
  </si>
  <si>
    <t>Brittney</t>
  </si>
  <si>
    <t>Sheila</t>
  </si>
  <si>
    <t>Koji</t>
  </si>
  <si>
    <t>Colleen M</t>
  </si>
  <si>
    <t>Deedra G.</t>
  </si>
  <si>
    <t>Kulwinder</t>
  </si>
  <si>
    <t>Ann M.</t>
  </si>
  <si>
    <t>Sarah E</t>
  </si>
  <si>
    <t>Apryl J.</t>
  </si>
  <si>
    <t>Ilana</t>
  </si>
  <si>
    <t>Karl</t>
  </si>
  <si>
    <t>Will</t>
  </si>
  <si>
    <t>Bradley D</t>
  </si>
  <si>
    <t>Amy M</t>
  </si>
  <si>
    <t>Matthew W.</t>
  </si>
  <si>
    <t>Tom</t>
  </si>
  <si>
    <t>Wayne A.</t>
  </si>
  <si>
    <t>Nobuyori</t>
  </si>
  <si>
    <t>Marcos S</t>
  </si>
  <si>
    <t>Andy</t>
  </si>
  <si>
    <t>Marcus B</t>
  </si>
  <si>
    <t>Thomas K.</t>
  </si>
  <si>
    <t>Geoff</t>
  </si>
  <si>
    <t>Chris J.</t>
  </si>
  <si>
    <t>Kate A.</t>
  </si>
  <si>
    <t>Kelli</t>
  </si>
  <si>
    <t>Maggie M</t>
  </si>
  <si>
    <t>Michelle L.</t>
  </si>
  <si>
    <t>Ashley K</t>
  </si>
  <si>
    <t>Ryan K.</t>
  </si>
  <si>
    <t>Matthew J</t>
  </si>
  <si>
    <t>Antonia G</t>
  </si>
  <si>
    <t>Casondra L</t>
  </si>
  <si>
    <t>Wendy</t>
  </si>
  <si>
    <t>Laura F</t>
  </si>
  <si>
    <t>Amelia F.</t>
  </si>
  <si>
    <t>Ms.  Amy L.</t>
  </si>
  <si>
    <t>Katie J</t>
  </si>
  <si>
    <t>Mayumi</t>
  </si>
  <si>
    <t>Vanessa</t>
  </si>
  <si>
    <t>Natali N</t>
  </si>
  <si>
    <t>Beth</t>
  </si>
  <si>
    <t>Andee W.</t>
  </si>
  <si>
    <t>C Fred</t>
  </si>
  <si>
    <t>Patrick Sr.</t>
  </si>
  <si>
    <t>Kelly M.</t>
  </si>
  <si>
    <t>Keila L</t>
  </si>
  <si>
    <t>Zanae E</t>
  </si>
  <si>
    <t>Jason L.</t>
  </si>
  <si>
    <t>Benjamin J.</t>
  </si>
  <si>
    <t>Erika</t>
  </si>
  <si>
    <t>Chad</t>
  </si>
  <si>
    <t>Mark</t>
  </si>
  <si>
    <t>Matthew R</t>
  </si>
  <si>
    <t>Orla</t>
  </si>
  <si>
    <t>Shaista S</t>
  </si>
  <si>
    <t>Mrs.  Emily</t>
  </si>
  <si>
    <t>Julie A.</t>
  </si>
  <si>
    <t>Megumi</t>
  </si>
  <si>
    <t>Skylar</t>
  </si>
  <si>
    <t>Amanda L</t>
  </si>
  <si>
    <t>Ms.  Renee</t>
  </si>
  <si>
    <t>Nellie A.</t>
  </si>
  <si>
    <t>Tamara</t>
  </si>
  <si>
    <t>Aimee J.</t>
  </si>
  <si>
    <t>Suzanne</t>
  </si>
  <si>
    <t>Kristin A.</t>
  </si>
  <si>
    <t>Ms.  Bronwyn</t>
  </si>
  <si>
    <t>Taylor J</t>
  </si>
  <si>
    <t>Kimberly M.</t>
  </si>
  <si>
    <t>Joshua E.</t>
  </si>
  <si>
    <t>Andrew R</t>
  </si>
  <si>
    <t>Francisco J. Sr.</t>
  </si>
  <si>
    <t>Rhonda</t>
  </si>
  <si>
    <t>Miles J.</t>
  </si>
  <si>
    <t>Ms.  Justyna I.</t>
  </si>
  <si>
    <t>Lucille</t>
  </si>
  <si>
    <t>Alyssa</t>
  </si>
  <si>
    <t>Jessica E.</t>
  </si>
  <si>
    <t>Emilie</t>
  </si>
  <si>
    <t>Caitlin B.</t>
  </si>
  <si>
    <t>Joseph W</t>
  </si>
  <si>
    <t>Leah L.</t>
  </si>
  <si>
    <t>Wayne L.</t>
  </si>
  <si>
    <t>Floris</t>
  </si>
  <si>
    <t>Marc</t>
  </si>
  <si>
    <t>Aharon N</t>
  </si>
  <si>
    <t>Lawrence D.</t>
  </si>
  <si>
    <t>Malcolm</t>
  </si>
  <si>
    <t>Anna E.</t>
  </si>
  <si>
    <t>Chia J.</t>
  </si>
  <si>
    <t>Laura A</t>
  </si>
  <si>
    <t>Aditi</t>
  </si>
  <si>
    <t>Leah A.</t>
  </si>
  <si>
    <t>Marianne</t>
  </si>
  <si>
    <t>Carla</t>
  </si>
  <si>
    <t>Oksana</t>
  </si>
  <si>
    <t>Maria A.</t>
  </si>
  <si>
    <t>Lisa M</t>
  </si>
  <si>
    <t>Steve Jr.</t>
  </si>
  <si>
    <t>Dale</t>
  </si>
  <si>
    <t>Brittany A.</t>
  </si>
  <si>
    <t>Robert S</t>
  </si>
  <si>
    <t>Ulrike</t>
  </si>
  <si>
    <t>Katlyn A.</t>
  </si>
  <si>
    <t>Morgan B.</t>
  </si>
  <si>
    <t>Silvana M.</t>
  </si>
  <si>
    <t>Natty</t>
  </si>
  <si>
    <t>Nicholas T</t>
  </si>
  <si>
    <t>Antony G</t>
  </si>
  <si>
    <t>Cassandra</t>
  </si>
  <si>
    <t>Rosemary C</t>
  </si>
  <si>
    <t>Carrie A.</t>
  </si>
  <si>
    <t>Gerardo Sr.</t>
  </si>
  <si>
    <t>Matthew R.</t>
  </si>
  <si>
    <t>Meghan E</t>
  </si>
  <si>
    <t>Lisa B</t>
  </si>
  <si>
    <t>Jane R.</t>
  </si>
  <si>
    <t>Allison M</t>
  </si>
  <si>
    <t>Sarah E.</t>
  </si>
  <si>
    <t>Philip J</t>
  </si>
  <si>
    <t>Jillian A.</t>
  </si>
  <si>
    <t>Laura D</t>
  </si>
  <si>
    <t>Megan E.</t>
  </si>
  <si>
    <t>Shannon J.</t>
  </si>
  <si>
    <t>Rachelle M</t>
  </si>
  <si>
    <t>Brandon F</t>
  </si>
  <si>
    <t>Danielle N</t>
  </si>
  <si>
    <t>Bettina</t>
  </si>
  <si>
    <t>Holli</t>
  </si>
  <si>
    <t>Heather C</t>
  </si>
  <si>
    <t>Thomas J</t>
  </si>
  <si>
    <t>Garrett</t>
  </si>
  <si>
    <t>Annabelle M</t>
  </si>
  <si>
    <t>Daniel T.</t>
  </si>
  <si>
    <t>Deanne</t>
  </si>
  <si>
    <t>Jasmine P.</t>
  </si>
  <si>
    <t>Tracie</t>
  </si>
  <si>
    <t>Tristan D.</t>
  </si>
  <si>
    <t>Peiweng</t>
  </si>
  <si>
    <t>Theresa M.</t>
  </si>
  <si>
    <t>Daniel J</t>
  </si>
  <si>
    <t>Courtney M.</t>
  </si>
  <si>
    <t>Jose A.</t>
  </si>
  <si>
    <t>Jonathon M.</t>
  </si>
  <si>
    <t>Stephanie A</t>
  </si>
  <si>
    <t>Krista</t>
  </si>
  <si>
    <t>Jenessa</t>
  </si>
  <si>
    <t>Ryan M.</t>
  </si>
  <si>
    <t>Amanda N.</t>
  </si>
  <si>
    <t>Teresa P.</t>
  </si>
  <si>
    <t>Dorian</t>
  </si>
  <si>
    <t>Aberu</t>
  </si>
  <si>
    <t>Anna E</t>
  </si>
  <si>
    <t>Tania K.</t>
  </si>
  <si>
    <t>Valery L</t>
  </si>
  <si>
    <t>Joanna G.</t>
  </si>
  <si>
    <t>Stefanie F.</t>
  </si>
  <si>
    <t>Liza J.</t>
  </si>
  <si>
    <t>Ian M.</t>
  </si>
  <si>
    <t>Claudia L.</t>
  </si>
  <si>
    <t>Jessica M</t>
  </si>
  <si>
    <t>Billy Jr.</t>
  </si>
  <si>
    <t>Tim</t>
  </si>
  <si>
    <t>Ms.  Emma M</t>
  </si>
  <si>
    <t>Bridget K.</t>
  </si>
  <si>
    <t>Gabriel</t>
  </si>
  <si>
    <t>Natasha</t>
  </si>
  <si>
    <t>Abby A.</t>
  </si>
  <si>
    <t>Mckendree</t>
  </si>
  <si>
    <t>Joshua P</t>
  </si>
  <si>
    <t>Erin C</t>
  </si>
  <si>
    <t>Shure</t>
  </si>
  <si>
    <t>Brenda</t>
  </si>
  <si>
    <t>Joseph M</t>
  </si>
  <si>
    <t>Stephen J.</t>
  </si>
  <si>
    <t>Kathya</t>
  </si>
  <si>
    <t>Wesley</t>
  </si>
  <si>
    <t>Jamie L.</t>
  </si>
  <si>
    <t>Alexandra</t>
  </si>
  <si>
    <t>Rebecca J</t>
  </si>
  <si>
    <t>Austin T.</t>
  </si>
  <si>
    <t>Jamie T</t>
  </si>
  <si>
    <t>Matthew T.</t>
  </si>
  <si>
    <t>Gillian</t>
  </si>
  <si>
    <t>Brenn E.</t>
  </si>
  <si>
    <t>Thomas A.</t>
  </si>
  <si>
    <t>Kevin J</t>
  </si>
  <si>
    <t>William H. III</t>
  </si>
  <si>
    <t>Gal</t>
  </si>
  <si>
    <t>Anton</t>
  </si>
  <si>
    <t>Ms.  Yazmin</t>
  </si>
  <si>
    <t>Florian</t>
  </si>
  <si>
    <t>Karen L</t>
  </si>
  <si>
    <t>Claire</t>
  </si>
  <si>
    <t>Lynn M.</t>
  </si>
  <si>
    <t>Candice</t>
  </si>
  <si>
    <t>Jennifer D</t>
  </si>
  <si>
    <t>Devon R.</t>
  </si>
  <si>
    <t>Ms.  Elena</t>
  </si>
  <si>
    <t>Bert</t>
  </si>
  <si>
    <t>John P.</t>
  </si>
  <si>
    <t>Daniel P</t>
  </si>
  <si>
    <t>Lisa K.</t>
  </si>
  <si>
    <t>Kristine</t>
  </si>
  <si>
    <t>Paul A</t>
  </si>
  <si>
    <t>Milah B</t>
  </si>
  <si>
    <t>Annette M.</t>
  </si>
  <si>
    <t>Yoko</t>
  </si>
  <si>
    <t>Laura</t>
  </si>
  <si>
    <t>Tess A.</t>
  </si>
  <si>
    <t>William G.</t>
  </si>
  <si>
    <t>Paige</t>
  </si>
  <si>
    <t>Maria</t>
  </si>
  <si>
    <t>Stephanie D</t>
  </si>
  <si>
    <t>Sara M.</t>
  </si>
  <si>
    <t>Scott A.</t>
  </si>
  <si>
    <t>Brian A.</t>
  </si>
  <si>
    <t>Kaitlin R.</t>
  </si>
  <si>
    <t>Mohammad</t>
  </si>
  <si>
    <t>Kelli M</t>
  </si>
  <si>
    <t>Sheridan H</t>
  </si>
  <si>
    <t>Sarah M.</t>
  </si>
  <si>
    <t>Laura J</t>
  </si>
  <si>
    <t>Gisele</t>
  </si>
  <si>
    <t>Myra L</t>
  </si>
  <si>
    <t>Melissa M.</t>
  </si>
  <si>
    <t>Eleanor F.</t>
  </si>
  <si>
    <t>Kenneth</t>
  </si>
  <si>
    <t>Robert G.</t>
  </si>
  <si>
    <t>Thomas C.</t>
  </si>
  <si>
    <t>Matthew J.</t>
  </si>
  <si>
    <t>Mallory D.</t>
  </si>
  <si>
    <t>Jamie</t>
  </si>
  <si>
    <t>Ariell</t>
  </si>
  <si>
    <t>Thomas B.</t>
  </si>
  <si>
    <t>Rachelle L</t>
  </si>
  <si>
    <t>Colleen</t>
  </si>
  <si>
    <t>Gregory A</t>
  </si>
  <si>
    <t>Sara</t>
  </si>
  <si>
    <t>Lucie J.</t>
  </si>
  <si>
    <t>Elizabeth S.</t>
  </si>
  <si>
    <t>Carma S</t>
  </si>
  <si>
    <t>Francesca</t>
  </si>
  <si>
    <t>Toshiyuki</t>
  </si>
  <si>
    <t>Tom L.</t>
  </si>
  <si>
    <t>Julee</t>
  </si>
  <si>
    <t>Christopher M.</t>
  </si>
  <si>
    <t>Ciaran</t>
  </si>
  <si>
    <t>Makie</t>
  </si>
  <si>
    <t>Emily E</t>
  </si>
  <si>
    <t>Cary</t>
  </si>
  <si>
    <t>Steven</t>
  </si>
  <si>
    <t>Jose Antonio Sr.</t>
  </si>
  <si>
    <t>Tatiana</t>
  </si>
  <si>
    <t>Dan T.</t>
  </si>
  <si>
    <t>Liisa A.</t>
  </si>
  <si>
    <t>Kathryn E.</t>
  </si>
  <si>
    <t>Maxwell</t>
  </si>
  <si>
    <t>Pascale</t>
  </si>
  <si>
    <t>Becca</t>
  </si>
  <si>
    <t>Nicole R.</t>
  </si>
  <si>
    <t>David W</t>
  </si>
  <si>
    <t>Grant</t>
  </si>
  <si>
    <t>Sophia</t>
  </si>
  <si>
    <t>Christina</t>
  </si>
  <si>
    <t>Sam L.</t>
  </si>
  <si>
    <t>Haley R.</t>
  </si>
  <si>
    <t>Ethan</t>
  </si>
  <si>
    <t>Andrew W</t>
  </si>
  <si>
    <t>Mark G</t>
  </si>
  <si>
    <t>Kasey E.</t>
  </si>
  <si>
    <t>Kristin M</t>
  </si>
  <si>
    <t>Mary-Lynn B.</t>
  </si>
  <si>
    <t>Jamie A</t>
  </si>
  <si>
    <t>Jeffrey A.</t>
  </si>
  <si>
    <t>Ms.  Nicole</t>
  </si>
  <si>
    <t>Audrey</t>
  </si>
  <si>
    <t>Mr.  Daniel S</t>
  </si>
  <si>
    <t>Marc C.</t>
  </si>
  <si>
    <t>Mark S</t>
  </si>
  <si>
    <t>Ms.  Gabriela</t>
  </si>
  <si>
    <t>Ms.  Dara</t>
  </si>
  <si>
    <t>Rachelle R</t>
  </si>
  <si>
    <t>Brenda J</t>
  </si>
  <si>
    <t>Sylvain</t>
  </si>
  <si>
    <t>Kaitlin M</t>
  </si>
  <si>
    <t>William R.</t>
  </si>
  <si>
    <t>Veronica</t>
  </si>
  <si>
    <t>Warren</t>
  </si>
  <si>
    <t>Mrs.  Daniela</t>
  </si>
  <si>
    <t>Deirdre A</t>
  </si>
  <si>
    <t>Mathias</t>
  </si>
  <si>
    <t>Alex F</t>
  </si>
  <si>
    <t>Alice</t>
  </si>
  <si>
    <t>Johannes Fiskerstand</t>
  </si>
  <si>
    <t>Jon M</t>
  </si>
  <si>
    <t>Fasil</t>
  </si>
  <si>
    <t>Megan C.</t>
  </si>
  <si>
    <t>Ms.  Lisa J.</t>
  </si>
  <si>
    <t>Doron P</t>
  </si>
  <si>
    <t>Katharina</t>
  </si>
  <si>
    <t>Carl</t>
  </si>
  <si>
    <t>Kelsey J.</t>
  </si>
  <si>
    <t>Stephen A.</t>
  </si>
  <si>
    <t>Katie C</t>
  </si>
  <si>
    <t>Melissa K</t>
  </si>
  <si>
    <t>Ms.  Kara H</t>
  </si>
  <si>
    <t>Juan Carlos</t>
  </si>
  <si>
    <t>John III</t>
  </si>
  <si>
    <t>Sarah M</t>
  </si>
  <si>
    <t>Kristin C</t>
  </si>
  <si>
    <t>Casey M.</t>
  </si>
  <si>
    <t>Braulio</t>
  </si>
  <si>
    <t>Anne-Marie</t>
  </si>
  <si>
    <t>Samuel K.</t>
  </si>
  <si>
    <t>Yuki</t>
  </si>
  <si>
    <t>Rafer</t>
  </si>
  <si>
    <t>Erynn J.</t>
  </si>
  <si>
    <t>Mahesh</t>
  </si>
  <si>
    <t>Stanley</t>
  </si>
  <si>
    <t>Rachel M</t>
  </si>
  <si>
    <t>Kamp, Mr.  Fritz</t>
  </si>
  <si>
    <t>Claire M</t>
  </si>
  <si>
    <t>Maria S.</t>
  </si>
  <si>
    <t>Katherine E</t>
  </si>
  <si>
    <t>Roxanne</t>
  </si>
  <si>
    <t>Israel</t>
  </si>
  <si>
    <t>Samalya</t>
  </si>
  <si>
    <t>Alicia</t>
  </si>
  <si>
    <t>Sarah K.</t>
  </si>
  <si>
    <t>Guomin</t>
  </si>
  <si>
    <t>Mr.  Javier</t>
  </si>
  <si>
    <t>Thomas S</t>
  </si>
  <si>
    <t>Martha Patricia</t>
  </si>
  <si>
    <t>Jennifer V.</t>
  </si>
  <si>
    <t>Michael W.</t>
  </si>
  <si>
    <t>Eddie C</t>
  </si>
  <si>
    <t>Maxime M</t>
  </si>
  <si>
    <t>Mark D</t>
  </si>
  <si>
    <t>Justin M</t>
  </si>
  <si>
    <t>Svetlana V.</t>
  </si>
  <si>
    <t>Jana L</t>
  </si>
  <si>
    <t>Torrey C III</t>
  </si>
  <si>
    <t>Jennifer D.</t>
  </si>
  <si>
    <t>Lana J</t>
  </si>
  <si>
    <t>Rebecca E</t>
  </si>
  <si>
    <t>Katie M.</t>
  </si>
  <si>
    <t>Elizabeth A.</t>
  </si>
  <si>
    <t>Annie J.</t>
  </si>
  <si>
    <t>Annie</t>
  </si>
  <si>
    <t>Amy T</t>
  </si>
  <si>
    <t>Katarina D</t>
  </si>
  <si>
    <t>B.j.</t>
  </si>
  <si>
    <t>Alison</t>
  </si>
  <si>
    <t>Neil K.</t>
  </si>
  <si>
    <t>Anne Hunter</t>
  </si>
  <si>
    <t>Sandra</t>
  </si>
  <si>
    <t>Rodney</t>
  </si>
  <si>
    <t>Carl R</t>
  </si>
  <si>
    <t>Maximilian</t>
  </si>
  <si>
    <t>Eirik</t>
  </si>
  <si>
    <t>Rik</t>
  </si>
  <si>
    <t>Daniel G</t>
  </si>
  <si>
    <t>Yannick</t>
  </si>
  <si>
    <t>Sean R</t>
  </si>
  <si>
    <t>Sara A.</t>
  </si>
  <si>
    <t>Thibaud</t>
  </si>
  <si>
    <t>Gretchen K.</t>
  </si>
  <si>
    <t>Martina</t>
  </si>
  <si>
    <t>Dustin J</t>
  </si>
  <si>
    <t>Daniel V.</t>
  </si>
  <si>
    <t>Saeger</t>
  </si>
  <si>
    <t>Buzunesh</t>
  </si>
  <si>
    <t>Mirte</t>
  </si>
  <si>
    <t>Kerry A.</t>
  </si>
  <si>
    <t>Christopher R.</t>
  </si>
  <si>
    <t>Elizabeth A</t>
  </si>
  <si>
    <t>Jonathan P</t>
  </si>
  <si>
    <t>Gina</t>
  </si>
  <si>
    <t>Dino</t>
  </si>
  <si>
    <t>Mr.  Jan</t>
  </si>
  <si>
    <t>Jonathan E.</t>
  </si>
  <si>
    <t>Mark A</t>
  </si>
  <si>
    <t>Stan J</t>
  </si>
  <si>
    <t>Jessica L.</t>
  </si>
  <si>
    <t>Krysta</t>
  </si>
  <si>
    <t>Natascia</t>
  </si>
  <si>
    <t>Monica</t>
  </si>
  <si>
    <t>Kelly C</t>
  </si>
  <si>
    <t>James V</t>
  </si>
  <si>
    <t>Angie</t>
  </si>
  <si>
    <t>Sabina</t>
  </si>
  <si>
    <t>Amy C</t>
  </si>
  <si>
    <t>Victoria U</t>
  </si>
  <si>
    <t>Amelia B</t>
  </si>
  <si>
    <t>Jackie J</t>
  </si>
  <si>
    <t>Kerry</t>
  </si>
  <si>
    <t>Cindy G.</t>
  </si>
  <si>
    <t>Terry</t>
  </si>
  <si>
    <t>Patrick J</t>
  </si>
  <si>
    <t>Keara</t>
  </si>
  <si>
    <t>Katena</t>
  </si>
  <si>
    <t>Bean K.</t>
  </si>
  <si>
    <t>Jan-Patrick</t>
  </si>
  <si>
    <t>Jesse J</t>
  </si>
  <si>
    <t>Lindsey M</t>
  </si>
  <si>
    <t>Marguerite K.</t>
  </si>
  <si>
    <t>Travis</t>
  </si>
  <si>
    <t>Ricky</t>
  </si>
  <si>
    <t>Colleen L.</t>
  </si>
  <si>
    <t>Charlie A</t>
  </si>
  <si>
    <t>Lauren C</t>
  </si>
  <si>
    <t>Erik R</t>
  </si>
  <si>
    <t>Thomas A</t>
  </si>
  <si>
    <t>Mr.  Jean-Marc</t>
  </si>
  <si>
    <t>Kerry L</t>
  </si>
  <si>
    <t>Ulrich</t>
  </si>
  <si>
    <t>Justin P</t>
  </si>
  <si>
    <t>Hannah E.</t>
  </si>
  <si>
    <t>Joseph P</t>
  </si>
  <si>
    <t>Gina M</t>
  </si>
  <si>
    <t>Shantel C.</t>
  </si>
  <si>
    <t>Jessica R</t>
  </si>
  <si>
    <t>Robyn</t>
  </si>
  <si>
    <t>Dana</t>
  </si>
  <si>
    <t>Jessica F.</t>
  </si>
  <si>
    <t>Kelly A</t>
  </si>
  <si>
    <t>Brooke E</t>
  </si>
  <si>
    <t>Katelyn E.</t>
  </si>
  <si>
    <t>Eoghan</t>
  </si>
  <si>
    <t>Pamela W</t>
  </si>
  <si>
    <t>Lindsey M.</t>
  </si>
  <si>
    <t>Kassie</t>
  </si>
  <si>
    <t>Mr.  Ruben Dario</t>
  </si>
  <si>
    <t>Lindsay M</t>
  </si>
  <si>
    <t>Samuel H.</t>
  </si>
  <si>
    <t>Jenni</t>
  </si>
  <si>
    <t>Estuardo F</t>
  </si>
  <si>
    <t>Brett</t>
  </si>
  <si>
    <t>Sharon E.</t>
  </si>
  <si>
    <t>Jacob W√¶ver</t>
  </si>
  <si>
    <t>Brooke S.</t>
  </si>
  <si>
    <t>Kaye A.</t>
  </si>
  <si>
    <t>Daniel C.</t>
  </si>
  <si>
    <t>Laurie A</t>
  </si>
  <si>
    <t>Shelby</t>
  </si>
  <si>
    <t>Leticia</t>
  </si>
  <si>
    <t>John S.</t>
  </si>
  <si>
    <t>Ashley N.</t>
  </si>
  <si>
    <t>Nelly S</t>
  </si>
  <si>
    <t>Meredith S</t>
  </si>
  <si>
    <t>Katherine A</t>
  </si>
  <si>
    <t>Steve</t>
  </si>
  <si>
    <t>Kate L.</t>
  </si>
  <si>
    <t>Katharine</t>
  </si>
  <si>
    <t>Heather L</t>
  </si>
  <si>
    <t>Desiree</t>
  </si>
  <si>
    <t>Peter B.</t>
  </si>
  <si>
    <t>Adam C</t>
  </si>
  <si>
    <t>Jon</t>
  </si>
  <si>
    <t>Steven J</t>
  </si>
  <si>
    <t>Jessica P.</t>
  </si>
  <si>
    <t>Arturo H.</t>
  </si>
  <si>
    <t>Ketil</t>
  </si>
  <si>
    <t>Christi</t>
  </si>
  <si>
    <t>Mr.  Edivaldo B. Sr.</t>
  </si>
  <si>
    <t>Eve</t>
  </si>
  <si>
    <t>Devin</t>
  </si>
  <si>
    <t>Shaun R</t>
  </si>
  <si>
    <t>Adrian</t>
  </si>
  <si>
    <t>Mallory</t>
  </si>
  <si>
    <t>Shawn E</t>
  </si>
  <si>
    <t>Johann A</t>
  </si>
  <si>
    <t>Robin M.</t>
  </si>
  <si>
    <t>Kyle K</t>
  </si>
  <si>
    <t>Michael A.</t>
  </si>
  <si>
    <t>Byron A</t>
  </si>
  <si>
    <t>Carine A</t>
  </si>
  <si>
    <t>Lindsay A.</t>
  </si>
  <si>
    <t>Justin R</t>
  </si>
  <si>
    <t>Ayako N.</t>
  </si>
  <si>
    <t>Emilee</t>
  </si>
  <si>
    <t>Stephen M</t>
  </si>
  <si>
    <t>Annemarie A</t>
  </si>
  <si>
    <t>Ashley R</t>
  </si>
  <si>
    <t>Leslie A</t>
  </si>
  <si>
    <t>Mr.  Mauricio J. Sr.</t>
  </si>
  <si>
    <t>Kieran</t>
  </si>
  <si>
    <t>Zeke M.</t>
  </si>
  <si>
    <t>Chip</t>
  </si>
  <si>
    <t>Mr.  Miguel Angel Sr.</t>
  </si>
  <si>
    <t>Meghan</t>
  </si>
  <si>
    <t>Millicent M</t>
  </si>
  <si>
    <t>Kimberly K</t>
  </si>
  <si>
    <t>Justin C</t>
  </si>
  <si>
    <t>Tristan P.</t>
  </si>
  <si>
    <t>Traci A</t>
  </si>
  <si>
    <t>Logan M</t>
  </si>
  <si>
    <t>Tiffany A</t>
  </si>
  <si>
    <t>Luke</t>
  </si>
  <si>
    <t>Leigh</t>
  </si>
  <si>
    <t>Yosuke</t>
  </si>
  <si>
    <t>Mr.  Jacob</t>
  </si>
  <si>
    <t>Jodi</t>
  </si>
  <si>
    <t>Misti C</t>
  </si>
  <si>
    <t>Angela J</t>
  </si>
  <si>
    <t>Jonathan D.</t>
  </si>
  <si>
    <t>Adrian R.</t>
  </si>
  <si>
    <t>Jason A.</t>
  </si>
  <si>
    <t>Rachel</t>
  </si>
  <si>
    <t>Susan</t>
  </si>
  <si>
    <t>Cameron M.</t>
  </si>
  <si>
    <t>Claudia A.</t>
  </si>
  <si>
    <t>Nicole M.</t>
  </si>
  <si>
    <t>Jack</t>
  </si>
  <si>
    <t>Jackie K.</t>
  </si>
  <si>
    <t>Tyler C</t>
  </si>
  <si>
    <t>Yoshie</t>
  </si>
  <si>
    <t>Lauren A</t>
  </si>
  <si>
    <t>Mason D.</t>
  </si>
  <si>
    <t>Mr.  Arturo</t>
  </si>
  <si>
    <t>Jake</t>
  </si>
  <si>
    <t>Alison L.</t>
  </si>
  <si>
    <t>Karen A.</t>
  </si>
  <si>
    <t>Thomas R. Jr.</t>
  </si>
  <si>
    <t>Ezra</t>
  </si>
  <si>
    <t>Ari L.</t>
  </si>
  <si>
    <t>Fanny</t>
  </si>
  <si>
    <t>Ms.  Heather</t>
  </si>
  <si>
    <t>Peter W. Sr.</t>
  </si>
  <si>
    <t>Catherine A</t>
  </si>
  <si>
    <t>Janel N.</t>
  </si>
  <si>
    <t>Yann Kai</t>
  </si>
  <si>
    <t>Zachary R.</t>
  </si>
  <si>
    <t>Mr.  Alejandro Sr.</t>
  </si>
  <si>
    <t>Nicholas R.</t>
  </si>
  <si>
    <t>Michael D</t>
  </si>
  <si>
    <t>Marina</t>
  </si>
  <si>
    <t>Ross P</t>
  </si>
  <si>
    <t>Aoife</t>
  </si>
  <si>
    <t>Barry P.</t>
  </si>
  <si>
    <t>Maciej</t>
  </si>
  <si>
    <t>Jerry D.</t>
  </si>
  <si>
    <t>Cathi</t>
  </si>
  <si>
    <t>Alex M</t>
  </si>
  <si>
    <t>Liang</t>
  </si>
  <si>
    <t>Lexy</t>
  </si>
  <si>
    <t>Samuel L</t>
  </si>
  <si>
    <t>Spencer A.</t>
  </si>
  <si>
    <t>Rochelle</t>
  </si>
  <si>
    <t>Paula</t>
  </si>
  <si>
    <t>Madeline E.</t>
  </si>
  <si>
    <t>Maria Isabel</t>
  </si>
  <si>
    <t>Arthur M.</t>
  </si>
  <si>
    <t>Joseph R.</t>
  </si>
  <si>
    <t>Sachiko</t>
  </si>
  <si>
    <t>Ruben</t>
  </si>
  <si>
    <t>Angela R.</t>
  </si>
  <si>
    <t>Chatham</t>
  </si>
  <si>
    <t>Derek</t>
  </si>
  <si>
    <t>Kalvin J.</t>
  </si>
  <si>
    <t>Barbara G.</t>
  </si>
  <si>
    <t>Sunny S</t>
  </si>
  <si>
    <t>Scott M.</t>
  </si>
  <si>
    <t>Marisa A</t>
  </si>
  <si>
    <t>Amy L</t>
  </si>
  <si>
    <t>Jenna M</t>
  </si>
  <si>
    <t>Lyazid</t>
  </si>
  <si>
    <t>Lindsey A.</t>
  </si>
  <si>
    <t>Jennifer A</t>
  </si>
  <si>
    <t>Leif S.</t>
  </si>
  <si>
    <t>Bo</t>
  </si>
  <si>
    <t>Leah</t>
  </si>
  <si>
    <t>Kara Lynne</t>
  </si>
  <si>
    <t>Allie</t>
  </si>
  <si>
    <t>Trasi</t>
  </si>
  <si>
    <t>Fernando</t>
  </si>
  <si>
    <t>Ieva</t>
  </si>
  <si>
    <t>Drew L.</t>
  </si>
  <si>
    <t>Alexander G</t>
  </si>
  <si>
    <t>Meaghan</t>
  </si>
  <si>
    <t>Andrea K.</t>
  </si>
  <si>
    <t>Kris</t>
  </si>
  <si>
    <t>Alden W</t>
  </si>
  <si>
    <t>Suzanne M</t>
  </si>
  <si>
    <t>Heidi Z.</t>
  </si>
  <si>
    <t>Ms.  Sabine</t>
  </si>
  <si>
    <t>Fan</t>
  </si>
  <si>
    <t>Chaiwat</t>
  </si>
  <si>
    <t>Kerri</t>
  </si>
  <si>
    <t>Nicholas G</t>
  </si>
  <si>
    <t>Vasilis S</t>
  </si>
  <si>
    <t>Colleen C.</t>
  </si>
  <si>
    <t>Annika</t>
  </si>
  <si>
    <t>Nicholas C.</t>
  </si>
  <si>
    <t>Kelly K</t>
  </si>
  <si>
    <t>Hannah</t>
  </si>
  <si>
    <t>Patricio Sr.</t>
  </si>
  <si>
    <t>Robert B</t>
  </si>
  <si>
    <t>Benjamin M</t>
  </si>
  <si>
    <t>Eric R.</t>
  </si>
  <si>
    <t>Bob R</t>
  </si>
  <si>
    <t>Stephanie J.</t>
  </si>
  <si>
    <t>Guillaume</t>
  </si>
  <si>
    <t>Kaylee</t>
  </si>
  <si>
    <t>Theresa</t>
  </si>
  <si>
    <t>Mr.  Travis G.</t>
  </si>
  <si>
    <t>Emma L.</t>
  </si>
  <si>
    <t>Linda</t>
  </si>
  <si>
    <t>Owen R</t>
  </si>
  <si>
    <t>Jacqueline</t>
  </si>
  <si>
    <t>Yefeng</t>
  </si>
  <si>
    <t>Ken</t>
  </si>
  <si>
    <t>Annie E</t>
  </si>
  <si>
    <t>Noel K.</t>
  </si>
  <si>
    <t>Federica</t>
  </si>
  <si>
    <t>Pamela L</t>
  </si>
  <si>
    <t>Andrew W.</t>
  </si>
  <si>
    <t>Azelie</t>
  </si>
  <si>
    <t>Monica M.</t>
  </si>
  <si>
    <t>Katarina K.</t>
  </si>
  <si>
    <t>Stacey L.</t>
  </si>
  <si>
    <t>James C.</t>
  </si>
  <si>
    <t>Kim</t>
  </si>
  <si>
    <t>Dariusz</t>
  </si>
  <si>
    <t>Kristen</t>
  </si>
  <si>
    <t>Mr.  Jose Guadalupe P. Sr.</t>
  </si>
  <si>
    <t>Holly J</t>
  </si>
  <si>
    <t>Tricity M</t>
  </si>
  <si>
    <t>Sarah A</t>
  </si>
  <si>
    <t>Lisa M.</t>
  </si>
  <si>
    <t>Tracy A.</t>
  </si>
  <si>
    <t>Trent</t>
  </si>
  <si>
    <t>Julie</t>
  </si>
  <si>
    <t>Sawomir</t>
  </si>
  <si>
    <t>Micah</t>
  </si>
  <si>
    <t>Kelly H.</t>
  </si>
  <si>
    <t>Lindsay M.</t>
  </si>
  <si>
    <t>Austen G</t>
  </si>
  <si>
    <t>Tory J.</t>
  </si>
  <si>
    <t>Robert J.</t>
  </si>
  <si>
    <t>Steph</t>
  </si>
  <si>
    <t>Kristina</t>
  </si>
  <si>
    <t>Ms.  Flo</t>
  </si>
  <si>
    <t>Sarah P.</t>
  </si>
  <si>
    <t>Anabel</t>
  </si>
  <si>
    <t>Ian</t>
  </si>
  <si>
    <t>Richard J</t>
  </si>
  <si>
    <t>Jacqueline N.</t>
  </si>
  <si>
    <t>Cindy</t>
  </si>
  <si>
    <t>Marcia</t>
  </si>
  <si>
    <t>Samantha R.</t>
  </si>
  <si>
    <t>John P</t>
  </si>
  <si>
    <t>Isabelle</t>
  </si>
  <si>
    <t>Neil</t>
  </si>
  <si>
    <t>Nathan</t>
  </si>
  <si>
    <t>Kelli N</t>
  </si>
  <si>
    <t>Grant A</t>
  </si>
  <si>
    <t>Jonathan C</t>
  </si>
  <si>
    <t>Rachael M.</t>
  </si>
  <si>
    <t>Pilar</t>
  </si>
  <si>
    <t>Kyle M</t>
  </si>
  <si>
    <t>Mrs.  Christie</t>
  </si>
  <si>
    <t>David A.</t>
  </si>
  <si>
    <t>Masahiro</t>
  </si>
  <si>
    <t>Logan B.</t>
  </si>
  <si>
    <t>Stephanie L.</t>
  </si>
  <si>
    <t>Angela H</t>
  </si>
  <si>
    <t>Britt K</t>
  </si>
  <si>
    <t>Joyce R.</t>
  </si>
  <si>
    <t>Michaela L</t>
  </si>
  <si>
    <t>Shalaleh</t>
  </si>
  <si>
    <t>Zuzana</t>
  </si>
  <si>
    <t>Daniel J.</t>
  </si>
  <si>
    <t>Matthew M</t>
  </si>
  <si>
    <t>Nadine A.</t>
  </si>
  <si>
    <t>Peter J. Jr.</t>
  </si>
  <si>
    <t>Douglas W</t>
  </si>
  <si>
    <t>Catherine</t>
  </si>
  <si>
    <t>Youngseong</t>
  </si>
  <si>
    <t>Brandon S.</t>
  </si>
  <si>
    <t>Sean P</t>
  </si>
  <si>
    <t>Janez</t>
  </si>
  <si>
    <t>John I. Jr.</t>
  </si>
  <si>
    <t>Deniz</t>
  </si>
  <si>
    <t>Shannon L.</t>
  </si>
  <si>
    <t>Kaitlin M.</t>
  </si>
  <si>
    <t>Mr.  Alfredo</t>
  </si>
  <si>
    <t>Troy</t>
  </si>
  <si>
    <t>Daniel C</t>
  </si>
  <si>
    <t>Jennefer</t>
  </si>
  <si>
    <t>Tracey L.</t>
  </si>
  <si>
    <t>Esther</t>
  </si>
  <si>
    <t>Jackie</t>
  </si>
  <si>
    <t>Timothy P.</t>
  </si>
  <si>
    <t>Hugo M</t>
  </si>
  <si>
    <t>Daniel J. Jr.</t>
  </si>
  <si>
    <t>Rob</t>
  </si>
  <si>
    <t>Austin D</t>
  </si>
  <si>
    <t>Ms.  Brittany</t>
  </si>
  <si>
    <t>Becky G.</t>
  </si>
  <si>
    <t>Virginie</t>
  </si>
  <si>
    <t>Allison A</t>
  </si>
  <si>
    <t>Caleb</t>
  </si>
  <si>
    <t>Zachariah</t>
  </si>
  <si>
    <t>Patricia A</t>
  </si>
  <si>
    <t>Breno</t>
  </si>
  <si>
    <t>Takaya</t>
  </si>
  <si>
    <t>Thomas IV</t>
  </si>
  <si>
    <t>Bradley E</t>
  </si>
  <si>
    <t>Ruby J</t>
  </si>
  <si>
    <t>Bart</t>
  </si>
  <si>
    <t>Robert A.</t>
  </si>
  <si>
    <t>Yemane Adhane</t>
  </si>
  <si>
    <t>Jesse A.</t>
  </si>
  <si>
    <t>Bird</t>
  </si>
  <si>
    <t>Patrick M.</t>
  </si>
  <si>
    <t>Yuri</t>
  </si>
  <si>
    <t>Debbie</t>
  </si>
  <si>
    <t>Daniell L</t>
  </si>
  <si>
    <t>Janne</t>
  </si>
  <si>
    <t>Elizabeth L</t>
  </si>
  <si>
    <t>Stephanie C.</t>
  </si>
  <si>
    <t>Callie</t>
  </si>
  <si>
    <t>Mary K.</t>
  </si>
  <si>
    <t>Samuel M.</t>
  </si>
  <si>
    <t>Tom J.</t>
  </si>
  <si>
    <t>Dougie J</t>
  </si>
  <si>
    <t>Jeremiah H</t>
  </si>
  <si>
    <t>Ashley J.</t>
  </si>
  <si>
    <t>Turner J.</t>
  </si>
  <si>
    <t>Roger</t>
  </si>
  <si>
    <t>Pamela</t>
  </si>
  <si>
    <t>Katherine H.</t>
  </si>
  <si>
    <t>Robin</t>
  </si>
  <si>
    <t>Terri</t>
  </si>
  <si>
    <t>Eddie</t>
  </si>
  <si>
    <t>Joyce</t>
  </si>
  <si>
    <t>Alison W.</t>
  </si>
  <si>
    <t>Tammara C</t>
  </si>
  <si>
    <t>Dorota</t>
  </si>
  <si>
    <t>Mr.  Jose Norberto Sr.</t>
  </si>
  <si>
    <t>Bryant</t>
  </si>
  <si>
    <t>Eduardo</t>
  </si>
  <si>
    <t>Laura M.</t>
  </si>
  <si>
    <t>Melissa D.</t>
  </si>
  <si>
    <t>Dan C. Jr.</t>
  </si>
  <si>
    <t>Wesley C.</t>
  </si>
  <si>
    <t>Christin</t>
  </si>
  <si>
    <t>Margaret P.</t>
  </si>
  <si>
    <t>Tiffany K</t>
  </si>
  <si>
    <t>David M.</t>
  </si>
  <si>
    <t>Christine E</t>
  </si>
  <si>
    <t>Ms.  Donna</t>
  </si>
  <si>
    <t>Rod</t>
  </si>
  <si>
    <t>Joe</t>
  </si>
  <si>
    <t>Kayleigh</t>
  </si>
  <si>
    <t>Lorcan A.</t>
  </si>
  <si>
    <t>Billy</t>
  </si>
  <si>
    <t>Paul M.</t>
  </si>
  <si>
    <t>Brenda M.</t>
  </si>
  <si>
    <t>Jeff H</t>
  </si>
  <si>
    <t>Jan</t>
  </si>
  <si>
    <t>Bernard</t>
  </si>
  <si>
    <t>Bryn</t>
  </si>
  <si>
    <t>Jay</t>
  </si>
  <si>
    <t>Shelley</t>
  </si>
  <si>
    <t>Jekaterina</t>
  </si>
  <si>
    <t>Pauline</t>
  </si>
  <si>
    <t>Aleah K</t>
  </si>
  <si>
    <t>Mare</t>
  </si>
  <si>
    <t>Amanda R</t>
  </si>
  <si>
    <t>Murray W.</t>
  </si>
  <si>
    <t>Meghan P.</t>
  </si>
  <si>
    <t>Seth</t>
  </si>
  <si>
    <t>Michael P.</t>
  </si>
  <si>
    <t>Russell M</t>
  </si>
  <si>
    <t>Brock J</t>
  </si>
  <si>
    <t>Stephen F.</t>
  </si>
  <si>
    <t>Missy</t>
  </si>
  <si>
    <t>Lauren M</t>
  </si>
  <si>
    <t>Mr.  Apolo U.</t>
  </si>
  <si>
    <t>Alfons</t>
  </si>
  <si>
    <t>Amber</t>
  </si>
  <si>
    <t>Leah C.</t>
  </si>
  <si>
    <t>Lilia</t>
  </si>
  <si>
    <t>Mr.  Danny</t>
  </si>
  <si>
    <t>Satomi</t>
  </si>
  <si>
    <t>Peter T II</t>
  </si>
  <si>
    <t>Kindsey P.</t>
  </si>
  <si>
    <t>Thomas G.</t>
  </si>
  <si>
    <t>Kyle S</t>
  </si>
  <si>
    <t>Alexander J.</t>
  </si>
  <si>
    <t>Dustin L</t>
  </si>
  <si>
    <t>Chloe</t>
  </si>
  <si>
    <t>Cailtlin</t>
  </si>
  <si>
    <t>Chuy</t>
  </si>
  <si>
    <t>Laurie B</t>
  </si>
  <si>
    <t>Rachel B.</t>
  </si>
  <si>
    <t>Ms.  Liza</t>
  </si>
  <si>
    <t>Lindsay E.</t>
  </si>
  <si>
    <t>Kathleen M.</t>
  </si>
  <si>
    <t>Aya</t>
  </si>
  <si>
    <t>Carolyn R</t>
  </si>
  <si>
    <t>Bethany</t>
  </si>
  <si>
    <t>Holly A</t>
  </si>
  <si>
    <t>Ping</t>
  </si>
  <si>
    <t>Mrs.  Cynthia</t>
  </si>
  <si>
    <t>Emmett</t>
  </si>
  <si>
    <t>Christopher L.</t>
  </si>
  <si>
    <t>Christopher P.</t>
  </si>
  <si>
    <t>Christopher W</t>
  </si>
  <si>
    <t>Norman H.</t>
  </si>
  <si>
    <t>Tatyana K</t>
  </si>
  <si>
    <t>Chrissy</t>
  </si>
  <si>
    <t>Halle</t>
  </si>
  <si>
    <t>Tara D.</t>
  </si>
  <si>
    <t>Rasim M</t>
  </si>
  <si>
    <t>Dina</t>
  </si>
  <si>
    <t>Caitrin</t>
  </si>
  <si>
    <t>Adriana S</t>
  </si>
  <si>
    <t>Kristen M</t>
  </si>
  <si>
    <t>Alix</t>
  </si>
  <si>
    <t>Kakushin</t>
  </si>
  <si>
    <t>Michael J</t>
  </si>
  <si>
    <t>Amanda C.</t>
  </si>
  <si>
    <t>Valur</t>
  </si>
  <si>
    <t>Erica J</t>
  </si>
  <si>
    <t>Lissa</t>
  </si>
  <si>
    <t>Alyson</t>
  </si>
  <si>
    <t>Chance B</t>
  </si>
  <si>
    <t>Therese</t>
  </si>
  <si>
    <t>Beau</t>
  </si>
  <si>
    <t>Kelsey M</t>
  </si>
  <si>
    <t>Gretchen</t>
  </si>
  <si>
    <t>Nicholas E.</t>
  </si>
  <si>
    <t>Deborah</t>
  </si>
  <si>
    <t>Chuck W. Jr.</t>
  </si>
  <si>
    <t>Amany</t>
  </si>
  <si>
    <t>Kipling</t>
  </si>
  <si>
    <t>Louis C.</t>
  </si>
  <si>
    <t>Ildiko M.</t>
  </si>
  <si>
    <t>Melinda E.</t>
  </si>
  <si>
    <t>Ashley M</t>
  </si>
  <si>
    <t>Sean P.</t>
  </si>
  <si>
    <t>Emily G</t>
  </si>
  <si>
    <t>Danilo</t>
  </si>
  <si>
    <t>Mikko</t>
  </si>
  <si>
    <t>Paula C.</t>
  </si>
  <si>
    <t>Kirsten N.</t>
  </si>
  <si>
    <t>Christy</t>
  </si>
  <si>
    <t>Jingjing</t>
  </si>
  <si>
    <t>Frankline</t>
  </si>
  <si>
    <t>Laura T.</t>
  </si>
  <si>
    <t>Natalia</t>
  </si>
  <si>
    <t>Jennifer L.</t>
  </si>
  <si>
    <t>Brooke</t>
  </si>
  <si>
    <t>Jeremy M</t>
  </si>
  <si>
    <t>Megan L.</t>
  </si>
  <si>
    <t>Marny</t>
  </si>
  <si>
    <t>Benjamin L</t>
  </si>
  <si>
    <t>Rob G</t>
  </si>
  <si>
    <t>Stefanie A</t>
  </si>
  <si>
    <t>Caroline F.</t>
  </si>
  <si>
    <t>Julia J.</t>
  </si>
  <si>
    <t>Bernat</t>
  </si>
  <si>
    <t>Hicham</t>
  </si>
  <si>
    <t>Elisabetta</t>
  </si>
  <si>
    <t>Trevor N.</t>
  </si>
  <si>
    <t>Nancy</t>
  </si>
  <si>
    <t>Allison R.</t>
  </si>
  <si>
    <t>Janae N.</t>
  </si>
  <si>
    <t>Nicole F</t>
  </si>
  <si>
    <t>Krista L</t>
  </si>
  <si>
    <t>Denise</t>
  </si>
  <si>
    <t>Ariel</t>
  </si>
  <si>
    <t>Rosalie</t>
  </si>
  <si>
    <t>Vitaliy</t>
  </si>
  <si>
    <t>Benjamin W.</t>
  </si>
  <si>
    <t>Massimiliano</t>
  </si>
  <si>
    <t>Kiyokatsu</t>
  </si>
  <si>
    <t>Julia M</t>
  </si>
  <si>
    <t>Rhea</t>
  </si>
  <si>
    <t>Shamus M.</t>
  </si>
  <si>
    <t>Mary Beth</t>
  </si>
  <si>
    <t>Erin</t>
  </si>
  <si>
    <t>Ms.  Hallie</t>
  </si>
  <si>
    <t>Paige P</t>
  </si>
  <si>
    <t>Ji</t>
  </si>
  <si>
    <t>Carissa A</t>
  </si>
  <si>
    <t>Mona</t>
  </si>
  <si>
    <t>Kristin R.</t>
  </si>
  <si>
    <t>Hilary K.</t>
  </si>
  <si>
    <t>Dominique</t>
  </si>
  <si>
    <t>Carlos I</t>
  </si>
  <si>
    <t>Sarah S</t>
  </si>
  <si>
    <t>Shauna R.</t>
  </si>
  <si>
    <t>Ms.  Lindsay J.</t>
  </si>
  <si>
    <t>Danya A.</t>
  </si>
  <si>
    <t>Lorraine</t>
  </si>
  <si>
    <t>Jesus Sr.</t>
  </si>
  <si>
    <t>Catherine C.</t>
  </si>
  <si>
    <t>Evan</t>
  </si>
  <si>
    <t>Nathan J</t>
  </si>
  <si>
    <t>Lavar</t>
  </si>
  <si>
    <t>Charlie T.</t>
  </si>
  <si>
    <t>Arthur</t>
  </si>
  <si>
    <t>Ms.  Jennifer</t>
  </si>
  <si>
    <t>Tammy</t>
  </si>
  <si>
    <t>Lena</t>
  </si>
  <si>
    <t>Valentina</t>
  </si>
  <si>
    <t>Russell N.</t>
  </si>
  <si>
    <t>Scott R.</t>
  </si>
  <si>
    <t>Jose Francisco Sr.</t>
  </si>
  <si>
    <t>Paul J</t>
  </si>
  <si>
    <t>Edward J.</t>
  </si>
  <si>
    <t>Patrick A.</t>
  </si>
  <si>
    <t>Geraint H</t>
  </si>
  <si>
    <t>Dj</t>
  </si>
  <si>
    <t>Zachary A</t>
  </si>
  <si>
    <t>Brian W.</t>
  </si>
  <si>
    <t>Ellen L.</t>
  </si>
  <si>
    <t>Ms.  Abigail R.</t>
  </si>
  <si>
    <t>Grace H</t>
  </si>
  <si>
    <t>Caitie J.</t>
  </si>
  <si>
    <t>Ian T</t>
  </si>
  <si>
    <t>Tadese</t>
  </si>
  <si>
    <t>Dathan</t>
  </si>
  <si>
    <t>Aaron R</t>
  </si>
  <si>
    <t>Caitlin H.</t>
  </si>
  <si>
    <t>Harald E.</t>
  </si>
  <si>
    <t>Siobhan A.</t>
  </si>
  <si>
    <t>Andrea J.</t>
  </si>
  <si>
    <t>Rachel A.</t>
  </si>
  <si>
    <t>Kiersten</t>
  </si>
  <si>
    <t>Lelisa</t>
  </si>
  <si>
    <t>Chris C.</t>
  </si>
  <si>
    <t>Erik C.</t>
  </si>
  <si>
    <t>Shawn C</t>
  </si>
  <si>
    <t>Vajin L.</t>
  </si>
  <si>
    <t>John K. Jr.</t>
  </si>
  <si>
    <t>Kevin J.</t>
  </si>
  <si>
    <t>Kirby W.</t>
  </si>
  <si>
    <t>J A</t>
  </si>
  <si>
    <t>Dustin G.</t>
  </si>
  <si>
    <t>Anthony G</t>
  </si>
  <si>
    <t>Eric N</t>
  </si>
  <si>
    <t>Patrick H.</t>
  </si>
  <si>
    <t>Deborah L.</t>
  </si>
  <si>
    <t>Andrea K</t>
  </si>
  <si>
    <t>Elleree</t>
  </si>
  <si>
    <t>Brandon J</t>
  </si>
  <si>
    <t>Nina Wavik Sr.</t>
  </si>
  <si>
    <t>Dani</t>
  </si>
  <si>
    <t>Ms.  Kathryn M.</t>
  </si>
  <si>
    <t>Trent A</t>
  </si>
  <si>
    <t>Jennifer E</t>
  </si>
  <si>
    <t>Tiffany A.</t>
  </si>
  <si>
    <t>Pat</t>
  </si>
  <si>
    <t>Rebecca M.</t>
  </si>
  <si>
    <t>Ruth</t>
  </si>
  <si>
    <t>Gregory S</t>
  </si>
  <si>
    <t>Alexandra S</t>
  </si>
  <si>
    <t>Hillary</t>
  </si>
  <si>
    <t>Amy K.</t>
  </si>
  <si>
    <t>Maaikel</t>
  </si>
  <si>
    <t>Christopher S.</t>
  </si>
  <si>
    <t>William R</t>
  </si>
  <si>
    <t>Lyndsy</t>
  </si>
  <si>
    <t>Anna</t>
  </si>
  <si>
    <t>Eric S</t>
  </si>
  <si>
    <t>Sonja</t>
  </si>
  <si>
    <t>Martha L.</t>
  </si>
  <si>
    <t>Ryan C.</t>
  </si>
  <si>
    <t>Cliff</t>
  </si>
  <si>
    <t>Blue</t>
  </si>
  <si>
    <t>Jeffrey M</t>
  </si>
  <si>
    <t>Mr.  Jaime</t>
  </si>
  <si>
    <t>Mr.  Mohd Syahidan</t>
  </si>
  <si>
    <t>Mr.  Matthew</t>
  </si>
  <si>
    <t>Christi A.</t>
  </si>
  <si>
    <t>Sandra K.</t>
  </si>
  <si>
    <t>Jerome</t>
  </si>
  <si>
    <t>Julia R</t>
  </si>
  <si>
    <t>Sean Henry</t>
  </si>
  <si>
    <t>Abby L.</t>
  </si>
  <si>
    <t>Ali</t>
  </si>
  <si>
    <t>Pierre</t>
  </si>
  <si>
    <t>Alvaro Sr.</t>
  </si>
  <si>
    <t>Mark P.</t>
  </si>
  <si>
    <t>Mario Jr.</t>
  </si>
  <si>
    <t>Lusapho</t>
  </si>
  <si>
    <t>Alan F</t>
  </si>
  <si>
    <t>Jacob J</t>
  </si>
  <si>
    <t>Barros, Mr.  Jose Tomas</t>
  </si>
  <si>
    <t>Mary Evan</t>
  </si>
  <si>
    <t>Justin K.</t>
  </si>
  <si>
    <t>Roman</t>
  </si>
  <si>
    <t>Evelyn L</t>
  </si>
  <si>
    <t>Matthew S</t>
  </si>
  <si>
    <t>Flannery</t>
  </si>
  <si>
    <t>John T</t>
  </si>
  <si>
    <t>Candice M</t>
  </si>
  <si>
    <t>Theodore A.</t>
  </si>
  <si>
    <t>Ms.  Lindy</t>
  </si>
  <si>
    <t>Holly</t>
  </si>
  <si>
    <t>Meghan K</t>
  </si>
  <si>
    <t>Fred</t>
  </si>
  <si>
    <t>Sebastian</t>
  </si>
  <si>
    <t>Susan E</t>
  </si>
  <si>
    <t>Katy</t>
  </si>
  <si>
    <t>Mr.  Juan D. Sr.</t>
  </si>
  <si>
    <t>Evan P</t>
  </si>
  <si>
    <t>Aaron K</t>
  </si>
  <si>
    <t>Ms.</t>
  </si>
  <si>
    <t>Mr.</t>
  </si>
  <si>
    <t>Mrs.</t>
  </si>
  <si>
    <t>NumberOfMajorSurgeries 2</t>
  </si>
  <si>
    <t>$charges</t>
  </si>
  <si>
    <t>$563.84</t>
  </si>
  <si>
    <t>$570.62</t>
  </si>
  <si>
    <t>$600</t>
  </si>
  <si>
    <t>$604.54</t>
  </si>
  <si>
    <t>$637.26</t>
  </si>
  <si>
    <t>$646.14</t>
  </si>
  <si>
    <t>$650</t>
  </si>
  <si>
    <t>$668</t>
  </si>
  <si>
    <t>$670</t>
  </si>
  <si>
    <t>$687.54</t>
  </si>
  <si>
    <t>$700</t>
  </si>
  <si>
    <t>$722.99</t>
  </si>
  <si>
    <t>$750</t>
  </si>
  <si>
    <t>$760</t>
  </si>
  <si>
    <t>$770</t>
  </si>
  <si>
    <t>$770.38</t>
  </si>
  <si>
    <t>$773.54</t>
  </si>
  <si>
    <t>$830.52</t>
  </si>
  <si>
    <t>$865.41</t>
  </si>
  <si>
    <t>$896.21</t>
  </si>
  <si>
    <t>$915.07</t>
  </si>
  <si>
    <t>$928.59</t>
  </si>
  <si>
    <t>$964.71</t>
  </si>
  <si>
    <t>$1006.65</t>
  </si>
  <si>
    <t>$1012</t>
  </si>
  <si>
    <t>$1019</t>
  </si>
  <si>
    <t>$1033.74</t>
  </si>
  <si>
    <t>$1044</t>
  </si>
  <si>
    <t>$1047</t>
  </si>
  <si>
    <t>$1049</t>
  </si>
  <si>
    <t>$1056</t>
  </si>
  <si>
    <t>$1068</t>
  </si>
  <si>
    <t>$1070</t>
  </si>
  <si>
    <t>$1071</t>
  </si>
  <si>
    <t>$1082</t>
  </si>
  <si>
    <t>$1086</t>
  </si>
  <si>
    <t>$1121.8699999999999</t>
  </si>
  <si>
    <t>$1131.51</t>
  </si>
  <si>
    <t>$1132</t>
  </si>
  <si>
    <t>$1135</t>
  </si>
  <si>
    <t>$1135.94</t>
  </si>
  <si>
    <t>$1136.4000000000001</t>
  </si>
  <si>
    <t>$1137</t>
  </si>
  <si>
    <t>$1137.01</t>
  </si>
  <si>
    <t>$1137.47</t>
  </si>
  <si>
    <t>$1141</t>
  </si>
  <si>
    <t>$1141.45</t>
  </si>
  <si>
    <t>$1142</t>
  </si>
  <si>
    <t>$1146.8</t>
  </si>
  <si>
    <t>$1149</t>
  </si>
  <si>
    <t>$1149.4000000000001</t>
  </si>
  <si>
    <t>$1158.32</t>
  </si>
  <si>
    <t>$1163.46</t>
  </si>
  <si>
    <t>$1165</t>
  </si>
  <si>
    <t>$1167</t>
  </si>
  <si>
    <t>$1178</t>
  </si>
  <si>
    <t>$1178.07</t>
  </si>
  <si>
    <t>$1191</t>
  </si>
  <si>
    <t>$1200</t>
  </si>
  <si>
    <t>$1200.55</t>
  </si>
  <si>
    <t>$1210</t>
  </si>
  <si>
    <t>$1220</t>
  </si>
  <si>
    <t>$1224</t>
  </si>
  <si>
    <t>$1228</t>
  </si>
  <si>
    <t>$1234</t>
  </si>
  <si>
    <t>$1237</t>
  </si>
  <si>
    <t>$1240</t>
  </si>
  <si>
    <t>$1241</t>
  </si>
  <si>
    <t>$1241.57</t>
  </si>
  <si>
    <t>$1242.26</t>
  </si>
  <si>
    <t>$1242.82</t>
  </si>
  <si>
    <t>$1252.4100000000001</t>
  </si>
  <si>
    <t>$1253</t>
  </si>
  <si>
    <t>$1253.94</t>
  </si>
  <si>
    <t>$1256.3</t>
  </si>
  <si>
    <t>$1261.44</t>
  </si>
  <si>
    <t>$1261.8599999999999</t>
  </si>
  <si>
    <t>$1263.25</t>
  </si>
  <si>
    <t>$1267</t>
  </si>
  <si>
    <t>$1276</t>
  </si>
  <si>
    <t>$1283</t>
  </si>
  <si>
    <t>$1285</t>
  </si>
  <si>
    <t>$1286</t>
  </si>
  <si>
    <t>$1290.93</t>
  </si>
  <si>
    <t>$1293</t>
  </si>
  <si>
    <t>$1304</t>
  </si>
  <si>
    <t>$1315</t>
  </si>
  <si>
    <t>$1329.17</t>
  </si>
  <si>
    <t>$1332.61</t>
  </si>
  <si>
    <t>$1338</t>
  </si>
  <si>
    <t>$1341.16</t>
  </si>
  <si>
    <t>$1359</t>
  </si>
  <si>
    <t>$1382</t>
  </si>
  <si>
    <t>$1389</t>
  </si>
  <si>
    <t>$1390</t>
  </si>
  <si>
    <t>$1391.53</t>
  </si>
  <si>
    <t>$1400.44</t>
  </si>
  <si>
    <t>$1402</t>
  </si>
  <si>
    <t>$1417</t>
  </si>
  <si>
    <t>$1421</t>
  </si>
  <si>
    <t>$1422</t>
  </si>
  <si>
    <t>$1438</t>
  </si>
  <si>
    <t>$1445</t>
  </si>
  <si>
    <t>$1467</t>
  </si>
  <si>
    <t>$1477</t>
  </si>
  <si>
    <t>$1481</t>
  </si>
  <si>
    <t>$1493</t>
  </si>
  <si>
    <t>$1497</t>
  </si>
  <si>
    <t>$1515.34</t>
  </si>
  <si>
    <t>$1526.31</t>
  </si>
  <si>
    <t>$1532.47</t>
  </si>
  <si>
    <t>$1534.3</t>
  </si>
  <si>
    <t>$1566.88</t>
  </si>
  <si>
    <t>$1607.51</t>
  </si>
  <si>
    <t>$1615.77</t>
  </si>
  <si>
    <t>$1617.16</t>
  </si>
  <si>
    <t>$1621.34</t>
  </si>
  <si>
    <t>$1621.88</t>
  </si>
  <si>
    <t>$1622.19</t>
  </si>
  <si>
    <t>$1625.43</t>
  </si>
  <si>
    <t>$1627.28</t>
  </si>
  <si>
    <t>$1628.47</t>
  </si>
  <si>
    <t>$1629.83</t>
  </si>
  <si>
    <t>$1631.67</t>
  </si>
  <si>
    <t>$1631.82</t>
  </si>
  <si>
    <t>$1632.04</t>
  </si>
  <si>
    <t>$1632.56</t>
  </si>
  <si>
    <t>$1633.04</t>
  </si>
  <si>
    <t>$1633.96</t>
  </si>
  <si>
    <t>$1634.57</t>
  </si>
  <si>
    <t>$1635.73</t>
  </si>
  <si>
    <t>$1639.56</t>
  </si>
  <si>
    <t>$1646.43</t>
  </si>
  <si>
    <t>$1665</t>
  </si>
  <si>
    <t>$1674.63</t>
  </si>
  <si>
    <t>$1682.6</t>
  </si>
  <si>
    <t>$1694.8</t>
  </si>
  <si>
    <t>$1702.46</t>
  </si>
  <si>
    <t>$1704.57</t>
  </si>
  <si>
    <t>$1704.7</t>
  </si>
  <si>
    <t>$1705.62</t>
  </si>
  <si>
    <t>$1708</t>
  </si>
  <si>
    <t>$1708.93</t>
  </si>
  <si>
    <t>$1711.03</t>
  </si>
  <si>
    <t>$1712.23</t>
  </si>
  <si>
    <t>$1719.44</t>
  </si>
  <si>
    <t>$1720.35</t>
  </si>
  <si>
    <t>$1725.55</t>
  </si>
  <si>
    <t>$1727.54</t>
  </si>
  <si>
    <t>$1727.79</t>
  </si>
  <si>
    <t>$1728.9</t>
  </si>
  <si>
    <t>$1731.68</t>
  </si>
  <si>
    <t>$1737.38</t>
  </si>
  <si>
    <t>$1743.21</t>
  </si>
  <si>
    <t>$1744.47</t>
  </si>
  <si>
    <t>$1748.77</t>
  </si>
  <si>
    <t>$1756.6</t>
  </si>
  <si>
    <t>$1759.34</t>
  </si>
  <si>
    <t>$1769.53</t>
  </si>
  <si>
    <t>$1815.88</t>
  </si>
  <si>
    <t>$1822.54</t>
  </si>
  <si>
    <t>$1824.29</t>
  </si>
  <si>
    <t>$1826.84</t>
  </si>
  <si>
    <t>$1832.09</t>
  </si>
  <si>
    <t>$1837.24</t>
  </si>
  <si>
    <t>$1837.28</t>
  </si>
  <si>
    <t>$1842.52</t>
  </si>
  <si>
    <t>$1850.55</t>
  </si>
  <si>
    <t>$1863.45</t>
  </si>
  <si>
    <t>$1865.98</t>
  </si>
  <si>
    <t>$1875.34</t>
  </si>
  <si>
    <t>$1877.93</t>
  </si>
  <si>
    <t>$1880.07</t>
  </si>
  <si>
    <t>$1880.49</t>
  </si>
  <si>
    <t>$1906.36</t>
  </si>
  <si>
    <t>$1908.9</t>
  </si>
  <si>
    <t>$1909.53</t>
  </si>
  <si>
    <t>$1917.32</t>
  </si>
  <si>
    <t>$1964.78</t>
  </si>
  <si>
    <t>$1967.02</t>
  </si>
  <si>
    <t>$1969.61</t>
  </si>
  <si>
    <t>$1972.95</t>
  </si>
  <si>
    <t>$1977.82</t>
  </si>
  <si>
    <t>$1980.07</t>
  </si>
  <si>
    <t>$1981.58</t>
  </si>
  <si>
    <t>$1984.45</t>
  </si>
  <si>
    <t>$1986.93</t>
  </si>
  <si>
    <t>$2007.95</t>
  </si>
  <si>
    <t>$2020.18</t>
  </si>
  <si>
    <t>$2020.55</t>
  </si>
  <si>
    <t>$2026.97</t>
  </si>
  <si>
    <t>$2045.69</t>
  </si>
  <si>
    <t>$2055.3200000000002</t>
  </si>
  <si>
    <t>$2094.1</t>
  </si>
  <si>
    <t>$2102.2600000000002</t>
  </si>
  <si>
    <t>$2103.08</t>
  </si>
  <si>
    <t>$2104.11</t>
  </si>
  <si>
    <t>$2106.2600000000002</t>
  </si>
  <si>
    <t>$2117.34</t>
  </si>
  <si>
    <t>$2118.61</t>
  </si>
  <si>
    <t>$2128.4299999999998</t>
  </si>
  <si>
    <t>$2130.6799999999998</t>
  </si>
  <si>
    <t>$2134.9</t>
  </si>
  <si>
    <t>$2136.88</t>
  </si>
  <si>
    <t>$2137.65</t>
  </si>
  <si>
    <t>$2138.0700000000002</t>
  </si>
  <si>
    <t>$2144.85</t>
  </si>
  <si>
    <t>$2150.4699999999998</t>
  </si>
  <si>
    <t>$2154.36</t>
  </si>
  <si>
    <t>$2155.6799999999998</t>
  </si>
  <si>
    <t>$2156.75</t>
  </si>
  <si>
    <t>$2166.73</t>
  </si>
  <si>
    <t>$2170.08</t>
  </si>
  <si>
    <t>$2193.1999999999998</t>
  </si>
  <si>
    <t>$2196.4699999999998</t>
  </si>
  <si>
    <t>$2198.19</t>
  </si>
  <si>
    <t>$2200.83</t>
  </si>
  <si>
    <t>$2201.1</t>
  </si>
  <si>
    <t>$2203.4699999999998</t>
  </si>
  <si>
    <t>$2203.7399999999998</t>
  </si>
  <si>
    <t>$2205.98</t>
  </si>
  <si>
    <t>$2207.6999999999998</t>
  </si>
  <si>
    <t>$2211.13</t>
  </si>
  <si>
    <t>$2213.21</t>
  </si>
  <si>
    <t>$2217.4699999999998</t>
  </si>
  <si>
    <t>$2217.6</t>
  </si>
  <si>
    <t>$2219.4499999999998</t>
  </si>
  <si>
    <t>$2221.56</t>
  </si>
  <si>
    <t>$2250.84</t>
  </si>
  <si>
    <t>$2254.8000000000002</t>
  </si>
  <si>
    <t>$2257.48</t>
  </si>
  <si>
    <t>$2261.5700000000002</t>
  </si>
  <si>
    <t>$2277.7199999999998</t>
  </si>
  <si>
    <t>$2295.2399999999998</t>
  </si>
  <si>
    <t>$2302.3000000000002</t>
  </si>
  <si>
    <t>$2304</t>
  </si>
  <si>
    <t>$2322.62</t>
  </si>
  <si>
    <t>$2331.52</t>
  </si>
  <si>
    <t>$2352.9699999999998</t>
  </si>
  <si>
    <t>$2362.23</t>
  </si>
  <si>
    <t>$2373.3000000000002</t>
  </si>
  <si>
    <t>$2395.17</t>
  </si>
  <si>
    <t>$2396.1</t>
  </si>
  <si>
    <t>$2404.73</t>
  </si>
  <si>
    <t>$2416.96</t>
  </si>
  <si>
    <t>$2438.06</t>
  </si>
  <si>
    <t>$2457.21</t>
  </si>
  <si>
    <t>$2457.5</t>
  </si>
  <si>
    <t>$2459.7199999999998</t>
  </si>
  <si>
    <t>$2464.62</t>
  </si>
  <si>
    <t>$2473.33</t>
  </si>
  <si>
    <t>$2480.98</t>
  </si>
  <si>
    <t>$2483.7399999999998</t>
  </si>
  <si>
    <t>$2494.02</t>
  </si>
  <si>
    <t>$2497.04</t>
  </si>
  <si>
    <t>$2498.41</t>
  </si>
  <si>
    <t>$2500.9299999999998</t>
  </si>
  <si>
    <t>$2510.79</t>
  </si>
  <si>
    <t>$2523.17</t>
  </si>
  <si>
    <t>$2527.8200000000002</t>
  </si>
  <si>
    <t>$2534.39</t>
  </si>
  <si>
    <t>$2540.39</t>
  </si>
  <si>
    <t>$2545.6799999999998</t>
  </si>
  <si>
    <t>$2566.4699999999998</t>
  </si>
  <si>
    <t>$2585.04</t>
  </si>
  <si>
    <t>$2585.27</t>
  </si>
  <si>
    <t>$2585.85</t>
  </si>
  <si>
    <t>$2597.7800000000002</t>
  </si>
  <si>
    <t>$2632.99</t>
  </si>
  <si>
    <t>$2639.04</t>
  </si>
  <si>
    <t>$2643.27</t>
  </si>
  <si>
    <t>$2680.95</t>
  </si>
  <si>
    <t>$2684.69</t>
  </si>
  <si>
    <t>$2689.5</t>
  </si>
  <si>
    <t>$2690.11</t>
  </si>
  <si>
    <t>$2699.57</t>
  </si>
  <si>
    <t>$2709.11</t>
  </si>
  <si>
    <t>$2709.24</t>
  </si>
  <si>
    <t>$2710.83</t>
  </si>
  <si>
    <t>$2719.28</t>
  </si>
  <si>
    <t>$2721.32</t>
  </si>
  <si>
    <t>$2726.06</t>
  </si>
  <si>
    <t>$2727.4</t>
  </si>
  <si>
    <t>$2730.11</t>
  </si>
  <si>
    <t>$2731.91</t>
  </si>
  <si>
    <t>$2741.95</t>
  </si>
  <si>
    <t>$2755.02</t>
  </si>
  <si>
    <t>$2758.99</t>
  </si>
  <si>
    <t>$2773.46</t>
  </si>
  <si>
    <t>$2775.19</t>
  </si>
  <si>
    <t>$2789.06</t>
  </si>
  <si>
    <t>$2801.26</t>
  </si>
  <si>
    <t>$2803.7</t>
  </si>
  <si>
    <t>$2819.51</t>
  </si>
  <si>
    <t>$2842.76</t>
  </si>
  <si>
    <t>$2850.68</t>
  </si>
  <si>
    <t>$2855.44</t>
  </si>
  <si>
    <t>$2866.09</t>
  </si>
  <si>
    <t>$2867.12</t>
  </si>
  <si>
    <t>$2897.32</t>
  </si>
  <si>
    <t>$2897.46</t>
  </si>
  <si>
    <t>$2899.49</t>
  </si>
  <si>
    <t>$2902.91</t>
  </si>
  <si>
    <t>$2904.09</t>
  </si>
  <si>
    <t>$2913.57</t>
  </si>
  <si>
    <t>$2927.06</t>
  </si>
  <si>
    <t>$2943.41</t>
  </si>
  <si>
    <t>$2974.13</t>
  </si>
  <si>
    <t>$2979.52</t>
  </si>
  <si>
    <t>$2985.67</t>
  </si>
  <si>
    <t>$3012.22</t>
  </si>
  <si>
    <t>$3018.04</t>
  </si>
  <si>
    <t>$3021.81</t>
  </si>
  <si>
    <t>$3044.21</t>
  </si>
  <si>
    <t>$3046.06</t>
  </si>
  <si>
    <t>$3051.73</t>
  </si>
  <si>
    <t>$3056.39</t>
  </si>
  <si>
    <t>$3062.51</t>
  </si>
  <si>
    <t>$3065.49</t>
  </si>
  <si>
    <t>$3070.81</t>
  </si>
  <si>
    <t>$3077.1</t>
  </si>
  <si>
    <t>$3088.06</t>
  </si>
  <si>
    <t>$3128.35</t>
  </si>
  <si>
    <t>$3161.45</t>
  </si>
  <si>
    <t>$3162.02</t>
  </si>
  <si>
    <t>$3167.46</t>
  </si>
  <si>
    <t>$3171.61</t>
  </si>
  <si>
    <t>$3172.02</t>
  </si>
  <si>
    <t>$3176.29</t>
  </si>
  <si>
    <t>$3176.82</t>
  </si>
  <si>
    <t>$3179.96</t>
  </si>
  <si>
    <t>$3180.51</t>
  </si>
  <si>
    <t>$3201.25</t>
  </si>
  <si>
    <t>$3206.49</t>
  </si>
  <si>
    <t>$3208.79</t>
  </si>
  <si>
    <t>$3213.62</t>
  </si>
  <si>
    <t>$3227.12</t>
  </si>
  <si>
    <t>$3238.44</t>
  </si>
  <si>
    <t>$3260.2</t>
  </si>
  <si>
    <t>$3268.85</t>
  </si>
  <si>
    <t>$3277.16</t>
  </si>
  <si>
    <t>$3279.87</t>
  </si>
  <si>
    <t>$3280.22</t>
  </si>
  <si>
    <t>$3292.53</t>
  </si>
  <si>
    <t>$3300.7</t>
  </si>
  <si>
    <t>$3308.46</t>
  </si>
  <si>
    <t>$3309.79</t>
  </si>
  <si>
    <t>$3342.79</t>
  </si>
  <si>
    <t>$3353.28</t>
  </si>
  <si>
    <t>$3353.47</t>
  </si>
  <si>
    <t>$3366.67</t>
  </si>
  <si>
    <t>$3378.91</t>
  </si>
  <si>
    <t>$3385.4</t>
  </si>
  <si>
    <t>$3392.37</t>
  </si>
  <si>
    <t>$3392.98</t>
  </si>
  <si>
    <t>$3393.36</t>
  </si>
  <si>
    <t>$3410.32</t>
  </si>
  <si>
    <t>$3434.38</t>
  </si>
  <si>
    <t>$3436.5</t>
  </si>
  <si>
    <t>$3443.06</t>
  </si>
  <si>
    <t>$3453.77</t>
  </si>
  <si>
    <t>$3463.51</t>
  </si>
  <si>
    <t>$3471.41</t>
  </si>
  <si>
    <t>$3481.87</t>
  </si>
  <si>
    <t>$3484.33</t>
  </si>
  <si>
    <t>$3490.55</t>
  </si>
  <si>
    <t>$3500.61</t>
  </si>
  <si>
    <t>$3537.7</t>
  </si>
  <si>
    <t>$3538.9</t>
  </si>
  <si>
    <t>$3540.12</t>
  </si>
  <si>
    <t>$3554.2</t>
  </si>
  <si>
    <t>$3556.92</t>
  </si>
  <si>
    <t>$3558.62</t>
  </si>
  <si>
    <t>$3561.89</t>
  </si>
  <si>
    <t>$3562.87</t>
  </si>
  <si>
    <t>$3569.96</t>
  </si>
  <si>
    <t>$3578</t>
  </si>
  <si>
    <t>$3579.83</t>
  </si>
  <si>
    <t>$3589.14</t>
  </si>
  <si>
    <t>$3591.48</t>
  </si>
  <si>
    <t>$3594.17</t>
  </si>
  <si>
    <t>$3597.6</t>
  </si>
  <si>
    <t>$3603.6</t>
  </si>
  <si>
    <t>$3606.43</t>
  </si>
  <si>
    <t>$3622.13</t>
  </si>
  <si>
    <t>$3645.09</t>
  </si>
  <si>
    <t>$3653.29</t>
  </si>
  <si>
    <t>$3659.35</t>
  </si>
  <si>
    <t>$3678.86</t>
  </si>
  <si>
    <t>$3688.35</t>
  </si>
  <si>
    <t>$3688.38</t>
  </si>
  <si>
    <t>$3693.43</t>
  </si>
  <si>
    <t>$3699.54</t>
  </si>
  <si>
    <t>$3704.35</t>
  </si>
  <si>
    <t>$3722.23</t>
  </si>
  <si>
    <t>$3731.6</t>
  </si>
  <si>
    <t>$3732.63</t>
  </si>
  <si>
    <t>$3736.46</t>
  </si>
  <si>
    <t>$3748.56</t>
  </si>
  <si>
    <t>$3756.62</t>
  </si>
  <si>
    <t>$3757.84</t>
  </si>
  <si>
    <t>$3761.29</t>
  </si>
  <si>
    <t>$3766.88</t>
  </si>
  <si>
    <t>$3773.23</t>
  </si>
  <si>
    <t>$3785.77</t>
  </si>
  <si>
    <t>$3793.55</t>
  </si>
  <si>
    <t>$3796.36</t>
  </si>
  <si>
    <t>$3797.2</t>
  </si>
  <si>
    <t>$3847.67</t>
  </si>
  <si>
    <t>$3857.76</t>
  </si>
  <si>
    <t>$3858.51</t>
  </si>
  <si>
    <t>$3861.21</t>
  </si>
  <si>
    <t>$3866.86</t>
  </si>
  <si>
    <t>$3875.73</t>
  </si>
  <si>
    <t>$3877.3</t>
  </si>
  <si>
    <t>$3889.2</t>
  </si>
  <si>
    <t>$3898.35</t>
  </si>
  <si>
    <t>$3902.07</t>
  </si>
  <si>
    <t>$3906.13</t>
  </si>
  <si>
    <t>$3910.44</t>
  </si>
  <si>
    <t>$3925.76</t>
  </si>
  <si>
    <t>$3931.51</t>
  </si>
  <si>
    <t>$3935.18</t>
  </si>
  <si>
    <t>$3943.6</t>
  </si>
  <si>
    <t>$3947.41</t>
  </si>
  <si>
    <t>$3955.98</t>
  </si>
  <si>
    <t>$3956.07</t>
  </si>
  <si>
    <t>$3972.92</t>
  </si>
  <si>
    <t>$3981.98</t>
  </si>
  <si>
    <t>$3987.93</t>
  </si>
  <si>
    <t>$3989.84</t>
  </si>
  <si>
    <t>$3994.18</t>
  </si>
  <si>
    <t>$4002.36</t>
  </si>
  <si>
    <t>$4005.42</t>
  </si>
  <si>
    <t>$4032.24</t>
  </si>
  <si>
    <t>$4038.41</t>
  </si>
  <si>
    <t>$4039.9</t>
  </si>
  <si>
    <t>$4040.56</t>
  </si>
  <si>
    <t>$4047.94</t>
  </si>
  <si>
    <t>$4058.12</t>
  </si>
  <si>
    <t>$4058.71</t>
  </si>
  <si>
    <t>$4070.42</t>
  </si>
  <si>
    <t>$4070.51</t>
  </si>
  <si>
    <t>$4074.45</t>
  </si>
  <si>
    <t>$4076.5</t>
  </si>
  <si>
    <t>$4133.6400000000003</t>
  </si>
  <si>
    <t>$4134.08</t>
  </si>
  <si>
    <t>$4137.5200000000004</t>
  </si>
  <si>
    <t>$4149.74</t>
  </si>
  <si>
    <t>$4151.03</t>
  </si>
  <si>
    <t>$4154.97</t>
  </si>
  <si>
    <t>$4163.21</t>
  </si>
  <si>
    <t>$4185.1000000000004</t>
  </si>
  <si>
    <t>$4188.7299999999996</t>
  </si>
  <si>
    <t>$4189.1099999999997</t>
  </si>
  <si>
    <t>$4234.93</t>
  </si>
  <si>
    <t>$4237.13</t>
  </si>
  <si>
    <t>$4239.8900000000003</t>
  </si>
  <si>
    <t>$4243.59</t>
  </si>
  <si>
    <t>$4250.24</t>
  </si>
  <si>
    <t>$4260.74</t>
  </si>
  <si>
    <t>$4265.01</t>
  </si>
  <si>
    <t>$4266.17</t>
  </si>
  <si>
    <t>$4278.55</t>
  </si>
  <si>
    <t>$4296.2700000000004</t>
  </si>
  <si>
    <t>$4320.41</t>
  </si>
  <si>
    <t>$4337.74</t>
  </si>
  <si>
    <t>$4340.4399999999996</t>
  </si>
  <si>
    <t>$4347.0200000000004</t>
  </si>
  <si>
    <t>$4349.46</t>
  </si>
  <si>
    <t>$4350.51</t>
  </si>
  <si>
    <t>$4357.04</t>
  </si>
  <si>
    <t>$4391.6499999999996</t>
  </si>
  <si>
    <t>$4392.7</t>
  </si>
  <si>
    <t>$4397.3100000000004</t>
  </si>
  <si>
    <t>$4399.7299999999996</t>
  </si>
  <si>
    <t>$4402.2299999999996</t>
  </si>
  <si>
    <t>$4415.16</t>
  </si>
  <si>
    <t>$4420.95</t>
  </si>
  <si>
    <t>$4428.8900000000003</t>
  </si>
  <si>
    <t>$4433.3900000000003</t>
  </si>
  <si>
    <t>$4433.92</t>
  </si>
  <si>
    <t>$4435.09</t>
  </si>
  <si>
    <t>$4438.26</t>
  </si>
  <si>
    <t>$4441.21</t>
  </si>
  <si>
    <t>$4449.46</t>
  </si>
  <si>
    <t>$4454.3999999999996</t>
  </si>
  <si>
    <t>$4462.72</t>
  </si>
  <si>
    <t>$4463.21</t>
  </si>
  <si>
    <t>$4466.62</t>
  </si>
  <si>
    <t>$4468.25</t>
  </si>
  <si>
    <t>$4488.58</t>
  </si>
  <si>
    <t>$4500.34</t>
  </si>
  <si>
    <t>$4504.66</t>
  </si>
  <si>
    <t>$4511.41</t>
  </si>
  <si>
    <t>$4515.71</t>
  </si>
  <si>
    <t>$4518.3999999999996</t>
  </si>
  <si>
    <t>$4518.7700000000004</t>
  </si>
  <si>
    <t>$4518.83</t>
  </si>
  <si>
    <t>$4527.18</t>
  </si>
  <si>
    <t>$4529.4799999999996</t>
  </si>
  <si>
    <t>$4536.26</t>
  </si>
  <si>
    <t>$4544.2299999999996</t>
  </si>
  <si>
    <t>$4561.1899999999996</t>
  </si>
  <si>
    <t>$4562.84</t>
  </si>
  <si>
    <t>$4564.1899999999996</t>
  </si>
  <si>
    <t>$4571.41</t>
  </si>
  <si>
    <t>$4608.03</t>
  </si>
  <si>
    <t>$4618.08</t>
  </si>
  <si>
    <t>$4646.76</t>
  </si>
  <si>
    <t>$4661.29</t>
  </si>
  <si>
    <t>$4667.6099999999997</t>
  </si>
  <si>
    <t>$4670.6400000000003</t>
  </si>
  <si>
    <t>$4673.3900000000003</t>
  </si>
  <si>
    <t>$4674.2</t>
  </si>
  <si>
    <t>$4678.8</t>
  </si>
  <si>
    <t>$4686.3900000000003</t>
  </si>
  <si>
    <t>$4687.8</t>
  </si>
  <si>
    <t>$4699.47</t>
  </si>
  <si>
    <t>$4712.12</t>
  </si>
  <si>
    <t>$4718.2</t>
  </si>
  <si>
    <t>$4719.5200000000004</t>
  </si>
  <si>
    <t>$4719.74</t>
  </si>
  <si>
    <t>$4728.71</t>
  </si>
  <si>
    <t>$4734.6400000000003</t>
  </si>
  <si>
    <t>$4738.2700000000004</t>
  </si>
  <si>
    <t>$4740.78</t>
  </si>
  <si>
    <t>$4746.34</t>
  </si>
  <si>
    <t>$4747.05</t>
  </si>
  <si>
    <t>$4751.07</t>
  </si>
  <si>
    <t>$4753.6400000000003</t>
  </si>
  <si>
    <t>$4762.33</t>
  </si>
  <si>
    <t>$4766.0200000000004</t>
  </si>
  <si>
    <t>$4779.6000000000004</t>
  </si>
  <si>
    <t>$4787.42</t>
  </si>
  <si>
    <t>$4795.66</t>
  </si>
  <si>
    <t>$4812.34</t>
  </si>
  <si>
    <t>$4827.1000000000004</t>
  </si>
  <si>
    <t>$4827.8999999999996</t>
  </si>
  <si>
    <t>$4830.63</t>
  </si>
  <si>
    <t>$4835.43</t>
  </si>
  <si>
    <t>$4837.58</t>
  </si>
  <si>
    <t>$4839.18</t>
  </si>
  <si>
    <t>$4840.95</t>
  </si>
  <si>
    <t>$4843.79</t>
  </si>
  <si>
    <t>$4844.67</t>
  </si>
  <si>
    <t>$4846.53</t>
  </si>
  <si>
    <t>$4846.92</t>
  </si>
  <si>
    <t>$4859.8900000000003</t>
  </si>
  <si>
    <t>$4877.9799999999996</t>
  </si>
  <si>
    <t>$4883.87</t>
  </si>
  <si>
    <t>$4889.04</t>
  </si>
  <si>
    <t>$4890</t>
  </si>
  <si>
    <t>$4894.3900000000003</t>
  </si>
  <si>
    <t>$4894.75</t>
  </si>
  <si>
    <t>$4906.41</t>
  </si>
  <si>
    <t>$4911.8900000000003</t>
  </si>
  <si>
    <t>$4915.0600000000004</t>
  </si>
  <si>
    <t>$4922.92</t>
  </si>
  <si>
    <t>$4931.6499999999996</t>
  </si>
  <si>
    <t>$4934.71</t>
  </si>
  <si>
    <t>$4942.0600000000004</t>
  </si>
  <si>
    <t>$4949.76</t>
  </si>
  <si>
    <t>$4985.22</t>
  </si>
  <si>
    <t>$4992.38</t>
  </si>
  <si>
    <t>$4999.04</t>
  </si>
  <si>
    <t>$5002.78</t>
  </si>
  <si>
    <t>$5003.7700000000004</t>
  </si>
  <si>
    <t>$5003.8500000000004</t>
  </si>
  <si>
    <t>$5012.47</t>
  </si>
  <si>
    <t>$5028.1499999999996</t>
  </si>
  <si>
    <t>$5031.2700000000004</t>
  </si>
  <si>
    <t>$5034.1000000000004</t>
  </si>
  <si>
    <t>$5038.57</t>
  </si>
  <si>
    <t>$5043.13</t>
  </si>
  <si>
    <t>$5045.1499999999996</t>
  </si>
  <si>
    <t>$5054.05</t>
  </si>
  <si>
    <t>$5059.5600000000004</t>
  </si>
  <si>
    <t>$5077.1899999999996</t>
  </si>
  <si>
    <t>$5080.1000000000004</t>
  </si>
  <si>
    <t>$5087.92</t>
  </si>
  <si>
    <t>$5116.5</t>
  </si>
  <si>
    <t>$5124.1899999999996</t>
  </si>
  <si>
    <t>$5125.22</t>
  </si>
  <si>
    <t>$5136.75</t>
  </si>
  <si>
    <t>$5138.26</t>
  </si>
  <si>
    <t>$5144.18</t>
  </si>
  <si>
    <t>$5148.55</t>
  </si>
  <si>
    <t>$5152.13</t>
  </si>
  <si>
    <t>$5166.96</t>
  </si>
  <si>
    <t>$5177.12</t>
  </si>
  <si>
    <t>$5195.58</t>
  </si>
  <si>
    <t>$5198.6899999999996</t>
  </si>
  <si>
    <t>$5207.97</t>
  </si>
  <si>
    <t>$5209.58</t>
  </si>
  <si>
    <t>$5213.22</t>
  </si>
  <si>
    <t>$5216.4799999999996</t>
  </si>
  <si>
    <t>$5227.99</t>
  </si>
  <si>
    <t>$5240.7700000000004</t>
  </si>
  <si>
    <t>$5245.23</t>
  </si>
  <si>
    <t>$5246.05</t>
  </si>
  <si>
    <t>$5253.52</t>
  </si>
  <si>
    <t>$5257.51</t>
  </si>
  <si>
    <t>$5261.47</t>
  </si>
  <si>
    <t>$5266.37</t>
  </si>
  <si>
    <t>$5267.82</t>
  </si>
  <si>
    <t>$5272.18</t>
  </si>
  <si>
    <t>$5275.86</t>
  </si>
  <si>
    <t>$5291.71</t>
  </si>
  <si>
    <t>$5293.67</t>
  </si>
  <si>
    <t>$5306.7</t>
  </si>
  <si>
    <t>$5312.17</t>
  </si>
  <si>
    <t>$5322.24</t>
  </si>
  <si>
    <t>$5325.65</t>
  </si>
  <si>
    <t>$5327.4</t>
  </si>
  <si>
    <t>$5344.81</t>
  </si>
  <si>
    <t>$5354.07</t>
  </si>
  <si>
    <t>$5364.66</t>
  </si>
  <si>
    <t>$5373.36</t>
  </si>
  <si>
    <t>$5375.04</t>
  </si>
  <si>
    <t>$5377.46</t>
  </si>
  <si>
    <t>$5383.54</t>
  </si>
  <si>
    <t>$5385.34</t>
  </si>
  <si>
    <t>$5396.44</t>
  </si>
  <si>
    <t>$5397.62</t>
  </si>
  <si>
    <t>$5400.98</t>
  </si>
  <si>
    <t>$5402.89</t>
  </si>
  <si>
    <t>$5411.99</t>
  </si>
  <si>
    <t>$5415.66</t>
  </si>
  <si>
    <t>$5425.02</t>
  </si>
  <si>
    <t>$5428.73</t>
  </si>
  <si>
    <t>$5428.98</t>
  </si>
  <si>
    <t>$5438.75</t>
  </si>
  <si>
    <t>$5458.05</t>
  </si>
  <si>
    <t>$5466.88</t>
  </si>
  <si>
    <t>$5469.01</t>
  </si>
  <si>
    <t>$5472.45</t>
  </si>
  <si>
    <t>$5478.04</t>
  </si>
  <si>
    <t>$5484.47</t>
  </si>
  <si>
    <t>$5488.26</t>
  </si>
  <si>
    <t>$5503.36</t>
  </si>
  <si>
    <t>$5539.4</t>
  </si>
  <si>
    <t>$5540.35</t>
  </si>
  <si>
    <t>$5552.61</t>
  </si>
  <si>
    <t>$5576.35</t>
  </si>
  <si>
    <t>$5582.95</t>
  </si>
  <si>
    <t>$5584.31</t>
  </si>
  <si>
    <t>$5587.59</t>
  </si>
  <si>
    <t>$5594.85</t>
  </si>
  <si>
    <t>$5612.83</t>
  </si>
  <si>
    <t>$5615.37</t>
  </si>
  <si>
    <t>$5630.46</t>
  </si>
  <si>
    <t>$5649.72</t>
  </si>
  <si>
    <t>$5650.14</t>
  </si>
  <si>
    <t>$5662.23</t>
  </si>
  <si>
    <t>$5679.13</t>
  </si>
  <si>
    <t>$5690.79</t>
  </si>
  <si>
    <t>$5693.43</t>
  </si>
  <si>
    <t>$5698.74</t>
  </si>
  <si>
    <t>$5699.84</t>
  </si>
  <si>
    <t>$5708.87</t>
  </si>
  <si>
    <t>$5709.16</t>
  </si>
  <si>
    <t>$5720.38</t>
  </si>
  <si>
    <t>$5729.01</t>
  </si>
  <si>
    <t>$5741.67</t>
  </si>
  <si>
    <t>$5748.13</t>
  </si>
  <si>
    <t>$5757.41</t>
  </si>
  <si>
    <t>$5778.71</t>
  </si>
  <si>
    <t>$5807.06</t>
  </si>
  <si>
    <t>$5812.9</t>
  </si>
  <si>
    <t>$5816.58</t>
  </si>
  <si>
    <t>$5832.6</t>
  </si>
  <si>
    <t>$5836.52</t>
  </si>
  <si>
    <t>$5843.99</t>
  </si>
  <si>
    <t>$5846.92</t>
  </si>
  <si>
    <t>$5847.24</t>
  </si>
  <si>
    <t>$5855.9</t>
  </si>
  <si>
    <t>$5877.02</t>
  </si>
  <si>
    <t>$5910.94</t>
  </si>
  <si>
    <t>$5920.1</t>
  </si>
  <si>
    <t>$5926.85</t>
  </si>
  <si>
    <t>$5926.93</t>
  </si>
  <si>
    <t>$5927.65</t>
  </si>
  <si>
    <t>$5934.38</t>
  </si>
  <si>
    <t>$5957.35</t>
  </si>
  <si>
    <t>$5960.91</t>
  </si>
  <si>
    <t>$5966.89</t>
  </si>
  <si>
    <t>$5969.72</t>
  </si>
  <si>
    <t>$5972.38</t>
  </si>
  <si>
    <t>$5974.38</t>
  </si>
  <si>
    <t>$5976.83</t>
  </si>
  <si>
    <t>$5979.66</t>
  </si>
  <si>
    <t>$5979.73</t>
  </si>
  <si>
    <t>$5979.99</t>
  </si>
  <si>
    <t>$5989.52</t>
  </si>
  <si>
    <t>$5990.17</t>
  </si>
  <si>
    <t>$5993.62</t>
  </si>
  <si>
    <t>$6059.17</t>
  </si>
  <si>
    <t>$6061.8</t>
  </si>
  <si>
    <t>$6064.37</t>
  </si>
  <si>
    <t>$6067.13</t>
  </si>
  <si>
    <t>$6074.37</t>
  </si>
  <si>
    <t>$6079.67</t>
  </si>
  <si>
    <t>$6082.41</t>
  </si>
  <si>
    <t>$6098.38</t>
  </si>
  <si>
    <t>$6111.95</t>
  </si>
  <si>
    <t>$6112.35</t>
  </si>
  <si>
    <t>$6113.23</t>
  </si>
  <si>
    <t>$6117.49</t>
  </si>
  <si>
    <t>$6123.57</t>
  </si>
  <si>
    <t>$6128.8</t>
  </si>
  <si>
    <t>$6138.5</t>
  </si>
  <si>
    <t>$6138.58</t>
  </si>
  <si>
    <t>$6139.14</t>
  </si>
  <si>
    <t>$6147.12</t>
  </si>
  <si>
    <t>$6152.05</t>
  </si>
  <si>
    <t>$6159.57</t>
  </si>
  <si>
    <t>$6170.96</t>
  </si>
  <si>
    <t>$6183.32</t>
  </si>
  <si>
    <t>$6183.46</t>
  </si>
  <si>
    <t>$6184.3</t>
  </si>
  <si>
    <t>$6185.32</t>
  </si>
  <si>
    <t>$6186.13</t>
  </si>
  <si>
    <t>$6196.45</t>
  </si>
  <si>
    <t>$6198.75</t>
  </si>
  <si>
    <t>$6203.9</t>
  </si>
  <si>
    <t>$6207.26</t>
  </si>
  <si>
    <t>$6208.5</t>
  </si>
  <si>
    <t>$6219.93</t>
  </si>
  <si>
    <t>$6236.95</t>
  </si>
  <si>
    <t>$6238.3</t>
  </si>
  <si>
    <t>$6250.44</t>
  </si>
  <si>
    <t>$6253.85</t>
  </si>
  <si>
    <t>$6254.13</t>
  </si>
  <si>
    <t>$6255.38</t>
  </si>
  <si>
    <t>$6261.2</t>
  </si>
  <si>
    <t>$6269.33</t>
  </si>
  <si>
    <t>$6272.48</t>
  </si>
  <si>
    <t>$6276.3</t>
  </si>
  <si>
    <t>$6282.24</t>
  </si>
  <si>
    <t>$6289.75</t>
  </si>
  <si>
    <t>$6293.63</t>
  </si>
  <si>
    <t>$6302.23</t>
  </si>
  <si>
    <t>$6305.61</t>
  </si>
  <si>
    <t>$6311.11</t>
  </si>
  <si>
    <t>$6311.95</t>
  </si>
  <si>
    <t>$6313.76</t>
  </si>
  <si>
    <t>$6334.34</t>
  </si>
  <si>
    <t>$6335.64</t>
  </si>
  <si>
    <t>$6338.08</t>
  </si>
  <si>
    <t>$6356.27</t>
  </si>
  <si>
    <t>$6358.78</t>
  </si>
  <si>
    <t>$6360.99</t>
  </si>
  <si>
    <t>$6361.47</t>
  </si>
  <si>
    <t>$6367.31</t>
  </si>
  <si>
    <t>$6373.56</t>
  </si>
  <si>
    <t>$6374.16</t>
  </si>
  <si>
    <t>$6389.38</t>
  </si>
  <si>
    <t>$6389.53</t>
  </si>
  <si>
    <t>$6393.6</t>
  </si>
  <si>
    <t>$6402.29</t>
  </si>
  <si>
    <t>$6406.41</t>
  </si>
  <si>
    <t>$6407.05</t>
  </si>
  <si>
    <t>$6412.34</t>
  </si>
  <si>
    <t>$6414.18</t>
  </si>
  <si>
    <t>$6417.28</t>
  </si>
  <si>
    <t>$6423.48</t>
  </si>
  <si>
    <t>$6435.62</t>
  </si>
  <si>
    <t>$6455.86</t>
  </si>
  <si>
    <t>$6457.84</t>
  </si>
  <si>
    <t>$6473.15</t>
  </si>
  <si>
    <t>$6474.01</t>
  </si>
  <si>
    <t>$6481.67</t>
  </si>
  <si>
    <t>$6496.89</t>
  </si>
  <si>
    <t>$6500.24</t>
  </si>
  <si>
    <t>$6512.24</t>
  </si>
  <si>
    <t>$6529.21</t>
  </si>
  <si>
    <t>$6532.04</t>
  </si>
  <si>
    <t>$6536.68</t>
  </si>
  <si>
    <t>$6546.16</t>
  </si>
  <si>
    <t>$6548.2</t>
  </si>
  <si>
    <t>$6551.75</t>
  </si>
  <si>
    <t>$6552.01</t>
  </si>
  <si>
    <t>$6555.07</t>
  </si>
  <si>
    <t>$6571.02</t>
  </si>
  <si>
    <t>$6571.54</t>
  </si>
  <si>
    <t>$6593.51</t>
  </si>
  <si>
    <t>$6600.21</t>
  </si>
  <si>
    <t>$6600.36</t>
  </si>
  <si>
    <t>$6610.11</t>
  </si>
  <si>
    <t>$6630.31</t>
  </si>
  <si>
    <t>$6638.16</t>
  </si>
  <si>
    <t>$6639.3</t>
  </si>
  <si>
    <t>$6640.54</t>
  </si>
  <si>
    <t>$6651.26</t>
  </si>
  <si>
    <t>$6652.53</t>
  </si>
  <si>
    <t>$6653.79</t>
  </si>
  <si>
    <t>$6664.32</t>
  </si>
  <si>
    <t>$6664.69</t>
  </si>
  <si>
    <t>$6666.24</t>
  </si>
  <si>
    <t>$6686.43</t>
  </si>
  <si>
    <t>$6700.56</t>
  </si>
  <si>
    <t>$6706.47</t>
  </si>
  <si>
    <t>$6710.19</t>
  </si>
  <si>
    <t>$6721.37</t>
  </si>
  <si>
    <t>$6737.98</t>
  </si>
  <si>
    <t>$6738.84</t>
  </si>
  <si>
    <t>$6746.74</t>
  </si>
  <si>
    <t>$6748.59</t>
  </si>
  <si>
    <t>$6749.63</t>
  </si>
  <si>
    <t>$6750.27</t>
  </si>
  <si>
    <t>$6753.04</t>
  </si>
  <si>
    <t>$6770.19</t>
  </si>
  <si>
    <t>$6775.96</t>
  </si>
  <si>
    <t>$6781.35</t>
  </si>
  <si>
    <t>$6781.52</t>
  </si>
  <si>
    <t>$6796.86</t>
  </si>
  <si>
    <t>$6799.46</t>
  </si>
  <si>
    <t>$6809.46</t>
  </si>
  <si>
    <t>$6827.69</t>
  </si>
  <si>
    <t>$6837.37</t>
  </si>
  <si>
    <t>$6842.28</t>
  </si>
  <si>
    <t>$6843.17</t>
  </si>
  <si>
    <t>$6849.03</t>
  </si>
  <si>
    <t>$6858.48</t>
  </si>
  <si>
    <t>$6863.49</t>
  </si>
  <si>
    <t>$6868.39</t>
  </si>
  <si>
    <t>$6875.96</t>
  </si>
  <si>
    <t>$6876.53</t>
  </si>
  <si>
    <t>$6877.98</t>
  </si>
  <si>
    <t>$6895.19</t>
  </si>
  <si>
    <t>$6933.24</t>
  </si>
  <si>
    <t>$6938.11</t>
  </si>
  <si>
    <t>$6940.91</t>
  </si>
  <si>
    <t>$6940.94</t>
  </si>
  <si>
    <t>$6948.7</t>
  </si>
  <si>
    <t>$6951.12</t>
  </si>
  <si>
    <t>$6965.21</t>
  </si>
  <si>
    <t>$6985.51</t>
  </si>
  <si>
    <t>$6986.7</t>
  </si>
  <si>
    <t>$6989.95</t>
  </si>
  <si>
    <t>$7003.1</t>
  </si>
  <si>
    <t>$7033.08</t>
  </si>
  <si>
    <t>$7042.11</t>
  </si>
  <si>
    <t>$7045.5</t>
  </si>
  <si>
    <t>$7046.72</t>
  </si>
  <si>
    <t>$7050.02</t>
  </si>
  <si>
    <t>$7050.64</t>
  </si>
  <si>
    <t>$7054.41</t>
  </si>
  <si>
    <t>$7077.19</t>
  </si>
  <si>
    <t>$7096.98</t>
  </si>
  <si>
    <t>$7106.81</t>
  </si>
  <si>
    <t>$7125.25</t>
  </si>
  <si>
    <t>$7128.64</t>
  </si>
  <si>
    <t>$7133.9</t>
  </si>
  <si>
    <t>$7144.4</t>
  </si>
  <si>
    <t>$7144.86</t>
  </si>
  <si>
    <t>$7147.11</t>
  </si>
  <si>
    <t>$7147.47</t>
  </si>
  <si>
    <t>$7151.09</t>
  </si>
  <si>
    <t>$7152.67</t>
  </si>
  <si>
    <t>$7153.55</t>
  </si>
  <si>
    <t>$7160.09</t>
  </si>
  <si>
    <t>$7160.33</t>
  </si>
  <si>
    <t>$7162.01</t>
  </si>
  <si>
    <t>$7173.36</t>
  </si>
  <si>
    <t>$7175.51</t>
  </si>
  <si>
    <t>$7179.52</t>
  </si>
  <si>
    <t>$7196.87</t>
  </si>
  <si>
    <t>$7201.7</t>
  </si>
  <si>
    <t>$7209.49</t>
  </si>
  <si>
    <t>$7220.25</t>
  </si>
  <si>
    <t>$7222.79</t>
  </si>
  <si>
    <t>$7228.22</t>
  </si>
  <si>
    <t>$7243.81</t>
  </si>
  <si>
    <t>$7248.71</t>
  </si>
  <si>
    <t>$7256.72</t>
  </si>
  <si>
    <t>$7261.74</t>
  </si>
  <si>
    <t>$7265.58</t>
  </si>
  <si>
    <t>$7265.7</t>
  </si>
  <si>
    <t>$7273.02</t>
  </si>
  <si>
    <t>$7281.51</t>
  </si>
  <si>
    <t>$7302.46</t>
  </si>
  <si>
    <t>$7304.65</t>
  </si>
  <si>
    <t>$7318.21</t>
  </si>
  <si>
    <t>$7318.22</t>
  </si>
  <si>
    <t>$7322.86</t>
  </si>
  <si>
    <t>$7323.73</t>
  </si>
  <si>
    <t>$7325.05</t>
  </si>
  <si>
    <t>$7325.47</t>
  </si>
  <si>
    <t>$7337.75</t>
  </si>
  <si>
    <t>$7339.93</t>
  </si>
  <si>
    <t>$7345.08</t>
  </si>
  <si>
    <t>$7345.73</t>
  </si>
  <si>
    <t>$7348.14</t>
  </si>
  <si>
    <t>$7349.12</t>
  </si>
  <si>
    <t>$7357.49</t>
  </si>
  <si>
    <t>$7358.18</t>
  </si>
  <si>
    <t>$7362.31</t>
  </si>
  <si>
    <t>$7371.77</t>
  </si>
  <si>
    <t>$7388.85</t>
  </si>
  <si>
    <t>$7403.98</t>
  </si>
  <si>
    <t>$7418.52</t>
  </si>
  <si>
    <t>$7419.48</t>
  </si>
  <si>
    <t>$7421.19</t>
  </si>
  <si>
    <t>$7441.05</t>
  </si>
  <si>
    <t>$7441.5</t>
  </si>
  <si>
    <t>$7443.64</t>
  </si>
  <si>
    <t>$7445.92</t>
  </si>
  <si>
    <t>$7448.4</t>
  </si>
  <si>
    <t>$7450.36</t>
  </si>
  <si>
    <t>$7463.51</t>
  </si>
  <si>
    <t>$7487.38</t>
  </si>
  <si>
    <t>$7494.63</t>
  </si>
  <si>
    <t>$7504.3</t>
  </si>
  <si>
    <t>$7512.27</t>
  </si>
  <si>
    <t>$7518.03</t>
  </si>
  <si>
    <t>$7526.71</t>
  </si>
  <si>
    <t>$7531.7</t>
  </si>
  <si>
    <t>$7537.16</t>
  </si>
  <si>
    <t>$7538.52</t>
  </si>
  <si>
    <t>$7567.13</t>
  </si>
  <si>
    <t>$7585.62</t>
  </si>
  <si>
    <t>$7607.03</t>
  </si>
  <si>
    <t>$7609.6</t>
  </si>
  <si>
    <t>$7623.13</t>
  </si>
  <si>
    <t>$7623.52</t>
  </si>
  <si>
    <t>$7624.63</t>
  </si>
  <si>
    <t>$7626.99</t>
  </si>
  <si>
    <t>$7633.72</t>
  </si>
  <si>
    <t>$7636.92</t>
  </si>
  <si>
    <t>$7639.42</t>
  </si>
  <si>
    <t>$7640.31</t>
  </si>
  <si>
    <t>$7642.05</t>
  </si>
  <si>
    <t>$7650.77</t>
  </si>
  <si>
    <t>$7650.8</t>
  </si>
  <si>
    <t>$7652.26</t>
  </si>
  <si>
    <t>$7657.69</t>
  </si>
  <si>
    <t>$7662.47</t>
  </si>
  <si>
    <t>$7670.75</t>
  </si>
  <si>
    <t>$7676.4</t>
  </si>
  <si>
    <t>$7680.92</t>
  </si>
  <si>
    <t>$7681.17</t>
  </si>
  <si>
    <t>$7682.67</t>
  </si>
  <si>
    <t>$7684.62</t>
  </si>
  <si>
    <t>$7726.85</t>
  </si>
  <si>
    <t>$7727.25</t>
  </si>
  <si>
    <t>$7729.65</t>
  </si>
  <si>
    <t>$7731.43</t>
  </si>
  <si>
    <t>$7731.86</t>
  </si>
  <si>
    <t>$7736.39</t>
  </si>
  <si>
    <t>$7740.34</t>
  </si>
  <si>
    <t>$7742.11</t>
  </si>
  <si>
    <t>$7749.16</t>
  </si>
  <si>
    <t>$7763.06</t>
  </si>
  <si>
    <t>$7789.64</t>
  </si>
  <si>
    <t>$7794.68</t>
  </si>
  <si>
    <t>$7803.77</t>
  </si>
  <si>
    <t>$7804.16</t>
  </si>
  <si>
    <t>$7812.67</t>
  </si>
  <si>
    <t>$7824.37</t>
  </si>
  <si>
    <t>$7844.8</t>
  </si>
  <si>
    <t>$7851.85</t>
  </si>
  <si>
    <t>$7896.41</t>
  </si>
  <si>
    <t>$7935.29</t>
  </si>
  <si>
    <t>$7948.22</t>
  </si>
  <si>
    <t>$7953.72</t>
  </si>
  <si>
    <t>$7954.52</t>
  </si>
  <si>
    <t>$7958.13</t>
  </si>
  <si>
    <t>$7966.81</t>
  </si>
  <si>
    <t>$7980.34</t>
  </si>
  <si>
    <t>$7985.82</t>
  </si>
  <si>
    <t>$7986.48</t>
  </si>
  <si>
    <t>$8004.96</t>
  </si>
  <si>
    <t>$8014.62</t>
  </si>
  <si>
    <t>$8017.06</t>
  </si>
  <si>
    <t>$8021.11</t>
  </si>
  <si>
    <t>$8023.14</t>
  </si>
  <si>
    <t>$8026.67</t>
  </si>
  <si>
    <t>$8027.97</t>
  </si>
  <si>
    <t>$8035.64</t>
  </si>
  <si>
    <t>$8059.06</t>
  </si>
  <si>
    <t>$8059.68</t>
  </si>
  <si>
    <t>$8062.31</t>
  </si>
  <si>
    <t>$8062.76</t>
  </si>
  <si>
    <t>$8067.83</t>
  </si>
  <si>
    <t>$8068.19</t>
  </si>
  <si>
    <t>$8071.57</t>
  </si>
  <si>
    <t>$8077.41</t>
  </si>
  <si>
    <t>$8081.26</t>
  </si>
  <si>
    <t>$8081.74</t>
  </si>
  <si>
    <t>$8083.92</t>
  </si>
  <si>
    <t>$8091.3</t>
  </si>
  <si>
    <t>$8112.59</t>
  </si>
  <si>
    <t>$8116.27</t>
  </si>
  <si>
    <t>$8116.68</t>
  </si>
  <si>
    <t>$8124.41</t>
  </si>
  <si>
    <t>$8125.78</t>
  </si>
  <si>
    <t>$8157.92</t>
  </si>
  <si>
    <t>$8162.72</t>
  </si>
  <si>
    <t>$8177.9</t>
  </si>
  <si>
    <t>$8179.51</t>
  </si>
  <si>
    <t>$8182.89</t>
  </si>
  <si>
    <t>$8188.12</t>
  </si>
  <si>
    <t>$8211.1</t>
  </si>
  <si>
    <t>$8219.2000000000007</t>
  </si>
  <si>
    <t>$8232.64</t>
  </si>
  <si>
    <t>$8233.1</t>
  </si>
  <si>
    <t>$8240.59</t>
  </si>
  <si>
    <t>$8252.2800000000007</t>
  </si>
  <si>
    <t>$8268</t>
  </si>
  <si>
    <t>$8269.0400000000009</t>
  </si>
  <si>
    <t>$8271.4599999999991</t>
  </si>
  <si>
    <t>$8277.52</t>
  </si>
  <si>
    <t>$8280.6200000000008</t>
  </si>
  <si>
    <t>$8283.68</t>
  </si>
  <si>
    <t>$8302.5400000000009</t>
  </si>
  <si>
    <t>$8310.84</t>
  </si>
  <si>
    <t>$8314.65</t>
  </si>
  <si>
    <t>$8334.4599999999991</t>
  </si>
  <si>
    <t>$8334.59</t>
  </si>
  <si>
    <t>$8342.91</t>
  </si>
  <si>
    <t>$8347.16</t>
  </si>
  <si>
    <t>$8355.5400000000009</t>
  </si>
  <si>
    <t>$8396.6200000000008</t>
  </si>
  <si>
    <t>$8400.01</t>
  </si>
  <si>
    <t>$8410.0499999999993</t>
  </si>
  <si>
    <t>$8413.4599999999991</t>
  </si>
  <si>
    <t>$8428.07</t>
  </si>
  <si>
    <t>$8440.0499999999993</t>
  </si>
  <si>
    <t>$8442.67</t>
  </si>
  <si>
    <t>$8444.4699999999993</t>
  </si>
  <si>
    <t>$8448.66</t>
  </si>
  <si>
    <t>$8450.82</t>
  </si>
  <si>
    <t>$8457.82</t>
  </si>
  <si>
    <t>$8466.35</t>
  </si>
  <si>
    <t>$8471.65</t>
  </si>
  <si>
    <t>$8515.76</t>
  </si>
  <si>
    <t>$8516.83</t>
  </si>
  <si>
    <t>$8520.0300000000007</t>
  </si>
  <si>
    <t>$8522</t>
  </si>
  <si>
    <t>$8527.5300000000007</t>
  </si>
  <si>
    <t>$8534.67</t>
  </si>
  <si>
    <t>$8538.2900000000009</t>
  </si>
  <si>
    <t>$8539.67</t>
  </si>
  <si>
    <t>$8547.69</t>
  </si>
  <si>
    <t>$8551.35</t>
  </si>
  <si>
    <t>$8556.91</t>
  </si>
  <si>
    <t>$8567.25</t>
  </si>
  <si>
    <t>$8569.86</t>
  </si>
  <si>
    <t>$8572.0400000000009</t>
  </si>
  <si>
    <t>$8573.2999999999993</t>
  </si>
  <si>
    <t>$8582.2999999999993</t>
  </si>
  <si>
    <t>$8596.83</t>
  </si>
  <si>
    <t>$8601.33</t>
  </si>
  <si>
    <t>$8603.82</t>
  </si>
  <si>
    <t>$8604.48</t>
  </si>
  <si>
    <t>$8605.36</t>
  </si>
  <si>
    <t>$8606.2199999999993</t>
  </si>
  <si>
    <t>$8615.2999999999993</t>
  </si>
  <si>
    <t>$8627.5400000000009</t>
  </si>
  <si>
    <t>$8665.09</t>
  </si>
  <si>
    <t>$8665.14</t>
  </si>
  <si>
    <t>$8671.19</t>
  </si>
  <si>
    <t>$8688.86</t>
  </si>
  <si>
    <t>$8701.84</t>
  </si>
  <si>
    <t>$8703.4599999999991</t>
  </si>
  <si>
    <t>$8733.23</t>
  </si>
  <si>
    <t>$8747.68</t>
  </si>
  <si>
    <t>$8760.1200000000008</t>
  </si>
  <si>
    <t>$8765.25</t>
  </si>
  <si>
    <t>$8782.4699999999993</t>
  </si>
  <si>
    <t>$8798.59</t>
  </si>
  <si>
    <t>$8800.49</t>
  </si>
  <si>
    <t>$8821.8799999999992</t>
  </si>
  <si>
    <t>$8823.2800000000007</t>
  </si>
  <si>
    <t>$8823.99</t>
  </si>
  <si>
    <t>$8824.27</t>
  </si>
  <si>
    <t>$8825.09</t>
  </si>
  <si>
    <t>$8827.2099999999991</t>
  </si>
  <si>
    <t>$8835.26</t>
  </si>
  <si>
    <t>$8871.15</t>
  </si>
  <si>
    <t>$8890.59</t>
  </si>
  <si>
    <t>$8891.14</t>
  </si>
  <si>
    <t>$8906.14</t>
  </si>
  <si>
    <t>$8908.4699999999993</t>
  </si>
  <si>
    <t>$8930.93</t>
  </si>
  <si>
    <t>$8932.08</t>
  </si>
  <si>
    <t>$8944.1200000000008</t>
  </si>
  <si>
    <t>$8954.99</t>
  </si>
  <si>
    <t>$8964.06</t>
  </si>
  <si>
    <t>$8965.7999999999993</t>
  </si>
  <si>
    <t>$8968.33</t>
  </si>
  <si>
    <t>$8978.19</t>
  </si>
  <si>
    <t>$8988.16</t>
  </si>
  <si>
    <t>$8998.43</t>
  </si>
  <si>
    <t>$9010.2000000000007</t>
  </si>
  <si>
    <t>$9048.0300000000007</t>
  </si>
  <si>
    <t>$9058.73</t>
  </si>
  <si>
    <t>$9095.07</t>
  </si>
  <si>
    <t>$9095.94</t>
  </si>
  <si>
    <t>$9101.7999999999993</t>
  </si>
  <si>
    <t>$9140.9500000000007</t>
  </si>
  <si>
    <t>$9144.57</t>
  </si>
  <si>
    <t>$9147.5</t>
  </si>
  <si>
    <t>$9159.51</t>
  </si>
  <si>
    <t>$9171.75</t>
  </si>
  <si>
    <t>$9174.14</t>
  </si>
  <si>
    <t>$9182.17</t>
  </si>
  <si>
    <t>$9193.84</t>
  </si>
  <si>
    <t>$9210.06</t>
  </si>
  <si>
    <t>$9222.4</t>
  </si>
  <si>
    <t>$9225.26</t>
  </si>
  <si>
    <t>$9247.94</t>
  </si>
  <si>
    <t>$9249.5</t>
  </si>
  <si>
    <t>$9264.7999999999993</t>
  </si>
  <si>
    <t>$9282.48</t>
  </si>
  <si>
    <t>$9283.56</t>
  </si>
  <si>
    <t>$9285.8700000000008</t>
  </si>
  <si>
    <t>$9288.0300000000007</t>
  </si>
  <si>
    <t>$9290.14</t>
  </si>
  <si>
    <t>$9301.89</t>
  </si>
  <si>
    <t>$9304.7000000000007</t>
  </si>
  <si>
    <t>$9310.81</t>
  </si>
  <si>
    <t>$9315.41</t>
  </si>
  <si>
    <t>$9320.26</t>
  </si>
  <si>
    <t>$9338.61</t>
  </si>
  <si>
    <t>$9344.2000000000007</t>
  </si>
  <si>
    <t>$9361.33</t>
  </si>
  <si>
    <t>$9377.4500000000007</t>
  </si>
  <si>
    <t>$9377.9</t>
  </si>
  <si>
    <t>$9380.75</t>
  </si>
  <si>
    <t>$9386.16</t>
  </si>
  <si>
    <t>$9391.35</t>
  </si>
  <si>
    <t>$9411.01</t>
  </si>
  <si>
    <t>$9414.92</t>
  </si>
  <si>
    <t>$9432.93</t>
  </si>
  <si>
    <t>$9447.25</t>
  </si>
  <si>
    <t>$9447.3799999999992</t>
  </si>
  <si>
    <t>$9448.42</t>
  </si>
  <si>
    <t>$9453.92</t>
  </si>
  <si>
    <t>$9487.64</t>
  </si>
  <si>
    <t>$9500.57</t>
  </si>
  <si>
    <t>$9504.31</t>
  </si>
  <si>
    <t>$9507.68</t>
  </si>
  <si>
    <t>$9528.9</t>
  </si>
  <si>
    <t>$9538.65</t>
  </si>
  <si>
    <t>$9540.17</t>
  </si>
  <si>
    <t>$9541.7000000000007</t>
  </si>
  <si>
    <t>$9549.57</t>
  </si>
  <si>
    <t>$9563.0300000000007</t>
  </si>
  <si>
    <t>$9566.99</t>
  </si>
  <si>
    <t>$9582.5400000000009</t>
  </si>
  <si>
    <t>$9583.89</t>
  </si>
  <si>
    <t>$9584.0400000000009</t>
  </si>
  <si>
    <t>$9597.6299999999992</t>
  </si>
  <si>
    <t>$9617.66</t>
  </si>
  <si>
    <t>$9619.18</t>
  </si>
  <si>
    <t>$9620.33</t>
  </si>
  <si>
    <t>$9625.92</t>
  </si>
  <si>
    <t>$9628.7900000000009</t>
  </si>
  <si>
    <t>$9630.2999999999993</t>
  </si>
  <si>
    <t>$9630.4</t>
  </si>
  <si>
    <t>$9630.91</t>
  </si>
  <si>
    <t>$9634.5400000000009</t>
  </si>
  <si>
    <t>$9644.25</t>
  </si>
  <si>
    <t>$9653.81</t>
  </si>
  <si>
    <t>$9664.34</t>
  </si>
  <si>
    <t>$9684.2900000000009</t>
  </si>
  <si>
    <t>$9698.42</t>
  </si>
  <si>
    <t>$9704.67</t>
  </si>
  <si>
    <t>$9710.7099999999991</t>
  </si>
  <si>
    <t>$9715.84</t>
  </si>
  <si>
    <t>$9722.77</t>
  </si>
  <si>
    <t>$9724.5300000000007</t>
  </si>
  <si>
    <t>$9748.91</t>
  </si>
  <si>
    <t>$9753.49</t>
  </si>
  <si>
    <t>$9764.08</t>
  </si>
  <si>
    <t>$9778.35</t>
  </si>
  <si>
    <t>$9787.32</t>
  </si>
  <si>
    <t>$9788.8700000000008</t>
  </si>
  <si>
    <t>$9800.89</t>
  </si>
  <si>
    <t>$9819.25</t>
  </si>
  <si>
    <t>$9836.2099999999991</t>
  </si>
  <si>
    <t>$9844.4500000000007</t>
  </si>
  <si>
    <t>$9850.43</t>
  </si>
  <si>
    <t>$9855.1299999999992</t>
  </si>
  <si>
    <t>$9861.0300000000007</t>
  </si>
  <si>
    <t>$9863.4699999999993</t>
  </si>
  <si>
    <t>$9866.2999999999993</t>
  </si>
  <si>
    <t>$9869.81</t>
  </si>
  <si>
    <t>$9870.59</t>
  </si>
  <si>
    <t>$9872.7000000000007</t>
  </si>
  <si>
    <t>$9875.68</t>
  </si>
  <si>
    <t>$9877.61</t>
  </si>
  <si>
    <t>$9880.07</t>
  </si>
  <si>
    <t>$9890.23</t>
  </si>
  <si>
    <t>$9894.69</t>
  </si>
  <si>
    <t>$9907.83</t>
  </si>
  <si>
    <t>$9910.36</t>
  </si>
  <si>
    <t>$9930.64</t>
  </si>
  <si>
    <t>$9931.9599999999991</t>
  </si>
  <si>
    <t>$9933.44</t>
  </si>
  <si>
    <t>$9957.7199999999993</t>
  </si>
  <si>
    <t>$9964.06</t>
  </si>
  <si>
    <t>$9991.0400000000009</t>
  </si>
  <si>
    <t>$10011.44</t>
  </si>
  <si>
    <t>$10027.15</t>
  </si>
  <si>
    <t>$10043.25</t>
  </si>
  <si>
    <t>$10065.41</t>
  </si>
  <si>
    <t>$10072.06</t>
  </si>
  <si>
    <t>$10085.85</t>
  </si>
  <si>
    <t>$10096.969999999999</t>
  </si>
  <si>
    <t>$10106.129999999999</t>
  </si>
  <si>
    <t>$10107.219999999999</t>
  </si>
  <si>
    <t>$10115.01</t>
  </si>
  <si>
    <t>$10118.42</t>
  </si>
  <si>
    <t>$10139.84</t>
  </si>
  <si>
    <t>$10141.14</t>
  </si>
  <si>
    <t>$10146.129999999999</t>
  </si>
  <si>
    <t>$10156.780000000001</t>
  </si>
  <si>
    <t>$10160.870000000001</t>
  </si>
  <si>
    <t>$10191.82</t>
  </si>
  <si>
    <t>$10197.77</t>
  </si>
  <si>
    <t>$10214.64</t>
  </si>
  <si>
    <t>$10226.280000000001</t>
  </si>
  <si>
    <t>$10231.5</t>
  </si>
  <si>
    <t>$10259.129999999999</t>
  </si>
  <si>
    <t>$10264.44</t>
  </si>
  <si>
    <t>$10269.459999999999</t>
  </si>
  <si>
    <t>$10274.33</t>
  </si>
  <si>
    <t>$10276.99</t>
  </si>
  <si>
    <t>$10308.040000000001</t>
  </si>
  <si>
    <t>$10310.780000000001</t>
  </si>
  <si>
    <t>$10315.91</t>
  </si>
  <si>
    <t>$10322.9</t>
  </si>
  <si>
    <t>$10325.209999999999</t>
  </si>
  <si>
    <t>$10329.06</t>
  </si>
  <si>
    <t>$10338.93</t>
  </si>
  <si>
    <t>$10345.93</t>
  </si>
  <si>
    <t>$10352.48</t>
  </si>
  <si>
    <t>$10355.64</t>
  </si>
  <si>
    <t>$10356.67</t>
  </si>
  <si>
    <t>$10370.91</t>
  </si>
  <si>
    <t>$10381.48</t>
  </si>
  <si>
    <t>$10403.27</t>
  </si>
  <si>
    <t>$10407.09</t>
  </si>
  <si>
    <t>$10407.98</t>
  </si>
  <si>
    <t>$10419.59</t>
  </si>
  <si>
    <t>$10419.65</t>
  </si>
  <si>
    <t>$10422.92</t>
  </si>
  <si>
    <t>$10435.07</t>
  </si>
  <si>
    <t>$10436.1</t>
  </si>
  <si>
    <t>$10450.549999999999</t>
  </si>
  <si>
    <t>$10455.1</t>
  </si>
  <si>
    <t>$10455.14</t>
  </si>
  <si>
    <t>$10459.19</t>
  </si>
  <si>
    <t>$10461.98</t>
  </si>
  <si>
    <t>$10464.83</t>
  </si>
  <si>
    <t>$10486.55</t>
  </si>
  <si>
    <t>$10493.95</t>
  </si>
  <si>
    <t>$10495.6</t>
  </si>
  <si>
    <t>$10546.48</t>
  </si>
  <si>
    <t>$10560.49</t>
  </si>
  <si>
    <t>$10564.88</t>
  </si>
  <si>
    <t>$10577.09</t>
  </si>
  <si>
    <t>$10579.71</t>
  </si>
  <si>
    <t>$10594.23</t>
  </si>
  <si>
    <t>$10594.5</t>
  </si>
  <si>
    <t>$10600.55</t>
  </si>
  <si>
    <t>$10601.41</t>
  </si>
  <si>
    <t>$10601.63</t>
  </si>
  <si>
    <t>$10602.39</t>
  </si>
  <si>
    <t>$10608.67</t>
  </si>
  <si>
    <t>$10617.04</t>
  </si>
  <si>
    <t>$10620.26</t>
  </si>
  <si>
    <t>$10627.81</t>
  </si>
  <si>
    <t>$10665.44</t>
  </si>
  <si>
    <t>$10676.83</t>
  </si>
  <si>
    <t>$10690.11</t>
  </si>
  <si>
    <t>$10698.38</t>
  </si>
  <si>
    <t>$10702.64</t>
  </si>
  <si>
    <t>$10704.47</t>
  </si>
  <si>
    <t>$10713.64</t>
  </si>
  <si>
    <t>$10719.57</t>
  </si>
  <si>
    <t>$10736.87</t>
  </si>
  <si>
    <t>$10749.02</t>
  </si>
  <si>
    <t>$10769.75</t>
  </si>
  <si>
    <t>$10791.96</t>
  </si>
  <si>
    <t>$10795.94</t>
  </si>
  <si>
    <t>$10796.35</t>
  </si>
  <si>
    <t>$10797.34</t>
  </si>
  <si>
    <t>$10806.84</t>
  </si>
  <si>
    <t>$10807.49</t>
  </si>
  <si>
    <t>$10825.25</t>
  </si>
  <si>
    <t>$10848.13</t>
  </si>
  <si>
    <t>$10886.66</t>
  </si>
  <si>
    <t>$10923.93</t>
  </si>
  <si>
    <t>$10928.85</t>
  </si>
  <si>
    <t>$10942.13</t>
  </si>
  <si>
    <t>$10959.33</t>
  </si>
  <si>
    <t>$10959.69</t>
  </si>
  <si>
    <t>$10965.45</t>
  </si>
  <si>
    <t>$10976.25</t>
  </si>
  <si>
    <t>$10977.21</t>
  </si>
  <si>
    <t>$10982.5</t>
  </si>
  <si>
    <t>$10991.58</t>
  </si>
  <si>
    <t>$11013.71</t>
  </si>
  <si>
    <t>$11015.17</t>
  </si>
  <si>
    <t>$11018.05</t>
  </si>
  <si>
    <t>$11028.56</t>
  </si>
  <si>
    <t>$11033.66</t>
  </si>
  <si>
    <t>$11037.51</t>
  </si>
  <si>
    <t>$11037.85</t>
  </si>
  <si>
    <t>$11046.02</t>
  </si>
  <si>
    <t>$11068.7</t>
  </si>
  <si>
    <t>$11068.77</t>
  </si>
  <si>
    <t>$11070.54</t>
  </si>
  <si>
    <t>$11073.18</t>
  </si>
  <si>
    <t>$11082.58</t>
  </si>
  <si>
    <t>$11085.59</t>
  </si>
  <si>
    <t>$11090.72</t>
  </si>
  <si>
    <t>$11093.62</t>
  </si>
  <si>
    <t>$11103.33</t>
  </si>
  <si>
    <t>$11150.78</t>
  </si>
  <si>
    <t>$11163.57</t>
  </si>
  <si>
    <t>$11165.42</t>
  </si>
  <si>
    <t>$11186.2</t>
  </si>
  <si>
    <t>$11187.66</t>
  </si>
  <si>
    <t>$11217.35</t>
  </si>
  <si>
    <t>$11244.38</t>
  </si>
  <si>
    <t>$11250.43</t>
  </si>
  <si>
    <t>$11253.42</t>
  </si>
  <si>
    <t>$11255.29</t>
  </si>
  <si>
    <t>$11264.54</t>
  </si>
  <si>
    <t>$11265.71</t>
  </si>
  <si>
    <t>$11272.33</t>
  </si>
  <si>
    <t>$11286.54</t>
  </si>
  <si>
    <t>$11289.11</t>
  </si>
  <si>
    <t>$11294.57</t>
  </si>
  <si>
    <t>$11299.34</t>
  </si>
  <si>
    <t>$11305.93</t>
  </si>
  <si>
    <t>$11312.33</t>
  </si>
  <si>
    <t>$11318.57</t>
  </si>
  <si>
    <t>$11319.12</t>
  </si>
  <si>
    <t>$11321.49</t>
  </si>
  <si>
    <t>$11326.71</t>
  </si>
  <si>
    <t>$11344.32</t>
  </si>
  <si>
    <t>$11345.52</t>
  </si>
  <si>
    <t>$11353.23</t>
  </si>
  <si>
    <t>$11356.66</t>
  </si>
  <si>
    <t>$11362.76</t>
  </si>
  <si>
    <t>$11363.28</t>
  </si>
  <si>
    <t>$11365.95</t>
  </si>
  <si>
    <t>$11369.39</t>
  </si>
  <si>
    <t>$11378.57</t>
  </si>
  <si>
    <t>$11381.33</t>
  </si>
  <si>
    <t>$11388.27</t>
  </si>
  <si>
    <t>$11394.07</t>
  </si>
  <si>
    <t>$11396.9</t>
  </si>
  <si>
    <t>$11411.69</t>
  </si>
  <si>
    <t>$11412.02</t>
  </si>
  <si>
    <t>$11419.49</t>
  </si>
  <si>
    <t>$11435.74</t>
  </si>
  <si>
    <t>$11436.74</t>
  </si>
  <si>
    <t>$11454.02</t>
  </si>
  <si>
    <t>$11455.28</t>
  </si>
  <si>
    <t>$11478.14</t>
  </si>
  <si>
    <t>$11482.63</t>
  </si>
  <si>
    <t>$11488.32</t>
  </si>
  <si>
    <t>$11492.46</t>
  </si>
  <si>
    <t>$11497.69</t>
  </si>
  <si>
    <t>$11511.61</t>
  </si>
  <si>
    <t>$11512.41</t>
  </si>
  <si>
    <t>$11520.1</t>
  </si>
  <si>
    <t>$11524.25</t>
  </si>
  <si>
    <t>$11530.12</t>
  </si>
  <si>
    <t>$11534.87</t>
  </si>
  <si>
    <t>$11538.42</t>
  </si>
  <si>
    <t>$11540.25</t>
  </si>
  <si>
    <t>$11552.9</t>
  </si>
  <si>
    <t>$11554.22</t>
  </si>
  <si>
    <t>$11566.3</t>
  </si>
  <si>
    <t>$11576.13</t>
  </si>
  <si>
    <t>$11602.75</t>
  </si>
  <si>
    <t>$11625.11</t>
  </si>
  <si>
    <t>$11657.72</t>
  </si>
  <si>
    <t>$11657.81</t>
  </si>
  <si>
    <t>$11658.12</t>
  </si>
  <si>
    <t>$11658.38</t>
  </si>
  <si>
    <t>$11674.13</t>
  </si>
  <si>
    <t>$11696.52</t>
  </si>
  <si>
    <t>$11712.97</t>
  </si>
  <si>
    <t>$11729.68</t>
  </si>
  <si>
    <t>$11730.82</t>
  </si>
  <si>
    <t>$11735.88</t>
  </si>
  <si>
    <t>$11737.85</t>
  </si>
  <si>
    <t>$11741.73</t>
  </si>
  <si>
    <t>$11743.3</t>
  </si>
  <si>
    <t>$11743.93</t>
  </si>
  <si>
    <t>$11752.68</t>
  </si>
  <si>
    <t>$11763</t>
  </si>
  <si>
    <t>$11773.06</t>
  </si>
  <si>
    <t>$11830.61</t>
  </si>
  <si>
    <t>$11833.78</t>
  </si>
  <si>
    <t>$11837.16</t>
  </si>
  <si>
    <t>$11840.78</t>
  </si>
  <si>
    <t>$11842.44</t>
  </si>
  <si>
    <t>$11842.62</t>
  </si>
  <si>
    <t>$11848.14</t>
  </si>
  <si>
    <t>$11856.41</t>
  </si>
  <si>
    <t>$11858.56</t>
  </si>
  <si>
    <t>$11879.1</t>
  </si>
  <si>
    <t>$11881.36</t>
  </si>
  <si>
    <t>$11881.97</t>
  </si>
  <si>
    <t>$11884.05</t>
  </si>
  <si>
    <t>$11918.2</t>
  </si>
  <si>
    <t>$11931.13</t>
  </si>
  <si>
    <t>$11938.26</t>
  </si>
  <si>
    <t>$11941.83</t>
  </si>
  <si>
    <t>$11944.59</t>
  </si>
  <si>
    <t>$11945.13</t>
  </si>
  <si>
    <t>$11946.63</t>
  </si>
  <si>
    <t>$11987.17</t>
  </si>
  <si>
    <t>$11987.68</t>
  </si>
  <si>
    <t>$11994.89</t>
  </si>
  <si>
    <t>$12001.29</t>
  </si>
  <si>
    <t>$12029.29</t>
  </si>
  <si>
    <t>$12032.33</t>
  </si>
  <si>
    <t>$12035.18</t>
  </si>
  <si>
    <t>$12044.34</t>
  </si>
  <si>
    <t>$12048.13</t>
  </si>
  <si>
    <t>$12091.34</t>
  </si>
  <si>
    <t>$12094.48</t>
  </si>
  <si>
    <t>$12096.65</t>
  </si>
  <si>
    <t>$12105.32</t>
  </si>
  <si>
    <t>$12124.99</t>
  </si>
  <si>
    <t>$12129.61</t>
  </si>
  <si>
    <t>$12130.8</t>
  </si>
  <si>
    <t>$12137.6</t>
  </si>
  <si>
    <t>$12142.58</t>
  </si>
  <si>
    <t>$12146.97</t>
  </si>
  <si>
    <t>$12148.2</t>
  </si>
  <si>
    <t>$12198.64</t>
  </si>
  <si>
    <t>$12218.7</t>
  </si>
  <si>
    <t>$12222.9</t>
  </si>
  <si>
    <t>$12224.35</t>
  </si>
  <si>
    <t>$12231.61</t>
  </si>
  <si>
    <t>$12233.83</t>
  </si>
  <si>
    <t>$12235.84</t>
  </si>
  <si>
    <t>$12237.73</t>
  </si>
  <si>
    <t>$12244.53</t>
  </si>
  <si>
    <t>$12245.17</t>
  </si>
  <si>
    <t>$12254.44</t>
  </si>
  <si>
    <t>$12255.04</t>
  </si>
  <si>
    <t>$12265.51</t>
  </si>
  <si>
    <t>$12268.63</t>
  </si>
  <si>
    <t>$12269.69</t>
  </si>
  <si>
    <t>$12282.03</t>
  </si>
  <si>
    <t>$12282.38</t>
  </si>
  <si>
    <t>$12299.59</t>
  </si>
  <si>
    <t>$12323.94</t>
  </si>
  <si>
    <t>$12333.83</t>
  </si>
  <si>
    <t>$12347.17</t>
  </si>
  <si>
    <t>$12363.55</t>
  </si>
  <si>
    <t>$12369.89</t>
  </si>
  <si>
    <t>$12404.88</t>
  </si>
  <si>
    <t>$12407.3</t>
  </si>
  <si>
    <t>$12408.29</t>
  </si>
  <si>
    <t>$12430.95</t>
  </si>
  <si>
    <t>$12452.25</t>
  </si>
  <si>
    <t>$12475.35</t>
  </si>
  <si>
    <t>$12479.71</t>
  </si>
  <si>
    <t>$12485.8</t>
  </si>
  <si>
    <t>$12495.29</t>
  </si>
  <si>
    <t>$12499.88</t>
  </si>
  <si>
    <t>$12523.6</t>
  </si>
  <si>
    <t>$12557.61</t>
  </si>
  <si>
    <t>$12574.05</t>
  </si>
  <si>
    <t>$12579.92</t>
  </si>
  <si>
    <t>$12592.53</t>
  </si>
  <si>
    <t>$12600.46</t>
  </si>
  <si>
    <t>$12609.89</t>
  </si>
  <si>
    <t>$12622.18</t>
  </si>
  <si>
    <t>$12624.74</t>
  </si>
  <si>
    <t>$12629.17</t>
  </si>
  <si>
    <t>$12629.9</t>
  </si>
  <si>
    <t>$12638.2</t>
  </si>
  <si>
    <t>$12640.24</t>
  </si>
  <si>
    <t>$12643.38</t>
  </si>
  <si>
    <t>$12644.59</t>
  </si>
  <si>
    <t>$12646.21</t>
  </si>
  <si>
    <t>$12648.7</t>
  </si>
  <si>
    <t>$12697.48</t>
  </si>
  <si>
    <t>$12699.56</t>
  </si>
  <si>
    <t>$12700.63</t>
  </si>
  <si>
    <t>$12713</t>
  </si>
  <si>
    <t>$12718.21</t>
  </si>
  <si>
    <t>$12731</t>
  </si>
  <si>
    <t>$12741.17</t>
  </si>
  <si>
    <t>$12770.27</t>
  </si>
  <si>
    <t>$12776.05</t>
  </si>
  <si>
    <t>$12788.03</t>
  </si>
  <si>
    <t>$12788.18</t>
  </si>
  <si>
    <t>$12797.21</t>
  </si>
  <si>
    <t>$12815.44</t>
  </si>
  <si>
    <t>$12823.25</t>
  </si>
  <si>
    <t>$12829.46</t>
  </si>
  <si>
    <t>$12847.24</t>
  </si>
  <si>
    <t>$12852.37</t>
  </si>
  <si>
    <t>$12856.84</t>
  </si>
  <si>
    <t>$12870.31</t>
  </si>
  <si>
    <t>$12890.06</t>
  </si>
  <si>
    <t>$12913.99</t>
  </si>
  <si>
    <t>$12925.89</t>
  </si>
  <si>
    <t>$12928.79</t>
  </si>
  <si>
    <t>$12949.16</t>
  </si>
  <si>
    <t>$12950.07</t>
  </si>
  <si>
    <t>$12957.12</t>
  </si>
  <si>
    <t>$12979.36</t>
  </si>
  <si>
    <t>$12981.35</t>
  </si>
  <si>
    <t>$12982.87</t>
  </si>
  <si>
    <t>$12994.12</t>
  </si>
  <si>
    <t>$13002.91</t>
  </si>
  <si>
    <t>$13004.95</t>
  </si>
  <si>
    <t>$13008.07</t>
  </si>
  <si>
    <t>$13010.86</t>
  </si>
  <si>
    <t>$13012.21</t>
  </si>
  <si>
    <t>$13019.16</t>
  </si>
  <si>
    <t>$13023.93</t>
  </si>
  <si>
    <t>$13041.92</t>
  </si>
  <si>
    <t>$13044.41</t>
  </si>
  <si>
    <t>$13047.33</t>
  </si>
  <si>
    <t>$13051.22</t>
  </si>
  <si>
    <t>$13063.88</t>
  </si>
  <si>
    <t>$13101.74</t>
  </si>
  <si>
    <t>$13110.79</t>
  </si>
  <si>
    <t>$13112.6</t>
  </si>
  <si>
    <t>$13113.51</t>
  </si>
  <si>
    <t>$13116.84</t>
  </si>
  <si>
    <t>$13126.68</t>
  </si>
  <si>
    <t>$13129.6</t>
  </si>
  <si>
    <t>$13143.34</t>
  </si>
  <si>
    <t>$13143.86</t>
  </si>
  <si>
    <t>$13204.29</t>
  </si>
  <si>
    <t>$13214.43</t>
  </si>
  <si>
    <t>$13217.09</t>
  </si>
  <si>
    <t>$13224.06</t>
  </si>
  <si>
    <t>$13224.69</t>
  </si>
  <si>
    <t>$13228.85</t>
  </si>
  <si>
    <t>$13292.52</t>
  </si>
  <si>
    <t>$13333.71</t>
  </si>
  <si>
    <t>$13352.1</t>
  </si>
  <si>
    <t>$13360.94</t>
  </si>
  <si>
    <t>$13375.76</t>
  </si>
  <si>
    <t>$13377.41</t>
  </si>
  <si>
    <t>$13383.67</t>
  </si>
  <si>
    <t>$13390.56</t>
  </si>
  <si>
    <t>$13393.76</t>
  </si>
  <si>
    <t>$13405.39</t>
  </si>
  <si>
    <t>$13412.97</t>
  </si>
  <si>
    <t>$13415.04</t>
  </si>
  <si>
    <t>$13417.05</t>
  </si>
  <si>
    <t>$13429.04</t>
  </si>
  <si>
    <t>$13430.27</t>
  </si>
  <si>
    <t>$13440.7</t>
  </si>
  <si>
    <t>$13451.12</t>
  </si>
  <si>
    <t>$13457.96</t>
  </si>
  <si>
    <t>$13462.52</t>
  </si>
  <si>
    <t>$13465.8</t>
  </si>
  <si>
    <t>$13470.8</t>
  </si>
  <si>
    <t>$13470.86</t>
  </si>
  <si>
    <t>$13472.19</t>
  </si>
  <si>
    <t>$13480.83</t>
  </si>
  <si>
    <t>$13511.28</t>
  </si>
  <si>
    <t>$13555</t>
  </si>
  <si>
    <t>$13566.04</t>
  </si>
  <si>
    <t>$13588.17</t>
  </si>
  <si>
    <t>$13607.37</t>
  </si>
  <si>
    <t>$13616.36</t>
  </si>
  <si>
    <t>$13622.01</t>
  </si>
  <si>
    <t>$13635.64</t>
  </si>
  <si>
    <t>$13638.06</t>
  </si>
  <si>
    <t>$13677.68</t>
  </si>
  <si>
    <t>$13685.51</t>
  </si>
  <si>
    <t>$13714.55</t>
  </si>
  <si>
    <t>$13725.47</t>
  </si>
  <si>
    <t>$13726.21</t>
  </si>
  <si>
    <t>$13746.74</t>
  </si>
  <si>
    <t>$13747.87</t>
  </si>
  <si>
    <t>$13770.1</t>
  </si>
  <si>
    <t>$13801.61</t>
  </si>
  <si>
    <t>$13819.49</t>
  </si>
  <si>
    <t>$13822.8</t>
  </si>
  <si>
    <t>$13831.12</t>
  </si>
  <si>
    <t>$13844.51</t>
  </si>
  <si>
    <t>$13844.8</t>
  </si>
  <si>
    <t>$13874.89</t>
  </si>
  <si>
    <t>$13880.95</t>
  </si>
  <si>
    <t>$13886.4</t>
  </si>
  <si>
    <t>$13887.2</t>
  </si>
  <si>
    <t>$13887.97</t>
  </si>
  <si>
    <t>$13919.82</t>
  </si>
  <si>
    <t>$13937.67</t>
  </si>
  <si>
    <t>$13974.46</t>
  </si>
  <si>
    <t>$13979.45</t>
  </si>
  <si>
    <t>$13981.85</t>
  </si>
  <si>
    <t>$14001.13</t>
  </si>
  <si>
    <t>$14001.29</t>
  </si>
  <si>
    <t>$14007.22</t>
  </si>
  <si>
    <t>$14043.48</t>
  </si>
  <si>
    <t>$14081.93</t>
  </si>
  <si>
    <t>$14098.07</t>
  </si>
  <si>
    <t>$14119.62</t>
  </si>
  <si>
    <t>$14133.04</t>
  </si>
  <si>
    <t>$14152.46</t>
  </si>
  <si>
    <t>$14193.55</t>
  </si>
  <si>
    <t>$14209.4</t>
  </si>
  <si>
    <t>$14210.54</t>
  </si>
  <si>
    <t>$14235.07</t>
  </si>
  <si>
    <t>$14254.61</t>
  </si>
  <si>
    <t>$14256.19</t>
  </si>
  <si>
    <t>$14256.79</t>
  </si>
  <si>
    <t>$14258.33</t>
  </si>
  <si>
    <t>$14283.46</t>
  </si>
  <si>
    <t>$14285.9</t>
  </si>
  <si>
    <t>$14313.85</t>
  </si>
  <si>
    <t>$14319.03</t>
  </si>
  <si>
    <t>$14337.91</t>
  </si>
  <si>
    <t>$14349.85</t>
  </si>
  <si>
    <t>$14355.43</t>
  </si>
  <si>
    <t>$14358.36</t>
  </si>
  <si>
    <t>$14382.71</t>
  </si>
  <si>
    <t>$14394.4</t>
  </si>
  <si>
    <t>$14394.56</t>
  </si>
  <si>
    <t>$14410.93</t>
  </si>
  <si>
    <t>$14418.28</t>
  </si>
  <si>
    <t>$14426.07</t>
  </si>
  <si>
    <t>$14426.66</t>
  </si>
  <si>
    <t>$14427.63</t>
  </si>
  <si>
    <t>$14449.85</t>
  </si>
  <si>
    <t>$14451.84</t>
  </si>
  <si>
    <t>$14455.64</t>
  </si>
  <si>
    <t>$14470.01</t>
  </si>
  <si>
    <t>$14474.68</t>
  </si>
  <si>
    <t>$14478.33</t>
  </si>
  <si>
    <t>$14507.46</t>
  </si>
  <si>
    <t>$14547.26</t>
  </si>
  <si>
    <t>$14571.89</t>
  </si>
  <si>
    <t>$14574.64</t>
  </si>
  <si>
    <t>$14590.63</t>
  </si>
  <si>
    <t>$14600.62</t>
  </si>
  <si>
    <t>$14612.33</t>
  </si>
  <si>
    <t>$14630.52</t>
  </si>
  <si>
    <t>$14640.35</t>
  </si>
  <si>
    <t>$14657.2</t>
  </si>
  <si>
    <t>$14665.75</t>
  </si>
  <si>
    <t>$14692.67</t>
  </si>
  <si>
    <t>$14696.77</t>
  </si>
  <si>
    <t>$14711.74</t>
  </si>
  <si>
    <t>$14738.43</t>
  </si>
  <si>
    <t>$14750.42</t>
  </si>
  <si>
    <t>$14819</t>
  </si>
  <si>
    <t>$14839.34</t>
  </si>
  <si>
    <t>$14843.96</t>
  </si>
  <si>
    <t>$14847.63</t>
  </si>
  <si>
    <t>$14901.52</t>
  </si>
  <si>
    <t>$14908.27</t>
  </si>
  <si>
    <t>$14926.97</t>
  </si>
  <si>
    <t>$14945.34</t>
  </si>
  <si>
    <t>$14988.43</t>
  </si>
  <si>
    <t>$15006.58</t>
  </si>
  <si>
    <t>$15019.76</t>
  </si>
  <si>
    <t>$15025.76</t>
  </si>
  <si>
    <t>$15026.3</t>
  </si>
  <si>
    <t>$15038.51</t>
  </si>
  <si>
    <t>$15052.68</t>
  </si>
  <si>
    <t>$15090.35</t>
  </si>
  <si>
    <t>$15103.69</t>
  </si>
  <si>
    <t>$15123.19</t>
  </si>
  <si>
    <t>$15150.44</t>
  </si>
  <si>
    <t>$15161.25</t>
  </si>
  <si>
    <t>$15161.53</t>
  </si>
  <si>
    <t>$15170.07</t>
  </si>
  <si>
    <t>$15174.81</t>
  </si>
  <si>
    <t>$15207.92</t>
  </si>
  <si>
    <t>$15230.32</t>
  </si>
  <si>
    <t>$15260.52</t>
  </si>
  <si>
    <t>$15322.77</t>
  </si>
  <si>
    <t>$15359.1</t>
  </si>
  <si>
    <t>$15361.5</t>
  </si>
  <si>
    <t>$15363.77</t>
  </si>
  <si>
    <t>$15368.22</t>
  </si>
  <si>
    <t>$15377.77</t>
  </si>
  <si>
    <t>$15440.2</t>
  </si>
  <si>
    <t>$15450.48</t>
  </si>
  <si>
    <t>$15518.18</t>
  </si>
  <si>
    <t>$15532.16</t>
  </si>
  <si>
    <t>$15555.19</t>
  </si>
  <si>
    <t>$15556.67</t>
  </si>
  <si>
    <t>$15608.58</t>
  </si>
  <si>
    <t>$15612.19</t>
  </si>
  <si>
    <t>$15646.28</t>
  </si>
  <si>
    <t>$15670.3</t>
  </si>
  <si>
    <t>$15698.86</t>
  </si>
  <si>
    <t>$15746.62</t>
  </si>
  <si>
    <t>$15817.99</t>
  </si>
  <si>
    <t>$15820.7</t>
  </si>
  <si>
    <t>$15828.82</t>
  </si>
  <si>
    <t>$15840.81</t>
  </si>
  <si>
    <t>$15922.29</t>
  </si>
  <si>
    <t>$15965.29</t>
  </si>
  <si>
    <t>$15966.19</t>
  </si>
  <si>
    <t>$16059.06</t>
  </si>
  <si>
    <t>$16062.89</t>
  </si>
  <si>
    <t>$16069.08</t>
  </si>
  <si>
    <t>$16085.13</t>
  </si>
  <si>
    <t>$16097.94</t>
  </si>
  <si>
    <t>$16115.3</t>
  </si>
  <si>
    <t>$16122.65</t>
  </si>
  <si>
    <t>$16138.76</t>
  </si>
  <si>
    <t>$16152.04</t>
  </si>
  <si>
    <t>$16190.97</t>
  </si>
  <si>
    <t>$16199.1</t>
  </si>
  <si>
    <t>$16205.88</t>
  </si>
  <si>
    <t>$16232.85</t>
  </si>
  <si>
    <t>$16267.32</t>
  </si>
  <si>
    <t>$16297.85</t>
  </si>
  <si>
    <t>$16311.05</t>
  </si>
  <si>
    <t>$16351.42</t>
  </si>
  <si>
    <t>$16420.490000000002</t>
  </si>
  <si>
    <t>$16450.89</t>
  </si>
  <si>
    <t>$16455.71</t>
  </si>
  <si>
    <t>$16577.78</t>
  </si>
  <si>
    <t>$16586.5</t>
  </si>
  <si>
    <t>$16587.96</t>
  </si>
  <si>
    <t>$16600.16</t>
  </si>
  <si>
    <t>$16602.18</t>
  </si>
  <si>
    <t>$16631.61</t>
  </si>
  <si>
    <t>$16657.72</t>
  </si>
  <si>
    <t>$16770.990000000002</t>
  </si>
  <si>
    <t>$16776.3</t>
  </si>
  <si>
    <t>$16779.400000000001</t>
  </si>
  <si>
    <t>$16796.41</t>
  </si>
  <si>
    <t>$16841.32</t>
  </si>
  <si>
    <t>$16884.919999999998</t>
  </si>
  <si>
    <t>$16903.5</t>
  </si>
  <si>
    <t>$16921.09</t>
  </si>
  <si>
    <t>$16990.55</t>
  </si>
  <si>
    <t>$17016.009999999998</t>
  </si>
  <si>
    <t>$17043.34</t>
  </si>
  <si>
    <t>$17081.080000000002</t>
  </si>
  <si>
    <t>$17085.27</t>
  </si>
  <si>
    <t>$17128.43</t>
  </si>
  <si>
    <t>$17172.27</t>
  </si>
  <si>
    <t>$17174.52</t>
  </si>
  <si>
    <t>$17178.68</t>
  </si>
  <si>
    <t>$17179.52</t>
  </si>
  <si>
    <t>$17253.43</t>
  </si>
  <si>
    <t>$17337.580000000002</t>
  </si>
  <si>
    <t>$17352.68</t>
  </si>
  <si>
    <t>$17361.77</t>
  </si>
  <si>
    <t>$17468.98</t>
  </si>
  <si>
    <t>$17479.53</t>
  </si>
  <si>
    <t>$17496.310000000001</t>
  </si>
  <si>
    <t>$17505.650000000001</t>
  </si>
  <si>
    <t>$17507.47</t>
  </si>
  <si>
    <t>$17556.88</t>
  </si>
  <si>
    <t>$17560.38</t>
  </si>
  <si>
    <t>$17584.72</t>
  </si>
  <si>
    <t>$17626.240000000002</t>
  </si>
  <si>
    <t>$17663.14</t>
  </si>
  <si>
    <t>$17748.509999999998</t>
  </si>
  <si>
    <t>$17777.73</t>
  </si>
  <si>
    <t>$17779.939999999999</t>
  </si>
  <si>
    <t>$17832.599999999999</t>
  </si>
  <si>
    <t>$17862.919999999998</t>
  </si>
  <si>
    <t>$17878.900000000001</t>
  </si>
  <si>
    <t>$17882.669999999998</t>
  </si>
  <si>
    <t>$17904.53</t>
  </si>
  <si>
    <t>$17929.3</t>
  </si>
  <si>
    <t>$17942.11</t>
  </si>
  <si>
    <t>$18031.16</t>
  </si>
  <si>
    <t>$18031.189999999999</t>
  </si>
  <si>
    <t>$18033.97</t>
  </si>
  <si>
    <t>$18157.88</t>
  </si>
  <si>
    <t>$18208.34</t>
  </si>
  <si>
    <t>$18218.16</t>
  </si>
  <si>
    <t>$18223.45</t>
  </si>
  <si>
    <t>$18246.5</t>
  </si>
  <si>
    <t>$18259.22</t>
  </si>
  <si>
    <t>$18310.740000000002</t>
  </si>
  <si>
    <t>$18328.240000000002</t>
  </si>
  <si>
    <t>$18443.11</t>
  </si>
  <si>
    <t>$18608.259999999998</t>
  </si>
  <si>
    <t>$18648.419999999998</t>
  </si>
  <si>
    <t>$18682.740000000002</t>
  </si>
  <si>
    <t>$18694.689999999999</t>
  </si>
  <si>
    <t>$18765.88</t>
  </si>
  <si>
    <t>$18767.740000000002</t>
  </si>
  <si>
    <t>$18804.75</t>
  </si>
  <si>
    <t>$18806.150000000001</t>
  </si>
  <si>
    <t>$18815.53</t>
  </si>
  <si>
    <t>$18838.7</t>
  </si>
  <si>
    <t>$18883.330000000002</t>
  </si>
  <si>
    <t>$18903.490000000002</t>
  </si>
  <si>
    <t>$18932.810000000001</t>
  </si>
  <si>
    <t>$18954.560000000001</t>
  </si>
  <si>
    <t>$18955.22</t>
  </si>
  <si>
    <t>$18963.169999999998</t>
  </si>
  <si>
    <t>$18972.5</t>
  </si>
  <si>
    <t>$19023.259999999998</t>
  </si>
  <si>
    <t>$19040.88</t>
  </si>
  <si>
    <t>$19107.78</t>
  </si>
  <si>
    <t>$19144.580000000002</t>
  </si>
  <si>
    <t>$19199.939999999999</t>
  </si>
  <si>
    <t>$19214.71</t>
  </si>
  <si>
    <t>$19259.96</t>
  </si>
  <si>
    <t>$19321.060000000001</t>
  </si>
  <si>
    <t>$19350.37</t>
  </si>
  <si>
    <t>$19362</t>
  </si>
  <si>
    <t>$19442.349999999999</t>
  </si>
  <si>
    <t>$19444.27</t>
  </si>
  <si>
    <t>$19496.72</t>
  </si>
  <si>
    <t>$19515.54</t>
  </si>
  <si>
    <t>$19521.97</t>
  </si>
  <si>
    <t>$19539.240000000002</t>
  </si>
  <si>
    <t>$19551.34</t>
  </si>
  <si>
    <t>$19594.810000000001</t>
  </si>
  <si>
    <t>$19673.34</t>
  </si>
  <si>
    <t>$19719.689999999999</t>
  </si>
  <si>
    <t>$19749.38</t>
  </si>
  <si>
    <t>$19798.05</t>
  </si>
  <si>
    <t>$19933.46</t>
  </si>
  <si>
    <t>$19964.75</t>
  </si>
  <si>
    <t>$19995.29</t>
  </si>
  <si>
    <t>$20009.63</t>
  </si>
  <si>
    <t>$20149.32</t>
  </si>
  <si>
    <t>$20167.34</t>
  </si>
  <si>
    <t>$20177.669999999998</t>
  </si>
  <si>
    <t>$20234.849999999999</t>
  </si>
  <si>
    <t>$20253.84</t>
  </si>
  <si>
    <t>$20277.810000000001</t>
  </si>
  <si>
    <t>$20296.86</t>
  </si>
  <si>
    <t>$20354.5</t>
  </si>
  <si>
    <t>$20420.599999999999</t>
  </si>
  <si>
    <t>$20446.849999999999</t>
  </si>
  <si>
    <t>$20463</t>
  </si>
  <si>
    <t>$20568.32</t>
  </si>
  <si>
    <t>$20630.28</t>
  </si>
  <si>
    <t>$20709.02</t>
  </si>
  <si>
    <t>$20745.990000000002</t>
  </si>
  <si>
    <t>$20773.63</t>
  </si>
  <si>
    <t>$20781.490000000002</t>
  </si>
  <si>
    <t>$20878.78</t>
  </si>
  <si>
    <t>$20893.060000000001</t>
  </si>
  <si>
    <t>$20984.09</t>
  </si>
  <si>
    <t>$21082.16</t>
  </si>
  <si>
    <t>$21098.55</t>
  </si>
  <si>
    <t>$21195.82</t>
  </si>
  <si>
    <t>$21223.68</t>
  </si>
  <si>
    <t>$21232.18</t>
  </si>
  <si>
    <t>$21259.38</t>
  </si>
  <si>
    <t>$21344.85</t>
  </si>
  <si>
    <t>$21348.71</t>
  </si>
  <si>
    <t>$21472.48</t>
  </si>
  <si>
    <t>$21595.38</t>
  </si>
  <si>
    <t>$21659.93</t>
  </si>
  <si>
    <t>$21661.16</t>
  </si>
  <si>
    <t>$21677.279999999999</t>
  </si>
  <si>
    <t>$21771.34</t>
  </si>
  <si>
    <t>$21774.32</t>
  </si>
  <si>
    <t>$21797</t>
  </si>
  <si>
    <t>$21880.82</t>
  </si>
  <si>
    <t>$21882.400000000001</t>
  </si>
  <si>
    <t>$21978.68</t>
  </si>
  <si>
    <t>$21984.47</t>
  </si>
  <si>
    <t>$22097.62</t>
  </si>
  <si>
    <t>$22144.03</t>
  </si>
  <si>
    <t>$22192.44</t>
  </si>
  <si>
    <t>$22218.11</t>
  </si>
  <si>
    <t>$22331.57</t>
  </si>
  <si>
    <t>$22395.74</t>
  </si>
  <si>
    <t>$22412.65</t>
  </si>
  <si>
    <t>$22462.04</t>
  </si>
  <si>
    <t>$22478.6</t>
  </si>
  <si>
    <t>$22493.66</t>
  </si>
  <si>
    <t>$23045.57</t>
  </si>
  <si>
    <t>$23065.42</t>
  </si>
  <si>
    <t>$23082.959999999999</t>
  </si>
  <si>
    <t>$23241.47</t>
  </si>
  <si>
    <t>$23244.79</t>
  </si>
  <si>
    <t>$23288.93</t>
  </si>
  <si>
    <t>$23306.55</t>
  </si>
  <si>
    <t>$23401.31</t>
  </si>
  <si>
    <t>$23563.02</t>
  </si>
  <si>
    <t>$23568.27</t>
  </si>
  <si>
    <t>$23807.24</t>
  </si>
  <si>
    <t>$23887.66</t>
  </si>
  <si>
    <t>$23967.38</t>
  </si>
  <si>
    <t>$24059.68</t>
  </si>
  <si>
    <t>$24106.91</t>
  </si>
  <si>
    <t>$24180.93</t>
  </si>
  <si>
    <t>$24227.34</t>
  </si>
  <si>
    <t>$24294.02</t>
  </si>
  <si>
    <t>$24387.74</t>
  </si>
  <si>
    <t>$24393.62</t>
  </si>
  <si>
    <t>$24476.48</t>
  </si>
  <si>
    <t>$24513.09</t>
  </si>
  <si>
    <t>$24520.26</t>
  </si>
  <si>
    <t>$24535.7</t>
  </si>
  <si>
    <t>$24603.05</t>
  </si>
  <si>
    <t>$24667.42</t>
  </si>
  <si>
    <t>$24671.66</t>
  </si>
  <si>
    <t>$24795.040000000001</t>
  </si>
  <si>
    <t>$24817.25</t>
  </si>
  <si>
    <t>$24863.25</t>
  </si>
  <si>
    <t>$24869.84</t>
  </si>
  <si>
    <t>$24873.38</t>
  </si>
  <si>
    <t>$24915.05</t>
  </si>
  <si>
    <t>$24915.22</t>
  </si>
  <si>
    <t>$25075.97</t>
  </si>
  <si>
    <t>$25081.77</t>
  </si>
  <si>
    <t>$25127.22</t>
  </si>
  <si>
    <t>$25309.49</t>
  </si>
  <si>
    <t>$25333.33</t>
  </si>
  <si>
    <t>$25382.3</t>
  </si>
  <si>
    <t>$25517.11</t>
  </si>
  <si>
    <t>$25648.98</t>
  </si>
  <si>
    <t>$25656.58</t>
  </si>
  <si>
    <t>$25678.78</t>
  </si>
  <si>
    <t>$25992.82</t>
  </si>
  <si>
    <t>$26018.95</t>
  </si>
  <si>
    <t>$26026.97</t>
  </si>
  <si>
    <t>$26109.33</t>
  </si>
  <si>
    <t>$26125.67</t>
  </si>
  <si>
    <t>$26140.36</t>
  </si>
  <si>
    <t>$26236.58</t>
  </si>
  <si>
    <t>$26316.59</t>
  </si>
  <si>
    <t>$26392.26</t>
  </si>
  <si>
    <t>$26467.1</t>
  </si>
  <si>
    <t>$26479.4</t>
  </si>
  <si>
    <t>$26607.89</t>
  </si>
  <si>
    <t>$26912.560000000001</t>
  </si>
  <si>
    <t>$26926.51</t>
  </si>
  <si>
    <t>$26927.69</t>
  </si>
  <si>
    <t>$26936.98</t>
  </si>
  <si>
    <t>$27000.98</t>
  </si>
  <si>
    <t>$27037.91</t>
  </si>
  <si>
    <t>$27080.639999999999</t>
  </si>
  <si>
    <t>$27092.38</t>
  </si>
  <si>
    <t>$27117.99</t>
  </si>
  <si>
    <t>$27218.44</t>
  </si>
  <si>
    <t>$27236.959999999999</t>
  </si>
  <si>
    <t>$27322.73</t>
  </si>
  <si>
    <t>$27346.04</t>
  </si>
  <si>
    <t>$27375.9</t>
  </si>
  <si>
    <t>$27432.73</t>
  </si>
  <si>
    <t>$27495.59</t>
  </si>
  <si>
    <t>$27533.91</t>
  </si>
  <si>
    <t>$27534.53</t>
  </si>
  <si>
    <t>$27598.93</t>
  </si>
  <si>
    <t>$27614.71</t>
  </si>
  <si>
    <t>$27619.360000000001</t>
  </si>
  <si>
    <t>$27625.17</t>
  </si>
  <si>
    <t>$27696.11</t>
  </si>
  <si>
    <t>$27724.29</t>
  </si>
  <si>
    <t>$27808.73</t>
  </si>
  <si>
    <t>$27849.94</t>
  </si>
  <si>
    <t>$27925.86</t>
  </si>
  <si>
    <t>$27931.11</t>
  </si>
  <si>
    <t>$27941.29</t>
  </si>
  <si>
    <t>$27980.77</t>
  </si>
  <si>
    <t>$28006.94</t>
  </si>
  <si>
    <t>$28101.33</t>
  </si>
  <si>
    <t>$28245.34</t>
  </si>
  <si>
    <t>$28287.9</t>
  </si>
  <si>
    <t>$28302.33</t>
  </si>
  <si>
    <t>$28340.19</t>
  </si>
  <si>
    <t>$28468.92</t>
  </si>
  <si>
    <t>$28476.73</t>
  </si>
  <si>
    <t>$28542.86</t>
  </si>
  <si>
    <t>$28716.14</t>
  </si>
  <si>
    <t>$28868.66</t>
  </si>
  <si>
    <t>$28923.14</t>
  </si>
  <si>
    <t>$28950.47</t>
  </si>
  <si>
    <t>$28998.68</t>
  </si>
  <si>
    <t>$29007.82</t>
  </si>
  <si>
    <t>$29114.21</t>
  </si>
  <si>
    <t>$29114.77</t>
  </si>
  <si>
    <t>$29141.360000000001</t>
  </si>
  <si>
    <t>$29160.39</t>
  </si>
  <si>
    <t>$29186.48</t>
  </si>
  <si>
    <t>$29227.599999999999</t>
  </si>
  <si>
    <t>$29330.98</t>
  </si>
  <si>
    <t>$29352.560000000001</t>
  </si>
  <si>
    <t>$29443.59</t>
  </si>
  <si>
    <t>$29523.17</t>
  </si>
  <si>
    <t>$29583.8</t>
  </si>
  <si>
    <t>$29622.69</t>
  </si>
  <si>
    <t>$29757.69</t>
  </si>
  <si>
    <t>$29760.6</t>
  </si>
  <si>
    <t>$29816.639999999999</t>
  </si>
  <si>
    <t>$29818.76</t>
  </si>
  <si>
    <t>$29852.48</t>
  </si>
  <si>
    <t>$29899.25</t>
  </si>
  <si>
    <t>$29929.56</t>
  </si>
  <si>
    <t>$29933.75</t>
  </si>
  <si>
    <t>$29969.67</t>
  </si>
  <si>
    <t>$30026.87</t>
  </si>
  <si>
    <t>$30063.58</t>
  </si>
  <si>
    <t>$30095.97</t>
  </si>
  <si>
    <t>$30134.75</t>
  </si>
  <si>
    <t>$30166.62</t>
  </si>
  <si>
    <t>$30184.94</t>
  </si>
  <si>
    <t>$30260</t>
  </si>
  <si>
    <t>$30284.639999999999</t>
  </si>
  <si>
    <t>$30328.27</t>
  </si>
  <si>
    <t>$30366.93</t>
  </si>
  <si>
    <t>$30409.53</t>
  </si>
  <si>
    <t>$30422.03</t>
  </si>
  <si>
    <t>$30457.37</t>
  </si>
  <si>
    <t>$30530.5</t>
  </si>
  <si>
    <t>$30625.65</t>
  </si>
  <si>
    <t>$30697.71</t>
  </si>
  <si>
    <t>$30724.44</t>
  </si>
  <si>
    <t>$30763.01</t>
  </si>
  <si>
    <t>$30942.19</t>
  </si>
  <si>
    <t>$31196.61</t>
  </si>
  <si>
    <t>$31234.560000000001</t>
  </si>
  <si>
    <t>$31322.53</t>
  </si>
  <si>
    <t>$31328.27</t>
  </si>
  <si>
    <t>$31368.81</t>
  </si>
  <si>
    <t>$31591.82</t>
  </si>
  <si>
    <t>$31620</t>
  </si>
  <si>
    <t>$31736.7</t>
  </si>
  <si>
    <t>$31743.919999999998</t>
  </si>
  <si>
    <t>$31897.1</t>
  </si>
  <si>
    <t>$31980.89</t>
  </si>
  <si>
    <t>$32086.21</t>
  </si>
  <si>
    <t>$32108.66</t>
  </si>
  <si>
    <t>$32192.76</t>
  </si>
  <si>
    <t>$32222.81</t>
  </si>
  <si>
    <t>$32259.96</t>
  </si>
  <si>
    <t>$32288.49</t>
  </si>
  <si>
    <t>$32428.63</t>
  </si>
  <si>
    <t>$32430.22</t>
  </si>
  <si>
    <t>$32462.35</t>
  </si>
  <si>
    <t>$32485.46</t>
  </si>
  <si>
    <t>$32548.34</t>
  </si>
  <si>
    <t>$32672.11</t>
  </si>
  <si>
    <t>$32686.080000000002</t>
  </si>
  <si>
    <t>$32716.2</t>
  </si>
  <si>
    <t>$32734.19</t>
  </si>
  <si>
    <t>$32760.48</t>
  </si>
  <si>
    <t>$32765.33</t>
  </si>
  <si>
    <t>$32787.46</t>
  </si>
  <si>
    <t>$32827.51</t>
  </si>
  <si>
    <t>$32906.69</t>
  </si>
  <si>
    <t>$32947.629999999997</t>
  </si>
  <si>
    <t>$33017.46</t>
  </si>
  <si>
    <t>$33025.32</t>
  </si>
  <si>
    <t>$33057.230000000003</t>
  </si>
  <si>
    <t>$33074.94</t>
  </si>
  <si>
    <t>$33090.660000000003</t>
  </si>
  <si>
    <t>$33121</t>
  </si>
  <si>
    <t>$33292.83</t>
  </si>
  <si>
    <t>$33307.550000000003</t>
  </si>
  <si>
    <t>$33344.449999999997</t>
  </si>
  <si>
    <t>$33450.99</t>
  </si>
  <si>
    <t>$33471.97</t>
  </si>
  <si>
    <t>$33475.82</t>
  </si>
  <si>
    <t>$33527.1</t>
  </si>
  <si>
    <t>$33611.71</t>
  </si>
  <si>
    <t>$33707.550000000003</t>
  </si>
  <si>
    <t>$33732.69</t>
  </si>
  <si>
    <t>$33750.29</t>
  </si>
  <si>
    <t>$33753.32</t>
  </si>
  <si>
    <t>$33829.39</t>
  </si>
  <si>
    <t>$33900.65</t>
  </si>
  <si>
    <t>$33907.550000000003</t>
  </si>
  <si>
    <t>$33975.47</t>
  </si>
  <si>
    <t>$34053.360000000001</t>
  </si>
  <si>
    <t>$34084.68</t>
  </si>
  <si>
    <t>$34166.269999999997</t>
  </si>
  <si>
    <t>$34205.07</t>
  </si>
  <si>
    <t>$34210.33</t>
  </si>
  <si>
    <t>$34218.019999999997</t>
  </si>
  <si>
    <t>$34254.050000000003</t>
  </si>
  <si>
    <t>$34289.43</t>
  </si>
  <si>
    <t>$34293.120000000003</t>
  </si>
  <si>
    <t>$34303.17</t>
  </si>
  <si>
    <t>$34307.22</t>
  </si>
  <si>
    <t>$34402.22</t>
  </si>
  <si>
    <t>$34439.86</t>
  </si>
  <si>
    <t>$34456.269999999997</t>
  </si>
  <si>
    <t>$34472.839999999997</t>
  </si>
  <si>
    <t>$34543.39</t>
  </si>
  <si>
    <t>$34617.839999999997</t>
  </si>
  <si>
    <t>$34672.15</t>
  </si>
  <si>
    <t>$34779.620000000003</t>
  </si>
  <si>
    <t>$34806.47</t>
  </si>
  <si>
    <t>$34828.65</t>
  </si>
  <si>
    <t>$34838.870000000003</t>
  </si>
  <si>
    <t>$34940.61</t>
  </si>
  <si>
    <t>$34975.68</t>
  </si>
  <si>
    <t>$34976.42</t>
  </si>
  <si>
    <t>$34979.86</t>
  </si>
  <si>
    <t>$35000.730000000003</t>
  </si>
  <si>
    <t>$35050.620000000003</t>
  </si>
  <si>
    <t>$35069.370000000003</t>
  </si>
  <si>
    <t>$35147.53</t>
  </si>
  <si>
    <t>$35160.129999999997</t>
  </si>
  <si>
    <t>$35302.089999999997</t>
  </si>
  <si>
    <t>$35315.96</t>
  </si>
  <si>
    <t>$35345.730000000003</t>
  </si>
  <si>
    <t>$35491.64</t>
  </si>
  <si>
    <t>$35517.19</t>
  </si>
  <si>
    <t>$35547.47</t>
  </si>
  <si>
    <t>$35547.72</t>
  </si>
  <si>
    <t>$35573.26</t>
  </si>
  <si>
    <t>$35583.17</t>
  </si>
  <si>
    <t>$35585.58</t>
  </si>
  <si>
    <t>$35595.589999999997</t>
  </si>
  <si>
    <t>$35701.9</t>
  </si>
  <si>
    <t>$35711.39</t>
  </si>
  <si>
    <t>$35733.96</t>
  </si>
  <si>
    <t>$35883.269999999997</t>
  </si>
  <si>
    <t>$35952.65</t>
  </si>
  <si>
    <t>$36021.01</t>
  </si>
  <si>
    <t>$36074.339999999997</t>
  </si>
  <si>
    <t>$36085.22</t>
  </si>
  <si>
    <t>$36090.49</t>
  </si>
  <si>
    <t>$36124.57</t>
  </si>
  <si>
    <t>$36149.480000000003</t>
  </si>
  <si>
    <t>$36182.870000000003</t>
  </si>
  <si>
    <t>$36189.1</t>
  </si>
  <si>
    <t>$36197.699999999997</t>
  </si>
  <si>
    <t>$36219.410000000003</t>
  </si>
  <si>
    <t>$36307.800000000003</t>
  </si>
  <si>
    <t>$36314.050000000003</t>
  </si>
  <si>
    <t>$36332.449999999997</t>
  </si>
  <si>
    <t>$36350.71</t>
  </si>
  <si>
    <t>$36397.58</t>
  </si>
  <si>
    <t>$36445.550000000003</t>
  </si>
  <si>
    <t>$36541.550000000003</t>
  </si>
  <si>
    <t>$36572.800000000003</t>
  </si>
  <si>
    <t>$36580.28</t>
  </si>
  <si>
    <t>$36786.370000000003</t>
  </si>
  <si>
    <t>$36795.29</t>
  </si>
  <si>
    <t>$36837.47</t>
  </si>
  <si>
    <t>$36889.99</t>
  </si>
  <si>
    <t>$36898.730000000003</t>
  </si>
  <si>
    <t>$36910.61</t>
  </si>
  <si>
    <t>$36911.99</t>
  </si>
  <si>
    <t>$36922.61</t>
  </si>
  <si>
    <t>$36935.64</t>
  </si>
  <si>
    <t>$36950.26</t>
  </si>
  <si>
    <t>$36976.449999999997</t>
  </si>
  <si>
    <t>$37040.879999999997</t>
  </si>
  <si>
    <t>$37076.370000000003</t>
  </si>
  <si>
    <t>$37079.370000000003</t>
  </si>
  <si>
    <t>$37133.9</t>
  </si>
  <si>
    <t>$37165.160000000003</t>
  </si>
  <si>
    <t>$37251.22</t>
  </si>
  <si>
    <t>$37270.15</t>
  </si>
  <si>
    <t>$37272.339999999997</t>
  </si>
  <si>
    <t>$37277.269999999997</t>
  </si>
  <si>
    <t>$37425.94</t>
  </si>
  <si>
    <t>$37465.339999999997</t>
  </si>
  <si>
    <t>$37484.449999999997</t>
  </si>
  <si>
    <t>$37607.53</t>
  </si>
  <si>
    <t>$37650.74</t>
  </si>
  <si>
    <t>$37675.06</t>
  </si>
  <si>
    <t>$37701.879999999997</t>
  </si>
  <si>
    <t>$37735.199999999997</t>
  </si>
  <si>
    <t>$37742.58</t>
  </si>
  <si>
    <t>$37800.980000000003</t>
  </si>
  <si>
    <t>$37829.72</t>
  </si>
  <si>
    <t>$38126.25</t>
  </si>
  <si>
    <t>$38189.1</t>
  </si>
  <si>
    <t>$38237.339999999997</t>
  </si>
  <si>
    <t>$38241.74</t>
  </si>
  <si>
    <t>$38245.589999999997</t>
  </si>
  <si>
    <t>$38282.75</t>
  </si>
  <si>
    <t>$38313.129999999997</t>
  </si>
  <si>
    <t>$38344.57</t>
  </si>
  <si>
    <t>$38389.79</t>
  </si>
  <si>
    <t>$38405.26</t>
  </si>
  <si>
    <t>$38415.47</t>
  </si>
  <si>
    <t>$38511.629999999997</t>
  </si>
  <si>
    <t>$38652.089999999997</t>
  </si>
  <si>
    <t>$38709.18</t>
  </si>
  <si>
    <t>$38711</t>
  </si>
  <si>
    <t>$38740.120000000003</t>
  </si>
  <si>
    <t>$38746.36</t>
  </si>
  <si>
    <t>$38792.69</t>
  </si>
  <si>
    <t>$38836.980000000003</t>
  </si>
  <si>
    <t>$38869.25</t>
  </si>
  <si>
    <t>$38893.360000000001</t>
  </si>
  <si>
    <t>$38924.04</t>
  </si>
  <si>
    <t>$38932.559999999998</t>
  </si>
  <si>
    <t>$38947.43</t>
  </si>
  <si>
    <t>$38998.550000000003</t>
  </si>
  <si>
    <t>$39047.29</t>
  </si>
  <si>
    <t>$39125.33</t>
  </si>
  <si>
    <t>$39221.120000000003</t>
  </si>
  <si>
    <t>$39241.440000000002</t>
  </si>
  <si>
    <t>$39315.279999999999</t>
  </si>
  <si>
    <t>$39352.6</t>
  </si>
  <si>
    <t>$39396.86</t>
  </si>
  <si>
    <t>$39556.49</t>
  </si>
  <si>
    <t>$39597.410000000003</t>
  </si>
  <si>
    <t>$39611.760000000002</t>
  </si>
  <si>
    <t>$39670.44</t>
  </si>
  <si>
    <t>$39721.93</t>
  </si>
  <si>
    <t>$39722.75</t>
  </si>
  <si>
    <t>$39725.519999999997</t>
  </si>
  <si>
    <t>$39727.61</t>
  </si>
  <si>
    <t>$39774.28</t>
  </si>
  <si>
    <t>$39836.519999999997</t>
  </si>
  <si>
    <t>$39865.699999999997</t>
  </si>
  <si>
    <t>$39871.699999999997</t>
  </si>
  <si>
    <t>$39963.120000000003</t>
  </si>
  <si>
    <t>$39983.43</t>
  </si>
  <si>
    <t>$40003.33</t>
  </si>
  <si>
    <t>$40054.730000000003</t>
  </si>
  <si>
    <t>$40069.440000000002</t>
  </si>
  <si>
    <t>$40103.89</t>
  </si>
  <si>
    <t>$40182.25</t>
  </si>
  <si>
    <t>$40204.83</t>
  </si>
  <si>
    <t>$40208.559999999998</t>
  </si>
  <si>
    <t>$40273.65</t>
  </si>
  <si>
    <t>$40284.379999999997</t>
  </si>
  <si>
    <t>$40309.93</t>
  </si>
  <si>
    <t>$40373.74</t>
  </si>
  <si>
    <t>$40419.019999999997</t>
  </si>
  <si>
    <t>$40590.550000000003</t>
  </si>
  <si>
    <t>$40692.910000000003</t>
  </si>
  <si>
    <t>$40720.550000000003</t>
  </si>
  <si>
    <t>$40817.85</t>
  </si>
  <si>
    <t>$40904.199999999997</t>
  </si>
  <si>
    <t>$40932.43</t>
  </si>
  <si>
    <t>$40941.29</t>
  </si>
  <si>
    <t>$40961.29</t>
  </si>
  <si>
    <t>$40974.160000000003</t>
  </si>
  <si>
    <t>$41034.22</t>
  </si>
  <si>
    <t>$41055.29</t>
  </si>
  <si>
    <t>$41097.160000000003</t>
  </si>
  <si>
    <t>$41191.57</t>
  </si>
  <si>
    <t>$41250.39</t>
  </si>
  <si>
    <t>$41271.5</t>
  </si>
  <si>
    <t>$41331.79</t>
  </si>
  <si>
    <t>$41351.879999999997</t>
  </si>
  <si>
    <t>$41505.15</t>
  </si>
  <si>
    <t>$41636.199999999997</t>
  </si>
  <si>
    <t>$41661.599999999999</t>
  </si>
  <si>
    <t>$41676.080000000002</t>
  </si>
  <si>
    <t>$41681.86</t>
  </si>
  <si>
    <t>$41794.629999999997</t>
  </si>
  <si>
    <t>$41886.54</t>
  </si>
  <si>
    <t>$41919.1</t>
  </si>
  <si>
    <t>$41949.24</t>
  </si>
  <si>
    <t>$41999.519999999997</t>
  </si>
  <si>
    <t>$42111.66</t>
  </si>
  <si>
    <t>$42112.24</t>
  </si>
  <si>
    <t>$42124.52</t>
  </si>
  <si>
    <t>$42188.15</t>
  </si>
  <si>
    <t>$42211.14</t>
  </si>
  <si>
    <t>$42303.69</t>
  </si>
  <si>
    <t>$42478.6</t>
  </si>
  <si>
    <t>$42538.720000000001</t>
  </si>
  <si>
    <t>$42560.43</t>
  </si>
  <si>
    <t>$42644.2</t>
  </si>
  <si>
    <t>$42760.5</t>
  </si>
  <si>
    <t>$42764.12</t>
  </si>
  <si>
    <t>$42856.84</t>
  </si>
  <si>
    <t>$42969.85</t>
  </si>
  <si>
    <t>$42983.46</t>
  </si>
  <si>
    <t>$43073.760000000002</t>
  </si>
  <si>
    <t>$43254.42</t>
  </si>
  <si>
    <t>$43578.94</t>
  </si>
  <si>
    <t>$43753.34</t>
  </si>
  <si>
    <t>$43813.87</t>
  </si>
  <si>
    <t>$43817.45</t>
  </si>
  <si>
    <t>$43896.38</t>
  </si>
  <si>
    <t>$43921.18</t>
  </si>
  <si>
    <t>$43943.88</t>
  </si>
  <si>
    <t>$44202.65</t>
  </si>
  <si>
    <t>$44260.75</t>
  </si>
  <si>
    <t>$44400.41</t>
  </si>
  <si>
    <t>$44423.8</t>
  </si>
  <si>
    <t>$44501.4</t>
  </si>
  <si>
    <t>$44585.46</t>
  </si>
  <si>
    <t>$44641.2</t>
  </si>
  <si>
    <t>$45008.959999999999</t>
  </si>
  <si>
    <t>$45702.02</t>
  </si>
  <si>
    <t>$45710.21</t>
  </si>
  <si>
    <t>$45863.21</t>
  </si>
  <si>
    <t>$46113.51</t>
  </si>
  <si>
    <t>$46130.53</t>
  </si>
  <si>
    <t>$46151.12</t>
  </si>
  <si>
    <t>$46200.99</t>
  </si>
  <si>
    <t>$46255.11</t>
  </si>
  <si>
    <t>$46599.11</t>
  </si>
  <si>
    <t>$46661.440000000002</t>
  </si>
  <si>
    <t>$46718.16</t>
  </si>
  <si>
    <t>$46889.26</t>
  </si>
  <si>
    <t>$47055.53</t>
  </si>
  <si>
    <t>$47269.85</t>
  </si>
  <si>
    <t>$47291.06</t>
  </si>
  <si>
    <t>$47305.31</t>
  </si>
  <si>
    <t>$47403.88</t>
  </si>
  <si>
    <t>$47462.89</t>
  </si>
  <si>
    <t>$47496.49</t>
  </si>
  <si>
    <t>$47896.79</t>
  </si>
  <si>
    <t>$47928.03</t>
  </si>
  <si>
    <t>$48173.36</t>
  </si>
  <si>
    <t>$48517.56</t>
  </si>
  <si>
    <t>$48549.18</t>
  </si>
  <si>
    <t>$48673.56</t>
  </si>
  <si>
    <t>$48675.519999999997</t>
  </si>
  <si>
    <t>$48824.45</t>
  </si>
  <si>
    <t>$48885.14</t>
  </si>
  <si>
    <t>$48970.25</t>
  </si>
  <si>
    <t>$49577.66</t>
  </si>
  <si>
    <t>$51194.559999999998</t>
  </si>
  <si>
    <t>$52590.83</t>
  </si>
  <si>
    <t>$55135.4</t>
  </si>
  <si>
    <t>$58571.07</t>
  </si>
  <si>
    <t>$60021.4</t>
  </si>
  <si>
    <t>$62592.87</t>
  </si>
  <si>
    <t>$63770.43</t>
  </si>
  <si>
    <t>Weight Status</t>
  </si>
  <si>
    <t>Over weight</t>
  </si>
  <si>
    <t>Diabetes Status</t>
  </si>
  <si>
    <t>Date of Birth</t>
  </si>
  <si>
    <t>Age</t>
  </si>
  <si>
    <t>Row Labels</t>
  </si>
  <si>
    <t>(blank)</t>
  </si>
  <si>
    <t>Grand Total</t>
  </si>
  <si>
    <t>Column Labels</t>
  </si>
  <si>
    <t>Count of Cancer history</t>
  </si>
  <si>
    <t>Sum of HBA1C</t>
  </si>
  <si>
    <t>Normal weight</t>
  </si>
  <si>
    <t>Obesity</t>
  </si>
  <si>
    <t>Diabetes</t>
  </si>
  <si>
    <t>Normal</t>
  </si>
  <si>
    <t>Prediabetes</t>
  </si>
  <si>
    <t>Count of $charges</t>
  </si>
  <si>
    <t>Sum of NumberOfMajorSurgeries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</si>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</sst>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49" fontId="0" fillId="0" borderId="0" xfId="0" applyNumberFormat="1"/>
    <xf numFmtId="14" fontId="0" fillId="0" borderId="0" xfId="0" applyNumberFormat="1"/>
    <xf numFmtId="0" fontId="2" fillId="2" borderId="2" xfId="0" applyNumberFormat="1" applyFont="1" applyFill="1" applyBorder="1"/>
    <xf numFmtId="0" fontId="2" fillId="2" borderId="2" xfId="0" applyFont="1" applyFill="1" applyBorder="1" applyAlignment="1">
      <alignment horizontal="right"/>
    </xf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0" fillId="0" borderId="0" xfId="0" pivotButton="1"/>
    <xf numFmtId="0" fontId="0" fillId="4" borderId="0" xfId="0" applyFill="1"/>
    <xf numFmtId="0" fontId="4" fillId="4" borderId="0" xfId="0" applyFont="1" applyFill="1"/>
  </cellXfs>
  <cellStyles count="2">
    <cellStyle name="Normal" xfId="0" builtinId="0"/>
    <cellStyle name="Normal 2" xfId="1" xr:uid="{00000000-0005-0000-0000-000001000000}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[Assignment-3 Healthcare.xlsx]Sheet4!PivotTable1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1-4663-98DB-D2AC384BA9F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[Assignment-3 Healthcare.xlsx]Sheet4!PivotTable2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Sheet4!$F$3</c:f>
              <c:strCache>
                <c:ptCount val="1"/>
                <c:pt idx="0">
                  <c:v>Sum of NumberOfMajorSurgeries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Sheet4!$E$4:$E$7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Sheet4!$F$4:$F$7</c:f>
              <c:numCache>
                <c:formatCode>General</c:formatCode>
                <c:ptCount val="3"/>
                <c:pt idx="0">
                  <c:v>47</c:v>
                </c:pt>
                <c:pt idx="1">
                  <c:v>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E-4E3A-B0A3-FF67C65D3837}"/>
            </c:ext>
          </c:extLst>
        </c:ser>
        <c:ser>
          <c:idx val="1"/>
          <c:order val="1"/>
          <c:tx>
            <c:strRef>
              <c:f>Sheet4!$G$3</c:f>
              <c:strCache>
                <c:ptCount val="1"/>
                <c:pt idx="0">
                  <c:v>Sum of HBA1C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Sheet4!$E$4:$E$7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Sheet4!$G$4:$G$7</c:f>
              <c:numCache>
                <c:formatCode>General</c:formatCode>
                <c:ptCount val="3"/>
                <c:pt idx="0">
                  <c:v>450.52999999999986</c:v>
                </c:pt>
                <c:pt idx="1">
                  <c:v>4.1900000000000004</c:v>
                </c:pt>
                <c:pt idx="2">
                  <c:v>6436.6300000000028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BE-4E3A-B0A3-FF67C65D3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[Assignment-3 Healthcare.xlsx]Sheet4!PivotTable3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658092738407697"/>
          <c:y val="0.15999562554680666"/>
          <c:w val="0.68203018372703417"/>
          <c:h val="0.6585309128025663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Sheet4!$J$3:$J$4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Sheet4!$I$5:$I$9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(blank)</c:v>
                </c:pt>
              </c:strCache>
            </c:strRef>
          </c:cat>
          <c:val>
            <c:numRef>
              <c:f>Sheet4!$J$5:$J$9</c:f>
              <c:numCache>
                <c:formatCode>General</c:formatCode>
                <c:ptCount val="4"/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0-48C8-8570-58C94CE2E47C}"/>
            </c:ext>
          </c:extLst>
        </c:ser>
        <c:ser>
          <c:idx val="1"/>
          <c:order val="1"/>
          <c:tx>
            <c:strRef>
              <c:f>Sheet4!$K$3:$K$4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Sheet4!$I$5:$I$9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(blank)</c:v>
                </c:pt>
              </c:strCache>
            </c:strRef>
          </c:cat>
          <c:val>
            <c:numRef>
              <c:f>Sheet4!$K$5:$K$9</c:f>
              <c:numCache>
                <c:formatCode>General</c:formatCode>
                <c:ptCount val="4"/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D0-48C8-8570-58C94CE2E47C}"/>
            </c:ext>
          </c:extLst>
        </c:ser>
        <c:ser>
          <c:idx val="2"/>
          <c:order val="2"/>
          <c:tx>
            <c:strRef>
              <c:f>Sheet4!$L$3:$L$4</c:f>
              <c:strCache>
                <c:ptCount val="1"/>
                <c:pt idx="0">
                  <c:v>Prediabetes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Sheet4!$I$5:$I$9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(blank)</c:v>
                </c:pt>
              </c:strCache>
            </c:strRef>
          </c:cat>
          <c:val>
            <c:numRef>
              <c:f>Sheet4!$L$5:$L$9</c:f>
              <c:numCache>
                <c:formatCode>General</c:formatCode>
                <c:ptCount val="4"/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D0-48C8-8570-58C94CE2E47C}"/>
            </c:ext>
          </c:extLst>
        </c:ser>
        <c:ser>
          <c:idx val="3"/>
          <c:order val="3"/>
          <c:tx>
            <c:strRef>
              <c:f>Sheet4!$M$3:$M$4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Sheet4!$I$5:$I$9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(blank)</c:v>
                </c:pt>
              </c:strCache>
            </c:strRef>
          </c:cat>
          <c:val>
            <c:numRef>
              <c:f>Sheet4!$M$5:$M$9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3-65D0-48C8-8570-58C94CE2E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66082239"/>
        <c:axId val="666069343"/>
      </c:barChart>
      <c:catAx>
        <c:axId val="666082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069343"/>
        <c:crosses val="autoZero"/>
        <c:auto val="1"/>
        <c:lblAlgn val="ctr"/>
        <c:lblOffset val="100"/>
        <c:noMultiLvlLbl val="0"/>
      </c:catAx>
      <c:valAx>
        <c:axId val="666069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08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[Assignment-3 Healthcare.xlsx]Sheet4!PivotTable6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Sheet4!$I$19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Sheet4!$H$20:$H$34</c:f>
              <c:strCache>
                <c:ptCount val="14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(blank)</c:v>
                </c:pt>
              </c:strCache>
            </c:strRef>
          </c:cat>
          <c:val>
            <c:numRef>
              <c:f>Sheet4!$I$20:$I$34</c:f>
              <c:numCache>
                <c:formatCode>General</c:formatCode>
                <c:ptCount val="14"/>
                <c:pt idx="0">
                  <c:v>17</c:v>
                </c:pt>
                <c:pt idx="1">
                  <c:v>9</c:v>
                </c:pt>
                <c:pt idx="2">
                  <c:v>12</c:v>
                </c:pt>
                <c:pt idx="3">
                  <c:v>5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4</c:v>
                </c:pt>
                <c:pt idx="11">
                  <c:v>6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00-404D-9438-BFE6BB885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1447359"/>
        <c:axId val="373025184"/>
      </c:lineChart>
      <c:catAx>
        <c:axId val="110144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25184"/>
        <c:crosses val="autoZero"/>
        <c:auto val="1"/>
        <c:lblAlgn val="ctr"/>
        <c:lblOffset val="100"/>
        <c:noMultiLvlLbl val="0"/>
      </c:catAx>
      <c:valAx>
        <c:axId val="3730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44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[Assignment-3 Healthcare.xlsx]Sheet4!PivotTable3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Sheet4!$J$3:$J$4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Sheet4!$I$5:$I$9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(blank)</c:v>
                </c:pt>
              </c:strCache>
            </c:strRef>
          </c:cat>
          <c:val>
            <c:numRef>
              <c:f>Sheet4!$J$5:$J$9</c:f>
              <c:numCache>
                <c:formatCode>General</c:formatCode>
                <c:ptCount val="4"/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B-49C0-9881-D3887224CDD8}"/>
            </c:ext>
          </c:extLst>
        </c:ser>
        <c:ser>
          <c:idx val="1"/>
          <c:order val="1"/>
          <c:tx>
            <c:strRef>
              <c:f>Sheet4!$K$3:$K$4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Sheet4!$I$5:$I$9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(blank)</c:v>
                </c:pt>
              </c:strCache>
            </c:strRef>
          </c:cat>
          <c:val>
            <c:numRef>
              <c:f>Sheet4!$K$5:$K$9</c:f>
              <c:numCache>
                <c:formatCode>General</c:formatCode>
                <c:ptCount val="4"/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5B-49C0-9881-D3887224CDD8}"/>
            </c:ext>
          </c:extLst>
        </c:ser>
        <c:ser>
          <c:idx val="2"/>
          <c:order val="2"/>
          <c:tx>
            <c:strRef>
              <c:f>Sheet4!$L$3:$L$4</c:f>
              <c:strCache>
                <c:ptCount val="1"/>
                <c:pt idx="0">
                  <c:v>Prediabetes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Sheet4!$I$5:$I$9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(blank)</c:v>
                </c:pt>
              </c:strCache>
            </c:strRef>
          </c:cat>
          <c:val>
            <c:numRef>
              <c:f>Sheet4!$L$5:$L$9</c:f>
              <c:numCache>
                <c:formatCode>General</c:formatCode>
                <c:ptCount val="4"/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5B-49C0-9881-D3887224CDD8}"/>
            </c:ext>
          </c:extLst>
        </c:ser>
        <c:ser>
          <c:idx val="3"/>
          <c:order val="3"/>
          <c:tx>
            <c:strRef>
              <c:f>Sheet4!$M$3:$M$4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Sheet4!$I$5:$I$9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(blank)</c:v>
                </c:pt>
              </c:strCache>
            </c:strRef>
          </c:cat>
          <c:val>
            <c:numRef>
              <c:f>Sheet4!$M$5:$M$9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3-E05B-49C0-9881-D3887224C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2631552"/>
        <c:axId val="492623232"/>
      </c:barChart>
      <c:catAx>
        <c:axId val="49263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623232"/>
        <c:crosses val="autoZero"/>
        <c:auto val="1"/>
        <c:lblAlgn val="ctr"/>
        <c:lblOffset val="100"/>
        <c:noMultiLvlLbl val="0"/>
      </c:catAx>
      <c:valAx>
        <c:axId val="49262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63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[Assignment-3 Healthcare.xlsx]Sheet4!PivotTable1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22-4491-8B50-6F32ABB3CF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22-4491-8B50-6F32ABB3CF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22-4491-8B50-6F32ABB3CF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22-4491-8B50-6F32ABB3CF0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[Assignment-3 Healthcare.xlsx]Sheet4!PivotTable2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Sheet4!$F$3</c:f>
              <c:strCache>
                <c:ptCount val="1"/>
                <c:pt idx="0">
                  <c:v>Sum of NumberOfMajorSurgeries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7B-4E91-803F-C3443EB70A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7B-4E91-803F-C3443EB70A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B7B-4E91-803F-C3443EB70ADD}"/>
              </c:ext>
            </c:extLst>
          </c:dPt>
          <c:cat>
            <c:strRef>
              <c:f>Sheet4!$E$4:$E$7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Sheet4!$F$4:$F$7</c:f>
              <c:numCache>
                <c:formatCode>General</c:formatCode>
                <c:ptCount val="3"/>
                <c:pt idx="0">
                  <c:v>47</c:v>
                </c:pt>
                <c:pt idx="1">
                  <c:v>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7B-4E91-803F-C3443EB70ADD}"/>
            </c:ext>
          </c:extLst>
        </c:ser>
        <c:ser>
          <c:idx val="1"/>
          <c:order val="1"/>
          <c:tx>
            <c:strRef>
              <c:f>Sheet4!$G$3</c:f>
              <c:strCache>
                <c:ptCount val="1"/>
                <c:pt idx="0">
                  <c:v>Sum of HBA1C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B7B-4E91-803F-C3443EB70A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5B7B-4E91-803F-C3443EB70A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B7B-4E91-803F-C3443EB70ADD}"/>
              </c:ext>
            </c:extLst>
          </c:dPt>
          <c:cat>
            <c:strRef>
              <c:f>Sheet4!$E$4:$E$7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Sheet4!$G$4:$G$7</c:f>
              <c:numCache>
                <c:formatCode>General</c:formatCode>
                <c:ptCount val="3"/>
                <c:pt idx="0">
                  <c:v>450.52999999999986</c:v>
                </c:pt>
                <c:pt idx="1">
                  <c:v>4.1900000000000004</c:v>
                </c:pt>
                <c:pt idx="2">
                  <c:v>6436.6300000000028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B7B-4E91-803F-C3443EB70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[Assignment-3 Healthcare.xlsx]Sheet4!PivotTable3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658092738407697"/>
          <c:y val="0.15999562554680666"/>
          <c:w val="0.68203018372703417"/>
          <c:h val="0.6585309128025663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Sheet4!$J$3:$J$4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Sheet4!$I$5:$I$9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(blank)</c:v>
                </c:pt>
              </c:strCache>
            </c:strRef>
          </c:cat>
          <c:val>
            <c:numRef>
              <c:f>Sheet4!$J$5:$J$9</c:f>
              <c:numCache>
                <c:formatCode>General</c:formatCode>
                <c:ptCount val="4"/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13-4054-A509-08876FDF068E}"/>
            </c:ext>
          </c:extLst>
        </c:ser>
        <c:ser>
          <c:idx val="1"/>
          <c:order val="1"/>
          <c:tx>
            <c:strRef>
              <c:f>Sheet4!$K$3:$K$4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Sheet4!$I$5:$I$9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(blank)</c:v>
                </c:pt>
              </c:strCache>
            </c:strRef>
          </c:cat>
          <c:val>
            <c:numRef>
              <c:f>Sheet4!$K$5:$K$9</c:f>
              <c:numCache>
                <c:formatCode>General</c:formatCode>
                <c:ptCount val="4"/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13-4054-A509-08876FDF068E}"/>
            </c:ext>
          </c:extLst>
        </c:ser>
        <c:ser>
          <c:idx val="2"/>
          <c:order val="2"/>
          <c:tx>
            <c:strRef>
              <c:f>Sheet4!$L$3:$L$4</c:f>
              <c:strCache>
                <c:ptCount val="1"/>
                <c:pt idx="0">
                  <c:v>Prediabetes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Sheet4!$I$5:$I$9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(blank)</c:v>
                </c:pt>
              </c:strCache>
            </c:strRef>
          </c:cat>
          <c:val>
            <c:numRef>
              <c:f>Sheet4!$L$5:$L$9</c:f>
              <c:numCache>
                <c:formatCode>General</c:formatCode>
                <c:ptCount val="4"/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13-4054-A509-08876FDF068E}"/>
            </c:ext>
          </c:extLst>
        </c:ser>
        <c:ser>
          <c:idx val="3"/>
          <c:order val="3"/>
          <c:tx>
            <c:strRef>
              <c:f>Sheet4!$M$3:$M$4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Sheet4!$I$5:$I$9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(blank)</c:v>
                </c:pt>
              </c:strCache>
            </c:strRef>
          </c:cat>
          <c:val>
            <c:numRef>
              <c:f>Sheet4!$M$5:$M$9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3-7C13-4054-A509-08876FDF0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66082239"/>
        <c:axId val="666069343"/>
      </c:barChart>
      <c:catAx>
        <c:axId val="666082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069343"/>
        <c:crosses val="autoZero"/>
        <c:auto val="1"/>
        <c:lblAlgn val="ctr"/>
        <c:lblOffset val="100"/>
        <c:noMultiLvlLbl val="0"/>
      </c:catAx>
      <c:valAx>
        <c:axId val="666069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08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[Assignment-3 Healthcare.xlsx]Sheet4!PivotTable6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Sheet4!$I$19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Sheet4!$H$20:$H$34</c:f>
              <c:strCache>
                <c:ptCount val="14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(blank)</c:v>
                </c:pt>
              </c:strCache>
            </c:strRef>
          </c:cat>
          <c:val>
            <c:numRef>
              <c:f>Sheet4!$I$20:$I$34</c:f>
              <c:numCache>
                <c:formatCode>General</c:formatCode>
                <c:ptCount val="14"/>
                <c:pt idx="0">
                  <c:v>17</c:v>
                </c:pt>
                <c:pt idx="1">
                  <c:v>9</c:v>
                </c:pt>
                <c:pt idx="2">
                  <c:v>12</c:v>
                </c:pt>
                <c:pt idx="3">
                  <c:v>5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4</c:v>
                </c:pt>
                <c:pt idx="11">
                  <c:v>6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7-4E5F-B7A5-D69219CAA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1447359"/>
        <c:axId val="373025184"/>
      </c:lineChart>
      <c:catAx>
        <c:axId val="110144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25184"/>
        <c:crosses val="autoZero"/>
        <c:auto val="1"/>
        <c:lblAlgn val="ctr"/>
        <c:lblOffset val="100"/>
        <c:noMultiLvlLbl val="0"/>
      </c:catAx>
      <c:valAx>
        <c:axId val="3730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44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[Assignment-3 Healthcare.xlsx]Sheet4!PivotTable3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Sheet4!$J$3:$J$4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Sheet4!$I$5:$I$9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(blank)</c:v>
                </c:pt>
              </c:strCache>
            </c:strRef>
          </c:cat>
          <c:val>
            <c:numRef>
              <c:f>Sheet4!$J$5:$J$9</c:f>
              <c:numCache>
                <c:formatCode>General</c:formatCode>
                <c:ptCount val="4"/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A-4027-867F-14D3839450A9}"/>
            </c:ext>
          </c:extLst>
        </c:ser>
        <c:ser>
          <c:idx val="1"/>
          <c:order val="1"/>
          <c:tx>
            <c:strRef>
              <c:f>Sheet4!$K$3:$K$4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Sheet4!$I$5:$I$9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(blank)</c:v>
                </c:pt>
              </c:strCache>
            </c:strRef>
          </c:cat>
          <c:val>
            <c:numRef>
              <c:f>Sheet4!$K$5:$K$9</c:f>
              <c:numCache>
                <c:formatCode>General</c:formatCode>
                <c:ptCount val="4"/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4A-4027-867F-14D3839450A9}"/>
            </c:ext>
          </c:extLst>
        </c:ser>
        <c:ser>
          <c:idx val="2"/>
          <c:order val="2"/>
          <c:tx>
            <c:strRef>
              <c:f>Sheet4!$L$3:$L$4</c:f>
              <c:strCache>
                <c:ptCount val="1"/>
                <c:pt idx="0">
                  <c:v>Prediabetes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Sheet4!$I$5:$I$9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(blank)</c:v>
                </c:pt>
              </c:strCache>
            </c:strRef>
          </c:cat>
          <c:val>
            <c:numRef>
              <c:f>Sheet4!$L$5:$L$9</c:f>
              <c:numCache>
                <c:formatCode>General</c:formatCode>
                <c:ptCount val="4"/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4A-4027-867F-14D3839450A9}"/>
            </c:ext>
          </c:extLst>
        </c:ser>
        <c:ser>
          <c:idx val="3"/>
          <c:order val="3"/>
          <c:tx>
            <c:strRef>
              <c:f>Sheet4!$M$3:$M$4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Sheet4!$I$5:$I$9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 weight</c:v>
                </c:pt>
                <c:pt idx="3">
                  <c:v>(blank)</c:v>
                </c:pt>
              </c:strCache>
            </c:strRef>
          </c:cat>
          <c:val>
            <c:numRef>
              <c:f>Sheet4!$M$5:$M$9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3-404A-4027-867F-14D383945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2631552"/>
        <c:axId val="492623232"/>
      </c:barChart>
      <c:catAx>
        <c:axId val="49263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623232"/>
        <c:crosses val="autoZero"/>
        <c:auto val="1"/>
        <c:lblAlgn val="ctr"/>
        <c:lblOffset val="100"/>
        <c:noMultiLvlLbl val="0"/>
      </c:catAx>
      <c:valAx>
        <c:axId val="49262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63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3</xdr:col>
      <xdr:colOff>66675</xdr:colOff>
      <xdr:row>17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7DAF56-E384-4D94-907F-3BED3397F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266700</xdr:colOff>
      <xdr:row>7</xdr:row>
      <xdr:rowOff>47624</xdr:rowOff>
    </xdr:from>
    <xdr:to>
      <xdr:col>6</xdr:col>
      <xdr:colOff>542925</xdr:colOff>
      <xdr:row>17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5B07F1-C015-4CE0-9274-29CA170C0C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266699</xdr:colOff>
      <xdr:row>25</xdr:row>
      <xdr:rowOff>76200</xdr:rowOff>
    </xdr:from>
    <xdr:to>
      <xdr:col>5</xdr:col>
      <xdr:colOff>219074</xdr:colOff>
      <xdr:row>34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FA57CE-D97A-4A2C-97AB-B07562DE9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209550</xdr:colOff>
      <xdr:row>34</xdr:row>
      <xdr:rowOff>19050</xdr:rowOff>
    </xdr:from>
    <xdr:to>
      <xdr:col>6</xdr:col>
      <xdr:colOff>885825</xdr:colOff>
      <xdr:row>43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5D12DC5-B813-4D5E-85B1-4BB396DA7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19050</xdr:colOff>
      <xdr:row>10</xdr:row>
      <xdr:rowOff>95249</xdr:rowOff>
    </xdr:from>
    <xdr:to>
      <xdr:col>13</xdr:col>
      <xdr:colOff>800100</xdr:colOff>
      <xdr:row>23</xdr:row>
      <xdr:rowOff>123824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FD93294-CAAE-4DD6-93B5-2304B0125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6</xdr:col>
      <xdr:colOff>285750</xdr:colOff>
      <xdr:row>13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3CC5F1-3C90-4119-BC15-71CDB26AAB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542925</xdr:colOff>
      <xdr:row>4</xdr:row>
      <xdr:rowOff>19050</xdr:rowOff>
    </xdr:from>
    <xdr:to>
      <xdr:col>13</xdr:col>
      <xdr:colOff>123825</xdr:colOff>
      <xdr:row>13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C2AA47-79E2-4968-93BD-86B3FB1A25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16</xdr:row>
      <xdr:rowOff>0</xdr:rowOff>
    </xdr:from>
    <xdr:to>
      <xdr:col>9</xdr:col>
      <xdr:colOff>219075</xdr:colOff>
      <xdr:row>24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4D997D-B723-4272-986F-8999EA7C7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16</xdr:row>
      <xdr:rowOff>0</xdr:rowOff>
    </xdr:from>
    <xdr:to>
      <xdr:col>15</xdr:col>
      <xdr:colOff>323850</xdr:colOff>
      <xdr:row>25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5A96F0-38E4-48A8-BAB5-1B8D590BD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361950</xdr:colOff>
      <xdr:row>4</xdr:row>
      <xdr:rowOff>19050</xdr:rowOff>
    </xdr:from>
    <xdr:to>
      <xdr:col>18</xdr:col>
      <xdr:colOff>552450</xdr:colOff>
      <xdr:row>15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E07D736-E268-4D77-99D1-8ADE2CDC5D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83.906189236113" createdVersion="7" refreshedVersion="7" minRefreshableVersion="3" recordCount="2343" xr:uid="{52330D1E-1EB8-47A5-9D96-31BC01683DB4}">
  <cacheSource type="worksheet">
    <worksheetSource ref="A1:Q2344" sheet="Healthcare"/>
  </cacheSource>
  <cacheFields count="17">
    <cacheField name="Customer ID" numFmtId="0">
      <sharedItems/>
    </cacheField>
    <cacheField name="First Name" numFmtId="0">
      <sharedItems containsBlank="1"/>
    </cacheField>
    <cacheField name="BMI" numFmtId="0">
      <sharedItems containsString="0" containsBlank="1" containsNumber="1" minValue="16.05" maxValue="55.05" count="743">
        <n v="47.41"/>
        <n v="30.36"/>
        <n v="34.484999999999999"/>
        <n v="38.094999999999999"/>
        <n v="35.53"/>
        <n v="32.799999999999997"/>
        <n v="36.4"/>
        <n v="36.96"/>
        <n v="41.14"/>
        <n v="38.06"/>
        <n v="37.700000000000003"/>
        <n v="42.13"/>
        <n v="40.92"/>
        <n v="40.564999999999998"/>
        <n v="36.384999999999998"/>
        <n v="39.9"/>
        <n v="33.799999999999997"/>
        <n v="36.765000000000001"/>
        <n v="36.954999999999998"/>
        <n v="42.9"/>
        <n v="36.299999999999997"/>
        <n v="32.200000000000003"/>
        <n v="31.3"/>
        <n v="41.8"/>
        <n v="35.090000000000003"/>
        <n v="33.880000000000003"/>
        <n v="30.875"/>
        <n v="36.86"/>
        <n v="35.86"/>
        <n v="37.049999999999997"/>
        <n v="43.89"/>
        <n v="42.35"/>
        <n v="31.35"/>
        <n v="47.6"/>
        <n v="46.2"/>
        <n v="32.015000000000001"/>
        <n v="32.450000000000003"/>
        <n v="34.96"/>
        <n v="35.5"/>
        <n v="52.58"/>
        <n v="35.200000000000003"/>
        <n v="34.21"/>
        <n v="38.94"/>
        <n v="30.21"/>
        <n v="33.630000000000003"/>
        <n v="40.369999999999997"/>
        <n v="53.09"/>
        <n v="31.79"/>
        <n v="41.895000000000003"/>
        <n v="31.16"/>
        <n v="34.104999999999997"/>
        <n v="51.93"/>
        <n v="38.950000000000003"/>
        <n v="36.630000000000003"/>
        <n v="34.200000000000003"/>
        <n v="50.63"/>
        <n v="36.479999999999997"/>
        <n v="54.82"/>
        <n v="51.48"/>
        <n v="52.06"/>
        <n v="30.684999999999999"/>
        <n v="36.08"/>
        <n v="54.99"/>
        <n v="35.97"/>
        <n v="45.54"/>
        <n v="30.8"/>
        <n v="38.39"/>
        <n v="32.299999999999997"/>
        <n v="48.8"/>
        <n v="45.5"/>
        <n v="53.61"/>
        <n v="36.19"/>
        <n v="34.6"/>
        <n v="54.12"/>
        <n v="48.82"/>
        <n v="51.01"/>
        <n v="45.65"/>
        <n v="52.9"/>
        <n v="45.41"/>
        <n v="49.41"/>
        <n v="31.824999999999999"/>
        <n v="51.28"/>
        <n v="33.11"/>
        <n v="54.74"/>
        <n v="32.56"/>
        <n v="39.049999999999997"/>
        <n v="42.75"/>
        <n v="50.58"/>
        <n v="30.495000000000001"/>
        <n v="48.31"/>
        <n v="48.99"/>
        <n v="44.34"/>
        <n v="41.51"/>
        <n v="48.2"/>
        <n v="35.75"/>
        <n v="53.81"/>
        <n v="49.48"/>
        <n v="34.1"/>
        <n v="35.299999999999997"/>
        <n v="43.83"/>
        <n v="50.07"/>
        <n v="32.774999999999999"/>
        <n v="48.93"/>
        <n v="37.07"/>
        <n v="51.51"/>
        <n v="34.799999999999997"/>
        <n v="36.67"/>
        <n v="30.9"/>
        <n v="44.88"/>
        <n v="44.32"/>
        <n v="46.39"/>
        <n v="30.78"/>
        <n v="41.46"/>
        <n v="48"/>
        <n v="49.13"/>
        <n v="37.799999999999997"/>
        <n v="38.299999999999997"/>
        <n v="30.2"/>
        <n v="48.32"/>
        <n v="44.86"/>
        <n v="52.15"/>
        <n v="41.12"/>
        <n v="46.85"/>
        <n v="42.24"/>
        <n v="34.39"/>
        <n v="42.89"/>
        <n v="53.62"/>
        <n v="33.4"/>
        <n v="42.71"/>
        <n v="41.52"/>
        <n v="39.4"/>
        <n v="46.45"/>
        <n v="26.07"/>
        <n v="36.54"/>
        <n v="51.64"/>
        <n v="42.83"/>
        <n v="40.15"/>
        <n v="27.8"/>
        <n v="45.81"/>
        <n v="34.43"/>
        <n v="41.33"/>
        <n v="31.92"/>
        <n v="39.799999999999997"/>
        <n v="42.82"/>
        <n v="35.625"/>
        <n v="42.69"/>
        <n v="37.869999999999997"/>
        <n v="40.61"/>
        <n v="49.49"/>
        <n v="37.619999999999997"/>
        <n v="33.5"/>
        <n v="47.46"/>
        <n v="49.24"/>
        <n v="54.4"/>
        <n v="39.729999999999997"/>
        <n v="35.68"/>
        <n v="48.86"/>
        <n v="32.49"/>
        <n v="39"/>
        <n v="33.42"/>
        <n v="37.18"/>
        <n v="33.33"/>
        <n v="53.21"/>
        <n v="38.729999999999997"/>
        <n v="29.73"/>
        <n v="34.700000000000003"/>
        <n v="38.28"/>
        <n v="33.57"/>
        <n v="38.17"/>
        <n v="34.4"/>
        <n v="31.73"/>
        <n v="36.64"/>
        <n v="36.85"/>
        <n v="39.14"/>
        <n v="32.9"/>
        <n v="29.78"/>
        <n v="32.78"/>
        <n v="41.65"/>
        <n v="50.79"/>
        <n v="35.43"/>
        <n v="35.25"/>
        <n v="31.02"/>
        <n v="35.6"/>
        <n v="29.06"/>
        <n v="35.799999999999997"/>
        <n v="49.8"/>
        <n v="35.71"/>
        <n v="33.69"/>
        <n v="42.27"/>
        <n v="53.25"/>
        <n v="26.8"/>
        <n v="28.5"/>
        <n v="22.895"/>
        <n v="34.06"/>
        <n v="36.409999999999997"/>
        <n v="52.3"/>
        <n v="52.66"/>
        <n v="29.57"/>
        <n v="36.99"/>
        <n v="31.4"/>
        <n v="34.9"/>
        <n v="31.13"/>
        <n v="31.68"/>
        <n v="33.534999999999997"/>
        <n v="32.700000000000003"/>
        <n v="41.25"/>
        <n v="36.159999999999997"/>
        <n v="33.72"/>
        <n v="37.74"/>
        <n v="48.75"/>
        <n v="31.065000000000001"/>
        <n v="23.55"/>
        <n v="30.18"/>
        <n v="29.94"/>
        <n v="53.06"/>
        <n v="30.25"/>
        <n v="46.68"/>
        <n v="30.4"/>
        <n v="51.18"/>
        <n v="22.18"/>
        <n v="45.52"/>
        <n v="52.81"/>
        <n v="33.58"/>
        <n v="37.524999999999999"/>
        <n v="34.5"/>
        <n v="28.16"/>
        <n v="30.02"/>
        <n v="37.82"/>
        <n v="33.14"/>
        <n v="25.14"/>
        <n v="20.18"/>
        <n v="44.36"/>
        <n v="23.82"/>
        <n v="45"/>
        <n v="26.62"/>
        <n v="32.67"/>
        <n v="44.44"/>
        <n v="28.31"/>
        <n v="25.05"/>
        <n v="28.34"/>
        <n v="17.765000000000001"/>
        <n v="36.119999999999997"/>
        <n v="23.19"/>
        <n v="35.99"/>
        <n v="26.24"/>
        <n v="31.36"/>
        <n v="25.69"/>
        <n v="25.46"/>
        <n v="31.83"/>
        <n v="24.43"/>
        <n v="41.9"/>
        <n v="22.88"/>
        <n v="29.734999999999999"/>
        <n v="40.74"/>
        <n v="24.14"/>
        <n v="25.15"/>
        <n v="28.71"/>
        <n v="23"/>
        <n v="24.25"/>
        <n v="23.85"/>
        <n v="40.020000000000003"/>
        <n v="19.170000000000002"/>
        <n v="43.53"/>
        <n v="46.06"/>
        <n v="29.92"/>
        <n v="28.46"/>
        <n v="24.56"/>
        <n v="41.19"/>
        <n v="18.63"/>
        <n v="26.26"/>
        <n v="22.37"/>
        <n v="39.619999999999997"/>
        <n v="18.329999999999998"/>
        <n v="17.11"/>
        <n v="43.5"/>
        <n v="25.364999999999998"/>
        <n v="28.594999999999999"/>
        <n v="29.83"/>
        <n v="24.7"/>
        <n v="17.940000000000001"/>
        <n v="21.08"/>
        <n v="37.715000000000003"/>
        <n v="22.39"/>
        <n v="28.78"/>
        <n v="26.39"/>
        <n v="19.260000000000002"/>
        <n v="26.92"/>
        <n v="19.73"/>
        <n v="23.56"/>
        <n v="37.67"/>
        <n v="18.73"/>
        <n v="33.090000000000003"/>
        <n v="27.74"/>
        <n v="24.2"/>
        <n v="22.03"/>
        <n v="26.885000000000002"/>
        <n v="16.36"/>
        <n v="16.05"/>
        <n v="29.07"/>
        <n v="17.43"/>
        <n v="19.329999999999998"/>
        <n v="30.52"/>
        <n v="39.21"/>
        <n v="26.98"/>
        <n v="25.84"/>
        <n v="23.94"/>
        <n v="20.03"/>
        <n v="41.42"/>
        <n v="27.645"/>
        <n v="22.72"/>
        <n v="36.520000000000003"/>
        <n v="33.96"/>
        <n v="26.695"/>
        <n v="18.45"/>
        <n v="33.18"/>
        <n v="36.1"/>
        <n v="22.77"/>
        <n v="21.24"/>
        <n v="17.600000000000001"/>
        <n v="26.29"/>
        <n v="35.31"/>
        <n v="27.04"/>
        <n v="30.23"/>
        <n v="30.6"/>
        <n v="16.86"/>
        <n v="16.3"/>
        <n v="29.81"/>
        <n v="16.329999999999998"/>
        <n v="16.37"/>
        <n v="22.42"/>
        <n v="31.9"/>
        <n v="28.975000000000001"/>
        <n v="24.86"/>
        <n v="19.54"/>
        <n v="26.74"/>
        <n v="22.99"/>
        <n v="31.46"/>
        <n v="30.86"/>
        <n v="31.96"/>
        <n v="23.76"/>
        <n v="19.38"/>
        <n v="16.21"/>
        <n v="32.54"/>
        <n v="35.909999999999997"/>
        <n v="32.06"/>
        <n v="24.1"/>
        <n v="27.1"/>
        <n v="24.42"/>
        <n v="27.79"/>
        <n v="32.68"/>
        <n v="26.4"/>
        <n v="23.655000000000001"/>
        <n v="27.36"/>
        <n v="27.82"/>
        <n v="25.1"/>
        <n v="32.11"/>
        <n v="29.8"/>
        <n v="24.01"/>
        <n v="23.21"/>
        <n v="21.2"/>
        <n v="28.215"/>
        <n v="22.61"/>
        <n v="24.32"/>
        <n v="20.96"/>
        <n v="19.68"/>
        <n v="18.100000000000001"/>
        <n v="29.64"/>
        <n v="25.3"/>
        <n v="27.6"/>
        <n v="25.08"/>
        <n v="22.2"/>
        <n v="25.71"/>
        <n v="41.91"/>
        <n v="25.85"/>
        <n v="23.844999999999999"/>
        <n v="30.59"/>
        <n v="24.795000000000002"/>
        <n v="24.13"/>
        <n v="28"/>
        <n v="26.125"/>
        <n v="25.6"/>
        <n v="24.984999999999999"/>
        <n v="33.1"/>
        <n v="27.83"/>
        <n v="27.265000000000001"/>
        <n v="26.7"/>
        <n v="29.925000000000001"/>
        <n v="19.95"/>
        <n v="24.225000000000001"/>
        <n v="28.12"/>
        <n v="23.98"/>
        <n v="30"/>
        <n v="17.350000000000001"/>
        <n v="22.704999999999998"/>
        <n v="25.41"/>
        <n v="18.23"/>
        <n v="37.4"/>
        <n v="25.27"/>
        <n v="55.05"/>
        <n v="24.89"/>
        <n v="18.715"/>
        <n v="26.6"/>
        <n v="30.114999999999998"/>
        <n v="24.605"/>
        <n v="29.6"/>
        <n v="20.9"/>
        <n v="28.3"/>
        <n v="54.3"/>
        <n v="33.344999999999999"/>
        <n v="33"/>
        <n v="28.024999999999999"/>
        <n v="28.69"/>
        <n v="40.28"/>
        <n v="37.299999999999997"/>
        <n v="54.47"/>
        <n v="51.47"/>
        <n v="49.77"/>
        <n v="25.555"/>
        <n v="53.93"/>
        <n v="27.5"/>
        <n v="21.8"/>
        <n v="26.41"/>
        <n v="27.835000000000001"/>
        <n v="51.74"/>
        <n v="23.37"/>
        <n v="29.7"/>
        <n v="20.045000000000002"/>
        <n v="28.93"/>
        <n v="33.82"/>
        <n v="20.234999999999999"/>
        <n v="49.2"/>
        <n v="28.38"/>
        <n v="24.64"/>
        <n v="39.71"/>
        <n v="22.22"/>
        <n v="51.37"/>
        <n v="25.9"/>
        <n v="35.72"/>
        <n v="27.94"/>
        <n v="18.3"/>
        <n v="38.83"/>
        <n v="46.4"/>
        <n v="51.92"/>
        <n v="32.395000000000003"/>
        <n v="46.19"/>
        <n v="27.93"/>
        <n v="45.62"/>
        <n v="20.13"/>
        <n v="49.05"/>
        <n v="51.94"/>
        <n v="22.6"/>
        <n v="46.69"/>
        <n v="28.49"/>
        <n v="24.4"/>
        <n v="29.15"/>
        <n v="27.28"/>
        <n v="32.229999999999997"/>
        <n v="44.2"/>
        <n v="46.62"/>
        <n v="51.75"/>
        <n v="25.7"/>
        <n v="53.98"/>
        <n v="41.325000000000003"/>
        <n v="51.65"/>
        <n v="44.52"/>
        <n v="53.29"/>
        <n v="46.63"/>
        <n v="28.88"/>
        <n v="23.65"/>
        <n v="49.09"/>
        <n v="43.32"/>
        <n v="45.92"/>
        <n v="44.03"/>
        <n v="24.6"/>
        <n v="49.15"/>
        <n v="42.02"/>
        <n v="49.07"/>
        <n v="19.8"/>
        <n v="42.95"/>
        <n v="42.66"/>
        <n v="26.84"/>
        <n v="27.06"/>
        <n v="47.13"/>
        <n v="51.72"/>
        <n v="48.59"/>
        <n v="45.18"/>
        <n v="27.9"/>
        <n v="51.33"/>
        <n v="39.229999999999997"/>
        <n v="19.094999999999999"/>
        <n v="49.72"/>
        <n v="21.754999999999999"/>
        <n v="48.39"/>
        <n v="47.15"/>
        <n v="47.59"/>
        <n v="39.81"/>
        <n v="24.75"/>
        <n v="26.03"/>
        <n v="40.24"/>
        <n v="43.15"/>
        <n v="27.7"/>
        <n v="45.68"/>
        <n v="27.3"/>
        <n v="54.45"/>
        <n v="54.43"/>
        <n v="48.01"/>
        <n v="54.85"/>
        <n v="21.85"/>
        <n v="51.86"/>
        <n v="46.43"/>
        <n v="53.63"/>
        <n v="48.7"/>
        <n v="48.81"/>
        <n v="47.53"/>
        <n v="29.3"/>
        <n v="19.3"/>
        <n v="46.7"/>
        <n v="45.27"/>
        <n v="44.29"/>
        <n v="54.59"/>
        <n v="32.965000000000003"/>
        <n v="38.049999999999997"/>
        <n v="46.14"/>
        <n v="44.64"/>
        <n v="25.175000000000001"/>
        <n v="43.11"/>
        <n v="53.32"/>
        <n v="38.04"/>
        <n v="37.9"/>
        <n v="39.6"/>
        <n v="50.92"/>
        <n v="40.44"/>
        <n v="44.95"/>
        <n v="35.54"/>
        <n v="33.659999999999997"/>
        <n v="41.63"/>
        <n v="46.49"/>
        <n v="43.29"/>
        <n v="43.08"/>
        <n v="39.07"/>
        <n v="41.3"/>
        <n v="46.96"/>
        <n v="17.954999999999998"/>
        <n v="39.74"/>
        <n v="49.53"/>
        <n v="39.33"/>
        <n v="39.979999999999997"/>
        <n v="46.51"/>
        <n v="43.58"/>
        <n v="42.28"/>
        <n v="35.520000000000003"/>
        <n v="33.6"/>
        <n v="46.86"/>
        <n v="39.340000000000003"/>
        <n v="47"/>
        <n v="36.71"/>
        <n v="53.48"/>
        <n v="36.979999999999997"/>
        <n v="32.729999999999997"/>
        <n v="20.52"/>
        <n v="50.2"/>
        <n v="25.52"/>
        <n v="41.26"/>
        <n v="17.195"/>
        <n v="23.085000000000001"/>
        <n v="21.66"/>
        <n v="36.47"/>
        <n v="23.18"/>
        <n v="39.159999999999997"/>
        <n v="38.19"/>
        <n v="28.785"/>
        <n v="35.869999999999997"/>
        <n v="37.72"/>
        <n v="39.700000000000003"/>
        <n v="37.85"/>
        <n v="39.369999999999997"/>
        <n v="40.880000000000003"/>
        <n v="26.22"/>
        <n v="39.1"/>
        <n v="37.905000000000001"/>
        <n v="43.35"/>
        <n v="36.15"/>
        <n v="44.98"/>
        <n v="39.51"/>
        <n v="50.46"/>
        <n v="32.1"/>
        <n v="27.72"/>
        <n v="48.36"/>
        <n v="31.445"/>
        <n v="27.55"/>
        <n v="45.34"/>
        <n v="31.8"/>
        <n v="41.02"/>
        <n v="21.7"/>
        <n v="40.479999999999997"/>
        <n v="45.9"/>
        <n v="33.479999999999997"/>
        <n v="21.565000000000001"/>
        <n v="35.590000000000003"/>
        <n v="43.44"/>
        <n v="44.55"/>
        <n v="31.23"/>
        <n v="42.81"/>
        <n v="36.65"/>
        <n v="22.04"/>
        <n v="53.58"/>
        <n v="34.299999999999997"/>
        <n v="31.78"/>
        <n v="46.89"/>
        <n v="39.35"/>
        <n v="39.200000000000003"/>
        <n v="44.1"/>
        <n v="33.200000000000003"/>
        <n v="25"/>
        <n v="38.869999999999997"/>
        <n v="21.09"/>
        <n v="52.41"/>
        <n v="41.47"/>
        <n v="42.06"/>
        <n v="39.270000000000003"/>
        <n v="30.71"/>
        <n v="47.19"/>
        <n v="37.909999999999997"/>
        <n v="54.61"/>
        <n v="36.005000000000003"/>
        <n v="28.7"/>
        <n v="34.295000000000002"/>
        <n v="40.700000000000003"/>
        <n v="18.335000000000001"/>
        <n v="33.914999999999999"/>
        <n v="51.14"/>
        <n v="44"/>
        <n v="41.45"/>
        <n v="34.56"/>
        <n v="28.2"/>
        <n v="30.43"/>
        <n v="24.035"/>
        <n v="37.119999999999997"/>
        <n v="34.840000000000003"/>
        <n v="29.53"/>
        <n v="42.51"/>
        <n v="38.14"/>
        <n v="39.93"/>
        <n v="21.4"/>
        <n v="38.380000000000003"/>
        <n v="41.2"/>
        <n v="28.81"/>
        <n v="37.409999999999997"/>
        <n v="52.54"/>
        <n v="17.29"/>
        <n v="31.74"/>
        <n v="26.504999999999999"/>
        <n v="28.22"/>
        <n v="35"/>
        <n v="36.24"/>
        <n v="42.74"/>
        <n v="36.130000000000003"/>
        <n v="31.55"/>
        <n v="52.75"/>
        <n v="38"/>
        <n v="35.1"/>
        <n v="37.43"/>
        <n v="30.5"/>
        <n v="24.53"/>
        <n v="25.74"/>
        <n v="34.08"/>
        <n v="26.79"/>
        <n v="42.78"/>
        <n v="46.75"/>
        <n v="32.15"/>
        <n v="43.4"/>
        <n v="31.57"/>
        <n v="31.07"/>
        <n v="35.814999999999998"/>
        <n v="40.81"/>
        <n v="21.47"/>
        <n v="52.89"/>
        <n v="36.799999999999997"/>
        <n v="35.244999999999997"/>
        <n v="26.23"/>
        <n v="37.1"/>
        <n v="26.78"/>
        <n v="45.8"/>
        <n v="29"/>
        <n v="37.51"/>
        <n v="39.86"/>
        <n v="29.91"/>
        <n v="33.44"/>
        <n v="27.17"/>
        <n v="35.380000000000003"/>
        <n v="43.48"/>
        <n v="41.73"/>
        <n v="28.9"/>
        <n v="36.06"/>
        <n v="43.28"/>
        <n v="38.25"/>
        <n v="39.25"/>
        <n v="35.700000000000003"/>
        <n v="20.100000000000001"/>
        <n v="22.23"/>
        <n v="49.64"/>
        <n v="32.01"/>
        <n v="34.865000000000002"/>
        <n v="30.305"/>
        <n v="21.78"/>
        <n v="30.14"/>
        <n v="25.2"/>
        <n v="35.409999999999997"/>
        <n v="34.479999999999997"/>
        <n v="28.1"/>
        <n v="27"/>
        <n v="23.75"/>
        <n v="35.619999999999997"/>
        <n v="30.69"/>
        <n v="25.87"/>
        <n v="43.7"/>
        <n v="40.945"/>
        <n v="31.64"/>
        <n v="31.24"/>
        <n v="39.22"/>
        <n v="24.414999999999999"/>
        <n v="39.94"/>
        <n v="35.340000000000003"/>
        <n v="32.204999999999998"/>
        <n v="26.63"/>
        <n v="25.65"/>
        <n v="34.69"/>
        <n v="37.68"/>
        <n v="35.49"/>
        <n v="44.7"/>
        <n v="49.84"/>
        <n v="49.06"/>
        <n v="30.88"/>
        <n v="33.35"/>
        <n v="34.01"/>
        <n v="31.54"/>
        <n v="23.3"/>
        <n v="27.75"/>
        <n v="42.46"/>
        <n v="24.93"/>
        <n v="48.12"/>
        <n v="24.91"/>
        <m/>
      </sharedItems>
    </cacheField>
    <cacheField name="HBA1C" numFmtId="0">
      <sharedItems containsString="0" containsBlank="1" containsNumber="1" minValue="4.01" maxValue="11.99" count="526">
        <n v="7.47"/>
        <n v="5.77"/>
        <n v="11.87"/>
        <n v="6.05"/>
        <n v="5.45"/>
        <n v="6.59"/>
        <n v="6.07"/>
        <n v="7.93"/>
        <n v="9.58"/>
        <n v="10.79"/>
        <n v="5.96"/>
        <n v="11.9"/>
        <n v="8.41"/>
        <n v="7.02"/>
        <n v="7.59"/>
        <n v="11.32"/>
        <n v="7.67"/>
        <n v="7.29"/>
        <n v="4.72"/>
        <n v="11.41"/>
        <n v="11.5"/>
        <n v="6.22"/>
        <n v="11.38"/>
        <n v="7.89"/>
        <n v="4.38"/>
        <n v="7.01"/>
        <n v="11.88"/>
        <n v="5.19"/>
        <n v="6.74"/>
        <n v="8.44"/>
        <n v="8.7100000000000009"/>
        <n v="5.08"/>
        <n v="6.86"/>
        <n v="5.95"/>
        <n v="6.09"/>
        <n v="11.75"/>
        <n v="7.37"/>
        <n v="11.91"/>
        <n v="6.52"/>
        <n v="5.14"/>
        <n v="4.1900000000000004"/>
        <n v="11.68"/>
        <n v="6.98"/>
        <n v="8.34"/>
        <n v="8.49"/>
        <n v="5.34"/>
        <n v="4.43"/>
        <n v="4.47"/>
        <n v="4.82"/>
        <n v="5.51"/>
        <n v="10.87"/>
        <n v="9.34"/>
        <n v="5.03"/>
        <n v="11.05"/>
        <n v="11.95"/>
        <n v="7.72"/>
        <n v="5.75"/>
        <n v="11.89"/>
        <n v="6.2"/>
        <n v="10.61"/>
        <n v="6.04"/>
        <n v="9.33"/>
        <n v="11.47"/>
        <n v="8.8000000000000007"/>
        <n v="8.68"/>
        <n v="6.12"/>
        <n v="5.4"/>
        <n v="4.3600000000000003"/>
        <n v="9.77"/>
        <n v="4.25"/>
        <n v="4.76"/>
        <n v="7.96"/>
        <n v="10.92"/>
        <n v="11.51"/>
        <n v="5.99"/>
        <n v="11.57"/>
        <n v="6.67"/>
        <n v="9.1999999999999993"/>
        <n v="5.1100000000000003"/>
        <n v="4.03"/>
        <n v="4.2300000000000004"/>
        <n v="4.0599999999999996"/>
        <n v="4.68"/>
        <n v="4.34"/>
        <n v="10.51"/>
        <n v="5.84"/>
        <n v="5.41"/>
        <n v="6.06"/>
        <n v="4.22"/>
        <n v="5.12"/>
        <n v="4.57"/>
        <n v="9.7799999999999994"/>
        <n v="4.1100000000000003"/>
        <n v="4.0199999999999996"/>
        <n v="6.92"/>
        <n v="4.84"/>
        <n v="8"/>
        <n v="8.77"/>
        <n v="4.96"/>
        <n v="5.82"/>
        <n v="6.03"/>
        <n v="9.27"/>
        <n v="5.53"/>
        <n v="5.07"/>
        <n v="11.17"/>
        <n v="6.14"/>
        <n v="6.26"/>
        <n v="5.18"/>
        <n v="9.4"/>
        <n v="6.29"/>
        <n v="10.55"/>
        <n v="5.09"/>
        <n v="5.2"/>
        <n v="8.4499999999999993"/>
        <n v="9.5399999999999991"/>
        <n v="4.99"/>
        <n v="10.54"/>
        <n v="4.54"/>
        <n v="9.51"/>
        <n v="5.91"/>
        <n v="5.65"/>
        <n v="7.54"/>
        <n v="5.55"/>
        <n v="5.78"/>
        <n v="5.28"/>
        <n v="5.39"/>
        <n v="8.01"/>
        <n v="5.21"/>
        <n v="6.27"/>
        <n v="10.73"/>
        <n v="10.52"/>
        <n v="11.82"/>
        <n v="6.76"/>
        <n v="5.62"/>
        <n v="5.32"/>
        <n v="4.46"/>
        <n v="5.76"/>
        <n v="10.82"/>
        <n v="4.01"/>
        <n v="4.21"/>
        <n v="5.42"/>
        <n v="4.28"/>
        <n v="8.9"/>
        <n v="4.8899999999999997"/>
        <n v="4.29"/>
        <n v="4.67"/>
        <n v="4.5"/>
        <n v="6.32"/>
        <n v="6.1"/>
        <n v="6.24"/>
        <n v="4.45"/>
        <n v="5.22"/>
        <n v="4.6100000000000003"/>
        <n v="10.039999999999999"/>
        <n v="11.4"/>
        <n v="5.7"/>
        <n v="10.67"/>
        <n v="6.75"/>
        <n v="9.26"/>
        <n v="4.2699999999999996"/>
        <n v="7.22"/>
        <n v="4.37"/>
        <n v="11.56"/>
        <n v="8.82"/>
        <n v="4.6900000000000004"/>
        <n v="4.53"/>
        <n v="4.9000000000000004"/>
        <n v="4.3"/>
        <n v="11.34"/>
        <n v="5.88"/>
        <n v="5.01"/>
        <n v="4.4000000000000004"/>
        <n v="10.27"/>
        <n v="5.27"/>
        <n v="5.25"/>
        <n v="11.12"/>
        <n v="4.5599999999999996"/>
        <n v="8.7200000000000006"/>
        <n v="6.25"/>
        <n v="7.32"/>
        <n v="4.24"/>
        <n v="6.84"/>
        <n v="5.23"/>
        <n v="9.68"/>
        <n v="6.11"/>
        <n v="10.93"/>
        <n v="5.72"/>
        <n v="11.83"/>
        <n v="4.55"/>
        <n v="4.87"/>
        <n v="9.42"/>
        <n v="5.37"/>
        <n v="4.5999999999999996"/>
        <n v="4.5199999999999996"/>
        <n v="6.18"/>
        <n v="6.23"/>
        <n v="5.33"/>
        <n v="4.09"/>
        <n v="4.12"/>
        <n v="5.0999999999999996"/>
        <n v="6.21"/>
        <n v="9.5299999999999994"/>
        <n v="4.6399999999999997"/>
        <n v="5.05"/>
        <n v="10.38"/>
        <n v="8.31"/>
        <n v="5.49"/>
        <n v="9.9"/>
        <n v="5.73"/>
        <n v="5.56"/>
        <n v="8.23"/>
        <n v="9.0299999999999994"/>
        <n v="4.07"/>
        <n v="5.98"/>
        <n v="6.01"/>
        <n v="5.67"/>
        <n v="6.02"/>
        <n v="11.19"/>
        <n v="10.85"/>
        <n v="5.24"/>
        <n v="10.08"/>
        <n v="10.97"/>
        <n v="8.18"/>
        <n v="7.66"/>
        <n v="5.58"/>
        <n v="10.6"/>
        <n v="4.78"/>
        <n v="11.55"/>
        <n v="4.26"/>
        <n v="5.9"/>
        <n v="7.79"/>
        <n v="5.87"/>
        <n v="9.08"/>
        <n v="5.48"/>
        <n v="8.6999999999999993"/>
        <n v="7.84"/>
        <n v="5.86"/>
        <n v="4.18"/>
        <n v="11.99"/>
        <n v="4.8499999999999996"/>
        <n v="6.37"/>
        <n v="9.81"/>
        <n v="11.8"/>
        <n v="4.16"/>
        <n v="4.9800000000000004"/>
        <n v="6.38"/>
        <n v="10.210000000000001"/>
        <n v="9.6999999999999993"/>
        <n v="10.25"/>
        <n v="4.83"/>
        <n v="10.86"/>
        <n v="5.68"/>
        <n v="5.57"/>
        <n v="4.58"/>
        <n v="8.9600000000000009"/>
        <n v="11.74"/>
        <n v="5.89"/>
        <n v="10.64"/>
        <n v="7.46"/>
        <n v="6.15"/>
        <n v="9.86"/>
        <n v="4.3499999999999996"/>
        <n v="8.66"/>
        <n v="8.64"/>
        <n v="5.04"/>
        <n v="8.83"/>
        <n v="8.4700000000000006"/>
        <n v="4.2"/>
        <n v="5.71"/>
        <n v="9.07"/>
        <n v="4.79"/>
        <n v="11.39"/>
        <n v="6"/>
        <n v="5.13"/>
        <n v="5.26"/>
        <n v="9.0399999999999991"/>
        <n v="4.0999999999999996"/>
        <n v="6.48"/>
        <n v="11.66"/>
        <n v="7.26"/>
        <n v="4.33"/>
        <n v="7.63"/>
        <n v="8.92"/>
        <n v="4.3099999999999996"/>
        <n v="10.46"/>
        <n v="7.39"/>
        <n v="8.86"/>
        <n v="10.96"/>
        <n v="6.28"/>
        <n v="11.14"/>
        <n v="9.0500000000000007"/>
        <n v="11.31"/>
        <n v="9.5"/>
        <n v="10.84"/>
        <n v="6.97"/>
        <n v="8.24"/>
        <n v="8.26"/>
        <n v="6.13"/>
        <n v="10.47"/>
        <n v="4.04"/>
        <n v="5.74"/>
        <n v="6.33"/>
        <n v="9.4700000000000006"/>
        <n v="11.03"/>
        <n v="9.52"/>
        <n v="11.09"/>
        <n v="9.4499999999999993"/>
        <n v="10.16"/>
        <n v="11.71"/>
        <n v="6.85"/>
        <n v="7.05"/>
        <n v="11.64"/>
        <n v="8.56"/>
        <n v="10.5"/>
        <n v="6.39"/>
        <n v="5.52"/>
        <n v="4.88"/>
        <n v="10.53"/>
        <n v="9.7200000000000006"/>
        <n v="5.29"/>
        <n v="4.8600000000000003"/>
        <n v="4.4400000000000004"/>
        <n v="8.1"/>
        <n v="7.16"/>
        <n v="5.47"/>
        <n v="4.1500000000000004"/>
        <n v="4.49"/>
        <n v="9.6"/>
        <n v="4.93"/>
        <n v="4.92"/>
        <n v="5.8"/>
        <n v="6.17"/>
        <n v="5.36"/>
        <n v="10.9"/>
        <n v="5.83"/>
        <n v="5.5"/>
        <n v="5.81"/>
        <n v="4.08"/>
        <n v="4.4800000000000004"/>
        <n v="5.46"/>
        <n v="5.0199999999999996"/>
        <n v="6.36"/>
        <n v="8.3699999999999992"/>
        <n v="7.31"/>
        <n v="6.87"/>
        <n v="6.47"/>
        <n v="10.43"/>
        <n v="4.6500000000000004"/>
        <n v="6.35"/>
        <n v="8.51"/>
        <n v="8.59"/>
        <n v="4.13"/>
        <n v="5.3"/>
        <n v="5.35"/>
        <n v="8.3800000000000008"/>
        <n v="7.03"/>
        <n v="8.75"/>
        <n v="9.36"/>
        <n v="4.8099999999999996"/>
        <n v="8.08"/>
        <n v="9.9499999999999993"/>
        <n v="5.16"/>
        <n v="10.44"/>
        <n v="5.69"/>
        <n v="6.5"/>
        <n v="7"/>
        <n v="6.19"/>
        <n v="7.71"/>
        <n v="4.63"/>
        <n v="11.43"/>
        <n v="7.65"/>
        <n v="10.119999999999999"/>
        <n v="4.7699999999999996"/>
        <n v="6.83"/>
        <n v="5.6"/>
        <n v="4.8"/>
        <n v="4.7300000000000004"/>
        <n v="7.3"/>
        <n v="8.2799999999999994"/>
        <n v="6.72"/>
        <n v="4.71"/>
        <n v="6.7"/>
        <n v="10.99"/>
        <n v="9.66"/>
        <n v="11.78"/>
        <n v="9.6199999999999992"/>
        <n v="10.78"/>
        <n v="7.18"/>
        <n v="5.0599999999999996"/>
        <n v="7.76"/>
        <n v="9.32"/>
        <n v="5.31"/>
        <n v="7.11"/>
        <n v="10.199999999999999"/>
        <n v="10.4"/>
        <n v="11.97"/>
        <n v="6.71"/>
        <n v="11.92"/>
        <n v="11.93"/>
        <n v="9.59"/>
        <n v="10.95"/>
        <n v="9.17"/>
        <n v="9.1300000000000008"/>
        <n v="9.4600000000000009"/>
        <n v="8.69"/>
        <n v="9.16"/>
        <n v="11.25"/>
        <n v="6.68"/>
        <n v="8.74"/>
        <n v="5.64"/>
        <n v="10.37"/>
        <n v="9.56"/>
        <n v="5.97"/>
        <n v="10.33"/>
        <n v="10.49"/>
        <n v="8.11"/>
        <n v="6.6"/>
        <n v="10.14"/>
        <n v="9.91"/>
        <n v="4.1399999999999997"/>
        <n v="9.83"/>
        <n v="11.08"/>
        <n v="11.01"/>
        <n v="6.79"/>
        <n v="8.0500000000000007"/>
        <n v="5.94"/>
        <n v="6.55"/>
        <n v="5.79"/>
        <n v="6.57"/>
        <n v="11.61"/>
        <n v="8.16"/>
        <n v="9.02"/>
        <n v="8.06"/>
        <n v="11.37"/>
        <n v="10.3"/>
        <n v="4.74"/>
        <n v="4.95"/>
        <n v="7.12"/>
        <n v="9.1199999999999992"/>
        <n v="11.76"/>
        <n v="7.06"/>
        <n v="11.35"/>
        <n v="7.86"/>
        <n v="10.48"/>
        <n v="9.06"/>
        <n v="11.07"/>
        <n v="10.45"/>
        <n v="8.6300000000000008"/>
        <n v="7.49"/>
        <n v="9.2200000000000006"/>
        <n v="5.59"/>
        <n v="6.65"/>
        <n v="6.9"/>
        <n v="11.52"/>
        <n v="11.24"/>
        <n v="10.98"/>
        <n v="8.48"/>
        <n v="6.94"/>
        <n v="4.05"/>
        <n v="10.220000000000001"/>
        <n v="9.24"/>
        <n v="8.6"/>
        <n v="9.19"/>
        <n v="7.19"/>
        <n v="9.39"/>
        <n v="8.2100000000000009"/>
        <n v="11.86"/>
        <n v="11.46"/>
        <n v="11.33"/>
        <n v="7.69"/>
        <n v="4.91"/>
        <n v="10.8"/>
        <n v="7.21"/>
        <n v="4.62"/>
        <n v="7.68"/>
        <n v="7.51"/>
        <n v="8.07"/>
        <n v="8.9499999999999993"/>
        <n v="6.31"/>
        <n v="8.25"/>
        <n v="8.1300000000000008"/>
        <n v="10.1"/>
        <n v="4.97"/>
        <n v="7.58"/>
        <n v="11"/>
        <n v="6.66"/>
        <n v="8.81"/>
        <n v="7.92"/>
        <n v="7.48"/>
        <n v="10.58"/>
        <n v="7.82"/>
        <n v="11.21"/>
        <n v="10.62"/>
        <n v="10.7"/>
        <n v="10.02"/>
        <n v="4.3899999999999997"/>
        <n v="11.84"/>
        <n v="4.66"/>
        <n v="11.11"/>
        <n v="11.96"/>
        <n v="4.41"/>
        <n v="9.1"/>
        <n v="9.8800000000000008"/>
        <n v="9.65"/>
        <n v="11.1"/>
        <n v="4.75"/>
        <n v="9.2899999999999991"/>
        <n v="5.63"/>
        <n v="5.43"/>
        <n v="8.33"/>
        <n v="7.23"/>
        <n v="10.57"/>
        <n v="7.91"/>
        <n v="7.42"/>
        <n v="9.89"/>
        <n v="5.61"/>
        <n v="7.74"/>
        <n v="11.49"/>
        <n v="7.6"/>
        <n v="8.5"/>
        <n v="11.22"/>
        <n v="11.3"/>
        <n v="9.18"/>
        <n v="4.51"/>
        <n v="7.33"/>
        <m/>
      </sharedItems>
    </cacheField>
    <cacheField name="Heart Issues" numFmtId="0">
      <sharedItems containsBlank="1"/>
    </cacheField>
    <cacheField name="Any Transplants" numFmtId="0">
      <sharedItems containsBlank="1" count="3">
        <s v="No"/>
        <s v="yes"/>
        <m/>
      </sharedItems>
    </cacheField>
    <cacheField name="Cancer history" numFmtId="0">
      <sharedItems containsBlank="1" count="3">
        <s v="No"/>
        <s v="Yes"/>
        <m/>
      </sharedItems>
    </cacheField>
    <cacheField name="NumberOfMajorSurgeries" numFmtId="0">
      <sharedItems containsMixedTypes="1" containsNumber="1" containsInteger="1" minValue="1" maxValue="3"/>
    </cacheField>
    <cacheField name="smoker" numFmtId="0">
      <sharedItems containsBlank="1" count="3">
        <s v="Yes"/>
        <s v="No"/>
        <m/>
      </sharedItems>
    </cacheField>
    <cacheField name="Weight Status" numFmtId="0">
      <sharedItems containsBlank="1" count="4">
        <s v="Obesity"/>
        <s v="Over weight"/>
        <s v="Normal weight"/>
        <m/>
      </sharedItems>
    </cacheField>
    <cacheField name="Diabetes Status" numFmtId="0">
      <sharedItems containsBlank="1" count="4">
        <s v="Diabetes"/>
        <s v="Prediabetes"/>
        <s v="Normal"/>
        <m/>
      </sharedItems>
    </cacheField>
    <cacheField name="Date of Birth" numFmtId="0">
      <sharedItems containsNonDate="0" containsDate="1" containsString="0" containsBlank="1" minDate="1992-07-09T00:00:00" maxDate="2004-11-29T00:00:00"/>
    </cacheField>
    <cacheField name="$charges" numFmtId="0">
      <sharedItems containsBlank="1" count="78">
        <s v="$563.84"/>
        <s v="$570.62"/>
        <s v="$600"/>
        <s v="$604.54"/>
        <s v="$637.26"/>
        <s v="$646.14"/>
        <s v="$650"/>
        <s v="$668"/>
        <s v="$670"/>
        <s v="$687.54"/>
        <s v="$700"/>
        <s v="$722.99"/>
        <s v="$750"/>
        <s v="$760"/>
        <s v="$770"/>
        <s v="$770.38"/>
        <s v="$773.54"/>
        <s v="$830.52"/>
        <s v="$865.41"/>
        <s v="$896.21"/>
        <s v="$915.07"/>
        <s v="$928.59"/>
        <s v="$964.71"/>
        <s v="$1006.65"/>
        <s v="$1012"/>
        <s v="$1019"/>
        <s v="$1033.74"/>
        <s v="$1044"/>
        <s v="$1047"/>
        <s v="$1049"/>
        <s v="$1056"/>
        <s v="$1068"/>
        <s v="$1070"/>
        <s v="$1071"/>
        <s v="$1082"/>
        <s v="$1086"/>
        <s v="$1121.8699999999999"/>
        <s v="$1131.51"/>
        <s v="$1132"/>
        <s v="$1135"/>
        <s v="$1135.94"/>
        <s v="$1136.4000000000001"/>
        <s v="$1137"/>
        <s v="$1137.01"/>
        <s v="$1137.47"/>
        <s v="$1141"/>
        <s v="$1141.45"/>
        <s v="$1142"/>
        <s v="$1146.8"/>
        <s v="$1149"/>
        <s v="$1149.4000000000001"/>
        <s v="$1158.32"/>
        <s v="$1163.46"/>
        <s v="$1165"/>
        <s v="$1167"/>
        <s v="$1178"/>
        <s v="$1178.07"/>
        <s v="$1191"/>
        <s v="$1200"/>
        <s v="$1200.55"/>
        <s v="$1210"/>
        <s v="$1220"/>
        <s v="$1224"/>
        <s v="$1228"/>
        <s v="$1234"/>
        <s v="$1237"/>
        <s v="$1240"/>
        <s v="$1241"/>
        <s v="$1241.57"/>
        <s v="$1242.26"/>
        <s v="$1242.82"/>
        <s v="$1252.4100000000001"/>
        <s v="$1253"/>
        <s v="$1253.94"/>
        <s v="$1256.3"/>
        <s v="$1261.44"/>
        <s v="$1261.8599999999999"/>
        <m/>
      </sharedItems>
    </cacheField>
    <cacheField name="Hospital tier" numFmtId="0">
      <sharedItems containsBlank="1" count="4">
        <s v="tier - 2"/>
        <s v="tier - 3"/>
        <s v="tier-2"/>
        <m/>
      </sharedItems>
    </cacheField>
    <cacheField name="City tier" numFmtId="0">
      <sharedItems containsBlank="1"/>
    </cacheField>
    <cacheField name="State ID" numFmtId="0">
      <sharedItems containsBlank="1" count="4">
        <s v="R1013"/>
        <s v="R1012"/>
        <s v="R1011"/>
        <m/>
      </sharedItems>
    </cacheField>
    <cacheField name="Age" numFmtId="0">
      <sharedItems containsString="0" containsBlank="1" containsNumber="1" containsInteger="1" minValue="22" maxValue="34" count="14">
        <n v="34"/>
        <n v="33"/>
        <n v="28"/>
        <n v="25"/>
        <n v="31"/>
        <n v="24"/>
        <n v="29"/>
        <n v="27"/>
        <n v="30"/>
        <n v="22"/>
        <n v="26"/>
        <n v="32"/>
        <n v="2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3">
  <r>
    <s v="Id2335"/>
    <s v="Kelly"/>
    <x v="0"/>
    <x v="0"/>
    <s v="No"/>
    <x v="0"/>
    <x v="0"/>
    <s v="No major surgery"/>
    <x v="0"/>
    <x v="0"/>
    <x v="0"/>
    <d v="1992-07-09T00:00:00"/>
    <x v="0"/>
    <x v="0"/>
    <s v="tier - 3"/>
    <x v="0"/>
    <x v="0"/>
  </r>
  <r>
    <s v="Id2334"/>
    <s v="Matthew D"/>
    <x v="1"/>
    <x v="1"/>
    <s v="No"/>
    <x v="0"/>
    <x v="0"/>
    <s v="No major surgery"/>
    <x v="0"/>
    <x v="0"/>
    <x v="1"/>
    <d v="1992-11-30T00:00:00"/>
    <x v="1"/>
    <x v="0"/>
    <s v="tier - 1"/>
    <x v="0"/>
    <x v="0"/>
  </r>
  <r>
    <s v="Id2333"/>
    <s v="Phil"/>
    <x v="2"/>
    <x v="2"/>
    <s v="Yes"/>
    <x v="0"/>
    <x v="0"/>
    <n v="2"/>
    <x v="0"/>
    <x v="0"/>
    <x v="0"/>
    <d v="1993-06-30T00:00:00"/>
    <x v="2"/>
    <x v="0"/>
    <s v="tier - 1"/>
    <x v="0"/>
    <x v="1"/>
  </r>
  <r>
    <s v="Id2332"/>
    <s v="Kelsey"/>
    <x v="3"/>
    <x v="3"/>
    <s v="No"/>
    <x v="0"/>
    <x v="0"/>
    <s v="No major surgery"/>
    <x v="0"/>
    <x v="0"/>
    <x v="1"/>
    <d v="1992-09-13T00:00:00"/>
    <x v="3"/>
    <x v="1"/>
    <s v="tier - 3"/>
    <x v="0"/>
    <x v="0"/>
  </r>
  <r>
    <s v="Id2331"/>
    <s v="Kristyn"/>
    <x v="4"/>
    <x v="4"/>
    <s v="No"/>
    <x v="0"/>
    <x v="0"/>
    <s v="No major surgery"/>
    <x v="0"/>
    <x v="0"/>
    <x v="2"/>
    <d v="1998-07-27T00:00:00"/>
    <x v="4"/>
    <x v="1"/>
    <s v="tier - 3"/>
    <x v="0"/>
    <x v="2"/>
  </r>
  <r>
    <s v="Id2330"/>
    <s v="Russell B."/>
    <x v="5"/>
    <x v="5"/>
    <s v="No"/>
    <x v="0"/>
    <x v="0"/>
    <s v="No major surgery"/>
    <x v="0"/>
    <x v="0"/>
    <x v="0"/>
    <d v="2001-11-20T00:00:00"/>
    <x v="5"/>
    <x v="1"/>
    <s v="tier - 3"/>
    <x v="1"/>
    <x v="3"/>
  </r>
  <r>
    <s v="Id2329"/>
    <s v="Scott"/>
    <x v="6"/>
    <x v="6"/>
    <s v="No"/>
    <x v="0"/>
    <x v="0"/>
    <s v="No major surgery"/>
    <x v="0"/>
    <x v="0"/>
    <x v="1"/>
    <d v="1993-06-01T00:00:00"/>
    <x v="6"/>
    <x v="1"/>
    <s v="tier - 3"/>
    <x v="0"/>
    <x v="1"/>
  </r>
  <r>
    <s v="Id2328"/>
    <s v="Stephen"/>
    <x v="7"/>
    <x v="7"/>
    <s v="No"/>
    <x v="0"/>
    <x v="0"/>
    <n v="3"/>
    <x v="0"/>
    <x v="0"/>
    <x v="0"/>
    <d v="1995-07-04T00:00:00"/>
    <x v="6"/>
    <x v="1"/>
    <s v="tier - 3"/>
    <x v="0"/>
    <x v="4"/>
  </r>
  <r>
    <s v="Id2327"/>
    <s v="Patrick R."/>
    <x v="8"/>
    <x v="8"/>
    <s v="Yes"/>
    <x v="0"/>
    <x v="1"/>
    <n v="1"/>
    <x v="0"/>
    <x v="0"/>
    <x v="0"/>
    <d v="2002-11-29T00:00:00"/>
    <x v="7"/>
    <x v="1"/>
    <s v="tier - 2"/>
    <x v="1"/>
    <x v="5"/>
  </r>
  <r>
    <s v="Id2326"/>
    <s v="Brooke N."/>
    <x v="9"/>
    <x v="9"/>
    <s v="No"/>
    <x v="0"/>
    <x v="0"/>
    <s v="No major surgery"/>
    <x v="0"/>
    <x v="0"/>
    <x v="0"/>
    <d v="1997-11-09T00:00:00"/>
    <x v="8"/>
    <x v="1"/>
    <s v="tier - 3"/>
    <x v="0"/>
    <x v="6"/>
  </r>
  <r>
    <s v="Id2325"/>
    <s v="Ms.  Paola Andrea"/>
    <x v="10"/>
    <x v="10"/>
    <s v="Yes"/>
    <x v="0"/>
    <x v="0"/>
    <n v="2"/>
    <x v="0"/>
    <x v="0"/>
    <x v="1"/>
    <d v="2001-09-12T00:00:00"/>
    <x v="9"/>
    <x v="1"/>
    <s v="tier - 2"/>
    <x v="0"/>
    <x v="3"/>
  </r>
  <r>
    <s v="Id2324"/>
    <s v="David"/>
    <x v="11"/>
    <x v="11"/>
    <s v="No"/>
    <x v="0"/>
    <x v="0"/>
    <s v="No major surgery"/>
    <x v="0"/>
    <x v="0"/>
    <x v="0"/>
    <d v="1999-12-26T00:00:00"/>
    <x v="10"/>
    <x v="2"/>
    <s v="tier - 3"/>
    <x v="0"/>
    <x v="7"/>
  </r>
  <r>
    <s v="Id2323"/>
    <s v="Wade"/>
    <x v="12"/>
    <x v="12"/>
    <s v="No"/>
    <x v="0"/>
    <x v="0"/>
    <s v="No major surgery"/>
    <x v="0"/>
    <x v="0"/>
    <x v="0"/>
    <d v="1999-12-14T00:00:00"/>
    <x v="11"/>
    <x v="1"/>
    <s v="tier - 1"/>
    <x v="0"/>
    <x v="7"/>
  </r>
  <r>
    <s v="Id2322"/>
    <s v="Franklin"/>
    <x v="13"/>
    <x v="13"/>
    <s v="No"/>
    <x v="0"/>
    <x v="0"/>
    <s v="No major surgery"/>
    <x v="0"/>
    <x v="0"/>
    <x v="0"/>
    <d v="2002-09-19T00:00:00"/>
    <x v="12"/>
    <x v="1"/>
    <s v="tier - 1"/>
    <x v="1"/>
    <x v="5"/>
  </r>
  <r>
    <s v="Id2321"/>
    <s v="Leilani M."/>
    <x v="14"/>
    <x v="14"/>
    <s v="Yes"/>
    <x v="0"/>
    <x v="0"/>
    <n v="2"/>
    <x v="0"/>
    <x v="0"/>
    <x v="0"/>
    <d v="1993-08-09T00:00:00"/>
    <x v="13"/>
    <x v="1"/>
    <s v="tier - 1"/>
    <x v="0"/>
    <x v="1"/>
  </r>
  <r>
    <s v="Id2320"/>
    <s v="Mr.  Philippe"/>
    <x v="15"/>
    <x v="15"/>
    <s v="No"/>
    <x v="0"/>
    <x v="0"/>
    <s v="No major surgery"/>
    <x v="0"/>
    <x v="0"/>
    <x v="0"/>
    <d v="1996-10-22T00:00:00"/>
    <x v="13"/>
    <x v="1"/>
    <s v="tier - 3"/>
    <x v="0"/>
    <x v="8"/>
  </r>
  <r>
    <s v="Id2319"/>
    <s v="Jennifer A."/>
    <x v="16"/>
    <x v="16"/>
    <s v="No"/>
    <x v="0"/>
    <x v="0"/>
    <n v="3"/>
    <x v="0"/>
    <x v="0"/>
    <x v="0"/>
    <d v="1993-06-28T00:00:00"/>
    <x v="14"/>
    <x v="1"/>
    <s v="tier - 3"/>
    <x v="0"/>
    <x v="1"/>
  </r>
  <r>
    <s v="Id2318"/>
    <s v="Christina M."/>
    <x v="17"/>
    <x v="17"/>
    <s v="Yes"/>
    <x v="0"/>
    <x v="1"/>
    <n v="1"/>
    <x v="0"/>
    <x v="0"/>
    <x v="0"/>
    <d v="1996-09-18T00:00:00"/>
    <x v="15"/>
    <x v="1"/>
    <s v="tier-2"/>
    <x v="1"/>
    <x v="8"/>
  </r>
  <r>
    <s v="Id2317"/>
    <s v="Said Sr."/>
    <x v="18"/>
    <x v="18"/>
    <s v="Yes"/>
    <x v="0"/>
    <x v="0"/>
    <n v="1"/>
    <x v="0"/>
    <x v="0"/>
    <x v="2"/>
    <d v="1995-12-07T00:00:00"/>
    <x v="16"/>
    <x v="1"/>
    <s v="tier - 2"/>
    <x v="0"/>
    <x v="4"/>
  </r>
  <r>
    <s v="Id2316"/>
    <s v="John"/>
    <x v="19"/>
    <x v="19"/>
    <s v="No"/>
    <x v="0"/>
    <x v="0"/>
    <s v="No major surgery"/>
    <x v="0"/>
    <x v="0"/>
    <x v="0"/>
    <d v="2004-10-07T00:00:00"/>
    <x v="17"/>
    <x v="1"/>
    <s v="tier - 2"/>
    <x v="2"/>
    <x v="9"/>
  </r>
  <r>
    <s v="Id2315"/>
    <s v="Myles"/>
    <x v="20"/>
    <x v="20"/>
    <s v="Yes"/>
    <x v="0"/>
    <x v="0"/>
    <n v="2"/>
    <x v="0"/>
    <x v="0"/>
    <x v="0"/>
    <d v="2000-11-18T00:00:00"/>
    <x v="18"/>
    <x v="1"/>
    <s v="tier - 1"/>
    <x v="0"/>
    <x v="10"/>
  </r>
  <r>
    <s v="Id2314"/>
    <s v="Madelyn C"/>
    <x v="21"/>
    <x v="21"/>
    <s v="Yes"/>
    <x v="0"/>
    <x v="0"/>
    <n v="2"/>
    <x v="0"/>
    <x v="0"/>
    <x v="1"/>
    <d v="1993-11-27T00:00:00"/>
    <x v="19"/>
    <x v="1"/>
    <s v="tier - 1"/>
    <x v="0"/>
    <x v="1"/>
  </r>
  <r>
    <s v="Id2313"/>
    <s v="Nicole"/>
    <x v="22"/>
    <x v="22"/>
    <s v="No"/>
    <x v="0"/>
    <x v="0"/>
    <n v="3"/>
    <x v="0"/>
    <x v="0"/>
    <x v="0"/>
    <d v="1994-10-30T00:00:00"/>
    <x v="20"/>
    <x v="1"/>
    <s v="tier - 1"/>
    <x v="0"/>
    <x v="11"/>
  </r>
  <r>
    <s v="Id2312"/>
    <s v="Eric A."/>
    <x v="23"/>
    <x v="23"/>
    <s v="Yes"/>
    <x v="0"/>
    <x v="0"/>
    <n v="2"/>
    <x v="0"/>
    <x v="0"/>
    <x v="0"/>
    <d v="1995-10-28T00:00:00"/>
    <x v="21"/>
    <x v="1"/>
    <s v="tier - 1"/>
    <x v="0"/>
    <x v="4"/>
  </r>
  <r>
    <s v="Id2311"/>
    <s v="Emiliano I."/>
    <x v="24"/>
    <x v="24"/>
    <s v="Yes"/>
    <x v="0"/>
    <x v="2"/>
    <n v="2"/>
    <x v="0"/>
    <x v="0"/>
    <x v="2"/>
    <d v="2001-08-19T00:00:00"/>
    <x v="22"/>
    <x v="1"/>
    <s v="tier - 2"/>
    <x v="0"/>
    <x v="3"/>
  </r>
  <r>
    <s v="Id2310"/>
    <s v="Adam"/>
    <x v="25"/>
    <x v="25"/>
    <s v="No"/>
    <x v="0"/>
    <x v="2"/>
    <n v="3"/>
    <x v="0"/>
    <x v="0"/>
    <x v="0"/>
    <d v="1994-11-22T00:00:00"/>
    <x v="23"/>
    <x v="1"/>
    <s v="tier - 2"/>
    <x v="0"/>
    <x v="11"/>
  </r>
  <r>
    <s v="Id2309"/>
    <s v="Mr.  Zach"/>
    <x v="26"/>
    <x v="26"/>
    <s v="No"/>
    <x v="0"/>
    <x v="2"/>
    <s v="No major surgery"/>
    <x v="0"/>
    <x v="0"/>
    <x v="0"/>
    <d v="2000-10-09T00:00:00"/>
    <x v="24"/>
    <x v="1"/>
    <s v="tier - 2"/>
    <x v="0"/>
    <x v="10"/>
  </r>
  <r>
    <s v="Id2308"/>
    <s v="Stephanie W."/>
    <x v="27"/>
    <x v="27"/>
    <s v="Yes"/>
    <x v="0"/>
    <x v="2"/>
    <n v="1"/>
    <x v="0"/>
    <x v="0"/>
    <x v="2"/>
    <d v="1999-08-05T00:00:00"/>
    <x v="25"/>
    <x v="1"/>
    <s v="tier - 2"/>
    <x v="0"/>
    <x v="7"/>
  </r>
  <r>
    <s v="Id2307"/>
    <s v="Stephen"/>
    <x v="28"/>
    <x v="28"/>
    <s v="Yes"/>
    <x v="0"/>
    <x v="2"/>
    <n v="2"/>
    <x v="0"/>
    <x v="0"/>
    <x v="0"/>
    <d v="1995-10-05T00:00:00"/>
    <x v="26"/>
    <x v="1"/>
    <s v="tier - 1"/>
    <x v="0"/>
    <x v="4"/>
  </r>
  <r>
    <s v="Id2306"/>
    <s v="Natalie"/>
    <x v="29"/>
    <x v="29"/>
    <s v="No"/>
    <x v="0"/>
    <x v="2"/>
    <s v="No major surgery"/>
    <x v="0"/>
    <x v="0"/>
    <x v="0"/>
    <d v="1994-11-17T00:00:00"/>
    <x v="27"/>
    <x v="1"/>
    <s v="tier - 2"/>
    <x v="0"/>
    <x v="11"/>
  </r>
  <r>
    <s v="Id2305"/>
    <s v="Nicole J."/>
    <x v="30"/>
    <x v="30"/>
    <s v="No"/>
    <x v="0"/>
    <x v="2"/>
    <s v="No major surgery"/>
    <x v="0"/>
    <x v="0"/>
    <x v="0"/>
    <d v="2002-07-20T00:00:00"/>
    <x v="28"/>
    <x v="1"/>
    <s v="tier - 1"/>
    <x v="0"/>
    <x v="5"/>
  </r>
  <r>
    <s v="Id2304"/>
    <s v="Jefferson D"/>
    <x v="31"/>
    <x v="31"/>
    <s v="Yes"/>
    <x v="0"/>
    <x v="2"/>
    <s v="No major surgery"/>
    <x v="0"/>
    <x v="0"/>
    <x v="2"/>
    <d v="2002-07-01T00:00:00"/>
    <x v="29"/>
    <x v="1"/>
    <s v="tier - 2"/>
    <x v="1"/>
    <x v="5"/>
  </r>
  <r>
    <s v="Id2303"/>
    <s v="Brendan D."/>
    <x v="32"/>
    <x v="32"/>
    <s v="No"/>
    <x v="0"/>
    <x v="2"/>
    <s v="No major surgery"/>
    <x v="0"/>
    <x v="0"/>
    <x v="0"/>
    <d v="1995-06-01T00:00:00"/>
    <x v="30"/>
    <x v="1"/>
    <s v="tier - 2"/>
    <x v="0"/>
    <x v="4"/>
  </r>
  <r>
    <s v="Id2302"/>
    <s v="Courtney"/>
    <x v="33"/>
    <x v="33"/>
    <s v="Yes"/>
    <x v="0"/>
    <x v="2"/>
    <s v="No major surgery"/>
    <x v="0"/>
    <x v="0"/>
    <x v="1"/>
    <d v="1993-09-28T00:00:00"/>
    <x v="31"/>
    <x v="1"/>
    <s v="tier - 1"/>
    <x v="0"/>
    <x v="1"/>
  </r>
  <r>
    <s v="Id2301"/>
    <s v="Sydney L."/>
    <x v="34"/>
    <x v="34"/>
    <s v="No"/>
    <x v="0"/>
    <x v="2"/>
    <n v="1"/>
    <x v="0"/>
    <x v="0"/>
    <x v="1"/>
    <d v="2004-08-24T00:00:00"/>
    <x v="32"/>
    <x v="1"/>
    <s v="tier - 3"/>
    <x v="0"/>
    <x v="9"/>
  </r>
  <r>
    <s v="Id2300"/>
    <s v="Julien"/>
    <x v="35"/>
    <x v="35"/>
    <s v="No"/>
    <x v="0"/>
    <x v="2"/>
    <s v="No major surgery"/>
    <x v="0"/>
    <x v="0"/>
    <x v="0"/>
    <d v="1997-08-13T00:00:00"/>
    <x v="33"/>
    <x v="1"/>
    <s v="tier - 3"/>
    <x v="0"/>
    <x v="6"/>
  </r>
  <r>
    <s v="Id2299"/>
    <s v="Ryan M"/>
    <x v="13"/>
    <x v="36"/>
    <s v="No"/>
    <x v="0"/>
    <x v="2"/>
    <s v="No major surgery"/>
    <x v="0"/>
    <x v="0"/>
    <x v="0"/>
    <d v="1998-12-26T00:00:00"/>
    <x v="34"/>
    <x v="1"/>
    <s v="tier - 2"/>
    <x v="0"/>
    <x v="2"/>
  </r>
  <r>
    <s v="Id2298"/>
    <s v="Anna H."/>
    <x v="36"/>
    <x v="37"/>
    <s v="No"/>
    <x v="0"/>
    <x v="2"/>
    <s v="No major surgery"/>
    <x v="0"/>
    <x v="0"/>
    <x v="0"/>
    <d v="2002-08-13T00:00:00"/>
    <x v="35"/>
    <x v="1"/>
    <s v="tier - 3"/>
    <x v="0"/>
    <x v="5"/>
  </r>
  <r>
    <s v="Id2297"/>
    <s v="Samantha"/>
    <x v="37"/>
    <x v="38"/>
    <s v="No"/>
    <x v="0"/>
    <x v="2"/>
    <s v="No major surgery"/>
    <x v="0"/>
    <x v="0"/>
    <x v="0"/>
    <d v="2004-11-12T00:00:00"/>
    <x v="36"/>
    <x v="1"/>
    <s v="tier - 1"/>
    <x v="0"/>
    <x v="9"/>
  </r>
  <r>
    <s v="Id2296"/>
    <s v="Robert"/>
    <x v="38"/>
    <x v="39"/>
    <s v="No"/>
    <x v="0"/>
    <x v="2"/>
    <n v="1"/>
    <x v="0"/>
    <x v="0"/>
    <x v="2"/>
    <d v="2004-06-14T00:00:00"/>
    <x v="37"/>
    <x v="1"/>
    <s v="tier - 1"/>
    <x v="0"/>
    <x v="9"/>
  </r>
  <r>
    <s v="Id2295"/>
    <s v="James R."/>
    <x v="39"/>
    <x v="40"/>
    <s v="No"/>
    <x v="1"/>
    <x v="2"/>
    <n v="1"/>
    <x v="0"/>
    <x v="0"/>
    <x v="2"/>
    <d v="2002-07-19T00:00:00"/>
    <x v="38"/>
    <x v="1"/>
    <s v="tier - 1"/>
    <x v="0"/>
    <x v="5"/>
  </r>
  <r>
    <s v="Id2294"/>
    <s v="Roseann"/>
    <x v="40"/>
    <x v="41"/>
    <s v="Yes"/>
    <x v="0"/>
    <x v="2"/>
    <s v="No major surgery"/>
    <x v="0"/>
    <x v="0"/>
    <x v="0"/>
    <d v="2004-10-06T00:00:00"/>
    <x v="39"/>
    <x v="1"/>
    <s v="tier - 3"/>
    <x v="0"/>
    <x v="9"/>
  </r>
  <r>
    <s v="Id2293"/>
    <s v="Nicole"/>
    <x v="9"/>
    <x v="42"/>
    <s v="No"/>
    <x v="0"/>
    <x v="2"/>
    <s v="No major surgery"/>
    <x v="0"/>
    <x v="0"/>
    <x v="0"/>
    <d v="2004-06-11T00:00:00"/>
    <x v="40"/>
    <x v="1"/>
    <s v="tier - 3"/>
    <x v="0"/>
    <x v="9"/>
  </r>
  <r>
    <s v="Id2292"/>
    <s v="Spencer"/>
    <x v="41"/>
    <x v="43"/>
    <s v="No"/>
    <x v="0"/>
    <x v="2"/>
    <s v="No major surgery"/>
    <x v="0"/>
    <x v="0"/>
    <x v="0"/>
    <d v="2004-11-28T00:00:00"/>
    <x v="41"/>
    <x v="1"/>
    <s v="tier - 3"/>
    <x v="0"/>
    <x v="9"/>
  </r>
  <r>
    <s v="Id2291"/>
    <s v="Eric W"/>
    <x v="42"/>
    <x v="44"/>
    <s v="Yes"/>
    <x v="0"/>
    <x v="2"/>
    <n v="1"/>
    <x v="0"/>
    <x v="0"/>
    <x v="0"/>
    <d v="2002-08-11T00:00:00"/>
    <x v="42"/>
    <x v="1"/>
    <s v="tier - 1"/>
    <x v="0"/>
    <x v="5"/>
  </r>
  <r>
    <s v="?"/>
    <s v="Brianna L"/>
    <x v="43"/>
    <x v="45"/>
    <s v="Yes"/>
    <x v="0"/>
    <x v="2"/>
    <n v="1"/>
    <x v="0"/>
    <x v="0"/>
    <x v="2"/>
    <d v="2004-11-06T00:00:00"/>
    <x v="43"/>
    <x v="1"/>
    <s v="tier - 1"/>
    <x v="0"/>
    <x v="9"/>
  </r>
  <r>
    <s v="Id2290"/>
    <s v="Thomas J."/>
    <x v="44"/>
    <x v="46"/>
    <s v="Yes"/>
    <x v="0"/>
    <x v="2"/>
    <n v="2"/>
    <x v="0"/>
    <x v="0"/>
    <x v="2"/>
    <d v="2004-10-15T00:00:00"/>
    <x v="43"/>
    <x v="1"/>
    <s v="tier - 1"/>
    <x v="0"/>
    <x v="9"/>
  </r>
  <r>
    <s v="Id2289"/>
    <s v="Melissa L"/>
    <x v="45"/>
    <x v="47"/>
    <s v="No"/>
    <x v="0"/>
    <x v="2"/>
    <s v="No major surgery"/>
    <x v="0"/>
    <x v="0"/>
    <x v="2"/>
    <d v="2004-11-27T00:00:00"/>
    <x v="44"/>
    <x v="1"/>
    <s v="tier - 2"/>
    <x v="0"/>
    <x v="9"/>
  </r>
  <r>
    <s v="Id2288"/>
    <s v="Mr.  Flavio"/>
    <x v="46"/>
    <x v="48"/>
    <s v="Yes"/>
    <x v="0"/>
    <x v="2"/>
    <n v="2"/>
    <x v="0"/>
    <x v="0"/>
    <x v="2"/>
    <d v="2001-10-25T00:00:00"/>
    <x v="45"/>
    <x v="1"/>
    <s v="tier - 1"/>
    <x v="0"/>
    <x v="3"/>
  </r>
  <r>
    <s v="Id2287"/>
    <s v="Ryan"/>
    <x v="47"/>
    <x v="49"/>
    <s v="Yes"/>
    <x v="0"/>
    <x v="2"/>
    <n v="2"/>
    <x v="0"/>
    <x v="0"/>
    <x v="2"/>
    <d v="2004-09-12T00:00:00"/>
    <x v="46"/>
    <x v="1"/>
    <s v="tier - 3"/>
    <x v="0"/>
    <x v="9"/>
  </r>
  <r>
    <s v="Id2286"/>
    <s v="Anthony J."/>
    <x v="48"/>
    <x v="50"/>
    <s v="Yes"/>
    <x v="0"/>
    <x v="2"/>
    <n v="1"/>
    <x v="0"/>
    <x v="0"/>
    <x v="0"/>
    <d v="2002-10-01T00:00:00"/>
    <x v="47"/>
    <x v="1"/>
    <s v="tier - 2"/>
    <x v="2"/>
    <x v="5"/>
  </r>
  <r>
    <s v="Id2285"/>
    <s v="Alex"/>
    <x v="49"/>
    <x v="51"/>
    <s v="No"/>
    <x v="0"/>
    <x v="2"/>
    <s v="No major surgery"/>
    <x v="0"/>
    <x v="0"/>
    <x v="0"/>
    <d v="2004-06-10T00:00:00"/>
    <x v="48"/>
    <x v="0"/>
    <s v="tier - 2"/>
    <x v="0"/>
    <x v="9"/>
  </r>
  <r>
    <s v="Id2284"/>
    <s v="David"/>
    <x v="50"/>
    <x v="52"/>
    <s v="Yes"/>
    <x v="0"/>
    <x v="2"/>
    <n v="1"/>
    <x v="0"/>
    <x v="0"/>
    <x v="2"/>
    <d v="2003-06-12T00:00:00"/>
    <x v="49"/>
    <x v="0"/>
    <s v="tier - 1"/>
    <x v="1"/>
    <x v="12"/>
  </r>
  <r>
    <s v="Id2283"/>
    <s v="Andrew B"/>
    <x v="51"/>
    <x v="53"/>
    <s v="No"/>
    <x v="0"/>
    <x v="2"/>
    <s v="No major surgery"/>
    <x v="0"/>
    <x v="0"/>
    <x v="0"/>
    <d v="2004-07-18T00:00:00"/>
    <x v="50"/>
    <x v="0"/>
    <s v="tier - 2"/>
    <x v="0"/>
    <x v="9"/>
  </r>
  <r>
    <s v="Id2282"/>
    <s v="Dara E"/>
    <x v="52"/>
    <x v="54"/>
    <s v="No"/>
    <x v="0"/>
    <x v="2"/>
    <s v="No major surgery"/>
    <x v="0"/>
    <x v="0"/>
    <x v="0"/>
    <d v="1994-07-26T00:00:00"/>
    <x v="51"/>
    <x v="0"/>
    <s v="tier - 1"/>
    <x v="0"/>
    <x v="11"/>
  </r>
  <r>
    <s v="Id2281"/>
    <s v="Inna"/>
    <x v="53"/>
    <x v="55"/>
    <s v="Yes"/>
    <x v="0"/>
    <x v="2"/>
    <n v="1"/>
    <x v="0"/>
    <x v="0"/>
    <x v="0"/>
    <d v="2004-11-11T00:00:00"/>
    <x v="52"/>
    <x v="0"/>
    <s v="tier - 3"/>
    <x v="0"/>
    <x v="9"/>
  </r>
  <r>
    <s v="Id2280"/>
    <s v="Ari"/>
    <x v="54"/>
    <x v="56"/>
    <s v="No"/>
    <x v="0"/>
    <x v="2"/>
    <n v="2"/>
    <x v="0"/>
    <x v="0"/>
    <x v="1"/>
    <d v="2002-06-11T00:00:00"/>
    <x v="53"/>
    <x v="0"/>
    <s v="tier - 3"/>
    <x v="1"/>
    <x v="5"/>
  </r>
  <r>
    <s v="Id2279"/>
    <s v="Lindsey"/>
    <x v="55"/>
    <x v="57"/>
    <s v="No"/>
    <x v="0"/>
    <x v="2"/>
    <s v="No major surgery"/>
    <x v="0"/>
    <x v="0"/>
    <x v="0"/>
    <d v="2001-11-12T00:00:00"/>
    <x v="54"/>
    <x v="0"/>
    <s v="tier - 1"/>
    <x v="0"/>
    <x v="3"/>
  </r>
  <r>
    <s v="Id2278"/>
    <s v="Kenny"/>
    <x v="56"/>
    <x v="58"/>
    <s v="No"/>
    <x v="2"/>
    <x v="2"/>
    <s v="No major surgery"/>
    <x v="0"/>
    <x v="0"/>
    <x v="1"/>
    <d v="1996-08-11T00:00:00"/>
    <x v="55"/>
    <x v="0"/>
    <s v="tier - 3"/>
    <x v="0"/>
    <x v="8"/>
  </r>
  <r>
    <s v="Id2277"/>
    <s v="Louise"/>
    <x v="57"/>
    <x v="59"/>
    <s v="No"/>
    <x v="2"/>
    <x v="2"/>
    <s v="No major surgery"/>
    <x v="0"/>
    <x v="0"/>
    <x v="0"/>
    <d v="1997-06-28T00:00:00"/>
    <x v="56"/>
    <x v="0"/>
    <s v="tier - 2"/>
    <x v="0"/>
    <x v="6"/>
  </r>
  <r>
    <s v="Id2276"/>
    <s v="Cameron"/>
    <x v="9"/>
    <x v="60"/>
    <s v="No"/>
    <x v="2"/>
    <x v="2"/>
    <n v="1"/>
    <x v="0"/>
    <x v="0"/>
    <x v="1"/>
    <d v="2002-08-26T00:00:00"/>
    <x v="57"/>
    <x v="0"/>
    <s v="tier - 1"/>
    <x v="0"/>
    <x v="5"/>
  </r>
  <r>
    <s v="Id2275"/>
    <s v="Katie T."/>
    <x v="58"/>
    <x v="61"/>
    <s v="Yes"/>
    <x v="2"/>
    <x v="2"/>
    <s v="No major surgery"/>
    <x v="0"/>
    <x v="0"/>
    <x v="0"/>
    <d v="1999-06-28T00:00:00"/>
    <x v="58"/>
    <x v="0"/>
    <s v="tier - 3"/>
    <x v="1"/>
    <x v="7"/>
  </r>
  <r>
    <s v="Id2274"/>
    <s v="Casey"/>
    <x v="59"/>
    <x v="62"/>
    <s v="No"/>
    <x v="2"/>
    <x v="2"/>
    <s v="No major surgery"/>
    <x v="0"/>
    <x v="0"/>
    <x v="0"/>
    <d v="1992-10-06T00:00:00"/>
    <x v="59"/>
    <x v="0"/>
    <s v="tier - 3"/>
    <x v="0"/>
    <x v="0"/>
  </r>
  <r>
    <s v="Id2273"/>
    <s v="David"/>
    <x v="60"/>
    <x v="13"/>
    <s v="Yes"/>
    <x v="2"/>
    <x v="2"/>
    <s v="No major surgery"/>
    <x v="0"/>
    <x v="0"/>
    <x v="0"/>
    <d v="2004-06-02T00:00:00"/>
    <x v="60"/>
    <x v="0"/>
    <s v="tier - 1"/>
    <x v="0"/>
    <x v="9"/>
  </r>
  <r>
    <s v="Id2272"/>
    <s v="Bryson C."/>
    <x v="61"/>
    <x v="63"/>
    <s v="Yes"/>
    <x v="2"/>
    <x v="2"/>
    <n v="1"/>
    <x v="0"/>
    <x v="0"/>
    <x v="0"/>
    <d v="1996-11-04T00:00:00"/>
    <x v="61"/>
    <x v="0"/>
    <s v="tier - 3"/>
    <x v="1"/>
    <x v="8"/>
  </r>
  <r>
    <s v="Id2271"/>
    <s v="Megan"/>
    <x v="62"/>
    <x v="64"/>
    <s v="No"/>
    <x v="2"/>
    <x v="2"/>
    <n v="2"/>
    <x v="0"/>
    <x v="0"/>
    <x v="0"/>
    <d v="2004-07-09T00:00:00"/>
    <x v="62"/>
    <x v="0"/>
    <s v="tier - 1"/>
    <x v="0"/>
    <x v="9"/>
  </r>
  <r>
    <s v="Id2270"/>
    <s v="Daniel"/>
    <x v="63"/>
    <x v="65"/>
    <s v="No"/>
    <x v="2"/>
    <x v="2"/>
    <n v="1"/>
    <x v="0"/>
    <x v="0"/>
    <x v="1"/>
    <d v="2004-10-16T00:00:00"/>
    <x v="63"/>
    <x v="0"/>
    <s v="tier - 1"/>
    <x v="1"/>
    <x v="9"/>
  </r>
  <r>
    <s v="Id2269"/>
    <s v="Steven M."/>
    <x v="64"/>
    <x v="66"/>
    <s v="Yes"/>
    <x v="2"/>
    <x v="2"/>
    <n v="1"/>
    <x v="0"/>
    <x v="0"/>
    <x v="2"/>
    <d v="1998-07-13T00:00:00"/>
    <x v="64"/>
    <x v="0"/>
    <s v="tier - 1"/>
    <x v="0"/>
    <x v="2"/>
  </r>
  <r>
    <s v="Id2268"/>
    <s v="Jenna L."/>
    <x v="4"/>
    <x v="67"/>
    <s v="Yes"/>
    <x v="2"/>
    <x v="2"/>
    <s v="No major surgery"/>
    <x v="0"/>
    <x v="0"/>
    <x v="2"/>
    <d v="2002-12-12T00:00:00"/>
    <x v="65"/>
    <x v="0"/>
    <s v="tier - 2"/>
    <x v="0"/>
    <x v="5"/>
  </r>
  <r>
    <s v="Id2267"/>
    <s v="Freeman"/>
    <x v="65"/>
    <x v="68"/>
    <s v="No"/>
    <x v="2"/>
    <x v="2"/>
    <s v="No major surgery"/>
    <x v="0"/>
    <x v="0"/>
    <x v="0"/>
    <d v="1998-10-11T00:00:00"/>
    <x v="66"/>
    <x v="0"/>
    <s v="tier - 1"/>
    <x v="1"/>
    <x v="2"/>
  </r>
  <r>
    <s v="Id2266"/>
    <s v="Jeff"/>
    <x v="66"/>
    <x v="69"/>
    <s v="No"/>
    <x v="2"/>
    <x v="2"/>
    <n v="1"/>
    <x v="0"/>
    <x v="0"/>
    <x v="2"/>
    <d v="2002-07-01T00:00:00"/>
    <x v="67"/>
    <x v="0"/>
    <s v="tier - 2"/>
    <x v="0"/>
    <x v="5"/>
  </r>
  <r>
    <s v="Id2265"/>
    <s v="Elenilton V. Sr."/>
    <x v="67"/>
    <x v="70"/>
    <s v="No"/>
    <x v="2"/>
    <x v="2"/>
    <n v="2"/>
    <x v="0"/>
    <x v="0"/>
    <x v="2"/>
    <d v="2003-08-02T00:00:00"/>
    <x v="68"/>
    <x v="0"/>
    <s v="tier - 2"/>
    <x v="2"/>
    <x v="12"/>
  </r>
  <r>
    <s v="Id2264"/>
    <s v="Maurya"/>
    <x v="68"/>
    <x v="21"/>
    <s v="Yes"/>
    <x v="2"/>
    <x v="2"/>
    <n v="2"/>
    <x v="0"/>
    <x v="0"/>
    <x v="1"/>
    <d v="2003-09-15T00:00:00"/>
    <x v="69"/>
    <x v="0"/>
    <s v="tier - 1"/>
    <x v="2"/>
    <x v="12"/>
  </r>
  <r>
    <s v="Id2263"/>
    <s v="Samantha C"/>
    <x v="69"/>
    <x v="71"/>
    <s v="No"/>
    <x v="2"/>
    <x v="2"/>
    <s v="No major surgery"/>
    <x v="0"/>
    <x v="0"/>
    <x v="0"/>
    <d v="2003-09-08T00:00:00"/>
    <x v="70"/>
    <x v="0"/>
    <s v="tier - 1"/>
    <x v="2"/>
    <x v="12"/>
  </r>
  <r>
    <s v="Id2262"/>
    <s v="Bethany A"/>
    <x v="70"/>
    <x v="72"/>
    <s v="Yes"/>
    <x v="2"/>
    <x v="2"/>
    <n v="1"/>
    <x v="0"/>
    <x v="0"/>
    <x v="0"/>
    <d v="2003-09-15T00:00:00"/>
    <x v="71"/>
    <x v="0"/>
    <s v="tier - 3"/>
    <x v="2"/>
    <x v="12"/>
  </r>
  <r>
    <s v="Id2261"/>
    <s v="Yves"/>
    <x v="71"/>
    <x v="73"/>
    <s v="Yes"/>
    <x v="2"/>
    <x v="2"/>
    <n v="1"/>
    <x v="0"/>
    <x v="0"/>
    <x v="0"/>
    <d v="1997-11-04T00:00:00"/>
    <x v="72"/>
    <x v="0"/>
    <s v="tier - 2"/>
    <x v="0"/>
    <x v="6"/>
  </r>
  <r>
    <s v="Id2260"/>
    <s v="Ms.  Danielle"/>
    <x v="72"/>
    <x v="74"/>
    <s v="Yes"/>
    <x v="2"/>
    <x v="2"/>
    <s v="No major surgery"/>
    <x v="0"/>
    <x v="0"/>
    <x v="1"/>
    <d v="2003-12-10T00:00:00"/>
    <x v="73"/>
    <x v="0"/>
    <s v="tier - 2"/>
    <x v="2"/>
    <x v="12"/>
  </r>
  <r>
    <s v="Id2259"/>
    <s v="Julia"/>
    <x v="73"/>
    <x v="75"/>
    <s v="No"/>
    <x v="2"/>
    <x v="2"/>
    <s v="No major surgery"/>
    <x v="0"/>
    <x v="0"/>
    <x v="0"/>
    <d v="2003-10-13T00:00:00"/>
    <x v="74"/>
    <x v="0"/>
    <s v="tier - 3"/>
    <x v="2"/>
    <x v="12"/>
  </r>
  <r>
    <s v="Id2258"/>
    <s v="Joshua"/>
    <x v="74"/>
    <x v="76"/>
    <s v="Yes"/>
    <x v="2"/>
    <x v="2"/>
    <s v="No major surgery"/>
    <x v="0"/>
    <x v="0"/>
    <x v="0"/>
    <d v="2003-10-30T00:00:00"/>
    <x v="75"/>
    <x v="0"/>
    <s v="tier - 3"/>
    <x v="2"/>
    <x v="12"/>
  </r>
  <r>
    <s v="Id2257"/>
    <s v="Jennifer"/>
    <x v="75"/>
    <x v="77"/>
    <s v="No"/>
    <x v="2"/>
    <x v="2"/>
    <s v="No major surgery"/>
    <x v="0"/>
    <x v="0"/>
    <x v="0"/>
    <d v="2003-08-15T00:00:00"/>
    <x v="76"/>
    <x v="0"/>
    <s v="tier - 3"/>
    <x v="2"/>
    <x v="12"/>
  </r>
  <r>
    <s v="Id2256"/>
    <s v="Gwen M."/>
    <x v="76"/>
    <x v="78"/>
    <s v="Yes"/>
    <x v="2"/>
    <x v="2"/>
    <n v="1"/>
    <x v="0"/>
    <x v="0"/>
    <x v="2"/>
    <m/>
    <x v="77"/>
    <x v="3"/>
    <m/>
    <x v="3"/>
    <x v="13"/>
  </r>
  <r>
    <s v="Id2255"/>
    <s v="Patrick"/>
    <x v="77"/>
    <x v="45"/>
    <s v="No"/>
    <x v="2"/>
    <x v="2"/>
    <s v="No major surgery"/>
    <x v="0"/>
    <x v="0"/>
    <x v="2"/>
    <m/>
    <x v="77"/>
    <x v="3"/>
    <m/>
    <x v="3"/>
    <x v="13"/>
  </r>
  <r>
    <s v="Id2254"/>
    <s v="Kate"/>
    <x v="78"/>
    <x v="79"/>
    <s v="Yes"/>
    <x v="2"/>
    <x v="2"/>
    <n v="1"/>
    <x v="0"/>
    <x v="0"/>
    <x v="2"/>
    <m/>
    <x v="77"/>
    <x v="3"/>
    <m/>
    <x v="3"/>
    <x v="13"/>
  </r>
  <r>
    <s v="Id2253"/>
    <s v="Kevin"/>
    <x v="79"/>
    <x v="80"/>
    <s v="Yes"/>
    <x v="2"/>
    <x v="2"/>
    <n v="1"/>
    <x v="0"/>
    <x v="0"/>
    <x v="2"/>
    <m/>
    <x v="77"/>
    <x v="3"/>
    <m/>
    <x v="3"/>
    <x v="13"/>
  </r>
  <r>
    <s v="Id2252"/>
    <s v="Stephen II"/>
    <x v="80"/>
    <x v="81"/>
    <s v="No"/>
    <x v="2"/>
    <x v="2"/>
    <n v="2"/>
    <x v="0"/>
    <x v="0"/>
    <x v="2"/>
    <m/>
    <x v="77"/>
    <x v="3"/>
    <m/>
    <x v="3"/>
    <x v="13"/>
  </r>
  <r>
    <s v="Id2251"/>
    <s v="Philip"/>
    <x v="81"/>
    <x v="82"/>
    <s v="No"/>
    <x v="2"/>
    <x v="2"/>
    <n v="2"/>
    <x v="0"/>
    <x v="0"/>
    <x v="2"/>
    <m/>
    <x v="77"/>
    <x v="3"/>
    <m/>
    <x v="3"/>
    <x v="13"/>
  </r>
  <r>
    <s v="Id2250"/>
    <s v="Brett A"/>
    <x v="37"/>
    <x v="83"/>
    <s v="No"/>
    <x v="2"/>
    <x v="2"/>
    <n v="1"/>
    <x v="0"/>
    <x v="0"/>
    <x v="2"/>
    <m/>
    <x v="77"/>
    <x v="3"/>
    <m/>
    <x v="3"/>
    <x v="13"/>
  </r>
  <r>
    <s v="Id2249"/>
    <s v="Rebecca"/>
    <x v="82"/>
    <x v="84"/>
    <s v="No"/>
    <x v="2"/>
    <x v="2"/>
    <s v="No major surgery"/>
    <x v="0"/>
    <x v="0"/>
    <x v="0"/>
    <m/>
    <x v="77"/>
    <x v="3"/>
    <m/>
    <x v="3"/>
    <x v="13"/>
  </r>
  <r>
    <s v="Id2248"/>
    <s v="Kelley"/>
    <x v="83"/>
    <x v="85"/>
    <s v="Yes"/>
    <x v="2"/>
    <x v="2"/>
    <n v="1"/>
    <x v="0"/>
    <x v="0"/>
    <x v="1"/>
    <m/>
    <x v="77"/>
    <x v="3"/>
    <m/>
    <x v="3"/>
    <x v="13"/>
  </r>
  <r>
    <s v="Id2247"/>
    <s v="Abigail K"/>
    <x v="84"/>
    <x v="86"/>
    <s v="No"/>
    <x v="2"/>
    <x v="2"/>
    <n v="1"/>
    <x v="0"/>
    <x v="0"/>
    <x v="2"/>
    <m/>
    <x v="77"/>
    <x v="3"/>
    <m/>
    <x v="3"/>
    <x v="13"/>
  </r>
  <r>
    <s v="Id2246"/>
    <s v="Hope"/>
    <x v="85"/>
    <x v="87"/>
    <s v="No"/>
    <x v="2"/>
    <x v="2"/>
    <n v="1"/>
    <x v="0"/>
    <x v="0"/>
    <x v="1"/>
    <m/>
    <x v="77"/>
    <x v="3"/>
    <m/>
    <x v="3"/>
    <x v="13"/>
  </r>
  <r>
    <s v="Id2245"/>
    <s v="Elyse M."/>
    <x v="86"/>
    <x v="88"/>
    <s v="No"/>
    <x v="2"/>
    <x v="2"/>
    <s v="No major surgery"/>
    <x v="0"/>
    <x v="0"/>
    <x v="2"/>
    <m/>
    <x v="77"/>
    <x v="3"/>
    <m/>
    <x v="3"/>
    <x v="13"/>
  </r>
  <r>
    <s v="Id2244"/>
    <s v="Nicholas"/>
    <x v="87"/>
    <x v="89"/>
    <s v="No"/>
    <x v="2"/>
    <x v="2"/>
    <n v="2"/>
    <x v="0"/>
    <x v="0"/>
    <x v="2"/>
    <m/>
    <x v="77"/>
    <x v="3"/>
    <m/>
    <x v="3"/>
    <x v="13"/>
  </r>
  <r>
    <s v="Id2243"/>
    <s v="David"/>
    <x v="88"/>
    <x v="90"/>
    <s v="Yes"/>
    <x v="2"/>
    <x v="2"/>
    <s v="No major surgery"/>
    <x v="0"/>
    <x v="0"/>
    <x v="2"/>
    <m/>
    <x v="77"/>
    <x v="3"/>
    <m/>
    <x v="3"/>
    <x v="13"/>
  </r>
  <r>
    <s v="Id2242"/>
    <s v="Natalie"/>
    <x v="89"/>
    <x v="8"/>
    <s v="Yes"/>
    <x v="2"/>
    <x v="2"/>
    <n v="2"/>
    <x v="0"/>
    <x v="0"/>
    <x v="0"/>
    <m/>
    <x v="77"/>
    <x v="3"/>
    <m/>
    <x v="3"/>
    <x v="13"/>
  </r>
  <r>
    <s v="Id2241"/>
    <s v="Thomas"/>
    <x v="90"/>
    <x v="91"/>
    <s v="Yes"/>
    <x v="2"/>
    <x v="2"/>
    <n v="1"/>
    <x v="0"/>
    <x v="0"/>
    <x v="0"/>
    <m/>
    <x v="77"/>
    <x v="3"/>
    <m/>
    <x v="3"/>
    <x v="13"/>
  </r>
  <r>
    <s v="Id2240"/>
    <s v="Ms.  Pamela J."/>
    <x v="66"/>
    <x v="92"/>
    <s v="Yes"/>
    <x v="2"/>
    <x v="2"/>
    <s v="No major surgery"/>
    <x v="0"/>
    <x v="0"/>
    <x v="2"/>
    <m/>
    <x v="77"/>
    <x v="3"/>
    <m/>
    <x v="3"/>
    <x v="13"/>
  </r>
  <r>
    <s v="Id2239"/>
    <s v="Jessica"/>
    <x v="91"/>
    <x v="93"/>
    <s v="Yes"/>
    <x v="2"/>
    <x v="2"/>
    <n v="2"/>
    <x v="0"/>
    <x v="0"/>
    <x v="2"/>
    <m/>
    <x v="77"/>
    <x v="3"/>
    <m/>
    <x v="3"/>
    <x v="13"/>
  </r>
  <r>
    <s v="Id2238"/>
    <s v="Ron N"/>
    <x v="92"/>
    <x v="94"/>
    <s v="No"/>
    <x v="2"/>
    <x v="2"/>
    <s v="No major surgery"/>
    <x v="0"/>
    <x v="0"/>
    <x v="0"/>
    <m/>
    <x v="77"/>
    <x v="3"/>
    <m/>
    <x v="3"/>
    <x v="13"/>
  </r>
  <r>
    <s v="Id2237"/>
    <s v="Daniel"/>
    <x v="93"/>
    <x v="95"/>
    <s v="No"/>
    <x v="2"/>
    <x v="2"/>
    <s v="No major surgery"/>
    <x v="0"/>
    <x v="0"/>
    <x v="2"/>
    <m/>
    <x v="77"/>
    <x v="3"/>
    <m/>
    <x v="3"/>
    <x v="13"/>
  </r>
  <r>
    <s v="Id2236"/>
    <s v="Brian"/>
    <x v="94"/>
    <x v="96"/>
    <s v="Yes"/>
    <x v="2"/>
    <x v="2"/>
    <s v="No major surgery"/>
    <x v="0"/>
    <x v="0"/>
    <x v="0"/>
    <m/>
    <x v="77"/>
    <x v="3"/>
    <m/>
    <x v="3"/>
    <x v="13"/>
  </r>
  <r>
    <s v="Id2235"/>
    <s v="Sari"/>
    <x v="95"/>
    <x v="97"/>
    <s v="Yes"/>
    <x v="2"/>
    <x v="2"/>
    <s v="No major surgery"/>
    <x v="0"/>
    <x v="0"/>
    <x v="0"/>
    <m/>
    <x v="77"/>
    <x v="3"/>
    <m/>
    <x v="3"/>
    <x v="13"/>
  </r>
  <r>
    <s v="Id2234"/>
    <s v="Robert M."/>
    <x v="96"/>
    <x v="98"/>
    <s v="No"/>
    <x v="2"/>
    <x v="2"/>
    <n v="1"/>
    <x v="0"/>
    <x v="0"/>
    <x v="2"/>
    <m/>
    <x v="77"/>
    <x v="3"/>
    <m/>
    <x v="3"/>
    <x v="13"/>
  </r>
  <r>
    <s v="Id2233"/>
    <s v="Ricardo"/>
    <x v="97"/>
    <x v="46"/>
    <s v="Yes"/>
    <x v="2"/>
    <x v="2"/>
    <s v="No major surgery"/>
    <x v="0"/>
    <x v="0"/>
    <x v="2"/>
    <m/>
    <x v="77"/>
    <x v="3"/>
    <m/>
    <x v="3"/>
    <x v="13"/>
  </r>
  <r>
    <s v="Id2232"/>
    <s v="Gedion"/>
    <x v="98"/>
    <x v="99"/>
    <s v="Yes"/>
    <x v="2"/>
    <x v="2"/>
    <n v="1"/>
    <x v="0"/>
    <x v="0"/>
    <x v="1"/>
    <m/>
    <x v="77"/>
    <x v="3"/>
    <m/>
    <x v="3"/>
    <x v="13"/>
  </r>
  <r>
    <s v="Id2231"/>
    <s v="Mr.  Mark"/>
    <x v="99"/>
    <x v="100"/>
    <s v="Yes"/>
    <x v="2"/>
    <x v="2"/>
    <n v="2"/>
    <x v="0"/>
    <x v="0"/>
    <x v="1"/>
    <m/>
    <x v="77"/>
    <x v="3"/>
    <m/>
    <x v="3"/>
    <x v="13"/>
  </r>
  <r>
    <s v="Id2230"/>
    <s v="Gamini P."/>
    <x v="100"/>
    <x v="101"/>
    <s v="No"/>
    <x v="2"/>
    <x v="2"/>
    <s v="No major surgery"/>
    <x v="0"/>
    <x v="0"/>
    <x v="0"/>
    <m/>
    <x v="77"/>
    <x v="3"/>
    <m/>
    <x v="3"/>
    <x v="13"/>
  </r>
  <r>
    <s v="Id2229"/>
    <s v="Emily J"/>
    <x v="101"/>
    <x v="102"/>
    <s v="No"/>
    <x v="2"/>
    <x v="2"/>
    <s v="No major surgery"/>
    <x v="0"/>
    <x v="0"/>
    <x v="2"/>
    <m/>
    <x v="77"/>
    <x v="3"/>
    <m/>
    <x v="3"/>
    <x v="13"/>
  </r>
  <r>
    <s v="Id2228"/>
    <s v="Amanda"/>
    <x v="50"/>
    <x v="103"/>
    <s v="No"/>
    <x v="2"/>
    <x v="2"/>
    <n v="1"/>
    <x v="0"/>
    <x v="0"/>
    <x v="2"/>
    <m/>
    <x v="77"/>
    <x v="3"/>
    <m/>
    <x v="3"/>
    <x v="13"/>
  </r>
  <r>
    <s v="Id2227"/>
    <s v="Nicholas"/>
    <x v="102"/>
    <x v="104"/>
    <s v="Yes"/>
    <x v="2"/>
    <x v="2"/>
    <n v="1"/>
    <x v="0"/>
    <x v="0"/>
    <x v="0"/>
    <m/>
    <x v="77"/>
    <x v="3"/>
    <m/>
    <x v="3"/>
    <x v="13"/>
  </r>
  <r>
    <s v="Id2226"/>
    <s v="Knox"/>
    <x v="103"/>
    <x v="105"/>
    <s v="Yes"/>
    <x v="2"/>
    <x v="2"/>
    <s v="No major surgery"/>
    <x v="0"/>
    <x v="0"/>
    <x v="1"/>
    <m/>
    <x v="77"/>
    <x v="3"/>
    <m/>
    <x v="3"/>
    <x v="13"/>
  </r>
  <r>
    <s v="Id2225"/>
    <s v="Yianna"/>
    <x v="104"/>
    <x v="106"/>
    <s v="Yes"/>
    <x v="2"/>
    <x v="2"/>
    <n v="1"/>
    <x v="0"/>
    <x v="0"/>
    <x v="1"/>
    <m/>
    <x v="77"/>
    <x v="3"/>
    <m/>
    <x v="3"/>
    <x v="13"/>
  </r>
  <r>
    <s v="Id2224"/>
    <s v="Roberta"/>
    <x v="105"/>
    <x v="18"/>
    <s v="Yes"/>
    <x v="2"/>
    <x v="2"/>
    <s v="No major surgery"/>
    <x v="0"/>
    <x v="0"/>
    <x v="2"/>
    <m/>
    <x v="77"/>
    <x v="3"/>
    <m/>
    <x v="3"/>
    <x v="13"/>
  </r>
  <r>
    <s v="Id2223"/>
    <s v="Benjamin P."/>
    <x v="106"/>
    <x v="107"/>
    <s v="No"/>
    <x v="2"/>
    <x v="2"/>
    <n v="1"/>
    <x v="0"/>
    <x v="0"/>
    <x v="2"/>
    <m/>
    <x v="77"/>
    <x v="3"/>
    <m/>
    <x v="3"/>
    <x v="13"/>
  </r>
  <r>
    <s v="Id2222"/>
    <s v="Craig"/>
    <x v="107"/>
    <x v="108"/>
    <s v="No"/>
    <x v="2"/>
    <x v="2"/>
    <n v="2"/>
    <x v="0"/>
    <x v="0"/>
    <x v="0"/>
    <m/>
    <x v="77"/>
    <x v="3"/>
    <m/>
    <x v="3"/>
    <x v="13"/>
  </r>
  <r>
    <s v="Id2221"/>
    <s v="Ann"/>
    <x v="88"/>
    <x v="109"/>
    <s v="No"/>
    <x v="2"/>
    <x v="2"/>
    <s v="No major surgery"/>
    <x v="0"/>
    <x v="0"/>
    <x v="1"/>
    <m/>
    <x v="77"/>
    <x v="3"/>
    <m/>
    <x v="3"/>
    <x v="13"/>
  </r>
  <r>
    <s v="Id2220"/>
    <s v="Jamie P"/>
    <x v="108"/>
    <x v="60"/>
    <s v="No"/>
    <x v="2"/>
    <x v="2"/>
    <n v="1"/>
    <x v="0"/>
    <x v="0"/>
    <x v="1"/>
    <m/>
    <x v="77"/>
    <x v="3"/>
    <m/>
    <x v="3"/>
    <x v="13"/>
  </r>
  <r>
    <s v="Id2219"/>
    <s v="John"/>
    <x v="109"/>
    <x v="110"/>
    <s v="No"/>
    <x v="2"/>
    <x v="2"/>
    <s v="No major surgery"/>
    <x v="0"/>
    <x v="0"/>
    <x v="0"/>
    <m/>
    <x v="77"/>
    <x v="3"/>
    <m/>
    <x v="3"/>
    <x v="13"/>
  </r>
  <r>
    <s v="Id2218"/>
    <s v="Charlie"/>
    <x v="110"/>
    <x v="111"/>
    <s v="No"/>
    <x v="2"/>
    <x v="2"/>
    <s v="No major surgery"/>
    <x v="0"/>
    <x v="0"/>
    <x v="2"/>
    <m/>
    <x v="77"/>
    <x v="3"/>
    <m/>
    <x v="3"/>
    <x v="13"/>
  </r>
  <r>
    <s v="Id2217"/>
    <s v="Meb"/>
    <x v="11"/>
    <x v="112"/>
    <s v="Yes"/>
    <x v="2"/>
    <x v="2"/>
    <n v="1"/>
    <x v="0"/>
    <x v="0"/>
    <x v="2"/>
    <m/>
    <x v="77"/>
    <x v="3"/>
    <m/>
    <x v="3"/>
    <x v="13"/>
  </r>
  <r>
    <s v="Id2216"/>
    <s v="Aaqib L."/>
    <x v="111"/>
    <x v="113"/>
    <s v="Yes"/>
    <x v="2"/>
    <x v="2"/>
    <s v="No major surgery"/>
    <x v="0"/>
    <x v="0"/>
    <x v="0"/>
    <m/>
    <x v="77"/>
    <x v="3"/>
    <m/>
    <x v="3"/>
    <x v="13"/>
  </r>
  <r>
    <s v="Id2215"/>
    <s v="Craig A."/>
    <x v="32"/>
    <x v="114"/>
    <s v="No"/>
    <x v="2"/>
    <x v="2"/>
    <s v="No major surgery"/>
    <x v="0"/>
    <x v="0"/>
    <x v="0"/>
    <m/>
    <x v="77"/>
    <x v="3"/>
    <m/>
    <x v="3"/>
    <x v="13"/>
  </r>
  <r>
    <s v="Id2214"/>
    <s v="Meredith"/>
    <x v="112"/>
    <x v="115"/>
    <s v="Yes"/>
    <x v="2"/>
    <x v="2"/>
    <n v="2"/>
    <x v="0"/>
    <x v="0"/>
    <x v="2"/>
    <m/>
    <x v="77"/>
    <x v="3"/>
    <m/>
    <x v="3"/>
    <x v="13"/>
  </r>
  <r>
    <s v="Id2213"/>
    <s v="Doug"/>
    <x v="113"/>
    <x v="116"/>
    <s v="No"/>
    <x v="2"/>
    <x v="2"/>
    <s v="No major surgery"/>
    <x v="0"/>
    <x v="0"/>
    <x v="0"/>
    <m/>
    <x v="77"/>
    <x v="3"/>
    <m/>
    <x v="3"/>
    <x v="13"/>
  </r>
  <r>
    <s v="Id2212"/>
    <s v="Elizabeth J."/>
    <x v="114"/>
    <x v="117"/>
    <s v="No"/>
    <x v="2"/>
    <x v="2"/>
    <s v="No major surgery"/>
    <x v="0"/>
    <x v="0"/>
    <x v="2"/>
    <m/>
    <x v="77"/>
    <x v="3"/>
    <m/>
    <x v="3"/>
    <x v="13"/>
  </r>
  <r>
    <s v="Id2211"/>
    <s v="Matthew P"/>
    <x v="115"/>
    <x v="109"/>
    <s v="No"/>
    <x v="2"/>
    <x v="2"/>
    <n v="1"/>
    <x v="0"/>
    <x v="0"/>
    <x v="1"/>
    <m/>
    <x v="77"/>
    <x v="3"/>
    <m/>
    <x v="3"/>
    <x v="13"/>
  </r>
  <r>
    <s v="Id2210"/>
    <s v="Mr.  Guillermo Sr."/>
    <x v="116"/>
    <x v="118"/>
    <s v="No"/>
    <x v="2"/>
    <x v="2"/>
    <s v="No major surgery"/>
    <x v="0"/>
    <x v="0"/>
    <x v="0"/>
    <m/>
    <x v="77"/>
    <x v="3"/>
    <m/>
    <x v="3"/>
    <x v="13"/>
  </r>
  <r>
    <s v="Id2209"/>
    <s v="Ryan C"/>
    <x v="101"/>
    <x v="18"/>
    <s v="No"/>
    <x v="2"/>
    <x v="2"/>
    <s v="No major surgery"/>
    <x v="0"/>
    <x v="0"/>
    <x v="2"/>
    <m/>
    <x v="77"/>
    <x v="3"/>
    <m/>
    <x v="3"/>
    <x v="13"/>
  </r>
  <r>
    <s v="Id2208"/>
    <s v="Dane"/>
    <x v="54"/>
    <x v="119"/>
    <s v="Yes"/>
    <x v="2"/>
    <x v="2"/>
    <s v="No major surgery"/>
    <x v="0"/>
    <x v="0"/>
    <x v="1"/>
    <m/>
    <x v="77"/>
    <x v="3"/>
    <m/>
    <x v="3"/>
    <x v="13"/>
  </r>
  <r>
    <s v="Id2207"/>
    <s v="Jonas"/>
    <x v="117"/>
    <x v="8"/>
    <s v="No"/>
    <x v="2"/>
    <x v="2"/>
    <s v="No major surgery"/>
    <x v="0"/>
    <x v="0"/>
    <x v="0"/>
    <m/>
    <x v="77"/>
    <x v="3"/>
    <m/>
    <x v="3"/>
    <x v="13"/>
  </r>
  <r>
    <s v="Id2206"/>
    <s v="George E"/>
    <x v="118"/>
    <x v="1"/>
    <s v="No"/>
    <x v="2"/>
    <x v="2"/>
    <s v="No major surgery"/>
    <x v="0"/>
    <x v="0"/>
    <x v="1"/>
    <m/>
    <x v="77"/>
    <x v="3"/>
    <m/>
    <x v="3"/>
    <x v="13"/>
  </r>
  <r>
    <s v="Id2205"/>
    <s v="Sara S"/>
    <x v="119"/>
    <x v="24"/>
    <s v="Yes"/>
    <x v="2"/>
    <x v="2"/>
    <s v="No major surgery"/>
    <x v="0"/>
    <x v="0"/>
    <x v="2"/>
    <m/>
    <x v="77"/>
    <x v="3"/>
    <m/>
    <x v="3"/>
    <x v="13"/>
  </r>
  <r>
    <s v="Id2204"/>
    <s v="Nick"/>
    <x v="120"/>
    <x v="120"/>
    <s v="No"/>
    <x v="2"/>
    <x v="2"/>
    <n v="1"/>
    <x v="0"/>
    <x v="0"/>
    <x v="2"/>
    <m/>
    <x v="77"/>
    <x v="3"/>
    <m/>
    <x v="3"/>
    <x v="13"/>
  </r>
  <r>
    <s v="Id2203"/>
    <s v="Timothy"/>
    <x v="121"/>
    <x v="121"/>
    <s v="Yes"/>
    <x v="2"/>
    <x v="2"/>
    <s v="No major surgery"/>
    <x v="0"/>
    <x v="0"/>
    <x v="0"/>
    <m/>
    <x v="77"/>
    <x v="3"/>
    <m/>
    <x v="3"/>
    <x v="13"/>
  </r>
  <r>
    <s v="Id2202"/>
    <s v="Becky L"/>
    <x v="66"/>
    <x v="78"/>
    <s v="Yes"/>
    <x v="2"/>
    <x v="2"/>
    <n v="1"/>
    <x v="0"/>
    <x v="0"/>
    <x v="2"/>
    <m/>
    <x v="77"/>
    <x v="3"/>
    <m/>
    <x v="3"/>
    <x v="13"/>
  </r>
  <r>
    <s v="Id2201"/>
    <s v="Steph K."/>
    <x v="122"/>
    <x v="69"/>
    <s v="No"/>
    <x v="2"/>
    <x v="2"/>
    <n v="1"/>
    <x v="0"/>
    <x v="0"/>
    <x v="2"/>
    <m/>
    <x v="77"/>
    <x v="3"/>
    <m/>
    <x v="3"/>
    <x v="13"/>
  </r>
  <r>
    <s v="Id2200"/>
    <s v="Kristine B."/>
    <x v="123"/>
    <x v="122"/>
    <s v="No"/>
    <x v="2"/>
    <x v="2"/>
    <n v="1"/>
    <x v="0"/>
    <x v="0"/>
    <x v="2"/>
    <m/>
    <x v="77"/>
    <x v="3"/>
    <m/>
    <x v="3"/>
    <x v="13"/>
  </r>
  <r>
    <s v="Id2199"/>
    <s v="Taylor B"/>
    <x v="124"/>
    <x v="123"/>
    <s v="No"/>
    <x v="2"/>
    <x v="2"/>
    <s v="No major surgery"/>
    <x v="0"/>
    <x v="0"/>
    <x v="1"/>
    <m/>
    <x v="77"/>
    <x v="3"/>
    <m/>
    <x v="3"/>
    <x v="13"/>
  </r>
  <r>
    <s v="Id2198"/>
    <s v="William"/>
    <x v="125"/>
    <x v="124"/>
    <s v="Yes"/>
    <x v="2"/>
    <x v="2"/>
    <s v="No major surgery"/>
    <x v="0"/>
    <x v="0"/>
    <x v="2"/>
    <m/>
    <x v="77"/>
    <x v="3"/>
    <m/>
    <x v="3"/>
    <x v="13"/>
  </r>
  <r>
    <s v="Id2197"/>
    <s v="Sage"/>
    <x v="20"/>
    <x v="125"/>
    <s v="No"/>
    <x v="2"/>
    <x v="2"/>
    <s v="No major surgery"/>
    <x v="0"/>
    <x v="0"/>
    <x v="2"/>
    <m/>
    <x v="77"/>
    <x v="3"/>
    <m/>
    <x v="3"/>
    <x v="13"/>
  </r>
  <r>
    <s v="Id2196"/>
    <s v="Cole"/>
    <x v="40"/>
    <x v="126"/>
    <s v="Yes"/>
    <x v="2"/>
    <x v="2"/>
    <n v="1"/>
    <x v="0"/>
    <x v="0"/>
    <x v="0"/>
    <m/>
    <x v="77"/>
    <x v="3"/>
    <m/>
    <x v="3"/>
    <x v="13"/>
  </r>
  <r>
    <s v="Id2195"/>
    <s v="Jesse"/>
    <x v="126"/>
    <x v="127"/>
    <s v="No"/>
    <x v="2"/>
    <x v="2"/>
    <s v="No major surgery"/>
    <x v="0"/>
    <x v="0"/>
    <x v="2"/>
    <m/>
    <x v="77"/>
    <x v="3"/>
    <m/>
    <x v="3"/>
    <x v="13"/>
  </r>
  <r>
    <s v="Id2194"/>
    <s v="Tammi J."/>
    <x v="106"/>
    <x v="128"/>
    <s v="No"/>
    <x v="2"/>
    <x v="2"/>
    <s v="No major surgery"/>
    <x v="0"/>
    <x v="0"/>
    <x v="1"/>
    <m/>
    <x v="77"/>
    <x v="3"/>
    <m/>
    <x v="3"/>
    <x v="13"/>
  </r>
  <r>
    <s v="Id2193"/>
    <s v="Matthew S."/>
    <x v="127"/>
    <x v="129"/>
    <s v="Yes"/>
    <x v="2"/>
    <x v="2"/>
    <n v="1"/>
    <x v="0"/>
    <x v="0"/>
    <x v="0"/>
    <m/>
    <x v="77"/>
    <x v="3"/>
    <m/>
    <x v="3"/>
    <x v="13"/>
  </r>
  <r>
    <s v="Id2192"/>
    <s v="Eric"/>
    <x v="128"/>
    <x v="130"/>
    <s v="No"/>
    <x v="2"/>
    <x v="2"/>
    <s v="No major surgery"/>
    <x v="0"/>
    <x v="0"/>
    <x v="0"/>
    <m/>
    <x v="77"/>
    <x v="3"/>
    <m/>
    <x v="3"/>
    <x v="13"/>
  </r>
  <r>
    <s v="Id2191"/>
    <s v="Valeria R"/>
    <x v="129"/>
    <x v="131"/>
    <s v="Yes"/>
    <x v="2"/>
    <x v="2"/>
    <n v="2"/>
    <x v="0"/>
    <x v="0"/>
    <x v="0"/>
    <m/>
    <x v="77"/>
    <x v="3"/>
    <m/>
    <x v="3"/>
    <x v="13"/>
  </r>
  <r>
    <s v="Id2190"/>
    <s v="Michael P"/>
    <x v="130"/>
    <x v="132"/>
    <s v="No"/>
    <x v="2"/>
    <x v="2"/>
    <s v="No major surgery"/>
    <x v="0"/>
    <x v="0"/>
    <x v="0"/>
    <m/>
    <x v="77"/>
    <x v="3"/>
    <m/>
    <x v="3"/>
    <x v="13"/>
  </r>
  <r>
    <s v="Id2189"/>
    <s v="Rami"/>
    <x v="131"/>
    <x v="133"/>
    <s v="No"/>
    <x v="2"/>
    <x v="2"/>
    <s v="No major surgery"/>
    <x v="0"/>
    <x v="0"/>
    <x v="2"/>
    <m/>
    <x v="77"/>
    <x v="3"/>
    <m/>
    <x v="3"/>
    <x v="13"/>
  </r>
  <r>
    <s v="Id2188"/>
    <s v="Denis"/>
    <x v="94"/>
    <x v="40"/>
    <s v="No"/>
    <x v="2"/>
    <x v="2"/>
    <s v="No major surgery"/>
    <x v="0"/>
    <x v="0"/>
    <x v="2"/>
    <m/>
    <x v="77"/>
    <x v="3"/>
    <m/>
    <x v="3"/>
    <x v="13"/>
  </r>
  <r>
    <s v="Id2187"/>
    <s v="Brian E"/>
    <x v="132"/>
    <x v="134"/>
    <s v="No"/>
    <x v="2"/>
    <x v="2"/>
    <s v="No major surgery"/>
    <x v="0"/>
    <x v="1"/>
    <x v="2"/>
    <m/>
    <x v="77"/>
    <x v="3"/>
    <m/>
    <x v="3"/>
    <x v="13"/>
  </r>
  <r>
    <s v="Id2186"/>
    <s v="Bonnie"/>
    <x v="133"/>
    <x v="135"/>
    <s v="Yes"/>
    <x v="2"/>
    <x v="2"/>
    <n v="1"/>
    <x v="0"/>
    <x v="0"/>
    <x v="2"/>
    <m/>
    <x v="77"/>
    <x v="3"/>
    <m/>
    <x v="3"/>
    <x v="13"/>
  </r>
  <r>
    <s v="Id2185"/>
    <s v="Michael P"/>
    <x v="134"/>
    <x v="120"/>
    <s v="No"/>
    <x v="2"/>
    <x v="2"/>
    <s v="No major surgery"/>
    <x v="0"/>
    <x v="0"/>
    <x v="2"/>
    <m/>
    <x v="77"/>
    <x v="3"/>
    <m/>
    <x v="3"/>
    <x v="13"/>
  </r>
  <r>
    <s v="Id2184"/>
    <s v="Paul"/>
    <x v="135"/>
    <x v="60"/>
    <s v="No"/>
    <x v="2"/>
    <x v="2"/>
    <n v="2"/>
    <x v="0"/>
    <x v="0"/>
    <x v="1"/>
    <m/>
    <x v="77"/>
    <x v="3"/>
    <m/>
    <x v="3"/>
    <x v="13"/>
  </r>
  <r>
    <s v="Id2183"/>
    <s v="Michael"/>
    <x v="136"/>
    <x v="136"/>
    <s v="No"/>
    <x v="2"/>
    <x v="2"/>
    <n v="1"/>
    <x v="0"/>
    <x v="0"/>
    <x v="1"/>
    <m/>
    <x v="77"/>
    <x v="3"/>
    <m/>
    <x v="3"/>
    <x v="13"/>
  </r>
  <r>
    <s v="Id2182"/>
    <s v="Samuel"/>
    <x v="137"/>
    <x v="67"/>
    <s v="No"/>
    <x v="2"/>
    <x v="2"/>
    <n v="1"/>
    <x v="0"/>
    <x v="1"/>
    <x v="2"/>
    <m/>
    <x v="77"/>
    <x v="3"/>
    <m/>
    <x v="3"/>
    <x v="13"/>
  </r>
  <r>
    <s v="Id2181"/>
    <s v="Matthew"/>
    <x v="138"/>
    <x v="70"/>
    <s v="Yes"/>
    <x v="2"/>
    <x v="2"/>
    <n v="1"/>
    <x v="0"/>
    <x v="0"/>
    <x v="2"/>
    <m/>
    <x v="77"/>
    <x v="3"/>
    <m/>
    <x v="3"/>
    <x v="13"/>
  </r>
  <r>
    <s v="Id2180"/>
    <s v="Daniel"/>
    <x v="139"/>
    <x v="137"/>
    <s v="Yes"/>
    <x v="2"/>
    <x v="2"/>
    <n v="1"/>
    <x v="0"/>
    <x v="0"/>
    <x v="0"/>
    <m/>
    <x v="77"/>
    <x v="3"/>
    <m/>
    <x v="3"/>
    <x v="13"/>
  </r>
  <r>
    <s v="Id2179"/>
    <s v="Syndy"/>
    <x v="140"/>
    <x v="138"/>
    <s v="Yes"/>
    <x v="2"/>
    <x v="2"/>
    <s v="No major surgery"/>
    <x v="0"/>
    <x v="0"/>
    <x v="2"/>
    <m/>
    <x v="77"/>
    <x v="3"/>
    <m/>
    <x v="3"/>
    <x v="13"/>
  </r>
  <r>
    <s v="Id2178"/>
    <s v="Aleksandra"/>
    <x v="141"/>
    <x v="89"/>
    <s v="Yes"/>
    <x v="2"/>
    <x v="2"/>
    <n v="1"/>
    <x v="0"/>
    <x v="0"/>
    <x v="2"/>
    <m/>
    <x v="77"/>
    <x v="3"/>
    <m/>
    <x v="3"/>
    <x v="13"/>
  </r>
  <r>
    <s v="Id2177"/>
    <s v="Steeve T Sr."/>
    <x v="142"/>
    <x v="116"/>
    <s v="Yes"/>
    <x v="2"/>
    <x v="2"/>
    <n v="2"/>
    <x v="0"/>
    <x v="0"/>
    <x v="3"/>
    <m/>
    <x v="77"/>
    <x v="3"/>
    <m/>
    <x v="3"/>
    <x v="13"/>
  </r>
  <r>
    <s v="Id2176"/>
    <s v="Richard"/>
    <x v="143"/>
    <x v="139"/>
    <s v="No"/>
    <x v="2"/>
    <x v="2"/>
    <s v="No major surgery"/>
    <x v="0"/>
    <x v="0"/>
    <x v="3"/>
    <m/>
    <x v="77"/>
    <x v="3"/>
    <m/>
    <x v="3"/>
    <x v="13"/>
  </r>
  <r>
    <s v="Id2175"/>
    <s v="Aaron T"/>
    <x v="44"/>
    <x v="140"/>
    <s v="No"/>
    <x v="2"/>
    <x v="2"/>
    <s v="No major surgery"/>
    <x v="0"/>
    <x v="0"/>
    <x v="3"/>
    <m/>
    <x v="77"/>
    <x v="3"/>
    <m/>
    <x v="3"/>
    <x v="13"/>
  </r>
  <r>
    <s v="Id2174"/>
    <s v="Akira"/>
    <x v="103"/>
    <x v="141"/>
    <s v="No"/>
    <x v="2"/>
    <x v="2"/>
    <n v="1"/>
    <x v="0"/>
    <x v="0"/>
    <x v="3"/>
    <m/>
    <x v="77"/>
    <x v="3"/>
    <m/>
    <x v="3"/>
    <x v="13"/>
  </r>
  <r>
    <s v="Id2173"/>
    <s v="Ben"/>
    <x v="144"/>
    <x v="142"/>
    <s v="No"/>
    <x v="2"/>
    <x v="2"/>
    <s v="No major surgery"/>
    <x v="0"/>
    <x v="0"/>
    <x v="3"/>
    <m/>
    <x v="77"/>
    <x v="3"/>
    <m/>
    <x v="3"/>
    <x v="13"/>
  </r>
  <r>
    <s v="Id2172"/>
    <s v="Jana"/>
    <x v="145"/>
    <x v="143"/>
    <s v="No"/>
    <x v="2"/>
    <x v="2"/>
    <n v="1"/>
    <x v="0"/>
    <x v="0"/>
    <x v="3"/>
    <m/>
    <x v="77"/>
    <x v="3"/>
    <m/>
    <x v="3"/>
    <x v="13"/>
  </r>
  <r>
    <s v="Id2171"/>
    <s v="Jay T."/>
    <x v="146"/>
    <x v="144"/>
    <s v="Yes"/>
    <x v="2"/>
    <x v="2"/>
    <n v="1"/>
    <x v="0"/>
    <x v="0"/>
    <x v="3"/>
    <m/>
    <x v="77"/>
    <x v="3"/>
    <m/>
    <x v="3"/>
    <x v="13"/>
  </r>
  <r>
    <s v="Id2170"/>
    <s v="Marie-Helene"/>
    <x v="147"/>
    <x v="96"/>
    <s v="Yes"/>
    <x v="2"/>
    <x v="2"/>
    <n v="1"/>
    <x v="0"/>
    <x v="0"/>
    <x v="3"/>
    <m/>
    <x v="77"/>
    <x v="3"/>
    <m/>
    <x v="3"/>
    <x v="13"/>
  </r>
  <r>
    <s v="Id2169"/>
    <s v="Bret R"/>
    <x v="111"/>
    <x v="145"/>
    <s v="Yes"/>
    <x v="2"/>
    <x v="2"/>
    <s v="No major surgery"/>
    <x v="0"/>
    <x v="0"/>
    <x v="3"/>
    <m/>
    <x v="77"/>
    <x v="3"/>
    <m/>
    <x v="3"/>
    <x v="13"/>
  </r>
  <r>
    <s v="Id2168"/>
    <s v="Gardner L"/>
    <x v="148"/>
    <x v="146"/>
    <s v="No"/>
    <x v="2"/>
    <x v="2"/>
    <s v="No major surgery"/>
    <x v="0"/>
    <x v="0"/>
    <x v="3"/>
    <m/>
    <x v="77"/>
    <x v="3"/>
    <m/>
    <x v="3"/>
    <x v="13"/>
  </r>
  <r>
    <s v="Id2167"/>
    <s v="Bobby"/>
    <x v="149"/>
    <x v="147"/>
    <s v="Yes"/>
    <x v="2"/>
    <x v="2"/>
    <n v="2"/>
    <x v="0"/>
    <x v="0"/>
    <x v="3"/>
    <m/>
    <x v="77"/>
    <x v="3"/>
    <m/>
    <x v="3"/>
    <x v="13"/>
  </r>
  <r>
    <s v="Id2166"/>
    <s v="Natalie"/>
    <x v="61"/>
    <x v="148"/>
    <s v="Yes"/>
    <x v="2"/>
    <x v="2"/>
    <n v="1"/>
    <x v="0"/>
    <x v="0"/>
    <x v="3"/>
    <m/>
    <x v="77"/>
    <x v="3"/>
    <m/>
    <x v="3"/>
    <x v="13"/>
  </r>
  <r>
    <s v="Id2165"/>
    <s v="Lina"/>
    <x v="150"/>
    <x v="66"/>
    <s v="No"/>
    <x v="2"/>
    <x v="2"/>
    <s v="No major surgery"/>
    <x v="0"/>
    <x v="0"/>
    <x v="3"/>
    <m/>
    <x v="77"/>
    <x v="3"/>
    <m/>
    <x v="3"/>
    <x v="13"/>
  </r>
  <r>
    <s v="Id2164"/>
    <s v="Zebulon"/>
    <x v="151"/>
    <x v="149"/>
    <s v="Yes"/>
    <x v="2"/>
    <x v="2"/>
    <n v="1"/>
    <x v="0"/>
    <x v="0"/>
    <x v="3"/>
    <m/>
    <x v="77"/>
    <x v="3"/>
    <m/>
    <x v="3"/>
    <x v="13"/>
  </r>
  <r>
    <s v="Id2163"/>
    <s v="Amanda"/>
    <x v="152"/>
    <x v="150"/>
    <s v="No"/>
    <x v="2"/>
    <x v="2"/>
    <s v="No major surgery"/>
    <x v="0"/>
    <x v="0"/>
    <x v="3"/>
    <m/>
    <x v="77"/>
    <x v="3"/>
    <m/>
    <x v="3"/>
    <x v="13"/>
  </r>
  <r>
    <s v="Id2162"/>
    <s v="Greg"/>
    <x v="153"/>
    <x v="151"/>
    <s v="No"/>
    <x v="2"/>
    <x v="2"/>
    <n v="1"/>
    <x v="0"/>
    <x v="0"/>
    <x v="3"/>
    <m/>
    <x v="77"/>
    <x v="3"/>
    <m/>
    <x v="3"/>
    <x v="13"/>
  </r>
  <r>
    <s v="Id2161"/>
    <s v="John"/>
    <x v="4"/>
    <x v="152"/>
    <s v="No"/>
    <x v="2"/>
    <x v="2"/>
    <n v="1"/>
    <x v="0"/>
    <x v="0"/>
    <x v="3"/>
    <m/>
    <x v="77"/>
    <x v="3"/>
    <m/>
    <x v="3"/>
    <x v="13"/>
  </r>
  <r>
    <s v="Id2160"/>
    <s v="Kelsey A."/>
    <x v="154"/>
    <x v="149"/>
    <s v="No"/>
    <x v="2"/>
    <x v="2"/>
    <s v="No major surgery"/>
    <x v="0"/>
    <x v="0"/>
    <x v="3"/>
    <m/>
    <x v="77"/>
    <x v="3"/>
    <m/>
    <x v="3"/>
    <x v="13"/>
  </r>
  <r>
    <s v="Id2159"/>
    <s v="Ms.  Bronwen L"/>
    <x v="155"/>
    <x v="153"/>
    <s v="No"/>
    <x v="2"/>
    <x v="2"/>
    <s v="No major surgery"/>
    <x v="0"/>
    <x v="0"/>
    <x v="3"/>
    <m/>
    <x v="77"/>
    <x v="3"/>
    <m/>
    <x v="3"/>
    <x v="13"/>
  </r>
  <r>
    <s v="Id2158"/>
    <s v="Manuela"/>
    <x v="156"/>
    <x v="34"/>
    <s v="No"/>
    <x v="2"/>
    <x v="2"/>
    <s v="No major surgery"/>
    <x v="0"/>
    <x v="0"/>
    <x v="3"/>
    <m/>
    <x v="77"/>
    <x v="3"/>
    <m/>
    <x v="3"/>
    <x v="13"/>
  </r>
  <r>
    <s v="Id2157"/>
    <s v="Jennifer L"/>
    <x v="105"/>
    <x v="154"/>
    <s v="Yes"/>
    <x v="2"/>
    <x v="2"/>
    <n v="1"/>
    <x v="1"/>
    <x v="0"/>
    <x v="3"/>
    <m/>
    <x v="77"/>
    <x v="3"/>
    <m/>
    <x v="3"/>
    <x v="13"/>
  </r>
  <r>
    <s v="Id2156"/>
    <s v="Abby W."/>
    <x v="157"/>
    <x v="144"/>
    <s v="No"/>
    <x v="2"/>
    <x v="2"/>
    <n v="1"/>
    <x v="0"/>
    <x v="0"/>
    <x v="3"/>
    <m/>
    <x v="77"/>
    <x v="3"/>
    <m/>
    <x v="3"/>
    <x v="13"/>
  </r>
  <r>
    <s v="Id2155"/>
    <s v="Tyler"/>
    <x v="158"/>
    <x v="155"/>
    <s v="No"/>
    <x v="2"/>
    <x v="2"/>
    <n v="2"/>
    <x v="0"/>
    <x v="0"/>
    <x v="3"/>
    <m/>
    <x v="77"/>
    <x v="3"/>
    <m/>
    <x v="3"/>
    <x v="13"/>
  </r>
  <r>
    <s v="Id2154"/>
    <s v="Jeffrey"/>
    <x v="98"/>
    <x v="34"/>
    <s v="No"/>
    <x v="2"/>
    <x v="2"/>
    <n v="1"/>
    <x v="0"/>
    <x v="0"/>
    <x v="3"/>
    <m/>
    <x v="77"/>
    <x v="3"/>
    <m/>
    <x v="3"/>
    <x v="13"/>
  </r>
  <r>
    <s v="Id2153"/>
    <s v="Matthew F"/>
    <x v="159"/>
    <x v="156"/>
    <s v="No"/>
    <x v="2"/>
    <x v="2"/>
    <s v="No major surgery"/>
    <x v="0"/>
    <x v="0"/>
    <x v="3"/>
    <m/>
    <x v="77"/>
    <x v="3"/>
    <m/>
    <x v="3"/>
    <x v="13"/>
  </r>
  <r>
    <s v="Id2152"/>
    <s v="Ryan J."/>
    <x v="160"/>
    <x v="157"/>
    <s v="Yes"/>
    <x v="2"/>
    <x v="2"/>
    <n v="2"/>
    <x v="0"/>
    <x v="0"/>
    <x v="3"/>
    <m/>
    <x v="77"/>
    <x v="3"/>
    <m/>
    <x v="3"/>
    <x v="13"/>
  </r>
  <r>
    <s v="Id2151"/>
    <s v="Amy"/>
    <x v="161"/>
    <x v="158"/>
    <s v="Yes"/>
    <x v="2"/>
    <x v="2"/>
    <n v="2"/>
    <x v="1"/>
    <x v="0"/>
    <x v="3"/>
    <m/>
    <x v="77"/>
    <x v="3"/>
    <m/>
    <x v="3"/>
    <x v="13"/>
  </r>
  <r>
    <s v="Id2150"/>
    <s v="Andrew P"/>
    <x v="162"/>
    <x v="159"/>
    <s v="No"/>
    <x v="2"/>
    <x v="2"/>
    <n v="1"/>
    <x v="0"/>
    <x v="0"/>
    <x v="3"/>
    <m/>
    <x v="77"/>
    <x v="3"/>
    <m/>
    <x v="3"/>
    <x v="13"/>
  </r>
  <r>
    <s v="Id2149"/>
    <s v="George M. V"/>
    <x v="163"/>
    <x v="73"/>
    <s v="No"/>
    <x v="2"/>
    <x v="2"/>
    <n v="2"/>
    <x v="0"/>
    <x v="0"/>
    <x v="3"/>
    <m/>
    <x v="77"/>
    <x v="3"/>
    <m/>
    <x v="3"/>
    <x v="13"/>
  </r>
  <r>
    <s v="Id2148"/>
    <s v="Sarah"/>
    <x v="164"/>
    <x v="160"/>
    <s v="No"/>
    <x v="2"/>
    <x v="2"/>
    <s v="No major surgery"/>
    <x v="0"/>
    <x v="1"/>
    <x v="3"/>
    <m/>
    <x v="77"/>
    <x v="3"/>
    <m/>
    <x v="3"/>
    <x v="13"/>
  </r>
  <r>
    <s v="Id2147"/>
    <s v="Lara"/>
    <x v="165"/>
    <x v="161"/>
    <s v="No"/>
    <x v="2"/>
    <x v="2"/>
    <n v="1"/>
    <x v="0"/>
    <x v="0"/>
    <x v="3"/>
    <m/>
    <x v="77"/>
    <x v="3"/>
    <m/>
    <x v="3"/>
    <x v="13"/>
  </r>
  <r>
    <s v="Id2146"/>
    <s v="Sebastien"/>
    <x v="166"/>
    <x v="162"/>
    <s v="Yes"/>
    <x v="2"/>
    <x v="2"/>
    <n v="1"/>
    <x v="0"/>
    <x v="0"/>
    <x v="3"/>
    <m/>
    <x v="77"/>
    <x v="3"/>
    <m/>
    <x v="3"/>
    <x v="13"/>
  </r>
  <r>
    <s v="Id2145"/>
    <s v="Padraig"/>
    <x v="167"/>
    <x v="163"/>
    <s v="Yes"/>
    <x v="2"/>
    <x v="2"/>
    <s v="No major surgery"/>
    <x v="0"/>
    <x v="0"/>
    <x v="3"/>
    <m/>
    <x v="77"/>
    <x v="3"/>
    <m/>
    <x v="3"/>
    <x v="13"/>
  </r>
  <r>
    <s v="Id2144"/>
    <s v="Heather"/>
    <x v="59"/>
    <x v="164"/>
    <s v="No"/>
    <x v="2"/>
    <x v="2"/>
    <n v="1"/>
    <x v="0"/>
    <x v="0"/>
    <x v="3"/>
    <m/>
    <x v="77"/>
    <x v="3"/>
    <m/>
    <x v="3"/>
    <x v="13"/>
  </r>
  <r>
    <s v="Id2143"/>
    <s v="Mr.  Jorge"/>
    <x v="168"/>
    <x v="165"/>
    <s v="No"/>
    <x v="2"/>
    <x v="2"/>
    <n v="1"/>
    <x v="0"/>
    <x v="0"/>
    <x v="3"/>
    <m/>
    <x v="77"/>
    <x v="3"/>
    <m/>
    <x v="3"/>
    <x v="13"/>
  </r>
  <r>
    <s v="Id2142"/>
    <s v="Jack R"/>
    <x v="18"/>
    <x v="85"/>
    <s v="No"/>
    <x v="2"/>
    <x v="2"/>
    <n v="1"/>
    <x v="0"/>
    <x v="0"/>
    <x v="3"/>
    <m/>
    <x v="77"/>
    <x v="3"/>
    <m/>
    <x v="3"/>
    <x v="13"/>
  </r>
  <r>
    <s v="Id2141"/>
    <s v="Felix"/>
    <x v="169"/>
    <x v="166"/>
    <s v="No"/>
    <x v="2"/>
    <x v="2"/>
    <n v="1"/>
    <x v="0"/>
    <x v="0"/>
    <x v="3"/>
    <m/>
    <x v="77"/>
    <x v="3"/>
    <m/>
    <x v="3"/>
    <x v="13"/>
  </r>
  <r>
    <s v="Id2140"/>
    <s v="Christopher C"/>
    <x v="170"/>
    <x v="167"/>
    <s v="No"/>
    <x v="2"/>
    <x v="2"/>
    <s v="No major surgery"/>
    <x v="0"/>
    <x v="0"/>
    <x v="3"/>
    <m/>
    <x v="77"/>
    <x v="3"/>
    <m/>
    <x v="3"/>
    <x v="13"/>
  </r>
  <r>
    <s v="Id2139"/>
    <s v="Jesse"/>
    <x v="171"/>
    <x v="168"/>
    <s v="No"/>
    <x v="2"/>
    <x v="2"/>
    <s v="No major surgery"/>
    <x v="0"/>
    <x v="0"/>
    <x v="3"/>
    <m/>
    <x v="77"/>
    <x v="3"/>
    <m/>
    <x v="3"/>
    <x v="13"/>
  </r>
  <r>
    <s v="Id2138"/>
    <s v="Jill"/>
    <x v="172"/>
    <x v="169"/>
    <s v="No"/>
    <x v="2"/>
    <x v="2"/>
    <n v="1"/>
    <x v="0"/>
    <x v="0"/>
    <x v="3"/>
    <m/>
    <x v="77"/>
    <x v="3"/>
    <m/>
    <x v="3"/>
    <x v="13"/>
  </r>
  <r>
    <s v="Id2137"/>
    <s v="William"/>
    <x v="161"/>
    <x v="170"/>
    <s v="Yes"/>
    <x v="2"/>
    <x v="2"/>
    <n v="1"/>
    <x v="0"/>
    <x v="0"/>
    <x v="3"/>
    <m/>
    <x v="77"/>
    <x v="3"/>
    <m/>
    <x v="3"/>
    <x v="13"/>
  </r>
  <r>
    <s v="Id2136"/>
    <s v="Alejandro"/>
    <x v="173"/>
    <x v="171"/>
    <s v="No"/>
    <x v="2"/>
    <x v="2"/>
    <n v="1"/>
    <x v="0"/>
    <x v="0"/>
    <x v="3"/>
    <m/>
    <x v="77"/>
    <x v="3"/>
    <m/>
    <x v="3"/>
    <x v="13"/>
  </r>
  <r>
    <s v="Id2135"/>
    <s v="Ian E."/>
    <x v="174"/>
    <x v="106"/>
    <s v="Yes"/>
    <x v="2"/>
    <x v="2"/>
    <s v="No major surgery"/>
    <x v="0"/>
    <x v="0"/>
    <x v="3"/>
    <m/>
    <x v="77"/>
    <x v="3"/>
    <m/>
    <x v="3"/>
    <x v="13"/>
  </r>
  <r>
    <s v="Id2134"/>
    <s v="Hector Sr."/>
    <x v="175"/>
    <x v="172"/>
    <s v="Yes"/>
    <x v="2"/>
    <x v="2"/>
    <n v="1"/>
    <x v="0"/>
    <x v="1"/>
    <x v="3"/>
    <m/>
    <x v="77"/>
    <x v="3"/>
    <m/>
    <x v="3"/>
    <x v="13"/>
  </r>
  <r>
    <s v="Id2133"/>
    <s v="Rebecca"/>
    <x v="176"/>
    <x v="173"/>
    <s v="No"/>
    <x v="2"/>
    <x v="2"/>
    <s v="No major surgery"/>
    <x v="0"/>
    <x v="0"/>
    <x v="3"/>
    <m/>
    <x v="77"/>
    <x v="3"/>
    <m/>
    <x v="3"/>
    <x v="13"/>
  </r>
  <r>
    <s v="Id2132"/>
    <s v="Matt"/>
    <x v="177"/>
    <x v="129"/>
    <s v="Yes"/>
    <x v="2"/>
    <x v="2"/>
    <s v="No major surgery"/>
    <x v="0"/>
    <x v="0"/>
    <x v="3"/>
    <m/>
    <x v="77"/>
    <x v="3"/>
    <m/>
    <x v="3"/>
    <x v="13"/>
  </r>
  <r>
    <s v="Id2131"/>
    <s v="Elizabeth H"/>
    <x v="178"/>
    <x v="150"/>
    <s v="No"/>
    <x v="2"/>
    <x v="2"/>
    <n v="1"/>
    <x v="0"/>
    <x v="0"/>
    <x v="3"/>
    <m/>
    <x v="77"/>
    <x v="3"/>
    <m/>
    <x v="3"/>
    <x v="13"/>
  </r>
  <r>
    <s v="Id2130"/>
    <s v="Grace"/>
    <x v="179"/>
    <x v="174"/>
    <s v="Yes"/>
    <x v="2"/>
    <x v="2"/>
    <s v="No major surgery"/>
    <x v="0"/>
    <x v="0"/>
    <x v="3"/>
    <m/>
    <x v="77"/>
    <x v="3"/>
    <m/>
    <x v="3"/>
    <x v="13"/>
  </r>
  <r>
    <s v="Id2129"/>
    <s v="Jaime"/>
    <x v="180"/>
    <x v="118"/>
    <s v="No"/>
    <x v="2"/>
    <x v="2"/>
    <s v="No major surgery"/>
    <x v="0"/>
    <x v="0"/>
    <x v="3"/>
    <m/>
    <x v="77"/>
    <x v="3"/>
    <m/>
    <x v="3"/>
    <x v="13"/>
  </r>
  <r>
    <s v="Id2128"/>
    <s v="Calesse"/>
    <x v="172"/>
    <x v="175"/>
    <s v="No"/>
    <x v="2"/>
    <x v="2"/>
    <s v="No major surgery"/>
    <x v="0"/>
    <x v="0"/>
    <x v="3"/>
    <m/>
    <x v="77"/>
    <x v="3"/>
    <m/>
    <x v="3"/>
    <x v="13"/>
  </r>
  <r>
    <s v="Id2127"/>
    <s v="Kate L"/>
    <x v="181"/>
    <x v="176"/>
    <s v="No"/>
    <x v="2"/>
    <x v="2"/>
    <n v="1"/>
    <x v="0"/>
    <x v="0"/>
    <x v="3"/>
    <m/>
    <x v="77"/>
    <x v="3"/>
    <m/>
    <x v="3"/>
    <x v="13"/>
  </r>
  <r>
    <s v="Id2126"/>
    <s v="Sergey"/>
    <x v="182"/>
    <x v="93"/>
    <s v="Yes"/>
    <x v="2"/>
    <x v="2"/>
    <n v="2"/>
    <x v="0"/>
    <x v="0"/>
    <x v="3"/>
    <m/>
    <x v="77"/>
    <x v="3"/>
    <m/>
    <x v="3"/>
    <x v="13"/>
  </r>
  <r>
    <s v="Id2125"/>
    <s v="Timothy V"/>
    <x v="124"/>
    <x v="177"/>
    <s v="No"/>
    <x v="2"/>
    <x v="2"/>
    <s v="No major surgery"/>
    <x v="0"/>
    <x v="0"/>
    <x v="3"/>
    <m/>
    <x v="77"/>
    <x v="3"/>
    <m/>
    <x v="3"/>
    <x v="13"/>
  </r>
  <r>
    <s v="Id2124"/>
    <s v="Andrew S"/>
    <x v="183"/>
    <x v="178"/>
    <s v="Yes"/>
    <x v="2"/>
    <x v="2"/>
    <n v="1"/>
    <x v="0"/>
    <x v="1"/>
    <x v="3"/>
    <m/>
    <x v="77"/>
    <x v="3"/>
    <m/>
    <x v="3"/>
    <x v="13"/>
  </r>
  <r>
    <s v="Id2123"/>
    <s v="Matthew D"/>
    <x v="184"/>
    <x v="179"/>
    <s v="No"/>
    <x v="2"/>
    <x v="2"/>
    <n v="2"/>
    <x v="0"/>
    <x v="0"/>
    <x v="3"/>
    <m/>
    <x v="77"/>
    <x v="3"/>
    <m/>
    <x v="3"/>
    <x v="13"/>
  </r>
  <r>
    <s v="Id2122"/>
    <s v="Jessica"/>
    <x v="185"/>
    <x v="180"/>
    <s v="No"/>
    <x v="2"/>
    <x v="2"/>
    <n v="1"/>
    <x v="0"/>
    <x v="0"/>
    <x v="3"/>
    <m/>
    <x v="77"/>
    <x v="3"/>
    <m/>
    <x v="3"/>
    <x v="13"/>
  </r>
  <r>
    <s v="Id2121"/>
    <s v="Lawrence"/>
    <x v="186"/>
    <x v="181"/>
    <s v="No"/>
    <x v="2"/>
    <x v="2"/>
    <n v="2"/>
    <x v="0"/>
    <x v="0"/>
    <x v="3"/>
    <m/>
    <x v="77"/>
    <x v="3"/>
    <m/>
    <x v="3"/>
    <x v="13"/>
  </r>
  <r>
    <s v="Id2120"/>
    <s v="Alex"/>
    <x v="65"/>
    <x v="182"/>
    <s v="Yes"/>
    <x v="2"/>
    <x v="2"/>
    <n v="1"/>
    <x v="0"/>
    <x v="0"/>
    <x v="3"/>
    <m/>
    <x v="77"/>
    <x v="3"/>
    <m/>
    <x v="3"/>
    <x v="13"/>
  </r>
  <r>
    <s v="Id2119"/>
    <s v="Kevin"/>
    <x v="187"/>
    <x v="183"/>
    <s v="No"/>
    <x v="2"/>
    <x v="2"/>
    <s v="No major surgery"/>
    <x v="0"/>
    <x v="0"/>
    <x v="3"/>
    <m/>
    <x v="77"/>
    <x v="3"/>
    <m/>
    <x v="3"/>
    <x v="13"/>
  </r>
  <r>
    <s v="Id2118"/>
    <s v="Gavin M."/>
    <x v="188"/>
    <x v="3"/>
    <s v="Yes"/>
    <x v="2"/>
    <x v="2"/>
    <n v="1"/>
    <x v="0"/>
    <x v="0"/>
    <x v="3"/>
    <m/>
    <x v="77"/>
    <x v="3"/>
    <m/>
    <x v="3"/>
    <x v="13"/>
  </r>
  <r>
    <s v="Id2117"/>
    <s v="Rick E"/>
    <x v="189"/>
    <x v="184"/>
    <s v="Yes"/>
    <x v="2"/>
    <x v="2"/>
    <n v="1"/>
    <x v="0"/>
    <x v="0"/>
    <x v="3"/>
    <m/>
    <x v="77"/>
    <x v="3"/>
    <m/>
    <x v="3"/>
    <x v="13"/>
  </r>
  <r>
    <s v="Id2116"/>
    <s v="Andrea H."/>
    <x v="190"/>
    <x v="185"/>
    <s v="Yes"/>
    <x v="2"/>
    <x v="2"/>
    <s v="No major surgery"/>
    <x v="1"/>
    <x v="1"/>
    <x v="3"/>
    <m/>
    <x v="77"/>
    <x v="3"/>
    <m/>
    <x v="3"/>
    <x v="13"/>
  </r>
  <r>
    <s v="Id2115"/>
    <s v="Anthony S"/>
    <x v="191"/>
    <x v="89"/>
    <s v="No"/>
    <x v="2"/>
    <x v="2"/>
    <n v="1"/>
    <x v="0"/>
    <x v="1"/>
    <x v="3"/>
    <m/>
    <x v="77"/>
    <x v="3"/>
    <m/>
    <x v="3"/>
    <x v="13"/>
  </r>
  <r>
    <s v="Id2114"/>
    <s v="Erik"/>
    <x v="192"/>
    <x v="186"/>
    <s v="No"/>
    <x v="2"/>
    <x v="2"/>
    <s v="No major surgery"/>
    <x v="0"/>
    <x v="2"/>
    <x v="3"/>
    <m/>
    <x v="77"/>
    <x v="3"/>
    <m/>
    <x v="3"/>
    <x v="13"/>
  </r>
  <r>
    <s v="Id2113"/>
    <s v="Kiley D"/>
    <x v="193"/>
    <x v="187"/>
    <s v="Yes"/>
    <x v="2"/>
    <x v="2"/>
    <n v="1"/>
    <x v="0"/>
    <x v="0"/>
    <x v="3"/>
    <m/>
    <x v="77"/>
    <x v="3"/>
    <m/>
    <x v="3"/>
    <x v="13"/>
  </r>
  <r>
    <s v="Id2112"/>
    <s v="Jennifer"/>
    <x v="194"/>
    <x v="188"/>
    <s v="No"/>
    <x v="2"/>
    <x v="2"/>
    <s v="No major surgery"/>
    <x v="0"/>
    <x v="0"/>
    <x v="3"/>
    <m/>
    <x v="77"/>
    <x v="3"/>
    <m/>
    <x v="3"/>
    <x v="13"/>
  </r>
  <r>
    <s v="Id2111"/>
    <s v="Chris"/>
    <x v="195"/>
    <x v="189"/>
    <s v="Yes"/>
    <x v="2"/>
    <x v="2"/>
    <n v="1"/>
    <x v="0"/>
    <x v="0"/>
    <x v="3"/>
    <m/>
    <x v="77"/>
    <x v="3"/>
    <m/>
    <x v="3"/>
    <x v="13"/>
  </r>
  <r>
    <s v="Id2110"/>
    <s v="Marian M."/>
    <x v="196"/>
    <x v="150"/>
    <s v="No"/>
    <x v="2"/>
    <x v="2"/>
    <n v="1"/>
    <x v="0"/>
    <x v="0"/>
    <x v="3"/>
    <m/>
    <x v="77"/>
    <x v="3"/>
    <m/>
    <x v="3"/>
    <x v="13"/>
  </r>
  <r>
    <s v="Id2109"/>
    <s v="Jeremy"/>
    <x v="197"/>
    <x v="190"/>
    <s v="Yes"/>
    <x v="2"/>
    <x v="2"/>
    <s v="No major surgery"/>
    <x v="0"/>
    <x v="1"/>
    <x v="3"/>
    <m/>
    <x v="77"/>
    <x v="3"/>
    <m/>
    <x v="3"/>
    <x v="13"/>
  </r>
  <r>
    <s v="Id2108"/>
    <s v="Allison H"/>
    <x v="198"/>
    <x v="191"/>
    <s v="Yes"/>
    <x v="2"/>
    <x v="2"/>
    <n v="1"/>
    <x v="0"/>
    <x v="0"/>
    <x v="3"/>
    <m/>
    <x v="77"/>
    <x v="3"/>
    <m/>
    <x v="3"/>
    <x v="13"/>
  </r>
  <r>
    <s v="Id2107"/>
    <s v="Elizabeth"/>
    <x v="199"/>
    <x v="192"/>
    <s v="Yes"/>
    <x v="2"/>
    <x v="2"/>
    <n v="1"/>
    <x v="0"/>
    <x v="0"/>
    <x v="3"/>
    <m/>
    <x v="77"/>
    <x v="3"/>
    <m/>
    <x v="3"/>
    <x v="13"/>
  </r>
  <r>
    <s v="Id2106"/>
    <s v="Andrew"/>
    <x v="200"/>
    <x v="21"/>
    <s v="No"/>
    <x v="2"/>
    <x v="2"/>
    <n v="1"/>
    <x v="0"/>
    <x v="0"/>
    <x v="3"/>
    <m/>
    <x v="77"/>
    <x v="3"/>
    <m/>
    <x v="3"/>
    <x v="13"/>
  </r>
  <r>
    <s v="Id2105"/>
    <s v="Anders J"/>
    <x v="201"/>
    <x v="193"/>
    <s v="Yes"/>
    <x v="2"/>
    <x v="2"/>
    <n v="1"/>
    <x v="0"/>
    <x v="0"/>
    <x v="3"/>
    <m/>
    <x v="77"/>
    <x v="3"/>
    <m/>
    <x v="3"/>
    <x v="13"/>
  </r>
  <r>
    <s v="Id2104"/>
    <s v="Sean"/>
    <x v="105"/>
    <x v="194"/>
    <s v="No"/>
    <x v="2"/>
    <x v="2"/>
    <n v="1"/>
    <x v="0"/>
    <x v="0"/>
    <x v="3"/>
    <m/>
    <x v="77"/>
    <x v="3"/>
    <m/>
    <x v="3"/>
    <x v="13"/>
  </r>
  <r>
    <s v="Id2103"/>
    <s v="Brian M."/>
    <x v="202"/>
    <x v="171"/>
    <s v="No"/>
    <x v="2"/>
    <x v="2"/>
    <s v="No major surgery"/>
    <x v="0"/>
    <x v="0"/>
    <x v="3"/>
    <m/>
    <x v="77"/>
    <x v="3"/>
    <m/>
    <x v="3"/>
    <x v="13"/>
  </r>
  <r>
    <s v="Id2102"/>
    <s v="Jeremy"/>
    <x v="203"/>
    <x v="195"/>
    <s v="No"/>
    <x v="2"/>
    <x v="2"/>
    <n v="1"/>
    <x v="0"/>
    <x v="0"/>
    <x v="3"/>
    <m/>
    <x v="77"/>
    <x v="3"/>
    <m/>
    <x v="3"/>
    <x v="13"/>
  </r>
  <r>
    <s v="Id2101"/>
    <s v="Susannah"/>
    <x v="141"/>
    <x v="196"/>
    <s v="Yes"/>
    <x v="2"/>
    <x v="2"/>
    <s v="No major surgery"/>
    <x v="0"/>
    <x v="0"/>
    <x v="3"/>
    <m/>
    <x v="77"/>
    <x v="3"/>
    <m/>
    <x v="3"/>
    <x v="13"/>
  </r>
  <r>
    <s v="Id2100"/>
    <s v="Randy"/>
    <x v="204"/>
    <x v="197"/>
    <s v="No"/>
    <x v="2"/>
    <x v="2"/>
    <n v="1"/>
    <x v="0"/>
    <x v="0"/>
    <x v="3"/>
    <m/>
    <x v="77"/>
    <x v="3"/>
    <m/>
    <x v="3"/>
    <x v="13"/>
  </r>
  <r>
    <s v="Id2099"/>
    <s v="Leslie"/>
    <x v="205"/>
    <x v="27"/>
    <s v="No"/>
    <x v="2"/>
    <x v="2"/>
    <s v="No major surgery"/>
    <x v="0"/>
    <x v="0"/>
    <x v="3"/>
    <m/>
    <x v="77"/>
    <x v="3"/>
    <m/>
    <x v="3"/>
    <x v="13"/>
  </r>
  <r>
    <s v="Id2098"/>
    <s v="Brittany L."/>
    <x v="82"/>
    <x v="198"/>
    <s v="No"/>
    <x v="2"/>
    <x v="2"/>
    <n v="1"/>
    <x v="0"/>
    <x v="0"/>
    <x v="3"/>
    <m/>
    <x v="77"/>
    <x v="3"/>
    <m/>
    <x v="3"/>
    <x v="13"/>
  </r>
  <r>
    <s v="Id2097"/>
    <s v="Cassie J."/>
    <x v="206"/>
    <x v="199"/>
    <s v="No"/>
    <x v="2"/>
    <x v="2"/>
    <n v="1"/>
    <x v="0"/>
    <x v="0"/>
    <x v="3"/>
    <m/>
    <x v="77"/>
    <x v="3"/>
    <m/>
    <x v="3"/>
    <x v="13"/>
  </r>
  <r>
    <s v="Id2096"/>
    <s v="Peter W"/>
    <x v="207"/>
    <x v="200"/>
    <s v="Yes"/>
    <x v="2"/>
    <x v="2"/>
    <n v="1"/>
    <x v="0"/>
    <x v="0"/>
    <x v="3"/>
    <m/>
    <x v="77"/>
    <x v="3"/>
    <m/>
    <x v="3"/>
    <x v="13"/>
  </r>
  <r>
    <s v="Id2095"/>
    <s v="Douglas"/>
    <x v="208"/>
    <x v="201"/>
    <s v="Yes"/>
    <x v="2"/>
    <x v="2"/>
    <n v="1"/>
    <x v="0"/>
    <x v="3"/>
    <x v="3"/>
    <m/>
    <x v="77"/>
    <x v="3"/>
    <m/>
    <x v="3"/>
    <x v="13"/>
  </r>
  <r>
    <s v="Id2094"/>
    <s v="Dan"/>
    <x v="209"/>
    <x v="202"/>
    <s v="Yes"/>
    <x v="2"/>
    <x v="2"/>
    <n v="1"/>
    <x v="0"/>
    <x v="3"/>
    <x v="3"/>
    <m/>
    <x v="77"/>
    <x v="3"/>
    <m/>
    <x v="3"/>
    <x v="13"/>
  </r>
  <r>
    <s v="Id2093"/>
    <s v="Dan M."/>
    <x v="210"/>
    <x v="203"/>
    <s v="No"/>
    <x v="2"/>
    <x v="2"/>
    <n v="1"/>
    <x v="0"/>
    <x v="3"/>
    <x v="3"/>
    <m/>
    <x v="77"/>
    <x v="3"/>
    <m/>
    <x v="3"/>
    <x v="13"/>
  </r>
  <r>
    <s v="Id2092"/>
    <s v="Eric L."/>
    <x v="211"/>
    <x v="204"/>
    <s v="No"/>
    <x v="2"/>
    <x v="2"/>
    <s v="No major surgery"/>
    <x v="0"/>
    <x v="3"/>
    <x v="3"/>
    <m/>
    <x v="77"/>
    <x v="3"/>
    <m/>
    <x v="3"/>
    <x v="13"/>
  </r>
  <r>
    <s v="Id2091"/>
    <s v="Les J"/>
    <x v="212"/>
    <x v="205"/>
    <s v="Yes"/>
    <x v="2"/>
    <x v="2"/>
    <n v="1"/>
    <x v="0"/>
    <x v="3"/>
    <x v="3"/>
    <m/>
    <x v="77"/>
    <x v="3"/>
    <m/>
    <x v="3"/>
    <x v="13"/>
  </r>
  <r>
    <s v="Id2090"/>
    <s v="Stephanie"/>
    <x v="213"/>
    <x v="14"/>
    <s v="No"/>
    <x v="2"/>
    <x v="2"/>
    <s v="No major surgery"/>
    <x v="0"/>
    <x v="3"/>
    <x v="3"/>
    <m/>
    <x v="77"/>
    <x v="3"/>
    <m/>
    <x v="3"/>
    <x v="13"/>
  </r>
  <r>
    <s v="Id2089"/>
    <s v="Melissa Y"/>
    <x v="199"/>
    <x v="206"/>
    <s v="No"/>
    <x v="2"/>
    <x v="2"/>
    <s v="No major surgery"/>
    <x v="0"/>
    <x v="3"/>
    <x v="3"/>
    <m/>
    <x v="77"/>
    <x v="3"/>
    <m/>
    <x v="3"/>
    <x v="13"/>
  </r>
  <r>
    <s v="Id2088"/>
    <s v="Ashley"/>
    <x v="214"/>
    <x v="41"/>
    <s v="No"/>
    <x v="2"/>
    <x v="2"/>
    <s v="No major surgery"/>
    <x v="0"/>
    <x v="3"/>
    <x v="3"/>
    <m/>
    <x v="77"/>
    <x v="3"/>
    <m/>
    <x v="3"/>
    <x v="13"/>
  </r>
  <r>
    <s v="Id2087"/>
    <s v="Stephanie M."/>
    <x v="215"/>
    <x v="40"/>
    <s v="No"/>
    <x v="2"/>
    <x v="2"/>
    <n v="2"/>
    <x v="0"/>
    <x v="3"/>
    <x v="3"/>
    <m/>
    <x v="77"/>
    <x v="3"/>
    <m/>
    <x v="3"/>
    <x v="13"/>
  </r>
  <r>
    <s v="Id2086"/>
    <s v="Kylie"/>
    <x v="216"/>
    <x v="138"/>
    <s v="No"/>
    <x v="2"/>
    <x v="2"/>
    <s v="No major surgery"/>
    <x v="0"/>
    <x v="3"/>
    <x v="3"/>
    <m/>
    <x v="77"/>
    <x v="3"/>
    <m/>
    <x v="3"/>
    <x v="13"/>
  </r>
  <r>
    <s v="Id2085"/>
    <s v="Kelly"/>
    <x v="217"/>
    <x v="119"/>
    <s v="No"/>
    <x v="2"/>
    <x v="2"/>
    <n v="2"/>
    <x v="0"/>
    <x v="3"/>
    <x v="3"/>
    <m/>
    <x v="77"/>
    <x v="3"/>
    <m/>
    <x v="3"/>
    <x v="13"/>
  </r>
  <r>
    <s v="Id2084"/>
    <s v="Carrie"/>
    <x v="117"/>
    <x v="47"/>
    <s v="Yes"/>
    <x v="2"/>
    <x v="2"/>
    <n v="1"/>
    <x v="0"/>
    <x v="3"/>
    <x v="3"/>
    <m/>
    <x v="77"/>
    <x v="3"/>
    <m/>
    <x v="3"/>
    <x v="13"/>
  </r>
  <r>
    <s v="Id2083"/>
    <s v="Alex"/>
    <x v="218"/>
    <x v="176"/>
    <s v="Yes"/>
    <x v="2"/>
    <x v="2"/>
    <n v="2"/>
    <x v="0"/>
    <x v="3"/>
    <x v="3"/>
    <m/>
    <x v="77"/>
    <x v="3"/>
    <m/>
    <x v="3"/>
    <x v="13"/>
  </r>
  <r>
    <s v="Id2082"/>
    <s v="Zach S"/>
    <x v="219"/>
    <x v="207"/>
    <s v="No"/>
    <x v="2"/>
    <x v="2"/>
    <s v="No major surgery"/>
    <x v="0"/>
    <x v="3"/>
    <x v="3"/>
    <m/>
    <x v="77"/>
    <x v="3"/>
    <m/>
    <x v="3"/>
    <x v="13"/>
  </r>
  <r>
    <s v="Id2081"/>
    <s v="Alan"/>
    <x v="141"/>
    <x v="78"/>
    <s v="No"/>
    <x v="2"/>
    <x v="2"/>
    <n v="1"/>
    <x v="0"/>
    <x v="3"/>
    <x v="3"/>
    <m/>
    <x v="77"/>
    <x v="3"/>
    <m/>
    <x v="3"/>
    <x v="13"/>
  </r>
  <r>
    <s v="Id2080"/>
    <s v="Nate"/>
    <x v="170"/>
    <x v="208"/>
    <s v="No"/>
    <x v="2"/>
    <x v="2"/>
    <n v="1"/>
    <x v="0"/>
    <x v="3"/>
    <x v="3"/>
    <m/>
    <x v="77"/>
    <x v="3"/>
    <m/>
    <x v="3"/>
    <x v="13"/>
  </r>
  <r>
    <s v="Id2079"/>
    <s v="Jesse G."/>
    <x v="220"/>
    <x v="60"/>
    <s v="No"/>
    <x v="2"/>
    <x v="2"/>
    <n v="1"/>
    <x v="0"/>
    <x v="3"/>
    <x v="3"/>
    <m/>
    <x v="77"/>
    <x v="3"/>
    <m/>
    <x v="3"/>
    <x v="13"/>
  </r>
  <r>
    <s v="Id2078"/>
    <s v="Jason"/>
    <x v="221"/>
    <x v="27"/>
    <s v="No"/>
    <x v="2"/>
    <x v="2"/>
    <n v="1"/>
    <x v="0"/>
    <x v="3"/>
    <x v="3"/>
    <m/>
    <x v="77"/>
    <x v="3"/>
    <m/>
    <x v="3"/>
    <x v="13"/>
  </r>
  <r>
    <s v="Id2077"/>
    <s v="Megan A."/>
    <x v="222"/>
    <x v="209"/>
    <s v="No"/>
    <x v="2"/>
    <x v="2"/>
    <n v="1"/>
    <x v="0"/>
    <x v="3"/>
    <x v="3"/>
    <m/>
    <x v="77"/>
    <x v="3"/>
    <m/>
    <x v="3"/>
    <x v="13"/>
  </r>
  <r>
    <s v="Id2076"/>
    <s v="Luke M"/>
    <x v="60"/>
    <x v="210"/>
    <s v="No"/>
    <x v="2"/>
    <x v="2"/>
    <s v="No major surgery"/>
    <x v="0"/>
    <x v="3"/>
    <x v="3"/>
    <m/>
    <x v="77"/>
    <x v="3"/>
    <m/>
    <x v="3"/>
    <x v="13"/>
  </r>
  <r>
    <s v="Id2075"/>
    <s v="Jacy D"/>
    <x v="223"/>
    <x v="211"/>
    <s v="Yes"/>
    <x v="2"/>
    <x v="2"/>
    <n v="2"/>
    <x v="1"/>
    <x v="3"/>
    <x v="3"/>
    <m/>
    <x v="77"/>
    <x v="3"/>
    <m/>
    <x v="3"/>
    <x v="13"/>
  </r>
  <r>
    <s v="Id2074"/>
    <s v="Simon G."/>
    <x v="224"/>
    <x v="212"/>
    <s v="Yes"/>
    <x v="2"/>
    <x v="2"/>
    <s v="No major surgery"/>
    <x v="0"/>
    <x v="3"/>
    <x v="3"/>
    <m/>
    <x v="77"/>
    <x v="3"/>
    <m/>
    <x v="3"/>
    <x v="13"/>
  </r>
  <r>
    <s v="Id2073"/>
    <s v="Ainsley E."/>
    <x v="225"/>
    <x v="1"/>
    <s v="No"/>
    <x v="2"/>
    <x v="2"/>
    <n v="2"/>
    <x v="0"/>
    <x v="3"/>
    <x v="3"/>
    <m/>
    <x v="77"/>
    <x v="3"/>
    <m/>
    <x v="3"/>
    <x v="13"/>
  </r>
  <r>
    <s v="Id2072"/>
    <s v="Erica A."/>
    <x v="226"/>
    <x v="213"/>
    <s v="No"/>
    <x v="2"/>
    <x v="2"/>
    <n v="1"/>
    <x v="0"/>
    <x v="3"/>
    <x v="3"/>
    <m/>
    <x v="77"/>
    <x v="3"/>
    <m/>
    <x v="3"/>
    <x v="13"/>
  </r>
  <r>
    <s v="Id2071"/>
    <s v="Erik"/>
    <x v="227"/>
    <x v="214"/>
    <s v="No"/>
    <x v="2"/>
    <x v="2"/>
    <s v="No major surgery"/>
    <x v="0"/>
    <x v="3"/>
    <x v="3"/>
    <m/>
    <x v="77"/>
    <x v="3"/>
    <m/>
    <x v="3"/>
    <x v="13"/>
  </r>
  <r>
    <s v="Id2070"/>
    <s v="Erin C."/>
    <x v="228"/>
    <x v="215"/>
    <s v="Yes"/>
    <x v="2"/>
    <x v="2"/>
    <s v="No major surgery"/>
    <x v="0"/>
    <x v="3"/>
    <x v="3"/>
    <m/>
    <x v="77"/>
    <x v="3"/>
    <m/>
    <x v="3"/>
    <x v="13"/>
  </r>
  <r>
    <s v="Id2069"/>
    <s v="Adrienne"/>
    <x v="229"/>
    <x v="216"/>
    <s v="Yes"/>
    <x v="2"/>
    <x v="2"/>
    <n v="1"/>
    <x v="0"/>
    <x v="3"/>
    <x v="3"/>
    <m/>
    <x v="77"/>
    <x v="3"/>
    <m/>
    <x v="3"/>
    <x v="13"/>
  </r>
  <r>
    <s v="Id2068"/>
    <s v="Adam"/>
    <x v="230"/>
    <x v="217"/>
    <s v="No"/>
    <x v="2"/>
    <x v="2"/>
    <s v="No major surgery"/>
    <x v="0"/>
    <x v="3"/>
    <x v="3"/>
    <m/>
    <x v="77"/>
    <x v="3"/>
    <m/>
    <x v="3"/>
    <x v="13"/>
  </r>
  <r>
    <s v="Id2067"/>
    <s v="Yutaka"/>
    <x v="231"/>
    <x v="78"/>
    <s v="No"/>
    <x v="2"/>
    <x v="2"/>
    <s v="No major surgery"/>
    <x v="0"/>
    <x v="3"/>
    <x v="3"/>
    <m/>
    <x v="77"/>
    <x v="3"/>
    <m/>
    <x v="3"/>
    <x v="13"/>
  </r>
  <r>
    <s v="Id2066"/>
    <s v="Tyler M"/>
    <x v="232"/>
    <x v="218"/>
    <s v="Yes"/>
    <x v="2"/>
    <x v="2"/>
    <s v="No major surgery"/>
    <x v="0"/>
    <x v="3"/>
    <x v="3"/>
    <m/>
    <x v="77"/>
    <x v="3"/>
    <m/>
    <x v="3"/>
    <x v="13"/>
  </r>
  <r>
    <s v="Id2065"/>
    <s v="Stephen"/>
    <x v="233"/>
    <x v="219"/>
    <s v="Yes"/>
    <x v="2"/>
    <x v="2"/>
    <n v="1"/>
    <x v="0"/>
    <x v="3"/>
    <x v="3"/>
    <m/>
    <x v="77"/>
    <x v="3"/>
    <m/>
    <x v="3"/>
    <x v="13"/>
  </r>
  <r>
    <s v="Id2064"/>
    <s v="Andrew B."/>
    <x v="234"/>
    <x v="220"/>
    <s v="No"/>
    <x v="2"/>
    <x v="2"/>
    <s v="No major surgery"/>
    <x v="0"/>
    <x v="3"/>
    <x v="3"/>
    <m/>
    <x v="77"/>
    <x v="3"/>
    <m/>
    <x v="3"/>
    <x v="13"/>
  </r>
  <r>
    <s v="Id2063"/>
    <s v="James"/>
    <x v="235"/>
    <x v="221"/>
    <s v="Yes"/>
    <x v="2"/>
    <x v="2"/>
    <s v="No major surgery"/>
    <x v="0"/>
    <x v="3"/>
    <x v="3"/>
    <m/>
    <x v="77"/>
    <x v="3"/>
    <m/>
    <x v="3"/>
    <x v="13"/>
  </r>
  <r>
    <s v="Id2062"/>
    <s v="Shawn P."/>
    <x v="236"/>
    <x v="166"/>
    <s v="Yes"/>
    <x v="2"/>
    <x v="2"/>
    <n v="1"/>
    <x v="0"/>
    <x v="3"/>
    <x v="3"/>
    <m/>
    <x v="77"/>
    <x v="3"/>
    <m/>
    <x v="3"/>
    <x v="13"/>
  </r>
  <r>
    <s v="Id2061"/>
    <s v="Matt"/>
    <x v="237"/>
    <x v="196"/>
    <s v="No"/>
    <x v="2"/>
    <x v="2"/>
    <s v="No major surgery"/>
    <x v="0"/>
    <x v="3"/>
    <x v="3"/>
    <m/>
    <x v="77"/>
    <x v="3"/>
    <m/>
    <x v="3"/>
    <x v="13"/>
  </r>
  <r>
    <s v="Id2060"/>
    <s v="Nathaniel"/>
    <x v="238"/>
    <x v="152"/>
    <s v="No"/>
    <x v="2"/>
    <x v="2"/>
    <n v="2"/>
    <x v="0"/>
    <x v="3"/>
    <x v="3"/>
    <m/>
    <x v="77"/>
    <x v="3"/>
    <m/>
    <x v="3"/>
    <x v="13"/>
  </r>
  <r>
    <s v="Id2059"/>
    <s v="Kevin D."/>
    <x v="239"/>
    <x v="222"/>
    <s v="No"/>
    <x v="2"/>
    <x v="2"/>
    <s v="No major surgery"/>
    <x v="0"/>
    <x v="3"/>
    <x v="3"/>
    <m/>
    <x v="77"/>
    <x v="3"/>
    <m/>
    <x v="3"/>
    <x v="13"/>
  </r>
  <r>
    <s v="Id2058"/>
    <s v="Joan"/>
    <x v="240"/>
    <x v="133"/>
    <s v="No"/>
    <x v="2"/>
    <x v="2"/>
    <s v="No major surgery"/>
    <x v="0"/>
    <x v="3"/>
    <x v="3"/>
    <m/>
    <x v="77"/>
    <x v="3"/>
    <m/>
    <x v="3"/>
    <x v="13"/>
  </r>
  <r>
    <s v="Id2057"/>
    <s v="Christopher A"/>
    <x v="241"/>
    <x v="99"/>
    <s v="No"/>
    <x v="2"/>
    <x v="2"/>
    <s v="No major surgery"/>
    <x v="0"/>
    <x v="3"/>
    <x v="3"/>
    <m/>
    <x v="77"/>
    <x v="3"/>
    <m/>
    <x v="3"/>
    <x v="13"/>
  </r>
  <r>
    <s v="Id2056"/>
    <s v="Kacy L."/>
    <x v="242"/>
    <x v="223"/>
    <s v="No"/>
    <x v="2"/>
    <x v="2"/>
    <s v="No major surgery"/>
    <x v="0"/>
    <x v="3"/>
    <x v="3"/>
    <m/>
    <x v="77"/>
    <x v="3"/>
    <m/>
    <x v="3"/>
    <x v="13"/>
  </r>
  <r>
    <s v="Id2055"/>
    <s v="Benjamin H."/>
    <x v="243"/>
    <x v="80"/>
    <s v="No"/>
    <x v="2"/>
    <x v="2"/>
    <s v="No major surgery"/>
    <x v="0"/>
    <x v="3"/>
    <x v="3"/>
    <m/>
    <x v="77"/>
    <x v="3"/>
    <m/>
    <x v="3"/>
    <x v="13"/>
  </r>
  <r>
    <s v="Id2054"/>
    <s v="Xaviour J."/>
    <x v="215"/>
    <x v="224"/>
    <s v="No"/>
    <x v="2"/>
    <x v="2"/>
    <n v="1"/>
    <x v="0"/>
    <x v="3"/>
    <x v="3"/>
    <m/>
    <x v="77"/>
    <x v="3"/>
    <m/>
    <x v="3"/>
    <x v="13"/>
  </r>
  <r>
    <s v="Id2053"/>
    <s v="Michael T."/>
    <x v="244"/>
    <x v="106"/>
    <s v="Yes"/>
    <x v="2"/>
    <x v="2"/>
    <s v="No major surgery"/>
    <x v="0"/>
    <x v="3"/>
    <x v="3"/>
    <m/>
    <x v="77"/>
    <x v="3"/>
    <m/>
    <x v="3"/>
    <x v="13"/>
  </r>
  <r>
    <s v="Id2052"/>
    <s v="Bradley"/>
    <x v="245"/>
    <x v="225"/>
    <s v="Yes"/>
    <x v="2"/>
    <x v="2"/>
    <s v="No major surgery"/>
    <x v="0"/>
    <x v="3"/>
    <x v="3"/>
    <m/>
    <x v="77"/>
    <x v="3"/>
    <m/>
    <x v="3"/>
    <x v="13"/>
  </r>
  <r>
    <s v="Id2051"/>
    <s v="Andrea"/>
    <x v="246"/>
    <x v="226"/>
    <s v="Yes"/>
    <x v="2"/>
    <x v="2"/>
    <s v="No major surgery"/>
    <x v="0"/>
    <x v="3"/>
    <x v="3"/>
    <m/>
    <x v="77"/>
    <x v="3"/>
    <m/>
    <x v="3"/>
    <x v="13"/>
  </r>
  <r>
    <s v="Id2050"/>
    <s v="Nancy M"/>
    <x v="247"/>
    <x v="100"/>
    <s v="No"/>
    <x v="2"/>
    <x v="2"/>
    <n v="2"/>
    <x v="0"/>
    <x v="3"/>
    <x v="3"/>
    <m/>
    <x v="77"/>
    <x v="3"/>
    <m/>
    <x v="3"/>
    <x v="13"/>
  </r>
  <r>
    <s v="Id2049"/>
    <s v="Matt"/>
    <x v="248"/>
    <x v="227"/>
    <s v="Yes"/>
    <x v="2"/>
    <x v="2"/>
    <n v="1"/>
    <x v="0"/>
    <x v="3"/>
    <x v="3"/>
    <m/>
    <x v="77"/>
    <x v="3"/>
    <m/>
    <x v="3"/>
    <x v="13"/>
  </r>
  <r>
    <s v="Id2048"/>
    <s v="Lee"/>
    <x v="249"/>
    <x v="14"/>
    <s v="Yes"/>
    <x v="2"/>
    <x v="2"/>
    <n v="1"/>
    <x v="0"/>
    <x v="3"/>
    <x v="3"/>
    <m/>
    <x v="77"/>
    <x v="3"/>
    <m/>
    <x v="3"/>
    <x v="13"/>
  </r>
  <r>
    <s v="Id2047"/>
    <s v="Chris"/>
    <x v="250"/>
    <x v="228"/>
    <s v="No"/>
    <x v="2"/>
    <x v="2"/>
    <s v="No major surgery"/>
    <x v="0"/>
    <x v="3"/>
    <x v="3"/>
    <m/>
    <x v="77"/>
    <x v="3"/>
    <m/>
    <x v="3"/>
    <x v="13"/>
  </r>
  <r>
    <s v="Id2046"/>
    <s v="Erik T."/>
    <x v="251"/>
    <x v="229"/>
    <s v="Yes"/>
    <x v="2"/>
    <x v="2"/>
    <n v="1"/>
    <x v="0"/>
    <x v="3"/>
    <x v="3"/>
    <m/>
    <x v="77"/>
    <x v="3"/>
    <m/>
    <x v="3"/>
    <x v="13"/>
  </r>
  <r>
    <s v="Id2045"/>
    <s v="Rod W"/>
    <x v="252"/>
    <x v="230"/>
    <s v="No"/>
    <x v="2"/>
    <x v="2"/>
    <s v="No major surgery"/>
    <x v="1"/>
    <x v="3"/>
    <x v="3"/>
    <m/>
    <x v="77"/>
    <x v="3"/>
    <m/>
    <x v="3"/>
    <x v="13"/>
  </r>
  <r>
    <s v="Id2044"/>
    <s v="Joey"/>
    <x v="253"/>
    <x v="124"/>
    <s v="No"/>
    <x v="2"/>
    <x v="2"/>
    <n v="1"/>
    <x v="0"/>
    <x v="3"/>
    <x v="3"/>
    <m/>
    <x v="77"/>
    <x v="3"/>
    <m/>
    <x v="3"/>
    <x v="13"/>
  </r>
  <r>
    <s v="Id2043"/>
    <s v="Hillary L."/>
    <x v="254"/>
    <x v="231"/>
    <s v="No"/>
    <x v="2"/>
    <x v="2"/>
    <n v="2"/>
    <x v="0"/>
    <x v="3"/>
    <x v="3"/>
    <m/>
    <x v="77"/>
    <x v="3"/>
    <m/>
    <x v="3"/>
    <x v="13"/>
  </r>
  <r>
    <s v="?"/>
    <s v="Eric J"/>
    <x v="255"/>
    <x v="232"/>
    <s v="Yes"/>
    <x v="2"/>
    <x v="2"/>
    <n v="1"/>
    <x v="0"/>
    <x v="3"/>
    <x v="3"/>
    <m/>
    <x v="77"/>
    <x v="3"/>
    <m/>
    <x v="3"/>
    <x v="13"/>
  </r>
  <r>
    <s v="Id2042"/>
    <s v="Nicolas"/>
    <x v="256"/>
    <x v="112"/>
    <s v="No"/>
    <x v="2"/>
    <x v="2"/>
    <n v="1"/>
    <x v="0"/>
    <x v="3"/>
    <x v="3"/>
    <m/>
    <x v="77"/>
    <x v="3"/>
    <m/>
    <x v="3"/>
    <x v="13"/>
  </r>
  <r>
    <s v="Id2041"/>
    <s v="Marcel"/>
    <x v="257"/>
    <x v="233"/>
    <s v="No"/>
    <x v="2"/>
    <x v="2"/>
    <s v="No major surgery"/>
    <x v="0"/>
    <x v="3"/>
    <x v="3"/>
    <m/>
    <x v="77"/>
    <x v="3"/>
    <m/>
    <x v="3"/>
    <x v="13"/>
  </r>
  <r>
    <s v="Id2040"/>
    <s v="Ashley N"/>
    <x v="27"/>
    <x v="54"/>
    <s v="No"/>
    <x v="2"/>
    <x v="2"/>
    <s v="No major surgery"/>
    <x v="1"/>
    <x v="3"/>
    <x v="3"/>
    <m/>
    <x v="77"/>
    <x v="3"/>
    <m/>
    <x v="3"/>
    <x v="13"/>
  </r>
  <r>
    <s v="Id2039"/>
    <s v="Evan D"/>
    <x v="258"/>
    <x v="234"/>
    <s v="Yes"/>
    <x v="2"/>
    <x v="2"/>
    <n v="1"/>
    <x v="0"/>
    <x v="3"/>
    <x v="3"/>
    <m/>
    <x v="77"/>
    <x v="3"/>
    <m/>
    <x v="3"/>
    <x v="13"/>
  </r>
  <r>
    <s v="Id2038"/>
    <s v="Krisana"/>
    <x v="259"/>
    <x v="235"/>
    <s v="No"/>
    <x v="2"/>
    <x v="2"/>
    <s v="No major surgery"/>
    <x v="0"/>
    <x v="3"/>
    <x v="3"/>
    <m/>
    <x v="77"/>
    <x v="3"/>
    <m/>
    <x v="3"/>
    <x v="13"/>
  </r>
  <r>
    <s v="Id2037"/>
    <s v="Kyle"/>
    <x v="260"/>
    <x v="27"/>
    <s v="Yes"/>
    <x v="2"/>
    <x v="2"/>
    <n v="1"/>
    <x v="0"/>
    <x v="3"/>
    <x v="3"/>
    <m/>
    <x v="77"/>
    <x v="3"/>
    <m/>
    <x v="3"/>
    <x v="13"/>
  </r>
  <r>
    <s v="Id2036"/>
    <s v="Kate"/>
    <x v="261"/>
    <x v="12"/>
    <s v="No"/>
    <x v="2"/>
    <x v="2"/>
    <s v="No major surgery"/>
    <x v="0"/>
    <x v="3"/>
    <x v="3"/>
    <m/>
    <x v="77"/>
    <x v="3"/>
    <m/>
    <x v="3"/>
    <x v="13"/>
  </r>
  <r>
    <s v="Id2035"/>
    <s v="Martin A."/>
    <x v="262"/>
    <x v="236"/>
    <s v="Yes"/>
    <x v="2"/>
    <x v="2"/>
    <n v="2"/>
    <x v="0"/>
    <x v="3"/>
    <x v="3"/>
    <m/>
    <x v="77"/>
    <x v="3"/>
    <m/>
    <x v="3"/>
    <x v="13"/>
  </r>
  <r>
    <s v="Id2034"/>
    <s v="Stacey"/>
    <x v="263"/>
    <x v="237"/>
    <s v="No"/>
    <x v="2"/>
    <x v="2"/>
    <n v="1"/>
    <x v="0"/>
    <x v="3"/>
    <x v="3"/>
    <m/>
    <x v="77"/>
    <x v="3"/>
    <m/>
    <x v="3"/>
    <x v="13"/>
  </r>
  <r>
    <s v="Id2033"/>
    <s v="Christine"/>
    <x v="264"/>
    <x v="238"/>
    <s v="Yes"/>
    <x v="2"/>
    <x v="2"/>
    <n v="2"/>
    <x v="0"/>
    <x v="3"/>
    <x v="3"/>
    <m/>
    <x v="77"/>
    <x v="3"/>
    <m/>
    <x v="3"/>
    <x v="13"/>
  </r>
  <r>
    <s v="Id2032"/>
    <s v="Sarah C."/>
    <x v="265"/>
    <x v="239"/>
    <s v="Yes"/>
    <x v="2"/>
    <x v="2"/>
    <n v="1"/>
    <x v="0"/>
    <x v="3"/>
    <x v="3"/>
    <m/>
    <x v="77"/>
    <x v="3"/>
    <m/>
    <x v="3"/>
    <x v="13"/>
  </r>
  <r>
    <s v="Id2031"/>
    <s v="Megan"/>
    <x v="266"/>
    <x v="194"/>
    <s v="Yes"/>
    <x v="2"/>
    <x v="2"/>
    <n v="1"/>
    <x v="0"/>
    <x v="3"/>
    <x v="3"/>
    <m/>
    <x v="77"/>
    <x v="3"/>
    <m/>
    <x v="3"/>
    <x v="13"/>
  </r>
  <r>
    <s v="Id2030"/>
    <s v="Jason W"/>
    <x v="267"/>
    <x v="240"/>
    <s v="No"/>
    <x v="2"/>
    <x v="2"/>
    <s v="No major surgery"/>
    <x v="0"/>
    <x v="3"/>
    <x v="3"/>
    <m/>
    <x v="77"/>
    <x v="3"/>
    <m/>
    <x v="3"/>
    <x v="13"/>
  </r>
  <r>
    <s v="Id2029"/>
    <s v="Michele"/>
    <x v="268"/>
    <x v="241"/>
    <s v="Yes"/>
    <x v="2"/>
    <x v="2"/>
    <n v="2"/>
    <x v="0"/>
    <x v="3"/>
    <x v="3"/>
    <m/>
    <x v="77"/>
    <x v="3"/>
    <m/>
    <x v="3"/>
    <x v="13"/>
  </r>
  <r>
    <s v="Id2028"/>
    <s v="Nikki"/>
    <x v="269"/>
    <x v="242"/>
    <s v="Yes"/>
    <x v="2"/>
    <x v="2"/>
    <n v="1"/>
    <x v="0"/>
    <x v="3"/>
    <x v="3"/>
    <m/>
    <x v="77"/>
    <x v="3"/>
    <m/>
    <x v="3"/>
    <x v="13"/>
  </r>
  <r>
    <s v="Id2027"/>
    <s v="Philip J."/>
    <x v="270"/>
    <x v="236"/>
    <s v="Yes"/>
    <x v="2"/>
    <x v="2"/>
    <n v="1"/>
    <x v="0"/>
    <x v="3"/>
    <x v="3"/>
    <m/>
    <x v="77"/>
    <x v="3"/>
    <m/>
    <x v="3"/>
    <x v="13"/>
  </r>
  <r>
    <s v="Id2026"/>
    <s v="Bryan L"/>
    <x v="271"/>
    <x v="141"/>
    <s v="No"/>
    <x v="2"/>
    <x v="2"/>
    <n v="1"/>
    <x v="0"/>
    <x v="3"/>
    <x v="3"/>
    <m/>
    <x v="77"/>
    <x v="3"/>
    <m/>
    <x v="3"/>
    <x v="13"/>
  </r>
  <r>
    <s v="Id2025"/>
    <s v="Timothy F"/>
    <x v="272"/>
    <x v="243"/>
    <s v="Yes"/>
    <x v="2"/>
    <x v="2"/>
    <s v="No major surgery"/>
    <x v="0"/>
    <x v="3"/>
    <x v="3"/>
    <m/>
    <x v="77"/>
    <x v="3"/>
    <m/>
    <x v="3"/>
    <x v="13"/>
  </r>
  <r>
    <s v="Id2024"/>
    <s v="Ms.  Angielyn M"/>
    <x v="273"/>
    <x v="244"/>
    <s v="Yes"/>
    <x v="2"/>
    <x v="2"/>
    <n v="1"/>
    <x v="0"/>
    <x v="3"/>
    <x v="3"/>
    <m/>
    <x v="77"/>
    <x v="3"/>
    <m/>
    <x v="3"/>
    <x v="13"/>
  </r>
  <r>
    <s v="Id2023"/>
    <s v="Jeanie M."/>
    <x v="274"/>
    <x v="245"/>
    <s v="No"/>
    <x v="2"/>
    <x v="2"/>
    <n v="1"/>
    <x v="0"/>
    <x v="3"/>
    <x v="3"/>
    <m/>
    <x v="77"/>
    <x v="3"/>
    <m/>
    <x v="3"/>
    <x v="13"/>
  </r>
  <r>
    <s v="Id2022"/>
    <s v="Greg"/>
    <x v="275"/>
    <x v="27"/>
    <s v="No"/>
    <x v="2"/>
    <x v="2"/>
    <n v="2"/>
    <x v="1"/>
    <x v="3"/>
    <x v="3"/>
    <m/>
    <x v="77"/>
    <x v="3"/>
    <m/>
    <x v="3"/>
    <x v="13"/>
  </r>
  <r>
    <s v="Id2021"/>
    <s v="John"/>
    <x v="276"/>
    <x v="246"/>
    <s v="No"/>
    <x v="2"/>
    <x v="2"/>
    <s v="No major surgery"/>
    <x v="1"/>
    <x v="3"/>
    <x v="3"/>
    <m/>
    <x v="77"/>
    <x v="3"/>
    <m/>
    <x v="3"/>
    <x v="13"/>
  </r>
  <r>
    <s v="Id2020"/>
    <s v="Aliaksandr"/>
    <x v="277"/>
    <x v="247"/>
    <s v="Yes"/>
    <x v="2"/>
    <x v="2"/>
    <n v="1"/>
    <x v="0"/>
    <x v="3"/>
    <x v="3"/>
    <m/>
    <x v="77"/>
    <x v="3"/>
    <m/>
    <x v="3"/>
    <x v="13"/>
  </r>
  <r>
    <s v="Id2019"/>
    <s v="Jason M."/>
    <x v="278"/>
    <x v="248"/>
    <s v="No"/>
    <x v="2"/>
    <x v="2"/>
    <n v="3"/>
    <x v="1"/>
    <x v="3"/>
    <x v="3"/>
    <m/>
    <x v="77"/>
    <x v="3"/>
    <m/>
    <x v="3"/>
    <x v="13"/>
  </r>
  <r>
    <s v="Id2018"/>
    <s v="Sheera K"/>
    <x v="279"/>
    <x v="68"/>
    <s v="No"/>
    <x v="2"/>
    <x v="2"/>
    <s v="No major surgery"/>
    <x v="0"/>
    <x v="3"/>
    <x v="3"/>
    <m/>
    <x v="77"/>
    <x v="3"/>
    <m/>
    <x v="3"/>
    <x v="13"/>
  </r>
  <r>
    <s v="Id2017"/>
    <s v="Janice"/>
    <x v="280"/>
    <x v="249"/>
    <s v="No"/>
    <x v="2"/>
    <x v="2"/>
    <n v="1"/>
    <x v="0"/>
    <x v="3"/>
    <x v="3"/>
    <m/>
    <x v="77"/>
    <x v="3"/>
    <m/>
    <x v="3"/>
    <x v="13"/>
  </r>
  <r>
    <s v="Id2016"/>
    <s v="Timothy G."/>
    <x v="281"/>
    <x v="250"/>
    <s v="Yes"/>
    <x v="2"/>
    <x v="2"/>
    <s v="No major surgery"/>
    <x v="1"/>
    <x v="3"/>
    <x v="3"/>
    <m/>
    <x v="77"/>
    <x v="3"/>
    <m/>
    <x v="3"/>
    <x v="13"/>
  </r>
  <r>
    <s v="Id2015"/>
    <s v="Alan R"/>
    <x v="282"/>
    <x v="201"/>
    <s v="Yes"/>
    <x v="2"/>
    <x v="2"/>
    <s v="No major surgery"/>
    <x v="0"/>
    <x v="3"/>
    <x v="3"/>
    <m/>
    <x v="77"/>
    <x v="3"/>
    <m/>
    <x v="3"/>
    <x v="13"/>
  </r>
  <r>
    <s v="Id2014"/>
    <s v="Michael"/>
    <x v="283"/>
    <x v="251"/>
    <s v="No"/>
    <x v="2"/>
    <x v="2"/>
    <s v="No major surgery"/>
    <x v="0"/>
    <x v="3"/>
    <x v="3"/>
    <m/>
    <x v="77"/>
    <x v="3"/>
    <m/>
    <x v="3"/>
    <x v="13"/>
  </r>
  <r>
    <s v="Id2013"/>
    <s v="Marie-France"/>
    <x v="272"/>
    <x v="252"/>
    <s v="Yes"/>
    <x v="2"/>
    <x v="2"/>
    <s v="No major surgery"/>
    <x v="0"/>
    <x v="3"/>
    <x v="3"/>
    <m/>
    <x v="77"/>
    <x v="3"/>
    <m/>
    <x v="3"/>
    <x v="13"/>
  </r>
  <r>
    <s v="Id2012"/>
    <s v="Erik F."/>
    <x v="284"/>
    <x v="253"/>
    <s v="Yes"/>
    <x v="2"/>
    <x v="2"/>
    <n v="1"/>
    <x v="0"/>
    <x v="3"/>
    <x v="3"/>
    <m/>
    <x v="77"/>
    <x v="3"/>
    <m/>
    <x v="3"/>
    <x v="13"/>
  </r>
  <r>
    <s v="Id2011"/>
    <s v="Andrew"/>
    <x v="285"/>
    <x v="254"/>
    <s v="Yes"/>
    <x v="2"/>
    <x v="2"/>
    <n v="1"/>
    <x v="0"/>
    <x v="3"/>
    <x v="3"/>
    <m/>
    <x v="77"/>
    <x v="3"/>
    <m/>
    <x v="3"/>
    <x v="13"/>
  </r>
  <r>
    <s v="Id2010"/>
    <s v="Anthony"/>
    <x v="286"/>
    <x v="34"/>
    <s v="No"/>
    <x v="2"/>
    <x v="2"/>
    <s v="No major surgery"/>
    <x v="0"/>
    <x v="3"/>
    <x v="3"/>
    <m/>
    <x v="77"/>
    <x v="3"/>
    <m/>
    <x v="3"/>
    <x v="13"/>
  </r>
  <r>
    <s v="Id2009"/>
    <s v="Chris"/>
    <x v="287"/>
    <x v="67"/>
    <s v="No"/>
    <x v="2"/>
    <x v="2"/>
    <s v="No major surgery"/>
    <x v="0"/>
    <x v="3"/>
    <x v="3"/>
    <m/>
    <x v="77"/>
    <x v="3"/>
    <m/>
    <x v="3"/>
    <x v="13"/>
  </r>
  <r>
    <s v="Id2008"/>
    <s v="Yu"/>
    <x v="288"/>
    <x v="255"/>
    <s v="Yes"/>
    <x v="2"/>
    <x v="2"/>
    <s v="No major surgery"/>
    <x v="0"/>
    <x v="3"/>
    <x v="3"/>
    <m/>
    <x v="77"/>
    <x v="3"/>
    <m/>
    <x v="3"/>
    <x v="13"/>
  </r>
  <r>
    <s v="Id2007"/>
    <s v="Caleb N"/>
    <x v="289"/>
    <x v="256"/>
    <s v="No"/>
    <x v="2"/>
    <x v="2"/>
    <n v="1"/>
    <x v="0"/>
    <x v="3"/>
    <x v="3"/>
    <m/>
    <x v="77"/>
    <x v="3"/>
    <m/>
    <x v="3"/>
    <x v="13"/>
  </r>
  <r>
    <s v="Id2006"/>
    <s v="Jason M."/>
    <x v="290"/>
    <x v="257"/>
    <s v="No"/>
    <x v="2"/>
    <x v="2"/>
    <n v="2"/>
    <x v="0"/>
    <x v="3"/>
    <x v="3"/>
    <m/>
    <x v="77"/>
    <x v="3"/>
    <m/>
    <x v="3"/>
    <x v="13"/>
  </r>
  <r>
    <s v="Id2005"/>
    <s v="Angela R"/>
    <x v="291"/>
    <x v="87"/>
    <s v="No"/>
    <x v="2"/>
    <x v="2"/>
    <n v="1"/>
    <x v="0"/>
    <x v="3"/>
    <x v="3"/>
    <m/>
    <x v="77"/>
    <x v="3"/>
    <m/>
    <x v="3"/>
    <x v="13"/>
  </r>
  <r>
    <s v="Id2004"/>
    <s v="Keith J"/>
    <x v="272"/>
    <x v="258"/>
    <s v="Yes"/>
    <x v="2"/>
    <x v="2"/>
    <n v="1"/>
    <x v="0"/>
    <x v="3"/>
    <x v="3"/>
    <m/>
    <x v="77"/>
    <x v="3"/>
    <m/>
    <x v="3"/>
    <x v="13"/>
  </r>
  <r>
    <s v="Id2003"/>
    <s v="Emma"/>
    <x v="292"/>
    <x v="82"/>
    <s v="Yes"/>
    <x v="2"/>
    <x v="2"/>
    <n v="2"/>
    <x v="0"/>
    <x v="3"/>
    <x v="3"/>
    <m/>
    <x v="77"/>
    <x v="3"/>
    <m/>
    <x v="3"/>
    <x v="13"/>
  </r>
  <r>
    <s v="Id2002"/>
    <s v="Nathan A"/>
    <x v="293"/>
    <x v="259"/>
    <s v="No"/>
    <x v="2"/>
    <x v="2"/>
    <n v="1"/>
    <x v="0"/>
    <x v="3"/>
    <x v="3"/>
    <m/>
    <x v="77"/>
    <x v="3"/>
    <m/>
    <x v="3"/>
    <x v="13"/>
  </r>
  <r>
    <s v="Id2001"/>
    <s v="Kathryn"/>
    <x v="294"/>
    <x v="141"/>
    <s v="Yes"/>
    <x v="2"/>
    <x v="2"/>
    <s v="No major surgery"/>
    <x v="0"/>
    <x v="3"/>
    <x v="3"/>
    <m/>
    <x v="77"/>
    <x v="3"/>
    <m/>
    <x v="3"/>
    <x v="13"/>
  </r>
  <r>
    <s v="Id2000"/>
    <s v="Elizabeth H."/>
    <x v="295"/>
    <x v="260"/>
    <s v="No"/>
    <x v="2"/>
    <x v="2"/>
    <n v="3"/>
    <x v="0"/>
    <x v="3"/>
    <x v="3"/>
    <m/>
    <x v="77"/>
    <x v="3"/>
    <m/>
    <x v="3"/>
    <x v="13"/>
  </r>
  <r>
    <s v="Id1999"/>
    <s v="Ben"/>
    <x v="296"/>
    <x v="217"/>
    <s v="No"/>
    <x v="2"/>
    <x v="2"/>
    <s v="No major surgery"/>
    <x v="0"/>
    <x v="3"/>
    <x v="3"/>
    <m/>
    <x v="77"/>
    <x v="3"/>
    <m/>
    <x v="3"/>
    <x v="13"/>
  </r>
  <r>
    <s v="Id1998"/>
    <s v="Cheryl A"/>
    <x v="67"/>
    <x v="143"/>
    <s v="Yes"/>
    <x v="2"/>
    <x v="2"/>
    <n v="1"/>
    <x v="1"/>
    <x v="3"/>
    <x v="3"/>
    <m/>
    <x v="77"/>
    <x v="3"/>
    <m/>
    <x v="3"/>
    <x v="13"/>
  </r>
  <r>
    <s v="Id1997"/>
    <s v="Kimberly A"/>
    <x v="297"/>
    <x v="261"/>
    <s v="Yes"/>
    <x v="2"/>
    <x v="2"/>
    <s v="No major surgery"/>
    <x v="0"/>
    <x v="3"/>
    <x v="3"/>
    <m/>
    <x v="77"/>
    <x v="3"/>
    <m/>
    <x v="3"/>
    <x v="13"/>
  </r>
  <r>
    <s v="Id1996"/>
    <s v="Cynthia"/>
    <x v="298"/>
    <x v="262"/>
    <s v="Yes"/>
    <x v="2"/>
    <x v="2"/>
    <n v="2"/>
    <x v="0"/>
    <x v="3"/>
    <x v="3"/>
    <m/>
    <x v="77"/>
    <x v="3"/>
    <m/>
    <x v="3"/>
    <x v="13"/>
  </r>
  <r>
    <s v="Id1995"/>
    <s v="Jessica"/>
    <x v="299"/>
    <x v="263"/>
    <s v="No"/>
    <x v="2"/>
    <x v="2"/>
    <s v="No major surgery"/>
    <x v="0"/>
    <x v="3"/>
    <x v="3"/>
    <m/>
    <x v="77"/>
    <x v="3"/>
    <m/>
    <x v="3"/>
    <x v="13"/>
  </r>
  <r>
    <s v="Id1994"/>
    <s v="Bruce"/>
    <x v="300"/>
    <x v="159"/>
    <s v="No"/>
    <x v="2"/>
    <x v="2"/>
    <s v="No major surgery"/>
    <x v="0"/>
    <x v="3"/>
    <x v="3"/>
    <m/>
    <x v="77"/>
    <x v="3"/>
    <m/>
    <x v="3"/>
    <x v="13"/>
  </r>
  <r>
    <s v="Id1993"/>
    <s v="Allison"/>
    <x v="301"/>
    <x v="139"/>
    <s v="No"/>
    <x v="2"/>
    <x v="2"/>
    <n v="1"/>
    <x v="0"/>
    <x v="3"/>
    <x v="3"/>
    <m/>
    <x v="77"/>
    <x v="3"/>
    <m/>
    <x v="3"/>
    <x v="13"/>
  </r>
  <r>
    <s v="Id1992"/>
    <s v="Alex"/>
    <x v="302"/>
    <x v="264"/>
    <s v="No"/>
    <x v="2"/>
    <x v="2"/>
    <n v="1"/>
    <x v="0"/>
    <x v="3"/>
    <x v="3"/>
    <m/>
    <x v="77"/>
    <x v="3"/>
    <m/>
    <x v="3"/>
    <x v="13"/>
  </r>
  <r>
    <s v="Id1991"/>
    <s v="Gabriela"/>
    <x v="303"/>
    <x v="127"/>
    <s v="Yes"/>
    <x v="2"/>
    <x v="2"/>
    <n v="2"/>
    <x v="0"/>
    <x v="3"/>
    <x v="3"/>
    <m/>
    <x v="77"/>
    <x v="3"/>
    <m/>
    <x v="3"/>
    <x v="13"/>
  </r>
  <r>
    <s v="Id1990"/>
    <s v="Sharon"/>
    <x v="304"/>
    <x v="265"/>
    <s v="No"/>
    <x v="2"/>
    <x v="2"/>
    <s v="No major surgery"/>
    <x v="1"/>
    <x v="3"/>
    <x v="3"/>
    <m/>
    <x v="77"/>
    <x v="3"/>
    <m/>
    <x v="3"/>
    <x v="13"/>
  </r>
  <r>
    <s v="Id1989"/>
    <s v="Jason A"/>
    <x v="237"/>
    <x v="266"/>
    <s v="Yes"/>
    <x v="2"/>
    <x v="2"/>
    <n v="2"/>
    <x v="0"/>
    <x v="3"/>
    <x v="3"/>
    <m/>
    <x v="77"/>
    <x v="3"/>
    <m/>
    <x v="3"/>
    <x v="13"/>
  </r>
  <r>
    <s v="Id1988"/>
    <s v="Chelsey C."/>
    <x v="305"/>
    <x v="267"/>
    <s v="No"/>
    <x v="2"/>
    <x v="2"/>
    <s v="No major surgery"/>
    <x v="0"/>
    <x v="3"/>
    <x v="3"/>
    <m/>
    <x v="77"/>
    <x v="3"/>
    <m/>
    <x v="3"/>
    <x v="13"/>
  </r>
  <r>
    <s v="Id1987"/>
    <s v="Devon A."/>
    <x v="306"/>
    <x v="105"/>
    <s v="Yes"/>
    <x v="2"/>
    <x v="2"/>
    <s v="No major surgery"/>
    <x v="0"/>
    <x v="3"/>
    <x v="3"/>
    <m/>
    <x v="77"/>
    <x v="3"/>
    <m/>
    <x v="3"/>
    <x v="13"/>
  </r>
  <r>
    <s v="Id1986"/>
    <s v="Joni L"/>
    <x v="307"/>
    <x v="6"/>
    <s v="No"/>
    <x v="2"/>
    <x v="2"/>
    <s v="No major surgery"/>
    <x v="1"/>
    <x v="3"/>
    <x v="3"/>
    <m/>
    <x v="77"/>
    <x v="3"/>
    <m/>
    <x v="3"/>
    <x v="13"/>
  </r>
  <r>
    <s v="Id1985"/>
    <s v="Colin"/>
    <x v="106"/>
    <x v="246"/>
    <s v="No"/>
    <x v="2"/>
    <x v="2"/>
    <s v="No major surgery"/>
    <x v="1"/>
    <x v="3"/>
    <x v="3"/>
    <m/>
    <x v="77"/>
    <x v="3"/>
    <m/>
    <x v="3"/>
    <x v="13"/>
  </r>
  <r>
    <s v="Id1984"/>
    <s v="Rachael"/>
    <x v="308"/>
    <x v="164"/>
    <s v="No"/>
    <x v="2"/>
    <x v="2"/>
    <s v="No major surgery"/>
    <x v="1"/>
    <x v="3"/>
    <x v="3"/>
    <m/>
    <x v="77"/>
    <x v="3"/>
    <m/>
    <x v="3"/>
    <x v="13"/>
  </r>
  <r>
    <s v="Id1983"/>
    <s v="Torres, Ms.  Maricela"/>
    <x v="309"/>
    <x v="268"/>
    <s v="No"/>
    <x v="2"/>
    <x v="2"/>
    <s v="No major surgery"/>
    <x v="0"/>
    <x v="3"/>
    <x v="3"/>
    <m/>
    <x v="77"/>
    <x v="3"/>
    <m/>
    <x v="3"/>
    <x v="13"/>
  </r>
  <r>
    <s v="Id1982"/>
    <s v="Marie"/>
    <x v="310"/>
    <x v="269"/>
    <s v="Yes"/>
    <x v="2"/>
    <x v="2"/>
    <n v="1"/>
    <x v="1"/>
    <x v="3"/>
    <x v="3"/>
    <m/>
    <x v="77"/>
    <x v="3"/>
    <m/>
    <x v="3"/>
    <x v="13"/>
  </r>
  <r>
    <s v="Id1981"/>
    <s v="Frank"/>
    <x v="311"/>
    <x v="115"/>
    <s v="No"/>
    <x v="2"/>
    <x v="2"/>
    <s v="No major surgery"/>
    <x v="0"/>
    <x v="3"/>
    <x v="3"/>
    <m/>
    <x v="77"/>
    <x v="3"/>
    <m/>
    <x v="3"/>
    <x v="13"/>
  </r>
  <r>
    <s v="Id1980"/>
    <s v="Jeffry"/>
    <x v="312"/>
    <x v="205"/>
    <s v="No"/>
    <x v="2"/>
    <x v="2"/>
    <s v="No major surgery"/>
    <x v="0"/>
    <x v="3"/>
    <x v="3"/>
    <m/>
    <x v="77"/>
    <x v="3"/>
    <m/>
    <x v="3"/>
    <x v="13"/>
  </r>
  <r>
    <s v="Id1979"/>
    <s v="Mike"/>
    <x v="313"/>
    <x v="103"/>
    <s v="Yes"/>
    <x v="2"/>
    <x v="2"/>
    <s v="No major surgery"/>
    <x v="0"/>
    <x v="3"/>
    <x v="3"/>
    <m/>
    <x v="77"/>
    <x v="3"/>
    <m/>
    <x v="3"/>
    <x v="13"/>
  </r>
  <r>
    <s v="Id1978"/>
    <s v="Rick"/>
    <x v="314"/>
    <x v="270"/>
    <s v="No"/>
    <x v="2"/>
    <x v="2"/>
    <s v="No major surgery"/>
    <x v="0"/>
    <x v="3"/>
    <x v="3"/>
    <m/>
    <x v="77"/>
    <x v="3"/>
    <m/>
    <x v="3"/>
    <x v="13"/>
  </r>
  <r>
    <s v="Id1977"/>
    <s v="Pierre-Michel"/>
    <x v="315"/>
    <x v="271"/>
    <s v="Yes"/>
    <x v="2"/>
    <x v="2"/>
    <n v="2"/>
    <x v="1"/>
    <x v="3"/>
    <x v="3"/>
    <m/>
    <x v="77"/>
    <x v="3"/>
    <m/>
    <x v="3"/>
    <x v="13"/>
  </r>
  <r>
    <s v="Id1976"/>
    <s v="Daniel"/>
    <x v="316"/>
    <x v="272"/>
    <s v="No"/>
    <x v="2"/>
    <x v="2"/>
    <s v="No major surgery"/>
    <x v="0"/>
    <x v="3"/>
    <x v="3"/>
    <m/>
    <x v="77"/>
    <x v="3"/>
    <m/>
    <x v="3"/>
    <x v="13"/>
  </r>
  <r>
    <s v="Id1975"/>
    <s v="Brian L."/>
    <x v="317"/>
    <x v="273"/>
    <s v="No"/>
    <x v="2"/>
    <x v="2"/>
    <s v="No major surgery"/>
    <x v="0"/>
    <x v="3"/>
    <x v="3"/>
    <m/>
    <x v="77"/>
    <x v="3"/>
    <m/>
    <x v="3"/>
    <x v="13"/>
  </r>
  <r>
    <s v="Id1974"/>
    <s v="Morgan M."/>
    <x v="318"/>
    <x v="274"/>
    <s v="Yes"/>
    <x v="2"/>
    <x v="2"/>
    <s v="No major surgery"/>
    <x v="0"/>
    <x v="3"/>
    <x v="3"/>
    <m/>
    <x v="77"/>
    <x v="3"/>
    <m/>
    <x v="3"/>
    <x v="13"/>
  </r>
  <r>
    <s v="Id1973"/>
    <s v="Caroline"/>
    <x v="319"/>
    <x v="181"/>
    <s v="No"/>
    <x v="2"/>
    <x v="2"/>
    <s v="No major surgery"/>
    <x v="0"/>
    <x v="3"/>
    <x v="3"/>
    <m/>
    <x v="77"/>
    <x v="3"/>
    <m/>
    <x v="3"/>
    <x v="13"/>
  </r>
  <r>
    <s v="Id1972"/>
    <s v="Drew T."/>
    <x v="320"/>
    <x v="275"/>
    <s v="No"/>
    <x v="2"/>
    <x v="2"/>
    <s v="No major surgery"/>
    <x v="1"/>
    <x v="3"/>
    <x v="3"/>
    <m/>
    <x v="77"/>
    <x v="3"/>
    <m/>
    <x v="3"/>
    <x v="13"/>
  </r>
  <r>
    <s v="Id1971"/>
    <s v="Austin W"/>
    <x v="321"/>
    <x v="276"/>
    <s v="No"/>
    <x v="2"/>
    <x v="2"/>
    <n v="1"/>
    <x v="0"/>
    <x v="3"/>
    <x v="3"/>
    <m/>
    <x v="77"/>
    <x v="3"/>
    <m/>
    <x v="3"/>
    <x v="13"/>
  </r>
  <r>
    <s v="Id1970"/>
    <s v="Berenice"/>
    <x v="322"/>
    <x v="80"/>
    <s v="Yes"/>
    <x v="2"/>
    <x v="2"/>
    <n v="1"/>
    <x v="0"/>
    <x v="3"/>
    <x v="3"/>
    <m/>
    <x v="77"/>
    <x v="3"/>
    <m/>
    <x v="3"/>
    <x v="13"/>
  </r>
  <r>
    <s v="Id1969"/>
    <s v="Kenneth A"/>
    <x v="323"/>
    <x v="277"/>
    <s v="Yes"/>
    <x v="2"/>
    <x v="2"/>
    <n v="1"/>
    <x v="0"/>
    <x v="3"/>
    <x v="3"/>
    <m/>
    <x v="77"/>
    <x v="3"/>
    <m/>
    <x v="3"/>
    <x v="13"/>
  </r>
  <r>
    <s v="Id1968"/>
    <s v="Mr.  Miguel"/>
    <x v="190"/>
    <x v="102"/>
    <s v="No"/>
    <x v="2"/>
    <x v="2"/>
    <n v="1"/>
    <x v="0"/>
    <x v="3"/>
    <x v="3"/>
    <m/>
    <x v="77"/>
    <x v="3"/>
    <m/>
    <x v="3"/>
    <x v="13"/>
  </r>
  <r>
    <s v="Id1967"/>
    <s v="Hadley T."/>
    <x v="324"/>
    <x v="212"/>
    <s v="Yes"/>
    <x v="2"/>
    <x v="2"/>
    <s v="No major surgery"/>
    <x v="0"/>
    <x v="3"/>
    <x v="3"/>
    <m/>
    <x v="77"/>
    <x v="3"/>
    <m/>
    <x v="3"/>
    <x v="13"/>
  </r>
  <r>
    <s v="Id1966"/>
    <s v="Taylor"/>
    <x v="325"/>
    <x v="49"/>
    <s v="No"/>
    <x v="2"/>
    <x v="2"/>
    <n v="1"/>
    <x v="0"/>
    <x v="3"/>
    <x v="3"/>
    <m/>
    <x v="77"/>
    <x v="3"/>
    <m/>
    <x v="3"/>
    <x v="13"/>
  </r>
  <r>
    <s v="Id1965"/>
    <s v="Tenielle M"/>
    <x v="326"/>
    <x v="278"/>
    <s v="No"/>
    <x v="2"/>
    <x v="2"/>
    <s v="No major surgery"/>
    <x v="0"/>
    <x v="3"/>
    <x v="3"/>
    <m/>
    <x v="77"/>
    <x v="3"/>
    <m/>
    <x v="3"/>
    <x v="13"/>
  </r>
  <r>
    <s v="Id1964"/>
    <s v="Andrea"/>
    <x v="327"/>
    <x v="279"/>
    <s v="Yes"/>
    <x v="2"/>
    <x v="2"/>
    <s v="No major surgery"/>
    <x v="0"/>
    <x v="3"/>
    <x v="3"/>
    <m/>
    <x v="77"/>
    <x v="3"/>
    <m/>
    <x v="3"/>
    <x v="13"/>
  </r>
  <r>
    <s v="Id1963"/>
    <s v="Nora P"/>
    <x v="328"/>
    <x v="270"/>
    <s v="Yes"/>
    <x v="2"/>
    <x v="2"/>
    <s v="No major surgery"/>
    <x v="0"/>
    <x v="3"/>
    <x v="3"/>
    <m/>
    <x v="77"/>
    <x v="3"/>
    <m/>
    <x v="3"/>
    <x v="13"/>
  </r>
  <r>
    <s v="Id1962"/>
    <s v="Zachary"/>
    <x v="329"/>
    <x v="82"/>
    <s v="Yes"/>
    <x v="2"/>
    <x v="2"/>
    <n v="1"/>
    <x v="1"/>
    <x v="3"/>
    <x v="3"/>
    <m/>
    <x v="77"/>
    <x v="3"/>
    <m/>
    <x v="3"/>
    <x v="13"/>
  </r>
  <r>
    <s v="Id1961"/>
    <s v="Michael"/>
    <x v="32"/>
    <x v="280"/>
    <s v="Yes"/>
    <x v="2"/>
    <x v="2"/>
    <n v="1"/>
    <x v="1"/>
    <x v="3"/>
    <x v="3"/>
    <m/>
    <x v="77"/>
    <x v="3"/>
    <m/>
    <x v="3"/>
    <x v="13"/>
  </r>
  <r>
    <s v="Id1960"/>
    <s v="Alyssa K."/>
    <x v="330"/>
    <x v="57"/>
    <s v="No"/>
    <x v="2"/>
    <x v="2"/>
    <s v="No major surgery"/>
    <x v="1"/>
    <x v="3"/>
    <x v="3"/>
    <m/>
    <x v="77"/>
    <x v="3"/>
    <m/>
    <x v="3"/>
    <x v="13"/>
  </r>
  <r>
    <s v="Id1959"/>
    <s v="Heather"/>
    <x v="323"/>
    <x v="219"/>
    <s v="No"/>
    <x v="2"/>
    <x v="2"/>
    <s v="No major surgery"/>
    <x v="0"/>
    <x v="3"/>
    <x v="3"/>
    <m/>
    <x v="77"/>
    <x v="3"/>
    <m/>
    <x v="3"/>
    <x v="13"/>
  </r>
  <r>
    <s v="Id1958"/>
    <s v="Dante"/>
    <x v="331"/>
    <x v="281"/>
    <s v="No"/>
    <x v="2"/>
    <x v="2"/>
    <s v="No major surgery"/>
    <x v="0"/>
    <x v="3"/>
    <x v="3"/>
    <m/>
    <x v="77"/>
    <x v="3"/>
    <m/>
    <x v="3"/>
    <x v="13"/>
  </r>
  <r>
    <s v="Id1957"/>
    <s v="Sara E."/>
    <x v="332"/>
    <x v="282"/>
    <s v="Yes"/>
    <x v="2"/>
    <x v="2"/>
    <n v="2"/>
    <x v="1"/>
    <x v="3"/>
    <x v="3"/>
    <m/>
    <x v="77"/>
    <x v="3"/>
    <m/>
    <x v="3"/>
    <x v="13"/>
  </r>
  <r>
    <s v="Id1956"/>
    <s v="Scott"/>
    <x v="333"/>
    <x v="191"/>
    <s v="No"/>
    <x v="2"/>
    <x v="2"/>
    <s v="No major surgery"/>
    <x v="0"/>
    <x v="3"/>
    <x v="3"/>
    <m/>
    <x v="77"/>
    <x v="3"/>
    <m/>
    <x v="3"/>
    <x v="13"/>
  </r>
  <r>
    <s v="Id1955"/>
    <s v="Sean"/>
    <x v="334"/>
    <x v="283"/>
    <s v="No"/>
    <x v="2"/>
    <x v="2"/>
    <s v="No major surgery"/>
    <x v="0"/>
    <x v="3"/>
    <x v="3"/>
    <m/>
    <x v="77"/>
    <x v="3"/>
    <m/>
    <x v="3"/>
    <x v="13"/>
  </r>
  <r>
    <s v="Id1954"/>
    <s v="Danielle"/>
    <x v="335"/>
    <x v="284"/>
    <s v="No"/>
    <x v="2"/>
    <x v="2"/>
    <n v="3"/>
    <x v="0"/>
    <x v="3"/>
    <x v="3"/>
    <m/>
    <x v="77"/>
    <x v="3"/>
    <m/>
    <x v="3"/>
    <x v="13"/>
  </r>
  <r>
    <s v="Id1953"/>
    <s v="Andrew D."/>
    <x v="336"/>
    <x v="285"/>
    <s v="No"/>
    <x v="2"/>
    <x v="2"/>
    <s v="No major surgery"/>
    <x v="1"/>
    <x v="3"/>
    <x v="3"/>
    <m/>
    <x v="77"/>
    <x v="3"/>
    <m/>
    <x v="3"/>
    <x v="13"/>
  </r>
  <r>
    <s v="Id1952"/>
    <s v="Joel D"/>
    <x v="337"/>
    <x v="194"/>
    <s v="No"/>
    <x v="2"/>
    <x v="2"/>
    <n v="2"/>
    <x v="0"/>
    <x v="3"/>
    <x v="3"/>
    <m/>
    <x v="77"/>
    <x v="3"/>
    <m/>
    <x v="3"/>
    <x v="13"/>
  </r>
  <r>
    <s v="Id1951"/>
    <s v="Michelle"/>
    <x v="338"/>
    <x v="286"/>
    <s v="No"/>
    <x v="2"/>
    <x v="2"/>
    <s v="No major surgery"/>
    <x v="0"/>
    <x v="3"/>
    <x v="3"/>
    <m/>
    <x v="77"/>
    <x v="3"/>
    <m/>
    <x v="3"/>
    <x v="13"/>
  </r>
  <r>
    <s v="Id1950"/>
    <s v="Michael J."/>
    <x v="339"/>
    <x v="287"/>
    <s v="No"/>
    <x v="2"/>
    <x v="2"/>
    <n v="3"/>
    <x v="0"/>
    <x v="3"/>
    <x v="3"/>
    <m/>
    <x v="77"/>
    <x v="3"/>
    <m/>
    <x v="3"/>
    <x v="13"/>
  </r>
  <r>
    <s v="Id1949"/>
    <s v="Nikki"/>
    <x v="340"/>
    <x v="288"/>
    <s v="No"/>
    <x v="2"/>
    <x v="2"/>
    <s v="No major surgery"/>
    <x v="0"/>
    <x v="3"/>
    <x v="3"/>
    <m/>
    <x v="77"/>
    <x v="3"/>
    <m/>
    <x v="3"/>
    <x v="13"/>
  </r>
  <r>
    <s v="Id1948"/>
    <s v="Summer B."/>
    <x v="341"/>
    <x v="109"/>
    <s v="Yes"/>
    <x v="2"/>
    <x v="2"/>
    <n v="1"/>
    <x v="0"/>
    <x v="3"/>
    <x v="3"/>
    <m/>
    <x v="77"/>
    <x v="3"/>
    <m/>
    <x v="3"/>
    <x v="13"/>
  </r>
  <r>
    <s v="Id1947"/>
    <s v="Edward"/>
    <x v="342"/>
    <x v="93"/>
    <s v="No"/>
    <x v="2"/>
    <x v="2"/>
    <n v="1"/>
    <x v="0"/>
    <x v="3"/>
    <x v="3"/>
    <m/>
    <x v="77"/>
    <x v="3"/>
    <m/>
    <x v="3"/>
    <x v="13"/>
  </r>
  <r>
    <s v="Id1946"/>
    <s v="Ryan"/>
    <x v="17"/>
    <x v="54"/>
    <s v="Yes"/>
    <x v="2"/>
    <x v="2"/>
    <n v="2"/>
    <x v="1"/>
    <x v="3"/>
    <x v="3"/>
    <m/>
    <x v="77"/>
    <x v="3"/>
    <m/>
    <x v="3"/>
    <x v="13"/>
  </r>
  <r>
    <s v="Id1945"/>
    <s v="Kacee"/>
    <x v="343"/>
    <x v="30"/>
    <s v="No"/>
    <x v="2"/>
    <x v="2"/>
    <s v="No major surgery"/>
    <x v="1"/>
    <x v="3"/>
    <x v="3"/>
    <m/>
    <x v="77"/>
    <x v="3"/>
    <m/>
    <x v="3"/>
    <x v="13"/>
  </r>
  <r>
    <s v="Id1944"/>
    <s v="Dave"/>
    <x v="344"/>
    <x v="145"/>
    <s v="No"/>
    <x v="2"/>
    <x v="2"/>
    <n v="1"/>
    <x v="0"/>
    <x v="3"/>
    <x v="3"/>
    <m/>
    <x v="77"/>
    <x v="3"/>
    <m/>
    <x v="3"/>
    <x v="13"/>
  </r>
  <r>
    <s v="Id1943"/>
    <s v="Maryanna"/>
    <x v="345"/>
    <x v="289"/>
    <s v="Yes"/>
    <x v="2"/>
    <x v="2"/>
    <n v="1"/>
    <x v="1"/>
    <x v="3"/>
    <x v="3"/>
    <m/>
    <x v="77"/>
    <x v="3"/>
    <m/>
    <x v="3"/>
    <x v="13"/>
  </r>
  <r>
    <s v="Id1942"/>
    <s v="Jessica H."/>
    <x v="346"/>
    <x v="290"/>
    <s v="No"/>
    <x v="2"/>
    <x v="2"/>
    <n v="2"/>
    <x v="1"/>
    <x v="3"/>
    <x v="3"/>
    <m/>
    <x v="77"/>
    <x v="3"/>
    <m/>
    <x v="3"/>
    <x v="13"/>
  </r>
  <r>
    <s v="Id1941"/>
    <s v="Deanna"/>
    <x v="347"/>
    <x v="291"/>
    <s v="No"/>
    <x v="2"/>
    <x v="2"/>
    <s v="No major surgery"/>
    <x v="0"/>
    <x v="3"/>
    <x v="3"/>
    <m/>
    <x v="77"/>
    <x v="3"/>
    <m/>
    <x v="3"/>
    <x v="13"/>
  </r>
  <r>
    <s v="Id1940"/>
    <s v="Peter"/>
    <x v="312"/>
    <x v="82"/>
    <s v="Yes"/>
    <x v="2"/>
    <x v="2"/>
    <n v="2"/>
    <x v="0"/>
    <x v="3"/>
    <x v="3"/>
    <m/>
    <x v="77"/>
    <x v="3"/>
    <m/>
    <x v="3"/>
    <x v="13"/>
  </r>
  <r>
    <s v="Id1939"/>
    <s v="Rebecca"/>
    <x v="348"/>
    <x v="3"/>
    <s v="Yes"/>
    <x v="2"/>
    <x v="2"/>
    <n v="1"/>
    <x v="0"/>
    <x v="3"/>
    <x v="3"/>
    <m/>
    <x v="77"/>
    <x v="3"/>
    <m/>
    <x v="3"/>
    <x v="13"/>
  </r>
  <r>
    <s v="Id1938"/>
    <s v="Elizabeth M."/>
    <x v="349"/>
    <x v="82"/>
    <s v="Yes"/>
    <x v="2"/>
    <x v="2"/>
    <s v="No major surgery"/>
    <x v="1"/>
    <x v="3"/>
    <x v="3"/>
    <m/>
    <x v="77"/>
    <x v="3"/>
    <m/>
    <x v="3"/>
    <x v="13"/>
  </r>
  <r>
    <s v="Id1937"/>
    <s v="Gregory"/>
    <x v="350"/>
    <x v="292"/>
    <s v="Yes"/>
    <x v="2"/>
    <x v="2"/>
    <n v="2"/>
    <x v="1"/>
    <x v="3"/>
    <x v="3"/>
    <m/>
    <x v="77"/>
    <x v="3"/>
    <m/>
    <x v="3"/>
    <x v="13"/>
  </r>
  <r>
    <s v="Id1936"/>
    <s v="Ms.  Sarah E."/>
    <x v="351"/>
    <x v="293"/>
    <s v="Yes"/>
    <x v="2"/>
    <x v="2"/>
    <n v="1"/>
    <x v="0"/>
    <x v="3"/>
    <x v="3"/>
    <m/>
    <x v="77"/>
    <x v="3"/>
    <m/>
    <x v="3"/>
    <x v="13"/>
  </r>
  <r>
    <s v="Id1935"/>
    <s v="Anne Elise"/>
    <x v="352"/>
    <x v="169"/>
    <s v="No"/>
    <x v="2"/>
    <x v="2"/>
    <n v="2"/>
    <x v="1"/>
    <x v="3"/>
    <x v="3"/>
    <m/>
    <x v="77"/>
    <x v="3"/>
    <m/>
    <x v="3"/>
    <x v="13"/>
  </r>
  <r>
    <s v="Id1934"/>
    <s v="Christopher R"/>
    <x v="353"/>
    <x v="219"/>
    <s v="Yes"/>
    <x v="2"/>
    <x v="2"/>
    <s v="No major surgery"/>
    <x v="0"/>
    <x v="3"/>
    <x v="3"/>
    <m/>
    <x v="77"/>
    <x v="3"/>
    <m/>
    <x v="3"/>
    <x v="13"/>
  </r>
  <r>
    <s v="Id1933"/>
    <s v="Elliot"/>
    <x v="247"/>
    <x v="35"/>
    <s v="No"/>
    <x v="2"/>
    <x v="2"/>
    <s v="No major surgery"/>
    <x v="1"/>
    <x v="3"/>
    <x v="3"/>
    <m/>
    <x v="77"/>
    <x v="3"/>
    <m/>
    <x v="3"/>
    <x v="13"/>
  </r>
  <r>
    <s v="Id1932"/>
    <s v="Christopher D."/>
    <x v="354"/>
    <x v="294"/>
    <s v="No"/>
    <x v="2"/>
    <x v="2"/>
    <s v="No major surgery"/>
    <x v="0"/>
    <x v="3"/>
    <x v="3"/>
    <m/>
    <x v="77"/>
    <x v="3"/>
    <m/>
    <x v="3"/>
    <x v="13"/>
  </r>
  <r>
    <s v="Id1931"/>
    <s v="Corey"/>
    <x v="355"/>
    <x v="70"/>
    <s v="No"/>
    <x v="2"/>
    <x v="2"/>
    <n v="2"/>
    <x v="1"/>
    <x v="3"/>
    <x v="3"/>
    <m/>
    <x v="77"/>
    <x v="3"/>
    <m/>
    <x v="3"/>
    <x v="13"/>
  </r>
  <r>
    <s v="Id1930"/>
    <s v="Patrick D."/>
    <x v="356"/>
    <x v="295"/>
    <s v="Yes"/>
    <x v="2"/>
    <x v="2"/>
    <n v="1"/>
    <x v="0"/>
    <x v="3"/>
    <x v="3"/>
    <m/>
    <x v="77"/>
    <x v="3"/>
    <m/>
    <x v="3"/>
    <x v="13"/>
  </r>
  <r>
    <s v="Id1929"/>
    <s v="Anthony D."/>
    <x v="357"/>
    <x v="70"/>
    <s v="No"/>
    <x v="2"/>
    <x v="2"/>
    <n v="1"/>
    <x v="0"/>
    <x v="3"/>
    <x v="3"/>
    <m/>
    <x v="77"/>
    <x v="3"/>
    <m/>
    <x v="3"/>
    <x v="13"/>
  </r>
  <r>
    <s v="Id1928"/>
    <s v="Melissa"/>
    <x v="358"/>
    <x v="100"/>
    <s v="No"/>
    <x v="2"/>
    <x v="2"/>
    <n v="1"/>
    <x v="1"/>
    <x v="3"/>
    <x v="3"/>
    <m/>
    <x v="77"/>
    <x v="3"/>
    <m/>
    <x v="3"/>
    <x v="13"/>
  </r>
  <r>
    <s v="Id1927"/>
    <s v="Raven"/>
    <x v="359"/>
    <x v="212"/>
    <s v="Yes"/>
    <x v="2"/>
    <x v="2"/>
    <n v="1"/>
    <x v="0"/>
    <x v="3"/>
    <x v="3"/>
    <m/>
    <x v="77"/>
    <x v="3"/>
    <m/>
    <x v="3"/>
    <x v="13"/>
  </r>
  <r>
    <s v="Id1926"/>
    <s v="Christopher"/>
    <x v="360"/>
    <x v="296"/>
    <s v="Yes"/>
    <x v="2"/>
    <x v="2"/>
    <n v="1"/>
    <x v="0"/>
    <x v="3"/>
    <x v="3"/>
    <m/>
    <x v="77"/>
    <x v="3"/>
    <m/>
    <x v="3"/>
    <x v="13"/>
  </r>
  <r>
    <s v="Id1925"/>
    <s v="Kendra A"/>
    <x v="3"/>
    <x v="70"/>
    <s v="No"/>
    <x v="2"/>
    <x v="2"/>
    <n v="1"/>
    <x v="1"/>
    <x v="3"/>
    <x v="3"/>
    <m/>
    <x v="77"/>
    <x v="3"/>
    <m/>
    <x v="3"/>
    <x v="13"/>
  </r>
  <r>
    <s v="Id1924"/>
    <s v="Jordan"/>
    <x v="361"/>
    <x v="297"/>
    <s v="Yes"/>
    <x v="2"/>
    <x v="2"/>
    <n v="1"/>
    <x v="0"/>
    <x v="3"/>
    <x v="3"/>
    <m/>
    <x v="77"/>
    <x v="3"/>
    <m/>
    <x v="3"/>
    <x v="13"/>
  </r>
  <r>
    <s v="Id1923"/>
    <s v="Nils"/>
    <x v="362"/>
    <x v="298"/>
    <s v="Yes"/>
    <x v="2"/>
    <x v="2"/>
    <n v="2"/>
    <x v="0"/>
    <x v="3"/>
    <x v="3"/>
    <m/>
    <x v="77"/>
    <x v="3"/>
    <m/>
    <x v="3"/>
    <x v="13"/>
  </r>
  <r>
    <s v="Id1922"/>
    <s v="Scott"/>
    <x v="363"/>
    <x v="299"/>
    <s v="Yes"/>
    <x v="2"/>
    <x v="2"/>
    <n v="1"/>
    <x v="0"/>
    <x v="3"/>
    <x v="3"/>
    <m/>
    <x v="77"/>
    <x v="3"/>
    <m/>
    <x v="3"/>
    <x v="13"/>
  </r>
  <r>
    <s v="Id1921"/>
    <s v="Angela"/>
    <x v="364"/>
    <x v="300"/>
    <s v="No"/>
    <x v="2"/>
    <x v="2"/>
    <s v="No major surgery"/>
    <x v="0"/>
    <x v="3"/>
    <x v="3"/>
    <m/>
    <x v="77"/>
    <x v="3"/>
    <m/>
    <x v="3"/>
    <x v="13"/>
  </r>
  <r>
    <s v="Id1920"/>
    <s v="Allison"/>
    <x v="365"/>
    <x v="301"/>
    <s v="No"/>
    <x v="2"/>
    <x v="2"/>
    <n v="1"/>
    <x v="0"/>
    <x v="3"/>
    <x v="3"/>
    <m/>
    <x v="77"/>
    <x v="3"/>
    <m/>
    <x v="3"/>
    <x v="13"/>
  </r>
  <r>
    <s v="Id1919"/>
    <s v="Caitlin O."/>
    <x v="366"/>
    <x v="141"/>
    <s v="Yes"/>
    <x v="2"/>
    <x v="2"/>
    <s v="No major surgery"/>
    <x v="1"/>
    <x v="3"/>
    <x v="3"/>
    <m/>
    <x v="77"/>
    <x v="3"/>
    <m/>
    <x v="3"/>
    <x v="13"/>
  </r>
  <r>
    <s v="Id1918"/>
    <s v="Tracy M"/>
    <x v="367"/>
    <x v="302"/>
    <s v="Yes"/>
    <x v="2"/>
    <x v="2"/>
    <n v="2"/>
    <x v="0"/>
    <x v="3"/>
    <x v="3"/>
    <m/>
    <x v="77"/>
    <x v="3"/>
    <m/>
    <x v="3"/>
    <x v="13"/>
  </r>
  <r>
    <s v="Id1917"/>
    <s v="Dustin M."/>
    <x v="368"/>
    <x v="239"/>
    <s v="Yes"/>
    <x v="2"/>
    <x v="2"/>
    <s v="No major surgery"/>
    <x v="1"/>
    <x v="3"/>
    <x v="3"/>
    <m/>
    <x v="77"/>
    <x v="3"/>
    <m/>
    <x v="3"/>
    <x v="13"/>
  </r>
  <r>
    <s v="Id1916"/>
    <s v="Jenny"/>
    <x v="308"/>
    <x v="303"/>
    <s v="Yes"/>
    <x v="2"/>
    <x v="2"/>
    <n v="1"/>
    <x v="0"/>
    <x v="3"/>
    <x v="3"/>
    <m/>
    <x v="77"/>
    <x v="3"/>
    <m/>
    <x v="3"/>
    <x v="13"/>
  </r>
  <r>
    <s v="Id1915"/>
    <s v="Emily"/>
    <x v="368"/>
    <x v="151"/>
    <s v="No"/>
    <x v="2"/>
    <x v="2"/>
    <n v="2"/>
    <x v="0"/>
    <x v="3"/>
    <x v="3"/>
    <m/>
    <x v="77"/>
    <x v="3"/>
    <m/>
    <x v="3"/>
    <x v="13"/>
  </r>
  <r>
    <s v="Id1914"/>
    <s v="Fabienne"/>
    <x v="369"/>
    <x v="304"/>
    <s v="Yes"/>
    <x v="2"/>
    <x v="2"/>
    <n v="2"/>
    <x v="1"/>
    <x v="3"/>
    <x v="3"/>
    <m/>
    <x v="77"/>
    <x v="3"/>
    <m/>
    <x v="3"/>
    <x v="13"/>
  </r>
  <r>
    <s v="Id1913"/>
    <s v="Jordan"/>
    <x v="226"/>
    <x v="305"/>
    <s v="No"/>
    <x v="2"/>
    <x v="2"/>
    <s v="No major surgery"/>
    <x v="1"/>
    <x v="3"/>
    <x v="3"/>
    <m/>
    <x v="77"/>
    <x v="3"/>
    <m/>
    <x v="3"/>
    <x v="13"/>
  </r>
  <r>
    <s v="Id1912"/>
    <s v="Matt"/>
    <x v="352"/>
    <x v="306"/>
    <s v="Yes"/>
    <x v="2"/>
    <x v="2"/>
    <n v="2"/>
    <x v="0"/>
    <x v="3"/>
    <x v="3"/>
    <m/>
    <x v="77"/>
    <x v="3"/>
    <m/>
    <x v="3"/>
    <x v="13"/>
  </r>
  <r>
    <s v="Id1911"/>
    <s v="Taryn L"/>
    <x v="370"/>
    <x v="49"/>
    <s v="No"/>
    <x v="2"/>
    <x v="2"/>
    <s v="No major surgery"/>
    <x v="0"/>
    <x v="3"/>
    <x v="3"/>
    <m/>
    <x v="77"/>
    <x v="3"/>
    <m/>
    <x v="3"/>
    <x v="13"/>
  </r>
  <r>
    <s v="Id1910"/>
    <s v="Temima"/>
    <x v="371"/>
    <x v="237"/>
    <s v="No"/>
    <x v="2"/>
    <x v="2"/>
    <n v="1"/>
    <x v="0"/>
    <x v="3"/>
    <x v="3"/>
    <m/>
    <x v="77"/>
    <x v="3"/>
    <m/>
    <x v="3"/>
    <x v="13"/>
  </r>
  <r>
    <s v="Id1909"/>
    <s v="Jennifer"/>
    <x v="372"/>
    <x v="213"/>
    <s v="Yes"/>
    <x v="2"/>
    <x v="2"/>
    <n v="1"/>
    <x v="1"/>
    <x v="3"/>
    <x v="3"/>
    <m/>
    <x v="77"/>
    <x v="3"/>
    <m/>
    <x v="3"/>
    <x v="13"/>
  </r>
  <r>
    <s v="Id1908"/>
    <s v="Serena M."/>
    <x v="373"/>
    <x v="307"/>
    <s v="No"/>
    <x v="2"/>
    <x v="2"/>
    <s v="No major surgery"/>
    <x v="0"/>
    <x v="3"/>
    <x v="3"/>
    <m/>
    <x v="77"/>
    <x v="3"/>
    <m/>
    <x v="3"/>
    <x v="13"/>
  </r>
  <r>
    <s v="Id1907"/>
    <s v="Victoria M."/>
    <x v="374"/>
    <x v="308"/>
    <s v="No"/>
    <x v="2"/>
    <x v="2"/>
    <n v="2"/>
    <x v="0"/>
    <x v="3"/>
    <x v="3"/>
    <m/>
    <x v="77"/>
    <x v="3"/>
    <m/>
    <x v="3"/>
    <x v="13"/>
  </r>
  <r>
    <s v="Id1906"/>
    <s v="Phoebe"/>
    <x v="375"/>
    <x v="182"/>
    <s v="No"/>
    <x v="2"/>
    <x v="2"/>
    <n v="1"/>
    <x v="1"/>
    <x v="3"/>
    <x v="3"/>
    <m/>
    <x v="77"/>
    <x v="3"/>
    <m/>
    <x v="3"/>
    <x v="13"/>
  </r>
  <r>
    <s v="Id1905"/>
    <s v="Corey"/>
    <x v="376"/>
    <x v="309"/>
    <s v="No"/>
    <x v="2"/>
    <x v="2"/>
    <s v="No major surgery"/>
    <x v="0"/>
    <x v="3"/>
    <x v="3"/>
    <m/>
    <x v="77"/>
    <x v="3"/>
    <m/>
    <x v="3"/>
    <x v="13"/>
  </r>
  <r>
    <s v="Id1904"/>
    <s v="Rebecca"/>
    <x v="377"/>
    <x v="310"/>
    <s v="Yes"/>
    <x v="2"/>
    <x v="2"/>
    <n v="2"/>
    <x v="0"/>
    <x v="3"/>
    <x v="3"/>
    <m/>
    <x v="77"/>
    <x v="3"/>
    <m/>
    <x v="3"/>
    <x v="13"/>
  </r>
  <r>
    <s v="Id1903"/>
    <s v="Nicholas D"/>
    <x v="304"/>
    <x v="311"/>
    <s v="No"/>
    <x v="2"/>
    <x v="2"/>
    <n v="2"/>
    <x v="0"/>
    <x v="3"/>
    <x v="3"/>
    <m/>
    <x v="77"/>
    <x v="3"/>
    <m/>
    <x v="3"/>
    <x v="13"/>
  </r>
  <r>
    <s v="Id1902"/>
    <s v="Christian"/>
    <x v="378"/>
    <x v="130"/>
    <s v="No"/>
    <x v="2"/>
    <x v="2"/>
    <s v="No major surgery"/>
    <x v="0"/>
    <x v="3"/>
    <x v="3"/>
    <m/>
    <x v="77"/>
    <x v="3"/>
    <m/>
    <x v="3"/>
    <x v="13"/>
  </r>
  <r>
    <s v="Id1901"/>
    <s v="Jonathon S."/>
    <x v="97"/>
    <x v="138"/>
    <s v="Yes"/>
    <x v="2"/>
    <x v="2"/>
    <n v="1"/>
    <x v="1"/>
    <x v="3"/>
    <x v="3"/>
    <m/>
    <x v="77"/>
    <x v="3"/>
    <m/>
    <x v="3"/>
    <x v="13"/>
  </r>
  <r>
    <s v="Id1900"/>
    <s v="Caroline"/>
    <x v="379"/>
    <x v="312"/>
    <s v="Yes"/>
    <x v="2"/>
    <x v="2"/>
    <n v="1"/>
    <x v="0"/>
    <x v="3"/>
    <x v="3"/>
    <m/>
    <x v="77"/>
    <x v="3"/>
    <m/>
    <x v="3"/>
    <x v="13"/>
  </r>
  <r>
    <s v="Id1899"/>
    <s v="Joshua D."/>
    <x v="380"/>
    <x v="313"/>
    <s v="No"/>
    <x v="2"/>
    <x v="2"/>
    <n v="2"/>
    <x v="0"/>
    <x v="3"/>
    <x v="3"/>
    <m/>
    <x v="77"/>
    <x v="3"/>
    <m/>
    <x v="3"/>
    <x v="13"/>
  </r>
  <r>
    <s v="Id1898"/>
    <s v="Nichole"/>
    <x v="362"/>
    <x v="314"/>
    <s v="No"/>
    <x v="2"/>
    <x v="2"/>
    <s v="No major surgery"/>
    <x v="1"/>
    <x v="3"/>
    <x v="3"/>
    <m/>
    <x v="77"/>
    <x v="3"/>
    <m/>
    <x v="3"/>
    <x v="13"/>
  </r>
  <r>
    <s v="Id1897"/>
    <s v="Denise M"/>
    <x v="251"/>
    <x v="268"/>
    <s v="Yes"/>
    <x v="2"/>
    <x v="2"/>
    <n v="1"/>
    <x v="0"/>
    <x v="3"/>
    <x v="3"/>
    <m/>
    <x v="77"/>
    <x v="3"/>
    <m/>
    <x v="3"/>
    <x v="13"/>
  </r>
  <r>
    <s v="Id1896"/>
    <s v="Peter R."/>
    <x v="381"/>
    <x v="46"/>
    <s v="Yes"/>
    <x v="2"/>
    <x v="2"/>
    <n v="1"/>
    <x v="1"/>
    <x v="3"/>
    <x v="3"/>
    <m/>
    <x v="77"/>
    <x v="3"/>
    <m/>
    <x v="3"/>
    <x v="13"/>
  </r>
  <r>
    <s v="Id1895"/>
    <s v="Johnson K"/>
    <x v="382"/>
    <x v="315"/>
    <s v="No"/>
    <x v="2"/>
    <x v="2"/>
    <n v="1"/>
    <x v="1"/>
    <x v="3"/>
    <x v="3"/>
    <m/>
    <x v="77"/>
    <x v="3"/>
    <m/>
    <x v="3"/>
    <x v="13"/>
  </r>
  <r>
    <s v="Id1894"/>
    <s v="Katherine"/>
    <x v="383"/>
    <x v="77"/>
    <s v="Yes"/>
    <x v="2"/>
    <x v="2"/>
    <n v="1"/>
    <x v="0"/>
    <x v="3"/>
    <x v="3"/>
    <m/>
    <x v="77"/>
    <x v="3"/>
    <m/>
    <x v="3"/>
    <x v="13"/>
  </r>
  <r>
    <s v="Id1893"/>
    <s v="Lynda"/>
    <x v="26"/>
    <x v="221"/>
    <s v="Yes"/>
    <x v="2"/>
    <x v="2"/>
    <n v="2"/>
    <x v="1"/>
    <x v="3"/>
    <x v="3"/>
    <m/>
    <x v="77"/>
    <x v="3"/>
    <m/>
    <x v="3"/>
    <x v="13"/>
  </r>
  <r>
    <s v="Id1892"/>
    <s v="Anthony"/>
    <x v="384"/>
    <x v="69"/>
    <s v="No"/>
    <x v="2"/>
    <x v="2"/>
    <n v="1"/>
    <x v="1"/>
    <x v="3"/>
    <x v="3"/>
    <m/>
    <x v="77"/>
    <x v="3"/>
    <m/>
    <x v="3"/>
    <x v="13"/>
  </r>
  <r>
    <s v="Id1891"/>
    <s v="Linnea C."/>
    <x v="385"/>
    <x v="182"/>
    <s v="No"/>
    <x v="2"/>
    <x v="2"/>
    <n v="1"/>
    <x v="0"/>
    <x v="3"/>
    <x v="3"/>
    <m/>
    <x v="77"/>
    <x v="3"/>
    <m/>
    <x v="3"/>
    <x v="13"/>
  </r>
  <r>
    <s v="Id1890"/>
    <s v="Massimiliano A."/>
    <x v="386"/>
    <x v="10"/>
    <s v="Yes"/>
    <x v="2"/>
    <x v="2"/>
    <n v="1"/>
    <x v="0"/>
    <x v="3"/>
    <x v="3"/>
    <m/>
    <x v="77"/>
    <x v="3"/>
    <m/>
    <x v="3"/>
    <x v="13"/>
  </r>
  <r>
    <s v="Id1889"/>
    <s v="James M."/>
    <x v="387"/>
    <x v="144"/>
    <s v="Yes"/>
    <x v="2"/>
    <x v="2"/>
    <n v="2"/>
    <x v="0"/>
    <x v="3"/>
    <x v="3"/>
    <m/>
    <x v="77"/>
    <x v="3"/>
    <m/>
    <x v="3"/>
    <x v="13"/>
  </r>
  <r>
    <s v="Id1888"/>
    <s v="Lauren"/>
    <x v="388"/>
    <x v="197"/>
    <s v="No"/>
    <x v="2"/>
    <x v="2"/>
    <s v="No major surgery"/>
    <x v="1"/>
    <x v="3"/>
    <x v="3"/>
    <m/>
    <x v="77"/>
    <x v="3"/>
    <m/>
    <x v="3"/>
    <x v="13"/>
  </r>
  <r>
    <s v="Id1887"/>
    <s v="Michele V."/>
    <x v="389"/>
    <x v="316"/>
    <s v="No"/>
    <x v="2"/>
    <x v="2"/>
    <s v="No major surgery"/>
    <x v="0"/>
    <x v="3"/>
    <x v="3"/>
    <m/>
    <x v="77"/>
    <x v="3"/>
    <m/>
    <x v="3"/>
    <x v="13"/>
  </r>
  <r>
    <s v="Id1886"/>
    <s v="Xiao"/>
    <x v="358"/>
    <x v="132"/>
    <s v="No"/>
    <x v="2"/>
    <x v="2"/>
    <s v="No major surgery"/>
    <x v="0"/>
    <x v="3"/>
    <x v="3"/>
    <m/>
    <x v="77"/>
    <x v="3"/>
    <m/>
    <x v="3"/>
    <x v="13"/>
  </r>
  <r>
    <s v="Id1885"/>
    <s v="Harper L"/>
    <x v="390"/>
    <x v="156"/>
    <s v="No"/>
    <x v="2"/>
    <x v="2"/>
    <s v="No major surgery"/>
    <x v="1"/>
    <x v="3"/>
    <x v="3"/>
    <m/>
    <x v="77"/>
    <x v="3"/>
    <m/>
    <x v="3"/>
    <x v="13"/>
  </r>
  <r>
    <s v="Id1884"/>
    <s v="Nick"/>
    <x v="391"/>
    <x v="200"/>
    <s v="No"/>
    <x v="2"/>
    <x v="2"/>
    <s v="No major surgery"/>
    <x v="0"/>
    <x v="3"/>
    <x v="3"/>
    <m/>
    <x v="77"/>
    <x v="3"/>
    <m/>
    <x v="3"/>
    <x v="13"/>
  </r>
  <r>
    <s v="Id1883"/>
    <s v="Scott"/>
    <x v="392"/>
    <x v="52"/>
    <s v="Yes"/>
    <x v="2"/>
    <x v="2"/>
    <s v="No major surgery"/>
    <x v="0"/>
    <x v="3"/>
    <x v="3"/>
    <m/>
    <x v="77"/>
    <x v="3"/>
    <m/>
    <x v="3"/>
    <x v="13"/>
  </r>
  <r>
    <s v="Id1882"/>
    <s v="Wilson"/>
    <x v="393"/>
    <x v="173"/>
    <s v="No"/>
    <x v="2"/>
    <x v="2"/>
    <s v="No major surgery"/>
    <x v="1"/>
    <x v="3"/>
    <x v="3"/>
    <m/>
    <x v="77"/>
    <x v="3"/>
    <m/>
    <x v="3"/>
    <x v="13"/>
  </r>
  <r>
    <s v="Id1881"/>
    <s v="Lee"/>
    <x v="394"/>
    <x v="317"/>
    <s v="Yes"/>
    <x v="2"/>
    <x v="2"/>
    <n v="1"/>
    <x v="0"/>
    <x v="3"/>
    <x v="3"/>
    <m/>
    <x v="77"/>
    <x v="3"/>
    <m/>
    <x v="3"/>
    <x v="13"/>
  </r>
  <r>
    <s v="Id1880"/>
    <s v="Shizhong"/>
    <x v="395"/>
    <x v="123"/>
    <s v="No"/>
    <x v="2"/>
    <x v="2"/>
    <n v="1"/>
    <x v="0"/>
    <x v="3"/>
    <x v="3"/>
    <m/>
    <x v="77"/>
    <x v="3"/>
    <m/>
    <x v="3"/>
    <x v="13"/>
  </r>
  <r>
    <s v="Id1879"/>
    <s v="Marie-Claire"/>
    <x v="278"/>
    <x v="67"/>
    <s v="No"/>
    <x v="2"/>
    <x v="2"/>
    <n v="1"/>
    <x v="0"/>
    <x v="3"/>
    <x v="3"/>
    <m/>
    <x v="77"/>
    <x v="3"/>
    <m/>
    <x v="3"/>
    <x v="13"/>
  </r>
  <r>
    <s v="Id1878"/>
    <s v="Todd J."/>
    <x v="396"/>
    <x v="318"/>
    <s v="Yes"/>
    <x v="2"/>
    <x v="2"/>
    <n v="1"/>
    <x v="1"/>
    <x v="3"/>
    <x v="3"/>
    <m/>
    <x v="77"/>
    <x v="3"/>
    <m/>
    <x v="3"/>
    <x v="13"/>
  </r>
  <r>
    <s v="Id1877"/>
    <s v="Carolyn"/>
    <x v="295"/>
    <x v="107"/>
    <s v="No"/>
    <x v="2"/>
    <x v="2"/>
    <n v="1"/>
    <x v="0"/>
    <x v="3"/>
    <x v="3"/>
    <m/>
    <x v="77"/>
    <x v="3"/>
    <m/>
    <x v="3"/>
    <x v="13"/>
  </r>
  <r>
    <s v="Id1876"/>
    <s v="Lindsey"/>
    <x v="397"/>
    <x v="319"/>
    <s v="No"/>
    <x v="2"/>
    <x v="2"/>
    <n v="1"/>
    <x v="0"/>
    <x v="3"/>
    <x v="3"/>
    <m/>
    <x v="77"/>
    <x v="3"/>
    <m/>
    <x v="3"/>
    <x v="13"/>
  </r>
  <r>
    <s v="Id1875"/>
    <s v="Marissa D"/>
    <x v="351"/>
    <x v="320"/>
    <s v="Yes"/>
    <x v="2"/>
    <x v="2"/>
    <s v="No major surgery"/>
    <x v="0"/>
    <x v="3"/>
    <x v="3"/>
    <m/>
    <x v="77"/>
    <x v="3"/>
    <m/>
    <x v="3"/>
    <x v="13"/>
  </r>
  <r>
    <s v="Id1874"/>
    <s v="Jean Luc"/>
    <x v="398"/>
    <x v="223"/>
    <s v="No"/>
    <x v="2"/>
    <x v="2"/>
    <s v="No major surgery"/>
    <x v="1"/>
    <x v="3"/>
    <x v="3"/>
    <m/>
    <x v="77"/>
    <x v="3"/>
    <m/>
    <x v="3"/>
    <x v="13"/>
  </r>
  <r>
    <s v="Id1873"/>
    <s v="Danielle"/>
    <x v="399"/>
    <x v="148"/>
    <s v="Yes"/>
    <x v="2"/>
    <x v="2"/>
    <n v="1"/>
    <x v="0"/>
    <x v="3"/>
    <x v="3"/>
    <m/>
    <x v="77"/>
    <x v="3"/>
    <m/>
    <x v="3"/>
    <x v="13"/>
  </r>
  <r>
    <s v="Id1872"/>
    <s v="Jim"/>
    <x v="400"/>
    <x v="321"/>
    <s v="No"/>
    <x v="2"/>
    <x v="2"/>
    <s v="No major surgery"/>
    <x v="1"/>
    <x v="3"/>
    <x v="3"/>
    <m/>
    <x v="77"/>
    <x v="3"/>
    <m/>
    <x v="3"/>
    <x v="13"/>
  </r>
  <r>
    <s v="Id1871"/>
    <s v="Matthew T"/>
    <x v="389"/>
    <x v="259"/>
    <s v="No"/>
    <x v="2"/>
    <x v="2"/>
    <s v="No major surgery"/>
    <x v="0"/>
    <x v="3"/>
    <x v="3"/>
    <m/>
    <x v="77"/>
    <x v="3"/>
    <m/>
    <x v="3"/>
    <x v="13"/>
  </r>
  <r>
    <s v="Id1870"/>
    <s v="Rachel L."/>
    <x v="401"/>
    <x v="165"/>
    <s v="No"/>
    <x v="2"/>
    <x v="2"/>
    <s v="No major surgery"/>
    <x v="0"/>
    <x v="3"/>
    <x v="3"/>
    <m/>
    <x v="77"/>
    <x v="3"/>
    <m/>
    <x v="3"/>
    <x v="13"/>
  </r>
  <r>
    <s v="Id1869"/>
    <s v="Corina"/>
    <x v="402"/>
    <x v="233"/>
    <s v="No"/>
    <x v="2"/>
    <x v="2"/>
    <n v="1"/>
    <x v="1"/>
    <x v="3"/>
    <x v="3"/>
    <m/>
    <x v="77"/>
    <x v="3"/>
    <m/>
    <x v="3"/>
    <x v="13"/>
  </r>
  <r>
    <s v="Id1868"/>
    <s v="Guannan"/>
    <x v="403"/>
    <x v="233"/>
    <s v="No"/>
    <x v="2"/>
    <x v="2"/>
    <s v="No major surgery"/>
    <x v="0"/>
    <x v="3"/>
    <x v="3"/>
    <m/>
    <x v="77"/>
    <x v="3"/>
    <m/>
    <x v="3"/>
    <x v="13"/>
  </r>
  <r>
    <s v="Id1867"/>
    <s v="Don"/>
    <x v="404"/>
    <x v="322"/>
    <s v="No"/>
    <x v="2"/>
    <x v="2"/>
    <s v="No major surgery"/>
    <x v="1"/>
    <x v="3"/>
    <x v="3"/>
    <m/>
    <x v="77"/>
    <x v="3"/>
    <m/>
    <x v="3"/>
    <x v="13"/>
  </r>
  <r>
    <s v="Id1866"/>
    <s v="Chris"/>
    <x v="347"/>
    <x v="323"/>
    <s v="No"/>
    <x v="2"/>
    <x v="2"/>
    <s v="No major surgery"/>
    <x v="0"/>
    <x v="3"/>
    <x v="3"/>
    <m/>
    <x v="77"/>
    <x v="3"/>
    <m/>
    <x v="3"/>
    <x v="13"/>
  </r>
  <r>
    <s v="Id1865"/>
    <s v="Gavin V."/>
    <x v="405"/>
    <x v="188"/>
    <s v="Yes"/>
    <x v="2"/>
    <x v="2"/>
    <n v="1"/>
    <x v="0"/>
    <x v="3"/>
    <x v="3"/>
    <m/>
    <x v="77"/>
    <x v="3"/>
    <m/>
    <x v="3"/>
    <x v="13"/>
  </r>
  <r>
    <s v="Id1864"/>
    <s v="David"/>
    <x v="192"/>
    <x v="100"/>
    <s v="No"/>
    <x v="2"/>
    <x v="2"/>
    <s v="No major surgery"/>
    <x v="0"/>
    <x v="3"/>
    <x v="3"/>
    <m/>
    <x v="77"/>
    <x v="3"/>
    <m/>
    <x v="3"/>
    <x v="13"/>
  </r>
  <r>
    <s v="Id1863"/>
    <s v="Jatin"/>
    <x v="406"/>
    <x v="324"/>
    <s v="Yes"/>
    <x v="2"/>
    <x v="2"/>
    <n v="1"/>
    <x v="0"/>
    <x v="3"/>
    <x v="3"/>
    <m/>
    <x v="77"/>
    <x v="3"/>
    <m/>
    <x v="3"/>
    <x v="13"/>
  </r>
  <r>
    <s v="Id1862"/>
    <s v="J P. II"/>
    <x v="407"/>
    <x v="325"/>
    <s v="Yes"/>
    <x v="2"/>
    <x v="2"/>
    <n v="1"/>
    <x v="1"/>
    <x v="3"/>
    <x v="3"/>
    <m/>
    <x v="77"/>
    <x v="3"/>
    <m/>
    <x v="3"/>
    <x v="13"/>
  </r>
  <r>
    <s v="Id1861"/>
    <s v="Angela M."/>
    <x v="408"/>
    <x v="15"/>
    <s v="Yes"/>
    <x v="2"/>
    <x v="2"/>
    <n v="1"/>
    <x v="1"/>
    <x v="3"/>
    <x v="3"/>
    <m/>
    <x v="77"/>
    <x v="3"/>
    <m/>
    <x v="3"/>
    <x v="13"/>
  </r>
  <r>
    <s v="Id1860"/>
    <s v="Blake K."/>
    <x v="409"/>
    <x v="118"/>
    <s v="Yes"/>
    <x v="2"/>
    <x v="2"/>
    <s v="No major surgery"/>
    <x v="1"/>
    <x v="3"/>
    <x v="3"/>
    <m/>
    <x v="77"/>
    <x v="3"/>
    <m/>
    <x v="3"/>
    <x v="13"/>
  </r>
  <r>
    <s v="Id1859"/>
    <s v="Brian T."/>
    <x v="410"/>
    <x v="16"/>
    <s v="Yes"/>
    <x v="2"/>
    <x v="2"/>
    <n v="1"/>
    <x v="0"/>
    <x v="3"/>
    <x v="3"/>
    <m/>
    <x v="77"/>
    <x v="3"/>
    <m/>
    <x v="3"/>
    <x v="13"/>
  </r>
  <r>
    <s v="Id1858"/>
    <s v="Damon"/>
    <x v="411"/>
    <x v="195"/>
    <s v="No"/>
    <x v="2"/>
    <x v="2"/>
    <n v="1"/>
    <x v="0"/>
    <x v="3"/>
    <x v="3"/>
    <m/>
    <x v="77"/>
    <x v="3"/>
    <m/>
    <x v="3"/>
    <x v="13"/>
  </r>
  <r>
    <s v="Id1857"/>
    <s v="Jeffrey"/>
    <x v="412"/>
    <x v="142"/>
    <s v="No"/>
    <x v="2"/>
    <x v="2"/>
    <s v="No major surgery"/>
    <x v="1"/>
    <x v="3"/>
    <x v="3"/>
    <m/>
    <x v="77"/>
    <x v="3"/>
    <m/>
    <x v="3"/>
    <x v="13"/>
  </r>
  <r>
    <s v="Id1856"/>
    <s v="Malcolm J."/>
    <x v="413"/>
    <x v="230"/>
    <s v="Yes"/>
    <x v="2"/>
    <x v="2"/>
    <s v="No major surgery"/>
    <x v="1"/>
    <x v="3"/>
    <x v="3"/>
    <m/>
    <x v="77"/>
    <x v="3"/>
    <m/>
    <x v="3"/>
    <x v="13"/>
  </r>
  <r>
    <s v="Id1855"/>
    <s v="Margaret B."/>
    <x v="414"/>
    <x v="326"/>
    <s v="Yes"/>
    <x v="2"/>
    <x v="2"/>
    <n v="2"/>
    <x v="1"/>
    <x v="3"/>
    <x v="3"/>
    <m/>
    <x v="77"/>
    <x v="3"/>
    <m/>
    <x v="3"/>
    <x v="13"/>
  </r>
  <r>
    <s v="Id1854"/>
    <s v="Helen"/>
    <x v="9"/>
    <x v="219"/>
    <s v="Yes"/>
    <x v="2"/>
    <x v="2"/>
    <n v="1"/>
    <x v="1"/>
    <x v="3"/>
    <x v="3"/>
    <m/>
    <x v="77"/>
    <x v="3"/>
    <m/>
    <x v="3"/>
    <x v="13"/>
  </r>
  <r>
    <s v="Id1853"/>
    <s v="Matthew"/>
    <x v="415"/>
    <x v="327"/>
    <s v="No"/>
    <x v="2"/>
    <x v="2"/>
    <s v="No major surgery"/>
    <x v="1"/>
    <x v="3"/>
    <x v="3"/>
    <m/>
    <x v="77"/>
    <x v="3"/>
    <m/>
    <x v="3"/>
    <x v="13"/>
  </r>
  <r>
    <s v="Id1852"/>
    <s v="Jeff"/>
    <x v="356"/>
    <x v="123"/>
    <s v="Yes"/>
    <x v="2"/>
    <x v="2"/>
    <s v="No major surgery"/>
    <x v="1"/>
    <x v="3"/>
    <x v="3"/>
    <m/>
    <x v="77"/>
    <x v="3"/>
    <m/>
    <x v="3"/>
    <x v="13"/>
  </r>
  <r>
    <s v="Id1851"/>
    <s v="Tara R"/>
    <x v="416"/>
    <x v="13"/>
    <s v="No"/>
    <x v="2"/>
    <x v="2"/>
    <s v="No major surgery"/>
    <x v="1"/>
    <x v="3"/>
    <x v="3"/>
    <m/>
    <x v="77"/>
    <x v="3"/>
    <m/>
    <x v="3"/>
    <x v="13"/>
  </r>
  <r>
    <s v="Id1850"/>
    <s v="Kristin"/>
    <x v="417"/>
    <x v="197"/>
    <s v="Yes"/>
    <x v="2"/>
    <x v="2"/>
    <s v="No major surgery"/>
    <x v="0"/>
    <x v="3"/>
    <x v="3"/>
    <m/>
    <x v="77"/>
    <x v="3"/>
    <m/>
    <x v="3"/>
    <x v="13"/>
  </r>
  <r>
    <s v="Id1849"/>
    <s v="Timothy"/>
    <x v="366"/>
    <x v="328"/>
    <s v="No"/>
    <x v="2"/>
    <x v="2"/>
    <n v="1"/>
    <x v="1"/>
    <x v="3"/>
    <x v="3"/>
    <m/>
    <x v="77"/>
    <x v="3"/>
    <m/>
    <x v="3"/>
    <x v="13"/>
  </r>
  <r>
    <s v="Id1848"/>
    <s v="Scott"/>
    <x v="418"/>
    <x v="45"/>
    <s v="Yes"/>
    <x v="2"/>
    <x v="2"/>
    <n v="2"/>
    <x v="1"/>
    <x v="3"/>
    <x v="3"/>
    <m/>
    <x v="77"/>
    <x v="3"/>
    <m/>
    <x v="3"/>
    <x v="13"/>
  </r>
  <r>
    <s v="Id1847"/>
    <s v="Carly E"/>
    <x v="410"/>
    <x v="120"/>
    <s v="No"/>
    <x v="2"/>
    <x v="2"/>
    <n v="1"/>
    <x v="0"/>
    <x v="3"/>
    <x v="3"/>
    <m/>
    <x v="77"/>
    <x v="3"/>
    <m/>
    <x v="3"/>
    <x v="13"/>
  </r>
  <r>
    <s v="Id1846"/>
    <s v="Lisa"/>
    <x v="419"/>
    <x v="326"/>
    <s v="No"/>
    <x v="2"/>
    <x v="2"/>
    <s v="No major surgery"/>
    <x v="1"/>
    <x v="3"/>
    <x v="3"/>
    <m/>
    <x v="77"/>
    <x v="3"/>
    <m/>
    <x v="3"/>
    <x v="13"/>
  </r>
  <r>
    <s v="Id1845"/>
    <s v="Stacey"/>
    <x v="420"/>
    <x v="110"/>
    <s v="No"/>
    <x v="2"/>
    <x v="2"/>
    <s v="No major surgery"/>
    <x v="0"/>
    <x v="3"/>
    <x v="3"/>
    <m/>
    <x v="77"/>
    <x v="3"/>
    <m/>
    <x v="3"/>
    <x v="13"/>
  </r>
  <r>
    <s v="Id1844"/>
    <s v="Louis"/>
    <x v="421"/>
    <x v="329"/>
    <s v="Yes"/>
    <x v="2"/>
    <x v="2"/>
    <n v="1"/>
    <x v="0"/>
    <x v="3"/>
    <x v="3"/>
    <m/>
    <x v="77"/>
    <x v="3"/>
    <m/>
    <x v="3"/>
    <x v="13"/>
  </r>
  <r>
    <s v="Id1843"/>
    <s v="Brian R."/>
    <x v="422"/>
    <x v="229"/>
    <s v="Yes"/>
    <x v="2"/>
    <x v="2"/>
    <n v="1"/>
    <x v="0"/>
    <x v="3"/>
    <x v="3"/>
    <m/>
    <x v="77"/>
    <x v="3"/>
    <m/>
    <x v="3"/>
    <x v="13"/>
  </r>
  <r>
    <s v="Id1842"/>
    <s v="Jessica"/>
    <x v="423"/>
    <x v="244"/>
    <s v="Yes"/>
    <x v="2"/>
    <x v="2"/>
    <n v="2"/>
    <x v="1"/>
    <x v="3"/>
    <x v="3"/>
    <m/>
    <x v="77"/>
    <x v="3"/>
    <m/>
    <x v="3"/>
    <x v="13"/>
  </r>
  <r>
    <s v="Id1841"/>
    <s v="Dawn M."/>
    <x v="424"/>
    <x v="330"/>
    <s v="No"/>
    <x v="2"/>
    <x v="2"/>
    <s v="No major surgery"/>
    <x v="0"/>
    <x v="3"/>
    <x v="3"/>
    <m/>
    <x v="77"/>
    <x v="3"/>
    <m/>
    <x v="3"/>
    <x v="13"/>
  </r>
  <r>
    <s v="Id1840"/>
    <s v="Mr.  Chris"/>
    <x v="425"/>
    <x v="200"/>
    <s v="Yes"/>
    <x v="2"/>
    <x v="2"/>
    <n v="1"/>
    <x v="0"/>
    <x v="3"/>
    <x v="3"/>
    <m/>
    <x v="77"/>
    <x v="3"/>
    <m/>
    <x v="3"/>
    <x v="13"/>
  </r>
  <r>
    <s v="Id1839"/>
    <s v="Karen"/>
    <x v="426"/>
    <x v="331"/>
    <s v="No"/>
    <x v="2"/>
    <x v="2"/>
    <n v="1"/>
    <x v="0"/>
    <x v="3"/>
    <x v="3"/>
    <m/>
    <x v="77"/>
    <x v="3"/>
    <m/>
    <x v="3"/>
    <x v="13"/>
  </r>
  <r>
    <s v="Id1838"/>
    <s v="Jessica"/>
    <x v="383"/>
    <x v="332"/>
    <s v="No"/>
    <x v="2"/>
    <x v="2"/>
    <n v="2"/>
    <x v="1"/>
    <x v="3"/>
    <x v="3"/>
    <m/>
    <x v="77"/>
    <x v="3"/>
    <m/>
    <x v="3"/>
    <x v="13"/>
  </r>
  <r>
    <s v="Id1837"/>
    <s v="Mathieu"/>
    <x v="427"/>
    <x v="112"/>
    <s v="No"/>
    <x v="2"/>
    <x v="2"/>
    <s v="No major surgery"/>
    <x v="0"/>
    <x v="3"/>
    <x v="3"/>
    <m/>
    <x v="77"/>
    <x v="3"/>
    <m/>
    <x v="3"/>
    <x v="13"/>
  </r>
  <r>
    <s v="Id1836"/>
    <s v="Kam S."/>
    <x v="428"/>
    <x v="140"/>
    <s v="No"/>
    <x v="2"/>
    <x v="2"/>
    <s v="No major surgery"/>
    <x v="1"/>
    <x v="3"/>
    <x v="3"/>
    <m/>
    <x v="77"/>
    <x v="3"/>
    <m/>
    <x v="3"/>
    <x v="13"/>
  </r>
  <r>
    <s v="Id1835"/>
    <s v="Valerie A"/>
    <x v="429"/>
    <x v="181"/>
    <s v="No"/>
    <x v="2"/>
    <x v="2"/>
    <s v="No major surgery"/>
    <x v="0"/>
    <x v="3"/>
    <x v="3"/>
    <m/>
    <x v="77"/>
    <x v="3"/>
    <m/>
    <x v="3"/>
    <x v="13"/>
  </r>
  <r>
    <s v="Id1834"/>
    <s v="Freya R"/>
    <x v="430"/>
    <x v="333"/>
    <s v="Yes"/>
    <x v="2"/>
    <x v="2"/>
    <n v="1"/>
    <x v="1"/>
    <x v="3"/>
    <x v="3"/>
    <m/>
    <x v="77"/>
    <x v="3"/>
    <m/>
    <x v="3"/>
    <x v="13"/>
  </r>
  <r>
    <s v="Id1833"/>
    <s v="Jennifer"/>
    <x v="350"/>
    <x v="189"/>
    <s v="Yes"/>
    <x v="2"/>
    <x v="2"/>
    <s v="No major surgery"/>
    <x v="0"/>
    <x v="3"/>
    <x v="3"/>
    <m/>
    <x v="77"/>
    <x v="3"/>
    <m/>
    <x v="3"/>
    <x v="13"/>
  </r>
  <r>
    <s v="Id1832"/>
    <s v="Kara"/>
    <x v="431"/>
    <x v="6"/>
    <s v="No"/>
    <x v="2"/>
    <x v="2"/>
    <n v="1"/>
    <x v="0"/>
    <x v="3"/>
    <x v="3"/>
    <m/>
    <x v="77"/>
    <x v="3"/>
    <m/>
    <x v="3"/>
    <x v="13"/>
  </r>
  <r>
    <s v="Id1831"/>
    <s v="Bradley A."/>
    <x v="432"/>
    <x v="280"/>
    <s v="No"/>
    <x v="2"/>
    <x v="2"/>
    <s v="No major surgery"/>
    <x v="0"/>
    <x v="3"/>
    <x v="3"/>
    <m/>
    <x v="77"/>
    <x v="3"/>
    <m/>
    <x v="3"/>
    <x v="13"/>
  </r>
  <r>
    <s v="Id1830"/>
    <s v="Brendan"/>
    <x v="433"/>
    <x v="334"/>
    <s v="No"/>
    <x v="2"/>
    <x v="2"/>
    <n v="1"/>
    <x v="1"/>
    <x v="3"/>
    <x v="3"/>
    <m/>
    <x v="77"/>
    <x v="3"/>
    <m/>
    <x v="3"/>
    <x v="13"/>
  </r>
  <r>
    <s v="Id1829"/>
    <s v="Amber R"/>
    <x v="434"/>
    <x v="335"/>
    <s v="No"/>
    <x v="2"/>
    <x v="2"/>
    <s v="No major surgery"/>
    <x v="0"/>
    <x v="3"/>
    <x v="3"/>
    <m/>
    <x v="77"/>
    <x v="3"/>
    <m/>
    <x v="3"/>
    <x v="13"/>
  </r>
  <r>
    <s v="Id1828"/>
    <s v="Sean K"/>
    <x v="408"/>
    <x v="270"/>
    <s v="No"/>
    <x v="2"/>
    <x v="2"/>
    <n v="1"/>
    <x v="1"/>
    <x v="3"/>
    <x v="3"/>
    <m/>
    <x v="77"/>
    <x v="3"/>
    <m/>
    <x v="3"/>
    <x v="13"/>
  </r>
  <r>
    <s v="Id1827"/>
    <s v="Rick"/>
    <x v="347"/>
    <x v="336"/>
    <s v="No"/>
    <x v="2"/>
    <x v="2"/>
    <n v="1"/>
    <x v="0"/>
    <x v="3"/>
    <x v="3"/>
    <m/>
    <x v="77"/>
    <x v="3"/>
    <m/>
    <x v="3"/>
    <x v="13"/>
  </r>
  <r>
    <s v="Id1826"/>
    <s v="Matthew"/>
    <x v="326"/>
    <x v="224"/>
    <s v="No"/>
    <x v="2"/>
    <x v="2"/>
    <s v="No major surgery"/>
    <x v="0"/>
    <x v="3"/>
    <x v="3"/>
    <m/>
    <x v="77"/>
    <x v="3"/>
    <m/>
    <x v="3"/>
    <x v="13"/>
  </r>
  <r>
    <s v="Id1825"/>
    <s v="Brady"/>
    <x v="218"/>
    <x v="171"/>
    <s v="Yes"/>
    <x v="2"/>
    <x v="2"/>
    <n v="2"/>
    <x v="1"/>
    <x v="3"/>
    <x v="3"/>
    <m/>
    <x v="77"/>
    <x v="3"/>
    <m/>
    <x v="3"/>
    <x v="13"/>
  </r>
  <r>
    <s v="Id1824"/>
    <s v="Kameko"/>
    <x v="435"/>
    <x v="222"/>
    <s v="Yes"/>
    <x v="2"/>
    <x v="2"/>
    <s v="No major surgery"/>
    <x v="1"/>
    <x v="3"/>
    <x v="3"/>
    <m/>
    <x v="77"/>
    <x v="3"/>
    <m/>
    <x v="3"/>
    <x v="13"/>
  </r>
  <r>
    <s v="Id1823"/>
    <s v="Jeremy A"/>
    <x v="71"/>
    <x v="315"/>
    <s v="Yes"/>
    <x v="2"/>
    <x v="2"/>
    <s v="No major surgery"/>
    <x v="1"/>
    <x v="3"/>
    <x v="3"/>
    <m/>
    <x v="77"/>
    <x v="3"/>
    <m/>
    <x v="3"/>
    <x v="13"/>
  </r>
  <r>
    <s v="Id1822"/>
    <s v="Daniel"/>
    <x v="436"/>
    <x v="95"/>
    <s v="No"/>
    <x v="2"/>
    <x v="2"/>
    <s v="No major surgery"/>
    <x v="0"/>
    <x v="3"/>
    <x v="3"/>
    <m/>
    <x v="77"/>
    <x v="3"/>
    <m/>
    <x v="3"/>
    <x v="13"/>
  </r>
  <r>
    <s v="Id1821"/>
    <s v="Amanda"/>
    <x v="437"/>
    <x v="337"/>
    <s v="No"/>
    <x v="2"/>
    <x v="2"/>
    <n v="1"/>
    <x v="1"/>
    <x v="3"/>
    <x v="3"/>
    <m/>
    <x v="77"/>
    <x v="3"/>
    <m/>
    <x v="3"/>
    <x v="13"/>
  </r>
  <r>
    <s v="Id1820"/>
    <s v="Karen"/>
    <x v="438"/>
    <x v="338"/>
    <s v="No"/>
    <x v="2"/>
    <x v="2"/>
    <n v="1"/>
    <x v="0"/>
    <x v="3"/>
    <x v="3"/>
    <m/>
    <x v="77"/>
    <x v="3"/>
    <m/>
    <x v="3"/>
    <x v="13"/>
  </r>
  <r>
    <s v="Id1819"/>
    <s v="Gregory"/>
    <x v="346"/>
    <x v="208"/>
    <s v="No"/>
    <x v="2"/>
    <x v="2"/>
    <s v="No major surgery"/>
    <x v="0"/>
    <x v="3"/>
    <x v="3"/>
    <m/>
    <x v="77"/>
    <x v="3"/>
    <m/>
    <x v="3"/>
    <x v="13"/>
  </r>
  <r>
    <s v="Id1818"/>
    <s v="Sabine"/>
    <x v="439"/>
    <x v="339"/>
    <s v="Yes"/>
    <x v="2"/>
    <x v="2"/>
    <n v="1"/>
    <x v="0"/>
    <x v="3"/>
    <x v="3"/>
    <m/>
    <x v="77"/>
    <x v="3"/>
    <m/>
    <x v="3"/>
    <x v="13"/>
  </r>
  <r>
    <s v="Id1817"/>
    <s v="Joseph"/>
    <x v="367"/>
    <x v="340"/>
    <s v="Yes"/>
    <x v="2"/>
    <x v="2"/>
    <n v="1"/>
    <x v="0"/>
    <x v="3"/>
    <x v="3"/>
    <m/>
    <x v="77"/>
    <x v="3"/>
    <m/>
    <x v="3"/>
    <x v="13"/>
  </r>
  <r>
    <s v="Id1816"/>
    <s v="Adam"/>
    <x v="440"/>
    <x v="341"/>
    <s v="No"/>
    <x v="2"/>
    <x v="2"/>
    <n v="1"/>
    <x v="1"/>
    <x v="3"/>
    <x v="3"/>
    <m/>
    <x v="77"/>
    <x v="3"/>
    <m/>
    <x v="3"/>
    <x v="13"/>
  </r>
  <r>
    <s v="Id1815"/>
    <s v="Karolyn A"/>
    <x v="368"/>
    <x v="332"/>
    <s v="No"/>
    <x v="2"/>
    <x v="2"/>
    <n v="1"/>
    <x v="1"/>
    <x v="3"/>
    <x v="3"/>
    <m/>
    <x v="77"/>
    <x v="3"/>
    <m/>
    <x v="3"/>
    <x v="13"/>
  </r>
  <r>
    <s v="Id1814"/>
    <s v="Anita L."/>
    <x v="441"/>
    <x v="342"/>
    <s v="Yes"/>
    <x v="2"/>
    <x v="2"/>
    <n v="1"/>
    <x v="1"/>
    <x v="3"/>
    <x v="3"/>
    <m/>
    <x v="77"/>
    <x v="3"/>
    <m/>
    <x v="3"/>
    <x v="13"/>
  </r>
  <r>
    <s v="Id1813"/>
    <s v="Laura E."/>
    <x v="442"/>
    <x v="107"/>
    <s v="Yes"/>
    <x v="2"/>
    <x v="2"/>
    <n v="1"/>
    <x v="1"/>
    <x v="3"/>
    <x v="3"/>
    <m/>
    <x v="77"/>
    <x v="3"/>
    <m/>
    <x v="3"/>
    <x v="13"/>
  </r>
  <r>
    <s v="Id1812"/>
    <s v="Sarah"/>
    <x v="443"/>
    <x v="251"/>
    <s v="Yes"/>
    <x v="2"/>
    <x v="2"/>
    <n v="1"/>
    <x v="1"/>
    <x v="3"/>
    <x v="3"/>
    <m/>
    <x v="77"/>
    <x v="3"/>
    <m/>
    <x v="3"/>
    <x v="13"/>
  </r>
  <r>
    <s v="Id1811"/>
    <s v="Ashley E"/>
    <x v="444"/>
    <x v="343"/>
    <s v="Yes"/>
    <x v="2"/>
    <x v="2"/>
    <n v="1"/>
    <x v="1"/>
    <x v="3"/>
    <x v="3"/>
    <m/>
    <x v="77"/>
    <x v="3"/>
    <m/>
    <x v="3"/>
    <x v="13"/>
  </r>
  <r>
    <s v="Id1810"/>
    <s v="Lindsey"/>
    <x v="445"/>
    <x v="145"/>
    <s v="No"/>
    <x v="2"/>
    <x v="2"/>
    <n v="1"/>
    <x v="1"/>
    <x v="3"/>
    <x v="3"/>
    <m/>
    <x v="77"/>
    <x v="3"/>
    <m/>
    <x v="3"/>
    <x v="13"/>
  </r>
  <r>
    <s v="Id1809"/>
    <s v="Alan"/>
    <x v="446"/>
    <x v="344"/>
    <s v="No"/>
    <x v="2"/>
    <x v="2"/>
    <s v="No major surgery"/>
    <x v="1"/>
    <x v="3"/>
    <x v="3"/>
    <m/>
    <x v="77"/>
    <x v="3"/>
    <m/>
    <x v="3"/>
    <x v="13"/>
  </r>
  <r>
    <s v="Id1808"/>
    <s v="Dan R."/>
    <x v="320"/>
    <x v="231"/>
    <s v="No"/>
    <x v="2"/>
    <x v="2"/>
    <n v="1"/>
    <x v="1"/>
    <x v="3"/>
    <x v="3"/>
    <m/>
    <x v="77"/>
    <x v="3"/>
    <m/>
    <x v="3"/>
    <x v="13"/>
  </r>
  <r>
    <s v="Id1807"/>
    <s v="Katie"/>
    <x v="217"/>
    <x v="212"/>
    <s v="Yes"/>
    <x v="2"/>
    <x v="2"/>
    <n v="1"/>
    <x v="1"/>
    <x v="3"/>
    <x v="3"/>
    <m/>
    <x v="77"/>
    <x v="3"/>
    <m/>
    <x v="3"/>
    <x v="13"/>
  </r>
  <r>
    <s v="Id1806"/>
    <s v="Eric"/>
    <x v="447"/>
    <x v="345"/>
    <s v="No"/>
    <x v="2"/>
    <x v="2"/>
    <n v="1"/>
    <x v="0"/>
    <x v="3"/>
    <x v="3"/>
    <m/>
    <x v="77"/>
    <x v="3"/>
    <m/>
    <x v="3"/>
    <x v="13"/>
  </r>
  <r>
    <s v="Id1805"/>
    <s v="Cathryn"/>
    <x v="351"/>
    <x v="39"/>
    <s v="No"/>
    <x v="2"/>
    <x v="2"/>
    <n v="1"/>
    <x v="0"/>
    <x v="3"/>
    <x v="3"/>
    <m/>
    <x v="77"/>
    <x v="3"/>
    <m/>
    <x v="3"/>
    <x v="13"/>
  </r>
  <r>
    <s v="Id1804"/>
    <s v="Brendan"/>
    <x v="448"/>
    <x v="68"/>
    <s v="Yes"/>
    <x v="2"/>
    <x v="2"/>
    <s v="No major surgery"/>
    <x v="1"/>
    <x v="3"/>
    <x v="3"/>
    <m/>
    <x v="77"/>
    <x v="3"/>
    <m/>
    <x v="3"/>
    <x v="13"/>
  </r>
  <r>
    <s v="Id1803"/>
    <s v="Shauna"/>
    <x v="449"/>
    <x v="63"/>
    <s v="Yes"/>
    <x v="2"/>
    <x v="2"/>
    <n v="2"/>
    <x v="1"/>
    <x v="3"/>
    <x v="3"/>
    <m/>
    <x v="77"/>
    <x v="3"/>
    <m/>
    <x v="3"/>
    <x v="13"/>
  </r>
  <r>
    <s v="Id1802"/>
    <s v="Terence"/>
    <x v="277"/>
    <x v="85"/>
    <s v="No"/>
    <x v="2"/>
    <x v="2"/>
    <n v="1"/>
    <x v="0"/>
    <x v="3"/>
    <x v="3"/>
    <m/>
    <x v="77"/>
    <x v="3"/>
    <m/>
    <x v="3"/>
    <x v="13"/>
  </r>
  <r>
    <s v="Id1801"/>
    <s v="Marisol"/>
    <x v="450"/>
    <x v="346"/>
    <s v="Yes"/>
    <x v="2"/>
    <x v="2"/>
    <n v="1"/>
    <x v="0"/>
    <x v="3"/>
    <x v="3"/>
    <m/>
    <x v="77"/>
    <x v="3"/>
    <m/>
    <x v="3"/>
    <x v="13"/>
  </r>
  <r>
    <s v="Id1800"/>
    <s v="Lindsay"/>
    <x v="451"/>
    <x v="69"/>
    <s v="Yes"/>
    <x v="2"/>
    <x v="2"/>
    <n v="1"/>
    <x v="1"/>
    <x v="3"/>
    <x v="3"/>
    <m/>
    <x v="77"/>
    <x v="3"/>
    <m/>
    <x v="3"/>
    <x v="13"/>
  </r>
  <r>
    <s v="Id1799"/>
    <s v="Katie"/>
    <x v="452"/>
    <x v="143"/>
    <s v="No"/>
    <x v="2"/>
    <x v="2"/>
    <s v="No major surgery"/>
    <x v="0"/>
    <x v="3"/>
    <x v="3"/>
    <m/>
    <x v="77"/>
    <x v="3"/>
    <m/>
    <x v="3"/>
    <x v="13"/>
  </r>
  <r>
    <s v="Id1798"/>
    <s v="Daniel"/>
    <x v="191"/>
    <x v="122"/>
    <s v="Yes"/>
    <x v="2"/>
    <x v="2"/>
    <n v="1"/>
    <x v="0"/>
    <x v="3"/>
    <x v="3"/>
    <m/>
    <x v="77"/>
    <x v="3"/>
    <m/>
    <x v="3"/>
    <x v="13"/>
  </r>
  <r>
    <s v="Id1797"/>
    <s v="Brett W"/>
    <x v="453"/>
    <x v="193"/>
    <s v="No"/>
    <x v="2"/>
    <x v="2"/>
    <n v="1"/>
    <x v="0"/>
    <x v="3"/>
    <x v="3"/>
    <m/>
    <x v="77"/>
    <x v="3"/>
    <m/>
    <x v="3"/>
    <x v="13"/>
  </r>
  <r>
    <s v="Id1796"/>
    <s v="Dylan J"/>
    <x v="454"/>
    <x v="150"/>
    <s v="Yes"/>
    <x v="2"/>
    <x v="2"/>
    <n v="1"/>
    <x v="0"/>
    <x v="3"/>
    <x v="3"/>
    <m/>
    <x v="77"/>
    <x v="3"/>
    <m/>
    <x v="3"/>
    <x v="13"/>
  </r>
  <r>
    <s v="Id1795"/>
    <s v="Elizabeth"/>
    <x v="455"/>
    <x v="18"/>
    <s v="No"/>
    <x v="2"/>
    <x v="2"/>
    <n v="1"/>
    <x v="0"/>
    <x v="3"/>
    <x v="3"/>
    <m/>
    <x v="77"/>
    <x v="3"/>
    <m/>
    <x v="3"/>
    <x v="13"/>
  </r>
  <r>
    <s v="Id1794"/>
    <s v="Brooke M."/>
    <x v="456"/>
    <x v="347"/>
    <s v="Yes"/>
    <x v="2"/>
    <x v="2"/>
    <n v="1"/>
    <x v="1"/>
    <x v="3"/>
    <x v="3"/>
    <m/>
    <x v="77"/>
    <x v="3"/>
    <m/>
    <x v="3"/>
    <x v="13"/>
  </r>
  <r>
    <s v="Id1793"/>
    <s v="Teiko"/>
    <x v="457"/>
    <x v="168"/>
    <s v="Yes"/>
    <x v="2"/>
    <x v="2"/>
    <n v="1"/>
    <x v="1"/>
    <x v="3"/>
    <x v="3"/>
    <m/>
    <x v="77"/>
    <x v="3"/>
    <m/>
    <x v="3"/>
    <x v="13"/>
  </r>
  <r>
    <s v="Id1792"/>
    <s v="Zachary"/>
    <x v="252"/>
    <x v="165"/>
    <s v="No"/>
    <x v="2"/>
    <x v="2"/>
    <n v="1"/>
    <x v="1"/>
    <x v="3"/>
    <x v="3"/>
    <m/>
    <x v="77"/>
    <x v="3"/>
    <m/>
    <x v="3"/>
    <x v="13"/>
  </r>
  <r>
    <s v="Id1791"/>
    <s v="Johannah"/>
    <x v="237"/>
    <x v="348"/>
    <s v="No"/>
    <x v="2"/>
    <x v="2"/>
    <s v="No major surgery"/>
    <x v="0"/>
    <x v="3"/>
    <x v="3"/>
    <m/>
    <x v="77"/>
    <x v="3"/>
    <m/>
    <x v="3"/>
    <x v="13"/>
  </r>
  <r>
    <s v="Id1790"/>
    <s v="Ryan A"/>
    <x v="458"/>
    <x v="349"/>
    <s v="No"/>
    <x v="2"/>
    <x v="2"/>
    <s v="No major surgery"/>
    <x v="1"/>
    <x v="3"/>
    <x v="3"/>
    <m/>
    <x v="77"/>
    <x v="3"/>
    <m/>
    <x v="3"/>
    <x v="13"/>
  </r>
  <r>
    <s v="Id1789"/>
    <s v="Andres Sr."/>
    <x v="459"/>
    <x v="350"/>
    <s v="Yes"/>
    <x v="2"/>
    <x v="2"/>
    <n v="1"/>
    <x v="1"/>
    <x v="3"/>
    <x v="3"/>
    <m/>
    <x v="77"/>
    <x v="3"/>
    <m/>
    <x v="3"/>
    <x v="13"/>
  </r>
  <r>
    <s v="Id1788"/>
    <s v="Bryan"/>
    <x v="460"/>
    <x v="351"/>
    <s v="Yes"/>
    <x v="2"/>
    <x v="2"/>
    <s v="No major surgery"/>
    <x v="0"/>
    <x v="3"/>
    <x v="3"/>
    <m/>
    <x v="77"/>
    <x v="3"/>
    <m/>
    <x v="3"/>
    <x v="13"/>
  </r>
  <r>
    <s v="Id1787"/>
    <s v="Lizette"/>
    <x v="47"/>
    <x v="188"/>
    <s v="No"/>
    <x v="2"/>
    <x v="2"/>
    <s v="No major surgery"/>
    <x v="1"/>
    <x v="3"/>
    <x v="3"/>
    <m/>
    <x v="77"/>
    <x v="3"/>
    <m/>
    <x v="3"/>
    <x v="13"/>
  </r>
  <r>
    <s v="Id1786"/>
    <s v="Don"/>
    <x v="376"/>
    <x v="193"/>
    <s v="No"/>
    <x v="2"/>
    <x v="2"/>
    <s v="No major surgery"/>
    <x v="0"/>
    <x v="3"/>
    <x v="3"/>
    <m/>
    <x v="77"/>
    <x v="3"/>
    <m/>
    <x v="3"/>
    <x v="13"/>
  </r>
  <r>
    <s v="Id1785"/>
    <s v="Jeb"/>
    <x v="461"/>
    <x v="103"/>
    <s v="No"/>
    <x v="2"/>
    <x v="2"/>
    <n v="1"/>
    <x v="1"/>
    <x v="3"/>
    <x v="3"/>
    <m/>
    <x v="77"/>
    <x v="3"/>
    <m/>
    <x v="3"/>
    <x v="13"/>
  </r>
  <r>
    <s v="Id1784"/>
    <s v="Amy R."/>
    <x v="462"/>
    <x v="299"/>
    <s v="Yes"/>
    <x v="2"/>
    <x v="2"/>
    <n v="1"/>
    <x v="1"/>
    <x v="3"/>
    <x v="3"/>
    <m/>
    <x v="77"/>
    <x v="3"/>
    <m/>
    <x v="3"/>
    <x v="13"/>
  </r>
  <r>
    <s v="Id1783"/>
    <s v="Brian"/>
    <x v="463"/>
    <x v="352"/>
    <s v="Yes"/>
    <x v="2"/>
    <x v="2"/>
    <s v="No major surgery"/>
    <x v="1"/>
    <x v="3"/>
    <x v="3"/>
    <m/>
    <x v="77"/>
    <x v="3"/>
    <m/>
    <x v="3"/>
    <x v="13"/>
  </r>
  <r>
    <s v="Id1782"/>
    <s v="Mike G"/>
    <x v="464"/>
    <x v="263"/>
    <s v="Yes"/>
    <x v="2"/>
    <x v="2"/>
    <n v="1"/>
    <x v="1"/>
    <x v="3"/>
    <x v="3"/>
    <m/>
    <x v="77"/>
    <x v="3"/>
    <m/>
    <x v="3"/>
    <x v="13"/>
  </r>
  <r>
    <s v="Id1781"/>
    <s v="Simonezitrone Sr."/>
    <x v="465"/>
    <x v="79"/>
    <s v="No"/>
    <x v="2"/>
    <x v="2"/>
    <n v="1"/>
    <x v="1"/>
    <x v="3"/>
    <x v="3"/>
    <m/>
    <x v="77"/>
    <x v="3"/>
    <m/>
    <x v="3"/>
    <x v="13"/>
  </r>
  <r>
    <s v="Id1780"/>
    <s v="Nicholas"/>
    <x v="466"/>
    <x v="228"/>
    <s v="Yes"/>
    <x v="2"/>
    <x v="2"/>
    <n v="2"/>
    <x v="1"/>
    <x v="3"/>
    <x v="3"/>
    <m/>
    <x v="77"/>
    <x v="3"/>
    <m/>
    <x v="3"/>
    <x v="13"/>
  </r>
  <r>
    <s v="Id1779"/>
    <s v="Angela M"/>
    <x v="467"/>
    <x v="353"/>
    <s v="No"/>
    <x v="2"/>
    <x v="2"/>
    <n v="1"/>
    <x v="0"/>
    <x v="3"/>
    <x v="3"/>
    <m/>
    <x v="77"/>
    <x v="3"/>
    <m/>
    <x v="3"/>
    <x v="13"/>
  </r>
  <r>
    <s v="Id1778"/>
    <s v="Oz"/>
    <x v="390"/>
    <x v="166"/>
    <s v="No"/>
    <x v="2"/>
    <x v="2"/>
    <s v="No major surgery"/>
    <x v="1"/>
    <x v="3"/>
    <x v="3"/>
    <m/>
    <x v="77"/>
    <x v="3"/>
    <m/>
    <x v="3"/>
    <x v="13"/>
  </r>
  <r>
    <s v="Id1777"/>
    <s v="Erin M."/>
    <x v="468"/>
    <x v="146"/>
    <s v="No"/>
    <x v="2"/>
    <x v="2"/>
    <s v="No major surgery"/>
    <x v="1"/>
    <x v="3"/>
    <x v="3"/>
    <m/>
    <x v="77"/>
    <x v="3"/>
    <m/>
    <x v="3"/>
    <x v="13"/>
  </r>
  <r>
    <s v="Id1776"/>
    <s v="Bobby E."/>
    <x v="469"/>
    <x v="354"/>
    <s v="Yes"/>
    <x v="2"/>
    <x v="2"/>
    <n v="2"/>
    <x v="1"/>
    <x v="3"/>
    <x v="3"/>
    <m/>
    <x v="77"/>
    <x v="3"/>
    <m/>
    <x v="3"/>
    <x v="13"/>
  </r>
  <r>
    <s v="Id1775"/>
    <s v="Daniel P."/>
    <x v="410"/>
    <x v="355"/>
    <s v="No"/>
    <x v="2"/>
    <x v="2"/>
    <s v="No major surgery"/>
    <x v="0"/>
    <x v="3"/>
    <x v="3"/>
    <m/>
    <x v="77"/>
    <x v="3"/>
    <m/>
    <x v="3"/>
    <x v="13"/>
  </r>
  <r>
    <s v="Id1774"/>
    <s v="Marie E."/>
    <x v="470"/>
    <x v="356"/>
    <s v="Yes"/>
    <x v="2"/>
    <x v="2"/>
    <n v="1"/>
    <x v="1"/>
    <x v="3"/>
    <x v="3"/>
    <m/>
    <x v="77"/>
    <x v="3"/>
    <m/>
    <x v="3"/>
    <x v="13"/>
  </r>
  <r>
    <s v="Id1773"/>
    <s v="Katie"/>
    <x v="471"/>
    <x v="118"/>
    <s v="No"/>
    <x v="2"/>
    <x v="2"/>
    <s v="No major surgery"/>
    <x v="1"/>
    <x v="3"/>
    <x v="3"/>
    <m/>
    <x v="77"/>
    <x v="3"/>
    <m/>
    <x v="3"/>
    <x v="13"/>
  </r>
  <r>
    <s v="Id1772"/>
    <s v="Eric D"/>
    <x v="472"/>
    <x v="357"/>
    <s v="No"/>
    <x v="2"/>
    <x v="2"/>
    <s v="No major surgery"/>
    <x v="1"/>
    <x v="3"/>
    <x v="3"/>
    <m/>
    <x v="77"/>
    <x v="3"/>
    <m/>
    <x v="3"/>
    <x v="13"/>
  </r>
  <r>
    <s v="Id1771"/>
    <s v="Tara"/>
    <x v="473"/>
    <x v="358"/>
    <s v="No"/>
    <x v="2"/>
    <x v="2"/>
    <s v="No major surgery"/>
    <x v="0"/>
    <x v="3"/>
    <x v="3"/>
    <m/>
    <x v="77"/>
    <x v="3"/>
    <m/>
    <x v="3"/>
    <x v="13"/>
  </r>
  <r>
    <s v="Id1770"/>
    <s v="Haley L"/>
    <x v="474"/>
    <x v="359"/>
    <s v="No"/>
    <x v="2"/>
    <x v="2"/>
    <s v="No major surgery"/>
    <x v="1"/>
    <x v="3"/>
    <x v="3"/>
    <m/>
    <x v="77"/>
    <x v="3"/>
    <m/>
    <x v="3"/>
    <x v="13"/>
  </r>
  <r>
    <s v="Id1769"/>
    <s v="Kayla B."/>
    <x v="237"/>
    <x v="109"/>
    <s v="No"/>
    <x v="2"/>
    <x v="2"/>
    <n v="1"/>
    <x v="0"/>
    <x v="3"/>
    <x v="3"/>
    <m/>
    <x v="77"/>
    <x v="3"/>
    <m/>
    <x v="3"/>
    <x v="13"/>
  </r>
  <r>
    <s v="Id1768"/>
    <s v="Mark D."/>
    <x v="335"/>
    <x v="109"/>
    <s v="No"/>
    <x v="2"/>
    <x v="2"/>
    <n v="1"/>
    <x v="0"/>
    <x v="3"/>
    <x v="3"/>
    <m/>
    <x v="77"/>
    <x v="3"/>
    <m/>
    <x v="3"/>
    <x v="13"/>
  </r>
  <r>
    <s v="Id1767"/>
    <s v="Patrick J."/>
    <x v="298"/>
    <x v="89"/>
    <s v="No"/>
    <x v="2"/>
    <x v="2"/>
    <n v="1"/>
    <x v="0"/>
    <x v="3"/>
    <x v="3"/>
    <m/>
    <x v="77"/>
    <x v="3"/>
    <m/>
    <x v="3"/>
    <x v="13"/>
  </r>
  <r>
    <s v="Id1766"/>
    <s v="Alejandro"/>
    <x v="475"/>
    <x v="360"/>
    <s v="Yes"/>
    <x v="2"/>
    <x v="2"/>
    <n v="1"/>
    <x v="1"/>
    <x v="3"/>
    <x v="3"/>
    <m/>
    <x v="77"/>
    <x v="3"/>
    <m/>
    <x v="3"/>
    <x v="13"/>
  </r>
  <r>
    <s v="Id1765"/>
    <s v="Beth A"/>
    <x v="476"/>
    <x v="232"/>
    <s v="Yes"/>
    <x v="2"/>
    <x v="2"/>
    <n v="1"/>
    <x v="1"/>
    <x v="3"/>
    <x v="3"/>
    <m/>
    <x v="77"/>
    <x v="3"/>
    <m/>
    <x v="3"/>
    <x v="13"/>
  </r>
  <r>
    <s v="Id1764"/>
    <s v="Jason R"/>
    <x v="477"/>
    <x v="48"/>
    <s v="No"/>
    <x v="2"/>
    <x v="2"/>
    <s v="No major surgery"/>
    <x v="0"/>
    <x v="3"/>
    <x v="3"/>
    <m/>
    <x v="77"/>
    <x v="3"/>
    <m/>
    <x v="3"/>
    <x v="13"/>
  </r>
  <r>
    <s v="Id1763"/>
    <s v="Yoshinori"/>
    <x v="352"/>
    <x v="347"/>
    <s v="No"/>
    <x v="2"/>
    <x v="2"/>
    <n v="1"/>
    <x v="0"/>
    <x v="3"/>
    <x v="3"/>
    <m/>
    <x v="77"/>
    <x v="3"/>
    <m/>
    <x v="3"/>
    <x v="13"/>
  </r>
  <r>
    <s v="Id1762"/>
    <s v="Adrienne G."/>
    <x v="478"/>
    <x v="361"/>
    <s v="Yes"/>
    <x v="2"/>
    <x v="2"/>
    <n v="1"/>
    <x v="1"/>
    <x v="3"/>
    <x v="3"/>
    <m/>
    <x v="77"/>
    <x v="3"/>
    <m/>
    <x v="3"/>
    <x v="13"/>
  </r>
  <r>
    <s v="Id1761"/>
    <s v="Meredith"/>
    <x v="479"/>
    <x v="362"/>
    <s v="No"/>
    <x v="2"/>
    <x v="2"/>
    <s v="No major surgery"/>
    <x v="1"/>
    <x v="3"/>
    <x v="3"/>
    <m/>
    <x v="77"/>
    <x v="3"/>
    <m/>
    <x v="3"/>
    <x v="13"/>
  </r>
  <r>
    <s v="Id1760"/>
    <s v="Junyong"/>
    <x v="44"/>
    <x v="363"/>
    <s v="No"/>
    <x v="2"/>
    <x v="2"/>
    <n v="1"/>
    <x v="1"/>
    <x v="3"/>
    <x v="3"/>
    <m/>
    <x v="77"/>
    <x v="3"/>
    <m/>
    <x v="3"/>
    <x v="13"/>
  </r>
  <r>
    <s v="Id1759"/>
    <s v="Kristen A."/>
    <x v="480"/>
    <x v="364"/>
    <s v="No"/>
    <x v="2"/>
    <x v="2"/>
    <s v="No major surgery"/>
    <x v="0"/>
    <x v="3"/>
    <x v="3"/>
    <m/>
    <x v="77"/>
    <x v="3"/>
    <m/>
    <x v="3"/>
    <x v="13"/>
  </r>
  <r>
    <s v="Id1758"/>
    <s v="Maria I."/>
    <x v="406"/>
    <x v="208"/>
    <s v="No"/>
    <x v="2"/>
    <x v="2"/>
    <n v="1"/>
    <x v="0"/>
    <x v="3"/>
    <x v="3"/>
    <m/>
    <x v="77"/>
    <x v="3"/>
    <m/>
    <x v="3"/>
    <x v="13"/>
  </r>
  <r>
    <s v="Id1757"/>
    <s v="Jonathan"/>
    <x v="481"/>
    <x v="300"/>
    <s v="Yes"/>
    <x v="2"/>
    <x v="2"/>
    <s v="No major surgery"/>
    <x v="0"/>
    <x v="3"/>
    <x v="3"/>
    <m/>
    <x v="77"/>
    <x v="3"/>
    <m/>
    <x v="3"/>
    <x v="13"/>
  </r>
  <r>
    <s v="Id1756"/>
    <s v="Phil"/>
    <x v="482"/>
    <x v="234"/>
    <s v="No"/>
    <x v="2"/>
    <x v="2"/>
    <s v="No major surgery"/>
    <x v="1"/>
    <x v="3"/>
    <x v="3"/>
    <m/>
    <x v="77"/>
    <x v="3"/>
    <m/>
    <x v="3"/>
    <x v="13"/>
  </r>
  <r>
    <s v="Id1755"/>
    <s v="Benjamina C"/>
    <x v="483"/>
    <x v="111"/>
    <s v="No"/>
    <x v="2"/>
    <x v="2"/>
    <s v="No major surgery"/>
    <x v="1"/>
    <x v="3"/>
    <x v="3"/>
    <m/>
    <x v="77"/>
    <x v="3"/>
    <m/>
    <x v="3"/>
    <x v="13"/>
  </r>
  <r>
    <s v="Id1754"/>
    <s v="Christopher"/>
    <x v="484"/>
    <x v="252"/>
    <s v="No"/>
    <x v="2"/>
    <x v="2"/>
    <s v="No major surgery"/>
    <x v="1"/>
    <x v="3"/>
    <x v="3"/>
    <m/>
    <x v="77"/>
    <x v="3"/>
    <m/>
    <x v="3"/>
    <x v="13"/>
  </r>
  <r>
    <s v="Id1753"/>
    <s v="Alison B"/>
    <x v="485"/>
    <x v="50"/>
    <s v="No"/>
    <x v="2"/>
    <x v="2"/>
    <s v="No major surgery"/>
    <x v="1"/>
    <x v="3"/>
    <x v="3"/>
    <m/>
    <x v="77"/>
    <x v="3"/>
    <m/>
    <x v="3"/>
    <x v="13"/>
  </r>
  <r>
    <s v="Id1752"/>
    <s v="Caroline"/>
    <x v="486"/>
    <x v="216"/>
    <s v="No"/>
    <x v="2"/>
    <x v="2"/>
    <n v="1"/>
    <x v="0"/>
    <x v="3"/>
    <x v="3"/>
    <m/>
    <x v="77"/>
    <x v="3"/>
    <m/>
    <x v="3"/>
    <x v="13"/>
  </r>
  <r>
    <s v="Id1751"/>
    <s v="Alexis N"/>
    <x v="487"/>
    <x v="365"/>
    <s v="No"/>
    <x v="2"/>
    <x v="2"/>
    <s v="No major surgery"/>
    <x v="1"/>
    <x v="3"/>
    <x v="3"/>
    <m/>
    <x v="77"/>
    <x v="3"/>
    <m/>
    <x v="3"/>
    <x v="13"/>
  </r>
  <r>
    <s v="Id1750"/>
    <s v="Shanda L"/>
    <x v="375"/>
    <x v="209"/>
    <s v="Yes"/>
    <x v="2"/>
    <x v="2"/>
    <n v="1"/>
    <x v="1"/>
    <x v="3"/>
    <x v="3"/>
    <m/>
    <x v="77"/>
    <x v="3"/>
    <m/>
    <x v="3"/>
    <x v="13"/>
  </r>
  <r>
    <s v="Id1749"/>
    <s v="Lacey"/>
    <x v="488"/>
    <x v="113"/>
    <s v="No"/>
    <x v="2"/>
    <x v="2"/>
    <s v="No major surgery"/>
    <x v="1"/>
    <x v="3"/>
    <x v="3"/>
    <m/>
    <x v="77"/>
    <x v="3"/>
    <m/>
    <x v="3"/>
    <x v="13"/>
  </r>
  <r>
    <s v="Id1748"/>
    <s v="Laurette"/>
    <x v="489"/>
    <x v="366"/>
    <s v="No"/>
    <x v="2"/>
    <x v="2"/>
    <s v="No major surgery"/>
    <x v="0"/>
    <x v="3"/>
    <x v="3"/>
    <m/>
    <x v="77"/>
    <x v="3"/>
    <m/>
    <x v="3"/>
    <x v="13"/>
  </r>
  <r>
    <s v="Id1747"/>
    <s v="Jason"/>
    <x v="490"/>
    <x v="367"/>
    <s v="No"/>
    <x v="2"/>
    <x v="2"/>
    <s v="No major surgery"/>
    <x v="1"/>
    <x v="3"/>
    <x v="3"/>
    <m/>
    <x v="77"/>
    <x v="3"/>
    <m/>
    <x v="3"/>
    <x v="13"/>
  </r>
  <r>
    <s v="Id1746"/>
    <s v="Mary"/>
    <x v="491"/>
    <x v="368"/>
    <s v="No"/>
    <x v="2"/>
    <x v="2"/>
    <n v="1"/>
    <x v="0"/>
    <x v="3"/>
    <x v="3"/>
    <m/>
    <x v="77"/>
    <x v="3"/>
    <m/>
    <x v="3"/>
    <x v="13"/>
  </r>
  <r>
    <s v="Id1745"/>
    <s v="Kati A"/>
    <x v="492"/>
    <x v="152"/>
    <s v="No"/>
    <x v="2"/>
    <x v="2"/>
    <s v="No major surgery"/>
    <x v="1"/>
    <x v="3"/>
    <x v="3"/>
    <m/>
    <x v="77"/>
    <x v="3"/>
    <m/>
    <x v="3"/>
    <x v="13"/>
  </r>
  <r>
    <s v="Id1744"/>
    <s v="Kelly J"/>
    <x v="493"/>
    <x v="201"/>
    <s v="Yes"/>
    <x v="2"/>
    <x v="2"/>
    <n v="1"/>
    <x v="1"/>
    <x v="3"/>
    <x v="3"/>
    <m/>
    <x v="77"/>
    <x v="3"/>
    <m/>
    <x v="3"/>
    <x v="13"/>
  </r>
  <r>
    <s v="Id1743"/>
    <s v="Greer D"/>
    <x v="494"/>
    <x v="369"/>
    <s v="Yes"/>
    <x v="2"/>
    <x v="2"/>
    <n v="2"/>
    <x v="1"/>
    <x v="3"/>
    <x v="3"/>
    <m/>
    <x v="77"/>
    <x v="3"/>
    <m/>
    <x v="3"/>
    <x v="13"/>
  </r>
  <r>
    <s v="Id1742"/>
    <s v="Brent"/>
    <x v="495"/>
    <x v="370"/>
    <s v="Yes"/>
    <x v="2"/>
    <x v="2"/>
    <n v="1"/>
    <x v="1"/>
    <x v="3"/>
    <x v="3"/>
    <m/>
    <x v="77"/>
    <x v="3"/>
    <m/>
    <x v="3"/>
    <x v="13"/>
  </r>
  <r>
    <s v="Id1741"/>
    <s v="Eugene M"/>
    <x v="181"/>
    <x v="231"/>
    <s v="Yes"/>
    <x v="2"/>
    <x v="2"/>
    <s v="No major surgery"/>
    <x v="1"/>
    <x v="3"/>
    <x v="3"/>
    <m/>
    <x v="77"/>
    <x v="3"/>
    <m/>
    <x v="3"/>
    <x v="13"/>
  </r>
  <r>
    <s v="Id1740"/>
    <s v="Erin D"/>
    <x v="496"/>
    <x v="67"/>
    <s v="Yes"/>
    <x v="2"/>
    <x v="2"/>
    <n v="1"/>
    <x v="0"/>
    <x v="3"/>
    <x v="3"/>
    <m/>
    <x v="77"/>
    <x v="3"/>
    <m/>
    <x v="3"/>
    <x v="13"/>
  </r>
  <r>
    <s v="Id1739"/>
    <s v="Kamilla"/>
    <x v="402"/>
    <x v="371"/>
    <s v="No"/>
    <x v="2"/>
    <x v="2"/>
    <n v="3"/>
    <x v="1"/>
    <x v="3"/>
    <x v="3"/>
    <m/>
    <x v="77"/>
    <x v="3"/>
    <m/>
    <x v="3"/>
    <x v="13"/>
  </r>
  <r>
    <s v="Id1738"/>
    <s v="Wayne I."/>
    <x v="497"/>
    <x v="138"/>
    <s v="No"/>
    <x v="2"/>
    <x v="2"/>
    <n v="1"/>
    <x v="0"/>
    <x v="3"/>
    <x v="3"/>
    <m/>
    <x v="77"/>
    <x v="3"/>
    <m/>
    <x v="3"/>
    <x v="13"/>
  </r>
  <r>
    <s v="Id1737"/>
    <s v="Tracy L"/>
    <x v="426"/>
    <x v="372"/>
    <s v="Yes"/>
    <x v="2"/>
    <x v="2"/>
    <n v="1"/>
    <x v="0"/>
    <x v="3"/>
    <x v="3"/>
    <m/>
    <x v="77"/>
    <x v="3"/>
    <m/>
    <x v="3"/>
    <x v="13"/>
  </r>
  <r>
    <s v="Id1736"/>
    <s v="Heather"/>
    <x v="498"/>
    <x v="373"/>
    <s v="No"/>
    <x v="2"/>
    <x v="2"/>
    <s v="No major surgery"/>
    <x v="1"/>
    <x v="3"/>
    <x v="3"/>
    <m/>
    <x v="77"/>
    <x v="3"/>
    <m/>
    <x v="3"/>
    <x v="13"/>
  </r>
  <r>
    <s v="Id1735"/>
    <s v="Megan C"/>
    <x v="499"/>
    <x v="105"/>
    <s v="Yes"/>
    <x v="2"/>
    <x v="2"/>
    <n v="1"/>
    <x v="1"/>
    <x v="3"/>
    <x v="3"/>
    <m/>
    <x v="77"/>
    <x v="3"/>
    <m/>
    <x v="3"/>
    <x v="13"/>
  </r>
  <r>
    <s v="Id1734"/>
    <s v="Jonathan"/>
    <x v="500"/>
    <x v="374"/>
    <s v="No"/>
    <x v="2"/>
    <x v="2"/>
    <n v="1"/>
    <x v="0"/>
    <x v="3"/>
    <x v="3"/>
    <m/>
    <x v="77"/>
    <x v="3"/>
    <m/>
    <x v="3"/>
    <x v="13"/>
  </r>
  <r>
    <s v="Id1733"/>
    <s v="Greg D."/>
    <x v="501"/>
    <x v="375"/>
    <s v="No"/>
    <x v="2"/>
    <x v="2"/>
    <n v="2"/>
    <x v="1"/>
    <x v="3"/>
    <x v="3"/>
    <m/>
    <x v="77"/>
    <x v="3"/>
    <m/>
    <x v="3"/>
    <x v="13"/>
  </r>
  <r>
    <s v="Id1732"/>
    <s v="Steven L."/>
    <x v="502"/>
    <x v="57"/>
    <s v="No"/>
    <x v="2"/>
    <x v="2"/>
    <s v="No major surgery"/>
    <x v="0"/>
    <x v="3"/>
    <x v="3"/>
    <m/>
    <x v="77"/>
    <x v="3"/>
    <m/>
    <x v="3"/>
    <x v="13"/>
  </r>
  <r>
    <s v="Id1731"/>
    <s v="Gianfilippo"/>
    <x v="503"/>
    <x v="376"/>
    <s v="Yes"/>
    <x v="2"/>
    <x v="2"/>
    <n v="1"/>
    <x v="1"/>
    <x v="3"/>
    <x v="3"/>
    <m/>
    <x v="77"/>
    <x v="3"/>
    <m/>
    <x v="3"/>
    <x v="13"/>
  </r>
  <r>
    <s v="Id1730"/>
    <s v="Hector"/>
    <x v="504"/>
    <x v="152"/>
    <s v="Yes"/>
    <x v="2"/>
    <x v="2"/>
    <n v="1"/>
    <x v="1"/>
    <x v="3"/>
    <x v="3"/>
    <m/>
    <x v="77"/>
    <x v="3"/>
    <m/>
    <x v="3"/>
    <x v="13"/>
  </r>
  <r>
    <s v="Id1729"/>
    <s v="Mark W."/>
    <x v="505"/>
    <x v="377"/>
    <s v="No"/>
    <x v="2"/>
    <x v="2"/>
    <s v="No major surgery"/>
    <x v="1"/>
    <x v="3"/>
    <x v="3"/>
    <m/>
    <x v="77"/>
    <x v="3"/>
    <m/>
    <x v="3"/>
    <x v="13"/>
  </r>
  <r>
    <s v="Id1728"/>
    <s v="Aubri"/>
    <x v="118"/>
    <x v="169"/>
    <s v="No"/>
    <x v="2"/>
    <x v="2"/>
    <s v="No major surgery"/>
    <x v="1"/>
    <x v="3"/>
    <x v="3"/>
    <m/>
    <x v="77"/>
    <x v="3"/>
    <m/>
    <x v="3"/>
    <x v="13"/>
  </r>
  <r>
    <s v="Id1727"/>
    <s v="Justin"/>
    <x v="192"/>
    <x v="81"/>
    <s v="No"/>
    <x v="2"/>
    <x v="2"/>
    <n v="1"/>
    <x v="0"/>
    <x v="3"/>
    <x v="3"/>
    <m/>
    <x v="77"/>
    <x v="3"/>
    <m/>
    <x v="3"/>
    <x v="13"/>
  </r>
  <r>
    <s v="Id1726"/>
    <s v="Megan A."/>
    <x v="506"/>
    <x v="166"/>
    <s v="No"/>
    <x v="2"/>
    <x v="2"/>
    <n v="1"/>
    <x v="1"/>
    <x v="3"/>
    <x v="3"/>
    <m/>
    <x v="77"/>
    <x v="3"/>
    <m/>
    <x v="3"/>
    <x v="13"/>
  </r>
  <r>
    <s v="Id1725"/>
    <s v="Erika M."/>
    <x v="507"/>
    <x v="315"/>
    <s v="No"/>
    <x v="2"/>
    <x v="2"/>
    <n v="1"/>
    <x v="0"/>
    <x v="3"/>
    <x v="3"/>
    <m/>
    <x v="77"/>
    <x v="3"/>
    <m/>
    <x v="3"/>
    <x v="13"/>
  </r>
  <r>
    <s v="Id1724"/>
    <s v="Daniel G."/>
    <x v="508"/>
    <x v="112"/>
    <s v="Yes"/>
    <x v="2"/>
    <x v="2"/>
    <s v="No major surgery"/>
    <x v="1"/>
    <x v="3"/>
    <x v="3"/>
    <m/>
    <x v="77"/>
    <x v="3"/>
    <m/>
    <x v="3"/>
    <x v="13"/>
  </r>
  <r>
    <s v="Id1723"/>
    <s v="Devin C."/>
    <x v="85"/>
    <x v="14"/>
    <s v="No"/>
    <x v="2"/>
    <x v="2"/>
    <n v="3"/>
    <x v="1"/>
    <x v="3"/>
    <x v="3"/>
    <m/>
    <x v="77"/>
    <x v="3"/>
    <m/>
    <x v="3"/>
    <x v="13"/>
  </r>
  <r>
    <s v="Id1722"/>
    <s v="Louise A"/>
    <x v="80"/>
    <x v="378"/>
    <s v="No"/>
    <x v="2"/>
    <x v="2"/>
    <n v="3"/>
    <x v="1"/>
    <x v="3"/>
    <x v="3"/>
    <m/>
    <x v="77"/>
    <x v="3"/>
    <m/>
    <x v="3"/>
    <x v="13"/>
  </r>
  <r>
    <s v="Id1721"/>
    <s v="Sarah"/>
    <x v="509"/>
    <x v="379"/>
    <s v="No"/>
    <x v="2"/>
    <x v="2"/>
    <s v="No major surgery"/>
    <x v="1"/>
    <x v="3"/>
    <x v="3"/>
    <m/>
    <x v="77"/>
    <x v="3"/>
    <m/>
    <x v="3"/>
    <x v="13"/>
  </r>
  <r>
    <s v="Id1720"/>
    <s v="Amy"/>
    <x v="510"/>
    <x v="324"/>
    <s v="Yes"/>
    <x v="2"/>
    <x v="2"/>
    <n v="1"/>
    <x v="1"/>
    <x v="3"/>
    <x v="3"/>
    <m/>
    <x v="77"/>
    <x v="3"/>
    <m/>
    <x v="3"/>
    <x v="13"/>
  </r>
  <r>
    <s v="Id1719"/>
    <s v="Brittany L."/>
    <x v="511"/>
    <x v="380"/>
    <s v="No"/>
    <x v="2"/>
    <x v="2"/>
    <s v="No major surgery"/>
    <x v="1"/>
    <x v="3"/>
    <x v="3"/>
    <m/>
    <x v="77"/>
    <x v="3"/>
    <m/>
    <x v="3"/>
    <x v="13"/>
  </r>
  <r>
    <s v="Id1718"/>
    <s v="Jessica L"/>
    <x v="512"/>
    <x v="206"/>
    <s v="No"/>
    <x v="2"/>
    <x v="2"/>
    <s v="No major surgery"/>
    <x v="1"/>
    <x v="3"/>
    <x v="3"/>
    <m/>
    <x v="77"/>
    <x v="3"/>
    <m/>
    <x v="3"/>
    <x v="13"/>
  </r>
  <r>
    <s v="Id1717"/>
    <s v="Kristina K"/>
    <x v="513"/>
    <x v="18"/>
    <s v="No"/>
    <x v="2"/>
    <x v="2"/>
    <s v="No major surgery"/>
    <x v="1"/>
    <x v="3"/>
    <x v="3"/>
    <m/>
    <x v="77"/>
    <x v="3"/>
    <m/>
    <x v="3"/>
    <x v="13"/>
  </r>
  <r>
    <s v="Id1716"/>
    <s v="Brad"/>
    <x v="172"/>
    <x v="381"/>
    <s v="No"/>
    <x v="2"/>
    <x v="2"/>
    <s v="No major surgery"/>
    <x v="1"/>
    <x v="3"/>
    <x v="3"/>
    <m/>
    <x v="77"/>
    <x v="3"/>
    <m/>
    <x v="3"/>
    <x v="13"/>
  </r>
  <r>
    <s v="Id1715"/>
    <s v="Margaret O"/>
    <x v="514"/>
    <x v="335"/>
    <s v="No"/>
    <x v="2"/>
    <x v="2"/>
    <s v="No major surgery"/>
    <x v="1"/>
    <x v="3"/>
    <x v="3"/>
    <m/>
    <x v="77"/>
    <x v="3"/>
    <m/>
    <x v="3"/>
    <x v="13"/>
  </r>
  <r>
    <s v="Id1714"/>
    <s v="Craig R."/>
    <x v="515"/>
    <x v="135"/>
    <s v="No"/>
    <x v="2"/>
    <x v="2"/>
    <n v="1"/>
    <x v="0"/>
    <x v="3"/>
    <x v="3"/>
    <m/>
    <x v="77"/>
    <x v="3"/>
    <m/>
    <x v="3"/>
    <x v="13"/>
  </r>
  <r>
    <s v="Id1713"/>
    <s v="Simo"/>
    <x v="377"/>
    <x v="319"/>
    <s v="Yes"/>
    <x v="2"/>
    <x v="2"/>
    <n v="1"/>
    <x v="0"/>
    <x v="3"/>
    <x v="3"/>
    <m/>
    <x v="77"/>
    <x v="3"/>
    <m/>
    <x v="3"/>
    <x v="13"/>
  </r>
  <r>
    <s v="Id1712"/>
    <s v="Christopher J"/>
    <x v="516"/>
    <x v="382"/>
    <s v="No"/>
    <x v="2"/>
    <x v="2"/>
    <s v="No major surgery"/>
    <x v="1"/>
    <x v="3"/>
    <x v="3"/>
    <m/>
    <x v="77"/>
    <x v="3"/>
    <m/>
    <x v="3"/>
    <x v="13"/>
  </r>
  <r>
    <s v="Id1711"/>
    <s v="Mario Sr."/>
    <x v="517"/>
    <x v="112"/>
    <s v="Yes"/>
    <x v="2"/>
    <x v="2"/>
    <s v="No major surgery"/>
    <x v="1"/>
    <x v="3"/>
    <x v="3"/>
    <m/>
    <x v="77"/>
    <x v="3"/>
    <m/>
    <x v="3"/>
    <x v="13"/>
  </r>
  <r>
    <s v="Id1710"/>
    <s v="Meghann R."/>
    <x v="518"/>
    <x v="383"/>
    <s v="No"/>
    <x v="2"/>
    <x v="2"/>
    <n v="2"/>
    <x v="1"/>
    <x v="3"/>
    <x v="3"/>
    <m/>
    <x v="77"/>
    <x v="3"/>
    <m/>
    <x v="3"/>
    <x v="13"/>
  </r>
  <r>
    <s v="Id1709"/>
    <s v="Scott M"/>
    <x v="519"/>
    <x v="88"/>
    <s v="Yes"/>
    <x v="2"/>
    <x v="2"/>
    <n v="1"/>
    <x v="1"/>
    <x v="3"/>
    <x v="3"/>
    <m/>
    <x v="77"/>
    <x v="3"/>
    <m/>
    <x v="3"/>
    <x v="13"/>
  </r>
  <r>
    <s v="Id1708"/>
    <s v="Caitlin E."/>
    <x v="520"/>
    <x v="384"/>
    <s v="No"/>
    <x v="2"/>
    <x v="2"/>
    <s v="No major surgery"/>
    <x v="1"/>
    <x v="3"/>
    <x v="3"/>
    <m/>
    <x v="77"/>
    <x v="3"/>
    <m/>
    <x v="3"/>
    <x v="13"/>
  </r>
  <r>
    <s v="Id1707"/>
    <s v="Samantha A."/>
    <x v="521"/>
    <x v="385"/>
    <s v="No"/>
    <x v="2"/>
    <x v="2"/>
    <s v="No major surgery"/>
    <x v="1"/>
    <x v="3"/>
    <x v="3"/>
    <m/>
    <x v="77"/>
    <x v="3"/>
    <m/>
    <x v="3"/>
    <x v="13"/>
  </r>
  <r>
    <s v="Id1706"/>
    <s v="Erik"/>
    <x v="522"/>
    <x v="386"/>
    <s v="No"/>
    <x v="2"/>
    <x v="2"/>
    <s v="No major surgery"/>
    <x v="1"/>
    <x v="3"/>
    <x v="3"/>
    <m/>
    <x v="77"/>
    <x v="3"/>
    <m/>
    <x v="3"/>
    <x v="13"/>
  </r>
  <r>
    <s v="Id1705"/>
    <s v="Christopher"/>
    <x v="462"/>
    <x v="78"/>
    <s v="Yes"/>
    <x v="2"/>
    <x v="2"/>
    <n v="2"/>
    <x v="1"/>
    <x v="3"/>
    <x v="3"/>
    <m/>
    <x v="77"/>
    <x v="3"/>
    <m/>
    <x v="3"/>
    <x v="13"/>
  </r>
  <r>
    <s v="Id1704"/>
    <s v="Maya"/>
    <x v="523"/>
    <x v="387"/>
    <s v="No"/>
    <x v="2"/>
    <x v="2"/>
    <s v="No major surgery"/>
    <x v="1"/>
    <x v="3"/>
    <x v="3"/>
    <m/>
    <x v="77"/>
    <x v="3"/>
    <m/>
    <x v="3"/>
    <x v="13"/>
  </r>
  <r>
    <s v="Id1703"/>
    <s v="Zachary T"/>
    <x v="524"/>
    <x v="98"/>
    <s v="No"/>
    <x v="2"/>
    <x v="2"/>
    <n v="1"/>
    <x v="1"/>
    <x v="3"/>
    <x v="3"/>
    <m/>
    <x v="77"/>
    <x v="3"/>
    <m/>
    <x v="3"/>
    <x v="13"/>
  </r>
  <r>
    <s v="Id1702"/>
    <s v="Hilda"/>
    <x v="525"/>
    <x v="145"/>
    <s v="Yes"/>
    <x v="2"/>
    <x v="2"/>
    <s v="No major surgery"/>
    <x v="1"/>
    <x v="3"/>
    <x v="3"/>
    <m/>
    <x v="77"/>
    <x v="3"/>
    <m/>
    <x v="3"/>
    <x v="13"/>
  </r>
  <r>
    <s v="Id1701"/>
    <s v="Stephanie"/>
    <x v="526"/>
    <x v="388"/>
    <s v="No"/>
    <x v="2"/>
    <x v="2"/>
    <s v="No major surgery"/>
    <x v="1"/>
    <x v="3"/>
    <x v="3"/>
    <m/>
    <x v="77"/>
    <x v="3"/>
    <m/>
    <x v="3"/>
    <x v="13"/>
  </r>
  <r>
    <s v="Id1700"/>
    <s v="Doug"/>
    <x v="527"/>
    <x v="340"/>
    <s v="Yes"/>
    <x v="2"/>
    <x v="2"/>
    <n v="1"/>
    <x v="1"/>
    <x v="3"/>
    <x v="3"/>
    <m/>
    <x v="77"/>
    <x v="3"/>
    <m/>
    <x v="3"/>
    <x v="13"/>
  </r>
  <r>
    <s v="Id1699"/>
    <s v="Bethany N."/>
    <x v="528"/>
    <x v="389"/>
    <s v="No"/>
    <x v="2"/>
    <x v="2"/>
    <s v="No major surgery"/>
    <x v="1"/>
    <x v="3"/>
    <x v="3"/>
    <m/>
    <x v="77"/>
    <x v="3"/>
    <m/>
    <x v="3"/>
    <x v="13"/>
  </r>
  <r>
    <s v="Id1698"/>
    <s v="Sandra H"/>
    <x v="529"/>
    <x v="390"/>
    <s v="No"/>
    <x v="2"/>
    <x v="2"/>
    <s v="No major surgery"/>
    <x v="1"/>
    <x v="3"/>
    <x v="3"/>
    <m/>
    <x v="77"/>
    <x v="3"/>
    <m/>
    <x v="3"/>
    <x v="13"/>
  </r>
  <r>
    <s v="Id1697"/>
    <s v="Takuo"/>
    <x v="530"/>
    <x v="391"/>
    <s v="Yes"/>
    <x v="2"/>
    <x v="2"/>
    <n v="1"/>
    <x v="1"/>
    <x v="3"/>
    <x v="3"/>
    <m/>
    <x v="77"/>
    <x v="3"/>
    <m/>
    <x v="3"/>
    <x v="13"/>
  </r>
  <r>
    <s v="Id1696"/>
    <s v="Kelly A."/>
    <x v="507"/>
    <x v="209"/>
    <s v="Yes"/>
    <x v="2"/>
    <x v="2"/>
    <s v="No major surgery"/>
    <x v="0"/>
    <x v="3"/>
    <x v="3"/>
    <m/>
    <x v="77"/>
    <x v="3"/>
    <m/>
    <x v="3"/>
    <x v="13"/>
  </r>
  <r>
    <s v="Id1695"/>
    <s v="Scott"/>
    <x v="61"/>
    <x v="392"/>
    <s v="Yes"/>
    <x v="2"/>
    <x v="2"/>
    <n v="1"/>
    <x v="1"/>
    <x v="3"/>
    <x v="3"/>
    <m/>
    <x v="77"/>
    <x v="3"/>
    <m/>
    <x v="3"/>
    <x v="13"/>
  </r>
  <r>
    <s v="Id1694"/>
    <s v="Benoit"/>
    <x v="531"/>
    <x v="273"/>
    <s v="Yes"/>
    <x v="2"/>
    <x v="2"/>
    <n v="1"/>
    <x v="1"/>
    <x v="3"/>
    <x v="3"/>
    <m/>
    <x v="77"/>
    <x v="3"/>
    <m/>
    <x v="3"/>
    <x v="13"/>
  </r>
  <r>
    <s v="Id1693"/>
    <s v="Elizabeth M."/>
    <x v="3"/>
    <x v="393"/>
    <s v="No"/>
    <x v="2"/>
    <x v="2"/>
    <s v="No major surgery"/>
    <x v="1"/>
    <x v="3"/>
    <x v="3"/>
    <m/>
    <x v="77"/>
    <x v="3"/>
    <m/>
    <x v="3"/>
    <x v="13"/>
  </r>
  <r>
    <s v="Id1692"/>
    <s v="Jessica A."/>
    <x v="532"/>
    <x v="394"/>
    <s v="No"/>
    <x v="2"/>
    <x v="2"/>
    <s v="No major surgery"/>
    <x v="1"/>
    <x v="3"/>
    <x v="3"/>
    <m/>
    <x v="77"/>
    <x v="3"/>
    <m/>
    <x v="3"/>
    <x v="13"/>
  </r>
  <r>
    <s v="Id1691"/>
    <s v="Monica K"/>
    <x v="533"/>
    <x v="156"/>
    <s v="No"/>
    <x v="2"/>
    <x v="2"/>
    <s v="No major surgery"/>
    <x v="1"/>
    <x v="3"/>
    <x v="3"/>
    <m/>
    <x v="77"/>
    <x v="3"/>
    <m/>
    <x v="3"/>
    <x v="13"/>
  </r>
  <r>
    <s v="Id1690"/>
    <s v="Kevin L"/>
    <x v="142"/>
    <x v="347"/>
    <s v="Yes"/>
    <x v="2"/>
    <x v="2"/>
    <n v="2"/>
    <x v="1"/>
    <x v="3"/>
    <x v="3"/>
    <m/>
    <x v="77"/>
    <x v="3"/>
    <m/>
    <x v="3"/>
    <x v="13"/>
  </r>
  <r>
    <s v="Id1689"/>
    <s v="Gregory"/>
    <x v="534"/>
    <x v="120"/>
    <s v="Yes"/>
    <x v="2"/>
    <x v="2"/>
    <n v="2"/>
    <x v="1"/>
    <x v="3"/>
    <x v="3"/>
    <m/>
    <x v="77"/>
    <x v="3"/>
    <m/>
    <x v="3"/>
    <x v="13"/>
  </r>
  <r>
    <s v="Id1688"/>
    <s v="Della"/>
    <x v="38"/>
    <x v="395"/>
    <s v="No"/>
    <x v="2"/>
    <x v="2"/>
    <s v="No major surgery"/>
    <x v="1"/>
    <x v="3"/>
    <x v="3"/>
    <m/>
    <x v="77"/>
    <x v="3"/>
    <m/>
    <x v="3"/>
    <x v="13"/>
  </r>
  <r>
    <s v="Id1687"/>
    <s v="David"/>
    <x v="535"/>
    <x v="396"/>
    <s v="No"/>
    <x v="2"/>
    <x v="2"/>
    <s v="No major surgery"/>
    <x v="1"/>
    <x v="3"/>
    <x v="3"/>
    <m/>
    <x v="77"/>
    <x v="3"/>
    <m/>
    <x v="3"/>
    <x v="13"/>
  </r>
  <r>
    <s v="Id1686"/>
    <s v="Victoria"/>
    <x v="536"/>
    <x v="397"/>
    <s v="No"/>
    <x v="2"/>
    <x v="2"/>
    <s v="No major surgery"/>
    <x v="1"/>
    <x v="3"/>
    <x v="3"/>
    <m/>
    <x v="77"/>
    <x v="3"/>
    <m/>
    <x v="3"/>
    <x v="13"/>
  </r>
  <r>
    <s v="Id1685"/>
    <s v="Tasos"/>
    <x v="537"/>
    <x v="353"/>
    <s v="No"/>
    <x v="2"/>
    <x v="2"/>
    <n v="2"/>
    <x v="1"/>
    <x v="3"/>
    <x v="3"/>
    <m/>
    <x v="77"/>
    <x v="3"/>
    <m/>
    <x v="3"/>
    <x v="13"/>
  </r>
  <r>
    <s v="Id1684"/>
    <s v="Thomas"/>
    <x v="538"/>
    <x v="254"/>
    <s v="Yes"/>
    <x v="2"/>
    <x v="2"/>
    <n v="1"/>
    <x v="1"/>
    <x v="3"/>
    <x v="3"/>
    <m/>
    <x v="77"/>
    <x v="3"/>
    <m/>
    <x v="3"/>
    <x v="13"/>
  </r>
  <r>
    <s v="Id1683"/>
    <s v="Lukasz"/>
    <x v="539"/>
    <x v="398"/>
    <s v="No"/>
    <x v="2"/>
    <x v="2"/>
    <s v="No major surgery"/>
    <x v="1"/>
    <x v="3"/>
    <x v="3"/>
    <m/>
    <x v="77"/>
    <x v="3"/>
    <m/>
    <x v="3"/>
    <x v="13"/>
  </r>
  <r>
    <s v="Id1682"/>
    <s v="Matthew A."/>
    <x v="540"/>
    <x v="399"/>
    <s v="No"/>
    <x v="2"/>
    <x v="2"/>
    <s v="No major surgery"/>
    <x v="1"/>
    <x v="3"/>
    <x v="3"/>
    <m/>
    <x v="77"/>
    <x v="3"/>
    <m/>
    <x v="3"/>
    <x v="13"/>
  </r>
  <r>
    <s v="Id1681"/>
    <s v="Meta"/>
    <x v="478"/>
    <x v="26"/>
    <s v="Yes"/>
    <x v="2"/>
    <x v="2"/>
    <n v="2"/>
    <x v="1"/>
    <x v="3"/>
    <x v="3"/>
    <m/>
    <x v="77"/>
    <x v="3"/>
    <m/>
    <x v="3"/>
    <x v="13"/>
  </r>
  <r>
    <s v="Id1680"/>
    <s v="Rachel E"/>
    <x v="541"/>
    <x v="202"/>
    <s v="No"/>
    <x v="2"/>
    <x v="2"/>
    <n v="1"/>
    <x v="1"/>
    <x v="3"/>
    <x v="3"/>
    <m/>
    <x v="77"/>
    <x v="3"/>
    <m/>
    <x v="3"/>
    <x v="13"/>
  </r>
  <r>
    <s v="Id1679"/>
    <s v="Angelica"/>
    <x v="88"/>
    <x v="201"/>
    <s v="No"/>
    <x v="2"/>
    <x v="2"/>
    <s v="No major surgery"/>
    <x v="1"/>
    <x v="3"/>
    <x v="3"/>
    <m/>
    <x v="77"/>
    <x v="3"/>
    <m/>
    <x v="3"/>
    <x v="13"/>
  </r>
  <r>
    <s v="Id1678"/>
    <s v="Kathleen"/>
    <x v="542"/>
    <x v="319"/>
    <s v="Yes"/>
    <x v="2"/>
    <x v="2"/>
    <n v="1"/>
    <x v="0"/>
    <x v="3"/>
    <x v="3"/>
    <m/>
    <x v="77"/>
    <x v="3"/>
    <m/>
    <x v="3"/>
    <x v="13"/>
  </r>
  <r>
    <s v="Id1677"/>
    <s v="Gabriel D."/>
    <x v="380"/>
    <x v="400"/>
    <s v="No"/>
    <x v="2"/>
    <x v="2"/>
    <n v="3"/>
    <x v="1"/>
    <x v="3"/>
    <x v="3"/>
    <m/>
    <x v="77"/>
    <x v="3"/>
    <m/>
    <x v="3"/>
    <x v="13"/>
  </r>
  <r>
    <s v="Id1676"/>
    <s v="Jeff T"/>
    <x v="41"/>
    <x v="401"/>
    <s v="No"/>
    <x v="2"/>
    <x v="2"/>
    <s v="No major surgery"/>
    <x v="1"/>
    <x v="3"/>
    <x v="3"/>
    <m/>
    <x v="77"/>
    <x v="3"/>
    <m/>
    <x v="3"/>
    <x v="13"/>
  </r>
  <r>
    <s v="Id1675"/>
    <s v="Neil D"/>
    <x v="543"/>
    <x v="285"/>
    <s v="No"/>
    <x v="2"/>
    <x v="2"/>
    <s v="No major surgery"/>
    <x v="1"/>
    <x v="3"/>
    <x v="3"/>
    <m/>
    <x v="77"/>
    <x v="3"/>
    <m/>
    <x v="3"/>
    <x v="13"/>
  </r>
  <r>
    <s v="Id1674"/>
    <s v="Katherine L."/>
    <x v="544"/>
    <x v="402"/>
    <s v="Yes"/>
    <x v="2"/>
    <x v="2"/>
    <s v="No major surgery"/>
    <x v="1"/>
    <x v="3"/>
    <x v="3"/>
    <m/>
    <x v="77"/>
    <x v="3"/>
    <m/>
    <x v="3"/>
    <x v="13"/>
  </r>
  <r>
    <s v="Id1673"/>
    <s v="Ariel E"/>
    <x v="545"/>
    <x v="394"/>
    <s v="No"/>
    <x v="2"/>
    <x v="2"/>
    <n v="3"/>
    <x v="1"/>
    <x v="3"/>
    <x v="3"/>
    <m/>
    <x v="77"/>
    <x v="3"/>
    <m/>
    <x v="3"/>
    <x v="13"/>
  </r>
  <r>
    <s v="Id1672"/>
    <s v="Christopher P"/>
    <x v="546"/>
    <x v="403"/>
    <s v="Yes"/>
    <x v="2"/>
    <x v="2"/>
    <n v="2"/>
    <x v="1"/>
    <x v="3"/>
    <x v="3"/>
    <m/>
    <x v="77"/>
    <x v="3"/>
    <m/>
    <x v="3"/>
    <x v="13"/>
  </r>
  <r>
    <s v="Id1671"/>
    <s v="Erin M."/>
    <x v="547"/>
    <x v="404"/>
    <s v="Yes"/>
    <x v="2"/>
    <x v="2"/>
    <s v="No major surgery"/>
    <x v="1"/>
    <x v="3"/>
    <x v="3"/>
    <m/>
    <x v="77"/>
    <x v="3"/>
    <m/>
    <x v="3"/>
    <x v="13"/>
  </r>
  <r>
    <s v="Id1670"/>
    <s v="Molly K."/>
    <x v="548"/>
    <x v="80"/>
    <s v="No"/>
    <x v="2"/>
    <x v="2"/>
    <n v="1"/>
    <x v="1"/>
    <x v="3"/>
    <x v="3"/>
    <m/>
    <x v="77"/>
    <x v="3"/>
    <m/>
    <x v="3"/>
    <x v="13"/>
  </r>
  <r>
    <s v="Id1669"/>
    <s v="Ryan J."/>
    <x v="549"/>
    <x v="405"/>
    <s v="Yes"/>
    <x v="2"/>
    <x v="2"/>
    <n v="1"/>
    <x v="1"/>
    <x v="3"/>
    <x v="3"/>
    <m/>
    <x v="77"/>
    <x v="3"/>
    <m/>
    <x v="3"/>
    <x v="13"/>
  </r>
  <r>
    <s v="Id1668"/>
    <s v="Jennifer"/>
    <x v="550"/>
    <x v="296"/>
    <s v="No"/>
    <x v="2"/>
    <x v="2"/>
    <s v="No major surgery"/>
    <x v="1"/>
    <x v="3"/>
    <x v="3"/>
    <m/>
    <x v="77"/>
    <x v="3"/>
    <m/>
    <x v="3"/>
    <x v="13"/>
  </r>
  <r>
    <s v="Id1667"/>
    <s v="Daniel M"/>
    <x v="551"/>
    <x v="406"/>
    <s v="No"/>
    <x v="2"/>
    <x v="2"/>
    <s v="No major surgery"/>
    <x v="1"/>
    <x v="3"/>
    <x v="3"/>
    <m/>
    <x v="77"/>
    <x v="3"/>
    <m/>
    <x v="3"/>
    <x v="13"/>
  </r>
  <r>
    <s v="Id1666"/>
    <s v="Hiruni"/>
    <x v="329"/>
    <x v="28"/>
    <s v="No"/>
    <x v="2"/>
    <x v="2"/>
    <s v="No major surgery"/>
    <x v="0"/>
    <x v="3"/>
    <x v="3"/>
    <m/>
    <x v="77"/>
    <x v="3"/>
    <m/>
    <x v="3"/>
    <x v="13"/>
  </r>
  <r>
    <s v="Id1665"/>
    <s v="Reina H."/>
    <x v="552"/>
    <x v="189"/>
    <s v="No"/>
    <x v="2"/>
    <x v="2"/>
    <s v="No major surgery"/>
    <x v="1"/>
    <x v="3"/>
    <x v="3"/>
    <m/>
    <x v="77"/>
    <x v="3"/>
    <m/>
    <x v="3"/>
    <x v="13"/>
  </r>
  <r>
    <s v="Id1664"/>
    <s v="Kristi"/>
    <x v="520"/>
    <x v="407"/>
    <s v="No"/>
    <x v="2"/>
    <x v="2"/>
    <n v="3"/>
    <x v="1"/>
    <x v="3"/>
    <x v="3"/>
    <m/>
    <x v="77"/>
    <x v="3"/>
    <m/>
    <x v="3"/>
    <x v="13"/>
  </r>
  <r>
    <s v="Id1663"/>
    <s v="Meredith L."/>
    <x v="553"/>
    <x v="340"/>
    <s v="Yes"/>
    <x v="2"/>
    <x v="2"/>
    <n v="1"/>
    <x v="1"/>
    <x v="3"/>
    <x v="3"/>
    <m/>
    <x v="77"/>
    <x v="3"/>
    <m/>
    <x v="3"/>
    <x v="13"/>
  </r>
  <r>
    <s v="Id1662"/>
    <s v="Jocelyn"/>
    <x v="554"/>
    <x v="257"/>
    <s v="Yes"/>
    <x v="2"/>
    <x v="2"/>
    <s v="No major surgery"/>
    <x v="1"/>
    <x v="3"/>
    <x v="3"/>
    <m/>
    <x v="77"/>
    <x v="3"/>
    <m/>
    <x v="3"/>
    <x v="13"/>
  </r>
  <r>
    <s v="Id1661"/>
    <s v="Daphne"/>
    <x v="555"/>
    <x v="408"/>
    <s v="Yes"/>
    <x v="2"/>
    <x v="2"/>
    <s v="No major surgery"/>
    <x v="1"/>
    <x v="3"/>
    <x v="3"/>
    <m/>
    <x v="77"/>
    <x v="3"/>
    <m/>
    <x v="3"/>
    <x v="13"/>
  </r>
  <r>
    <s v="Id1660"/>
    <s v="Margaret E"/>
    <x v="556"/>
    <x v="409"/>
    <s v="No"/>
    <x v="2"/>
    <x v="2"/>
    <s v="No major surgery"/>
    <x v="1"/>
    <x v="3"/>
    <x v="3"/>
    <m/>
    <x v="77"/>
    <x v="3"/>
    <m/>
    <x v="3"/>
    <x v="13"/>
  </r>
  <r>
    <s v="Id1659"/>
    <s v="Mario J."/>
    <x v="38"/>
    <x v="410"/>
    <s v="No"/>
    <x v="2"/>
    <x v="2"/>
    <s v="No major surgery"/>
    <x v="1"/>
    <x v="3"/>
    <x v="3"/>
    <m/>
    <x v="77"/>
    <x v="3"/>
    <m/>
    <x v="3"/>
    <x v="13"/>
  </r>
  <r>
    <s v="Id1658"/>
    <s v="Peter"/>
    <x v="557"/>
    <x v="411"/>
    <s v="Yes"/>
    <x v="2"/>
    <x v="2"/>
    <s v="No major surgery"/>
    <x v="1"/>
    <x v="3"/>
    <x v="3"/>
    <m/>
    <x v="77"/>
    <x v="3"/>
    <m/>
    <x v="3"/>
    <x v="13"/>
  </r>
  <r>
    <s v="Id1657"/>
    <s v="Carolina"/>
    <x v="443"/>
    <x v="210"/>
    <s v="Yes"/>
    <x v="2"/>
    <x v="2"/>
    <n v="1"/>
    <x v="1"/>
    <x v="3"/>
    <x v="3"/>
    <m/>
    <x v="77"/>
    <x v="3"/>
    <m/>
    <x v="3"/>
    <x v="13"/>
  </r>
  <r>
    <s v="Id1656"/>
    <s v="Jenny K."/>
    <x v="558"/>
    <x v="355"/>
    <s v="No"/>
    <x v="2"/>
    <x v="2"/>
    <s v="No major surgery"/>
    <x v="1"/>
    <x v="3"/>
    <x v="3"/>
    <m/>
    <x v="77"/>
    <x v="3"/>
    <m/>
    <x v="3"/>
    <x v="13"/>
  </r>
  <r>
    <s v="Id1655"/>
    <s v="Jessica"/>
    <x v="559"/>
    <x v="4"/>
    <s v="No"/>
    <x v="2"/>
    <x v="2"/>
    <n v="1"/>
    <x v="0"/>
    <x v="3"/>
    <x v="3"/>
    <m/>
    <x v="77"/>
    <x v="3"/>
    <m/>
    <x v="3"/>
    <x v="13"/>
  </r>
  <r>
    <s v="Id1654"/>
    <s v="Kimberly D"/>
    <x v="483"/>
    <x v="136"/>
    <s v="No"/>
    <x v="2"/>
    <x v="2"/>
    <s v="No major surgery"/>
    <x v="1"/>
    <x v="3"/>
    <x v="3"/>
    <m/>
    <x v="77"/>
    <x v="3"/>
    <m/>
    <x v="3"/>
    <x v="13"/>
  </r>
  <r>
    <s v="Id1653"/>
    <s v="Marc-Olivier"/>
    <x v="560"/>
    <x v="66"/>
    <s v="No"/>
    <x v="2"/>
    <x v="2"/>
    <s v="No major surgery"/>
    <x v="1"/>
    <x v="3"/>
    <x v="3"/>
    <m/>
    <x v="77"/>
    <x v="3"/>
    <m/>
    <x v="3"/>
    <x v="13"/>
  </r>
  <r>
    <s v="Id1652"/>
    <s v="Russell J"/>
    <x v="561"/>
    <x v="348"/>
    <s v="No"/>
    <x v="2"/>
    <x v="2"/>
    <n v="1"/>
    <x v="1"/>
    <x v="3"/>
    <x v="3"/>
    <m/>
    <x v="77"/>
    <x v="3"/>
    <m/>
    <x v="3"/>
    <x v="13"/>
  </r>
  <r>
    <s v="Id1651"/>
    <s v="Karine"/>
    <x v="40"/>
    <x v="106"/>
    <s v="Yes"/>
    <x v="2"/>
    <x v="2"/>
    <n v="2"/>
    <x v="1"/>
    <x v="3"/>
    <x v="3"/>
    <m/>
    <x v="77"/>
    <x v="3"/>
    <m/>
    <x v="3"/>
    <x v="13"/>
  </r>
  <r>
    <s v="Id1650"/>
    <s v="Ms.  Cheryl"/>
    <x v="562"/>
    <x v="412"/>
    <s v="Yes"/>
    <x v="2"/>
    <x v="2"/>
    <s v="No major surgery"/>
    <x v="1"/>
    <x v="3"/>
    <x v="3"/>
    <m/>
    <x v="77"/>
    <x v="3"/>
    <m/>
    <x v="3"/>
    <x v="13"/>
  </r>
  <r>
    <s v="Id1649"/>
    <s v="Allison M."/>
    <x v="563"/>
    <x v="319"/>
    <s v="Yes"/>
    <x v="2"/>
    <x v="2"/>
    <s v="No major surgery"/>
    <x v="0"/>
    <x v="3"/>
    <x v="3"/>
    <m/>
    <x v="77"/>
    <x v="3"/>
    <m/>
    <x v="3"/>
    <x v="13"/>
  </r>
  <r>
    <s v="Id1648"/>
    <s v="Adriana"/>
    <x v="564"/>
    <x v="159"/>
    <s v="Yes"/>
    <x v="2"/>
    <x v="2"/>
    <n v="2"/>
    <x v="1"/>
    <x v="3"/>
    <x v="3"/>
    <m/>
    <x v="77"/>
    <x v="3"/>
    <m/>
    <x v="3"/>
    <x v="13"/>
  </r>
  <r>
    <s v="Id1647"/>
    <s v="Miranda J"/>
    <x v="565"/>
    <x v="112"/>
    <s v="Yes"/>
    <x v="2"/>
    <x v="2"/>
    <n v="2"/>
    <x v="1"/>
    <x v="3"/>
    <x v="3"/>
    <m/>
    <x v="77"/>
    <x v="3"/>
    <m/>
    <x v="3"/>
    <x v="13"/>
  </r>
  <r>
    <s v="Id1646"/>
    <s v="Mr.  Roberto"/>
    <x v="566"/>
    <x v="210"/>
    <s v="Yes"/>
    <x v="2"/>
    <x v="2"/>
    <s v="No major surgery"/>
    <x v="1"/>
    <x v="3"/>
    <x v="3"/>
    <m/>
    <x v="77"/>
    <x v="3"/>
    <m/>
    <x v="3"/>
    <x v="13"/>
  </r>
  <r>
    <s v="Id1645"/>
    <s v="Rebecca B."/>
    <x v="61"/>
    <x v="413"/>
    <s v="Yes"/>
    <x v="2"/>
    <x v="2"/>
    <s v="No major surgery"/>
    <x v="1"/>
    <x v="3"/>
    <x v="3"/>
    <m/>
    <x v="77"/>
    <x v="3"/>
    <m/>
    <x v="3"/>
    <x v="13"/>
  </r>
  <r>
    <s v="Id1644"/>
    <s v="Tiffany"/>
    <x v="567"/>
    <x v="297"/>
    <s v="No"/>
    <x v="2"/>
    <x v="2"/>
    <s v="No major surgery"/>
    <x v="1"/>
    <x v="3"/>
    <x v="3"/>
    <m/>
    <x v="77"/>
    <x v="3"/>
    <m/>
    <x v="3"/>
    <x v="13"/>
  </r>
  <r>
    <s v="Id1643"/>
    <s v="Alexander"/>
    <x v="568"/>
    <x v="359"/>
    <s v="No"/>
    <x v="2"/>
    <x v="2"/>
    <n v="3"/>
    <x v="1"/>
    <x v="3"/>
    <x v="3"/>
    <m/>
    <x v="77"/>
    <x v="3"/>
    <m/>
    <x v="3"/>
    <x v="13"/>
  </r>
  <r>
    <s v="Id1642"/>
    <s v="Rich M"/>
    <x v="569"/>
    <x v="414"/>
    <s v="No"/>
    <x v="2"/>
    <x v="2"/>
    <n v="3"/>
    <x v="1"/>
    <x v="3"/>
    <x v="3"/>
    <m/>
    <x v="77"/>
    <x v="3"/>
    <m/>
    <x v="3"/>
    <x v="13"/>
  </r>
  <r>
    <s v="Id1641"/>
    <s v="Aaron C"/>
    <x v="421"/>
    <x v="415"/>
    <s v="No"/>
    <x v="2"/>
    <x v="2"/>
    <n v="3"/>
    <x v="1"/>
    <x v="3"/>
    <x v="3"/>
    <m/>
    <x v="77"/>
    <x v="3"/>
    <m/>
    <x v="3"/>
    <x v="13"/>
  </r>
  <r>
    <s v="Id1640"/>
    <s v="Kate"/>
    <x v="570"/>
    <x v="416"/>
    <s v="No"/>
    <x v="2"/>
    <x v="2"/>
    <s v="No major surgery"/>
    <x v="1"/>
    <x v="3"/>
    <x v="3"/>
    <m/>
    <x v="77"/>
    <x v="3"/>
    <m/>
    <x v="3"/>
    <x v="13"/>
  </r>
  <r>
    <s v="Id1639"/>
    <s v="Maria M"/>
    <x v="312"/>
    <x v="417"/>
    <s v="Yes"/>
    <x v="2"/>
    <x v="2"/>
    <n v="1"/>
    <x v="1"/>
    <x v="3"/>
    <x v="3"/>
    <m/>
    <x v="77"/>
    <x v="3"/>
    <m/>
    <x v="3"/>
    <x v="13"/>
  </r>
  <r>
    <s v="Id1638"/>
    <s v="Daven W"/>
    <x v="5"/>
    <x v="87"/>
    <s v="Yes"/>
    <x v="2"/>
    <x v="2"/>
    <n v="1"/>
    <x v="1"/>
    <x v="3"/>
    <x v="3"/>
    <m/>
    <x v="77"/>
    <x v="3"/>
    <m/>
    <x v="3"/>
    <x v="13"/>
  </r>
  <r>
    <s v="Id1637"/>
    <s v="Mrs.  Brianne"/>
    <x v="571"/>
    <x v="418"/>
    <s v="Yes"/>
    <x v="2"/>
    <x v="2"/>
    <s v="No major surgery"/>
    <x v="1"/>
    <x v="3"/>
    <x v="3"/>
    <m/>
    <x v="77"/>
    <x v="3"/>
    <m/>
    <x v="3"/>
    <x v="13"/>
  </r>
  <r>
    <s v="Id1636"/>
    <s v="Hiroki"/>
    <x v="565"/>
    <x v="419"/>
    <s v="Yes"/>
    <x v="2"/>
    <x v="2"/>
    <n v="2"/>
    <x v="1"/>
    <x v="3"/>
    <x v="3"/>
    <m/>
    <x v="77"/>
    <x v="3"/>
    <m/>
    <x v="3"/>
    <x v="13"/>
  </r>
  <r>
    <s v="Id1635"/>
    <s v="Anders"/>
    <x v="572"/>
    <x v="24"/>
    <s v="Yes"/>
    <x v="2"/>
    <x v="2"/>
    <n v="1"/>
    <x v="1"/>
    <x v="3"/>
    <x v="3"/>
    <m/>
    <x v="77"/>
    <x v="3"/>
    <m/>
    <x v="3"/>
    <x v="13"/>
  </r>
  <r>
    <s v="Id1634"/>
    <s v="Danielle"/>
    <x v="573"/>
    <x v="420"/>
    <s v="No"/>
    <x v="2"/>
    <x v="2"/>
    <n v="3"/>
    <x v="1"/>
    <x v="3"/>
    <x v="3"/>
    <m/>
    <x v="77"/>
    <x v="3"/>
    <m/>
    <x v="3"/>
    <x v="13"/>
  </r>
  <r>
    <s v="Id1633"/>
    <s v="Candace N"/>
    <x v="63"/>
    <x v="421"/>
    <s v="No"/>
    <x v="2"/>
    <x v="2"/>
    <n v="3"/>
    <x v="1"/>
    <x v="3"/>
    <x v="3"/>
    <m/>
    <x v="77"/>
    <x v="3"/>
    <m/>
    <x v="3"/>
    <x v="13"/>
  </r>
  <r>
    <s v="Id1632"/>
    <s v="Bruno F."/>
    <x v="574"/>
    <x v="422"/>
    <s v="No"/>
    <x v="2"/>
    <x v="2"/>
    <s v="No major surgery"/>
    <x v="1"/>
    <x v="3"/>
    <x v="3"/>
    <m/>
    <x v="77"/>
    <x v="3"/>
    <m/>
    <x v="3"/>
    <x v="13"/>
  </r>
  <r>
    <s v="Id1631"/>
    <s v="Emily"/>
    <x v="565"/>
    <x v="161"/>
    <s v="No"/>
    <x v="2"/>
    <x v="2"/>
    <n v="1"/>
    <x v="0"/>
    <x v="3"/>
    <x v="3"/>
    <m/>
    <x v="77"/>
    <x v="3"/>
    <m/>
    <x v="3"/>
    <x v="13"/>
  </r>
  <r>
    <s v="Id1630"/>
    <s v="Katie"/>
    <x v="575"/>
    <x v="119"/>
    <s v="No"/>
    <x v="2"/>
    <x v="2"/>
    <n v="2"/>
    <x v="1"/>
    <x v="3"/>
    <x v="3"/>
    <m/>
    <x v="77"/>
    <x v="3"/>
    <m/>
    <x v="3"/>
    <x v="13"/>
  </r>
  <r>
    <s v="Id1629"/>
    <s v="Sally"/>
    <x v="576"/>
    <x v="370"/>
    <s v="No"/>
    <x v="2"/>
    <x v="2"/>
    <s v="No major surgery"/>
    <x v="1"/>
    <x v="3"/>
    <x v="3"/>
    <m/>
    <x v="77"/>
    <x v="3"/>
    <m/>
    <x v="3"/>
    <x v="13"/>
  </r>
  <r>
    <s v="Id1628"/>
    <s v="Meaghan J"/>
    <x v="577"/>
    <x v="191"/>
    <s v="Yes"/>
    <x v="2"/>
    <x v="2"/>
    <n v="2"/>
    <x v="1"/>
    <x v="3"/>
    <x v="3"/>
    <m/>
    <x v="77"/>
    <x v="3"/>
    <m/>
    <x v="3"/>
    <x v="13"/>
  </r>
  <r>
    <s v="Id1627"/>
    <s v="Rina"/>
    <x v="369"/>
    <x v="56"/>
    <s v="Yes"/>
    <x v="2"/>
    <x v="2"/>
    <n v="2"/>
    <x v="1"/>
    <x v="3"/>
    <x v="3"/>
    <m/>
    <x v="77"/>
    <x v="3"/>
    <m/>
    <x v="3"/>
    <x v="13"/>
  </r>
  <r>
    <s v="Id1626"/>
    <s v="Kristin P."/>
    <x v="578"/>
    <x v="423"/>
    <s v="Yes"/>
    <x v="2"/>
    <x v="2"/>
    <n v="2"/>
    <x v="1"/>
    <x v="3"/>
    <x v="3"/>
    <m/>
    <x v="77"/>
    <x v="3"/>
    <m/>
    <x v="3"/>
    <x v="13"/>
  </r>
  <r>
    <s v="Id1625"/>
    <s v="Albert"/>
    <x v="579"/>
    <x v="355"/>
    <s v="No"/>
    <x v="2"/>
    <x v="2"/>
    <n v="3"/>
    <x v="1"/>
    <x v="3"/>
    <x v="3"/>
    <m/>
    <x v="77"/>
    <x v="3"/>
    <m/>
    <x v="3"/>
    <x v="13"/>
  </r>
  <r>
    <s v="Id1624"/>
    <s v="Ashley"/>
    <x v="580"/>
    <x v="86"/>
    <s v="Yes"/>
    <x v="2"/>
    <x v="2"/>
    <n v="1"/>
    <x v="1"/>
    <x v="3"/>
    <x v="3"/>
    <m/>
    <x v="77"/>
    <x v="3"/>
    <m/>
    <x v="3"/>
    <x v="13"/>
  </r>
  <r>
    <s v="Id1623"/>
    <s v="Shannon L"/>
    <x v="581"/>
    <x v="424"/>
    <s v="No"/>
    <x v="2"/>
    <x v="2"/>
    <s v="No major surgery"/>
    <x v="1"/>
    <x v="3"/>
    <x v="3"/>
    <m/>
    <x v="77"/>
    <x v="3"/>
    <m/>
    <x v="3"/>
    <x v="13"/>
  </r>
  <r>
    <s v="Id1622"/>
    <s v="Amy B"/>
    <x v="582"/>
    <x v="425"/>
    <s v="No"/>
    <x v="2"/>
    <x v="2"/>
    <n v="1"/>
    <x v="1"/>
    <x v="3"/>
    <x v="3"/>
    <m/>
    <x v="77"/>
    <x v="3"/>
    <m/>
    <x v="3"/>
    <x v="13"/>
  </r>
  <r>
    <s v="Id1621"/>
    <s v="A Danielle"/>
    <x v="166"/>
    <x v="49"/>
    <s v="No"/>
    <x v="2"/>
    <x v="2"/>
    <n v="1"/>
    <x v="1"/>
    <x v="3"/>
    <x v="3"/>
    <m/>
    <x v="77"/>
    <x v="3"/>
    <m/>
    <x v="3"/>
    <x v="13"/>
  </r>
  <r>
    <s v="Id1620"/>
    <s v="Conrad F"/>
    <x v="67"/>
    <x v="426"/>
    <s v="Yes"/>
    <x v="2"/>
    <x v="2"/>
    <n v="2"/>
    <x v="1"/>
    <x v="3"/>
    <x v="3"/>
    <m/>
    <x v="77"/>
    <x v="3"/>
    <m/>
    <x v="3"/>
    <x v="13"/>
  </r>
  <r>
    <s v="Id1619"/>
    <s v="Josh"/>
    <x v="583"/>
    <x v="427"/>
    <s v="Yes"/>
    <x v="2"/>
    <x v="2"/>
    <s v="No major surgery"/>
    <x v="1"/>
    <x v="3"/>
    <x v="3"/>
    <m/>
    <x v="77"/>
    <x v="3"/>
    <m/>
    <x v="3"/>
    <x v="13"/>
  </r>
  <r>
    <s v="Id1618"/>
    <s v="Maxime"/>
    <x v="584"/>
    <x v="176"/>
    <s v="No"/>
    <x v="2"/>
    <x v="2"/>
    <s v="No major surgery"/>
    <x v="1"/>
    <x v="3"/>
    <x v="3"/>
    <m/>
    <x v="77"/>
    <x v="3"/>
    <m/>
    <x v="3"/>
    <x v="13"/>
  </r>
  <r>
    <s v="Id1617"/>
    <s v="Natalie"/>
    <x v="170"/>
    <x v="365"/>
    <s v="No"/>
    <x v="2"/>
    <x v="2"/>
    <s v="No major surgery"/>
    <x v="1"/>
    <x v="3"/>
    <x v="3"/>
    <m/>
    <x v="77"/>
    <x v="3"/>
    <m/>
    <x v="3"/>
    <x v="13"/>
  </r>
  <r>
    <s v="Id1616"/>
    <s v="Melissa"/>
    <x v="585"/>
    <x v="428"/>
    <s v="Yes"/>
    <x v="2"/>
    <x v="2"/>
    <n v="1"/>
    <x v="1"/>
    <x v="3"/>
    <x v="3"/>
    <m/>
    <x v="77"/>
    <x v="3"/>
    <m/>
    <x v="3"/>
    <x v="13"/>
  </r>
  <r>
    <s v="Id1615"/>
    <s v="Laura P."/>
    <x v="383"/>
    <x v="429"/>
    <s v="Yes"/>
    <x v="2"/>
    <x v="2"/>
    <n v="1"/>
    <x v="1"/>
    <x v="3"/>
    <x v="3"/>
    <m/>
    <x v="77"/>
    <x v="3"/>
    <m/>
    <x v="3"/>
    <x v="13"/>
  </r>
  <r>
    <s v="Id1614"/>
    <s v="Lisa"/>
    <x v="586"/>
    <x v="430"/>
    <s v="Yes"/>
    <x v="2"/>
    <x v="2"/>
    <n v="1"/>
    <x v="1"/>
    <x v="3"/>
    <x v="3"/>
    <m/>
    <x v="77"/>
    <x v="3"/>
    <m/>
    <x v="3"/>
    <x v="13"/>
  </r>
  <r>
    <s v="Id1613"/>
    <s v="William D. Jr."/>
    <x v="17"/>
    <x v="338"/>
    <s v="Yes"/>
    <x v="2"/>
    <x v="2"/>
    <n v="2"/>
    <x v="1"/>
    <x v="3"/>
    <x v="3"/>
    <m/>
    <x v="77"/>
    <x v="3"/>
    <m/>
    <x v="3"/>
    <x v="13"/>
  </r>
  <r>
    <s v="Id1612"/>
    <s v="James"/>
    <x v="587"/>
    <x v="337"/>
    <s v="No"/>
    <x v="2"/>
    <x v="2"/>
    <s v="No major surgery"/>
    <x v="1"/>
    <x v="3"/>
    <x v="3"/>
    <m/>
    <x v="77"/>
    <x v="3"/>
    <m/>
    <x v="3"/>
    <x v="13"/>
  </r>
  <r>
    <s v="Id1611"/>
    <s v="John"/>
    <x v="588"/>
    <x v="171"/>
    <s v="Yes"/>
    <x v="2"/>
    <x v="2"/>
    <n v="2"/>
    <x v="1"/>
    <x v="3"/>
    <x v="3"/>
    <m/>
    <x v="77"/>
    <x v="3"/>
    <m/>
    <x v="3"/>
    <x v="13"/>
  </r>
  <r>
    <s v="Id1610"/>
    <s v="Adam S"/>
    <x v="589"/>
    <x v="431"/>
    <s v="No"/>
    <x v="2"/>
    <x v="2"/>
    <s v="No major surgery"/>
    <x v="1"/>
    <x v="3"/>
    <x v="3"/>
    <m/>
    <x v="77"/>
    <x v="3"/>
    <m/>
    <x v="3"/>
    <x v="13"/>
  </r>
  <r>
    <s v="Id1609"/>
    <s v="Armando"/>
    <x v="82"/>
    <x v="432"/>
    <s v="No"/>
    <x v="2"/>
    <x v="2"/>
    <s v="No major surgery"/>
    <x v="1"/>
    <x v="3"/>
    <x v="3"/>
    <m/>
    <x v="77"/>
    <x v="3"/>
    <m/>
    <x v="3"/>
    <x v="13"/>
  </r>
  <r>
    <s v="Id1608"/>
    <s v="Ms.  Dana"/>
    <x v="172"/>
    <x v="200"/>
    <s v="Yes"/>
    <x v="2"/>
    <x v="2"/>
    <n v="2"/>
    <x v="1"/>
    <x v="3"/>
    <x v="3"/>
    <m/>
    <x v="77"/>
    <x v="3"/>
    <m/>
    <x v="3"/>
    <x v="13"/>
  </r>
  <r>
    <s v="Id1607"/>
    <s v="Jennifer L"/>
    <x v="20"/>
    <x v="427"/>
    <s v="Yes"/>
    <x v="2"/>
    <x v="2"/>
    <n v="2"/>
    <x v="1"/>
    <x v="3"/>
    <x v="3"/>
    <m/>
    <x v="77"/>
    <x v="3"/>
    <m/>
    <x v="3"/>
    <x v="13"/>
  </r>
  <r>
    <s v="?"/>
    <s v="Benjamin"/>
    <x v="590"/>
    <x v="363"/>
    <s v="Yes"/>
    <x v="2"/>
    <x v="2"/>
    <s v="No major surgery"/>
    <x v="1"/>
    <x v="3"/>
    <x v="3"/>
    <m/>
    <x v="77"/>
    <x v="3"/>
    <m/>
    <x v="3"/>
    <x v="13"/>
  </r>
  <r>
    <s v="Id1606"/>
    <s v="Tanya"/>
    <x v="591"/>
    <x v="332"/>
    <s v="Yes"/>
    <x v="2"/>
    <x v="2"/>
    <n v="2"/>
    <x v="1"/>
    <x v="3"/>
    <x v="3"/>
    <m/>
    <x v="77"/>
    <x v="3"/>
    <m/>
    <x v="3"/>
    <x v="13"/>
  </r>
  <r>
    <s v="Id1605"/>
    <s v="Tracy"/>
    <x v="592"/>
    <x v="433"/>
    <s v="No"/>
    <x v="2"/>
    <x v="2"/>
    <s v="No major surgery"/>
    <x v="1"/>
    <x v="3"/>
    <x v="3"/>
    <m/>
    <x v="77"/>
    <x v="3"/>
    <m/>
    <x v="3"/>
    <x v="13"/>
  </r>
  <r>
    <s v="Id1604"/>
    <s v="Emily S"/>
    <x v="349"/>
    <x v="2"/>
    <s v="No"/>
    <x v="2"/>
    <x v="2"/>
    <s v="No major surgery"/>
    <x v="1"/>
    <x v="3"/>
    <x v="3"/>
    <m/>
    <x v="77"/>
    <x v="3"/>
    <m/>
    <x v="3"/>
    <x v="13"/>
  </r>
  <r>
    <s v="Id1603"/>
    <s v="Kelly R"/>
    <x v="593"/>
    <x v="166"/>
    <s v="No"/>
    <x v="2"/>
    <x v="2"/>
    <n v="1"/>
    <x v="0"/>
    <x v="3"/>
    <x v="3"/>
    <m/>
    <x v="77"/>
    <x v="3"/>
    <m/>
    <x v="3"/>
    <x v="13"/>
  </r>
  <r>
    <s v="Id1602"/>
    <s v="Kyle"/>
    <x v="594"/>
    <x v="381"/>
    <s v="No"/>
    <x v="2"/>
    <x v="2"/>
    <n v="3"/>
    <x v="1"/>
    <x v="3"/>
    <x v="3"/>
    <m/>
    <x v="77"/>
    <x v="3"/>
    <m/>
    <x v="3"/>
    <x v="13"/>
  </r>
  <r>
    <s v="Id1601"/>
    <s v="Bruce A Jr."/>
    <x v="224"/>
    <x v="434"/>
    <s v="No"/>
    <x v="2"/>
    <x v="2"/>
    <n v="3"/>
    <x v="1"/>
    <x v="3"/>
    <x v="3"/>
    <m/>
    <x v="77"/>
    <x v="3"/>
    <m/>
    <x v="3"/>
    <x v="13"/>
  </r>
  <r>
    <s v="Id1600"/>
    <s v="Cary J"/>
    <x v="595"/>
    <x v="289"/>
    <s v="Yes"/>
    <x v="2"/>
    <x v="2"/>
    <n v="1"/>
    <x v="1"/>
    <x v="3"/>
    <x v="3"/>
    <m/>
    <x v="77"/>
    <x v="3"/>
    <m/>
    <x v="3"/>
    <x v="13"/>
  </r>
  <r>
    <s v="Id1599"/>
    <s v="Jill M"/>
    <x v="596"/>
    <x v="435"/>
    <s v="Yes"/>
    <x v="2"/>
    <x v="2"/>
    <n v="2"/>
    <x v="1"/>
    <x v="3"/>
    <x v="3"/>
    <m/>
    <x v="77"/>
    <x v="3"/>
    <m/>
    <x v="3"/>
    <x v="13"/>
  </r>
  <r>
    <s v="Id1598"/>
    <s v="Chris"/>
    <x v="237"/>
    <x v="10"/>
    <s v="Yes"/>
    <x v="2"/>
    <x v="2"/>
    <n v="2"/>
    <x v="1"/>
    <x v="3"/>
    <x v="3"/>
    <m/>
    <x v="77"/>
    <x v="3"/>
    <m/>
    <x v="3"/>
    <x v="13"/>
  </r>
  <r>
    <s v="Id1597"/>
    <s v="Michael E."/>
    <x v="597"/>
    <x v="436"/>
    <s v="No"/>
    <x v="2"/>
    <x v="2"/>
    <n v="1"/>
    <x v="0"/>
    <x v="3"/>
    <x v="3"/>
    <m/>
    <x v="77"/>
    <x v="3"/>
    <m/>
    <x v="3"/>
    <x v="13"/>
  </r>
  <r>
    <s v="Id1596"/>
    <s v="Lauren"/>
    <x v="598"/>
    <x v="127"/>
    <s v="Yes"/>
    <x v="2"/>
    <x v="2"/>
    <n v="1"/>
    <x v="1"/>
    <x v="3"/>
    <x v="3"/>
    <m/>
    <x v="77"/>
    <x v="3"/>
    <m/>
    <x v="3"/>
    <x v="13"/>
  </r>
  <r>
    <s v="Id1595"/>
    <s v="Kathryn E"/>
    <x v="599"/>
    <x v="320"/>
    <s v="Yes"/>
    <x v="2"/>
    <x v="2"/>
    <s v="No major surgery"/>
    <x v="1"/>
    <x v="3"/>
    <x v="3"/>
    <m/>
    <x v="77"/>
    <x v="3"/>
    <m/>
    <x v="3"/>
    <x v="13"/>
  </r>
  <r>
    <s v="Id1594"/>
    <s v="Polly"/>
    <x v="491"/>
    <x v="230"/>
    <s v="Yes"/>
    <x v="2"/>
    <x v="2"/>
    <s v="No major surgery"/>
    <x v="1"/>
    <x v="3"/>
    <x v="3"/>
    <m/>
    <x v="77"/>
    <x v="3"/>
    <m/>
    <x v="3"/>
    <x v="13"/>
  </r>
  <r>
    <s v="Id1593"/>
    <s v="Mark H."/>
    <x v="600"/>
    <x v="437"/>
    <s v="Yes"/>
    <x v="2"/>
    <x v="2"/>
    <n v="1"/>
    <x v="1"/>
    <x v="3"/>
    <x v="3"/>
    <m/>
    <x v="77"/>
    <x v="3"/>
    <m/>
    <x v="3"/>
    <x v="13"/>
  </r>
  <r>
    <s v="Id1592"/>
    <s v="Jessie M."/>
    <x v="470"/>
    <x v="145"/>
    <s v="Yes"/>
    <x v="2"/>
    <x v="2"/>
    <s v="No major surgery"/>
    <x v="1"/>
    <x v="3"/>
    <x v="3"/>
    <m/>
    <x v="77"/>
    <x v="3"/>
    <m/>
    <x v="3"/>
    <x v="13"/>
  </r>
  <r>
    <s v="Id1591"/>
    <s v="Chris"/>
    <x v="601"/>
    <x v="438"/>
    <s v="Yes"/>
    <x v="2"/>
    <x v="2"/>
    <n v="1"/>
    <x v="1"/>
    <x v="3"/>
    <x v="3"/>
    <m/>
    <x v="77"/>
    <x v="3"/>
    <m/>
    <x v="3"/>
    <x v="13"/>
  </r>
  <r>
    <s v="Id1590"/>
    <s v="Daniel"/>
    <x v="602"/>
    <x v="325"/>
    <s v="No"/>
    <x v="2"/>
    <x v="2"/>
    <n v="1"/>
    <x v="1"/>
    <x v="3"/>
    <x v="3"/>
    <m/>
    <x v="77"/>
    <x v="3"/>
    <m/>
    <x v="3"/>
    <x v="13"/>
  </r>
  <r>
    <s v="Id1589"/>
    <s v="Megan"/>
    <x v="343"/>
    <x v="379"/>
    <s v="Yes"/>
    <x v="2"/>
    <x v="2"/>
    <n v="2"/>
    <x v="1"/>
    <x v="3"/>
    <x v="3"/>
    <m/>
    <x v="77"/>
    <x v="3"/>
    <m/>
    <x v="3"/>
    <x v="13"/>
  </r>
  <r>
    <s v="Id1588"/>
    <s v="Kevin"/>
    <x v="603"/>
    <x v="170"/>
    <s v="Yes"/>
    <x v="2"/>
    <x v="2"/>
    <n v="1"/>
    <x v="1"/>
    <x v="3"/>
    <x v="3"/>
    <m/>
    <x v="77"/>
    <x v="3"/>
    <m/>
    <x v="3"/>
    <x v="13"/>
  </r>
  <r>
    <s v="Id1587"/>
    <s v="Caroline S."/>
    <x v="604"/>
    <x v="333"/>
    <s v="Yes"/>
    <x v="2"/>
    <x v="2"/>
    <n v="2"/>
    <x v="1"/>
    <x v="3"/>
    <x v="3"/>
    <m/>
    <x v="77"/>
    <x v="3"/>
    <m/>
    <x v="3"/>
    <x v="13"/>
  </r>
  <r>
    <s v="Id1586"/>
    <s v="Nuta"/>
    <x v="80"/>
    <x v="315"/>
    <s v="Yes"/>
    <x v="2"/>
    <x v="2"/>
    <n v="1"/>
    <x v="1"/>
    <x v="3"/>
    <x v="3"/>
    <m/>
    <x v="77"/>
    <x v="3"/>
    <m/>
    <x v="3"/>
    <x v="13"/>
  </r>
  <r>
    <s v="Id1585"/>
    <s v="Margie"/>
    <x v="605"/>
    <x v="188"/>
    <s v="No"/>
    <x v="2"/>
    <x v="2"/>
    <n v="1"/>
    <x v="1"/>
    <x v="3"/>
    <x v="3"/>
    <m/>
    <x v="77"/>
    <x v="3"/>
    <m/>
    <x v="3"/>
    <x v="13"/>
  </r>
  <r>
    <s v="Id1584"/>
    <s v="Heidi"/>
    <x v="606"/>
    <x v="439"/>
    <s v="No"/>
    <x v="2"/>
    <x v="2"/>
    <s v="No major surgery"/>
    <x v="1"/>
    <x v="3"/>
    <x v="3"/>
    <m/>
    <x v="77"/>
    <x v="3"/>
    <m/>
    <x v="3"/>
    <x v="13"/>
  </r>
  <r>
    <s v="Id1583"/>
    <s v="Diego J"/>
    <x v="355"/>
    <x v="440"/>
    <s v="No"/>
    <x v="2"/>
    <x v="2"/>
    <s v="No major surgery"/>
    <x v="1"/>
    <x v="3"/>
    <x v="3"/>
    <m/>
    <x v="77"/>
    <x v="3"/>
    <m/>
    <x v="3"/>
    <x v="13"/>
  </r>
  <r>
    <s v="Id1582"/>
    <s v="Enrique M Sr."/>
    <x v="607"/>
    <x v="441"/>
    <s v="Yes"/>
    <x v="2"/>
    <x v="2"/>
    <n v="1"/>
    <x v="1"/>
    <x v="3"/>
    <x v="3"/>
    <m/>
    <x v="77"/>
    <x v="3"/>
    <m/>
    <x v="3"/>
    <x v="13"/>
  </r>
  <r>
    <s v="Id1581"/>
    <s v="Greg"/>
    <x v="608"/>
    <x v="315"/>
    <s v="No"/>
    <x v="2"/>
    <x v="2"/>
    <s v="No major surgery"/>
    <x v="1"/>
    <x v="3"/>
    <x v="3"/>
    <m/>
    <x v="77"/>
    <x v="3"/>
    <m/>
    <x v="3"/>
    <x v="13"/>
  </r>
  <r>
    <s v="Id1580"/>
    <s v="Filip"/>
    <x v="609"/>
    <x v="442"/>
    <s v="Yes"/>
    <x v="2"/>
    <x v="2"/>
    <n v="1"/>
    <x v="1"/>
    <x v="3"/>
    <x v="3"/>
    <m/>
    <x v="77"/>
    <x v="3"/>
    <m/>
    <x v="3"/>
    <x v="13"/>
  </r>
  <r>
    <s v="Id1579"/>
    <s v="Rosemary E."/>
    <x v="610"/>
    <x v="22"/>
    <s v="No"/>
    <x v="2"/>
    <x v="2"/>
    <s v="No major surgery"/>
    <x v="1"/>
    <x v="3"/>
    <x v="3"/>
    <m/>
    <x v="77"/>
    <x v="3"/>
    <m/>
    <x v="3"/>
    <x v="13"/>
  </r>
  <r>
    <s v="Id1578"/>
    <s v="Lisa"/>
    <x v="568"/>
    <x v="443"/>
    <s v="No"/>
    <x v="2"/>
    <x v="2"/>
    <s v="No major surgery"/>
    <x v="1"/>
    <x v="3"/>
    <x v="3"/>
    <m/>
    <x v="77"/>
    <x v="3"/>
    <m/>
    <x v="3"/>
    <x v="13"/>
  </r>
  <r>
    <s v="Id1577"/>
    <s v="Jason"/>
    <x v="611"/>
    <x v="264"/>
    <s v="Yes"/>
    <x v="2"/>
    <x v="2"/>
    <s v="No major surgery"/>
    <x v="1"/>
    <x v="3"/>
    <x v="3"/>
    <m/>
    <x v="77"/>
    <x v="3"/>
    <m/>
    <x v="3"/>
    <x v="13"/>
  </r>
  <r>
    <s v="Id1576"/>
    <s v="Courtney"/>
    <x v="612"/>
    <x v="444"/>
    <s v="No"/>
    <x v="2"/>
    <x v="2"/>
    <s v="No major surgery"/>
    <x v="1"/>
    <x v="3"/>
    <x v="3"/>
    <m/>
    <x v="77"/>
    <x v="3"/>
    <m/>
    <x v="3"/>
    <x v="13"/>
  </r>
  <r>
    <s v="Id1575"/>
    <s v="Jennifer R."/>
    <x v="264"/>
    <x v="445"/>
    <s v="No"/>
    <x v="2"/>
    <x v="2"/>
    <s v="No major surgery"/>
    <x v="1"/>
    <x v="3"/>
    <x v="3"/>
    <m/>
    <x v="77"/>
    <x v="3"/>
    <m/>
    <x v="3"/>
    <x v="13"/>
  </r>
  <r>
    <s v="Id1574"/>
    <s v="Lauren E"/>
    <x v="613"/>
    <x v="446"/>
    <s v="No"/>
    <x v="2"/>
    <x v="2"/>
    <s v="No major surgery"/>
    <x v="1"/>
    <x v="3"/>
    <x v="3"/>
    <m/>
    <x v="77"/>
    <x v="3"/>
    <m/>
    <x v="3"/>
    <x v="13"/>
  </r>
  <r>
    <s v="Id1573"/>
    <s v="Ashley M."/>
    <x v="614"/>
    <x v="447"/>
    <s v="Yes"/>
    <x v="2"/>
    <x v="2"/>
    <n v="1"/>
    <x v="1"/>
    <x v="3"/>
    <x v="3"/>
    <m/>
    <x v="77"/>
    <x v="3"/>
    <m/>
    <x v="3"/>
    <x v="13"/>
  </r>
  <r>
    <s v="Id1572"/>
    <s v="Alison R."/>
    <x v="67"/>
    <x v="124"/>
    <s v="Yes"/>
    <x v="2"/>
    <x v="2"/>
    <n v="2"/>
    <x v="1"/>
    <x v="3"/>
    <x v="3"/>
    <m/>
    <x v="77"/>
    <x v="3"/>
    <m/>
    <x v="3"/>
    <x v="13"/>
  </r>
  <r>
    <s v="Id1571"/>
    <s v="Madeleine"/>
    <x v="49"/>
    <x v="448"/>
    <s v="Yes"/>
    <x v="2"/>
    <x v="2"/>
    <n v="2"/>
    <x v="1"/>
    <x v="3"/>
    <x v="3"/>
    <m/>
    <x v="77"/>
    <x v="3"/>
    <m/>
    <x v="3"/>
    <x v="13"/>
  </r>
  <r>
    <s v="Id1570"/>
    <s v="Stacey"/>
    <x v="519"/>
    <x v="159"/>
    <s v="No"/>
    <x v="2"/>
    <x v="2"/>
    <s v="No major surgery"/>
    <x v="1"/>
    <x v="3"/>
    <x v="3"/>
    <m/>
    <x v="77"/>
    <x v="3"/>
    <m/>
    <x v="3"/>
    <x v="13"/>
  </r>
  <r>
    <s v="Id1569"/>
    <s v="Kimberly"/>
    <x v="615"/>
    <x v="449"/>
    <s v="Yes"/>
    <x v="2"/>
    <x v="2"/>
    <n v="2"/>
    <x v="1"/>
    <x v="3"/>
    <x v="3"/>
    <m/>
    <x v="77"/>
    <x v="3"/>
    <m/>
    <x v="3"/>
    <x v="13"/>
  </r>
  <r>
    <s v="Id1568"/>
    <s v="Matthew D"/>
    <x v="616"/>
    <x v="74"/>
    <s v="No"/>
    <x v="2"/>
    <x v="2"/>
    <n v="1"/>
    <x v="1"/>
    <x v="3"/>
    <x v="3"/>
    <m/>
    <x v="77"/>
    <x v="3"/>
    <m/>
    <x v="3"/>
    <x v="13"/>
  </r>
  <r>
    <s v="Id1567"/>
    <s v="Michael"/>
    <x v="617"/>
    <x v="236"/>
    <s v="Yes"/>
    <x v="2"/>
    <x v="2"/>
    <n v="2"/>
    <x v="1"/>
    <x v="3"/>
    <x v="3"/>
    <m/>
    <x v="77"/>
    <x v="3"/>
    <m/>
    <x v="3"/>
    <x v="13"/>
  </r>
  <r>
    <s v="Id1566"/>
    <s v="Ben"/>
    <x v="382"/>
    <x v="27"/>
    <s v="Yes"/>
    <x v="2"/>
    <x v="2"/>
    <n v="2"/>
    <x v="1"/>
    <x v="3"/>
    <x v="3"/>
    <m/>
    <x v="77"/>
    <x v="3"/>
    <m/>
    <x v="3"/>
    <x v="13"/>
  </r>
  <r>
    <s v="Id1565"/>
    <s v="Chris"/>
    <x v="65"/>
    <x v="161"/>
    <s v="Yes"/>
    <x v="2"/>
    <x v="2"/>
    <n v="2"/>
    <x v="1"/>
    <x v="3"/>
    <x v="3"/>
    <m/>
    <x v="77"/>
    <x v="3"/>
    <m/>
    <x v="3"/>
    <x v="13"/>
  </r>
  <r>
    <s v="Id1564"/>
    <s v="Jeremy J"/>
    <x v="618"/>
    <x v="134"/>
    <s v="No"/>
    <x v="2"/>
    <x v="2"/>
    <n v="1"/>
    <x v="1"/>
    <x v="3"/>
    <x v="3"/>
    <m/>
    <x v="77"/>
    <x v="3"/>
    <m/>
    <x v="3"/>
    <x v="13"/>
  </r>
  <r>
    <s v="Id1563"/>
    <s v="Amy L."/>
    <x v="619"/>
    <x v="409"/>
    <s v="No"/>
    <x v="2"/>
    <x v="2"/>
    <n v="1"/>
    <x v="1"/>
    <x v="3"/>
    <x v="3"/>
    <m/>
    <x v="77"/>
    <x v="3"/>
    <m/>
    <x v="3"/>
    <x v="13"/>
  </r>
  <r>
    <s v="Id1562"/>
    <s v="Karen L."/>
    <x v="620"/>
    <x v="450"/>
    <s v="Yes"/>
    <x v="2"/>
    <x v="2"/>
    <n v="1"/>
    <x v="1"/>
    <x v="3"/>
    <x v="3"/>
    <m/>
    <x v="77"/>
    <x v="3"/>
    <m/>
    <x v="3"/>
    <x v="13"/>
  </r>
  <r>
    <s v="Id1561"/>
    <s v="Tennille"/>
    <x v="621"/>
    <x v="319"/>
    <s v="No"/>
    <x v="2"/>
    <x v="2"/>
    <s v="No major surgery"/>
    <x v="1"/>
    <x v="3"/>
    <x v="3"/>
    <m/>
    <x v="77"/>
    <x v="3"/>
    <m/>
    <x v="3"/>
    <x v="13"/>
  </r>
  <r>
    <s v="Id1560"/>
    <s v="Matt"/>
    <x v="226"/>
    <x v="451"/>
    <s v="No"/>
    <x v="2"/>
    <x v="2"/>
    <s v="No major surgery"/>
    <x v="1"/>
    <x v="3"/>
    <x v="3"/>
    <m/>
    <x v="77"/>
    <x v="3"/>
    <m/>
    <x v="3"/>
    <x v="13"/>
  </r>
  <r>
    <s v="Id1559"/>
    <s v="Emily"/>
    <x v="622"/>
    <x v="251"/>
    <s v="Yes"/>
    <x v="2"/>
    <x v="2"/>
    <s v="No major surgery"/>
    <x v="1"/>
    <x v="3"/>
    <x v="3"/>
    <m/>
    <x v="77"/>
    <x v="3"/>
    <m/>
    <x v="3"/>
    <x v="13"/>
  </r>
  <r>
    <s v="Id1558"/>
    <s v="Justin E"/>
    <x v="623"/>
    <x v="326"/>
    <s v="No"/>
    <x v="2"/>
    <x v="2"/>
    <s v="No major surgery"/>
    <x v="1"/>
    <x v="3"/>
    <x v="3"/>
    <m/>
    <x v="77"/>
    <x v="3"/>
    <m/>
    <x v="3"/>
    <x v="13"/>
  </r>
  <r>
    <s v="Id1557"/>
    <s v="Shalane"/>
    <x v="624"/>
    <x v="452"/>
    <s v="No"/>
    <x v="2"/>
    <x v="2"/>
    <s v="No major surgery"/>
    <x v="1"/>
    <x v="3"/>
    <x v="3"/>
    <m/>
    <x v="77"/>
    <x v="3"/>
    <m/>
    <x v="3"/>
    <x v="13"/>
  </r>
  <r>
    <s v="Id1556"/>
    <s v="Jessica N."/>
    <x v="625"/>
    <x v="453"/>
    <s v="No"/>
    <x v="2"/>
    <x v="2"/>
    <s v="No major surgery"/>
    <x v="1"/>
    <x v="3"/>
    <x v="3"/>
    <m/>
    <x v="77"/>
    <x v="3"/>
    <m/>
    <x v="3"/>
    <x v="13"/>
  </r>
  <r>
    <s v="Id1555"/>
    <s v="Melanie"/>
    <x v="626"/>
    <x v="454"/>
    <s v="No"/>
    <x v="2"/>
    <x v="2"/>
    <s v="No major surgery"/>
    <x v="1"/>
    <x v="3"/>
    <x v="3"/>
    <m/>
    <x v="77"/>
    <x v="3"/>
    <m/>
    <x v="3"/>
    <x v="13"/>
  </r>
  <r>
    <s v="Id1554"/>
    <s v="Ms.  Ruth Angelica"/>
    <x v="589"/>
    <x v="455"/>
    <s v="No"/>
    <x v="2"/>
    <x v="2"/>
    <s v="No major surgery"/>
    <x v="1"/>
    <x v="3"/>
    <x v="3"/>
    <m/>
    <x v="77"/>
    <x v="3"/>
    <m/>
    <x v="3"/>
    <x v="13"/>
  </r>
  <r>
    <s v="Id1553"/>
    <s v="Una M"/>
    <x v="627"/>
    <x v="140"/>
    <s v="No"/>
    <x v="2"/>
    <x v="2"/>
    <s v="No major surgery"/>
    <x v="1"/>
    <x v="3"/>
    <x v="3"/>
    <m/>
    <x v="77"/>
    <x v="3"/>
    <m/>
    <x v="3"/>
    <x v="13"/>
  </r>
  <r>
    <s v="Id1552"/>
    <s v="Taralyn"/>
    <x v="628"/>
    <x v="221"/>
    <s v="No"/>
    <x v="2"/>
    <x v="2"/>
    <s v="No major surgery"/>
    <x v="1"/>
    <x v="3"/>
    <x v="3"/>
    <m/>
    <x v="77"/>
    <x v="3"/>
    <m/>
    <x v="3"/>
    <x v="13"/>
  </r>
  <r>
    <s v="Id1551"/>
    <s v="James A"/>
    <x v="629"/>
    <x v="411"/>
    <s v="Yes"/>
    <x v="2"/>
    <x v="2"/>
    <n v="2"/>
    <x v="1"/>
    <x v="3"/>
    <x v="3"/>
    <m/>
    <x v="77"/>
    <x v="3"/>
    <m/>
    <x v="3"/>
    <x v="13"/>
  </r>
  <r>
    <s v="Id1550"/>
    <s v="Ning"/>
    <x v="203"/>
    <x v="108"/>
    <s v="Yes"/>
    <x v="2"/>
    <x v="2"/>
    <n v="2"/>
    <x v="1"/>
    <x v="3"/>
    <x v="3"/>
    <m/>
    <x v="77"/>
    <x v="3"/>
    <m/>
    <x v="3"/>
    <x v="13"/>
  </r>
  <r>
    <s v="Id1549"/>
    <s v="Mr.  Joel"/>
    <x v="351"/>
    <x v="456"/>
    <s v="Yes"/>
    <x v="2"/>
    <x v="2"/>
    <n v="2"/>
    <x v="1"/>
    <x v="3"/>
    <x v="3"/>
    <m/>
    <x v="77"/>
    <x v="3"/>
    <m/>
    <x v="3"/>
    <x v="13"/>
  </r>
  <r>
    <s v="Id1548"/>
    <s v="Pamela J."/>
    <x v="378"/>
    <x v="252"/>
    <s v="No"/>
    <x v="2"/>
    <x v="2"/>
    <s v="No major surgery"/>
    <x v="1"/>
    <x v="3"/>
    <x v="3"/>
    <m/>
    <x v="77"/>
    <x v="3"/>
    <m/>
    <x v="3"/>
    <x v="13"/>
  </r>
  <r>
    <s v="Id1547"/>
    <s v="Brittney"/>
    <x v="322"/>
    <x v="457"/>
    <s v="Yes"/>
    <x v="2"/>
    <x v="2"/>
    <n v="1"/>
    <x v="1"/>
    <x v="3"/>
    <x v="3"/>
    <m/>
    <x v="77"/>
    <x v="3"/>
    <m/>
    <x v="3"/>
    <x v="13"/>
  </r>
  <r>
    <s v="Id1546"/>
    <s v="Sheila"/>
    <x v="630"/>
    <x v="458"/>
    <s v="No"/>
    <x v="2"/>
    <x v="2"/>
    <n v="1"/>
    <x v="1"/>
    <x v="3"/>
    <x v="3"/>
    <m/>
    <x v="77"/>
    <x v="3"/>
    <m/>
    <x v="3"/>
    <x v="13"/>
  </r>
  <r>
    <s v="Id1545"/>
    <s v="Koji"/>
    <x v="362"/>
    <x v="459"/>
    <s v="No"/>
    <x v="2"/>
    <x v="2"/>
    <s v="No major surgery"/>
    <x v="1"/>
    <x v="3"/>
    <x v="3"/>
    <m/>
    <x v="77"/>
    <x v="3"/>
    <m/>
    <x v="3"/>
    <x v="13"/>
  </r>
  <r>
    <s v="Id1544"/>
    <s v="Sarah"/>
    <x v="9"/>
    <x v="460"/>
    <s v="No"/>
    <x v="2"/>
    <x v="2"/>
    <s v="No major surgery"/>
    <x v="1"/>
    <x v="3"/>
    <x v="3"/>
    <m/>
    <x v="77"/>
    <x v="3"/>
    <m/>
    <x v="3"/>
    <x v="13"/>
  </r>
  <r>
    <s v="Id1543"/>
    <s v="Colleen M"/>
    <x v="10"/>
    <x v="461"/>
    <s v="No"/>
    <x v="2"/>
    <x v="2"/>
    <s v="No major surgery"/>
    <x v="1"/>
    <x v="3"/>
    <x v="3"/>
    <m/>
    <x v="77"/>
    <x v="3"/>
    <m/>
    <x v="3"/>
    <x v="13"/>
  </r>
  <r>
    <s v="Id1542"/>
    <s v="Deedra G."/>
    <x v="631"/>
    <x v="390"/>
    <s v="Yes"/>
    <x v="2"/>
    <x v="2"/>
    <n v="2"/>
    <x v="1"/>
    <x v="3"/>
    <x v="3"/>
    <m/>
    <x v="77"/>
    <x v="3"/>
    <m/>
    <x v="3"/>
    <x v="13"/>
  </r>
  <r>
    <s v="Id1541"/>
    <s v="Kulwinder"/>
    <x v="632"/>
    <x v="65"/>
    <s v="Yes"/>
    <x v="2"/>
    <x v="2"/>
    <s v="No major surgery"/>
    <x v="1"/>
    <x v="3"/>
    <x v="3"/>
    <m/>
    <x v="77"/>
    <x v="3"/>
    <m/>
    <x v="3"/>
    <x v="13"/>
  </r>
  <r>
    <s v="Id1540"/>
    <s v="Ann M."/>
    <x v="275"/>
    <x v="462"/>
    <s v="Yes"/>
    <x v="2"/>
    <x v="2"/>
    <s v="No major surgery"/>
    <x v="1"/>
    <x v="3"/>
    <x v="3"/>
    <m/>
    <x v="77"/>
    <x v="3"/>
    <m/>
    <x v="3"/>
    <x v="13"/>
  </r>
  <r>
    <s v="Id1539"/>
    <s v="Sarah E"/>
    <x v="633"/>
    <x v="85"/>
    <s v="Yes"/>
    <x v="2"/>
    <x v="2"/>
    <n v="1"/>
    <x v="1"/>
    <x v="3"/>
    <x v="3"/>
    <m/>
    <x v="77"/>
    <x v="3"/>
    <m/>
    <x v="3"/>
    <x v="13"/>
  </r>
  <r>
    <s v="Id1538"/>
    <s v="Apryl J."/>
    <x v="634"/>
    <x v="463"/>
    <s v="Yes"/>
    <x v="2"/>
    <x v="2"/>
    <n v="2"/>
    <x v="1"/>
    <x v="3"/>
    <x v="3"/>
    <m/>
    <x v="77"/>
    <x v="3"/>
    <m/>
    <x v="3"/>
    <x v="13"/>
  </r>
  <r>
    <s v="Id1537"/>
    <s v="Ilana"/>
    <x v="635"/>
    <x v="464"/>
    <s v="No"/>
    <x v="2"/>
    <x v="2"/>
    <s v="No major surgery"/>
    <x v="1"/>
    <x v="3"/>
    <x v="3"/>
    <m/>
    <x v="77"/>
    <x v="3"/>
    <m/>
    <x v="3"/>
    <x v="13"/>
  </r>
  <r>
    <s v="Id1536"/>
    <s v="Katherine"/>
    <x v="443"/>
    <x v="159"/>
    <s v="Yes"/>
    <x v="2"/>
    <x v="2"/>
    <n v="1"/>
    <x v="1"/>
    <x v="3"/>
    <x v="3"/>
    <m/>
    <x v="77"/>
    <x v="3"/>
    <m/>
    <x v="3"/>
    <x v="13"/>
  </r>
  <r>
    <s v="Id1535"/>
    <s v="Katherine"/>
    <x v="636"/>
    <x v="308"/>
    <s v="No"/>
    <x v="2"/>
    <x v="2"/>
    <s v="No major surgery"/>
    <x v="1"/>
    <x v="3"/>
    <x v="3"/>
    <m/>
    <x v="77"/>
    <x v="3"/>
    <m/>
    <x v="3"/>
    <x v="13"/>
  </r>
  <r>
    <s v="Id1534"/>
    <s v="Karl"/>
    <x v="637"/>
    <x v="319"/>
    <s v="No"/>
    <x v="2"/>
    <x v="2"/>
    <n v="2"/>
    <x v="1"/>
    <x v="3"/>
    <x v="3"/>
    <m/>
    <x v="77"/>
    <x v="3"/>
    <m/>
    <x v="3"/>
    <x v="13"/>
  </r>
  <r>
    <s v="Id1533"/>
    <s v="Stephen"/>
    <x v="638"/>
    <x v="272"/>
    <s v="Yes"/>
    <x v="2"/>
    <x v="2"/>
    <n v="1"/>
    <x v="1"/>
    <x v="3"/>
    <x v="3"/>
    <m/>
    <x v="77"/>
    <x v="3"/>
    <m/>
    <x v="3"/>
    <x v="13"/>
  </r>
  <r>
    <s v="Id1532"/>
    <s v="Will"/>
    <x v="639"/>
    <x v="257"/>
    <s v="No"/>
    <x v="2"/>
    <x v="2"/>
    <s v="No major surgery"/>
    <x v="1"/>
    <x v="3"/>
    <x v="3"/>
    <m/>
    <x v="77"/>
    <x v="3"/>
    <m/>
    <x v="3"/>
    <x v="13"/>
  </r>
  <r>
    <s v="Id1531"/>
    <s v="Bradley D"/>
    <x v="640"/>
    <x v="465"/>
    <s v="Yes"/>
    <x v="2"/>
    <x v="2"/>
    <s v="No major surgery"/>
    <x v="1"/>
    <x v="3"/>
    <x v="3"/>
    <m/>
    <x v="77"/>
    <x v="3"/>
    <m/>
    <x v="3"/>
    <x v="13"/>
  </r>
  <r>
    <s v="Id1530"/>
    <s v="Amy M"/>
    <x v="641"/>
    <x v="224"/>
    <s v="No"/>
    <x v="2"/>
    <x v="2"/>
    <n v="1"/>
    <x v="1"/>
    <x v="3"/>
    <x v="3"/>
    <m/>
    <x v="77"/>
    <x v="3"/>
    <m/>
    <x v="3"/>
    <x v="13"/>
  </r>
  <r>
    <s v="Id1529"/>
    <s v="Matthew W."/>
    <x v="642"/>
    <x v="356"/>
    <s v="No"/>
    <x v="2"/>
    <x v="2"/>
    <s v="No major surgery"/>
    <x v="1"/>
    <x v="3"/>
    <x v="3"/>
    <m/>
    <x v="77"/>
    <x v="3"/>
    <m/>
    <x v="3"/>
    <x v="13"/>
  </r>
  <r>
    <s v="Id1528"/>
    <s v="Doug"/>
    <x v="440"/>
    <x v="466"/>
    <s v="No"/>
    <x v="2"/>
    <x v="2"/>
    <s v="No major surgery"/>
    <x v="1"/>
    <x v="3"/>
    <x v="3"/>
    <m/>
    <x v="77"/>
    <x v="3"/>
    <m/>
    <x v="3"/>
    <x v="13"/>
  </r>
  <r>
    <s v="Id1527"/>
    <s v="Tom"/>
    <x v="396"/>
    <x v="467"/>
    <s v="No"/>
    <x v="2"/>
    <x v="2"/>
    <s v="No major surgery"/>
    <x v="1"/>
    <x v="3"/>
    <x v="3"/>
    <m/>
    <x v="77"/>
    <x v="3"/>
    <m/>
    <x v="3"/>
    <x v="13"/>
  </r>
  <r>
    <s v="Id1526"/>
    <s v="Jonathan"/>
    <x v="643"/>
    <x v="211"/>
    <s v="No"/>
    <x v="2"/>
    <x v="2"/>
    <s v="No major surgery"/>
    <x v="1"/>
    <x v="3"/>
    <x v="3"/>
    <m/>
    <x v="77"/>
    <x v="3"/>
    <m/>
    <x v="3"/>
    <x v="13"/>
  </r>
  <r>
    <s v="Id1525"/>
    <s v="Wayne A."/>
    <x v="644"/>
    <x v="296"/>
    <s v="Yes"/>
    <x v="2"/>
    <x v="2"/>
    <n v="2"/>
    <x v="1"/>
    <x v="3"/>
    <x v="3"/>
    <m/>
    <x v="77"/>
    <x v="3"/>
    <m/>
    <x v="3"/>
    <x v="13"/>
  </r>
  <r>
    <s v="Id1524"/>
    <s v="Nobuyori"/>
    <x v="534"/>
    <x v="140"/>
    <s v="Yes"/>
    <x v="2"/>
    <x v="2"/>
    <n v="2"/>
    <x v="1"/>
    <x v="3"/>
    <x v="3"/>
    <m/>
    <x v="77"/>
    <x v="3"/>
    <m/>
    <x v="3"/>
    <x v="13"/>
  </r>
  <r>
    <s v="Id1523"/>
    <s v="Rich"/>
    <x v="47"/>
    <x v="468"/>
    <s v="Yes"/>
    <x v="2"/>
    <x v="2"/>
    <n v="1"/>
    <x v="1"/>
    <x v="3"/>
    <x v="3"/>
    <m/>
    <x v="77"/>
    <x v="3"/>
    <m/>
    <x v="3"/>
    <x v="13"/>
  </r>
  <r>
    <s v="Id1522"/>
    <s v="Marcos S"/>
    <x v="425"/>
    <x v="469"/>
    <s v="Yes"/>
    <x v="2"/>
    <x v="2"/>
    <n v="1"/>
    <x v="1"/>
    <x v="3"/>
    <x v="3"/>
    <m/>
    <x v="77"/>
    <x v="3"/>
    <m/>
    <x v="3"/>
    <x v="13"/>
  </r>
  <r>
    <s v="Id1521"/>
    <s v="Dave"/>
    <x v="247"/>
    <x v="97"/>
    <s v="Yes"/>
    <x v="2"/>
    <x v="2"/>
    <n v="1"/>
    <x v="1"/>
    <x v="3"/>
    <x v="3"/>
    <m/>
    <x v="77"/>
    <x v="3"/>
    <m/>
    <x v="3"/>
    <x v="13"/>
  </r>
  <r>
    <s v="Id1520"/>
    <s v="Andy"/>
    <x v="173"/>
    <x v="470"/>
    <s v="No"/>
    <x v="2"/>
    <x v="2"/>
    <n v="1"/>
    <x v="1"/>
    <x v="3"/>
    <x v="3"/>
    <m/>
    <x v="77"/>
    <x v="3"/>
    <m/>
    <x v="3"/>
    <x v="13"/>
  </r>
  <r>
    <s v="Id1519"/>
    <s v="Mary"/>
    <x v="645"/>
    <x v="436"/>
    <s v="No"/>
    <x v="2"/>
    <x v="2"/>
    <n v="1"/>
    <x v="1"/>
    <x v="3"/>
    <x v="3"/>
    <m/>
    <x v="77"/>
    <x v="3"/>
    <m/>
    <x v="3"/>
    <x v="13"/>
  </r>
  <r>
    <s v="Id1518"/>
    <s v="Marcus B"/>
    <x v="646"/>
    <x v="471"/>
    <s v="Yes"/>
    <x v="2"/>
    <x v="2"/>
    <n v="1"/>
    <x v="1"/>
    <x v="3"/>
    <x v="3"/>
    <m/>
    <x v="77"/>
    <x v="3"/>
    <m/>
    <x v="3"/>
    <x v="13"/>
  </r>
  <r>
    <s v="Id1517"/>
    <s v="Thomas K."/>
    <x v="647"/>
    <x v="472"/>
    <s v="No"/>
    <x v="2"/>
    <x v="2"/>
    <n v="2"/>
    <x v="1"/>
    <x v="3"/>
    <x v="3"/>
    <m/>
    <x v="77"/>
    <x v="3"/>
    <m/>
    <x v="3"/>
    <x v="13"/>
  </r>
  <r>
    <s v="Id1516"/>
    <s v="Robert"/>
    <x v="648"/>
    <x v="89"/>
    <s v="No"/>
    <x v="2"/>
    <x v="2"/>
    <n v="1"/>
    <x v="1"/>
    <x v="3"/>
    <x v="3"/>
    <m/>
    <x v="77"/>
    <x v="3"/>
    <m/>
    <x v="3"/>
    <x v="13"/>
  </r>
  <r>
    <s v="Id1515"/>
    <s v="Geoff"/>
    <x v="649"/>
    <x v="473"/>
    <s v="No"/>
    <x v="2"/>
    <x v="2"/>
    <n v="1"/>
    <x v="0"/>
    <x v="3"/>
    <x v="3"/>
    <m/>
    <x v="77"/>
    <x v="3"/>
    <m/>
    <x v="3"/>
    <x v="13"/>
  </r>
  <r>
    <s v="Id1514"/>
    <s v="Chris J."/>
    <x v="650"/>
    <x v="474"/>
    <s v="Yes"/>
    <x v="2"/>
    <x v="2"/>
    <s v="No major surgery"/>
    <x v="1"/>
    <x v="3"/>
    <x v="3"/>
    <m/>
    <x v="77"/>
    <x v="3"/>
    <m/>
    <x v="3"/>
    <x v="13"/>
  </r>
  <r>
    <s v="Id1513"/>
    <s v="Kate A."/>
    <x v="651"/>
    <x v="423"/>
    <s v="Yes"/>
    <x v="2"/>
    <x v="2"/>
    <n v="1"/>
    <x v="1"/>
    <x v="3"/>
    <x v="3"/>
    <m/>
    <x v="77"/>
    <x v="3"/>
    <m/>
    <x v="3"/>
    <x v="13"/>
  </r>
  <r>
    <s v="Id1512"/>
    <s v="Kelli"/>
    <x v="56"/>
    <x v="305"/>
    <s v="No"/>
    <x v="2"/>
    <x v="2"/>
    <s v="No major surgery"/>
    <x v="1"/>
    <x v="3"/>
    <x v="3"/>
    <m/>
    <x v="77"/>
    <x v="3"/>
    <m/>
    <x v="3"/>
    <x v="13"/>
  </r>
  <r>
    <s v="Id1511"/>
    <s v="Maggie M"/>
    <x v="568"/>
    <x v="219"/>
    <s v="Yes"/>
    <x v="2"/>
    <x v="2"/>
    <n v="1"/>
    <x v="1"/>
    <x v="3"/>
    <x v="3"/>
    <m/>
    <x v="77"/>
    <x v="3"/>
    <m/>
    <x v="3"/>
    <x v="13"/>
  </r>
  <r>
    <s v="Id1510"/>
    <s v="Michelle L."/>
    <x v="652"/>
    <x v="475"/>
    <s v="Yes"/>
    <x v="2"/>
    <x v="2"/>
    <n v="1"/>
    <x v="1"/>
    <x v="3"/>
    <x v="3"/>
    <m/>
    <x v="77"/>
    <x v="3"/>
    <m/>
    <x v="3"/>
    <x v="13"/>
  </r>
  <r>
    <s v="Id1509"/>
    <s v="Ashley K"/>
    <x v="653"/>
    <x v="351"/>
    <s v="No"/>
    <x v="2"/>
    <x v="2"/>
    <n v="2"/>
    <x v="1"/>
    <x v="3"/>
    <x v="3"/>
    <m/>
    <x v="77"/>
    <x v="3"/>
    <m/>
    <x v="3"/>
    <x v="13"/>
  </r>
  <r>
    <s v="Id1508"/>
    <s v="Michael"/>
    <x v="654"/>
    <x v="354"/>
    <s v="Yes"/>
    <x v="2"/>
    <x v="2"/>
    <n v="1"/>
    <x v="1"/>
    <x v="3"/>
    <x v="3"/>
    <m/>
    <x v="77"/>
    <x v="3"/>
    <m/>
    <x v="3"/>
    <x v="13"/>
  </r>
  <r>
    <s v="Id1507"/>
    <s v="Ryan K."/>
    <x v="18"/>
    <x v="476"/>
    <s v="No"/>
    <x v="2"/>
    <x v="2"/>
    <s v="No major surgery"/>
    <x v="1"/>
    <x v="3"/>
    <x v="3"/>
    <m/>
    <x v="77"/>
    <x v="3"/>
    <m/>
    <x v="3"/>
    <x v="13"/>
  </r>
  <r>
    <s v="Id1506"/>
    <s v="Matthew J"/>
    <x v="366"/>
    <x v="477"/>
    <s v="No"/>
    <x v="2"/>
    <x v="2"/>
    <s v="No major surgery"/>
    <x v="1"/>
    <x v="3"/>
    <x v="3"/>
    <m/>
    <x v="77"/>
    <x v="3"/>
    <m/>
    <x v="3"/>
    <x v="13"/>
  </r>
  <r>
    <s v="Id1505"/>
    <s v="Karine"/>
    <x v="655"/>
    <x v="478"/>
    <s v="Yes"/>
    <x v="2"/>
    <x v="2"/>
    <n v="1"/>
    <x v="1"/>
    <x v="3"/>
    <x v="3"/>
    <m/>
    <x v="77"/>
    <x v="3"/>
    <m/>
    <x v="3"/>
    <x v="13"/>
  </r>
  <r>
    <s v="Id1504"/>
    <s v="Antonia G"/>
    <x v="656"/>
    <x v="463"/>
    <s v="Yes"/>
    <x v="2"/>
    <x v="2"/>
    <n v="2"/>
    <x v="1"/>
    <x v="3"/>
    <x v="3"/>
    <m/>
    <x v="77"/>
    <x v="3"/>
    <m/>
    <x v="3"/>
    <x v="13"/>
  </r>
  <r>
    <s v="Id1503"/>
    <s v="Casondra L"/>
    <x v="657"/>
    <x v="184"/>
    <s v="Yes"/>
    <x v="2"/>
    <x v="2"/>
    <n v="1"/>
    <x v="1"/>
    <x v="3"/>
    <x v="3"/>
    <m/>
    <x v="77"/>
    <x v="3"/>
    <m/>
    <x v="3"/>
    <x v="13"/>
  </r>
  <r>
    <s v="Id1502"/>
    <s v="Wendy"/>
    <x v="658"/>
    <x v="216"/>
    <s v="No"/>
    <x v="2"/>
    <x v="2"/>
    <n v="1"/>
    <x v="1"/>
    <x v="3"/>
    <x v="3"/>
    <m/>
    <x v="77"/>
    <x v="3"/>
    <m/>
    <x v="3"/>
    <x v="13"/>
  </r>
  <r>
    <s v="Id1501"/>
    <s v="Eric D"/>
    <x v="106"/>
    <x v="466"/>
    <s v="No"/>
    <x v="2"/>
    <x v="2"/>
    <s v="No major surgery"/>
    <x v="1"/>
    <x v="3"/>
    <x v="3"/>
    <m/>
    <x v="77"/>
    <x v="3"/>
    <m/>
    <x v="3"/>
    <x v="13"/>
  </r>
  <r>
    <s v="Id1500"/>
    <s v="Elizabeth"/>
    <x v="9"/>
    <x v="479"/>
    <s v="No"/>
    <x v="2"/>
    <x v="2"/>
    <s v="No major surgery"/>
    <x v="1"/>
    <x v="3"/>
    <x v="3"/>
    <m/>
    <x v="77"/>
    <x v="3"/>
    <m/>
    <x v="3"/>
    <x v="13"/>
  </r>
  <r>
    <s v="Id1499"/>
    <s v="Laura F"/>
    <x v="659"/>
    <x v="480"/>
    <s v="No"/>
    <x v="2"/>
    <x v="2"/>
    <s v="No major surgery"/>
    <x v="1"/>
    <x v="3"/>
    <x v="3"/>
    <m/>
    <x v="77"/>
    <x v="3"/>
    <m/>
    <x v="3"/>
    <x v="13"/>
  </r>
  <r>
    <s v="Id1498"/>
    <s v="Amelia F."/>
    <x v="660"/>
    <x v="481"/>
    <s v="No"/>
    <x v="2"/>
    <x v="2"/>
    <s v="No major surgery"/>
    <x v="1"/>
    <x v="3"/>
    <x v="3"/>
    <m/>
    <x v="77"/>
    <x v="3"/>
    <m/>
    <x v="3"/>
    <x v="13"/>
  </r>
  <r>
    <s v="Id1497"/>
    <s v="Ms.  Amy L."/>
    <x v="428"/>
    <x v="256"/>
    <s v="Yes"/>
    <x v="2"/>
    <x v="2"/>
    <n v="2"/>
    <x v="1"/>
    <x v="3"/>
    <x v="3"/>
    <m/>
    <x v="77"/>
    <x v="3"/>
    <m/>
    <x v="3"/>
    <x v="13"/>
  </r>
  <r>
    <s v="Id1496"/>
    <s v="Katie J"/>
    <x v="661"/>
    <x v="482"/>
    <s v="No"/>
    <x v="2"/>
    <x v="2"/>
    <n v="2"/>
    <x v="1"/>
    <x v="3"/>
    <x v="3"/>
    <m/>
    <x v="77"/>
    <x v="3"/>
    <m/>
    <x v="3"/>
    <x v="13"/>
  </r>
  <r>
    <s v="Id1495"/>
    <s v="Laura E."/>
    <x v="662"/>
    <x v="207"/>
    <s v="No"/>
    <x v="2"/>
    <x v="2"/>
    <s v="No major surgery"/>
    <x v="1"/>
    <x v="3"/>
    <x v="3"/>
    <m/>
    <x v="77"/>
    <x v="3"/>
    <m/>
    <x v="3"/>
    <x v="13"/>
  </r>
  <r>
    <s v="Id1494"/>
    <s v="Mayumi"/>
    <x v="663"/>
    <x v="290"/>
    <s v="No"/>
    <x v="2"/>
    <x v="2"/>
    <s v="No major surgery"/>
    <x v="1"/>
    <x v="3"/>
    <x v="3"/>
    <m/>
    <x v="77"/>
    <x v="3"/>
    <m/>
    <x v="3"/>
    <x v="13"/>
  </r>
  <r>
    <s v="Id1493"/>
    <s v="Vanessa"/>
    <x v="664"/>
    <x v="185"/>
    <s v="No"/>
    <x v="2"/>
    <x v="2"/>
    <s v="No major surgery"/>
    <x v="1"/>
    <x v="3"/>
    <x v="3"/>
    <m/>
    <x v="77"/>
    <x v="3"/>
    <m/>
    <x v="3"/>
    <x v="13"/>
  </r>
  <r>
    <s v="Id1492"/>
    <s v="Natali N"/>
    <x v="665"/>
    <x v="483"/>
    <s v="Yes"/>
    <x v="2"/>
    <x v="2"/>
    <n v="2"/>
    <x v="1"/>
    <x v="3"/>
    <x v="3"/>
    <m/>
    <x v="77"/>
    <x v="3"/>
    <m/>
    <x v="3"/>
    <x v="13"/>
  </r>
  <r>
    <s v="Id1491"/>
    <s v="Beth"/>
    <x v="32"/>
    <x v="484"/>
    <s v="Yes"/>
    <x v="2"/>
    <x v="2"/>
    <n v="1"/>
    <x v="1"/>
    <x v="3"/>
    <x v="3"/>
    <m/>
    <x v="77"/>
    <x v="3"/>
    <m/>
    <x v="3"/>
    <x v="13"/>
  </r>
  <r>
    <s v="Id1490"/>
    <s v="Alex"/>
    <x v="666"/>
    <x v="388"/>
    <s v="No"/>
    <x v="2"/>
    <x v="2"/>
    <n v="1"/>
    <x v="1"/>
    <x v="3"/>
    <x v="3"/>
    <m/>
    <x v="77"/>
    <x v="3"/>
    <m/>
    <x v="3"/>
    <x v="13"/>
  </r>
  <r>
    <s v="Id1489"/>
    <s v="Spencer"/>
    <x v="667"/>
    <x v="184"/>
    <s v="Yes"/>
    <x v="2"/>
    <x v="2"/>
    <n v="1"/>
    <x v="1"/>
    <x v="3"/>
    <x v="3"/>
    <m/>
    <x v="77"/>
    <x v="3"/>
    <m/>
    <x v="3"/>
    <x v="13"/>
  </r>
  <r>
    <s v="Id1488"/>
    <s v="Andee W."/>
    <x v="668"/>
    <x v="485"/>
    <s v="Yes"/>
    <x v="2"/>
    <x v="2"/>
    <n v="2"/>
    <x v="1"/>
    <x v="3"/>
    <x v="3"/>
    <m/>
    <x v="77"/>
    <x v="3"/>
    <m/>
    <x v="3"/>
    <x v="13"/>
  </r>
  <r>
    <s v="Id1487"/>
    <s v="Amy"/>
    <x v="669"/>
    <x v="93"/>
    <s v="Yes"/>
    <x v="2"/>
    <x v="2"/>
    <n v="1"/>
    <x v="1"/>
    <x v="3"/>
    <x v="3"/>
    <m/>
    <x v="77"/>
    <x v="3"/>
    <m/>
    <x v="3"/>
    <x v="13"/>
  </r>
  <r>
    <s v="Id1486"/>
    <s v="Joshua"/>
    <x v="670"/>
    <x v="486"/>
    <s v="Yes"/>
    <x v="2"/>
    <x v="2"/>
    <n v="2"/>
    <x v="1"/>
    <x v="3"/>
    <x v="3"/>
    <m/>
    <x v="77"/>
    <x v="3"/>
    <m/>
    <x v="3"/>
    <x v="13"/>
  </r>
  <r>
    <s v="Id1485"/>
    <s v="C Fred"/>
    <x v="671"/>
    <x v="487"/>
    <s v="Yes"/>
    <x v="2"/>
    <x v="2"/>
    <n v="2"/>
    <x v="1"/>
    <x v="3"/>
    <x v="3"/>
    <m/>
    <x v="77"/>
    <x v="3"/>
    <m/>
    <x v="3"/>
    <x v="13"/>
  </r>
  <r>
    <s v="Id1484"/>
    <s v="Jeremy"/>
    <x v="362"/>
    <x v="488"/>
    <s v="No"/>
    <x v="2"/>
    <x v="2"/>
    <s v="No major surgery"/>
    <x v="1"/>
    <x v="3"/>
    <x v="3"/>
    <m/>
    <x v="77"/>
    <x v="3"/>
    <m/>
    <x v="3"/>
    <x v="13"/>
  </r>
  <r>
    <s v="Id1483"/>
    <s v="Patrick Sr."/>
    <x v="672"/>
    <x v="473"/>
    <s v="Yes"/>
    <x v="2"/>
    <x v="2"/>
    <n v="2"/>
    <x v="1"/>
    <x v="3"/>
    <x v="3"/>
    <m/>
    <x v="77"/>
    <x v="3"/>
    <m/>
    <x v="3"/>
    <x v="13"/>
  </r>
  <r>
    <s v="Id1482"/>
    <s v="Kelly M."/>
    <x v="673"/>
    <x v="266"/>
    <s v="No"/>
    <x v="2"/>
    <x v="2"/>
    <s v="No major surgery"/>
    <x v="1"/>
    <x v="3"/>
    <x v="3"/>
    <m/>
    <x v="77"/>
    <x v="3"/>
    <m/>
    <x v="3"/>
    <x v="13"/>
  </r>
  <r>
    <s v="Id1481"/>
    <s v="Katherine"/>
    <x v="674"/>
    <x v="489"/>
    <s v="Yes"/>
    <x v="2"/>
    <x v="2"/>
    <s v="No major surgery"/>
    <x v="1"/>
    <x v="3"/>
    <x v="3"/>
    <m/>
    <x v="77"/>
    <x v="3"/>
    <m/>
    <x v="3"/>
    <x v="13"/>
  </r>
  <r>
    <s v="Id1480"/>
    <s v="Keila L"/>
    <x v="403"/>
    <x v="488"/>
    <s v="No"/>
    <x v="2"/>
    <x v="2"/>
    <s v="No major surgery"/>
    <x v="1"/>
    <x v="3"/>
    <x v="3"/>
    <m/>
    <x v="77"/>
    <x v="3"/>
    <m/>
    <x v="3"/>
    <x v="13"/>
  </r>
  <r>
    <s v="Id1479"/>
    <s v="Zanae E"/>
    <x v="675"/>
    <x v="490"/>
    <s v="No"/>
    <x v="2"/>
    <x v="2"/>
    <s v="No major surgery"/>
    <x v="1"/>
    <x v="3"/>
    <x v="3"/>
    <m/>
    <x v="77"/>
    <x v="3"/>
    <m/>
    <x v="3"/>
    <x v="13"/>
  </r>
  <r>
    <s v="Id1478"/>
    <s v="Alex"/>
    <x v="676"/>
    <x v="98"/>
    <s v="Yes"/>
    <x v="2"/>
    <x v="2"/>
    <n v="1"/>
    <x v="1"/>
    <x v="3"/>
    <x v="3"/>
    <m/>
    <x v="77"/>
    <x v="3"/>
    <m/>
    <x v="3"/>
    <x v="13"/>
  </r>
  <r>
    <s v="Id1477"/>
    <s v="Kathryn"/>
    <x v="520"/>
    <x v="259"/>
    <s v="Yes"/>
    <x v="2"/>
    <x v="2"/>
    <n v="1"/>
    <x v="1"/>
    <x v="3"/>
    <x v="3"/>
    <m/>
    <x v="77"/>
    <x v="3"/>
    <m/>
    <x v="3"/>
    <x v="13"/>
  </r>
  <r>
    <s v="Id1476"/>
    <s v="Jason L."/>
    <x v="677"/>
    <x v="473"/>
    <s v="No"/>
    <x v="2"/>
    <x v="2"/>
    <n v="1"/>
    <x v="1"/>
    <x v="3"/>
    <x v="3"/>
    <m/>
    <x v="77"/>
    <x v="3"/>
    <m/>
    <x v="3"/>
    <x v="13"/>
  </r>
  <r>
    <s v="Id1475"/>
    <s v="Benjamin J."/>
    <x v="606"/>
    <x v="189"/>
    <s v="No"/>
    <x v="2"/>
    <x v="2"/>
    <n v="2"/>
    <x v="1"/>
    <x v="3"/>
    <x v="3"/>
    <m/>
    <x v="77"/>
    <x v="3"/>
    <m/>
    <x v="3"/>
    <x v="13"/>
  </r>
  <r>
    <s v="Id1474"/>
    <s v="Steven M."/>
    <x v="678"/>
    <x v="368"/>
    <s v="No"/>
    <x v="2"/>
    <x v="2"/>
    <s v="No major surgery"/>
    <x v="1"/>
    <x v="3"/>
    <x v="3"/>
    <m/>
    <x v="77"/>
    <x v="3"/>
    <m/>
    <x v="3"/>
    <x v="13"/>
  </r>
  <r>
    <s v="Id1473"/>
    <s v="Erika"/>
    <x v="679"/>
    <x v="398"/>
    <s v="No"/>
    <x v="2"/>
    <x v="2"/>
    <s v="No major surgery"/>
    <x v="1"/>
    <x v="3"/>
    <x v="3"/>
    <m/>
    <x v="77"/>
    <x v="3"/>
    <m/>
    <x v="3"/>
    <x v="13"/>
  </r>
  <r>
    <s v="Id1472"/>
    <s v="Chad"/>
    <x v="315"/>
    <x v="120"/>
    <s v="Yes"/>
    <x v="2"/>
    <x v="2"/>
    <n v="2"/>
    <x v="1"/>
    <x v="3"/>
    <x v="3"/>
    <m/>
    <x v="77"/>
    <x v="3"/>
    <m/>
    <x v="3"/>
    <x v="13"/>
  </r>
  <r>
    <s v="Id1471"/>
    <s v="Mark"/>
    <x v="680"/>
    <x v="491"/>
    <s v="Yes"/>
    <x v="2"/>
    <x v="2"/>
    <n v="1"/>
    <x v="1"/>
    <x v="3"/>
    <x v="3"/>
    <m/>
    <x v="77"/>
    <x v="3"/>
    <m/>
    <x v="3"/>
    <x v="13"/>
  </r>
  <r>
    <s v="Id1470"/>
    <s v="David"/>
    <x v="419"/>
    <x v="492"/>
    <s v="Yes"/>
    <x v="2"/>
    <x v="2"/>
    <n v="1"/>
    <x v="1"/>
    <x v="3"/>
    <x v="3"/>
    <m/>
    <x v="77"/>
    <x v="3"/>
    <m/>
    <x v="3"/>
    <x v="13"/>
  </r>
  <r>
    <s v="Id1469"/>
    <s v="Matthew R"/>
    <x v="278"/>
    <x v="493"/>
    <s v="Yes"/>
    <x v="2"/>
    <x v="2"/>
    <n v="1"/>
    <x v="1"/>
    <x v="3"/>
    <x v="3"/>
    <m/>
    <x v="77"/>
    <x v="3"/>
    <m/>
    <x v="3"/>
    <x v="13"/>
  </r>
  <r>
    <s v="Id1468"/>
    <s v="Orla"/>
    <x v="681"/>
    <x v="494"/>
    <s v="Yes"/>
    <x v="2"/>
    <x v="2"/>
    <n v="1"/>
    <x v="1"/>
    <x v="3"/>
    <x v="3"/>
    <m/>
    <x v="77"/>
    <x v="3"/>
    <m/>
    <x v="3"/>
    <x v="13"/>
  </r>
  <r>
    <s v="Id1467"/>
    <s v="Shaista S"/>
    <x v="682"/>
    <x v="239"/>
    <s v="No"/>
    <x v="2"/>
    <x v="2"/>
    <s v="No major surgery"/>
    <x v="1"/>
    <x v="3"/>
    <x v="3"/>
    <m/>
    <x v="77"/>
    <x v="3"/>
    <m/>
    <x v="3"/>
    <x v="13"/>
  </r>
  <r>
    <s v="Id1466"/>
    <s v="Mrs.  Emily"/>
    <x v="683"/>
    <x v="495"/>
    <s v="Yes"/>
    <x v="2"/>
    <x v="2"/>
    <n v="2"/>
    <x v="1"/>
    <x v="3"/>
    <x v="3"/>
    <m/>
    <x v="77"/>
    <x v="3"/>
    <m/>
    <x v="3"/>
    <x v="13"/>
  </r>
  <r>
    <s v="Id1465"/>
    <s v="Julie A."/>
    <x v="203"/>
    <x v="295"/>
    <s v="Yes"/>
    <x v="2"/>
    <x v="2"/>
    <s v="No major surgery"/>
    <x v="1"/>
    <x v="3"/>
    <x v="3"/>
    <m/>
    <x v="77"/>
    <x v="3"/>
    <m/>
    <x v="3"/>
    <x v="13"/>
  </r>
  <r>
    <s v="Id1464"/>
    <s v="Megumi"/>
    <x v="101"/>
    <x v="68"/>
    <s v="Yes"/>
    <x v="2"/>
    <x v="2"/>
    <s v="No major surgery"/>
    <x v="1"/>
    <x v="3"/>
    <x v="3"/>
    <m/>
    <x v="77"/>
    <x v="3"/>
    <m/>
    <x v="3"/>
    <x v="13"/>
  </r>
  <r>
    <s v="Id1463"/>
    <s v="Skylar"/>
    <x v="684"/>
    <x v="335"/>
    <s v="Yes"/>
    <x v="2"/>
    <x v="2"/>
    <n v="2"/>
    <x v="1"/>
    <x v="3"/>
    <x v="3"/>
    <m/>
    <x v="77"/>
    <x v="3"/>
    <m/>
    <x v="3"/>
    <x v="13"/>
  </r>
  <r>
    <s v="Id1462"/>
    <s v="Victoria"/>
    <x v="685"/>
    <x v="496"/>
    <s v="Yes"/>
    <x v="2"/>
    <x v="2"/>
    <n v="1"/>
    <x v="1"/>
    <x v="3"/>
    <x v="3"/>
    <m/>
    <x v="77"/>
    <x v="3"/>
    <m/>
    <x v="3"/>
    <x v="13"/>
  </r>
  <r>
    <s v="Id1461"/>
    <s v="Amanda L"/>
    <x v="11"/>
    <x v="497"/>
    <s v="No"/>
    <x v="2"/>
    <x v="2"/>
    <s v="No major surgery"/>
    <x v="1"/>
    <x v="3"/>
    <x v="3"/>
    <m/>
    <x v="77"/>
    <x v="3"/>
    <m/>
    <x v="3"/>
    <x v="13"/>
  </r>
  <r>
    <s v="Id1460"/>
    <s v="Ms.  Renee"/>
    <x v="243"/>
    <x v="498"/>
    <s v="No"/>
    <x v="2"/>
    <x v="2"/>
    <s v="No major surgery"/>
    <x v="1"/>
    <x v="3"/>
    <x v="3"/>
    <m/>
    <x v="77"/>
    <x v="3"/>
    <m/>
    <x v="3"/>
    <x v="13"/>
  </r>
  <r>
    <s v="Id1459"/>
    <s v="Nellie A."/>
    <x v="40"/>
    <x v="55"/>
    <s v="Yes"/>
    <x v="2"/>
    <x v="2"/>
    <n v="1"/>
    <x v="1"/>
    <x v="3"/>
    <x v="3"/>
    <m/>
    <x v="77"/>
    <x v="3"/>
    <m/>
    <x v="3"/>
    <x v="13"/>
  </r>
  <r>
    <s v="Id1458"/>
    <s v="Tamara"/>
    <x v="686"/>
    <x v="122"/>
    <s v="Yes"/>
    <x v="2"/>
    <x v="2"/>
    <n v="2"/>
    <x v="1"/>
    <x v="3"/>
    <x v="3"/>
    <m/>
    <x v="77"/>
    <x v="3"/>
    <m/>
    <x v="3"/>
    <x v="13"/>
  </r>
  <r>
    <s v="Id1457"/>
    <s v="Joan"/>
    <x v="56"/>
    <x v="203"/>
    <s v="Yes"/>
    <x v="2"/>
    <x v="2"/>
    <n v="1"/>
    <x v="1"/>
    <x v="3"/>
    <x v="3"/>
    <m/>
    <x v="77"/>
    <x v="3"/>
    <m/>
    <x v="3"/>
    <x v="13"/>
  </r>
  <r>
    <s v="Id1456"/>
    <s v="Aimee J."/>
    <x v="419"/>
    <x v="404"/>
    <s v="Yes"/>
    <x v="2"/>
    <x v="2"/>
    <n v="1"/>
    <x v="1"/>
    <x v="3"/>
    <x v="3"/>
    <m/>
    <x v="77"/>
    <x v="3"/>
    <m/>
    <x v="3"/>
    <x v="13"/>
  </r>
  <r>
    <s v="Id1455"/>
    <s v="Suzanne"/>
    <x v="687"/>
    <x v="229"/>
    <s v="Yes"/>
    <x v="2"/>
    <x v="2"/>
    <n v="1"/>
    <x v="1"/>
    <x v="3"/>
    <x v="3"/>
    <m/>
    <x v="77"/>
    <x v="3"/>
    <m/>
    <x v="3"/>
    <x v="13"/>
  </r>
  <r>
    <s v="Id1454"/>
    <s v="Kristin A."/>
    <x v="360"/>
    <x v="109"/>
    <s v="Yes"/>
    <x v="2"/>
    <x v="2"/>
    <n v="1"/>
    <x v="1"/>
    <x v="3"/>
    <x v="3"/>
    <m/>
    <x v="77"/>
    <x v="3"/>
    <m/>
    <x v="3"/>
    <x v="13"/>
  </r>
  <r>
    <s v="Id1453"/>
    <s v="Ms.  Bronwyn"/>
    <x v="688"/>
    <x v="85"/>
    <s v="Yes"/>
    <x v="2"/>
    <x v="2"/>
    <n v="1"/>
    <x v="1"/>
    <x v="3"/>
    <x v="3"/>
    <m/>
    <x v="77"/>
    <x v="3"/>
    <m/>
    <x v="3"/>
    <x v="13"/>
  </r>
  <r>
    <s v="Id1452"/>
    <s v="Taylor J"/>
    <x v="689"/>
    <x v="65"/>
    <s v="No"/>
    <x v="2"/>
    <x v="2"/>
    <s v="No major surgery"/>
    <x v="1"/>
    <x v="3"/>
    <x v="3"/>
    <m/>
    <x v="77"/>
    <x v="3"/>
    <m/>
    <x v="3"/>
    <x v="13"/>
  </r>
  <r>
    <s v="Id1451"/>
    <s v="Kimberly M."/>
    <x v="690"/>
    <x v="149"/>
    <s v="No"/>
    <x v="2"/>
    <x v="2"/>
    <s v="No major surgery"/>
    <x v="1"/>
    <x v="3"/>
    <x v="3"/>
    <m/>
    <x v="77"/>
    <x v="3"/>
    <m/>
    <x v="3"/>
    <x v="13"/>
  </r>
  <r>
    <s v="Id1450"/>
    <s v="Joshua E."/>
    <x v="691"/>
    <x v="178"/>
    <s v="No"/>
    <x v="2"/>
    <x v="2"/>
    <n v="1"/>
    <x v="1"/>
    <x v="3"/>
    <x v="3"/>
    <m/>
    <x v="77"/>
    <x v="3"/>
    <m/>
    <x v="3"/>
    <x v="13"/>
  </r>
  <r>
    <s v="Id1449"/>
    <s v="Jeffrey"/>
    <x v="692"/>
    <x v="499"/>
    <s v="No"/>
    <x v="2"/>
    <x v="2"/>
    <s v="No major surgery"/>
    <x v="1"/>
    <x v="3"/>
    <x v="3"/>
    <m/>
    <x v="77"/>
    <x v="3"/>
    <m/>
    <x v="3"/>
    <x v="13"/>
  </r>
  <r>
    <s v="Id1448"/>
    <s v="Andrew R"/>
    <x v="664"/>
    <x v="469"/>
    <s v="No"/>
    <x v="2"/>
    <x v="2"/>
    <s v="No major surgery"/>
    <x v="1"/>
    <x v="3"/>
    <x v="3"/>
    <m/>
    <x v="77"/>
    <x v="3"/>
    <m/>
    <x v="3"/>
    <x v="13"/>
  </r>
  <r>
    <s v="Id1447"/>
    <s v="Francisco J. Sr."/>
    <x v="693"/>
    <x v="265"/>
    <s v="No"/>
    <x v="2"/>
    <x v="2"/>
    <s v="No major surgery"/>
    <x v="1"/>
    <x v="3"/>
    <x v="3"/>
    <m/>
    <x v="77"/>
    <x v="3"/>
    <m/>
    <x v="3"/>
    <x v="13"/>
  </r>
  <r>
    <s v="Id1446"/>
    <s v="Rhonda"/>
    <x v="694"/>
    <x v="500"/>
    <s v="No"/>
    <x v="2"/>
    <x v="2"/>
    <s v="No major surgery"/>
    <x v="1"/>
    <x v="3"/>
    <x v="3"/>
    <m/>
    <x v="77"/>
    <x v="3"/>
    <m/>
    <x v="3"/>
    <x v="13"/>
  </r>
  <r>
    <s v="Id1445"/>
    <s v="John"/>
    <x v="570"/>
    <x v="501"/>
    <s v="Yes"/>
    <x v="2"/>
    <x v="2"/>
    <n v="1"/>
    <x v="1"/>
    <x v="3"/>
    <x v="3"/>
    <m/>
    <x v="77"/>
    <x v="3"/>
    <m/>
    <x v="3"/>
    <x v="13"/>
  </r>
  <r>
    <s v="Id1444"/>
    <s v="Miles J."/>
    <x v="247"/>
    <x v="453"/>
    <s v="Yes"/>
    <x v="2"/>
    <x v="2"/>
    <n v="1"/>
    <x v="1"/>
    <x v="3"/>
    <x v="3"/>
    <m/>
    <x v="77"/>
    <x v="3"/>
    <m/>
    <x v="3"/>
    <x v="13"/>
  </r>
  <r>
    <s v="Id1443"/>
    <s v="Ms.  Justyna I."/>
    <x v="65"/>
    <x v="400"/>
    <s v="No"/>
    <x v="2"/>
    <x v="2"/>
    <s v="No major surgery"/>
    <x v="1"/>
    <x v="3"/>
    <x v="3"/>
    <m/>
    <x v="77"/>
    <x v="3"/>
    <m/>
    <x v="3"/>
    <x v="13"/>
  </r>
  <r>
    <s v="Id1442"/>
    <s v="Lucille"/>
    <x v="467"/>
    <x v="20"/>
    <s v="No"/>
    <x v="2"/>
    <x v="2"/>
    <s v="No major surgery"/>
    <x v="1"/>
    <x v="3"/>
    <x v="3"/>
    <m/>
    <x v="77"/>
    <x v="3"/>
    <m/>
    <x v="3"/>
    <x v="13"/>
  </r>
  <r>
    <s v="Id1441"/>
    <s v="April"/>
    <x v="257"/>
    <x v="502"/>
    <s v="No"/>
    <x v="2"/>
    <x v="2"/>
    <s v="No major surgery"/>
    <x v="1"/>
    <x v="3"/>
    <x v="3"/>
    <m/>
    <x v="77"/>
    <x v="3"/>
    <m/>
    <x v="3"/>
    <x v="13"/>
  </r>
  <r>
    <s v="Id1440"/>
    <s v="Robert"/>
    <x v="695"/>
    <x v="58"/>
    <s v="No"/>
    <x v="2"/>
    <x v="2"/>
    <n v="1"/>
    <x v="1"/>
    <x v="3"/>
    <x v="3"/>
    <m/>
    <x v="77"/>
    <x v="3"/>
    <m/>
    <x v="3"/>
    <x v="13"/>
  </r>
  <r>
    <s v="Id1439"/>
    <s v="Alyssa"/>
    <x v="696"/>
    <x v="12"/>
    <s v="Yes"/>
    <x v="2"/>
    <x v="2"/>
    <n v="1"/>
    <x v="1"/>
    <x v="3"/>
    <x v="3"/>
    <m/>
    <x v="77"/>
    <x v="3"/>
    <m/>
    <x v="3"/>
    <x v="13"/>
  </r>
  <r>
    <s v="Id1438"/>
    <s v="Jessica E."/>
    <x v="401"/>
    <x v="103"/>
    <s v="Yes"/>
    <x v="2"/>
    <x v="2"/>
    <n v="2"/>
    <x v="1"/>
    <x v="3"/>
    <x v="3"/>
    <m/>
    <x v="77"/>
    <x v="3"/>
    <m/>
    <x v="3"/>
    <x v="13"/>
  </r>
  <r>
    <s v="Id1437"/>
    <s v="Patrick J."/>
    <x v="697"/>
    <x v="81"/>
    <s v="No"/>
    <x v="2"/>
    <x v="2"/>
    <n v="1"/>
    <x v="1"/>
    <x v="3"/>
    <x v="3"/>
    <m/>
    <x v="77"/>
    <x v="3"/>
    <m/>
    <x v="3"/>
    <x v="13"/>
  </r>
  <r>
    <s v="Id1436"/>
    <s v="Emilie"/>
    <x v="698"/>
    <x v="130"/>
    <s v="No"/>
    <x v="2"/>
    <x v="2"/>
    <s v="No major surgery"/>
    <x v="1"/>
    <x v="3"/>
    <x v="3"/>
    <m/>
    <x v="77"/>
    <x v="3"/>
    <m/>
    <x v="3"/>
    <x v="13"/>
  </r>
  <r>
    <s v="Id1435"/>
    <s v="Caitlin B."/>
    <x v="699"/>
    <x v="503"/>
    <s v="No"/>
    <x v="2"/>
    <x v="2"/>
    <s v="No major surgery"/>
    <x v="1"/>
    <x v="3"/>
    <x v="3"/>
    <m/>
    <x v="77"/>
    <x v="3"/>
    <m/>
    <x v="3"/>
    <x v="13"/>
  </r>
  <r>
    <s v="Id1434"/>
    <s v="Joseph W"/>
    <x v="566"/>
    <x v="200"/>
    <s v="No"/>
    <x v="2"/>
    <x v="2"/>
    <s v="No major surgery"/>
    <x v="1"/>
    <x v="3"/>
    <x v="3"/>
    <m/>
    <x v="77"/>
    <x v="3"/>
    <m/>
    <x v="3"/>
    <x v="13"/>
  </r>
  <r>
    <s v="Id1433"/>
    <s v="Wendy"/>
    <x v="700"/>
    <x v="70"/>
    <s v="No"/>
    <x v="2"/>
    <x v="2"/>
    <n v="1"/>
    <x v="1"/>
    <x v="3"/>
    <x v="3"/>
    <m/>
    <x v="77"/>
    <x v="3"/>
    <m/>
    <x v="3"/>
    <x v="13"/>
  </r>
  <r>
    <s v="Id1432"/>
    <s v="Leah L."/>
    <x v="677"/>
    <x v="208"/>
    <s v="Yes"/>
    <x v="2"/>
    <x v="2"/>
    <n v="1"/>
    <x v="1"/>
    <x v="3"/>
    <x v="3"/>
    <m/>
    <x v="77"/>
    <x v="3"/>
    <m/>
    <x v="3"/>
    <x v="13"/>
  </r>
  <r>
    <s v="Id1431"/>
    <s v="Wayne L."/>
    <x v="25"/>
    <x v="386"/>
    <s v="Yes"/>
    <x v="2"/>
    <x v="2"/>
    <s v="No major surgery"/>
    <x v="1"/>
    <x v="3"/>
    <x v="3"/>
    <m/>
    <x v="77"/>
    <x v="3"/>
    <m/>
    <x v="3"/>
    <x v="13"/>
  </r>
  <r>
    <s v="Id1430"/>
    <s v="Jason M."/>
    <x v="701"/>
    <x v="31"/>
    <s v="Yes"/>
    <x v="2"/>
    <x v="2"/>
    <n v="1"/>
    <x v="1"/>
    <x v="3"/>
    <x v="3"/>
    <m/>
    <x v="77"/>
    <x v="3"/>
    <m/>
    <x v="3"/>
    <x v="13"/>
  </r>
  <r>
    <s v="Id1429"/>
    <s v="Floris"/>
    <x v="44"/>
    <x v="271"/>
    <s v="No"/>
    <x v="2"/>
    <x v="2"/>
    <s v="No major surgery"/>
    <x v="1"/>
    <x v="3"/>
    <x v="3"/>
    <m/>
    <x v="77"/>
    <x v="3"/>
    <m/>
    <x v="3"/>
    <x v="13"/>
  </r>
  <r>
    <s v="Id1428"/>
    <s v="Marc"/>
    <x v="702"/>
    <x v="353"/>
    <s v="Yes"/>
    <x v="2"/>
    <x v="2"/>
    <n v="1"/>
    <x v="1"/>
    <x v="3"/>
    <x v="3"/>
    <m/>
    <x v="77"/>
    <x v="3"/>
    <m/>
    <x v="3"/>
    <x v="13"/>
  </r>
  <r>
    <s v="Id1427"/>
    <s v="Christopher"/>
    <x v="525"/>
    <x v="374"/>
    <s v="No"/>
    <x v="2"/>
    <x v="2"/>
    <s v="No major surgery"/>
    <x v="1"/>
    <x v="3"/>
    <x v="3"/>
    <m/>
    <x v="77"/>
    <x v="3"/>
    <m/>
    <x v="3"/>
    <x v="13"/>
  </r>
  <r>
    <s v="Id1426"/>
    <s v="Kevin"/>
    <x v="703"/>
    <x v="159"/>
    <s v="Yes"/>
    <x v="2"/>
    <x v="2"/>
    <n v="1"/>
    <x v="1"/>
    <x v="3"/>
    <x v="3"/>
    <m/>
    <x v="77"/>
    <x v="3"/>
    <m/>
    <x v="3"/>
    <x v="13"/>
  </r>
  <r>
    <s v="Id1425"/>
    <s v="Aharon N"/>
    <x v="524"/>
    <x v="252"/>
    <s v="Yes"/>
    <x v="2"/>
    <x v="2"/>
    <n v="1"/>
    <x v="1"/>
    <x v="3"/>
    <x v="3"/>
    <m/>
    <x v="77"/>
    <x v="3"/>
    <m/>
    <x v="3"/>
    <x v="13"/>
  </r>
  <r>
    <s v="Id1424"/>
    <s v="Lawrence D."/>
    <x v="190"/>
    <x v="251"/>
    <s v="Yes"/>
    <x v="2"/>
    <x v="2"/>
    <n v="1"/>
    <x v="1"/>
    <x v="3"/>
    <x v="3"/>
    <m/>
    <x v="77"/>
    <x v="3"/>
    <m/>
    <x v="3"/>
    <x v="13"/>
  </r>
  <r>
    <s v="Id1423"/>
    <s v="Malcolm"/>
    <x v="704"/>
    <x v="352"/>
    <s v="No"/>
    <x v="2"/>
    <x v="2"/>
    <n v="1"/>
    <x v="1"/>
    <x v="3"/>
    <x v="3"/>
    <m/>
    <x v="77"/>
    <x v="3"/>
    <m/>
    <x v="3"/>
    <x v="13"/>
  </r>
  <r>
    <s v="Id1422"/>
    <s v="Anna E."/>
    <x v="705"/>
    <x v="306"/>
    <s v="Yes"/>
    <x v="2"/>
    <x v="2"/>
    <s v="No major surgery"/>
    <x v="1"/>
    <x v="3"/>
    <x v="3"/>
    <m/>
    <x v="77"/>
    <x v="3"/>
    <m/>
    <x v="3"/>
    <x v="13"/>
  </r>
  <r>
    <s v="Id1421"/>
    <s v="Jenny"/>
    <x v="425"/>
    <x v="423"/>
    <s v="Yes"/>
    <x v="2"/>
    <x v="2"/>
    <s v="No major surgery"/>
    <x v="1"/>
    <x v="3"/>
    <x v="3"/>
    <m/>
    <x v="77"/>
    <x v="3"/>
    <m/>
    <x v="3"/>
    <x v="13"/>
  </r>
  <r>
    <s v="Id1420"/>
    <s v="Melissa L"/>
    <x v="443"/>
    <x v="504"/>
    <s v="Yes"/>
    <x v="2"/>
    <x v="2"/>
    <s v="No major surgery"/>
    <x v="1"/>
    <x v="3"/>
    <x v="3"/>
    <m/>
    <x v="77"/>
    <x v="3"/>
    <m/>
    <x v="3"/>
    <x v="13"/>
  </r>
  <r>
    <s v="Id1419"/>
    <s v="Chia J."/>
    <x v="171"/>
    <x v="279"/>
    <s v="No"/>
    <x v="2"/>
    <x v="2"/>
    <s v="No major surgery"/>
    <x v="1"/>
    <x v="3"/>
    <x v="3"/>
    <m/>
    <x v="77"/>
    <x v="3"/>
    <m/>
    <x v="3"/>
    <x v="13"/>
  </r>
  <r>
    <s v="Id1418"/>
    <s v="Laura A"/>
    <x v="85"/>
    <x v="173"/>
    <s v="Yes"/>
    <x v="2"/>
    <x v="2"/>
    <n v="1"/>
    <x v="1"/>
    <x v="3"/>
    <x v="3"/>
    <m/>
    <x v="77"/>
    <x v="3"/>
    <m/>
    <x v="3"/>
    <x v="13"/>
  </r>
  <r>
    <s v="Id1417"/>
    <s v="Aditi"/>
    <x v="382"/>
    <x v="339"/>
    <s v="Yes"/>
    <x v="2"/>
    <x v="2"/>
    <n v="1"/>
    <x v="1"/>
    <x v="3"/>
    <x v="3"/>
    <m/>
    <x v="77"/>
    <x v="3"/>
    <m/>
    <x v="3"/>
    <x v="13"/>
  </r>
  <r>
    <s v="Id1416"/>
    <s v="Leah A."/>
    <x v="80"/>
    <x v="480"/>
    <s v="No"/>
    <x v="2"/>
    <x v="2"/>
    <s v="No major surgery"/>
    <x v="1"/>
    <x v="3"/>
    <x v="3"/>
    <m/>
    <x v="77"/>
    <x v="3"/>
    <m/>
    <x v="3"/>
    <x v="13"/>
  </r>
  <r>
    <s v="Id1415"/>
    <s v="Marianne"/>
    <x v="683"/>
    <x v="69"/>
    <s v="Yes"/>
    <x v="2"/>
    <x v="2"/>
    <n v="1"/>
    <x v="1"/>
    <x v="3"/>
    <x v="3"/>
    <m/>
    <x v="77"/>
    <x v="3"/>
    <m/>
    <x v="3"/>
    <x v="13"/>
  </r>
  <r>
    <s v="Id1414"/>
    <s v="Carla"/>
    <x v="88"/>
    <x v="64"/>
    <s v="No"/>
    <x v="2"/>
    <x v="2"/>
    <s v="No major surgery"/>
    <x v="1"/>
    <x v="3"/>
    <x v="3"/>
    <m/>
    <x v="77"/>
    <x v="3"/>
    <m/>
    <x v="3"/>
    <x v="13"/>
  </r>
  <r>
    <s v="Id1413"/>
    <s v="Oksana"/>
    <x v="706"/>
    <x v="178"/>
    <s v="Yes"/>
    <x v="2"/>
    <x v="2"/>
    <n v="1"/>
    <x v="1"/>
    <x v="3"/>
    <x v="3"/>
    <m/>
    <x v="77"/>
    <x v="3"/>
    <m/>
    <x v="3"/>
    <x v="13"/>
  </r>
  <r>
    <s v="Id1412"/>
    <s v="Rebecca B."/>
    <x v="316"/>
    <x v="47"/>
    <s v="Yes"/>
    <x v="2"/>
    <x v="2"/>
    <n v="1"/>
    <x v="1"/>
    <x v="3"/>
    <x v="3"/>
    <m/>
    <x v="77"/>
    <x v="3"/>
    <m/>
    <x v="3"/>
    <x v="13"/>
  </r>
  <r>
    <s v="Id1411"/>
    <s v="Maria A."/>
    <x v="567"/>
    <x v="205"/>
    <s v="No"/>
    <x v="2"/>
    <x v="2"/>
    <s v="No major surgery"/>
    <x v="1"/>
    <x v="3"/>
    <x v="3"/>
    <m/>
    <x v="77"/>
    <x v="3"/>
    <m/>
    <x v="3"/>
    <x v="13"/>
  </r>
  <r>
    <s v="Id1410"/>
    <s v="Lisa M"/>
    <x v="707"/>
    <x v="251"/>
    <s v="No"/>
    <x v="2"/>
    <x v="2"/>
    <s v="No major surgery"/>
    <x v="1"/>
    <x v="3"/>
    <x v="3"/>
    <m/>
    <x v="77"/>
    <x v="3"/>
    <m/>
    <x v="3"/>
    <x v="13"/>
  </r>
  <r>
    <s v="Id1409"/>
    <s v="Steve Jr."/>
    <x v="355"/>
    <x v="505"/>
    <s v="Yes"/>
    <x v="2"/>
    <x v="2"/>
    <n v="2"/>
    <x v="1"/>
    <x v="3"/>
    <x v="3"/>
    <m/>
    <x v="77"/>
    <x v="3"/>
    <m/>
    <x v="3"/>
    <x v="13"/>
  </r>
  <r>
    <s v="Id1408"/>
    <s v="Tiffany"/>
    <x v="708"/>
    <x v="478"/>
    <s v="No"/>
    <x v="2"/>
    <x v="2"/>
    <n v="1"/>
    <x v="1"/>
    <x v="3"/>
    <x v="3"/>
    <m/>
    <x v="77"/>
    <x v="3"/>
    <m/>
    <x v="3"/>
    <x v="13"/>
  </r>
  <r>
    <s v="Id1407"/>
    <s v="Greg"/>
    <x v="124"/>
    <x v="288"/>
    <s v="Yes"/>
    <x v="2"/>
    <x v="2"/>
    <n v="1"/>
    <x v="1"/>
    <x v="3"/>
    <x v="3"/>
    <m/>
    <x v="77"/>
    <x v="3"/>
    <m/>
    <x v="3"/>
    <x v="13"/>
  </r>
  <r>
    <s v="Id1406"/>
    <s v="Dale"/>
    <x v="350"/>
    <x v="506"/>
    <s v="Yes"/>
    <x v="2"/>
    <x v="2"/>
    <n v="1"/>
    <x v="1"/>
    <x v="3"/>
    <x v="3"/>
    <m/>
    <x v="77"/>
    <x v="3"/>
    <m/>
    <x v="3"/>
    <x v="13"/>
  </r>
  <r>
    <s v="Id1405"/>
    <s v="Brittany A."/>
    <x v="709"/>
    <x v="427"/>
    <s v="Yes"/>
    <x v="2"/>
    <x v="2"/>
    <n v="1"/>
    <x v="1"/>
    <x v="3"/>
    <x v="3"/>
    <m/>
    <x v="77"/>
    <x v="3"/>
    <m/>
    <x v="3"/>
    <x v="13"/>
  </r>
  <r>
    <s v="Id1404"/>
    <s v="Robert S"/>
    <x v="710"/>
    <x v="117"/>
    <s v="Yes"/>
    <x v="2"/>
    <x v="2"/>
    <n v="1"/>
    <x v="1"/>
    <x v="3"/>
    <x v="3"/>
    <m/>
    <x v="77"/>
    <x v="3"/>
    <m/>
    <x v="3"/>
    <x v="13"/>
  </r>
  <r>
    <s v="Id1403"/>
    <s v="Cameron"/>
    <x v="276"/>
    <x v="82"/>
    <s v="Yes"/>
    <x v="2"/>
    <x v="2"/>
    <n v="1"/>
    <x v="1"/>
    <x v="3"/>
    <x v="3"/>
    <m/>
    <x v="77"/>
    <x v="3"/>
    <m/>
    <x v="3"/>
    <x v="13"/>
  </r>
  <r>
    <s v="Id1402"/>
    <s v="Ulrike"/>
    <x v="677"/>
    <x v="169"/>
    <s v="No"/>
    <x v="2"/>
    <x v="2"/>
    <n v="1"/>
    <x v="1"/>
    <x v="3"/>
    <x v="3"/>
    <m/>
    <x v="77"/>
    <x v="3"/>
    <m/>
    <x v="3"/>
    <x v="13"/>
  </r>
  <r>
    <s v="Id1401"/>
    <s v="Katlyn A."/>
    <x v="711"/>
    <x v="140"/>
    <s v="Yes"/>
    <x v="2"/>
    <x v="2"/>
    <n v="1"/>
    <x v="1"/>
    <x v="3"/>
    <x v="3"/>
    <m/>
    <x v="77"/>
    <x v="3"/>
    <m/>
    <x v="3"/>
    <x v="13"/>
  </r>
  <r>
    <s v="Id1400"/>
    <s v="Morgan B."/>
    <x v="712"/>
    <x v="243"/>
    <s v="No"/>
    <x v="2"/>
    <x v="2"/>
    <s v="No major surgery"/>
    <x v="1"/>
    <x v="3"/>
    <x v="3"/>
    <m/>
    <x v="77"/>
    <x v="3"/>
    <m/>
    <x v="3"/>
    <x v="13"/>
  </r>
  <r>
    <s v="Id1399"/>
    <s v="Peter"/>
    <x v="713"/>
    <x v="310"/>
    <s v="Yes"/>
    <x v="2"/>
    <x v="2"/>
    <n v="2"/>
    <x v="1"/>
    <x v="3"/>
    <x v="3"/>
    <m/>
    <x v="77"/>
    <x v="3"/>
    <m/>
    <x v="3"/>
    <x v="13"/>
  </r>
  <r>
    <s v="Id1398"/>
    <s v="Chandler"/>
    <x v="184"/>
    <x v="507"/>
    <s v="Yes"/>
    <x v="2"/>
    <x v="2"/>
    <n v="2"/>
    <x v="1"/>
    <x v="3"/>
    <x v="3"/>
    <m/>
    <x v="77"/>
    <x v="3"/>
    <m/>
    <x v="3"/>
    <x v="13"/>
  </r>
  <r>
    <s v="Id1397"/>
    <s v="Silvana M."/>
    <x v="570"/>
    <x v="180"/>
    <s v="Yes"/>
    <x v="2"/>
    <x v="2"/>
    <n v="2"/>
    <x v="1"/>
    <x v="3"/>
    <x v="3"/>
    <m/>
    <x v="77"/>
    <x v="3"/>
    <m/>
    <x v="3"/>
    <x v="13"/>
  </r>
  <r>
    <s v="Id1396"/>
    <s v="Natty"/>
    <x v="276"/>
    <x v="98"/>
    <s v="Yes"/>
    <x v="2"/>
    <x v="2"/>
    <n v="2"/>
    <x v="1"/>
    <x v="3"/>
    <x v="3"/>
    <m/>
    <x v="77"/>
    <x v="3"/>
    <m/>
    <x v="3"/>
    <x v="13"/>
  </r>
  <r>
    <s v="Id1395"/>
    <s v="Nicholas T"/>
    <x v="209"/>
    <x v="83"/>
    <s v="No"/>
    <x v="2"/>
    <x v="2"/>
    <s v="No major surgery"/>
    <x v="1"/>
    <x v="3"/>
    <x v="3"/>
    <m/>
    <x v="77"/>
    <x v="3"/>
    <m/>
    <x v="3"/>
    <x v="13"/>
  </r>
  <r>
    <s v="Id1394"/>
    <s v="Rebecca"/>
    <x v="237"/>
    <x v="508"/>
    <s v="Yes"/>
    <x v="2"/>
    <x v="2"/>
    <n v="2"/>
    <x v="1"/>
    <x v="3"/>
    <x v="3"/>
    <m/>
    <x v="77"/>
    <x v="3"/>
    <m/>
    <x v="3"/>
    <x v="13"/>
  </r>
  <r>
    <s v="Id1393"/>
    <s v="John"/>
    <x v="66"/>
    <x v="509"/>
    <s v="Yes"/>
    <x v="2"/>
    <x v="2"/>
    <n v="1"/>
    <x v="1"/>
    <x v="3"/>
    <x v="3"/>
    <m/>
    <x v="77"/>
    <x v="3"/>
    <m/>
    <x v="3"/>
    <x v="13"/>
  </r>
  <r>
    <s v="Id1392"/>
    <s v="Antony G"/>
    <x v="714"/>
    <x v="507"/>
    <s v="Yes"/>
    <x v="2"/>
    <x v="2"/>
    <n v="1"/>
    <x v="1"/>
    <x v="3"/>
    <x v="3"/>
    <m/>
    <x v="77"/>
    <x v="3"/>
    <m/>
    <x v="3"/>
    <x v="13"/>
  </r>
  <r>
    <s v="Id1391"/>
    <s v="Eric"/>
    <x v="715"/>
    <x v="510"/>
    <s v="No"/>
    <x v="2"/>
    <x v="2"/>
    <s v="No major surgery"/>
    <x v="1"/>
    <x v="3"/>
    <x v="3"/>
    <m/>
    <x v="77"/>
    <x v="3"/>
    <m/>
    <x v="3"/>
    <x v="13"/>
  </r>
  <r>
    <s v="Id1390"/>
    <s v="Erik"/>
    <x v="716"/>
    <x v="511"/>
    <s v="No"/>
    <x v="2"/>
    <x v="2"/>
    <s v="No major surgery"/>
    <x v="1"/>
    <x v="3"/>
    <x v="3"/>
    <m/>
    <x v="77"/>
    <x v="3"/>
    <m/>
    <x v="3"/>
    <x v="13"/>
  </r>
  <r>
    <s v="Id1389"/>
    <s v="Matthew T"/>
    <x v="438"/>
    <x v="487"/>
    <s v="No"/>
    <x v="2"/>
    <x v="2"/>
    <s v="No major surgery"/>
    <x v="1"/>
    <x v="3"/>
    <x v="3"/>
    <m/>
    <x v="77"/>
    <x v="3"/>
    <m/>
    <x v="3"/>
    <x v="13"/>
  </r>
  <r>
    <s v="Id1388"/>
    <s v="Cassandra"/>
    <x v="330"/>
    <x v="371"/>
    <s v="No"/>
    <x v="2"/>
    <x v="2"/>
    <n v="2"/>
    <x v="1"/>
    <x v="3"/>
    <x v="3"/>
    <m/>
    <x v="77"/>
    <x v="3"/>
    <m/>
    <x v="3"/>
    <x v="13"/>
  </r>
  <r>
    <s v="Id1387"/>
    <s v="Rosemary C"/>
    <x v="717"/>
    <x v="512"/>
    <s v="No"/>
    <x v="2"/>
    <x v="2"/>
    <s v="No major surgery"/>
    <x v="1"/>
    <x v="3"/>
    <x v="3"/>
    <m/>
    <x v="77"/>
    <x v="3"/>
    <m/>
    <x v="3"/>
    <x v="13"/>
  </r>
  <r>
    <s v="Id1386"/>
    <s v="Carrie A."/>
    <x v="516"/>
    <x v="333"/>
    <s v="No"/>
    <x v="2"/>
    <x v="2"/>
    <s v="No major surgery"/>
    <x v="1"/>
    <x v="3"/>
    <x v="3"/>
    <m/>
    <x v="77"/>
    <x v="3"/>
    <m/>
    <x v="3"/>
    <x v="13"/>
  </r>
  <r>
    <s v="Id1385"/>
    <s v="Gerardo Sr."/>
    <x v="628"/>
    <x v="187"/>
    <s v="No"/>
    <x v="2"/>
    <x v="2"/>
    <s v="No major surgery"/>
    <x v="1"/>
    <x v="3"/>
    <x v="3"/>
    <m/>
    <x v="77"/>
    <x v="3"/>
    <m/>
    <x v="3"/>
    <x v="13"/>
  </r>
  <r>
    <s v="Id1384"/>
    <s v="Matthew R."/>
    <x v="718"/>
    <x v="513"/>
    <s v="Yes"/>
    <x v="2"/>
    <x v="2"/>
    <n v="2"/>
    <x v="1"/>
    <x v="3"/>
    <x v="3"/>
    <m/>
    <x v="77"/>
    <x v="3"/>
    <m/>
    <x v="3"/>
    <x v="13"/>
  </r>
  <r>
    <s v="Id1383"/>
    <s v="Meghan E"/>
    <x v="719"/>
    <x v="133"/>
    <s v="Yes"/>
    <x v="2"/>
    <x v="2"/>
    <n v="1"/>
    <x v="1"/>
    <x v="3"/>
    <x v="3"/>
    <m/>
    <x v="77"/>
    <x v="3"/>
    <m/>
    <x v="3"/>
    <x v="13"/>
  </r>
  <r>
    <s v="Id1382"/>
    <s v="Eric"/>
    <x v="720"/>
    <x v="323"/>
    <s v="No"/>
    <x v="2"/>
    <x v="2"/>
    <s v="No major surgery"/>
    <x v="1"/>
    <x v="3"/>
    <x v="3"/>
    <m/>
    <x v="77"/>
    <x v="3"/>
    <m/>
    <x v="3"/>
    <x v="13"/>
  </r>
  <r>
    <s v="Id1381"/>
    <s v="Lisa B"/>
    <x v="67"/>
    <x v="514"/>
    <s v="No"/>
    <x v="2"/>
    <x v="2"/>
    <s v="No major surgery"/>
    <x v="1"/>
    <x v="3"/>
    <x v="3"/>
    <m/>
    <x v="77"/>
    <x v="3"/>
    <m/>
    <x v="3"/>
    <x v="13"/>
  </r>
  <r>
    <s v="Id1380"/>
    <s v="Jane R."/>
    <x v="721"/>
    <x v="39"/>
    <s v="No"/>
    <x v="2"/>
    <x v="2"/>
    <s v="No major surgery"/>
    <x v="1"/>
    <x v="3"/>
    <x v="3"/>
    <m/>
    <x v="77"/>
    <x v="3"/>
    <m/>
    <x v="3"/>
    <x v="13"/>
  </r>
  <r>
    <s v="Id1379"/>
    <s v="Allison M"/>
    <x v="391"/>
    <x v="515"/>
    <s v="Yes"/>
    <x v="2"/>
    <x v="2"/>
    <n v="1"/>
    <x v="1"/>
    <x v="3"/>
    <x v="3"/>
    <m/>
    <x v="77"/>
    <x v="3"/>
    <m/>
    <x v="3"/>
    <x v="13"/>
  </r>
  <r>
    <s v="Id1378"/>
    <s v="Sarah E."/>
    <x v="722"/>
    <x v="49"/>
    <s v="Yes"/>
    <x v="2"/>
    <x v="2"/>
    <n v="1"/>
    <x v="1"/>
    <x v="3"/>
    <x v="3"/>
    <m/>
    <x v="77"/>
    <x v="3"/>
    <m/>
    <x v="3"/>
    <x v="13"/>
  </r>
  <r>
    <s v="Id1377"/>
    <s v="Philip J"/>
    <x v="723"/>
    <x v="354"/>
    <s v="Yes"/>
    <x v="2"/>
    <x v="2"/>
    <n v="2"/>
    <x v="1"/>
    <x v="3"/>
    <x v="3"/>
    <m/>
    <x v="77"/>
    <x v="3"/>
    <m/>
    <x v="3"/>
    <x v="13"/>
  </r>
  <r>
    <s v="Id1376"/>
    <s v="Jillian A."/>
    <x v="25"/>
    <x v="82"/>
    <s v="No"/>
    <x v="2"/>
    <x v="2"/>
    <n v="1"/>
    <x v="1"/>
    <x v="3"/>
    <x v="3"/>
    <m/>
    <x v="77"/>
    <x v="3"/>
    <m/>
    <x v="3"/>
    <x v="13"/>
  </r>
  <r>
    <s v="Id1375"/>
    <s v="Laura D"/>
    <x v="724"/>
    <x v="67"/>
    <s v="Yes"/>
    <x v="2"/>
    <x v="2"/>
    <n v="2"/>
    <x v="1"/>
    <x v="3"/>
    <x v="3"/>
    <m/>
    <x v="77"/>
    <x v="3"/>
    <m/>
    <x v="3"/>
    <x v="13"/>
  </r>
  <r>
    <s v="Id1374"/>
    <s v="Megan E."/>
    <x v="625"/>
    <x v="516"/>
    <s v="No"/>
    <x v="2"/>
    <x v="2"/>
    <s v="No major surgery"/>
    <x v="1"/>
    <x v="3"/>
    <x v="3"/>
    <m/>
    <x v="77"/>
    <x v="3"/>
    <m/>
    <x v="3"/>
    <x v="13"/>
  </r>
  <r>
    <s v="Id1373"/>
    <s v="Shannon J."/>
    <x v="725"/>
    <x v="458"/>
    <s v="Yes"/>
    <x v="2"/>
    <x v="2"/>
    <n v="2"/>
    <x v="1"/>
    <x v="3"/>
    <x v="3"/>
    <m/>
    <x v="77"/>
    <x v="3"/>
    <m/>
    <x v="3"/>
    <x v="13"/>
  </r>
  <r>
    <s v="Id1372"/>
    <s v="Rachelle M"/>
    <x v="14"/>
    <x v="517"/>
    <s v="No"/>
    <x v="2"/>
    <x v="2"/>
    <s v="No major surgery"/>
    <x v="1"/>
    <x v="3"/>
    <x v="3"/>
    <m/>
    <x v="77"/>
    <x v="3"/>
    <m/>
    <x v="3"/>
    <x v="13"/>
  </r>
  <r>
    <s v="Id1371"/>
    <s v="Casey"/>
    <x v="726"/>
    <x v="120"/>
    <s v="No"/>
    <x v="2"/>
    <x v="2"/>
    <s v="No major surgery"/>
    <x v="1"/>
    <x v="3"/>
    <x v="3"/>
    <m/>
    <x v="77"/>
    <x v="3"/>
    <m/>
    <x v="3"/>
    <x v="13"/>
  </r>
  <r>
    <s v="Id1370"/>
    <s v="Jessica L"/>
    <x v="727"/>
    <x v="144"/>
    <s v="Yes"/>
    <x v="2"/>
    <x v="2"/>
    <s v="No major surgery"/>
    <x v="1"/>
    <x v="3"/>
    <x v="3"/>
    <m/>
    <x v="77"/>
    <x v="3"/>
    <m/>
    <x v="3"/>
    <x v="13"/>
  </r>
  <r>
    <s v="Id1369"/>
    <s v="Brandon F"/>
    <x v="728"/>
    <x v="435"/>
    <m/>
    <x v="2"/>
    <x v="2"/>
    <n v="1"/>
    <x v="1"/>
    <x v="3"/>
    <x v="3"/>
    <m/>
    <x v="77"/>
    <x v="3"/>
    <m/>
    <x v="3"/>
    <x v="13"/>
  </r>
  <r>
    <s v="Id1368"/>
    <s v="Melissa"/>
    <x v="729"/>
    <x v="518"/>
    <m/>
    <x v="2"/>
    <x v="2"/>
    <n v="2"/>
    <x v="1"/>
    <x v="3"/>
    <x v="3"/>
    <m/>
    <x v="77"/>
    <x v="3"/>
    <m/>
    <x v="3"/>
    <x v="13"/>
  </r>
  <r>
    <s v="Id1367"/>
    <s v="Danielle N"/>
    <x v="644"/>
    <x v="519"/>
    <m/>
    <x v="2"/>
    <x v="2"/>
    <n v="2"/>
    <x v="1"/>
    <x v="3"/>
    <x v="3"/>
    <m/>
    <x v="77"/>
    <x v="3"/>
    <m/>
    <x v="3"/>
    <x v="13"/>
  </r>
  <r>
    <s v="Id1366"/>
    <s v="Matthew"/>
    <x v="678"/>
    <x v="520"/>
    <m/>
    <x v="2"/>
    <x v="2"/>
    <s v="No major surgery"/>
    <x v="1"/>
    <x v="3"/>
    <x v="3"/>
    <m/>
    <x v="77"/>
    <x v="3"/>
    <m/>
    <x v="3"/>
    <x v="13"/>
  </r>
  <r>
    <s v="Id1365"/>
    <s v="Bettina"/>
    <x v="730"/>
    <x v="199"/>
    <m/>
    <x v="2"/>
    <x v="2"/>
    <n v="1"/>
    <x v="1"/>
    <x v="3"/>
    <x v="3"/>
    <m/>
    <x v="77"/>
    <x v="3"/>
    <m/>
    <x v="3"/>
    <x v="13"/>
  </r>
  <r>
    <s v="Id1364"/>
    <s v="Alexander"/>
    <x v="731"/>
    <x v="508"/>
    <m/>
    <x v="2"/>
    <x v="2"/>
    <n v="1"/>
    <x v="1"/>
    <x v="3"/>
    <x v="3"/>
    <m/>
    <x v="77"/>
    <x v="3"/>
    <m/>
    <x v="3"/>
    <x v="13"/>
  </r>
  <r>
    <s v="Id1363"/>
    <s v="Holli"/>
    <x v="732"/>
    <x v="99"/>
    <m/>
    <x v="2"/>
    <x v="2"/>
    <n v="2"/>
    <x v="1"/>
    <x v="3"/>
    <x v="3"/>
    <m/>
    <x v="77"/>
    <x v="3"/>
    <m/>
    <x v="3"/>
    <x v="13"/>
  </r>
  <r>
    <s v="Id1362"/>
    <s v="Heather C"/>
    <x v="733"/>
    <x v="3"/>
    <m/>
    <x v="2"/>
    <x v="2"/>
    <n v="1"/>
    <x v="1"/>
    <x v="3"/>
    <x v="3"/>
    <m/>
    <x v="77"/>
    <x v="3"/>
    <m/>
    <x v="3"/>
    <x v="13"/>
  </r>
  <r>
    <s v="Id1361"/>
    <s v="Kyle"/>
    <x v="659"/>
    <x v="245"/>
    <m/>
    <x v="2"/>
    <x v="2"/>
    <n v="1"/>
    <x v="1"/>
    <x v="3"/>
    <x v="3"/>
    <m/>
    <x v="77"/>
    <x v="3"/>
    <m/>
    <x v="3"/>
    <x v="13"/>
  </r>
  <r>
    <s v="Id1360"/>
    <s v="Thomas J"/>
    <x v="61"/>
    <x v="208"/>
    <m/>
    <x v="2"/>
    <x v="2"/>
    <n v="1"/>
    <x v="1"/>
    <x v="3"/>
    <x v="3"/>
    <m/>
    <x v="77"/>
    <x v="3"/>
    <m/>
    <x v="3"/>
    <x v="13"/>
  </r>
  <r>
    <s v="Id1359"/>
    <s v="Chris"/>
    <x v="697"/>
    <x v="324"/>
    <m/>
    <x v="2"/>
    <x v="2"/>
    <n v="1"/>
    <x v="1"/>
    <x v="3"/>
    <x v="3"/>
    <m/>
    <x v="77"/>
    <x v="3"/>
    <m/>
    <x v="3"/>
    <x v="13"/>
  </r>
  <r>
    <s v="Id1358"/>
    <s v="Graham"/>
    <x v="734"/>
    <x v="521"/>
    <m/>
    <x v="2"/>
    <x v="2"/>
    <s v="No major surgery"/>
    <x v="1"/>
    <x v="3"/>
    <x v="3"/>
    <m/>
    <x v="77"/>
    <x v="3"/>
    <m/>
    <x v="3"/>
    <x v="13"/>
  </r>
  <r>
    <s v="Id1357"/>
    <s v="Garrett"/>
    <x v="735"/>
    <x v="379"/>
    <m/>
    <x v="2"/>
    <x v="2"/>
    <s v="No major surgery"/>
    <x v="1"/>
    <x v="3"/>
    <x v="3"/>
    <m/>
    <x v="77"/>
    <x v="3"/>
    <m/>
    <x v="3"/>
    <x v="13"/>
  </r>
  <r>
    <s v="Id1356"/>
    <s v="Andrew"/>
    <x v="736"/>
    <x v="332"/>
    <m/>
    <x v="2"/>
    <x v="2"/>
    <n v="1"/>
    <x v="1"/>
    <x v="3"/>
    <x v="3"/>
    <m/>
    <x v="77"/>
    <x v="3"/>
    <m/>
    <x v="3"/>
    <x v="13"/>
  </r>
  <r>
    <s v="Id1355"/>
    <s v="Annabelle M"/>
    <x v="737"/>
    <x v="502"/>
    <m/>
    <x v="2"/>
    <x v="2"/>
    <s v="No major surgery"/>
    <x v="1"/>
    <x v="3"/>
    <x v="3"/>
    <m/>
    <x v="77"/>
    <x v="3"/>
    <m/>
    <x v="3"/>
    <x v="13"/>
  </r>
  <r>
    <s v="Id1354"/>
    <s v="Daniel T."/>
    <x v="738"/>
    <x v="92"/>
    <m/>
    <x v="2"/>
    <x v="2"/>
    <s v="No major surgery"/>
    <x v="1"/>
    <x v="3"/>
    <x v="3"/>
    <m/>
    <x v="77"/>
    <x v="3"/>
    <m/>
    <x v="3"/>
    <x v="13"/>
  </r>
  <r>
    <s v="Id1353"/>
    <s v="Deanne"/>
    <x v="414"/>
    <x v="488"/>
    <m/>
    <x v="2"/>
    <x v="2"/>
    <s v="No major surgery"/>
    <x v="1"/>
    <x v="3"/>
    <x v="3"/>
    <m/>
    <x v="77"/>
    <x v="3"/>
    <m/>
    <x v="3"/>
    <x v="13"/>
  </r>
  <r>
    <s v="Id1352"/>
    <s v="Carrie"/>
    <x v="739"/>
    <x v="522"/>
    <m/>
    <x v="2"/>
    <x v="2"/>
    <n v="1"/>
    <x v="1"/>
    <x v="3"/>
    <x v="3"/>
    <m/>
    <x v="77"/>
    <x v="3"/>
    <m/>
    <x v="3"/>
    <x v="13"/>
  </r>
  <r>
    <s v="Id1351"/>
    <s v="Suzanne"/>
    <x v="740"/>
    <x v="523"/>
    <m/>
    <x v="2"/>
    <x v="2"/>
    <n v="1"/>
    <x v="1"/>
    <x v="3"/>
    <x v="3"/>
    <m/>
    <x v="77"/>
    <x v="3"/>
    <m/>
    <x v="3"/>
    <x v="13"/>
  </r>
  <r>
    <s v="Id1350"/>
    <s v="Jasmine P."/>
    <x v="741"/>
    <x v="524"/>
    <m/>
    <x v="2"/>
    <x v="2"/>
    <n v="1"/>
    <x v="1"/>
    <x v="3"/>
    <x v="3"/>
    <m/>
    <x v="77"/>
    <x v="3"/>
    <m/>
    <x v="3"/>
    <x v="13"/>
  </r>
  <r>
    <s v="Id1349"/>
    <m/>
    <x v="742"/>
    <x v="525"/>
    <m/>
    <x v="2"/>
    <x v="2"/>
    <s v="No major surgery"/>
    <x v="1"/>
    <x v="3"/>
    <x v="3"/>
    <m/>
    <x v="77"/>
    <x v="3"/>
    <m/>
    <x v="3"/>
    <x v="13"/>
  </r>
  <r>
    <s v="Id1348"/>
    <m/>
    <x v="742"/>
    <x v="525"/>
    <m/>
    <x v="2"/>
    <x v="2"/>
    <n v="2"/>
    <x v="1"/>
    <x v="3"/>
    <x v="3"/>
    <m/>
    <x v="77"/>
    <x v="3"/>
    <m/>
    <x v="3"/>
    <x v="13"/>
  </r>
  <r>
    <s v="Id1347"/>
    <m/>
    <x v="742"/>
    <x v="525"/>
    <m/>
    <x v="2"/>
    <x v="2"/>
    <n v="1"/>
    <x v="1"/>
    <x v="3"/>
    <x v="3"/>
    <m/>
    <x v="77"/>
    <x v="3"/>
    <m/>
    <x v="3"/>
    <x v="13"/>
  </r>
  <r>
    <s v="Id1346"/>
    <m/>
    <x v="742"/>
    <x v="525"/>
    <m/>
    <x v="2"/>
    <x v="2"/>
    <n v="2"/>
    <x v="1"/>
    <x v="3"/>
    <x v="3"/>
    <m/>
    <x v="77"/>
    <x v="3"/>
    <m/>
    <x v="3"/>
    <x v="13"/>
  </r>
  <r>
    <s v="Id1345"/>
    <m/>
    <x v="742"/>
    <x v="525"/>
    <m/>
    <x v="2"/>
    <x v="2"/>
    <s v="No major surgery"/>
    <x v="1"/>
    <x v="3"/>
    <x v="3"/>
    <m/>
    <x v="77"/>
    <x v="3"/>
    <m/>
    <x v="3"/>
    <x v="13"/>
  </r>
  <r>
    <s v="Id1344"/>
    <m/>
    <x v="742"/>
    <x v="525"/>
    <m/>
    <x v="2"/>
    <x v="2"/>
    <n v="1"/>
    <x v="1"/>
    <x v="3"/>
    <x v="3"/>
    <m/>
    <x v="77"/>
    <x v="3"/>
    <m/>
    <x v="3"/>
    <x v="13"/>
  </r>
  <r>
    <s v="Id1343"/>
    <m/>
    <x v="742"/>
    <x v="525"/>
    <m/>
    <x v="2"/>
    <x v="2"/>
    <s v="No major surgery"/>
    <x v="1"/>
    <x v="3"/>
    <x v="3"/>
    <m/>
    <x v="77"/>
    <x v="3"/>
    <m/>
    <x v="3"/>
    <x v="13"/>
  </r>
  <r>
    <s v="Id1342"/>
    <m/>
    <x v="742"/>
    <x v="525"/>
    <m/>
    <x v="2"/>
    <x v="2"/>
    <n v="1"/>
    <x v="1"/>
    <x v="3"/>
    <x v="3"/>
    <m/>
    <x v="77"/>
    <x v="3"/>
    <m/>
    <x v="3"/>
    <x v="13"/>
  </r>
  <r>
    <s v="Id1341"/>
    <m/>
    <x v="742"/>
    <x v="525"/>
    <m/>
    <x v="2"/>
    <x v="2"/>
    <s v="No major surgery"/>
    <x v="1"/>
    <x v="3"/>
    <x v="3"/>
    <m/>
    <x v="77"/>
    <x v="3"/>
    <m/>
    <x v="3"/>
    <x v="13"/>
  </r>
  <r>
    <s v="Id1340"/>
    <m/>
    <x v="742"/>
    <x v="525"/>
    <m/>
    <x v="2"/>
    <x v="2"/>
    <n v="1"/>
    <x v="1"/>
    <x v="3"/>
    <x v="3"/>
    <m/>
    <x v="77"/>
    <x v="3"/>
    <m/>
    <x v="3"/>
    <x v="13"/>
  </r>
  <r>
    <s v="Id1339"/>
    <m/>
    <x v="742"/>
    <x v="525"/>
    <m/>
    <x v="2"/>
    <x v="2"/>
    <s v="No major surgery"/>
    <x v="1"/>
    <x v="3"/>
    <x v="3"/>
    <m/>
    <x v="77"/>
    <x v="3"/>
    <m/>
    <x v="3"/>
    <x v="13"/>
  </r>
  <r>
    <s v="Id1338"/>
    <m/>
    <x v="742"/>
    <x v="525"/>
    <m/>
    <x v="2"/>
    <x v="2"/>
    <n v="1"/>
    <x v="1"/>
    <x v="3"/>
    <x v="3"/>
    <m/>
    <x v="77"/>
    <x v="3"/>
    <m/>
    <x v="3"/>
    <x v="13"/>
  </r>
  <r>
    <s v="Id1337"/>
    <m/>
    <x v="742"/>
    <x v="525"/>
    <m/>
    <x v="2"/>
    <x v="2"/>
    <s v="No major surgery"/>
    <x v="1"/>
    <x v="3"/>
    <x v="3"/>
    <m/>
    <x v="77"/>
    <x v="3"/>
    <m/>
    <x v="3"/>
    <x v="13"/>
  </r>
  <r>
    <s v="Id1336"/>
    <m/>
    <x v="742"/>
    <x v="525"/>
    <m/>
    <x v="2"/>
    <x v="2"/>
    <n v="2"/>
    <x v="1"/>
    <x v="3"/>
    <x v="3"/>
    <m/>
    <x v="77"/>
    <x v="3"/>
    <m/>
    <x v="3"/>
    <x v="13"/>
  </r>
  <r>
    <s v="Id1335"/>
    <m/>
    <x v="742"/>
    <x v="525"/>
    <m/>
    <x v="2"/>
    <x v="2"/>
    <n v="2"/>
    <x v="1"/>
    <x v="3"/>
    <x v="3"/>
    <m/>
    <x v="77"/>
    <x v="3"/>
    <m/>
    <x v="3"/>
    <x v="13"/>
  </r>
  <r>
    <s v="Id1334"/>
    <m/>
    <x v="742"/>
    <x v="525"/>
    <m/>
    <x v="2"/>
    <x v="2"/>
    <n v="2"/>
    <x v="1"/>
    <x v="3"/>
    <x v="3"/>
    <m/>
    <x v="77"/>
    <x v="3"/>
    <m/>
    <x v="3"/>
    <x v="13"/>
  </r>
  <r>
    <s v="Id1333"/>
    <m/>
    <x v="742"/>
    <x v="525"/>
    <m/>
    <x v="2"/>
    <x v="2"/>
    <n v="1"/>
    <x v="1"/>
    <x v="3"/>
    <x v="3"/>
    <m/>
    <x v="77"/>
    <x v="3"/>
    <m/>
    <x v="3"/>
    <x v="13"/>
  </r>
  <r>
    <s v="Id1332"/>
    <m/>
    <x v="742"/>
    <x v="525"/>
    <m/>
    <x v="2"/>
    <x v="2"/>
    <n v="1"/>
    <x v="1"/>
    <x v="3"/>
    <x v="3"/>
    <m/>
    <x v="77"/>
    <x v="3"/>
    <m/>
    <x v="3"/>
    <x v="13"/>
  </r>
  <r>
    <s v="Id1331"/>
    <m/>
    <x v="742"/>
    <x v="525"/>
    <m/>
    <x v="2"/>
    <x v="2"/>
    <s v="No major surgery"/>
    <x v="1"/>
    <x v="3"/>
    <x v="3"/>
    <m/>
    <x v="77"/>
    <x v="3"/>
    <m/>
    <x v="3"/>
    <x v="13"/>
  </r>
  <r>
    <s v="Id1330"/>
    <m/>
    <x v="742"/>
    <x v="525"/>
    <m/>
    <x v="2"/>
    <x v="2"/>
    <n v="2"/>
    <x v="1"/>
    <x v="3"/>
    <x v="3"/>
    <m/>
    <x v="77"/>
    <x v="3"/>
    <m/>
    <x v="3"/>
    <x v="13"/>
  </r>
  <r>
    <s v="Id1329"/>
    <m/>
    <x v="742"/>
    <x v="525"/>
    <m/>
    <x v="2"/>
    <x v="2"/>
    <n v="2"/>
    <x v="1"/>
    <x v="3"/>
    <x v="3"/>
    <m/>
    <x v="77"/>
    <x v="3"/>
    <m/>
    <x v="3"/>
    <x v="13"/>
  </r>
  <r>
    <s v="Id1328"/>
    <m/>
    <x v="742"/>
    <x v="525"/>
    <m/>
    <x v="2"/>
    <x v="2"/>
    <n v="2"/>
    <x v="1"/>
    <x v="3"/>
    <x v="3"/>
    <m/>
    <x v="77"/>
    <x v="3"/>
    <m/>
    <x v="3"/>
    <x v="13"/>
  </r>
  <r>
    <s v="Id1327"/>
    <m/>
    <x v="742"/>
    <x v="525"/>
    <m/>
    <x v="2"/>
    <x v="2"/>
    <s v="No major surgery"/>
    <x v="1"/>
    <x v="3"/>
    <x v="3"/>
    <m/>
    <x v="77"/>
    <x v="3"/>
    <m/>
    <x v="3"/>
    <x v="13"/>
  </r>
  <r>
    <s v="Id1326"/>
    <m/>
    <x v="742"/>
    <x v="525"/>
    <m/>
    <x v="2"/>
    <x v="2"/>
    <n v="2"/>
    <x v="1"/>
    <x v="3"/>
    <x v="3"/>
    <m/>
    <x v="77"/>
    <x v="3"/>
    <m/>
    <x v="3"/>
    <x v="13"/>
  </r>
  <r>
    <s v="Id1325"/>
    <m/>
    <x v="742"/>
    <x v="525"/>
    <m/>
    <x v="2"/>
    <x v="2"/>
    <n v="2"/>
    <x v="1"/>
    <x v="3"/>
    <x v="3"/>
    <m/>
    <x v="77"/>
    <x v="3"/>
    <m/>
    <x v="3"/>
    <x v="13"/>
  </r>
  <r>
    <s v="Id1324"/>
    <m/>
    <x v="742"/>
    <x v="525"/>
    <m/>
    <x v="2"/>
    <x v="2"/>
    <s v="No major surgery"/>
    <x v="1"/>
    <x v="3"/>
    <x v="3"/>
    <m/>
    <x v="77"/>
    <x v="3"/>
    <m/>
    <x v="3"/>
    <x v="13"/>
  </r>
  <r>
    <s v="Id1323"/>
    <m/>
    <x v="742"/>
    <x v="525"/>
    <m/>
    <x v="2"/>
    <x v="2"/>
    <n v="2"/>
    <x v="1"/>
    <x v="3"/>
    <x v="3"/>
    <m/>
    <x v="77"/>
    <x v="3"/>
    <m/>
    <x v="3"/>
    <x v="13"/>
  </r>
  <r>
    <s v="Id1322"/>
    <m/>
    <x v="742"/>
    <x v="525"/>
    <m/>
    <x v="2"/>
    <x v="2"/>
    <s v="No major surgery"/>
    <x v="1"/>
    <x v="3"/>
    <x v="3"/>
    <m/>
    <x v="77"/>
    <x v="3"/>
    <m/>
    <x v="3"/>
    <x v="13"/>
  </r>
  <r>
    <s v="Id1321"/>
    <m/>
    <x v="742"/>
    <x v="525"/>
    <m/>
    <x v="2"/>
    <x v="2"/>
    <s v="No major surgery"/>
    <x v="1"/>
    <x v="3"/>
    <x v="3"/>
    <m/>
    <x v="77"/>
    <x v="3"/>
    <m/>
    <x v="3"/>
    <x v="13"/>
  </r>
  <r>
    <s v="Id1320"/>
    <m/>
    <x v="742"/>
    <x v="525"/>
    <m/>
    <x v="2"/>
    <x v="2"/>
    <s v="No major surgery"/>
    <x v="1"/>
    <x v="3"/>
    <x v="3"/>
    <m/>
    <x v="77"/>
    <x v="3"/>
    <m/>
    <x v="3"/>
    <x v="13"/>
  </r>
  <r>
    <s v="Id1319"/>
    <m/>
    <x v="742"/>
    <x v="525"/>
    <m/>
    <x v="2"/>
    <x v="2"/>
    <s v="No major surgery"/>
    <x v="1"/>
    <x v="3"/>
    <x v="3"/>
    <m/>
    <x v="77"/>
    <x v="3"/>
    <m/>
    <x v="3"/>
    <x v="13"/>
  </r>
  <r>
    <s v="Id1318"/>
    <m/>
    <x v="742"/>
    <x v="525"/>
    <m/>
    <x v="2"/>
    <x v="2"/>
    <s v="No major surgery"/>
    <x v="1"/>
    <x v="3"/>
    <x v="3"/>
    <m/>
    <x v="77"/>
    <x v="3"/>
    <m/>
    <x v="3"/>
    <x v="13"/>
  </r>
  <r>
    <s v="Id1317"/>
    <m/>
    <x v="742"/>
    <x v="525"/>
    <m/>
    <x v="2"/>
    <x v="2"/>
    <s v="No major surgery"/>
    <x v="1"/>
    <x v="3"/>
    <x v="3"/>
    <m/>
    <x v="77"/>
    <x v="3"/>
    <m/>
    <x v="3"/>
    <x v="13"/>
  </r>
  <r>
    <s v="Id1316"/>
    <m/>
    <x v="742"/>
    <x v="525"/>
    <m/>
    <x v="2"/>
    <x v="2"/>
    <s v="No major surgery"/>
    <x v="1"/>
    <x v="3"/>
    <x v="3"/>
    <m/>
    <x v="77"/>
    <x v="3"/>
    <m/>
    <x v="3"/>
    <x v="13"/>
  </r>
  <r>
    <s v="Id1315"/>
    <m/>
    <x v="742"/>
    <x v="525"/>
    <m/>
    <x v="2"/>
    <x v="2"/>
    <s v="No major surgery"/>
    <x v="1"/>
    <x v="3"/>
    <x v="3"/>
    <m/>
    <x v="77"/>
    <x v="3"/>
    <m/>
    <x v="3"/>
    <x v="13"/>
  </r>
  <r>
    <s v="Id1314"/>
    <m/>
    <x v="742"/>
    <x v="525"/>
    <m/>
    <x v="2"/>
    <x v="2"/>
    <n v="2"/>
    <x v="1"/>
    <x v="3"/>
    <x v="3"/>
    <m/>
    <x v="77"/>
    <x v="3"/>
    <m/>
    <x v="3"/>
    <x v="13"/>
  </r>
  <r>
    <s v="Id1313"/>
    <m/>
    <x v="742"/>
    <x v="525"/>
    <m/>
    <x v="2"/>
    <x v="2"/>
    <s v="No major surgery"/>
    <x v="1"/>
    <x v="3"/>
    <x v="3"/>
    <m/>
    <x v="77"/>
    <x v="3"/>
    <m/>
    <x v="3"/>
    <x v="13"/>
  </r>
  <r>
    <s v="Id1312"/>
    <m/>
    <x v="742"/>
    <x v="525"/>
    <m/>
    <x v="2"/>
    <x v="2"/>
    <n v="2"/>
    <x v="1"/>
    <x v="3"/>
    <x v="3"/>
    <m/>
    <x v="77"/>
    <x v="3"/>
    <m/>
    <x v="3"/>
    <x v="13"/>
  </r>
  <r>
    <s v="Id1311"/>
    <m/>
    <x v="742"/>
    <x v="525"/>
    <m/>
    <x v="2"/>
    <x v="2"/>
    <n v="2"/>
    <x v="1"/>
    <x v="3"/>
    <x v="3"/>
    <m/>
    <x v="77"/>
    <x v="3"/>
    <m/>
    <x v="3"/>
    <x v="13"/>
  </r>
  <r>
    <s v="Id1310"/>
    <m/>
    <x v="742"/>
    <x v="525"/>
    <m/>
    <x v="2"/>
    <x v="2"/>
    <s v="No major surgery"/>
    <x v="1"/>
    <x v="3"/>
    <x v="3"/>
    <m/>
    <x v="77"/>
    <x v="3"/>
    <m/>
    <x v="3"/>
    <x v="13"/>
  </r>
  <r>
    <s v="Id1309"/>
    <m/>
    <x v="742"/>
    <x v="525"/>
    <m/>
    <x v="2"/>
    <x v="2"/>
    <n v="1"/>
    <x v="1"/>
    <x v="3"/>
    <x v="3"/>
    <m/>
    <x v="77"/>
    <x v="3"/>
    <m/>
    <x v="3"/>
    <x v="13"/>
  </r>
  <r>
    <s v="Id1308"/>
    <m/>
    <x v="742"/>
    <x v="525"/>
    <m/>
    <x v="2"/>
    <x v="2"/>
    <s v="No major surgery"/>
    <x v="1"/>
    <x v="3"/>
    <x v="3"/>
    <m/>
    <x v="77"/>
    <x v="3"/>
    <m/>
    <x v="3"/>
    <x v="13"/>
  </r>
  <r>
    <s v="Id1307"/>
    <m/>
    <x v="742"/>
    <x v="525"/>
    <m/>
    <x v="2"/>
    <x v="2"/>
    <n v="1"/>
    <x v="1"/>
    <x v="3"/>
    <x v="3"/>
    <m/>
    <x v="77"/>
    <x v="3"/>
    <m/>
    <x v="3"/>
    <x v="13"/>
  </r>
  <r>
    <s v="Id1306"/>
    <m/>
    <x v="742"/>
    <x v="525"/>
    <m/>
    <x v="2"/>
    <x v="2"/>
    <s v="No major surgery"/>
    <x v="1"/>
    <x v="3"/>
    <x v="3"/>
    <m/>
    <x v="77"/>
    <x v="3"/>
    <m/>
    <x v="3"/>
    <x v="13"/>
  </r>
  <r>
    <s v="Id1305"/>
    <m/>
    <x v="742"/>
    <x v="525"/>
    <m/>
    <x v="2"/>
    <x v="2"/>
    <s v="No major surgery"/>
    <x v="1"/>
    <x v="3"/>
    <x v="3"/>
    <m/>
    <x v="77"/>
    <x v="3"/>
    <m/>
    <x v="3"/>
    <x v="13"/>
  </r>
  <r>
    <s v="Id1304"/>
    <m/>
    <x v="742"/>
    <x v="525"/>
    <m/>
    <x v="2"/>
    <x v="2"/>
    <s v="No major surgery"/>
    <x v="1"/>
    <x v="3"/>
    <x v="3"/>
    <m/>
    <x v="77"/>
    <x v="3"/>
    <m/>
    <x v="3"/>
    <x v="13"/>
  </r>
  <r>
    <s v="Id1303"/>
    <m/>
    <x v="742"/>
    <x v="525"/>
    <m/>
    <x v="2"/>
    <x v="2"/>
    <s v="No major surgery"/>
    <x v="1"/>
    <x v="3"/>
    <x v="3"/>
    <m/>
    <x v="77"/>
    <x v="3"/>
    <m/>
    <x v="3"/>
    <x v="13"/>
  </r>
  <r>
    <s v="Id1302"/>
    <m/>
    <x v="742"/>
    <x v="525"/>
    <m/>
    <x v="2"/>
    <x v="2"/>
    <s v="No major surgery"/>
    <x v="1"/>
    <x v="3"/>
    <x v="3"/>
    <m/>
    <x v="77"/>
    <x v="3"/>
    <m/>
    <x v="3"/>
    <x v="13"/>
  </r>
  <r>
    <s v="Id1301"/>
    <m/>
    <x v="742"/>
    <x v="525"/>
    <m/>
    <x v="2"/>
    <x v="2"/>
    <s v="No major surgery"/>
    <x v="1"/>
    <x v="3"/>
    <x v="3"/>
    <m/>
    <x v="77"/>
    <x v="3"/>
    <m/>
    <x v="3"/>
    <x v="13"/>
  </r>
  <r>
    <s v="Id1300"/>
    <m/>
    <x v="742"/>
    <x v="525"/>
    <m/>
    <x v="2"/>
    <x v="2"/>
    <n v="2"/>
    <x v="1"/>
    <x v="3"/>
    <x v="3"/>
    <m/>
    <x v="77"/>
    <x v="3"/>
    <m/>
    <x v="3"/>
    <x v="13"/>
  </r>
  <r>
    <s v="Id1299"/>
    <m/>
    <x v="742"/>
    <x v="525"/>
    <m/>
    <x v="2"/>
    <x v="2"/>
    <n v="2"/>
    <x v="1"/>
    <x v="3"/>
    <x v="3"/>
    <m/>
    <x v="77"/>
    <x v="3"/>
    <m/>
    <x v="3"/>
    <x v="13"/>
  </r>
  <r>
    <s v="Id1298"/>
    <m/>
    <x v="742"/>
    <x v="525"/>
    <m/>
    <x v="2"/>
    <x v="2"/>
    <s v="No major surgery"/>
    <x v="1"/>
    <x v="3"/>
    <x v="3"/>
    <m/>
    <x v="77"/>
    <x v="3"/>
    <m/>
    <x v="3"/>
    <x v="13"/>
  </r>
  <r>
    <s v="Id1297"/>
    <m/>
    <x v="742"/>
    <x v="525"/>
    <m/>
    <x v="2"/>
    <x v="2"/>
    <s v="No major surgery"/>
    <x v="1"/>
    <x v="3"/>
    <x v="3"/>
    <m/>
    <x v="77"/>
    <x v="3"/>
    <m/>
    <x v="3"/>
    <x v="13"/>
  </r>
  <r>
    <s v="Id1296"/>
    <m/>
    <x v="742"/>
    <x v="525"/>
    <m/>
    <x v="2"/>
    <x v="2"/>
    <s v="No major surgery"/>
    <x v="1"/>
    <x v="3"/>
    <x v="3"/>
    <m/>
    <x v="77"/>
    <x v="3"/>
    <m/>
    <x v="3"/>
    <x v="13"/>
  </r>
  <r>
    <s v="Id1295"/>
    <m/>
    <x v="742"/>
    <x v="525"/>
    <m/>
    <x v="2"/>
    <x v="2"/>
    <s v="No major surgery"/>
    <x v="1"/>
    <x v="3"/>
    <x v="3"/>
    <m/>
    <x v="77"/>
    <x v="3"/>
    <m/>
    <x v="3"/>
    <x v="13"/>
  </r>
  <r>
    <s v="Id1294"/>
    <m/>
    <x v="742"/>
    <x v="525"/>
    <m/>
    <x v="2"/>
    <x v="2"/>
    <n v="1"/>
    <x v="1"/>
    <x v="3"/>
    <x v="3"/>
    <m/>
    <x v="77"/>
    <x v="3"/>
    <m/>
    <x v="3"/>
    <x v="13"/>
  </r>
  <r>
    <s v="Id1293"/>
    <m/>
    <x v="742"/>
    <x v="525"/>
    <m/>
    <x v="2"/>
    <x v="2"/>
    <s v="No major surgery"/>
    <x v="1"/>
    <x v="3"/>
    <x v="3"/>
    <m/>
    <x v="77"/>
    <x v="3"/>
    <m/>
    <x v="3"/>
    <x v="13"/>
  </r>
  <r>
    <s v="Id1292"/>
    <m/>
    <x v="742"/>
    <x v="525"/>
    <m/>
    <x v="2"/>
    <x v="2"/>
    <n v="1"/>
    <x v="1"/>
    <x v="3"/>
    <x v="3"/>
    <m/>
    <x v="77"/>
    <x v="3"/>
    <m/>
    <x v="3"/>
    <x v="13"/>
  </r>
  <r>
    <s v="Id1291"/>
    <m/>
    <x v="742"/>
    <x v="525"/>
    <m/>
    <x v="2"/>
    <x v="2"/>
    <s v="No major surgery"/>
    <x v="1"/>
    <x v="3"/>
    <x v="3"/>
    <m/>
    <x v="77"/>
    <x v="3"/>
    <m/>
    <x v="3"/>
    <x v="13"/>
  </r>
  <r>
    <s v="Id1290"/>
    <m/>
    <x v="742"/>
    <x v="525"/>
    <m/>
    <x v="2"/>
    <x v="2"/>
    <s v="No major surgery"/>
    <x v="1"/>
    <x v="3"/>
    <x v="3"/>
    <m/>
    <x v="77"/>
    <x v="3"/>
    <m/>
    <x v="3"/>
    <x v="13"/>
  </r>
  <r>
    <s v="Id1289"/>
    <m/>
    <x v="742"/>
    <x v="525"/>
    <m/>
    <x v="2"/>
    <x v="2"/>
    <n v="2"/>
    <x v="1"/>
    <x v="3"/>
    <x v="3"/>
    <m/>
    <x v="77"/>
    <x v="3"/>
    <m/>
    <x v="3"/>
    <x v="13"/>
  </r>
  <r>
    <s v="Id1288"/>
    <m/>
    <x v="742"/>
    <x v="525"/>
    <m/>
    <x v="2"/>
    <x v="2"/>
    <s v="No major surgery"/>
    <x v="1"/>
    <x v="3"/>
    <x v="3"/>
    <m/>
    <x v="77"/>
    <x v="3"/>
    <m/>
    <x v="3"/>
    <x v="13"/>
  </r>
  <r>
    <s v="Id1287"/>
    <m/>
    <x v="742"/>
    <x v="525"/>
    <m/>
    <x v="2"/>
    <x v="2"/>
    <s v="No major surgery"/>
    <x v="1"/>
    <x v="3"/>
    <x v="3"/>
    <m/>
    <x v="77"/>
    <x v="3"/>
    <m/>
    <x v="3"/>
    <x v="13"/>
  </r>
  <r>
    <s v="Id1286"/>
    <m/>
    <x v="742"/>
    <x v="525"/>
    <m/>
    <x v="2"/>
    <x v="2"/>
    <s v="No major surgery"/>
    <x v="1"/>
    <x v="3"/>
    <x v="3"/>
    <m/>
    <x v="77"/>
    <x v="3"/>
    <m/>
    <x v="3"/>
    <x v="13"/>
  </r>
  <r>
    <s v="Id1285"/>
    <m/>
    <x v="742"/>
    <x v="525"/>
    <m/>
    <x v="2"/>
    <x v="2"/>
    <s v="No major surgery"/>
    <x v="1"/>
    <x v="3"/>
    <x v="3"/>
    <m/>
    <x v="77"/>
    <x v="3"/>
    <m/>
    <x v="3"/>
    <x v="13"/>
  </r>
  <r>
    <s v="Id1284"/>
    <m/>
    <x v="742"/>
    <x v="525"/>
    <m/>
    <x v="2"/>
    <x v="2"/>
    <n v="1"/>
    <x v="1"/>
    <x v="3"/>
    <x v="3"/>
    <m/>
    <x v="77"/>
    <x v="3"/>
    <m/>
    <x v="3"/>
    <x v="13"/>
  </r>
  <r>
    <s v="Id1283"/>
    <m/>
    <x v="742"/>
    <x v="525"/>
    <m/>
    <x v="2"/>
    <x v="2"/>
    <s v="No major surgery"/>
    <x v="1"/>
    <x v="3"/>
    <x v="3"/>
    <m/>
    <x v="77"/>
    <x v="3"/>
    <m/>
    <x v="3"/>
    <x v="13"/>
  </r>
  <r>
    <s v="Id1282"/>
    <m/>
    <x v="742"/>
    <x v="525"/>
    <m/>
    <x v="2"/>
    <x v="2"/>
    <n v="1"/>
    <x v="1"/>
    <x v="3"/>
    <x v="3"/>
    <m/>
    <x v="77"/>
    <x v="3"/>
    <m/>
    <x v="3"/>
    <x v="13"/>
  </r>
  <r>
    <s v="Id1281"/>
    <m/>
    <x v="742"/>
    <x v="525"/>
    <m/>
    <x v="2"/>
    <x v="2"/>
    <s v="No major surgery"/>
    <x v="1"/>
    <x v="3"/>
    <x v="3"/>
    <m/>
    <x v="77"/>
    <x v="3"/>
    <m/>
    <x v="3"/>
    <x v="13"/>
  </r>
  <r>
    <s v="Id1280"/>
    <m/>
    <x v="742"/>
    <x v="525"/>
    <m/>
    <x v="2"/>
    <x v="2"/>
    <n v="2"/>
    <x v="1"/>
    <x v="3"/>
    <x v="3"/>
    <m/>
    <x v="77"/>
    <x v="3"/>
    <m/>
    <x v="3"/>
    <x v="13"/>
  </r>
  <r>
    <s v="Id1279"/>
    <m/>
    <x v="742"/>
    <x v="525"/>
    <m/>
    <x v="2"/>
    <x v="2"/>
    <s v="No major surgery"/>
    <x v="1"/>
    <x v="3"/>
    <x v="3"/>
    <m/>
    <x v="77"/>
    <x v="3"/>
    <m/>
    <x v="3"/>
    <x v="13"/>
  </r>
  <r>
    <s v="Id1278"/>
    <m/>
    <x v="742"/>
    <x v="525"/>
    <m/>
    <x v="2"/>
    <x v="2"/>
    <n v="2"/>
    <x v="1"/>
    <x v="3"/>
    <x v="3"/>
    <m/>
    <x v="77"/>
    <x v="3"/>
    <m/>
    <x v="3"/>
    <x v="13"/>
  </r>
  <r>
    <s v="Id1277"/>
    <m/>
    <x v="742"/>
    <x v="525"/>
    <m/>
    <x v="2"/>
    <x v="2"/>
    <n v="2"/>
    <x v="1"/>
    <x v="3"/>
    <x v="3"/>
    <m/>
    <x v="77"/>
    <x v="3"/>
    <m/>
    <x v="3"/>
    <x v="13"/>
  </r>
  <r>
    <s v="Id1276"/>
    <m/>
    <x v="742"/>
    <x v="525"/>
    <m/>
    <x v="2"/>
    <x v="2"/>
    <s v="No major surgery"/>
    <x v="1"/>
    <x v="3"/>
    <x v="3"/>
    <m/>
    <x v="77"/>
    <x v="3"/>
    <m/>
    <x v="3"/>
    <x v="13"/>
  </r>
  <r>
    <s v="Id1275"/>
    <m/>
    <x v="742"/>
    <x v="525"/>
    <m/>
    <x v="2"/>
    <x v="2"/>
    <n v="2"/>
    <x v="1"/>
    <x v="3"/>
    <x v="3"/>
    <m/>
    <x v="77"/>
    <x v="3"/>
    <m/>
    <x v="3"/>
    <x v="13"/>
  </r>
  <r>
    <s v="Id1274"/>
    <m/>
    <x v="742"/>
    <x v="525"/>
    <m/>
    <x v="2"/>
    <x v="2"/>
    <n v="1"/>
    <x v="1"/>
    <x v="3"/>
    <x v="3"/>
    <m/>
    <x v="77"/>
    <x v="3"/>
    <m/>
    <x v="3"/>
    <x v="13"/>
  </r>
  <r>
    <s v="Id1273"/>
    <m/>
    <x v="742"/>
    <x v="525"/>
    <m/>
    <x v="2"/>
    <x v="2"/>
    <n v="2"/>
    <x v="1"/>
    <x v="3"/>
    <x v="3"/>
    <m/>
    <x v="77"/>
    <x v="3"/>
    <m/>
    <x v="3"/>
    <x v="13"/>
  </r>
  <r>
    <s v="Id1272"/>
    <m/>
    <x v="742"/>
    <x v="525"/>
    <m/>
    <x v="2"/>
    <x v="2"/>
    <n v="1"/>
    <x v="1"/>
    <x v="3"/>
    <x v="3"/>
    <m/>
    <x v="77"/>
    <x v="3"/>
    <m/>
    <x v="3"/>
    <x v="13"/>
  </r>
  <r>
    <s v="Id1271"/>
    <m/>
    <x v="742"/>
    <x v="525"/>
    <m/>
    <x v="2"/>
    <x v="2"/>
    <s v="No major surgery"/>
    <x v="1"/>
    <x v="3"/>
    <x v="3"/>
    <m/>
    <x v="77"/>
    <x v="3"/>
    <m/>
    <x v="3"/>
    <x v="13"/>
  </r>
  <r>
    <s v="Id1270"/>
    <m/>
    <x v="742"/>
    <x v="525"/>
    <m/>
    <x v="2"/>
    <x v="2"/>
    <s v="No major surgery"/>
    <x v="1"/>
    <x v="3"/>
    <x v="3"/>
    <m/>
    <x v="77"/>
    <x v="3"/>
    <m/>
    <x v="3"/>
    <x v="13"/>
  </r>
  <r>
    <s v="Id1269"/>
    <m/>
    <x v="742"/>
    <x v="525"/>
    <m/>
    <x v="2"/>
    <x v="2"/>
    <s v="No major surgery"/>
    <x v="1"/>
    <x v="3"/>
    <x v="3"/>
    <m/>
    <x v="77"/>
    <x v="3"/>
    <m/>
    <x v="3"/>
    <x v="13"/>
  </r>
  <r>
    <s v="Id1268"/>
    <m/>
    <x v="742"/>
    <x v="525"/>
    <m/>
    <x v="2"/>
    <x v="2"/>
    <n v="2"/>
    <x v="1"/>
    <x v="3"/>
    <x v="3"/>
    <m/>
    <x v="77"/>
    <x v="3"/>
    <m/>
    <x v="3"/>
    <x v="13"/>
  </r>
  <r>
    <s v="Id1267"/>
    <m/>
    <x v="742"/>
    <x v="525"/>
    <m/>
    <x v="2"/>
    <x v="2"/>
    <s v="No major surgery"/>
    <x v="1"/>
    <x v="3"/>
    <x v="3"/>
    <m/>
    <x v="77"/>
    <x v="3"/>
    <m/>
    <x v="3"/>
    <x v="13"/>
  </r>
  <r>
    <s v="Id1266"/>
    <m/>
    <x v="742"/>
    <x v="525"/>
    <m/>
    <x v="2"/>
    <x v="2"/>
    <n v="1"/>
    <x v="1"/>
    <x v="3"/>
    <x v="3"/>
    <m/>
    <x v="77"/>
    <x v="3"/>
    <m/>
    <x v="3"/>
    <x v="13"/>
  </r>
  <r>
    <s v="Id1265"/>
    <m/>
    <x v="742"/>
    <x v="525"/>
    <m/>
    <x v="2"/>
    <x v="2"/>
    <n v="1"/>
    <x v="1"/>
    <x v="3"/>
    <x v="3"/>
    <m/>
    <x v="77"/>
    <x v="3"/>
    <m/>
    <x v="3"/>
    <x v="13"/>
  </r>
  <r>
    <s v="Id1264"/>
    <m/>
    <x v="742"/>
    <x v="525"/>
    <m/>
    <x v="2"/>
    <x v="2"/>
    <n v="1"/>
    <x v="1"/>
    <x v="3"/>
    <x v="3"/>
    <m/>
    <x v="77"/>
    <x v="3"/>
    <m/>
    <x v="3"/>
    <x v="13"/>
  </r>
  <r>
    <s v="Id1263"/>
    <m/>
    <x v="742"/>
    <x v="525"/>
    <m/>
    <x v="2"/>
    <x v="2"/>
    <s v="No major surgery"/>
    <x v="1"/>
    <x v="3"/>
    <x v="3"/>
    <m/>
    <x v="77"/>
    <x v="3"/>
    <m/>
    <x v="3"/>
    <x v="13"/>
  </r>
  <r>
    <s v="Id1262"/>
    <m/>
    <x v="742"/>
    <x v="525"/>
    <m/>
    <x v="2"/>
    <x v="2"/>
    <n v="1"/>
    <x v="1"/>
    <x v="3"/>
    <x v="3"/>
    <m/>
    <x v="77"/>
    <x v="3"/>
    <m/>
    <x v="3"/>
    <x v="13"/>
  </r>
  <r>
    <s v="Id1261"/>
    <m/>
    <x v="742"/>
    <x v="525"/>
    <m/>
    <x v="2"/>
    <x v="2"/>
    <s v="No major surgery"/>
    <x v="1"/>
    <x v="3"/>
    <x v="3"/>
    <m/>
    <x v="77"/>
    <x v="3"/>
    <m/>
    <x v="3"/>
    <x v="13"/>
  </r>
  <r>
    <s v="Id1260"/>
    <m/>
    <x v="742"/>
    <x v="525"/>
    <m/>
    <x v="2"/>
    <x v="2"/>
    <s v="No major surgery"/>
    <x v="1"/>
    <x v="3"/>
    <x v="3"/>
    <m/>
    <x v="77"/>
    <x v="3"/>
    <m/>
    <x v="3"/>
    <x v="13"/>
  </r>
  <r>
    <s v="Id1259"/>
    <m/>
    <x v="742"/>
    <x v="525"/>
    <m/>
    <x v="2"/>
    <x v="2"/>
    <s v="No major surgery"/>
    <x v="1"/>
    <x v="3"/>
    <x v="3"/>
    <m/>
    <x v="77"/>
    <x v="3"/>
    <m/>
    <x v="3"/>
    <x v="13"/>
  </r>
  <r>
    <s v="Id1258"/>
    <m/>
    <x v="742"/>
    <x v="525"/>
    <m/>
    <x v="2"/>
    <x v="2"/>
    <s v="No major surgery"/>
    <x v="1"/>
    <x v="3"/>
    <x v="3"/>
    <m/>
    <x v="77"/>
    <x v="3"/>
    <m/>
    <x v="3"/>
    <x v="13"/>
  </r>
  <r>
    <s v="Id1257"/>
    <m/>
    <x v="742"/>
    <x v="525"/>
    <m/>
    <x v="2"/>
    <x v="2"/>
    <n v="1"/>
    <x v="1"/>
    <x v="3"/>
    <x v="3"/>
    <m/>
    <x v="77"/>
    <x v="3"/>
    <m/>
    <x v="3"/>
    <x v="13"/>
  </r>
  <r>
    <s v="Id1256"/>
    <m/>
    <x v="742"/>
    <x v="525"/>
    <m/>
    <x v="2"/>
    <x v="2"/>
    <n v="2"/>
    <x v="1"/>
    <x v="3"/>
    <x v="3"/>
    <m/>
    <x v="77"/>
    <x v="3"/>
    <m/>
    <x v="3"/>
    <x v="13"/>
  </r>
  <r>
    <s v="Id1255"/>
    <m/>
    <x v="742"/>
    <x v="525"/>
    <m/>
    <x v="2"/>
    <x v="2"/>
    <s v="No major surgery"/>
    <x v="1"/>
    <x v="3"/>
    <x v="3"/>
    <m/>
    <x v="77"/>
    <x v="3"/>
    <m/>
    <x v="3"/>
    <x v="13"/>
  </r>
  <r>
    <s v="Id1254"/>
    <m/>
    <x v="742"/>
    <x v="525"/>
    <m/>
    <x v="2"/>
    <x v="2"/>
    <n v="1"/>
    <x v="1"/>
    <x v="3"/>
    <x v="3"/>
    <m/>
    <x v="77"/>
    <x v="3"/>
    <m/>
    <x v="3"/>
    <x v="13"/>
  </r>
  <r>
    <s v="Id1253"/>
    <m/>
    <x v="742"/>
    <x v="525"/>
    <m/>
    <x v="2"/>
    <x v="2"/>
    <n v="1"/>
    <x v="1"/>
    <x v="3"/>
    <x v="3"/>
    <m/>
    <x v="77"/>
    <x v="3"/>
    <m/>
    <x v="3"/>
    <x v="13"/>
  </r>
  <r>
    <s v="Id1252"/>
    <m/>
    <x v="742"/>
    <x v="525"/>
    <m/>
    <x v="2"/>
    <x v="2"/>
    <n v="2"/>
    <x v="1"/>
    <x v="3"/>
    <x v="3"/>
    <m/>
    <x v="77"/>
    <x v="3"/>
    <m/>
    <x v="3"/>
    <x v="13"/>
  </r>
  <r>
    <s v="Id1251"/>
    <m/>
    <x v="742"/>
    <x v="525"/>
    <m/>
    <x v="2"/>
    <x v="2"/>
    <n v="2"/>
    <x v="1"/>
    <x v="3"/>
    <x v="3"/>
    <m/>
    <x v="77"/>
    <x v="3"/>
    <m/>
    <x v="3"/>
    <x v="13"/>
  </r>
  <r>
    <s v="Id1250"/>
    <m/>
    <x v="742"/>
    <x v="525"/>
    <m/>
    <x v="2"/>
    <x v="2"/>
    <s v="No major surgery"/>
    <x v="1"/>
    <x v="3"/>
    <x v="3"/>
    <m/>
    <x v="77"/>
    <x v="3"/>
    <m/>
    <x v="3"/>
    <x v="13"/>
  </r>
  <r>
    <s v="Id1249"/>
    <m/>
    <x v="742"/>
    <x v="525"/>
    <m/>
    <x v="2"/>
    <x v="2"/>
    <n v="1"/>
    <x v="1"/>
    <x v="3"/>
    <x v="3"/>
    <m/>
    <x v="77"/>
    <x v="3"/>
    <m/>
    <x v="3"/>
    <x v="13"/>
  </r>
  <r>
    <s v="Id1248"/>
    <m/>
    <x v="742"/>
    <x v="525"/>
    <m/>
    <x v="2"/>
    <x v="2"/>
    <s v="No major surgery"/>
    <x v="1"/>
    <x v="3"/>
    <x v="3"/>
    <m/>
    <x v="77"/>
    <x v="3"/>
    <m/>
    <x v="3"/>
    <x v="13"/>
  </r>
  <r>
    <s v="Id1247"/>
    <m/>
    <x v="742"/>
    <x v="525"/>
    <m/>
    <x v="2"/>
    <x v="2"/>
    <n v="2"/>
    <x v="1"/>
    <x v="3"/>
    <x v="3"/>
    <m/>
    <x v="77"/>
    <x v="3"/>
    <m/>
    <x v="3"/>
    <x v="13"/>
  </r>
  <r>
    <s v="Id1246"/>
    <m/>
    <x v="742"/>
    <x v="525"/>
    <m/>
    <x v="2"/>
    <x v="2"/>
    <s v="No major surgery"/>
    <x v="1"/>
    <x v="3"/>
    <x v="3"/>
    <m/>
    <x v="77"/>
    <x v="3"/>
    <m/>
    <x v="3"/>
    <x v="13"/>
  </r>
  <r>
    <s v="Id1245"/>
    <m/>
    <x v="742"/>
    <x v="525"/>
    <m/>
    <x v="2"/>
    <x v="2"/>
    <s v="No major surgery"/>
    <x v="1"/>
    <x v="3"/>
    <x v="3"/>
    <m/>
    <x v="77"/>
    <x v="3"/>
    <m/>
    <x v="3"/>
    <x v="13"/>
  </r>
  <r>
    <s v="Id1244"/>
    <m/>
    <x v="742"/>
    <x v="525"/>
    <m/>
    <x v="2"/>
    <x v="2"/>
    <n v="2"/>
    <x v="1"/>
    <x v="3"/>
    <x v="3"/>
    <m/>
    <x v="77"/>
    <x v="3"/>
    <m/>
    <x v="3"/>
    <x v="13"/>
  </r>
  <r>
    <s v="Id1243"/>
    <m/>
    <x v="742"/>
    <x v="525"/>
    <m/>
    <x v="2"/>
    <x v="2"/>
    <s v="No major surgery"/>
    <x v="1"/>
    <x v="3"/>
    <x v="3"/>
    <m/>
    <x v="77"/>
    <x v="3"/>
    <m/>
    <x v="3"/>
    <x v="13"/>
  </r>
  <r>
    <s v="Id1242"/>
    <m/>
    <x v="742"/>
    <x v="525"/>
    <m/>
    <x v="2"/>
    <x v="2"/>
    <s v="No major surgery"/>
    <x v="1"/>
    <x v="3"/>
    <x v="3"/>
    <m/>
    <x v="77"/>
    <x v="3"/>
    <m/>
    <x v="3"/>
    <x v="13"/>
  </r>
  <r>
    <s v="Id1241"/>
    <m/>
    <x v="742"/>
    <x v="525"/>
    <m/>
    <x v="2"/>
    <x v="2"/>
    <s v="No major surgery"/>
    <x v="1"/>
    <x v="3"/>
    <x v="3"/>
    <m/>
    <x v="77"/>
    <x v="3"/>
    <m/>
    <x v="3"/>
    <x v="13"/>
  </r>
  <r>
    <s v="Id1240"/>
    <m/>
    <x v="742"/>
    <x v="525"/>
    <m/>
    <x v="2"/>
    <x v="2"/>
    <n v="1"/>
    <x v="1"/>
    <x v="3"/>
    <x v="3"/>
    <m/>
    <x v="77"/>
    <x v="3"/>
    <m/>
    <x v="3"/>
    <x v="13"/>
  </r>
  <r>
    <s v="Id1239"/>
    <m/>
    <x v="742"/>
    <x v="525"/>
    <m/>
    <x v="2"/>
    <x v="2"/>
    <n v="1"/>
    <x v="1"/>
    <x v="3"/>
    <x v="3"/>
    <m/>
    <x v="77"/>
    <x v="3"/>
    <m/>
    <x v="3"/>
    <x v="13"/>
  </r>
  <r>
    <s v="Id1238"/>
    <m/>
    <x v="742"/>
    <x v="525"/>
    <m/>
    <x v="2"/>
    <x v="2"/>
    <n v="2"/>
    <x v="1"/>
    <x v="3"/>
    <x v="3"/>
    <m/>
    <x v="77"/>
    <x v="3"/>
    <m/>
    <x v="3"/>
    <x v="13"/>
  </r>
  <r>
    <s v="Id1237"/>
    <m/>
    <x v="742"/>
    <x v="525"/>
    <m/>
    <x v="2"/>
    <x v="2"/>
    <n v="2"/>
    <x v="1"/>
    <x v="3"/>
    <x v="3"/>
    <m/>
    <x v="77"/>
    <x v="3"/>
    <m/>
    <x v="3"/>
    <x v="13"/>
  </r>
  <r>
    <s v="Id1236"/>
    <m/>
    <x v="742"/>
    <x v="525"/>
    <m/>
    <x v="2"/>
    <x v="2"/>
    <n v="2"/>
    <x v="1"/>
    <x v="3"/>
    <x v="3"/>
    <m/>
    <x v="77"/>
    <x v="3"/>
    <m/>
    <x v="3"/>
    <x v="13"/>
  </r>
  <r>
    <s v="Id1235"/>
    <m/>
    <x v="742"/>
    <x v="525"/>
    <m/>
    <x v="2"/>
    <x v="2"/>
    <n v="1"/>
    <x v="1"/>
    <x v="3"/>
    <x v="3"/>
    <m/>
    <x v="77"/>
    <x v="3"/>
    <m/>
    <x v="3"/>
    <x v="13"/>
  </r>
  <r>
    <s v="Id1234"/>
    <m/>
    <x v="742"/>
    <x v="525"/>
    <m/>
    <x v="2"/>
    <x v="2"/>
    <s v="No major surgery"/>
    <x v="1"/>
    <x v="3"/>
    <x v="3"/>
    <m/>
    <x v="77"/>
    <x v="3"/>
    <m/>
    <x v="3"/>
    <x v="13"/>
  </r>
  <r>
    <s v="Id1233"/>
    <m/>
    <x v="742"/>
    <x v="525"/>
    <m/>
    <x v="2"/>
    <x v="2"/>
    <s v="No major surgery"/>
    <x v="1"/>
    <x v="3"/>
    <x v="3"/>
    <m/>
    <x v="77"/>
    <x v="3"/>
    <m/>
    <x v="3"/>
    <x v="13"/>
  </r>
  <r>
    <s v="Id1232"/>
    <m/>
    <x v="742"/>
    <x v="525"/>
    <m/>
    <x v="2"/>
    <x v="2"/>
    <s v="No major surgery"/>
    <x v="1"/>
    <x v="3"/>
    <x v="3"/>
    <m/>
    <x v="77"/>
    <x v="3"/>
    <m/>
    <x v="3"/>
    <x v="13"/>
  </r>
  <r>
    <s v="Id1231"/>
    <m/>
    <x v="742"/>
    <x v="525"/>
    <m/>
    <x v="2"/>
    <x v="2"/>
    <n v="2"/>
    <x v="1"/>
    <x v="3"/>
    <x v="3"/>
    <m/>
    <x v="77"/>
    <x v="3"/>
    <m/>
    <x v="3"/>
    <x v="13"/>
  </r>
  <r>
    <s v="Id1230"/>
    <m/>
    <x v="742"/>
    <x v="525"/>
    <m/>
    <x v="2"/>
    <x v="2"/>
    <s v="No major surgery"/>
    <x v="1"/>
    <x v="3"/>
    <x v="3"/>
    <m/>
    <x v="77"/>
    <x v="3"/>
    <m/>
    <x v="3"/>
    <x v="13"/>
  </r>
  <r>
    <s v="Id1229"/>
    <m/>
    <x v="742"/>
    <x v="525"/>
    <m/>
    <x v="2"/>
    <x v="2"/>
    <n v="2"/>
    <x v="1"/>
    <x v="3"/>
    <x v="3"/>
    <m/>
    <x v="77"/>
    <x v="3"/>
    <m/>
    <x v="3"/>
    <x v="13"/>
  </r>
  <r>
    <s v="Id1228"/>
    <m/>
    <x v="742"/>
    <x v="525"/>
    <m/>
    <x v="2"/>
    <x v="2"/>
    <n v="2"/>
    <x v="1"/>
    <x v="3"/>
    <x v="3"/>
    <m/>
    <x v="77"/>
    <x v="3"/>
    <m/>
    <x v="3"/>
    <x v="13"/>
  </r>
  <r>
    <s v="Id1227"/>
    <m/>
    <x v="742"/>
    <x v="525"/>
    <m/>
    <x v="2"/>
    <x v="2"/>
    <s v="No major surgery"/>
    <x v="1"/>
    <x v="3"/>
    <x v="3"/>
    <m/>
    <x v="77"/>
    <x v="3"/>
    <m/>
    <x v="3"/>
    <x v="13"/>
  </r>
  <r>
    <s v="Id1226"/>
    <m/>
    <x v="742"/>
    <x v="525"/>
    <m/>
    <x v="2"/>
    <x v="2"/>
    <s v="No major surgery"/>
    <x v="1"/>
    <x v="3"/>
    <x v="3"/>
    <m/>
    <x v="77"/>
    <x v="3"/>
    <m/>
    <x v="3"/>
    <x v="13"/>
  </r>
  <r>
    <s v="Id1225"/>
    <m/>
    <x v="742"/>
    <x v="525"/>
    <m/>
    <x v="2"/>
    <x v="2"/>
    <n v="1"/>
    <x v="1"/>
    <x v="3"/>
    <x v="3"/>
    <m/>
    <x v="77"/>
    <x v="3"/>
    <m/>
    <x v="3"/>
    <x v="13"/>
  </r>
  <r>
    <s v="Id1224"/>
    <m/>
    <x v="742"/>
    <x v="525"/>
    <m/>
    <x v="2"/>
    <x v="2"/>
    <n v="2"/>
    <x v="1"/>
    <x v="3"/>
    <x v="3"/>
    <m/>
    <x v="77"/>
    <x v="3"/>
    <m/>
    <x v="3"/>
    <x v="13"/>
  </r>
  <r>
    <s v="Id1223"/>
    <m/>
    <x v="742"/>
    <x v="525"/>
    <m/>
    <x v="2"/>
    <x v="2"/>
    <n v="1"/>
    <x v="1"/>
    <x v="3"/>
    <x v="3"/>
    <m/>
    <x v="77"/>
    <x v="3"/>
    <m/>
    <x v="3"/>
    <x v="13"/>
  </r>
  <r>
    <s v="Id1222"/>
    <m/>
    <x v="742"/>
    <x v="525"/>
    <m/>
    <x v="2"/>
    <x v="2"/>
    <n v="2"/>
    <x v="1"/>
    <x v="3"/>
    <x v="3"/>
    <m/>
    <x v="77"/>
    <x v="3"/>
    <m/>
    <x v="3"/>
    <x v="13"/>
  </r>
  <r>
    <s v="Id1221"/>
    <m/>
    <x v="742"/>
    <x v="525"/>
    <m/>
    <x v="2"/>
    <x v="2"/>
    <n v="2"/>
    <x v="1"/>
    <x v="3"/>
    <x v="3"/>
    <m/>
    <x v="77"/>
    <x v="3"/>
    <m/>
    <x v="3"/>
    <x v="13"/>
  </r>
  <r>
    <s v="Id1220"/>
    <m/>
    <x v="742"/>
    <x v="525"/>
    <m/>
    <x v="2"/>
    <x v="2"/>
    <s v="No major surgery"/>
    <x v="1"/>
    <x v="3"/>
    <x v="3"/>
    <m/>
    <x v="77"/>
    <x v="3"/>
    <m/>
    <x v="3"/>
    <x v="13"/>
  </r>
  <r>
    <s v="Id1219"/>
    <m/>
    <x v="742"/>
    <x v="525"/>
    <m/>
    <x v="2"/>
    <x v="2"/>
    <n v="1"/>
    <x v="1"/>
    <x v="3"/>
    <x v="3"/>
    <m/>
    <x v="77"/>
    <x v="3"/>
    <m/>
    <x v="3"/>
    <x v="13"/>
  </r>
  <r>
    <s v="Id1218"/>
    <m/>
    <x v="742"/>
    <x v="525"/>
    <m/>
    <x v="2"/>
    <x v="2"/>
    <n v="1"/>
    <x v="1"/>
    <x v="3"/>
    <x v="3"/>
    <m/>
    <x v="77"/>
    <x v="3"/>
    <m/>
    <x v="3"/>
    <x v="13"/>
  </r>
  <r>
    <s v="Id1217"/>
    <m/>
    <x v="742"/>
    <x v="525"/>
    <m/>
    <x v="2"/>
    <x v="2"/>
    <n v="1"/>
    <x v="1"/>
    <x v="3"/>
    <x v="3"/>
    <m/>
    <x v="77"/>
    <x v="3"/>
    <m/>
    <x v="3"/>
    <x v="13"/>
  </r>
  <r>
    <s v="Id1216"/>
    <m/>
    <x v="742"/>
    <x v="525"/>
    <m/>
    <x v="2"/>
    <x v="2"/>
    <s v="No major surgery"/>
    <x v="1"/>
    <x v="3"/>
    <x v="3"/>
    <m/>
    <x v="77"/>
    <x v="3"/>
    <m/>
    <x v="3"/>
    <x v="13"/>
  </r>
  <r>
    <s v="Id1215"/>
    <m/>
    <x v="742"/>
    <x v="525"/>
    <m/>
    <x v="2"/>
    <x v="2"/>
    <n v="1"/>
    <x v="1"/>
    <x v="3"/>
    <x v="3"/>
    <m/>
    <x v="77"/>
    <x v="3"/>
    <m/>
    <x v="3"/>
    <x v="13"/>
  </r>
  <r>
    <s v="Id1214"/>
    <m/>
    <x v="742"/>
    <x v="525"/>
    <m/>
    <x v="2"/>
    <x v="2"/>
    <n v="1"/>
    <x v="1"/>
    <x v="3"/>
    <x v="3"/>
    <m/>
    <x v="77"/>
    <x v="3"/>
    <m/>
    <x v="3"/>
    <x v="13"/>
  </r>
  <r>
    <s v="Id1213"/>
    <m/>
    <x v="742"/>
    <x v="525"/>
    <m/>
    <x v="2"/>
    <x v="2"/>
    <n v="2"/>
    <x v="1"/>
    <x v="3"/>
    <x v="3"/>
    <m/>
    <x v="77"/>
    <x v="3"/>
    <m/>
    <x v="3"/>
    <x v="13"/>
  </r>
  <r>
    <s v="Id1212"/>
    <m/>
    <x v="742"/>
    <x v="525"/>
    <m/>
    <x v="2"/>
    <x v="2"/>
    <s v="No major surgery"/>
    <x v="1"/>
    <x v="3"/>
    <x v="3"/>
    <m/>
    <x v="77"/>
    <x v="3"/>
    <m/>
    <x v="3"/>
    <x v="13"/>
  </r>
  <r>
    <s v="Id1211"/>
    <m/>
    <x v="742"/>
    <x v="525"/>
    <m/>
    <x v="2"/>
    <x v="2"/>
    <s v="No major surgery"/>
    <x v="1"/>
    <x v="3"/>
    <x v="3"/>
    <m/>
    <x v="77"/>
    <x v="3"/>
    <m/>
    <x v="3"/>
    <x v="13"/>
  </r>
  <r>
    <s v="Id1210"/>
    <m/>
    <x v="742"/>
    <x v="525"/>
    <m/>
    <x v="2"/>
    <x v="2"/>
    <n v="1"/>
    <x v="1"/>
    <x v="3"/>
    <x v="3"/>
    <m/>
    <x v="77"/>
    <x v="3"/>
    <m/>
    <x v="3"/>
    <x v="13"/>
  </r>
  <r>
    <s v="Id1209"/>
    <m/>
    <x v="742"/>
    <x v="525"/>
    <m/>
    <x v="2"/>
    <x v="2"/>
    <n v="1"/>
    <x v="1"/>
    <x v="3"/>
    <x v="3"/>
    <m/>
    <x v="77"/>
    <x v="3"/>
    <m/>
    <x v="3"/>
    <x v="13"/>
  </r>
  <r>
    <s v="Id1208"/>
    <m/>
    <x v="742"/>
    <x v="525"/>
    <m/>
    <x v="2"/>
    <x v="2"/>
    <s v="No major surgery"/>
    <x v="1"/>
    <x v="3"/>
    <x v="3"/>
    <m/>
    <x v="77"/>
    <x v="3"/>
    <m/>
    <x v="3"/>
    <x v="13"/>
  </r>
  <r>
    <s v="Id1207"/>
    <m/>
    <x v="742"/>
    <x v="525"/>
    <m/>
    <x v="2"/>
    <x v="2"/>
    <n v="2"/>
    <x v="1"/>
    <x v="3"/>
    <x v="3"/>
    <m/>
    <x v="77"/>
    <x v="3"/>
    <m/>
    <x v="3"/>
    <x v="13"/>
  </r>
  <r>
    <s v="Id1206"/>
    <m/>
    <x v="742"/>
    <x v="525"/>
    <m/>
    <x v="2"/>
    <x v="2"/>
    <s v="No major surgery"/>
    <x v="1"/>
    <x v="3"/>
    <x v="3"/>
    <m/>
    <x v="77"/>
    <x v="3"/>
    <m/>
    <x v="3"/>
    <x v="13"/>
  </r>
  <r>
    <s v="Id1205"/>
    <m/>
    <x v="742"/>
    <x v="525"/>
    <m/>
    <x v="2"/>
    <x v="2"/>
    <s v="No major surgery"/>
    <x v="1"/>
    <x v="3"/>
    <x v="3"/>
    <m/>
    <x v="77"/>
    <x v="3"/>
    <m/>
    <x v="3"/>
    <x v="13"/>
  </r>
  <r>
    <s v="Id1204"/>
    <m/>
    <x v="742"/>
    <x v="525"/>
    <m/>
    <x v="2"/>
    <x v="2"/>
    <n v="2"/>
    <x v="1"/>
    <x v="3"/>
    <x v="3"/>
    <m/>
    <x v="77"/>
    <x v="3"/>
    <m/>
    <x v="3"/>
    <x v="13"/>
  </r>
  <r>
    <s v="Id1203"/>
    <m/>
    <x v="742"/>
    <x v="525"/>
    <m/>
    <x v="2"/>
    <x v="2"/>
    <s v="No major surgery"/>
    <x v="1"/>
    <x v="3"/>
    <x v="3"/>
    <m/>
    <x v="77"/>
    <x v="3"/>
    <m/>
    <x v="3"/>
    <x v="13"/>
  </r>
  <r>
    <s v="Id1202"/>
    <m/>
    <x v="742"/>
    <x v="525"/>
    <m/>
    <x v="2"/>
    <x v="2"/>
    <s v="No major surgery"/>
    <x v="1"/>
    <x v="3"/>
    <x v="3"/>
    <m/>
    <x v="77"/>
    <x v="3"/>
    <m/>
    <x v="3"/>
    <x v="13"/>
  </r>
  <r>
    <s v="Id1201"/>
    <m/>
    <x v="742"/>
    <x v="525"/>
    <m/>
    <x v="2"/>
    <x v="2"/>
    <s v="No major surgery"/>
    <x v="1"/>
    <x v="3"/>
    <x v="3"/>
    <m/>
    <x v="77"/>
    <x v="3"/>
    <m/>
    <x v="3"/>
    <x v="13"/>
  </r>
  <r>
    <s v="Id1200"/>
    <m/>
    <x v="742"/>
    <x v="525"/>
    <m/>
    <x v="2"/>
    <x v="2"/>
    <s v="No major surgery"/>
    <x v="1"/>
    <x v="3"/>
    <x v="3"/>
    <m/>
    <x v="77"/>
    <x v="3"/>
    <m/>
    <x v="3"/>
    <x v="13"/>
  </r>
  <r>
    <s v="Id1199"/>
    <m/>
    <x v="742"/>
    <x v="525"/>
    <m/>
    <x v="2"/>
    <x v="2"/>
    <n v="1"/>
    <x v="1"/>
    <x v="3"/>
    <x v="3"/>
    <m/>
    <x v="77"/>
    <x v="3"/>
    <m/>
    <x v="3"/>
    <x v="13"/>
  </r>
  <r>
    <s v="Id1198"/>
    <m/>
    <x v="742"/>
    <x v="525"/>
    <m/>
    <x v="2"/>
    <x v="2"/>
    <n v="1"/>
    <x v="1"/>
    <x v="3"/>
    <x v="3"/>
    <m/>
    <x v="77"/>
    <x v="3"/>
    <m/>
    <x v="3"/>
    <x v="13"/>
  </r>
  <r>
    <s v="Id1197"/>
    <m/>
    <x v="742"/>
    <x v="525"/>
    <m/>
    <x v="2"/>
    <x v="2"/>
    <s v="No major surgery"/>
    <x v="1"/>
    <x v="3"/>
    <x v="3"/>
    <m/>
    <x v="77"/>
    <x v="3"/>
    <m/>
    <x v="3"/>
    <x v="13"/>
  </r>
  <r>
    <s v="Id1196"/>
    <m/>
    <x v="742"/>
    <x v="525"/>
    <m/>
    <x v="2"/>
    <x v="2"/>
    <n v="1"/>
    <x v="1"/>
    <x v="3"/>
    <x v="3"/>
    <m/>
    <x v="77"/>
    <x v="3"/>
    <m/>
    <x v="3"/>
    <x v="13"/>
  </r>
  <r>
    <s v="Id1195"/>
    <m/>
    <x v="742"/>
    <x v="525"/>
    <m/>
    <x v="2"/>
    <x v="2"/>
    <s v="No major surgery"/>
    <x v="1"/>
    <x v="3"/>
    <x v="3"/>
    <m/>
    <x v="77"/>
    <x v="3"/>
    <m/>
    <x v="3"/>
    <x v="13"/>
  </r>
  <r>
    <s v="Id1194"/>
    <m/>
    <x v="742"/>
    <x v="525"/>
    <m/>
    <x v="2"/>
    <x v="2"/>
    <s v="No major surgery"/>
    <x v="1"/>
    <x v="3"/>
    <x v="3"/>
    <m/>
    <x v="77"/>
    <x v="3"/>
    <m/>
    <x v="3"/>
    <x v="13"/>
  </r>
  <r>
    <s v="Id1193"/>
    <m/>
    <x v="742"/>
    <x v="525"/>
    <m/>
    <x v="2"/>
    <x v="2"/>
    <s v="No major surgery"/>
    <x v="1"/>
    <x v="3"/>
    <x v="3"/>
    <m/>
    <x v="77"/>
    <x v="3"/>
    <m/>
    <x v="3"/>
    <x v="13"/>
  </r>
  <r>
    <s v="Id1192"/>
    <m/>
    <x v="742"/>
    <x v="525"/>
    <m/>
    <x v="2"/>
    <x v="2"/>
    <n v="1"/>
    <x v="1"/>
    <x v="3"/>
    <x v="3"/>
    <m/>
    <x v="77"/>
    <x v="3"/>
    <m/>
    <x v="3"/>
    <x v="13"/>
  </r>
  <r>
    <s v="Id1191"/>
    <m/>
    <x v="742"/>
    <x v="525"/>
    <m/>
    <x v="2"/>
    <x v="2"/>
    <n v="2"/>
    <x v="1"/>
    <x v="3"/>
    <x v="3"/>
    <m/>
    <x v="77"/>
    <x v="3"/>
    <m/>
    <x v="3"/>
    <x v="13"/>
  </r>
  <r>
    <s v="Id1190"/>
    <m/>
    <x v="742"/>
    <x v="525"/>
    <m/>
    <x v="2"/>
    <x v="2"/>
    <n v="2"/>
    <x v="1"/>
    <x v="3"/>
    <x v="3"/>
    <m/>
    <x v="77"/>
    <x v="3"/>
    <m/>
    <x v="3"/>
    <x v="13"/>
  </r>
  <r>
    <s v="Id1189"/>
    <m/>
    <x v="742"/>
    <x v="525"/>
    <m/>
    <x v="2"/>
    <x v="2"/>
    <n v="2"/>
    <x v="1"/>
    <x v="3"/>
    <x v="3"/>
    <m/>
    <x v="77"/>
    <x v="3"/>
    <m/>
    <x v="3"/>
    <x v="13"/>
  </r>
  <r>
    <s v="Id1188"/>
    <m/>
    <x v="742"/>
    <x v="525"/>
    <m/>
    <x v="2"/>
    <x v="2"/>
    <s v="No major surgery"/>
    <x v="1"/>
    <x v="3"/>
    <x v="3"/>
    <m/>
    <x v="77"/>
    <x v="3"/>
    <m/>
    <x v="3"/>
    <x v="13"/>
  </r>
  <r>
    <s v="Id1187"/>
    <m/>
    <x v="742"/>
    <x v="525"/>
    <m/>
    <x v="2"/>
    <x v="2"/>
    <s v="No major surgery"/>
    <x v="1"/>
    <x v="3"/>
    <x v="3"/>
    <m/>
    <x v="77"/>
    <x v="3"/>
    <m/>
    <x v="3"/>
    <x v="13"/>
  </r>
  <r>
    <s v="Id1186"/>
    <m/>
    <x v="742"/>
    <x v="525"/>
    <m/>
    <x v="2"/>
    <x v="2"/>
    <n v="2"/>
    <x v="1"/>
    <x v="3"/>
    <x v="3"/>
    <m/>
    <x v="77"/>
    <x v="3"/>
    <m/>
    <x v="3"/>
    <x v="13"/>
  </r>
  <r>
    <s v="Id1185"/>
    <m/>
    <x v="742"/>
    <x v="525"/>
    <m/>
    <x v="2"/>
    <x v="2"/>
    <s v="No major surgery"/>
    <x v="1"/>
    <x v="3"/>
    <x v="3"/>
    <m/>
    <x v="77"/>
    <x v="3"/>
    <m/>
    <x v="3"/>
    <x v="13"/>
  </r>
  <r>
    <s v="Id1184"/>
    <m/>
    <x v="742"/>
    <x v="525"/>
    <m/>
    <x v="2"/>
    <x v="2"/>
    <s v="No major surgery"/>
    <x v="1"/>
    <x v="3"/>
    <x v="3"/>
    <m/>
    <x v="77"/>
    <x v="3"/>
    <m/>
    <x v="3"/>
    <x v="13"/>
  </r>
  <r>
    <s v="Id1183"/>
    <m/>
    <x v="742"/>
    <x v="525"/>
    <m/>
    <x v="2"/>
    <x v="2"/>
    <n v="2"/>
    <x v="1"/>
    <x v="3"/>
    <x v="3"/>
    <m/>
    <x v="77"/>
    <x v="3"/>
    <m/>
    <x v="3"/>
    <x v="13"/>
  </r>
  <r>
    <s v="Id1182"/>
    <m/>
    <x v="742"/>
    <x v="525"/>
    <m/>
    <x v="2"/>
    <x v="2"/>
    <n v="2"/>
    <x v="1"/>
    <x v="3"/>
    <x v="3"/>
    <m/>
    <x v="77"/>
    <x v="3"/>
    <m/>
    <x v="3"/>
    <x v="13"/>
  </r>
  <r>
    <s v="Id1181"/>
    <m/>
    <x v="742"/>
    <x v="525"/>
    <m/>
    <x v="2"/>
    <x v="2"/>
    <n v="2"/>
    <x v="1"/>
    <x v="3"/>
    <x v="3"/>
    <m/>
    <x v="77"/>
    <x v="3"/>
    <m/>
    <x v="3"/>
    <x v="13"/>
  </r>
  <r>
    <s v="Id1180"/>
    <m/>
    <x v="742"/>
    <x v="525"/>
    <m/>
    <x v="2"/>
    <x v="2"/>
    <n v="1"/>
    <x v="2"/>
    <x v="3"/>
    <x v="3"/>
    <m/>
    <x v="77"/>
    <x v="3"/>
    <m/>
    <x v="3"/>
    <x v="13"/>
  </r>
  <r>
    <s v="Id1179"/>
    <m/>
    <x v="742"/>
    <x v="525"/>
    <m/>
    <x v="2"/>
    <x v="2"/>
    <n v="2"/>
    <x v="2"/>
    <x v="3"/>
    <x v="3"/>
    <m/>
    <x v="77"/>
    <x v="3"/>
    <m/>
    <x v="3"/>
    <x v="13"/>
  </r>
  <r>
    <s v="Id1178"/>
    <m/>
    <x v="742"/>
    <x v="525"/>
    <m/>
    <x v="2"/>
    <x v="2"/>
    <s v="No major surgery"/>
    <x v="2"/>
    <x v="3"/>
    <x v="3"/>
    <m/>
    <x v="77"/>
    <x v="3"/>
    <m/>
    <x v="3"/>
    <x v="13"/>
  </r>
  <r>
    <s v="Id1177"/>
    <m/>
    <x v="742"/>
    <x v="525"/>
    <m/>
    <x v="2"/>
    <x v="2"/>
    <n v="1"/>
    <x v="2"/>
    <x v="3"/>
    <x v="3"/>
    <m/>
    <x v="77"/>
    <x v="3"/>
    <m/>
    <x v="3"/>
    <x v="13"/>
  </r>
  <r>
    <s v="Id1176"/>
    <m/>
    <x v="742"/>
    <x v="525"/>
    <m/>
    <x v="2"/>
    <x v="2"/>
    <n v="2"/>
    <x v="2"/>
    <x v="3"/>
    <x v="3"/>
    <m/>
    <x v="77"/>
    <x v="3"/>
    <m/>
    <x v="3"/>
    <x v="13"/>
  </r>
  <r>
    <s v="Id1175"/>
    <m/>
    <x v="742"/>
    <x v="525"/>
    <m/>
    <x v="2"/>
    <x v="2"/>
    <s v="No major surgery"/>
    <x v="2"/>
    <x v="3"/>
    <x v="3"/>
    <m/>
    <x v="77"/>
    <x v="3"/>
    <m/>
    <x v="3"/>
    <x v="13"/>
  </r>
  <r>
    <s v="Id1174"/>
    <m/>
    <x v="742"/>
    <x v="525"/>
    <m/>
    <x v="2"/>
    <x v="2"/>
    <s v="No major surgery"/>
    <x v="2"/>
    <x v="3"/>
    <x v="3"/>
    <m/>
    <x v="77"/>
    <x v="3"/>
    <m/>
    <x v="3"/>
    <x v="13"/>
  </r>
  <r>
    <s v="Id1173"/>
    <m/>
    <x v="742"/>
    <x v="525"/>
    <m/>
    <x v="2"/>
    <x v="2"/>
    <s v="No major surgery"/>
    <x v="2"/>
    <x v="3"/>
    <x v="3"/>
    <m/>
    <x v="77"/>
    <x v="3"/>
    <m/>
    <x v="3"/>
    <x v="13"/>
  </r>
  <r>
    <s v="Id1172"/>
    <m/>
    <x v="742"/>
    <x v="525"/>
    <m/>
    <x v="2"/>
    <x v="2"/>
    <n v="2"/>
    <x v="2"/>
    <x v="3"/>
    <x v="3"/>
    <m/>
    <x v="77"/>
    <x v="3"/>
    <m/>
    <x v="3"/>
    <x v="13"/>
  </r>
  <r>
    <s v="Id1171"/>
    <m/>
    <x v="742"/>
    <x v="525"/>
    <m/>
    <x v="2"/>
    <x v="2"/>
    <s v="No major surgery"/>
    <x v="2"/>
    <x v="3"/>
    <x v="3"/>
    <m/>
    <x v="77"/>
    <x v="3"/>
    <m/>
    <x v="3"/>
    <x v="13"/>
  </r>
  <r>
    <s v="Id1170"/>
    <m/>
    <x v="742"/>
    <x v="525"/>
    <m/>
    <x v="2"/>
    <x v="2"/>
    <n v="2"/>
    <x v="2"/>
    <x v="3"/>
    <x v="3"/>
    <m/>
    <x v="77"/>
    <x v="3"/>
    <m/>
    <x v="3"/>
    <x v="13"/>
  </r>
  <r>
    <s v="Id1169"/>
    <m/>
    <x v="742"/>
    <x v="525"/>
    <m/>
    <x v="2"/>
    <x v="2"/>
    <n v="1"/>
    <x v="2"/>
    <x v="3"/>
    <x v="3"/>
    <m/>
    <x v="77"/>
    <x v="3"/>
    <m/>
    <x v="3"/>
    <x v="13"/>
  </r>
  <r>
    <s v="Id1168"/>
    <m/>
    <x v="742"/>
    <x v="525"/>
    <m/>
    <x v="2"/>
    <x v="2"/>
    <n v="1"/>
    <x v="2"/>
    <x v="3"/>
    <x v="3"/>
    <m/>
    <x v="77"/>
    <x v="3"/>
    <m/>
    <x v="3"/>
    <x v="13"/>
  </r>
  <r>
    <s v="Id1167"/>
    <m/>
    <x v="742"/>
    <x v="525"/>
    <m/>
    <x v="2"/>
    <x v="2"/>
    <n v="2"/>
    <x v="2"/>
    <x v="3"/>
    <x v="3"/>
    <m/>
    <x v="77"/>
    <x v="3"/>
    <m/>
    <x v="3"/>
    <x v="13"/>
  </r>
  <r>
    <s v="Id1166"/>
    <m/>
    <x v="742"/>
    <x v="525"/>
    <m/>
    <x v="2"/>
    <x v="2"/>
    <n v="1"/>
    <x v="2"/>
    <x v="3"/>
    <x v="3"/>
    <m/>
    <x v="77"/>
    <x v="3"/>
    <m/>
    <x v="3"/>
    <x v="13"/>
  </r>
  <r>
    <s v="Id1165"/>
    <m/>
    <x v="742"/>
    <x v="525"/>
    <m/>
    <x v="2"/>
    <x v="2"/>
    <s v="No major surgery"/>
    <x v="2"/>
    <x v="3"/>
    <x v="3"/>
    <m/>
    <x v="77"/>
    <x v="3"/>
    <m/>
    <x v="3"/>
    <x v="13"/>
  </r>
  <r>
    <s v="Id1164"/>
    <m/>
    <x v="742"/>
    <x v="525"/>
    <m/>
    <x v="2"/>
    <x v="2"/>
    <n v="2"/>
    <x v="2"/>
    <x v="3"/>
    <x v="3"/>
    <m/>
    <x v="77"/>
    <x v="3"/>
    <m/>
    <x v="3"/>
    <x v="13"/>
  </r>
  <r>
    <s v="Id1163"/>
    <m/>
    <x v="742"/>
    <x v="525"/>
    <m/>
    <x v="2"/>
    <x v="2"/>
    <n v="1"/>
    <x v="2"/>
    <x v="3"/>
    <x v="3"/>
    <m/>
    <x v="77"/>
    <x v="3"/>
    <m/>
    <x v="3"/>
    <x v="13"/>
  </r>
  <r>
    <s v="Id1162"/>
    <m/>
    <x v="742"/>
    <x v="525"/>
    <m/>
    <x v="2"/>
    <x v="2"/>
    <s v="No major surgery"/>
    <x v="2"/>
    <x v="3"/>
    <x v="3"/>
    <m/>
    <x v="77"/>
    <x v="3"/>
    <m/>
    <x v="3"/>
    <x v="13"/>
  </r>
  <r>
    <s v="Id1161"/>
    <m/>
    <x v="742"/>
    <x v="525"/>
    <m/>
    <x v="2"/>
    <x v="2"/>
    <n v="2"/>
    <x v="2"/>
    <x v="3"/>
    <x v="3"/>
    <m/>
    <x v="77"/>
    <x v="3"/>
    <m/>
    <x v="3"/>
    <x v="13"/>
  </r>
  <r>
    <s v="Id1160"/>
    <m/>
    <x v="742"/>
    <x v="525"/>
    <m/>
    <x v="2"/>
    <x v="2"/>
    <n v="2"/>
    <x v="2"/>
    <x v="3"/>
    <x v="3"/>
    <m/>
    <x v="77"/>
    <x v="3"/>
    <m/>
    <x v="3"/>
    <x v="13"/>
  </r>
  <r>
    <s v="Id1159"/>
    <m/>
    <x v="742"/>
    <x v="525"/>
    <m/>
    <x v="2"/>
    <x v="2"/>
    <n v="2"/>
    <x v="2"/>
    <x v="3"/>
    <x v="3"/>
    <m/>
    <x v="77"/>
    <x v="3"/>
    <m/>
    <x v="3"/>
    <x v="13"/>
  </r>
  <r>
    <s v="Id1158"/>
    <m/>
    <x v="742"/>
    <x v="525"/>
    <m/>
    <x v="2"/>
    <x v="2"/>
    <s v="No major surgery"/>
    <x v="2"/>
    <x v="3"/>
    <x v="3"/>
    <m/>
    <x v="77"/>
    <x v="3"/>
    <m/>
    <x v="3"/>
    <x v="13"/>
  </r>
  <r>
    <s v="Id1157"/>
    <m/>
    <x v="742"/>
    <x v="525"/>
    <m/>
    <x v="2"/>
    <x v="2"/>
    <n v="2"/>
    <x v="2"/>
    <x v="3"/>
    <x v="3"/>
    <m/>
    <x v="77"/>
    <x v="3"/>
    <m/>
    <x v="3"/>
    <x v="13"/>
  </r>
  <r>
    <s v="Id1156"/>
    <m/>
    <x v="742"/>
    <x v="525"/>
    <m/>
    <x v="2"/>
    <x v="2"/>
    <n v="2"/>
    <x v="2"/>
    <x v="3"/>
    <x v="3"/>
    <m/>
    <x v="77"/>
    <x v="3"/>
    <m/>
    <x v="3"/>
    <x v="13"/>
  </r>
  <r>
    <s v="Id1155"/>
    <m/>
    <x v="742"/>
    <x v="525"/>
    <m/>
    <x v="2"/>
    <x v="2"/>
    <n v="1"/>
    <x v="2"/>
    <x v="3"/>
    <x v="3"/>
    <m/>
    <x v="77"/>
    <x v="3"/>
    <m/>
    <x v="3"/>
    <x v="13"/>
  </r>
  <r>
    <s v="Id1154"/>
    <m/>
    <x v="742"/>
    <x v="525"/>
    <m/>
    <x v="2"/>
    <x v="2"/>
    <n v="2"/>
    <x v="2"/>
    <x v="3"/>
    <x v="3"/>
    <m/>
    <x v="77"/>
    <x v="3"/>
    <m/>
    <x v="3"/>
    <x v="13"/>
  </r>
  <r>
    <s v="Id1153"/>
    <m/>
    <x v="742"/>
    <x v="525"/>
    <m/>
    <x v="2"/>
    <x v="2"/>
    <s v="No major surgery"/>
    <x v="2"/>
    <x v="3"/>
    <x v="3"/>
    <m/>
    <x v="77"/>
    <x v="3"/>
    <m/>
    <x v="3"/>
    <x v="13"/>
  </r>
  <r>
    <s v="Id1152"/>
    <m/>
    <x v="742"/>
    <x v="525"/>
    <m/>
    <x v="2"/>
    <x v="2"/>
    <n v="1"/>
    <x v="2"/>
    <x v="3"/>
    <x v="3"/>
    <m/>
    <x v="77"/>
    <x v="3"/>
    <m/>
    <x v="3"/>
    <x v="13"/>
  </r>
  <r>
    <s v="Id1151"/>
    <m/>
    <x v="742"/>
    <x v="525"/>
    <m/>
    <x v="2"/>
    <x v="2"/>
    <n v="1"/>
    <x v="2"/>
    <x v="3"/>
    <x v="3"/>
    <m/>
    <x v="77"/>
    <x v="3"/>
    <m/>
    <x v="3"/>
    <x v="13"/>
  </r>
  <r>
    <s v="Id1150"/>
    <m/>
    <x v="742"/>
    <x v="525"/>
    <m/>
    <x v="2"/>
    <x v="2"/>
    <s v="No major surgery"/>
    <x v="2"/>
    <x v="3"/>
    <x v="3"/>
    <m/>
    <x v="77"/>
    <x v="3"/>
    <m/>
    <x v="3"/>
    <x v="13"/>
  </r>
  <r>
    <s v="Id1149"/>
    <m/>
    <x v="742"/>
    <x v="525"/>
    <m/>
    <x v="2"/>
    <x v="2"/>
    <n v="1"/>
    <x v="2"/>
    <x v="3"/>
    <x v="3"/>
    <m/>
    <x v="77"/>
    <x v="3"/>
    <m/>
    <x v="3"/>
    <x v="13"/>
  </r>
  <r>
    <s v="Id1148"/>
    <m/>
    <x v="742"/>
    <x v="525"/>
    <m/>
    <x v="2"/>
    <x v="2"/>
    <n v="1"/>
    <x v="2"/>
    <x v="3"/>
    <x v="3"/>
    <m/>
    <x v="77"/>
    <x v="3"/>
    <m/>
    <x v="3"/>
    <x v="13"/>
  </r>
  <r>
    <s v="Id1147"/>
    <m/>
    <x v="742"/>
    <x v="525"/>
    <m/>
    <x v="2"/>
    <x v="2"/>
    <n v="1"/>
    <x v="2"/>
    <x v="3"/>
    <x v="3"/>
    <m/>
    <x v="77"/>
    <x v="3"/>
    <m/>
    <x v="3"/>
    <x v="13"/>
  </r>
  <r>
    <s v="Id1146"/>
    <m/>
    <x v="742"/>
    <x v="525"/>
    <m/>
    <x v="2"/>
    <x v="2"/>
    <s v="No major surgery"/>
    <x v="2"/>
    <x v="3"/>
    <x v="3"/>
    <m/>
    <x v="77"/>
    <x v="3"/>
    <m/>
    <x v="3"/>
    <x v="13"/>
  </r>
  <r>
    <s v="Id1145"/>
    <m/>
    <x v="742"/>
    <x v="525"/>
    <m/>
    <x v="2"/>
    <x v="2"/>
    <s v="No major surgery"/>
    <x v="2"/>
    <x v="3"/>
    <x v="3"/>
    <m/>
    <x v="77"/>
    <x v="3"/>
    <m/>
    <x v="3"/>
    <x v="13"/>
  </r>
  <r>
    <s v="Id1144"/>
    <m/>
    <x v="742"/>
    <x v="525"/>
    <m/>
    <x v="2"/>
    <x v="2"/>
    <s v="No major surgery"/>
    <x v="2"/>
    <x v="3"/>
    <x v="3"/>
    <m/>
    <x v="77"/>
    <x v="3"/>
    <m/>
    <x v="3"/>
    <x v="13"/>
  </r>
  <r>
    <s v="Id1143"/>
    <m/>
    <x v="742"/>
    <x v="525"/>
    <m/>
    <x v="2"/>
    <x v="2"/>
    <s v="No major surgery"/>
    <x v="2"/>
    <x v="3"/>
    <x v="3"/>
    <m/>
    <x v="77"/>
    <x v="3"/>
    <m/>
    <x v="3"/>
    <x v="13"/>
  </r>
  <r>
    <s v="Id1142"/>
    <m/>
    <x v="742"/>
    <x v="525"/>
    <m/>
    <x v="2"/>
    <x v="2"/>
    <s v="No major surgery"/>
    <x v="2"/>
    <x v="3"/>
    <x v="3"/>
    <m/>
    <x v="77"/>
    <x v="3"/>
    <m/>
    <x v="3"/>
    <x v="13"/>
  </r>
  <r>
    <s v="Id1141"/>
    <m/>
    <x v="742"/>
    <x v="525"/>
    <m/>
    <x v="2"/>
    <x v="2"/>
    <s v="No major surgery"/>
    <x v="2"/>
    <x v="3"/>
    <x v="3"/>
    <m/>
    <x v="77"/>
    <x v="3"/>
    <m/>
    <x v="3"/>
    <x v="13"/>
  </r>
  <r>
    <s v="Id1140"/>
    <m/>
    <x v="742"/>
    <x v="525"/>
    <m/>
    <x v="2"/>
    <x v="2"/>
    <s v="No major surgery"/>
    <x v="2"/>
    <x v="3"/>
    <x v="3"/>
    <m/>
    <x v="77"/>
    <x v="3"/>
    <m/>
    <x v="3"/>
    <x v="13"/>
  </r>
  <r>
    <s v="Id1139"/>
    <m/>
    <x v="742"/>
    <x v="525"/>
    <m/>
    <x v="2"/>
    <x v="2"/>
    <n v="1"/>
    <x v="2"/>
    <x v="3"/>
    <x v="3"/>
    <m/>
    <x v="77"/>
    <x v="3"/>
    <m/>
    <x v="3"/>
    <x v="13"/>
  </r>
  <r>
    <s v="Id1138"/>
    <m/>
    <x v="742"/>
    <x v="525"/>
    <m/>
    <x v="2"/>
    <x v="2"/>
    <s v="No major surgery"/>
    <x v="2"/>
    <x v="3"/>
    <x v="3"/>
    <m/>
    <x v="77"/>
    <x v="3"/>
    <m/>
    <x v="3"/>
    <x v="13"/>
  </r>
  <r>
    <s v="Id1137"/>
    <m/>
    <x v="742"/>
    <x v="525"/>
    <m/>
    <x v="2"/>
    <x v="2"/>
    <n v="1"/>
    <x v="2"/>
    <x v="3"/>
    <x v="3"/>
    <m/>
    <x v="77"/>
    <x v="3"/>
    <m/>
    <x v="3"/>
    <x v="13"/>
  </r>
  <r>
    <s v="Id1136"/>
    <m/>
    <x v="742"/>
    <x v="525"/>
    <m/>
    <x v="2"/>
    <x v="2"/>
    <s v="No major surgery"/>
    <x v="2"/>
    <x v="3"/>
    <x v="3"/>
    <m/>
    <x v="77"/>
    <x v="3"/>
    <m/>
    <x v="3"/>
    <x v="13"/>
  </r>
  <r>
    <s v="Id1135"/>
    <m/>
    <x v="742"/>
    <x v="525"/>
    <m/>
    <x v="2"/>
    <x v="2"/>
    <n v="1"/>
    <x v="2"/>
    <x v="3"/>
    <x v="3"/>
    <m/>
    <x v="77"/>
    <x v="3"/>
    <m/>
    <x v="3"/>
    <x v="13"/>
  </r>
  <r>
    <s v="Id1134"/>
    <m/>
    <x v="742"/>
    <x v="525"/>
    <m/>
    <x v="2"/>
    <x v="2"/>
    <s v="No major surgery"/>
    <x v="2"/>
    <x v="3"/>
    <x v="3"/>
    <m/>
    <x v="77"/>
    <x v="3"/>
    <m/>
    <x v="3"/>
    <x v="13"/>
  </r>
  <r>
    <s v="Id1133"/>
    <m/>
    <x v="742"/>
    <x v="525"/>
    <m/>
    <x v="2"/>
    <x v="2"/>
    <n v="1"/>
    <x v="2"/>
    <x v="3"/>
    <x v="3"/>
    <m/>
    <x v="77"/>
    <x v="3"/>
    <m/>
    <x v="3"/>
    <x v="13"/>
  </r>
  <r>
    <s v="Id1132"/>
    <m/>
    <x v="742"/>
    <x v="525"/>
    <m/>
    <x v="2"/>
    <x v="2"/>
    <s v="No major surgery"/>
    <x v="2"/>
    <x v="3"/>
    <x v="3"/>
    <m/>
    <x v="77"/>
    <x v="3"/>
    <m/>
    <x v="3"/>
    <x v="13"/>
  </r>
  <r>
    <s v="Id1131"/>
    <m/>
    <x v="742"/>
    <x v="525"/>
    <m/>
    <x v="2"/>
    <x v="2"/>
    <n v="1"/>
    <x v="2"/>
    <x v="3"/>
    <x v="3"/>
    <m/>
    <x v="77"/>
    <x v="3"/>
    <m/>
    <x v="3"/>
    <x v="13"/>
  </r>
  <r>
    <s v="Id1130"/>
    <m/>
    <x v="742"/>
    <x v="525"/>
    <m/>
    <x v="2"/>
    <x v="2"/>
    <n v="2"/>
    <x v="2"/>
    <x v="3"/>
    <x v="3"/>
    <m/>
    <x v="77"/>
    <x v="3"/>
    <m/>
    <x v="3"/>
    <x v="13"/>
  </r>
  <r>
    <s v="Id1129"/>
    <m/>
    <x v="742"/>
    <x v="525"/>
    <m/>
    <x v="2"/>
    <x v="2"/>
    <s v="No major surgery"/>
    <x v="2"/>
    <x v="3"/>
    <x v="3"/>
    <m/>
    <x v="77"/>
    <x v="3"/>
    <m/>
    <x v="3"/>
    <x v="13"/>
  </r>
  <r>
    <s v="Id1128"/>
    <m/>
    <x v="742"/>
    <x v="525"/>
    <m/>
    <x v="2"/>
    <x v="2"/>
    <n v="2"/>
    <x v="2"/>
    <x v="3"/>
    <x v="3"/>
    <m/>
    <x v="77"/>
    <x v="3"/>
    <m/>
    <x v="3"/>
    <x v="13"/>
  </r>
  <r>
    <s v="Id1127"/>
    <m/>
    <x v="742"/>
    <x v="525"/>
    <m/>
    <x v="2"/>
    <x v="2"/>
    <n v="2"/>
    <x v="2"/>
    <x v="3"/>
    <x v="3"/>
    <m/>
    <x v="77"/>
    <x v="3"/>
    <m/>
    <x v="3"/>
    <x v="13"/>
  </r>
  <r>
    <s v="Id1126"/>
    <m/>
    <x v="742"/>
    <x v="525"/>
    <m/>
    <x v="2"/>
    <x v="2"/>
    <n v="1"/>
    <x v="2"/>
    <x v="3"/>
    <x v="3"/>
    <m/>
    <x v="77"/>
    <x v="3"/>
    <m/>
    <x v="3"/>
    <x v="13"/>
  </r>
  <r>
    <s v="Id1125"/>
    <m/>
    <x v="742"/>
    <x v="525"/>
    <m/>
    <x v="2"/>
    <x v="2"/>
    <s v="No major surgery"/>
    <x v="2"/>
    <x v="3"/>
    <x v="3"/>
    <m/>
    <x v="77"/>
    <x v="3"/>
    <m/>
    <x v="3"/>
    <x v="13"/>
  </r>
  <r>
    <s v="Id1124"/>
    <m/>
    <x v="742"/>
    <x v="525"/>
    <m/>
    <x v="2"/>
    <x v="2"/>
    <n v="2"/>
    <x v="2"/>
    <x v="3"/>
    <x v="3"/>
    <m/>
    <x v="77"/>
    <x v="3"/>
    <m/>
    <x v="3"/>
    <x v="13"/>
  </r>
  <r>
    <s v="Id1123"/>
    <m/>
    <x v="742"/>
    <x v="525"/>
    <m/>
    <x v="2"/>
    <x v="2"/>
    <s v="No major surgery"/>
    <x v="2"/>
    <x v="3"/>
    <x v="3"/>
    <m/>
    <x v="77"/>
    <x v="3"/>
    <m/>
    <x v="3"/>
    <x v="13"/>
  </r>
  <r>
    <s v="Id1122"/>
    <m/>
    <x v="742"/>
    <x v="525"/>
    <m/>
    <x v="2"/>
    <x v="2"/>
    <s v="No major surgery"/>
    <x v="2"/>
    <x v="3"/>
    <x v="3"/>
    <m/>
    <x v="77"/>
    <x v="3"/>
    <m/>
    <x v="3"/>
    <x v="13"/>
  </r>
  <r>
    <s v="Id1121"/>
    <m/>
    <x v="742"/>
    <x v="525"/>
    <m/>
    <x v="2"/>
    <x v="2"/>
    <s v="No major surgery"/>
    <x v="2"/>
    <x v="3"/>
    <x v="3"/>
    <m/>
    <x v="77"/>
    <x v="3"/>
    <m/>
    <x v="3"/>
    <x v="13"/>
  </r>
  <r>
    <s v="Id1120"/>
    <m/>
    <x v="742"/>
    <x v="525"/>
    <m/>
    <x v="2"/>
    <x v="2"/>
    <n v="1"/>
    <x v="2"/>
    <x v="3"/>
    <x v="3"/>
    <m/>
    <x v="77"/>
    <x v="3"/>
    <m/>
    <x v="3"/>
    <x v="13"/>
  </r>
  <r>
    <s v="Id1119"/>
    <m/>
    <x v="742"/>
    <x v="525"/>
    <m/>
    <x v="2"/>
    <x v="2"/>
    <s v="No major surgery"/>
    <x v="2"/>
    <x v="3"/>
    <x v="3"/>
    <m/>
    <x v="77"/>
    <x v="3"/>
    <m/>
    <x v="3"/>
    <x v="13"/>
  </r>
  <r>
    <s v="Id1118"/>
    <m/>
    <x v="742"/>
    <x v="525"/>
    <m/>
    <x v="2"/>
    <x v="2"/>
    <n v="1"/>
    <x v="2"/>
    <x v="3"/>
    <x v="3"/>
    <m/>
    <x v="77"/>
    <x v="3"/>
    <m/>
    <x v="3"/>
    <x v="13"/>
  </r>
  <r>
    <s v="Id1117"/>
    <m/>
    <x v="742"/>
    <x v="525"/>
    <m/>
    <x v="2"/>
    <x v="2"/>
    <s v="No major surgery"/>
    <x v="2"/>
    <x v="3"/>
    <x v="3"/>
    <m/>
    <x v="77"/>
    <x v="3"/>
    <m/>
    <x v="3"/>
    <x v="13"/>
  </r>
  <r>
    <s v="Id1116"/>
    <m/>
    <x v="742"/>
    <x v="525"/>
    <m/>
    <x v="2"/>
    <x v="2"/>
    <n v="2"/>
    <x v="2"/>
    <x v="3"/>
    <x v="3"/>
    <m/>
    <x v="77"/>
    <x v="3"/>
    <m/>
    <x v="3"/>
    <x v="13"/>
  </r>
  <r>
    <s v="Id1115"/>
    <m/>
    <x v="742"/>
    <x v="525"/>
    <m/>
    <x v="2"/>
    <x v="2"/>
    <s v="No major surgery"/>
    <x v="2"/>
    <x v="3"/>
    <x v="3"/>
    <m/>
    <x v="77"/>
    <x v="3"/>
    <m/>
    <x v="3"/>
    <x v="13"/>
  </r>
  <r>
    <s v="Id1114"/>
    <m/>
    <x v="742"/>
    <x v="525"/>
    <m/>
    <x v="2"/>
    <x v="2"/>
    <n v="2"/>
    <x v="2"/>
    <x v="3"/>
    <x v="3"/>
    <m/>
    <x v="77"/>
    <x v="3"/>
    <m/>
    <x v="3"/>
    <x v="13"/>
  </r>
  <r>
    <s v="Id1113"/>
    <m/>
    <x v="742"/>
    <x v="525"/>
    <m/>
    <x v="2"/>
    <x v="2"/>
    <s v="No major surgery"/>
    <x v="2"/>
    <x v="3"/>
    <x v="3"/>
    <m/>
    <x v="77"/>
    <x v="3"/>
    <m/>
    <x v="3"/>
    <x v="13"/>
  </r>
  <r>
    <s v="Id1112"/>
    <m/>
    <x v="742"/>
    <x v="525"/>
    <m/>
    <x v="2"/>
    <x v="2"/>
    <s v="No major surgery"/>
    <x v="2"/>
    <x v="3"/>
    <x v="3"/>
    <m/>
    <x v="77"/>
    <x v="3"/>
    <m/>
    <x v="3"/>
    <x v="13"/>
  </r>
  <r>
    <s v="Id1111"/>
    <m/>
    <x v="742"/>
    <x v="525"/>
    <m/>
    <x v="2"/>
    <x v="2"/>
    <n v="2"/>
    <x v="2"/>
    <x v="3"/>
    <x v="3"/>
    <m/>
    <x v="77"/>
    <x v="3"/>
    <m/>
    <x v="3"/>
    <x v="13"/>
  </r>
  <r>
    <s v="Id1110"/>
    <m/>
    <x v="742"/>
    <x v="525"/>
    <m/>
    <x v="2"/>
    <x v="2"/>
    <n v="2"/>
    <x v="2"/>
    <x v="3"/>
    <x v="3"/>
    <m/>
    <x v="77"/>
    <x v="3"/>
    <m/>
    <x v="3"/>
    <x v="13"/>
  </r>
  <r>
    <s v="Id1109"/>
    <m/>
    <x v="742"/>
    <x v="525"/>
    <m/>
    <x v="2"/>
    <x v="2"/>
    <s v="No major surgery"/>
    <x v="2"/>
    <x v="3"/>
    <x v="3"/>
    <m/>
    <x v="77"/>
    <x v="3"/>
    <m/>
    <x v="3"/>
    <x v="13"/>
  </r>
  <r>
    <s v="Id1108"/>
    <m/>
    <x v="742"/>
    <x v="525"/>
    <m/>
    <x v="2"/>
    <x v="2"/>
    <s v="No major surgery"/>
    <x v="2"/>
    <x v="3"/>
    <x v="3"/>
    <m/>
    <x v="77"/>
    <x v="3"/>
    <m/>
    <x v="3"/>
    <x v="13"/>
  </r>
  <r>
    <s v="Id1107"/>
    <m/>
    <x v="742"/>
    <x v="525"/>
    <m/>
    <x v="2"/>
    <x v="2"/>
    <s v="No major surgery"/>
    <x v="2"/>
    <x v="3"/>
    <x v="3"/>
    <m/>
    <x v="77"/>
    <x v="3"/>
    <m/>
    <x v="3"/>
    <x v="13"/>
  </r>
  <r>
    <s v="Id1106"/>
    <m/>
    <x v="742"/>
    <x v="525"/>
    <m/>
    <x v="2"/>
    <x v="2"/>
    <n v="2"/>
    <x v="2"/>
    <x v="3"/>
    <x v="3"/>
    <m/>
    <x v="77"/>
    <x v="3"/>
    <m/>
    <x v="3"/>
    <x v="13"/>
  </r>
  <r>
    <s v="Id1105"/>
    <m/>
    <x v="742"/>
    <x v="525"/>
    <m/>
    <x v="2"/>
    <x v="2"/>
    <n v="2"/>
    <x v="2"/>
    <x v="3"/>
    <x v="3"/>
    <m/>
    <x v="77"/>
    <x v="3"/>
    <m/>
    <x v="3"/>
    <x v="13"/>
  </r>
  <r>
    <s v="Id1104"/>
    <m/>
    <x v="742"/>
    <x v="525"/>
    <m/>
    <x v="2"/>
    <x v="2"/>
    <n v="1"/>
    <x v="2"/>
    <x v="3"/>
    <x v="3"/>
    <m/>
    <x v="77"/>
    <x v="3"/>
    <m/>
    <x v="3"/>
    <x v="13"/>
  </r>
  <r>
    <s v="Id1103"/>
    <m/>
    <x v="742"/>
    <x v="525"/>
    <m/>
    <x v="2"/>
    <x v="2"/>
    <n v="1"/>
    <x v="2"/>
    <x v="3"/>
    <x v="3"/>
    <m/>
    <x v="77"/>
    <x v="3"/>
    <m/>
    <x v="3"/>
    <x v="13"/>
  </r>
  <r>
    <s v="Id1102"/>
    <m/>
    <x v="742"/>
    <x v="525"/>
    <m/>
    <x v="2"/>
    <x v="2"/>
    <n v="2"/>
    <x v="2"/>
    <x v="3"/>
    <x v="3"/>
    <m/>
    <x v="77"/>
    <x v="3"/>
    <m/>
    <x v="3"/>
    <x v="13"/>
  </r>
  <r>
    <s v="Id1101"/>
    <m/>
    <x v="742"/>
    <x v="525"/>
    <m/>
    <x v="2"/>
    <x v="2"/>
    <s v="No major surgery"/>
    <x v="2"/>
    <x v="3"/>
    <x v="3"/>
    <m/>
    <x v="77"/>
    <x v="3"/>
    <m/>
    <x v="3"/>
    <x v="13"/>
  </r>
  <r>
    <s v="Id1100"/>
    <m/>
    <x v="742"/>
    <x v="525"/>
    <m/>
    <x v="2"/>
    <x v="2"/>
    <s v="No major surgery"/>
    <x v="2"/>
    <x v="3"/>
    <x v="3"/>
    <m/>
    <x v="77"/>
    <x v="3"/>
    <m/>
    <x v="3"/>
    <x v="13"/>
  </r>
  <r>
    <s v="Id1099"/>
    <m/>
    <x v="742"/>
    <x v="525"/>
    <m/>
    <x v="2"/>
    <x v="2"/>
    <n v="1"/>
    <x v="2"/>
    <x v="3"/>
    <x v="3"/>
    <m/>
    <x v="77"/>
    <x v="3"/>
    <m/>
    <x v="3"/>
    <x v="13"/>
  </r>
  <r>
    <s v="Id1098"/>
    <m/>
    <x v="742"/>
    <x v="525"/>
    <m/>
    <x v="2"/>
    <x v="2"/>
    <s v="No major surgery"/>
    <x v="2"/>
    <x v="3"/>
    <x v="3"/>
    <m/>
    <x v="77"/>
    <x v="3"/>
    <m/>
    <x v="3"/>
    <x v="13"/>
  </r>
  <r>
    <s v="Id1097"/>
    <m/>
    <x v="742"/>
    <x v="525"/>
    <m/>
    <x v="2"/>
    <x v="2"/>
    <n v="1"/>
    <x v="2"/>
    <x v="3"/>
    <x v="3"/>
    <m/>
    <x v="77"/>
    <x v="3"/>
    <m/>
    <x v="3"/>
    <x v="13"/>
  </r>
  <r>
    <s v="Id1096"/>
    <m/>
    <x v="742"/>
    <x v="525"/>
    <m/>
    <x v="2"/>
    <x v="2"/>
    <s v="No major surgery"/>
    <x v="2"/>
    <x v="3"/>
    <x v="3"/>
    <m/>
    <x v="77"/>
    <x v="3"/>
    <m/>
    <x v="3"/>
    <x v="13"/>
  </r>
  <r>
    <s v="Id1095"/>
    <m/>
    <x v="742"/>
    <x v="525"/>
    <m/>
    <x v="2"/>
    <x v="2"/>
    <n v="2"/>
    <x v="2"/>
    <x v="3"/>
    <x v="3"/>
    <m/>
    <x v="77"/>
    <x v="3"/>
    <m/>
    <x v="3"/>
    <x v="13"/>
  </r>
  <r>
    <s v="Id1094"/>
    <m/>
    <x v="742"/>
    <x v="525"/>
    <m/>
    <x v="2"/>
    <x v="2"/>
    <n v="1"/>
    <x v="2"/>
    <x v="3"/>
    <x v="3"/>
    <m/>
    <x v="77"/>
    <x v="3"/>
    <m/>
    <x v="3"/>
    <x v="13"/>
  </r>
  <r>
    <s v="Id1093"/>
    <m/>
    <x v="742"/>
    <x v="525"/>
    <m/>
    <x v="2"/>
    <x v="2"/>
    <s v="No major surgery"/>
    <x v="2"/>
    <x v="3"/>
    <x v="3"/>
    <m/>
    <x v="77"/>
    <x v="3"/>
    <m/>
    <x v="3"/>
    <x v="13"/>
  </r>
  <r>
    <s v="Id1092"/>
    <m/>
    <x v="742"/>
    <x v="525"/>
    <m/>
    <x v="2"/>
    <x v="2"/>
    <n v="1"/>
    <x v="2"/>
    <x v="3"/>
    <x v="3"/>
    <m/>
    <x v="77"/>
    <x v="3"/>
    <m/>
    <x v="3"/>
    <x v="13"/>
  </r>
  <r>
    <s v="Id1091"/>
    <m/>
    <x v="742"/>
    <x v="525"/>
    <m/>
    <x v="2"/>
    <x v="2"/>
    <s v="No major surgery"/>
    <x v="2"/>
    <x v="3"/>
    <x v="3"/>
    <m/>
    <x v="77"/>
    <x v="3"/>
    <m/>
    <x v="3"/>
    <x v="13"/>
  </r>
  <r>
    <s v="Id1090"/>
    <m/>
    <x v="742"/>
    <x v="525"/>
    <m/>
    <x v="2"/>
    <x v="2"/>
    <n v="2"/>
    <x v="2"/>
    <x v="3"/>
    <x v="3"/>
    <m/>
    <x v="77"/>
    <x v="3"/>
    <m/>
    <x v="3"/>
    <x v="13"/>
  </r>
  <r>
    <s v="Id1089"/>
    <m/>
    <x v="742"/>
    <x v="525"/>
    <m/>
    <x v="2"/>
    <x v="2"/>
    <s v="No major surgery"/>
    <x v="2"/>
    <x v="3"/>
    <x v="3"/>
    <m/>
    <x v="77"/>
    <x v="3"/>
    <m/>
    <x v="3"/>
    <x v="13"/>
  </r>
  <r>
    <s v="Id1088"/>
    <m/>
    <x v="742"/>
    <x v="525"/>
    <m/>
    <x v="2"/>
    <x v="2"/>
    <n v="2"/>
    <x v="2"/>
    <x v="3"/>
    <x v="3"/>
    <m/>
    <x v="77"/>
    <x v="3"/>
    <m/>
    <x v="3"/>
    <x v="13"/>
  </r>
  <r>
    <s v="Id1087"/>
    <m/>
    <x v="742"/>
    <x v="525"/>
    <m/>
    <x v="2"/>
    <x v="2"/>
    <n v="2"/>
    <x v="2"/>
    <x v="3"/>
    <x v="3"/>
    <m/>
    <x v="77"/>
    <x v="3"/>
    <m/>
    <x v="3"/>
    <x v="13"/>
  </r>
  <r>
    <s v="Id1086"/>
    <m/>
    <x v="742"/>
    <x v="525"/>
    <m/>
    <x v="2"/>
    <x v="2"/>
    <s v="No major surgery"/>
    <x v="2"/>
    <x v="3"/>
    <x v="3"/>
    <m/>
    <x v="77"/>
    <x v="3"/>
    <m/>
    <x v="3"/>
    <x v="13"/>
  </r>
  <r>
    <s v="Id1085"/>
    <m/>
    <x v="742"/>
    <x v="525"/>
    <m/>
    <x v="2"/>
    <x v="2"/>
    <n v="1"/>
    <x v="2"/>
    <x v="3"/>
    <x v="3"/>
    <m/>
    <x v="77"/>
    <x v="3"/>
    <m/>
    <x v="3"/>
    <x v="13"/>
  </r>
  <r>
    <s v="Id1084"/>
    <m/>
    <x v="742"/>
    <x v="525"/>
    <m/>
    <x v="2"/>
    <x v="2"/>
    <s v="No major surgery"/>
    <x v="2"/>
    <x v="3"/>
    <x v="3"/>
    <m/>
    <x v="77"/>
    <x v="3"/>
    <m/>
    <x v="3"/>
    <x v="13"/>
  </r>
  <r>
    <s v="Id1083"/>
    <m/>
    <x v="742"/>
    <x v="525"/>
    <m/>
    <x v="2"/>
    <x v="2"/>
    <s v="No major surgery"/>
    <x v="2"/>
    <x v="3"/>
    <x v="3"/>
    <m/>
    <x v="77"/>
    <x v="3"/>
    <m/>
    <x v="3"/>
    <x v="13"/>
  </r>
  <r>
    <s v="Id1082"/>
    <m/>
    <x v="742"/>
    <x v="525"/>
    <m/>
    <x v="2"/>
    <x v="2"/>
    <s v="No major surgery"/>
    <x v="2"/>
    <x v="3"/>
    <x v="3"/>
    <m/>
    <x v="77"/>
    <x v="3"/>
    <m/>
    <x v="3"/>
    <x v="13"/>
  </r>
  <r>
    <s v="Id1081"/>
    <m/>
    <x v="742"/>
    <x v="525"/>
    <m/>
    <x v="2"/>
    <x v="2"/>
    <s v="No major surgery"/>
    <x v="2"/>
    <x v="3"/>
    <x v="3"/>
    <m/>
    <x v="77"/>
    <x v="3"/>
    <m/>
    <x v="3"/>
    <x v="13"/>
  </r>
  <r>
    <s v="Id1080"/>
    <m/>
    <x v="742"/>
    <x v="525"/>
    <m/>
    <x v="2"/>
    <x v="2"/>
    <s v="No major surgery"/>
    <x v="2"/>
    <x v="3"/>
    <x v="3"/>
    <m/>
    <x v="77"/>
    <x v="3"/>
    <m/>
    <x v="3"/>
    <x v="13"/>
  </r>
  <r>
    <s v="Id1079"/>
    <m/>
    <x v="742"/>
    <x v="525"/>
    <m/>
    <x v="2"/>
    <x v="2"/>
    <s v="No major surgery"/>
    <x v="2"/>
    <x v="3"/>
    <x v="3"/>
    <m/>
    <x v="77"/>
    <x v="3"/>
    <m/>
    <x v="3"/>
    <x v="13"/>
  </r>
  <r>
    <s v="Id1078"/>
    <m/>
    <x v="742"/>
    <x v="525"/>
    <m/>
    <x v="2"/>
    <x v="2"/>
    <s v="No major surgery"/>
    <x v="2"/>
    <x v="3"/>
    <x v="3"/>
    <m/>
    <x v="77"/>
    <x v="3"/>
    <m/>
    <x v="3"/>
    <x v="13"/>
  </r>
  <r>
    <s v="Id1077"/>
    <m/>
    <x v="742"/>
    <x v="525"/>
    <m/>
    <x v="2"/>
    <x v="2"/>
    <n v="1"/>
    <x v="2"/>
    <x v="3"/>
    <x v="3"/>
    <m/>
    <x v="77"/>
    <x v="3"/>
    <m/>
    <x v="3"/>
    <x v="13"/>
  </r>
  <r>
    <s v="Id1076"/>
    <m/>
    <x v="742"/>
    <x v="525"/>
    <m/>
    <x v="2"/>
    <x v="2"/>
    <s v="No major surgery"/>
    <x v="2"/>
    <x v="3"/>
    <x v="3"/>
    <m/>
    <x v="77"/>
    <x v="3"/>
    <m/>
    <x v="3"/>
    <x v="13"/>
  </r>
  <r>
    <s v="Id1075"/>
    <m/>
    <x v="742"/>
    <x v="525"/>
    <m/>
    <x v="2"/>
    <x v="2"/>
    <s v="No major surgery"/>
    <x v="2"/>
    <x v="3"/>
    <x v="3"/>
    <m/>
    <x v="77"/>
    <x v="3"/>
    <m/>
    <x v="3"/>
    <x v="13"/>
  </r>
  <r>
    <s v="Id1074"/>
    <m/>
    <x v="742"/>
    <x v="525"/>
    <m/>
    <x v="2"/>
    <x v="2"/>
    <n v="2"/>
    <x v="2"/>
    <x v="3"/>
    <x v="3"/>
    <m/>
    <x v="77"/>
    <x v="3"/>
    <m/>
    <x v="3"/>
    <x v="13"/>
  </r>
  <r>
    <s v="Id1073"/>
    <m/>
    <x v="742"/>
    <x v="525"/>
    <m/>
    <x v="2"/>
    <x v="2"/>
    <s v="No major surgery"/>
    <x v="2"/>
    <x v="3"/>
    <x v="3"/>
    <m/>
    <x v="77"/>
    <x v="3"/>
    <m/>
    <x v="3"/>
    <x v="13"/>
  </r>
  <r>
    <s v="Id1072"/>
    <m/>
    <x v="742"/>
    <x v="525"/>
    <m/>
    <x v="2"/>
    <x v="2"/>
    <n v="2"/>
    <x v="2"/>
    <x v="3"/>
    <x v="3"/>
    <m/>
    <x v="77"/>
    <x v="3"/>
    <m/>
    <x v="3"/>
    <x v="13"/>
  </r>
  <r>
    <s v="Id1071"/>
    <m/>
    <x v="742"/>
    <x v="525"/>
    <m/>
    <x v="2"/>
    <x v="2"/>
    <s v="No major surgery"/>
    <x v="2"/>
    <x v="3"/>
    <x v="3"/>
    <m/>
    <x v="77"/>
    <x v="3"/>
    <m/>
    <x v="3"/>
    <x v="13"/>
  </r>
  <r>
    <s v="Id1070"/>
    <m/>
    <x v="742"/>
    <x v="525"/>
    <m/>
    <x v="2"/>
    <x v="2"/>
    <n v="1"/>
    <x v="2"/>
    <x v="3"/>
    <x v="3"/>
    <m/>
    <x v="77"/>
    <x v="3"/>
    <m/>
    <x v="3"/>
    <x v="13"/>
  </r>
  <r>
    <s v="Id1069"/>
    <m/>
    <x v="742"/>
    <x v="525"/>
    <m/>
    <x v="2"/>
    <x v="2"/>
    <s v="No major surgery"/>
    <x v="2"/>
    <x v="3"/>
    <x v="3"/>
    <m/>
    <x v="77"/>
    <x v="3"/>
    <m/>
    <x v="3"/>
    <x v="13"/>
  </r>
  <r>
    <s v="Id1068"/>
    <m/>
    <x v="742"/>
    <x v="525"/>
    <m/>
    <x v="2"/>
    <x v="2"/>
    <n v="1"/>
    <x v="2"/>
    <x v="3"/>
    <x v="3"/>
    <m/>
    <x v="77"/>
    <x v="3"/>
    <m/>
    <x v="3"/>
    <x v="13"/>
  </r>
  <r>
    <s v="Id1067"/>
    <m/>
    <x v="742"/>
    <x v="525"/>
    <m/>
    <x v="2"/>
    <x v="2"/>
    <s v="No major surgery"/>
    <x v="2"/>
    <x v="3"/>
    <x v="3"/>
    <m/>
    <x v="77"/>
    <x v="3"/>
    <m/>
    <x v="3"/>
    <x v="13"/>
  </r>
  <r>
    <s v="Id1066"/>
    <m/>
    <x v="742"/>
    <x v="525"/>
    <m/>
    <x v="2"/>
    <x v="2"/>
    <n v="1"/>
    <x v="2"/>
    <x v="3"/>
    <x v="3"/>
    <m/>
    <x v="77"/>
    <x v="3"/>
    <m/>
    <x v="3"/>
    <x v="13"/>
  </r>
  <r>
    <s v="Id1065"/>
    <m/>
    <x v="742"/>
    <x v="525"/>
    <m/>
    <x v="2"/>
    <x v="2"/>
    <s v="No major surgery"/>
    <x v="2"/>
    <x v="3"/>
    <x v="3"/>
    <m/>
    <x v="77"/>
    <x v="3"/>
    <m/>
    <x v="3"/>
    <x v="13"/>
  </r>
  <r>
    <s v="Id1064"/>
    <m/>
    <x v="742"/>
    <x v="525"/>
    <m/>
    <x v="2"/>
    <x v="2"/>
    <s v="No major surgery"/>
    <x v="2"/>
    <x v="3"/>
    <x v="3"/>
    <m/>
    <x v="77"/>
    <x v="3"/>
    <m/>
    <x v="3"/>
    <x v="13"/>
  </r>
  <r>
    <s v="Id1063"/>
    <m/>
    <x v="742"/>
    <x v="525"/>
    <m/>
    <x v="2"/>
    <x v="2"/>
    <s v="No major surgery"/>
    <x v="2"/>
    <x v="3"/>
    <x v="3"/>
    <m/>
    <x v="77"/>
    <x v="3"/>
    <m/>
    <x v="3"/>
    <x v="13"/>
  </r>
  <r>
    <s v="Id1062"/>
    <m/>
    <x v="742"/>
    <x v="525"/>
    <m/>
    <x v="2"/>
    <x v="2"/>
    <n v="2"/>
    <x v="2"/>
    <x v="3"/>
    <x v="3"/>
    <m/>
    <x v="77"/>
    <x v="3"/>
    <m/>
    <x v="3"/>
    <x v="13"/>
  </r>
  <r>
    <s v="Id1061"/>
    <m/>
    <x v="742"/>
    <x v="525"/>
    <m/>
    <x v="2"/>
    <x v="2"/>
    <n v="1"/>
    <x v="2"/>
    <x v="3"/>
    <x v="3"/>
    <m/>
    <x v="77"/>
    <x v="3"/>
    <m/>
    <x v="3"/>
    <x v="13"/>
  </r>
  <r>
    <s v="Id1060"/>
    <m/>
    <x v="742"/>
    <x v="525"/>
    <m/>
    <x v="2"/>
    <x v="2"/>
    <n v="1"/>
    <x v="2"/>
    <x v="3"/>
    <x v="3"/>
    <m/>
    <x v="77"/>
    <x v="3"/>
    <m/>
    <x v="3"/>
    <x v="13"/>
  </r>
  <r>
    <s v="Id1059"/>
    <m/>
    <x v="742"/>
    <x v="525"/>
    <m/>
    <x v="2"/>
    <x v="2"/>
    <n v="1"/>
    <x v="2"/>
    <x v="3"/>
    <x v="3"/>
    <m/>
    <x v="77"/>
    <x v="3"/>
    <m/>
    <x v="3"/>
    <x v="13"/>
  </r>
  <r>
    <s v="Id1058"/>
    <m/>
    <x v="742"/>
    <x v="525"/>
    <m/>
    <x v="2"/>
    <x v="2"/>
    <s v="No major surgery"/>
    <x v="2"/>
    <x v="3"/>
    <x v="3"/>
    <m/>
    <x v="77"/>
    <x v="3"/>
    <m/>
    <x v="3"/>
    <x v="13"/>
  </r>
  <r>
    <s v="Id1057"/>
    <m/>
    <x v="742"/>
    <x v="525"/>
    <m/>
    <x v="2"/>
    <x v="2"/>
    <n v="1"/>
    <x v="2"/>
    <x v="3"/>
    <x v="3"/>
    <m/>
    <x v="77"/>
    <x v="3"/>
    <m/>
    <x v="3"/>
    <x v="13"/>
  </r>
  <r>
    <s v="Id1056"/>
    <m/>
    <x v="742"/>
    <x v="525"/>
    <m/>
    <x v="2"/>
    <x v="2"/>
    <n v="1"/>
    <x v="2"/>
    <x v="3"/>
    <x v="3"/>
    <m/>
    <x v="77"/>
    <x v="3"/>
    <m/>
    <x v="3"/>
    <x v="13"/>
  </r>
  <r>
    <s v="Id1055"/>
    <m/>
    <x v="742"/>
    <x v="525"/>
    <m/>
    <x v="2"/>
    <x v="2"/>
    <n v="1"/>
    <x v="2"/>
    <x v="3"/>
    <x v="3"/>
    <m/>
    <x v="77"/>
    <x v="3"/>
    <m/>
    <x v="3"/>
    <x v="13"/>
  </r>
  <r>
    <s v="Id1054"/>
    <m/>
    <x v="742"/>
    <x v="525"/>
    <m/>
    <x v="2"/>
    <x v="2"/>
    <n v="1"/>
    <x v="2"/>
    <x v="3"/>
    <x v="3"/>
    <m/>
    <x v="77"/>
    <x v="3"/>
    <m/>
    <x v="3"/>
    <x v="13"/>
  </r>
  <r>
    <s v="Id1053"/>
    <m/>
    <x v="742"/>
    <x v="525"/>
    <m/>
    <x v="2"/>
    <x v="2"/>
    <n v="1"/>
    <x v="2"/>
    <x v="3"/>
    <x v="3"/>
    <m/>
    <x v="77"/>
    <x v="3"/>
    <m/>
    <x v="3"/>
    <x v="13"/>
  </r>
  <r>
    <s v="Id1052"/>
    <m/>
    <x v="742"/>
    <x v="525"/>
    <m/>
    <x v="2"/>
    <x v="2"/>
    <n v="1"/>
    <x v="2"/>
    <x v="3"/>
    <x v="3"/>
    <m/>
    <x v="77"/>
    <x v="3"/>
    <m/>
    <x v="3"/>
    <x v="13"/>
  </r>
  <r>
    <s v="Id1051"/>
    <m/>
    <x v="742"/>
    <x v="525"/>
    <m/>
    <x v="2"/>
    <x v="2"/>
    <s v="No major surgery"/>
    <x v="2"/>
    <x v="3"/>
    <x v="3"/>
    <m/>
    <x v="77"/>
    <x v="3"/>
    <m/>
    <x v="3"/>
    <x v="13"/>
  </r>
  <r>
    <s v="Id1050"/>
    <m/>
    <x v="742"/>
    <x v="525"/>
    <m/>
    <x v="2"/>
    <x v="2"/>
    <n v="1"/>
    <x v="2"/>
    <x v="3"/>
    <x v="3"/>
    <m/>
    <x v="77"/>
    <x v="3"/>
    <m/>
    <x v="3"/>
    <x v="13"/>
  </r>
  <r>
    <s v="Id1049"/>
    <m/>
    <x v="742"/>
    <x v="525"/>
    <m/>
    <x v="2"/>
    <x v="2"/>
    <s v="No major surgery"/>
    <x v="2"/>
    <x v="3"/>
    <x v="3"/>
    <m/>
    <x v="77"/>
    <x v="3"/>
    <m/>
    <x v="3"/>
    <x v="13"/>
  </r>
  <r>
    <s v="Id1048"/>
    <m/>
    <x v="742"/>
    <x v="525"/>
    <m/>
    <x v="2"/>
    <x v="2"/>
    <n v="1"/>
    <x v="2"/>
    <x v="3"/>
    <x v="3"/>
    <m/>
    <x v="77"/>
    <x v="3"/>
    <m/>
    <x v="3"/>
    <x v="13"/>
  </r>
  <r>
    <s v="Id1047"/>
    <m/>
    <x v="742"/>
    <x v="525"/>
    <m/>
    <x v="2"/>
    <x v="2"/>
    <s v="No major surgery"/>
    <x v="2"/>
    <x v="3"/>
    <x v="3"/>
    <m/>
    <x v="77"/>
    <x v="3"/>
    <m/>
    <x v="3"/>
    <x v="13"/>
  </r>
  <r>
    <s v="Id1046"/>
    <m/>
    <x v="742"/>
    <x v="525"/>
    <m/>
    <x v="2"/>
    <x v="2"/>
    <s v="No major surgery"/>
    <x v="2"/>
    <x v="3"/>
    <x v="3"/>
    <m/>
    <x v="77"/>
    <x v="3"/>
    <m/>
    <x v="3"/>
    <x v="13"/>
  </r>
  <r>
    <s v="Id1045"/>
    <m/>
    <x v="742"/>
    <x v="525"/>
    <m/>
    <x v="2"/>
    <x v="2"/>
    <s v="No major surgery"/>
    <x v="2"/>
    <x v="3"/>
    <x v="3"/>
    <m/>
    <x v="77"/>
    <x v="3"/>
    <m/>
    <x v="3"/>
    <x v="13"/>
  </r>
  <r>
    <s v="Id1044"/>
    <m/>
    <x v="742"/>
    <x v="525"/>
    <m/>
    <x v="2"/>
    <x v="2"/>
    <n v="1"/>
    <x v="2"/>
    <x v="3"/>
    <x v="3"/>
    <m/>
    <x v="77"/>
    <x v="3"/>
    <m/>
    <x v="3"/>
    <x v="13"/>
  </r>
  <r>
    <s v="Id1043"/>
    <m/>
    <x v="742"/>
    <x v="525"/>
    <m/>
    <x v="2"/>
    <x v="2"/>
    <n v="1"/>
    <x v="2"/>
    <x v="3"/>
    <x v="3"/>
    <m/>
    <x v="77"/>
    <x v="3"/>
    <m/>
    <x v="3"/>
    <x v="13"/>
  </r>
  <r>
    <s v="Id1042"/>
    <m/>
    <x v="742"/>
    <x v="525"/>
    <m/>
    <x v="2"/>
    <x v="2"/>
    <n v="2"/>
    <x v="2"/>
    <x v="3"/>
    <x v="3"/>
    <m/>
    <x v="77"/>
    <x v="3"/>
    <m/>
    <x v="3"/>
    <x v="13"/>
  </r>
  <r>
    <s v="Id1041"/>
    <m/>
    <x v="742"/>
    <x v="525"/>
    <m/>
    <x v="2"/>
    <x v="2"/>
    <n v="1"/>
    <x v="2"/>
    <x v="3"/>
    <x v="3"/>
    <m/>
    <x v="77"/>
    <x v="3"/>
    <m/>
    <x v="3"/>
    <x v="13"/>
  </r>
  <r>
    <s v="Id1040"/>
    <m/>
    <x v="742"/>
    <x v="525"/>
    <m/>
    <x v="2"/>
    <x v="2"/>
    <n v="2"/>
    <x v="2"/>
    <x v="3"/>
    <x v="3"/>
    <m/>
    <x v="77"/>
    <x v="3"/>
    <m/>
    <x v="3"/>
    <x v="13"/>
  </r>
  <r>
    <s v="Id1039"/>
    <m/>
    <x v="742"/>
    <x v="525"/>
    <m/>
    <x v="2"/>
    <x v="2"/>
    <n v="2"/>
    <x v="2"/>
    <x v="3"/>
    <x v="3"/>
    <m/>
    <x v="77"/>
    <x v="3"/>
    <m/>
    <x v="3"/>
    <x v="13"/>
  </r>
  <r>
    <s v="Id1038"/>
    <m/>
    <x v="742"/>
    <x v="525"/>
    <m/>
    <x v="2"/>
    <x v="2"/>
    <n v="2"/>
    <x v="2"/>
    <x v="3"/>
    <x v="3"/>
    <m/>
    <x v="77"/>
    <x v="3"/>
    <m/>
    <x v="3"/>
    <x v="13"/>
  </r>
  <r>
    <s v="Id1037"/>
    <m/>
    <x v="742"/>
    <x v="525"/>
    <m/>
    <x v="2"/>
    <x v="2"/>
    <n v="1"/>
    <x v="2"/>
    <x v="3"/>
    <x v="3"/>
    <m/>
    <x v="77"/>
    <x v="3"/>
    <m/>
    <x v="3"/>
    <x v="13"/>
  </r>
  <r>
    <s v="Id1036"/>
    <m/>
    <x v="742"/>
    <x v="525"/>
    <m/>
    <x v="2"/>
    <x v="2"/>
    <n v="1"/>
    <x v="2"/>
    <x v="3"/>
    <x v="3"/>
    <m/>
    <x v="77"/>
    <x v="3"/>
    <m/>
    <x v="3"/>
    <x v="13"/>
  </r>
  <r>
    <s v="Id1035"/>
    <m/>
    <x v="742"/>
    <x v="525"/>
    <m/>
    <x v="2"/>
    <x v="2"/>
    <s v="No major surgery"/>
    <x v="2"/>
    <x v="3"/>
    <x v="3"/>
    <m/>
    <x v="77"/>
    <x v="3"/>
    <m/>
    <x v="3"/>
    <x v="13"/>
  </r>
  <r>
    <s v="Id1034"/>
    <m/>
    <x v="742"/>
    <x v="525"/>
    <m/>
    <x v="2"/>
    <x v="2"/>
    <n v="1"/>
    <x v="2"/>
    <x v="3"/>
    <x v="3"/>
    <m/>
    <x v="77"/>
    <x v="3"/>
    <m/>
    <x v="3"/>
    <x v="13"/>
  </r>
  <r>
    <s v="Id1033"/>
    <m/>
    <x v="742"/>
    <x v="525"/>
    <m/>
    <x v="2"/>
    <x v="2"/>
    <s v="No major surgery"/>
    <x v="2"/>
    <x v="3"/>
    <x v="3"/>
    <m/>
    <x v="77"/>
    <x v="3"/>
    <m/>
    <x v="3"/>
    <x v="13"/>
  </r>
  <r>
    <s v="Id1032"/>
    <m/>
    <x v="742"/>
    <x v="525"/>
    <m/>
    <x v="2"/>
    <x v="2"/>
    <s v="No major surgery"/>
    <x v="2"/>
    <x v="3"/>
    <x v="3"/>
    <m/>
    <x v="77"/>
    <x v="3"/>
    <m/>
    <x v="3"/>
    <x v="13"/>
  </r>
  <r>
    <s v="Id1031"/>
    <m/>
    <x v="742"/>
    <x v="525"/>
    <m/>
    <x v="2"/>
    <x v="2"/>
    <n v="1"/>
    <x v="2"/>
    <x v="3"/>
    <x v="3"/>
    <m/>
    <x v="77"/>
    <x v="3"/>
    <m/>
    <x v="3"/>
    <x v="13"/>
  </r>
  <r>
    <s v="Id1030"/>
    <m/>
    <x v="742"/>
    <x v="525"/>
    <m/>
    <x v="2"/>
    <x v="2"/>
    <s v="No major surgery"/>
    <x v="2"/>
    <x v="3"/>
    <x v="3"/>
    <m/>
    <x v="77"/>
    <x v="3"/>
    <m/>
    <x v="3"/>
    <x v="13"/>
  </r>
  <r>
    <s v="Id1029"/>
    <m/>
    <x v="742"/>
    <x v="525"/>
    <m/>
    <x v="2"/>
    <x v="2"/>
    <s v="No major surgery"/>
    <x v="2"/>
    <x v="3"/>
    <x v="3"/>
    <m/>
    <x v="77"/>
    <x v="3"/>
    <m/>
    <x v="3"/>
    <x v="13"/>
  </r>
  <r>
    <s v="Id1028"/>
    <m/>
    <x v="742"/>
    <x v="525"/>
    <m/>
    <x v="2"/>
    <x v="2"/>
    <s v="No major surgery"/>
    <x v="2"/>
    <x v="3"/>
    <x v="3"/>
    <m/>
    <x v="77"/>
    <x v="3"/>
    <m/>
    <x v="3"/>
    <x v="13"/>
  </r>
  <r>
    <s v="Id1027"/>
    <m/>
    <x v="742"/>
    <x v="525"/>
    <m/>
    <x v="2"/>
    <x v="2"/>
    <s v="No major surgery"/>
    <x v="2"/>
    <x v="3"/>
    <x v="3"/>
    <m/>
    <x v="77"/>
    <x v="3"/>
    <m/>
    <x v="3"/>
    <x v="13"/>
  </r>
  <r>
    <s v="Id1026"/>
    <m/>
    <x v="742"/>
    <x v="525"/>
    <m/>
    <x v="2"/>
    <x v="2"/>
    <n v="1"/>
    <x v="2"/>
    <x v="3"/>
    <x v="3"/>
    <m/>
    <x v="77"/>
    <x v="3"/>
    <m/>
    <x v="3"/>
    <x v="13"/>
  </r>
  <r>
    <s v="Id1025"/>
    <m/>
    <x v="742"/>
    <x v="525"/>
    <m/>
    <x v="2"/>
    <x v="2"/>
    <n v="1"/>
    <x v="2"/>
    <x v="3"/>
    <x v="3"/>
    <m/>
    <x v="77"/>
    <x v="3"/>
    <m/>
    <x v="3"/>
    <x v="13"/>
  </r>
  <r>
    <s v="Id1024"/>
    <m/>
    <x v="742"/>
    <x v="525"/>
    <m/>
    <x v="2"/>
    <x v="2"/>
    <s v="No major surgery"/>
    <x v="2"/>
    <x v="3"/>
    <x v="3"/>
    <m/>
    <x v="77"/>
    <x v="3"/>
    <m/>
    <x v="3"/>
    <x v="13"/>
  </r>
  <r>
    <s v="Id1023"/>
    <m/>
    <x v="742"/>
    <x v="525"/>
    <m/>
    <x v="2"/>
    <x v="2"/>
    <s v="No major surgery"/>
    <x v="2"/>
    <x v="3"/>
    <x v="3"/>
    <m/>
    <x v="77"/>
    <x v="3"/>
    <m/>
    <x v="3"/>
    <x v="13"/>
  </r>
  <r>
    <s v="Id1022"/>
    <m/>
    <x v="742"/>
    <x v="525"/>
    <m/>
    <x v="2"/>
    <x v="2"/>
    <s v="No major surgery"/>
    <x v="2"/>
    <x v="3"/>
    <x v="3"/>
    <m/>
    <x v="77"/>
    <x v="3"/>
    <m/>
    <x v="3"/>
    <x v="13"/>
  </r>
  <r>
    <s v="Id1021"/>
    <m/>
    <x v="742"/>
    <x v="525"/>
    <m/>
    <x v="2"/>
    <x v="2"/>
    <s v="No major surgery"/>
    <x v="2"/>
    <x v="3"/>
    <x v="3"/>
    <m/>
    <x v="77"/>
    <x v="3"/>
    <m/>
    <x v="3"/>
    <x v="13"/>
  </r>
  <r>
    <s v="Id1020"/>
    <m/>
    <x v="742"/>
    <x v="525"/>
    <m/>
    <x v="2"/>
    <x v="2"/>
    <n v="1"/>
    <x v="2"/>
    <x v="3"/>
    <x v="3"/>
    <m/>
    <x v="77"/>
    <x v="3"/>
    <m/>
    <x v="3"/>
    <x v="13"/>
  </r>
  <r>
    <s v="Id1019"/>
    <m/>
    <x v="742"/>
    <x v="525"/>
    <m/>
    <x v="2"/>
    <x v="2"/>
    <s v="No major surgery"/>
    <x v="2"/>
    <x v="3"/>
    <x v="3"/>
    <m/>
    <x v="77"/>
    <x v="3"/>
    <m/>
    <x v="3"/>
    <x v="13"/>
  </r>
  <r>
    <s v="Id1018"/>
    <m/>
    <x v="742"/>
    <x v="525"/>
    <m/>
    <x v="2"/>
    <x v="2"/>
    <n v="1"/>
    <x v="2"/>
    <x v="3"/>
    <x v="3"/>
    <m/>
    <x v="77"/>
    <x v="3"/>
    <m/>
    <x v="3"/>
    <x v="13"/>
  </r>
  <r>
    <s v="Id1017"/>
    <m/>
    <x v="742"/>
    <x v="525"/>
    <m/>
    <x v="2"/>
    <x v="2"/>
    <s v="No major surgery"/>
    <x v="2"/>
    <x v="3"/>
    <x v="3"/>
    <m/>
    <x v="77"/>
    <x v="3"/>
    <m/>
    <x v="3"/>
    <x v="13"/>
  </r>
  <r>
    <s v="Id1016"/>
    <m/>
    <x v="742"/>
    <x v="525"/>
    <m/>
    <x v="2"/>
    <x v="2"/>
    <s v="No major surgery"/>
    <x v="2"/>
    <x v="3"/>
    <x v="3"/>
    <m/>
    <x v="77"/>
    <x v="3"/>
    <m/>
    <x v="3"/>
    <x v="13"/>
  </r>
  <r>
    <s v="Id1015"/>
    <m/>
    <x v="742"/>
    <x v="525"/>
    <m/>
    <x v="2"/>
    <x v="2"/>
    <s v="No major surgery"/>
    <x v="2"/>
    <x v="3"/>
    <x v="3"/>
    <m/>
    <x v="77"/>
    <x v="3"/>
    <m/>
    <x v="3"/>
    <x v="13"/>
  </r>
  <r>
    <s v="Id1014"/>
    <m/>
    <x v="742"/>
    <x v="525"/>
    <m/>
    <x v="2"/>
    <x v="2"/>
    <s v="No major surgery"/>
    <x v="2"/>
    <x v="3"/>
    <x v="3"/>
    <m/>
    <x v="77"/>
    <x v="3"/>
    <m/>
    <x v="3"/>
    <x v="13"/>
  </r>
  <r>
    <s v="Id1013"/>
    <m/>
    <x v="742"/>
    <x v="525"/>
    <m/>
    <x v="2"/>
    <x v="2"/>
    <s v="No major surgery"/>
    <x v="2"/>
    <x v="3"/>
    <x v="3"/>
    <m/>
    <x v="77"/>
    <x v="3"/>
    <m/>
    <x v="3"/>
    <x v="13"/>
  </r>
  <r>
    <s v="Id1012"/>
    <m/>
    <x v="742"/>
    <x v="525"/>
    <m/>
    <x v="2"/>
    <x v="2"/>
    <s v="No major surgery"/>
    <x v="2"/>
    <x v="3"/>
    <x v="3"/>
    <m/>
    <x v="77"/>
    <x v="3"/>
    <m/>
    <x v="3"/>
    <x v="13"/>
  </r>
  <r>
    <s v="Id1011"/>
    <m/>
    <x v="742"/>
    <x v="525"/>
    <m/>
    <x v="2"/>
    <x v="2"/>
    <s v="No major surgery"/>
    <x v="2"/>
    <x v="3"/>
    <x v="3"/>
    <m/>
    <x v="77"/>
    <x v="3"/>
    <m/>
    <x v="3"/>
    <x v="13"/>
  </r>
  <r>
    <s v="Id1010"/>
    <m/>
    <x v="742"/>
    <x v="525"/>
    <m/>
    <x v="2"/>
    <x v="2"/>
    <n v="1"/>
    <x v="2"/>
    <x v="3"/>
    <x v="3"/>
    <m/>
    <x v="77"/>
    <x v="3"/>
    <m/>
    <x v="3"/>
    <x v="13"/>
  </r>
  <r>
    <s v="Id1009"/>
    <m/>
    <x v="742"/>
    <x v="525"/>
    <m/>
    <x v="2"/>
    <x v="2"/>
    <n v="1"/>
    <x v="2"/>
    <x v="3"/>
    <x v="3"/>
    <m/>
    <x v="77"/>
    <x v="3"/>
    <m/>
    <x v="3"/>
    <x v="13"/>
  </r>
  <r>
    <s v="Id1008"/>
    <m/>
    <x v="742"/>
    <x v="525"/>
    <m/>
    <x v="2"/>
    <x v="2"/>
    <n v="1"/>
    <x v="2"/>
    <x v="3"/>
    <x v="3"/>
    <m/>
    <x v="77"/>
    <x v="3"/>
    <m/>
    <x v="3"/>
    <x v="13"/>
  </r>
  <r>
    <s v="Id1007"/>
    <m/>
    <x v="742"/>
    <x v="525"/>
    <m/>
    <x v="2"/>
    <x v="2"/>
    <s v="No major surgery"/>
    <x v="2"/>
    <x v="3"/>
    <x v="3"/>
    <m/>
    <x v="77"/>
    <x v="3"/>
    <m/>
    <x v="3"/>
    <x v="13"/>
  </r>
  <r>
    <s v="Id1006"/>
    <m/>
    <x v="742"/>
    <x v="525"/>
    <m/>
    <x v="2"/>
    <x v="2"/>
    <s v="No major surgery"/>
    <x v="2"/>
    <x v="3"/>
    <x v="3"/>
    <m/>
    <x v="77"/>
    <x v="3"/>
    <m/>
    <x v="3"/>
    <x v="13"/>
  </r>
  <r>
    <s v="Id1005"/>
    <m/>
    <x v="742"/>
    <x v="525"/>
    <m/>
    <x v="2"/>
    <x v="2"/>
    <n v="2"/>
    <x v="2"/>
    <x v="3"/>
    <x v="3"/>
    <m/>
    <x v="77"/>
    <x v="3"/>
    <m/>
    <x v="3"/>
    <x v="13"/>
  </r>
  <r>
    <s v="Id1004"/>
    <m/>
    <x v="742"/>
    <x v="525"/>
    <m/>
    <x v="2"/>
    <x v="2"/>
    <n v="2"/>
    <x v="2"/>
    <x v="3"/>
    <x v="3"/>
    <m/>
    <x v="77"/>
    <x v="3"/>
    <m/>
    <x v="3"/>
    <x v="13"/>
  </r>
  <r>
    <s v="Id1003"/>
    <m/>
    <x v="742"/>
    <x v="525"/>
    <m/>
    <x v="2"/>
    <x v="2"/>
    <n v="2"/>
    <x v="2"/>
    <x v="3"/>
    <x v="3"/>
    <m/>
    <x v="77"/>
    <x v="3"/>
    <m/>
    <x v="3"/>
    <x v="13"/>
  </r>
  <r>
    <s v="Id1002"/>
    <m/>
    <x v="742"/>
    <x v="525"/>
    <m/>
    <x v="2"/>
    <x v="2"/>
    <s v="No major surgery"/>
    <x v="2"/>
    <x v="3"/>
    <x v="3"/>
    <m/>
    <x v="77"/>
    <x v="3"/>
    <m/>
    <x v="3"/>
    <x v="13"/>
  </r>
  <r>
    <s v="Id1001"/>
    <m/>
    <x v="742"/>
    <x v="525"/>
    <m/>
    <x v="2"/>
    <x v="2"/>
    <n v="2"/>
    <x v="2"/>
    <x v="3"/>
    <x v="3"/>
    <m/>
    <x v="77"/>
    <x v="3"/>
    <m/>
    <x v="3"/>
    <x v="13"/>
  </r>
  <r>
    <s v="Id1000"/>
    <m/>
    <x v="742"/>
    <x v="525"/>
    <m/>
    <x v="2"/>
    <x v="2"/>
    <s v="No major surgery"/>
    <x v="2"/>
    <x v="3"/>
    <x v="3"/>
    <m/>
    <x v="77"/>
    <x v="3"/>
    <m/>
    <x v="3"/>
    <x v="13"/>
  </r>
  <r>
    <s v="Id999"/>
    <m/>
    <x v="742"/>
    <x v="525"/>
    <m/>
    <x v="2"/>
    <x v="2"/>
    <n v="1"/>
    <x v="2"/>
    <x v="3"/>
    <x v="3"/>
    <m/>
    <x v="77"/>
    <x v="3"/>
    <m/>
    <x v="3"/>
    <x v="13"/>
  </r>
  <r>
    <s v="Id998"/>
    <m/>
    <x v="742"/>
    <x v="525"/>
    <m/>
    <x v="2"/>
    <x v="2"/>
    <s v="No major surgery"/>
    <x v="2"/>
    <x v="3"/>
    <x v="3"/>
    <m/>
    <x v="77"/>
    <x v="3"/>
    <m/>
    <x v="3"/>
    <x v="13"/>
  </r>
  <r>
    <s v="Id997"/>
    <m/>
    <x v="742"/>
    <x v="525"/>
    <m/>
    <x v="2"/>
    <x v="2"/>
    <s v="No major surgery"/>
    <x v="2"/>
    <x v="3"/>
    <x v="3"/>
    <m/>
    <x v="77"/>
    <x v="3"/>
    <m/>
    <x v="3"/>
    <x v="13"/>
  </r>
  <r>
    <s v="Id996"/>
    <m/>
    <x v="742"/>
    <x v="525"/>
    <m/>
    <x v="2"/>
    <x v="2"/>
    <n v="1"/>
    <x v="2"/>
    <x v="3"/>
    <x v="3"/>
    <m/>
    <x v="77"/>
    <x v="3"/>
    <m/>
    <x v="3"/>
    <x v="13"/>
  </r>
  <r>
    <s v="Id995"/>
    <m/>
    <x v="742"/>
    <x v="525"/>
    <m/>
    <x v="2"/>
    <x v="2"/>
    <s v="No major surgery"/>
    <x v="2"/>
    <x v="3"/>
    <x v="3"/>
    <m/>
    <x v="77"/>
    <x v="3"/>
    <m/>
    <x v="3"/>
    <x v="13"/>
  </r>
  <r>
    <s v="Id994"/>
    <m/>
    <x v="742"/>
    <x v="525"/>
    <m/>
    <x v="2"/>
    <x v="2"/>
    <n v="1"/>
    <x v="2"/>
    <x v="3"/>
    <x v="3"/>
    <m/>
    <x v="77"/>
    <x v="3"/>
    <m/>
    <x v="3"/>
    <x v="13"/>
  </r>
  <r>
    <s v="Id993"/>
    <m/>
    <x v="742"/>
    <x v="525"/>
    <m/>
    <x v="2"/>
    <x v="2"/>
    <s v="No major surgery"/>
    <x v="2"/>
    <x v="3"/>
    <x v="3"/>
    <m/>
    <x v="77"/>
    <x v="3"/>
    <m/>
    <x v="3"/>
    <x v="13"/>
  </r>
  <r>
    <s v="Id992"/>
    <m/>
    <x v="742"/>
    <x v="525"/>
    <m/>
    <x v="2"/>
    <x v="2"/>
    <n v="1"/>
    <x v="2"/>
    <x v="3"/>
    <x v="3"/>
    <m/>
    <x v="77"/>
    <x v="3"/>
    <m/>
    <x v="3"/>
    <x v="13"/>
  </r>
  <r>
    <s v="Id991"/>
    <m/>
    <x v="742"/>
    <x v="525"/>
    <m/>
    <x v="2"/>
    <x v="2"/>
    <n v="2"/>
    <x v="2"/>
    <x v="3"/>
    <x v="3"/>
    <m/>
    <x v="77"/>
    <x v="3"/>
    <m/>
    <x v="3"/>
    <x v="13"/>
  </r>
  <r>
    <s v="Id990"/>
    <m/>
    <x v="742"/>
    <x v="525"/>
    <m/>
    <x v="2"/>
    <x v="2"/>
    <s v="No major surgery"/>
    <x v="2"/>
    <x v="3"/>
    <x v="3"/>
    <m/>
    <x v="77"/>
    <x v="3"/>
    <m/>
    <x v="3"/>
    <x v="13"/>
  </r>
  <r>
    <s v="Id989"/>
    <m/>
    <x v="742"/>
    <x v="525"/>
    <m/>
    <x v="2"/>
    <x v="2"/>
    <s v="No major surgery"/>
    <x v="2"/>
    <x v="3"/>
    <x v="3"/>
    <m/>
    <x v="77"/>
    <x v="3"/>
    <m/>
    <x v="3"/>
    <x v="13"/>
  </r>
  <r>
    <s v="Id988"/>
    <m/>
    <x v="742"/>
    <x v="525"/>
    <m/>
    <x v="2"/>
    <x v="2"/>
    <n v="1"/>
    <x v="2"/>
    <x v="3"/>
    <x v="3"/>
    <m/>
    <x v="77"/>
    <x v="3"/>
    <m/>
    <x v="3"/>
    <x v="13"/>
  </r>
  <r>
    <s v="Id987"/>
    <m/>
    <x v="742"/>
    <x v="525"/>
    <m/>
    <x v="2"/>
    <x v="2"/>
    <s v="No major surgery"/>
    <x v="2"/>
    <x v="3"/>
    <x v="3"/>
    <m/>
    <x v="77"/>
    <x v="3"/>
    <m/>
    <x v="3"/>
    <x v="13"/>
  </r>
  <r>
    <s v="Id986"/>
    <m/>
    <x v="742"/>
    <x v="525"/>
    <m/>
    <x v="2"/>
    <x v="2"/>
    <s v="No major surgery"/>
    <x v="2"/>
    <x v="3"/>
    <x v="3"/>
    <m/>
    <x v="77"/>
    <x v="3"/>
    <m/>
    <x v="3"/>
    <x v="13"/>
  </r>
  <r>
    <s v="Id985"/>
    <m/>
    <x v="742"/>
    <x v="525"/>
    <m/>
    <x v="2"/>
    <x v="2"/>
    <s v="No major surgery"/>
    <x v="2"/>
    <x v="3"/>
    <x v="3"/>
    <m/>
    <x v="77"/>
    <x v="3"/>
    <m/>
    <x v="3"/>
    <x v="13"/>
  </r>
  <r>
    <s v="Id984"/>
    <m/>
    <x v="742"/>
    <x v="525"/>
    <m/>
    <x v="2"/>
    <x v="2"/>
    <s v="No major surgery"/>
    <x v="2"/>
    <x v="3"/>
    <x v="3"/>
    <m/>
    <x v="77"/>
    <x v="3"/>
    <m/>
    <x v="3"/>
    <x v="13"/>
  </r>
  <r>
    <s v="Id983"/>
    <m/>
    <x v="742"/>
    <x v="525"/>
    <m/>
    <x v="2"/>
    <x v="2"/>
    <s v="No major surgery"/>
    <x v="2"/>
    <x v="3"/>
    <x v="3"/>
    <m/>
    <x v="77"/>
    <x v="3"/>
    <m/>
    <x v="3"/>
    <x v="13"/>
  </r>
  <r>
    <s v="Id982"/>
    <m/>
    <x v="742"/>
    <x v="525"/>
    <m/>
    <x v="2"/>
    <x v="2"/>
    <n v="1"/>
    <x v="2"/>
    <x v="3"/>
    <x v="3"/>
    <m/>
    <x v="77"/>
    <x v="3"/>
    <m/>
    <x v="3"/>
    <x v="13"/>
  </r>
  <r>
    <s v="Id981"/>
    <m/>
    <x v="742"/>
    <x v="525"/>
    <m/>
    <x v="2"/>
    <x v="2"/>
    <s v="No major surgery"/>
    <x v="2"/>
    <x v="3"/>
    <x v="3"/>
    <m/>
    <x v="77"/>
    <x v="3"/>
    <m/>
    <x v="3"/>
    <x v="13"/>
  </r>
  <r>
    <s v="Id980"/>
    <m/>
    <x v="742"/>
    <x v="525"/>
    <m/>
    <x v="2"/>
    <x v="2"/>
    <n v="1"/>
    <x v="2"/>
    <x v="3"/>
    <x v="3"/>
    <m/>
    <x v="77"/>
    <x v="3"/>
    <m/>
    <x v="3"/>
    <x v="13"/>
  </r>
  <r>
    <s v="Id979"/>
    <m/>
    <x v="742"/>
    <x v="525"/>
    <m/>
    <x v="2"/>
    <x v="2"/>
    <n v="1"/>
    <x v="2"/>
    <x v="3"/>
    <x v="3"/>
    <m/>
    <x v="77"/>
    <x v="3"/>
    <m/>
    <x v="3"/>
    <x v="13"/>
  </r>
  <r>
    <s v="Id978"/>
    <m/>
    <x v="742"/>
    <x v="525"/>
    <m/>
    <x v="2"/>
    <x v="2"/>
    <n v="2"/>
    <x v="2"/>
    <x v="3"/>
    <x v="3"/>
    <m/>
    <x v="77"/>
    <x v="3"/>
    <m/>
    <x v="3"/>
    <x v="13"/>
  </r>
  <r>
    <s v="Id977"/>
    <m/>
    <x v="742"/>
    <x v="525"/>
    <m/>
    <x v="2"/>
    <x v="2"/>
    <n v="1"/>
    <x v="2"/>
    <x v="3"/>
    <x v="3"/>
    <m/>
    <x v="77"/>
    <x v="3"/>
    <m/>
    <x v="3"/>
    <x v="13"/>
  </r>
  <r>
    <s v="Id976"/>
    <m/>
    <x v="742"/>
    <x v="525"/>
    <m/>
    <x v="2"/>
    <x v="2"/>
    <n v="2"/>
    <x v="2"/>
    <x v="3"/>
    <x v="3"/>
    <m/>
    <x v="77"/>
    <x v="3"/>
    <m/>
    <x v="3"/>
    <x v="13"/>
  </r>
  <r>
    <s v="Id975"/>
    <m/>
    <x v="742"/>
    <x v="525"/>
    <m/>
    <x v="2"/>
    <x v="2"/>
    <s v="No major surgery"/>
    <x v="2"/>
    <x v="3"/>
    <x v="3"/>
    <m/>
    <x v="77"/>
    <x v="3"/>
    <m/>
    <x v="3"/>
    <x v="13"/>
  </r>
  <r>
    <s v="Id974"/>
    <m/>
    <x v="742"/>
    <x v="525"/>
    <m/>
    <x v="2"/>
    <x v="2"/>
    <n v="2"/>
    <x v="2"/>
    <x v="3"/>
    <x v="3"/>
    <m/>
    <x v="77"/>
    <x v="3"/>
    <m/>
    <x v="3"/>
    <x v="13"/>
  </r>
  <r>
    <s v="Id973"/>
    <m/>
    <x v="742"/>
    <x v="525"/>
    <m/>
    <x v="2"/>
    <x v="2"/>
    <n v="1"/>
    <x v="2"/>
    <x v="3"/>
    <x v="3"/>
    <m/>
    <x v="77"/>
    <x v="3"/>
    <m/>
    <x v="3"/>
    <x v="13"/>
  </r>
  <r>
    <s v="Id972"/>
    <m/>
    <x v="742"/>
    <x v="525"/>
    <m/>
    <x v="2"/>
    <x v="2"/>
    <s v="No major surgery"/>
    <x v="2"/>
    <x v="3"/>
    <x v="3"/>
    <m/>
    <x v="77"/>
    <x v="3"/>
    <m/>
    <x v="3"/>
    <x v="13"/>
  </r>
  <r>
    <s v="Id971"/>
    <m/>
    <x v="742"/>
    <x v="525"/>
    <m/>
    <x v="2"/>
    <x v="2"/>
    <s v="No major surgery"/>
    <x v="2"/>
    <x v="3"/>
    <x v="3"/>
    <m/>
    <x v="77"/>
    <x v="3"/>
    <m/>
    <x v="3"/>
    <x v="13"/>
  </r>
  <r>
    <s v="Id970"/>
    <m/>
    <x v="742"/>
    <x v="525"/>
    <m/>
    <x v="2"/>
    <x v="2"/>
    <s v="No major surgery"/>
    <x v="2"/>
    <x v="3"/>
    <x v="3"/>
    <m/>
    <x v="77"/>
    <x v="3"/>
    <m/>
    <x v="3"/>
    <x v="13"/>
  </r>
  <r>
    <s v="Id969"/>
    <m/>
    <x v="742"/>
    <x v="525"/>
    <m/>
    <x v="2"/>
    <x v="2"/>
    <s v="No major surgery"/>
    <x v="2"/>
    <x v="3"/>
    <x v="3"/>
    <m/>
    <x v="77"/>
    <x v="3"/>
    <m/>
    <x v="3"/>
    <x v="13"/>
  </r>
  <r>
    <s v="Id968"/>
    <m/>
    <x v="742"/>
    <x v="525"/>
    <m/>
    <x v="2"/>
    <x v="2"/>
    <s v="No major surgery"/>
    <x v="2"/>
    <x v="3"/>
    <x v="3"/>
    <m/>
    <x v="77"/>
    <x v="3"/>
    <m/>
    <x v="3"/>
    <x v="13"/>
  </r>
  <r>
    <s v="Id967"/>
    <m/>
    <x v="742"/>
    <x v="525"/>
    <m/>
    <x v="2"/>
    <x v="2"/>
    <s v="No major surgery"/>
    <x v="2"/>
    <x v="3"/>
    <x v="3"/>
    <m/>
    <x v="77"/>
    <x v="3"/>
    <m/>
    <x v="3"/>
    <x v="13"/>
  </r>
  <r>
    <s v="Id966"/>
    <m/>
    <x v="742"/>
    <x v="525"/>
    <m/>
    <x v="2"/>
    <x v="2"/>
    <s v="No major surgery"/>
    <x v="2"/>
    <x v="3"/>
    <x v="3"/>
    <m/>
    <x v="77"/>
    <x v="3"/>
    <m/>
    <x v="3"/>
    <x v="13"/>
  </r>
  <r>
    <s v="Id965"/>
    <m/>
    <x v="742"/>
    <x v="525"/>
    <m/>
    <x v="2"/>
    <x v="2"/>
    <n v="1"/>
    <x v="2"/>
    <x v="3"/>
    <x v="3"/>
    <m/>
    <x v="77"/>
    <x v="3"/>
    <m/>
    <x v="3"/>
    <x v="13"/>
  </r>
  <r>
    <s v="Id964"/>
    <m/>
    <x v="742"/>
    <x v="525"/>
    <m/>
    <x v="2"/>
    <x v="2"/>
    <s v="No major surgery"/>
    <x v="2"/>
    <x v="3"/>
    <x v="3"/>
    <m/>
    <x v="77"/>
    <x v="3"/>
    <m/>
    <x v="3"/>
    <x v="13"/>
  </r>
  <r>
    <s v="Id963"/>
    <m/>
    <x v="742"/>
    <x v="525"/>
    <m/>
    <x v="2"/>
    <x v="2"/>
    <s v="No major surgery"/>
    <x v="2"/>
    <x v="3"/>
    <x v="3"/>
    <m/>
    <x v="77"/>
    <x v="3"/>
    <m/>
    <x v="3"/>
    <x v="13"/>
  </r>
  <r>
    <s v="Id962"/>
    <m/>
    <x v="742"/>
    <x v="525"/>
    <m/>
    <x v="2"/>
    <x v="2"/>
    <n v="1"/>
    <x v="2"/>
    <x v="3"/>
    <x v="3"/>
    <m/>
    <x v="77"/>
    <x v="3"/>
    <m/>
    <x v="3"/>
    <x v="13"/>
  </r>
  <r>
    <s v="Id961"/>
    <m/>
    <x v="742"/>
    <x v="525"/>
    <m/>
    <x v="2"/>
    <x v="2"/>
    <s v="No major surgery"/>
    <x v="2"/>
    <x v="3"/>
    <x v="3"/>
    <m/>
    <x v="77"/>
    <x v="3"/>
    <m/>
    <x v="3"/>
    <x v="13"/>
  </r>
  <r>
    <s v="Id960"/>
    <m/>
    <x v="742"/>
    <x v="525"/>
    <m/>
    <x v="2"/>
    <x v="2"/>
    <s v="No major surgery"/>
    <x v="2"/>
    <x v="3"/>
    <x v="3"/>
    <m/>
    <x v="77"/>
    <x v="3"/>
    <m/>
    <x v="3"/>
    <x v="13"/>
  </r>
  <r>
    <s v="Id959"/>
    <m/>
    <x v="742"/>
    <x v="525"/>
    <m/>
    <x v="2"/>
    <x v="2"/>
    <s v="No major surgery"/>
    <x v="2"/>
    <x v="3"/>
    <x v="3"/>
    <m/>
    <x v="77"/>
    <x v="3"/>
    <m/>
    <x v="3"/>
    <x v="13"/>
  </r>
  <r>
    <s v="Id958"/>
    <m/>
    <x v="742"/>
    <x v="525"/>
    <m/>
    <x v="2"/>
    <x v="2"/>
    <s v="No major surgery"/>
    <x v="2"/>
    <x v="3"/>
    <x v="3"/>
    <m/>
    <x v="77"/>
    <x v="3"/>
    <m/>
    <x v="3"/>
    <x v="13"/>
  </r>
  <r>
    <s v="Id957"/>
    <m/>
    <x v="742"/>
    <x v="525"/>
    <m/>
    <x v="2"/>
    <x v="2"/>
    <s v="No major surgery"/>
    <x v="2"/>
    <x v="3"/>
    <x v="3"/>
    <m/>
    <x v="77"/>
    <x v="3"/>
    <m/>
    <x v="3"/>
    <x v="13"/>
  </r>
  <r>
    <s v="Id956"/>
    <m/>
    <x v="742"/>
    <x v="525"/>
    <m/>
    <x v="2"/>
    <x v="2"/>
    <s v="No major surgery"/>
    <x v="2"/>
    <x v="3"/>
    <x v="3"/>
    <m/>
    <x v="77"/>
    <x v="3"/>
    <m/>
    <x v="3"/>
    <x v="13"/>
  </r>
  <r>
    <s v="Id955"/>
    <m/>
    <x v="742"/>
    <x v="525"/>
    <m/>
    <x v="2"/>
    <x v="2"/>
    <s v="No major surgery"/>
    <x v="2"/>
    <x v="3"/>
    <x v="3"/>
    <m/>
    <x v="77"/>
    <x v="3"/>
    <m/>
    <x v="3"/>
    <x v="13"/>
  </r>
  <r>
    <s v="Id954"/>
    <m/>
    <x v="742"/>
    <x v="525"/>
    <m/>
    <x v="2"/>
    <x v="2"/>
    <n v="1"/>
    <x v="2"/>
    <x v="3"/>
    <x v="3"/>
    <m/>
    <x v="77"/>
    <x v="3"/>
    <m/>
    <x v="3"/>
    <x v="13"/>
  </r>
  <r>
    <s v="Id953"/>
    <m/>
    <x v="742"/>
    <x v="525"/>
    <m/>
    <x v="2"/>
    <x v="2"/>
    <s v="No major surgery"/>
    <x v="2"/>
    <x v="3"/>
    <x v="3"/>
    <m/>
    <x v="77"/>
    <x v="3"/>
    <m/>
    <x v="3"/>
    <x v="13"/>
  </r>
  <r>
    <s v="Id952"/>
    <m/>
    <x v="742"/>
    <x v="525"/>
    <m/>
    <x v="2"/>
    <x v="2"/>
    <n v="1"/>
    <x v="2"/>
    <x v="3"/>
    <x v="3"/>
    <m/>
    <x v="77"/>
    <x v="3"/>
    <m/>
    <x v="3"/>
    <x v="13"/>
  </r>
  <r>
    <s v="Id951"/>
    <m/>
    <x v="742"/>
    <x v="525"/>
    <m/>
    <x v="2"/>
    <x v="2"/>
    <s v="No major surgery"/>
    <x v="2"/>
    <x v="3"/>
    <x v="3"/>
    <m/>
    <x v="77"/>
    <x v="3"/>
    <m/>
    <x v="3"/>
    <x v="13"/>
  </r>
  <r>
    <s v="Id950"/>
    <m/>
    <x v="742"/>
    <x v="525"/>
    <m/>
    <x v="2"/>
    <x v="2"/>
    <s v="No major surgery"/>
    <x v="2"/>
    <x v="3"/>
    <x v="3"/>
    <m/>
    <x v="77"/>
    <x v="3"/>
    <m/>
    <x v="3"/>
    <x v="13"/>
  </r>
  <r>
    <s v="Id949"/>
    <m/>
    <x v="742"/>
    <x v="525"/>
    <m/>
    <x v="2"/>
    <x v="2"/>
    <s v="No major surgery"/>
    <x v="2"/>
    <x v="3"/>
    <x v="3"/>
    <m/>
    <x v="77"/>
    <x v="3"/>
    <m/>
    <x v="3"/>
    <x v="13"/>
  </r>
  <r>
    <s v="Id948"/>
    <m/>
    <x v="742"/>
    <x v="525"/>
    <m/>
    <x v="2"/>
    <x v="2"/>
    <n v="1"/>
    <x v="2"/>
    <x v="3"/>
    <x v="3"/>
    <m/>
    <x v="77"/>
    <x v="3"/>
    <m/>
    <x v="3"/>
    <x v="13"/>
  </r>
  <r>
    <s v="Id947"/>
    <m/>
    <x v="742"/>
    <x v="525"/>
    <m/>
    <x v="2"/>
    <x v="2"/>
    <s v="No major surgery"/>
    <x v="2"/>
    <x v="3"/>
    <x v="3"/>
    <m/>
    <x v="77"/>
    <x v="3"/>
    <m/>
    <x v="3"/>
    <x v="13"/>
  </r>
  <r>
    <s v="Id946"/>
    <m/>
    <x v="742"/>
    <x v="525"/>
    <m/>
    <x v="2"/>
    <x v="2"/>
    <s v="No major surgery"/>
    <x v="2"/>
    <x v="3"/>
    <x v="3"/>
    <m/>
    <x v="77"/>
    <x v="3"/>
    <m/>
    <x v="3"/>
    <x v="13"/>
  </r>
  <r>
    <s v="Id945"/>
    <m/>
    <x v="742"/>
    <x v="525"/>
    <m/>
    <x v="2"/>
    <x v="2"/>
    <s v="No major surgery"/>
    <x v="2"/>
    <x v="3"/>
    <x v="3"/>
    <m/>
    <x v="77"/>
    <x v="3"/>
    <m/>
    <x v="3"/>
    <x v="13"/>
  </r>
  <r>
    <s v="Id944"/>
    <m/>
    <x v="742"/>
    <x v="525"/>
    <m/>
    <x v="2"/>
    <x v="2"/>
    <n v="1"/>
    <x v="2"/>
    <x v="3"/>
    <x v="3"/>
    <m/>
    <x v="77"/>
    <x v="3"/>
    <m/>
    <x v="3"/>
    <x v="13"/>
  </r>
  <r>
    <s v="Id943"/>
    <m/>
    <x v="742"/>
    <x v="525"/>
    <m/>
    <x v="2"/>
    <x v="2"/>
    <n v="1"/>
    <x v="2"/>
    <x v="3"/>
    <x v="3"/>
    <m/>
    <x v="77"/>
    <x v="3"/>
    <m/>
    <x v="3"/>
    <x v="13"/>
  </r>
  <r>
    <s v="Id942"/>
    <m/>
    <x v="742"/>
    <x v="525"/>
    <m/>
    <x v="2"/>
    <x v="2"/>
    <s v="No major surgery"/>
    <x v="2"/>
    <x v="3"/>
    <x v="3"/>
    <m/>
    <x v="77"/>
    <x v="3"/>
    <m/>
    <x v="3"/>
    <x v="13"/>
  </r>
  <r>
    <s v="Id941"/>
    <m/>
    <x v="742"/>
    <x v="525"/>
    <m/>
    <x v="2"/>
    <x v="2"/>
    <s v="No major surgery"/>
    <x v="2"/>
    <x v="3"/>
    <x v="3"/>
    <m/>
    <x v="77"/>
    <x v="3"/>
    <m/>
    <x v="3"/>
    <x v="13"/>
  </r>
  <r>
    <s v="Id940"/>
    <m/>
    <x v="742"/>
    <x v="525"/>
    <m/>
    <x v="2"/>
    <x v="2"/>
    <s v="No major surgery"/>
    <x v="2"/>
    <x v="3"/>
    <x v="3"/>
    <m/>
    <x v="77"/>
    <x v="3"/>
    <m/>
    <x v="3"/>
    <x v="13"/>
  </r>
  <r>
    <s v="Id939"/>
    <m/>
    <x v="742"/>
    <x v="525"/>
    <m/>
    <x v="2"/>
    <x v="2"/>
    <s v="No major surgery"/>
    <x v="2"/>
    <x v="3"/>
    <x v="3"/>
    <m/>
    <x v="77"/>
    <x v="3"/>
    <m/>
    <x v="3"/>
    <x v="13"/>
  </r>
  <r>
    <s v="Id938"/>
    <m/>
    <x v="742"/>
    <x v="525"/>
    <m/>
    <x v="2"/>
    <x v="2"/>
    <s v="No major surgery"/>
    <x v="2"/>
    <x v="3"/>
    <x v="3"/>
    <m/>
    <x v="77"/>
    <x v="3"/>
    <m/>
    <x v="3"/>
    <x v="13"/>
  </r>
  <r>
    <s v="Id937"/>
    <m/>
    <x v="742"/>
    <x v="525"/>
    <m/>
    <x v="2"/>
    <x v="2"/>
    <s v="No major surgery"/>
    <x v="2"/>
    <x v="3"/>
    <x v="3"/>
    <m/>
    <x v="77"/>
    <x v="3"/>
    <m/>
    <x v="3"/>
    <x v="13"/>
  </r>
  <r>
    <s v="Id936"/>
    <m/>
    <x v="742"/>
    <x v="525"/>
    <m/>
    <x v="2"/>
    <x v="2"/>
    <s v="No major surgery"/>
    <x v="2"/>
    <x v="3"/>
    <x v="3"/>
    <m/>
    <x v="77"/>
    <x v="3"/>
    <m/>
    <x v="3"/>
    <x v="13"/>
  </r>
  <r>
    <s v="Id935"/>
    <m/>
    <x v="742"/>
    <x v="525"/>
    <m/>
    <x v="2"/>
    <x v="2"/>
    <s v="No major surgery"/>
    <x v="2"/>
    <x v="3"/>
    <x v="3"/>
    <m/>
    <x v="77"/>
    <x v="3"/>
    <m/>
    <x v="3"/>
    <x v="13"/>
  </r>
  <r>
    <s v="Id934"/>
    <m/>
    <x v="742"/>
    <x v="525"/>
    <m/>
    <x v="2"/>
    <x v="2"/>
    <s v="No major surgery"/>
    <x v="2"/>
    <x v="3"/>
    <x v="3"/>
    <m/>
    <x v="77"/>
    <x v="3"/>
    <m/>
    <x v="3"/>
    <x v="13"/>
  </r>
  <r>
    <s v="Id933"/>
    <m/>
    <x v="742"/>
    <x v="525"/>
    <m/>
    <x v="2"/>
    <x v="2"/>
    <s v="No major surgery"/>
    <x v="2"/>
    <x v="3"/>
    <x v="3"/>
    <m/>
    <x v="77"/>
    <x v="3"/>
    <m/>
    <x v="3"/>
    <x v="13"/>
  </r>
  <r>
    <s v="Id932"/>
    <m/>
    <x v="742"/>
    <x v="525"/>
    <m/>
    <x v="2"/>
    <x v="2"/>
    <s v="No major surgery"/>
    <x v="2"/>
    <x v="3"/>
    <x v="3"/>
    <m/>
    <x v="77"/>
    <x v="3"/>
    <m/>
    <x v="3"/>
    <x v="13"/>
  </r>
  <r>
    <s v="Id931"/>
    <m/>
    <x v="742"/>
    <x v="525"/>
    <m/>
    <x v="2"/>
    <x v="2"/>
    <n v="1"/>
    <x v="2"/>
    <x v="3"/>
    <x v="3"/>
    <m/>
    <x v="77"/>
    <x v="3"/>
    <m/>
    <x v="3"/>
    <x v="13"/>
  </r>
  <r>
    <s v="Id930"/>
    <m/>
    <x v="742"/>
    <x v="525"/>
    <m/>
    <x v="2"/>
    <x v="2"/>
    <s v="No major surgery"/>
    <x v="2"/>
    <x v="3"/>
    <x v="3"/>
    <m/>
    <x v="77"/>
    <x v="3"/>
    <m/>
    <x v="3"/>
    <x v="13"/>
  </r>
  <r>
    <s v="Id929"/>
    <m/>
    <x v="742"/>
    <x v="525"/>
    <m/>
    <x v="2"/>
    <x v="2"/>
    <s v="No major surgery"/>
    <x v="2"/>
    <x v="3"/>
    <x v="3"/>
    <m/>
    <x v="77"/>
    <x v="3"/>
    <m/>
    <x v="3"/>
    <x v="13"/>
  </r>
  <r>
    <s v="Id928"/>
    <m/>
    <x v="742"/>
    <x v="525"/>
    <m/>
    <x v="2"/>
    <x v="2"/>
    <n v="1"/>
    <x v="2"/>
    <x v="3"/>
    <x v="3"/>
    <m/>
    <x v="77"/>
    <x v="3"/>
    <m/>
    <x v="3"/>
    <x v="13"/>
  </r>
  <r>
    <s v="Id927"/>
    <m/>
    <x v="742"/>
    <x v="525"/>
    <m/>
    <x v="2"/>
    <x v="2"/>
    <n v="1"/>
    <x v="2"/>
    <x v="3"/>
    <x v="3"/>
    <m/>
    <x v="77"/>
    <x v="3"/>
    <m/>
    <x v="3"/>
    <x v="13"/>
  </r>
  <r>
    <s v="Id926"/>
    <m/>
    <x v="742"/>
    <x v="525"/>
    <m/>
    <x v="2"/>
    <x v="2"/>
    <s v="No major surgery"/>
    <x v="2"/>
    <x v="3"/>
    <x v="3"/>
    <m/>
    <x v="77"/>
    <x v="3"/>
    <m/>
    <x v="3"/>
    <x v="13"/>
  </r>
  <r>
    <s v="Id925"/>
    <m/>
    <x v="742"/>
    <x v="525"/>
    <m/>
    <x v="2"/>
    <x v="2"/>
    <s v="No major surgery"/>
    <x v="2"/>
    <x v="3"/>
    <x v="3"/>
    <m/>
    <x v="77"/>
    <x v="3"/>
    <m/>
    <x v="3"/>
    <x v="13"/>
  </r>
  <r>
    <s v="Id924"/>
    <m/>
    <x v="742"/>
    <x v="525"/>
    <m/>
    <x v="2"/>
    <x v="2"/>
    <s v="No major surgery"/>
    <x v="2"/>
    <x v="3"/>
    <x v="3"/>
    <m/>
    <x v="77"/>
    <x v="3"/>
    <m/>
    <x v="3"/>
    <x v="13"/>
  </r>
  <r>
    <s v="Id923"/>
    <m/>
    <x v="742"/>
    <x v="525"/>
    <m/>
    <x v="2"/>
    <x v="2"/>
    <n v="1"/>
    <x v="2"/>
    <x v="3"/>
    <x v="3"/>
    <m/>
    <x v="77"/>
    <x v="3"/>
    <m/>
    <x v="3"/>
    <x v="13"/>
  </r>
  <r>
    <s v="Id922"/>
    <m/>
    <x v="742"/>
    <x v="525"/>
    <m/>
    <x v="2"/>
    <x v="2"/>
    <n v="1"/>
    <x v="2"/>
    <x v="3"/>
    <x v="3"/>
    <m/>
    <x v="77"/>
    <x v="3"/>
    <m/>
    <x v="3"/>
    <x v="13"/>
  </r>
  <r>
    <s v="Id921"/>
    <m/>
    <x v="742"/>
    <x v="525"/>
    <m/>
    <x v="2"/>
    <x v="2"/>
    <n v="1"/>
    <x v="2"/>
    <x v="3"/>
    <x v="3"/>
    <m/>
    <x v="77"/>
    <x v="3"/>
    <m/>
    <x v="3"/>
    <x v="13"/>
  </r>
  <r>
    <s v="Id920"/>
    <m/>
    <x v="742"/>
    <x v="525"/>
    <m/>
    <x v="2"/>
    <x v="2"/>
    <s v="No major surgery"/>
    <x v="2"/>
    <x v="3"/>
    <x v="3"/>
    <m/>
    <x v="77"/>
    <x v="3"/>
    <m/>
    <x v="3"/>
    <x v="13"/>
  </r>
  <r>
    <s v="Id919"/>
    <m/>
    <x v="742"/>
    <x v="525"/>
    <m/>
    <x v="2"/>
    <x v="2"/>
    <s v="No major surgery"/>
    <x v="2"/>
    <x v="3"/>
    <x v="3"/>
    <m/>
    <x v="77"/>
    <x v="3"/>
    <m/>
    <x v="3"/>
    <x v="13"/>
  </r>
  <r>
    <s v="Id918"/>
    <m/>
    <x v="742"/>
    <x v="525"/>
    <m/>
    <x v="2"/>
    <x v="2"/>
    <s v="No major surgery"/>
    <x v="2"/>
    <x v="3"/>
    <x v="3"/>
    <m/>
    <x v="77"/>
    <x v="3"/>
    <m/>
    <x v="3"/>
    <x v="13"/>
  </r>
  <r>
    <s v="Id917"/>
    <m/>
    <x v="742"/>
    <x v="525"/>
    <m/>
    <x v="2"/>
    <x v="2"/>
    <s v="No major surgery"/>
    <x v="2"/>
    <x v="3"/>
    <x v="3"/>
    <m/>
    <x v="77"/>
    <x v="3"/>
    <m/>
    <x v="3"/>
    <x v="13"/>
  </r>
  <r>
    <s v="Id916"/>
    <m/>
    <x v="742"/>
    <x v="525"/>
    <m/>
    <x v="2"/>
    <x v="2"/>
    <s v="No major surgery"/>
    <x v="2"/>
    <x v="3"/>
    <x v="3"/>
    <m/>
    <x v="77"/>
    <x v="3"/>
    <m/>
    <x v="3"/>
    <x v="13"/>
  </r>
  <r>
    <s v="Id915"/>
    <m/>
    <x v="742"/>
    <x v="525"/>
    <m/>
    <x v="2"/>
    <x v="2"/>
    <s v="No major surgery"/>
    <x v="2"/>
    <x v="3"/>
    <x v="3"/>
    <m/>
    <x v="77"/>
    <x v="3"/>
    <m/>
    <x v="3"/>
    <x v="13"/>
  </r>
  <r>
    <s v="Id914"/>
    <m/>
    <x v="742"/>
    <x v="525"/>
    <m/>
    <x v="2"/>
    <x v="2"/>
    <n v="1"/>
    <x v="2"/>
    <x v="3"/>
    <x v="3"/>
    <m/>
    <x v="77"/>
    <x v="3"/>
    <m/>
    <x v="3"/>
    <x v="13"/>
  </r>
  <r>
    <s v="Id913"/>
    <m/>
    <x v="742"/>
    <x v="525"/>
    <m/>
    <x v="2"/>
    <x v="2"/>
    <s v="No major surgery"/>
    <x v="2"/>
    <x v="3"/>
    <x v="3"/>
    <m/>
    <x v="77"/>
    <x v="3"/>
    <m/>
    <x v="3"/>
    <x v="13"/>
  </r>
  <r>
    <s v="Id912"/>
    <m/>
    <x v="742"/>
    <x v="525"/>
    <m/>
    <x v="2"/>
    <x v="2"/>
    <s v="No major surgery"/>
    <x v="2"/>
    <x v="3"/>
    <x v="3"/>
    <m/>
    <x v="77"/>
    <x v="3"/>
    <m/>
    <x v="3"/>
    <x v="13"/>
  </r>
  <r>
    <s v="Id911"/>
    <m/>
    <x v="742"/>
    <x v="525"/>
    <m/>
    <x v="2"/>
    <x v="2"/>
    <s v="No major surgery"/>
    <x v="2"/>
    <x v="3"/>
    <x v="3"/>
    <m/>
    <x v="77"/>
    <x v="3"/>
    <m/>
    <x v="3"/>
    <x v="13"/>
  </r>
  <r>
    <s v="Id910"/>
    <m/>
    <x v="742"/>
    <x v="525"/>
    <m/>
    <x v="2"/>
    <x v="2"/>
    <n v="1"/>
    <x v="2"/>
    <x v="3"/>
    <x v="3"/>
    <m/>
    <x v="77"/>
    <x v="3"/>
    <m/>
    <x v="3"/>
    <x v="13"/>
  </r>
  <r>
    <s v="Id909"/>
    <m/>
    <x v="742"/>
    <x v="525"/>
    <m/>
    <x v="2"/>
    <x v="2"/>
    <s v="No major surgery"/>
    <x v="2"/>
    <x v="3"/>
    <x v="3"/>
    <m/>
    <x v="77"/>
    <x v="3"/>
    <m/>
    <x v="3"/>
    <x v="13"/>
  </r>
  <r>
    <s v="Id908"/>
    <m/>
    <x v="742"/>
    <x v="525"/>
    <m/>
    <x v="2"/>
    <x v="2"/>
    <n v="1"/>
    <x v="2"/>
    <x v="3"/>
    <x v="3"/>
    <m/>
    <x v="77"/>
    <x v="3"/>
    <m/>
    <x v="3"/>
    <x v="13"/>
  </r>
  <r>
    <s v="Id907"/>
    <m/>
    <x v="742"/>
    <x v="525"/>
    <m/>
    <x v="2"/>
    <x v="2"/>
    <s v="No major surgery"/>
    <x v="2"/>
    <x v="3"/>
    <x v="3"/>
    <m/>
    <x v="77"/>
    <x v="3"/>
    <m/>
    <x v="3"/>
    <x v="13"/>
  </r>
  <r>
    <s v="Id906"/>
    <m/>
    <x v="742"/>
    <x v="525"/>
    <m/>
    <x v="2"/>
    <x v="2"/>
    <s v="No major surgery"/>
    <x v="2"/>
    <x v="3"/>
    <x v="3"/>
    <m/>
    <x v="77"/>
    <x v="3"/>
    <m/>
    <x v="3"/>
    <x v="13"/>
  </r>
  <r>
    <s v="Id905"/>
    <m/>
    <x v="742"/>
    <x v="525"/>
    <m/>
    <x v="2"/>
    <x v="2"/>
    <s v="No major surgery"/>
    <x v="2"/>
    <x v="3"/>
    <x v="3"/>
    <m/>
    <x v="77"/>
    <x v="3"/>
    <m/>
    <x v="3"/>
    <x v="13"/>
  </r>
  <r>
    <s v="Id904"/>
    <m/>
    <x v="742"/>
    <x v="525"/>
    <m/>
    <x v="2"/>
    <x v="2"/>
    <n v="1"/>
    <x v="2"/>
    <x v="3"/>
    <x v="3"/>
    <m/>
    <x v="77"/>
    <x v="3"/>
    <m/>
    <x v="3"/>
    <x v="13"/>
  </r>
  <r>
    <s v="Id903"/>
    <m/>
    <x v="742"/>
    <x v="525"/>
    <m/>
    <x v="2"/>
    <x v="2"/>
    <n v="1"/>
    <x v="2"/>
    <x v="3"/>
    <x v="3"/>
    <m/>
    <x v="77"/>
    <x v="3"/>
    <m/>
    <x v="3"/>
    <x v="13"/>
  </r>
  <r>
    <s v="Id902"/>
    <m/>
    <x v="742"/>
    <x v="525"/>
    <m/>
    <x v="2"/>
    <x v="2"/>
    <s v="No major surgery"/>
    <x v="2"/>
    <x v="3"/>
    <x v="3"/>
    <m/>
    <x v="77"/>
    <x v="3"/>
    <m/>
    <x v="3"/>
    <x v="13"/>
  </r>
  <r>
    <s v="Id901"/>
    <m/>
    <x v="742"/>
    <x v="525"/>
    <m/>
    <x v="2"/>
    <x v="2"/>
    <n v="1"/>
    <x v="2"/>
    <x v="3"/>
    <x v="3"/>
    <m/>
    <x v="77"/>
    <x v="3"/>
    <m/>
    <x v="3"/>
    <x v="13"/>
  </r>
  <r>
    <s v="Id900"/>
    <m/>
    <x v="742"/>
    <x v="525"/>
    <m/>
    <x v="2"/>
    <x v="2"/>
    <s v="No major surgery"/>
    <x v="2"/>
    <x v="3"/>
    <x v="3"/>
    <m/>
    <x v="77"/>
    <x v="3"/>
    <m/>
    <x v="3"/>
    <x v="13"/>
  </r>
  <r>
    <s v="Id899"/>
    <m/>
    <x v="742"/>
    <x v="525"/>
    <m/>
    <x v="2"/>
    <x v="2"/>
    <n v="1"/>
    <x v="2"/>
    <x v="3"/>
    <x v="3"/>
    <m/>
    <x v="77"/>
    <x v="3"/>
    <m/>
    <x v="3"/>
    <x v="13"/>
  </r>
  <r>
    <s v="Id898"/>
    <m/>
    <x v="742"/>
    <x v="525"/>
    <m/>
    <x v="2"/>
    <x v="2"/>
    <n v="1"/>
    <x v="2"/>
    <x v="3"/>
    <x v="3"/>
    <m/>
    <x v="77"/>
    <x v="3"/>
    <m/>
    <x v="3"/>
    <x v="13"/>
  </r>
  <r>
    <s v="Id897"/>
    <m/>
    <x v="742"/>
    <x v="525"/>
    <m/>
    <x v="2"/>
    <x v="2"/>
    <n v="1"/>
    <x v="2"/>
    <x v="3"/>
    <x v="3"/>
    <m/>
    <x v="77"/>
    <x v="3"/>
    <m/>
    <x v="3"/>
    <x v="13"/>
  </r>
  <r>
    <s v="Id896"/>
    <m/>
    <x v="742"/>
    <x v="525"/>
    <m/>
    <x v="2"/>
    <x v="2"/>
    <n v="1"/>
    <x v="2"/>
    <x v="3"/>
    <x v="3"/>
    <m/>
    <x v="77"/>
    <x v="3"/>
    <m/>
    <x v="3"/>
    <x v="13"/>
  </r>
  <r>
    <s v="Id895"/>
    <m/>
    <x v="742"/>
    <x v="525"/>
    <m/>
    <x v="2"/>
    <x v="2"/>
    <n v="1"/>
    <x v="2"/>
    <x v="3"/>
    <x v="3"/>
    <m/>
    <x v="77"/>
    <x v="3"/>
    <m/>
    <x v="3"/>
    <x v="13"/>
  </r>
  <r>
    <s v="Id894"/>
    <m/>
    <x v="742"/>
    <x v="525"/>
    <m/>
    <x v="2"/>
    <x v="2"/>
    <s v="No major surgery"/>
    <x v="2"/>
    <x v="3"/>
    <x v="3"/>
    <m/>
    <x v="77"/>
    <x v="3"/>
    <m/>
    <x v="3"/>
    <x v="13"/>
  </r>
  <r>
    <s v="Id893"/>
    <m/>
    <x v="742"/>
    <x v="525"/>
    <m/>
    <x v="2"/>
    <x v="2"/>
    <n v="2"/>
    <x v="2"/>
    <x v="3"/>
    <x v="3"/>
    <m/>
    <x v="77"/>
    <x v="3"/>
    <m/>
    <x v="3"/>
    <x v="13"/>
  </r>
  <r>
    <s v="Id892"/>
    <m/>
    <x v="742"/>
    <x v="525"/>
    <m/>
    <x v="2"/>
    <x v="2"/>
    <s v="No major surgery"/>
    <x v="2"/>
    <x v="3"/>
    <x v="3"/>
    <m/>
    <x v="77"/>
    <x v="3"/>
    <m/>
    <x v="3"/>
    <x v="13"/>
  </r>
  <r>
    <s v="Id891"/>
    <m/>
    <x v="742"/>
    <x v="525"/>
    <m/>
    <x v="2"/>
    <x v="2"/>
    <s v="No major surgery"/>
    <x v="2"/>
    <x v="3"/>
    <x v="3"/>
    <m/>
    <x v="77"/>
    <x v="3"/>
    <m/>
    <x v="3"/>
    <x v="13"/>
  </r>
  <r>
    <s v="Id890"/>
    <m/>
    <x v="742"/>
    <x v="525"/>
    <m/>
    <x v="2"/>
    <x v="2"/>
    <n v="2"/>
    <x v="2"/>
    <x v="3"/>
    <x v="3"/>
    <m/>
    <x v="77"/>
    <x v="3"/>
    <m/>
    <x v="3"/>
    <x v="13"/>
  </r>
  <r>
    <s v="Id889"/>
    <m/>
    <x v="742"/>
    <x v="525"/>
    <m/>
    <x v="2"/>
    <x v="2"/>
    <s v="No major surgery"/>
    <x v="2"/>
    <x v="3"/>
    <x v="3"/>
    <m/>
    <x v="77"/>
    <x v="3"/>
    <m/>
    <x v="3"/>
    <x v="13"/>
  </r>
  <r>
    <s v="Id888"/>
    <m/>
    <x v="742"/>
    <x v="525"/>
    <m/>
    <x v="2"/>
    <x v="2"/>
    <s v="No major surgery"/>
    <x v="2"/>
    <x v="3"/>
    <x v="3"/>
    <m/>
    <x v="77"/>
    <x v="3"/>
    <m/>
    <x v="3"/>
    <x v="13"/>
  </r>
  <r>
    <s v="Id887"/>
    <m/>
    <x v="742"/>
    <x v="525"/>
    <m/>
    <x v="2"/>
    <x v="2"/>
    <s v="No major surgery"/>
    <x v="2"/>
    <x v="3"/>
    <x v="3"/>
    <m/>
    <x v="77"/>
    <x v="3"/>
    <m/>
    <x v="3"/>
    <x v="13"/>
  </r>
  <r>
    <s v="Id886"/>
    <m/>
    <x v="742"/>
    <x v="525"/>
    <m/>
    <x v="2"/>
    <x v="2"/>
    <n v="2"/>
    <x v="2"/>
    <x v="3"/>
    <x v="3"/>
    <m/>
    <x v="77"/>
    <x v="3"/>
    <m/>
    <x v="3"/>
    <x v="13"/>
  </r>
  <r>
    <s v="Id885"/>
    <m/>
    <x v="742"/>
    <x v="525"/>
    <m/>
    <x v="2"/>
    <x v="2"/>
    <s v="No major surgery"/>
    <x v="2"/>
    <x v="3"/>
    <x v="3"/>
    <m/>
    <x v="77"/>
    <x v="3"/>
    <m/>
    <x v="3"/>
    <x v="13"/>
  </r>
  <r>
    <s v="Id884"/>
    <m/>
    <x v="742"/>
    <x v="525"/>
    <m/>
    <x v="2"/>
    <x v="2"/>
    <s v="No major surgery"/>
    <x v="2"/>
    <x v="3"/>
    <x v="3"/>
    <m/>
    <x v="77"/>
    <x v="3"/>
    <m/>
    <x v="3"/>
    <x v="13"/>
  </r>
  <r>
    <s v="Id883"/>
    <m/>
    <x v="742"/>
    <x v="525"/>
    <m/>
    <x v="2"/>
    <x v="2"/>
    <s v="No major surgery"/>
    <x v="2"/>
    <x v="3"/>
    <x v="3"/>
    <m/>
    <x v="77"/>
    <x v="3"/>
    <m/>
    <x v="3"/>
    <x v="13"/>
  </r>
  <r>
    <s v="Id882"/>
    <m/>
    <x v="742"/>
    <x v="525"/>
    <m/>
    <x v="2"/>
    <x v="2"/>
    <n v="1"/>
    <x v="2"/>
    <x v="3"/>
    <x v="3"/>
    <m/>
    <x v="77"/>
    <x v="3"/>
    <m/>
    <x v="3"/>
    <x v="13"/>
  </r>
  <r>
    <s v="Id881"/>
    <m/>
    <x v="742"/>
    <x v="525"/>
    <m/>
    <x v="2"/>
    <x v="2"/>
    <n v="1"/>
    <x v="2"/>
    <x v="3"/>
    <x v="3"/>
    <m/>
    <x v="77"/>
    <x v="3"/>
    <m/>
    <x v="3"/>
    <x v="13"/>
  </r>
  <r>
    <s v="Id880"/>
    <m/>
    <x v="742"/>
    <x v="525"/>
    <m/>
    <x v="2"/>
    <x v="2"/>
    <s v="No major surgery"/>
    <x v="2"/>
    <x v="3"/>
    <x v="3"/>
    <m/>
    <x v="77"/>
    <x v="3"/>
    <m/>
    <x v="3"/>
    <x v="13"/>
  </r>
  <r>
    <s v="Id879"/>
    <m/>
    <x v="742"/>
    <x v="525"/>
    <m/>
    <x v="2"/>
    <x v="2"/>
    <s v="No major surgery"/>
    <x v="2"/>
    <x v="3"/>
    <x v="3"/>
    <m/>
    <x v="77"/>
    <x v="3"/>
    <m/>
    <x v="3"/>
    <x v="13"/>
  </r>
  <r>
    <s v="Id878"/>
    <m/>
    <x v="742"/>
    <x v="525"/>
    <m/>
    <x v="2"/>
    <x v="2"/>
    <n v="1"/>
    <x v="2"/>
    <x v="3"/>
    <x v="3"/>
    <m/>
    <x v="77"/>
    <x v="3"/>
    <m/>
    <x v="3"/>
    <x v="13"/>
  </r>
  <r>
    <s v="Id877"/>
    <m/>
    <x v="742"/>
    <x v="525"/>
    <m/>
    <x v="2"/>
    <x v="2"/>
    <n v="1"/>
    <x v="2"/>
    <x v="3"/>
    <x v="3"/>
    <m/>
    <x v="77"/>
    <x v="3"/>
    <m/>
    <x v="3"/>
    <x v="13"/>
  </r>
  <r>
    <s v="Id876"/>
    <m/>
    <x v="742"/>
    <x v="525"/>
    <m/>
    <x v="2"/>
    <x v="2"/>
    <s v="No major surgery"/>
    <x v="2"/>
    <x v="3"/>
    <x v="3"/>
    <m/>
    <x v="77"/>
    <x v="3"/>
    <m/>
    <x v="3"/>
    <x v="13"/>
  </r>
  <r>
    <s v="Id875"/>
    <m/>
    <x v="742"/>
    <x v="525"/>
    <m/>
    <x v="2"/>
    <x v="2"/>
    <s v="No major surgery"/>
    <x v="2"/>
    <x v="3"/>
    <x v="3"/>
    <m/>
    <x v="77"/>
    <x v="3"/>
    <m/>
    <x v="3"/>
    <x v="13"/>
  </r>
  <r>
    <s v="Id874"/>
    <m/>
    <x v="742"/>
    <x v="525"/>
    <m/>
    <x v="2"/>
    <x v="2"/>
    <n v="1"/>
    <x v="2"/>
    <x v="3"/>
    <x v="3"/>
    <m/>
    <x v="77"/>
    <x v="3"/>
    <m/>
    <x v="3"/>
    <x v="13"/>
  </r>
  <r>
    <s v="Id873"/>
    <m/>
    <x v="742"/>
    <x v="525"/>
    <m/>
    <x v="2"/>
    <x v="2"/>
    <s v="No major surgery"/>
    <x v="2"/>
    <x v="3"/>
    <x v="3"/>
    <m/>
    <x v="77"/>
    <x v="3"/>
    <m/>
    <x v="3"/>
    <x v="13"/>
  </r>
  <r>
    <s v="Id872"/>
    <m/>
    <x v="742"/>
    <x v="525"/>
    <m/>
    <x v="2"/>
    <x v="2"/>
    <s v="No major surgery"/>
    <x v="2"/>
    <x v="3"/>
    <x v="3"/>
    <m/>
    <x v="77"/>
    <x v="3"/>
    <m/>
    <x v="3"/>
    <x v="13"/>
  </r>
  <r>
    <s v="Id871"/>
    <m/>
    <x v="742"/>
    <x v="525"/>
    <m/>
    <x v="2"/>
    <x v="2"/>
    <s v="No major surgery"/>
    <x v="2"/>
    <x v="3"/>
    <x v="3"/>
    <m/>
    <x v="77"/>
    <x v="3"/>
    <m/>
    <x v="3"/>
    <x v="13"/>
  </r>
  <r>
    <s v="Id870"/>
    <m/>
    <x v="742"/>
    <x v="525"/>
    <m/>
    <x v="2"/>
    <x v="2"/>
    <s v="No major surgery"/>
    <x v="2"/>
    <x v="3"/>
    <x v="3"/>
    <m/>
    <x v="77"/>
    <x v="3"/>
    <m/>
    <x v="3"/>
    <x v="13"/>
  </r>
  <r>
    <s v="Id869"/>
    <m/>
    <x v="742"/>
    <x v="525"/>
    <m/>
    <x v="2"/>
    <x v="2"/>
    <s v="No major surgery"/>
    <x v="2"/>
    <x v="3"/>
    <x v="3"/>
    <m/>
    <x v="77"/>
    <x v="3"/>
    <m/>
    <x v="3"/>
    <x v="13"/>
  </r>
  <r>
    <s v="Id868"/>
    <m/>
    <x v="742"/>
    <x v="525"/>
    <m/>
    <x v="2"/>
    <x v="2"/>
    <s v="No major surgery"/>
    <x v="2"/>
    <x v="3"/>
    <x v="3"/>
    <m/>
    <x v="77"/>
    <x v="3"/>
    <m/>
    <x v="3"/>
    <x v="13"/>
  </r>
  <r>
    <s v="Id867"/>
    <m/>
    <x v="742"/>
    <x v="525"/>
    <m/>
    <x v="2"/>
    <x v="2"/>
    <n v="1"/>
    <x v="2"/>
    <x v="3"/>
    <x v="3"/>
    <m/>
    <x v="77"/>
    <x v="3"/>
    <m/>
    <x v="3"/>
    <x v="13"/>
  </r>
  <r>
    <s v="Id866"/>
    <m/>
    <x v="742"/>
    <x v="525"/>
    <m/>
    <x v="2"/>
    <x v="2"/>
    <s v="No major surgery"/>
    <x v="2"/>
    <x v="3"/>
    <x v="3"/>
    <m/>
    <x v="77"/>
    <x v="3"/>
    <m/>
    <x v="3"/>
    <x v="13"/>
  </r>
  <r>
    <s v="Id865"/>
    <m/>
    <x v="742"/>
    <x v="525"/>
    <m/>
    <x v="2"/>
    <x v="2"/>
    <s v="No major surgery"/>
    <x v="2"/>
    <x v="3"/>
    <x v="3"/>
    <m/>
    <x v="77"/>
    <x v="3"/>
    <m/>
    <x v="3"/>
    <x v="13"/>
  </r>
  <r>
    <s v="Id864"/>
    <m/>
    <x v="742"/>
    <x v="525"/>
    <m/>
    <x v="2"/>
    <x v="2"/>
    <n v="1"/>
    <x v="2"/>
    <x v="3"/>
    <x v="3"/>
    <m/>
    <x v="77"/>
    <x v="3"/>
    <m/>
    <x v="3"/>
    <x v="13"/>
  </r>
  <r>
    <s v="Id863"/>
    <m/>
    <x v="742"/>
    <x v="525"/>
    <m/>
    <x v="2"/>
    <x v="2"/>
    <s v="No major surgery"/>
    <x v="2"/>
    <x v="3"/>
    <x v="3"/>
    <m/>
    <x v="77"/>
    <x v="3"/>
    <m/>
    <x v="3"/>
    <x v="13"/>
  </r>
  <r>
    <s v="Id862"/>
    <m/>
    <x v="742"/>
    <x v="525"/>
    <m/>
    <x v="2"/>
    <x v="2"/>
    <n v="1"/>
    <x v="2"/>
    <x v="3"/>
    <x v="3"/>
    <m/>
    <x v="77"/>
    <x v="3"/>
    <m/>
    <x v="3"/>
    <x v="13"/>
  </r>
  <r>
    <s v="Id861"/>
    <m/>
    <x v="742"/>
    <x v="525"/>
    <m/>
    <x v="2"/>
    <x v="2"/>
    <n v="1"/>
    <x v="2"/>
    <x v="3"/>
    <x v="3"/>
    <m/>
    <x v="77"/>
    <x v="3"/>
    <m/>
    <x v="3"/>
    <x v="13"/>
  </r>
  <r>
    <s v="Id860"/>
    <m/>
    <x v="742"/>
    <x v="525"/>
    <m/>
    <x v="2"/>
    <x v="2"/>
    <s v="No major surgery"/>
    <x v="2"/>
    <x v="3"/>
    <x v="3"/>
    <m/>
    <x v="77"/>
    <x v="3"/>
    <m/>
    <x v="3"/>
    <x v="13"/>
  </r>
  <r>
    <s v="Id859"/>
    <m/>
    <x v="742"/>
    <x v="525"/>
    <m/>
    <x v="2"/>
    <x v="2"/>
    <n v="1"/>
    <x v="2"/>
    <x v="3"/>
    <x v="3"/>
    <m/>
    <x v="77"/>
    <x v="3"/>
    <m/>
    <x v="3"/>
    <x v="13"/>
  </r>
  <r>
    <s v="Id858"/>
    <m/>
    <x v="742"/>
    <x v="525"/>
    <m/>
    <x v="2"/>
    <x v="2"/>
    <n v="1"/>
    <x v="2"/>
    <x v="3"/>
    <x v="3"/>
    <m/>
    <x v="77"/>
    <x v="3"/>
    <m/>
    <x v="3"/>
    <x v="13"/>
  </r>
  <r>
    <s v="Id857"/>
    <m/>
    <x v="742"/>
    <x v="525"/>
    <m/>
    <x v="2"/>
    <x v="2"/>
    <s v="No major surgery"/>
    <x v="2"/>
    <x v="3"/>
    <x v="3"/>
    <m/>
    <x v="77"/>
    <x v="3"/>
    <m/>
    <x v="3"/>
    <x v="13"/>
  </r>
  <r>
    <s v="Id856"/>
    <m/>
    <x v="742"/>
    <x v="525"/>
    <m/>
    <x v="2"/>
    <x v="2"/>
    <s v="No major surgery"/>
    <x v="2"/>
    <x v="3"/>
    <x v="3"/>
    <m/>
    <x v="77"/>
    <x v="3"/>
    <m/>
    <x v="3"/>
    <x v="13"/>
  </r>
  <r>
    <s v="Id855"/>
    <m/>
    <x v="742"/>
    <x v="525"/>
    <m/>
    <x v="2"/>
    <x v="2"/>
    <s v="No major surgery"/>
    <x v="2"/>
    <x v="3"/>
    <x v="3"/>
    <m/>
    <x v="77"/>
    <x v="3"/>
    <m/>
    <x v="3"/>
    <x v="13"/>
  </r>
  <r>
    <s v="Id854"/>
    <m/>
    <x v="742"/>
    <x v="525"/>
    <m/>
    <x v="2"/>
    <x v="2"/>
    <s v="No major surgery"/>
    <x v="2"/>
    <x v="3"/>
    <x v="3"/>
    <m/>
    <x v="77"/>
    <x v="3"/>
    <m/>
    <x v="3"/>
    <x v="13"/>
  </r>
  <r>
    <s v="Id853"/>
    <m/>
    <x v="742"/>
    <x v="525"/>
    <m/>
    <x v="2"/>
    <x v="2"/>
    <s v="No major surgery"/>
    <x v="2"/>
    <x v="3"/>
    <x v="3"/>
    <m/>
    <x v="77"/>
    <x v="3"/>
    <m/>
    <x v="3"/>
    <x v="13"/>
  </r>
  <r>
    <s v="Id852"/>
    <m/>
    <x v="742"/>
    <x v="525"/>
    <m/>
    <x v="2"/>
    <x v="2"/>
    <s v="No major surgery"/>
    <x v="2"/>
    <x v="3"/>
    <x v="3"/>
    <m/>
    <x v="77"/>
    <x v="3"/>
    <m/>
    <x v="3"/>
    <x v="13"/>
  </r>
  <r>
    <s v="Id851"/>
    <m/>
    <x v="742"/>
    <x v="525"/>
    <m/>
    <x v="2"/>
    <x v="2"/>
    <n v="1"/>
    <x v="2"/>
    <x v="3"/>
    <x v="3"/>
    <m/>
    <x v="77"/>
    <x v="3"/>
    <m/>
    <x v="3"/>
    <x v="13"/>
  </r>
  <r>
    <s v="Id850"/>
    <m/>
    <x v="742"/>
    <x v="525"/>
    <m/>
    <x v="2"/>
    <x v="2"/>
    <s v="No major surgery"/>
    <x v="2"/>
    <x v="3"/>
    <x v="3"/>
    <m/>
    <x v="77"/>
    <x v="3"/>
    <m/>
    <x v="3"/>
    <x v="13"/>
  </r>
  <r>
    <s v="Id849"/>
    <m/>
    <x v="742"/>
    <x v="525"/>
    <m/>
    <x v="2"/>
    <x v="2"/>
    <n v="1"/>
    <x v="2"/>
    <x v="3"/>
    <x v="3"/>
    <m/>
    <x v="77"/>
    <x v="3"/>
    <m/>
    <x v="3"/>
    <x v="13"/>
  </r>
  <r>
    <s v="Id848"/>
    <m/>
    <x v="742"/>
    <x v="525"/>
    <m/>
    <x v="2"/>
    <x v="2"/>
    <s v="No major surgery"/>
    <x v="2"/>
    <x v="3"/>
    <x v="3"/>
    <m/>
    <x v="77"/>
    <x v="3"/>
    <m/>
    <x v="3"/>
    <x v="13"/>
  </r>
  <r>
    <s v="Id847"/>
    <m/>
    <x v="742"/>
    <x v="525"/>
    <m/>
    <x v="2"/>
    <x v="2"/>
    <s v="No major surgery"/>
    <x v="2"/>
    <x v="3"/>
    <x v="3"/>
    <m/>
    <x v="77"/>
    <x v="3"/>
    <m/>
    <x v="3"/>
    <x v="13"/>
  </r>
  <r>
    <s v="Id846"/>
    <m/>
    <x v="742"/>
    <x v="525"/>
    <m/>
    <x v="2"/>
    <x v="2"/>
    <s v="No major surgery"/>
    <x v="2"/>
    <x v="3"/>
    <x v="3"/>
    <m/>
    <x v="77"/>
    <x v="3"/>
    <m/>
    <x v="3"/>
    <x v="13"/>
  </r>
  <r>
    <s v="Id845"/>
    <m/>
    <x v="742"/>
    <x v="525"/>
    <m/>
    <x v="2"/>
    <x v="2"/>
    <n v="1"/>
    <x v="2"/>
    <x v="3"/>
    <x v="3"/>
    <m/>
    <x v="77"/>
    <x v="3"/>
    <m/>
    <x v="3"/>
    <x v="13"/>
  </r>
  <r>
    <s v="Id844"/>
    <m/>
    <x v="742"/>
    <x v="525"/>
    <m/>
    <x v="2"/>
    <x v="2"/>
    <s v="No major surgery"/>
    <x v="2"/>
    <x v="3"/>
    <x v="3"/>
    <m/>
    <x v="77"/>
    <x v="3"/>
    <m/>
    <x v="3"/>
    <x v="13"/>
  </r>
  <r>
    <s v="Id843"/>
    <m/>
    <x v="742"/>
    <x v="525"/>
    <m/>
    <x v="2"/>
    <x v="2"/>
    <s v="No major surgery"/>
    <x v="2"/>
    <x v="3"/>
    <x v="3"/>
    <m/>
    <x v="77"/>
    <x v="3"/>
    <m/>
    <x v="3"/>
    <x v="13"/>
  </r>
  <r>
    <s v="Id842"/>
    <m/>
    <x v="742"/>
    <x v="525"/>
    <m/>
    <x v="2"/>
    <x v="2"/>
    <s v="No major surgery"/>
    <x v="2"/>
    <x v="3"/>
    <x v="3"/>
    <m/>
    <x v="77"/>
    <x v="3"/>
    <m/>
    <x v="3"/>
    <x v="13"/>
  </r>
  <r>
    <s v="Id841"/>
    <m/>
    <x v="742"/>
    <x v="525"/>
    <m/>
    <x v="2"/>
    <x v="2"/>
    <s v="No major surgery"/>
    <x v="2"/>
    <x v="3"/>
    <x v="3"/>
    <m/>
    <x v="77"/>
    <x v="3"/>
    <m/>
    <x v="3"/>
    <x v="13"/>
  </r>
  <r>
    <s v="Id840"/>
    <m/>
    <x v="742"/>
    <x v="525"/>
    <m/>
    <x v="2"/>
    <x v="2"/>
    <s v="No major surgery"/>
    <x v="2"/>
    <x v="3"/>
    <x v="3"/>
    <m/>
    <x v="77"/>
    <x v="3"/>
    <m/>
    <x v="3"/>
    <x v="13"/>
  </r>
  <r>
    <s v="Id839"/>
    <m/>
    <x v="742"/>
    <x v="525"/>
    <m/>
    <x v="2"/>
    <x v="2"/>
    <n v="1"/>
    <x v="2"/>
    <x v="3"/>
    <x v="3"/>
    <m/>
    <x v="77"/>
    <x v="3"/>
    <m/>
    <x v="3"/>
    <x v="13"/>
  </r>
  <r>
    <s v="Id838"/>
    <m/>
    <x v="742"/>
    <x v="525"/>
    <m/>
    <x v="2"/>
    <x v="2"/>
    <s v="No major surgery"/>
    <x v="2"/>
    <x v="3"/>
    <x v="3"/>
    <m/>
    <x v="77"/>
    <x v="3"/>
    <m/>
    <x v="3"/>
    <x v="13"/>
  </r>
  <r>
    <s v="Id837"/>
    <m/>
    <x v="742"/>
    <x v="525"/>
    <m/>
    <x v="2"/>
    <x v="2"/>
    <s v="No major surgery"/>
    <x v="2"/>
    <x v="3"/>
    <x v="3"/>
    <m/>
    <x v="77"/>
    <x v="3"/>
    <m/>
    <x v="3"/>
    <x v="13"/>
  </r>
  <r>
    <s v="Id836"/>
    <m/>
    <x v="742"/>
    <x v="525"/>
    <m/>
    <x v="2"/>
    <x v="2"/>
    <n v="1"/>
    <x v="2"/>
    <x v="3"/>
    <x v="3"/>
    <m/>
    <x v="77"/>
    <x v="3"/>
    <m/>
    <x v="3"/>
    <x v="13"/>
  </r>
  <r>
    <s v="Id835"/>
    <m/>
    <x v="742"/>
    <x v="525"/>
    <m/>
    <x v="2"/>
    <x v="2"/>
    <s v="No major surgery"/>
    <x v="2"/>
    <x v="3"/>
    <x v="3"/>
    <m/>
    <x v="77"/>
    <x v="3"/>
    <m/>
    <x v="3"/>
    <x v="13"/>
  </r>
  <r>
    <s v="Id834"/>
    <m/>
    <x v="742"/>
    <x v="525"/>
    <m/>
    <x v="2"/>
    <x v="2"/>
    <n v="1"/>
    <x v="2"/>
    <x v="3"/>
    <x v="3"/>
    <m/>
    <x v="77"/>
    <x v="3"/>
    <m/>
    <x v="3"/>
    <x v="13"/>
  </r>
  <r>
    <s v="Id833"/>
    <m/>
    <x v="742"/>
    <x v="525"/>
    <m/>
    <x v="2"/>
    <x v="2"/>
    <s v="No major surgery"/>
    <x v="2"/>
    <x v="3"/>
    <x v="3"/>
    <m/>
    <x v="77"/>
    <x v="3"/>
    <m/>
    <x v="3"/>
    <x v="13"/>
  </r>
  <r>
    <s v="Id832"/>
    <m/>
    <x v="742"/>
    <x v="525"/>
    <m/>
    <x v="2"/>
    <x v="2"/>
    <s v="No major surgery"/>
    <x v="2"/>
    <x v="3"/>
    <x v="3"/>
    <m/>
    <x v="77"/>
    <x v="3"/>
    <m/>
    <x v="3"/>
    <x v="13"/>
  </r>
  <r>
    <s v="Id831"/>
    <m/>
    <x v="742"/>
    <x v="525"/>
    <m/>
    <x v="2"/>
    <x v="2"/>
    <n v="1"/>
    <x v="2"/>
    <x v="3"/>
    <x v="3"/>
    <m/>
    <x v="77"/>
    <x v="3"/>
    <m/>
    <x v="3"/>
    <x v="13"/>
  </r>
  <r>
    <s v="Id830"/>
    <m/>
    <x v="742"/>
    <x v="525"/>
    <m/>
    <x v="2"/>
    <x v="2"/>
    <s v="No major surgery"/>
    <x v="2"/>
    <x v="3"/>
    <x v="3"/>
    <m/>
    <x v="77"/>
    <x v="3"/>
    <m/>
    <x v="3"/>
    <x v="13"/>
  </r>
  <r>
    <s v="Id829"/>
    <m/>
    <x v="742"/>
    <x v="525"/>
    <m/>
    <x v="2"/>
    <x v="2"/>
    <n v="1"/>
    <x v="2"/>
    <x v="3"/>
    <x v="3"/>
    <m/>
    <x v="77"/>
    <x v="3"/>
    <m/>
    <x v="3"/>
    <x v="13"/>
  </r>
  <r>
    <s v="Id828"/>
    <m/>
    <x v="742"/>
    <x v="525"/>
    <m/>
    <x v="2"/>
    <x v="2"/>
    <n v="1"/>
    <x v="2"/>
    <x v="3"/>
    <x v="3"/>
    <m/>
    <x v="77"/>
    <x v="3"/>
    <m/>
    <x v="3"/>
    <x v="13"/>
  </r>
  <r>
    <s v="Id827"/>
    <m/>
    <x v="742"/>
    <x v="525"/>
    <m/>
    <x v="2"/>
    <x v="2"/>
    <s v="No major surgery"/>
    <x v="2"/>
    <x v="3"/>
    <x v="3"/>
    <m/>
    <x v="77"/>
    <x v="3"/>
    <m/>
    <x v="3"/>
    <x v="13"/>
  </r>
  <r>
    <s v="Id826"/>
    <m/>
    <x v="742"/>
    <x v="525"/>
    <m/>
    <x v="2"/>
    <x v="2"/>
    <n v="1"/>
    <x v="2"/>
    <x v="3"/>
    <x v="3"/>
    <m/>
    <x v="77"/>
    <x v="3"/>
    <m/>
    <x v="3"/>
    <x v="13"/>
  </r>
  <r>
    <s v="Id825"/>
    <m/>
    <x v="742"/>
    <x v="525"/>
    <m/>
    <x v="2"/>
    <x v="2"/>
    <s v="No major surgery"/>
    <x v="2"/>
    <x v="3"/>
    <x v="3"/>
    <m/>
    <x v="77"/>
    <x v="3"/>
    <m/>
    <x v="3"/>
    <x v="13"/>
  </r>
  <r>
    <s v="Id824"/>
    <m/>
    <x v="742"/>
    <x v="525"/>
    <m/>
    <x v="2"/>
    <x v="2"/>
    <s v="No major surgery"/>
    <x v="2"/>
    <x v="3"/>
    <x v="3"/>
    <m/>
    <x v="77"/>
    <x v="3"/>
    <m/>
    <x v="3"/>
    <x v="13"/>
  </r>
  <r>
    <s v="Id823"/>
    <m/>
    <x v="742"/>
    <x v="525"/>
    <m/>
    <x v="2"/>
    <x v="2"/>
    <s v="No major surgery"/>
    <x v="2"/>
    <x v="3"/>
    <x v="3"/>
    <m/>
    <x v="77"/>
    <x v="3"/>
    <m/>
    <x v="3"/>
    <x v="13"/>
  </r>
  <r>
    <s v="Id822"/>
    <m/>
    <x v="742"/>
    <x v="525"/>
    <m/>
    <x v="2"/>
    <x v="2"/>
    <s v="No major surgery"/>
    <x v="2"/>
    <x v="3"/>
    <x v="3"/>
    <m/>
    <x v="77"/>
    <x v="3"/>
    <m/>
    <x v="3"/>
    <x v="13"/>
  </r>
  <r>
    <s v="Id821"/>
    <m/>
    <x v="742"/>
    <x v="525"/>
    <m/>
    <x v="2"/>
    <x v="2"/>
    <s v="No major surgery"/>
    <x v="2"/>
    <x v="3"/>
    <x v="3"/>
    <m/>
    <x v="77"/>
    <x v="3"/>
    <m/>
    <x v="3"/>
    <x v="13"/>
  </r>
  <r>
    <s v="Id820"/>
    <m/>
    <x v="742"/>
    <x v="525"/>
    <m/>
    <x v="2"/>
    <x v="2"/>
    <s v="No major surgery"/>
    <x v="2"/>
    <x v="3"/>
    <x v="3"/>
    <m/>
    <x v="77"/>
    <x v="3"/>
    <m/>
    <x v="3"/>
    <x v="13"/>
  </r>
  <r>
    <s v="Id819"/>
    <m/>
    <x v="742"/>
    <x v="525"/>
    <m/>
    <x v="2"/>
    <x v="2"/>
    <n v="1"/>
    <x v="2"/>
    <x v="3"/>
    <x v="3"/>
    <m/>
    <x v="77"/>
    <x v="3"/>
    <m/>
    <x v="3"/>
    <x v="13"/>
  </r>
  <r>
    <s v="Id818"/>
    <m/>
    <x v="742"/>
    <x v="525"/>
    <m/>
    <x v="2"/>
    <x v="2"/>
    <n v="2"/>
    <x v="2"/>
    <x v="3"/>
    <x v="3"/>
    <m/>
    <x v="77"/>
    <x v="3"/>
    <m/>
    <x v="3"/>
    <x v="13"/>
  </r>
  <r>
    <s v="Id817"/>
    <m/>
    <x v="742"/>
    <x v="525"/>
    <m/>
    <x v="2"/>
    <x v="2"/>
    <n v="2"/>
    <x v="2"/>
    <x v="3"/>
    <x v="3"/>
    <m/>
    <x v="77"/>
    <x v="3"/>
    <m/>
    <x v="3"/>
    <x v="13"/>
  </r>
  <r>
    <s v="Id816"/>
    <m/>
    <x v="742"/>
    <x v="525"/>
    <m/>
    <x v="2"/>
    <x v="2"/>
    <n v="1"/>
    <x v="2"/>
    <x v="3"/>
    <x v="3"/>
    <m/>
    <x v="77"/>
    <x v="3"/>
    <m/>
    <x v="3"/>
    <x v="13"/>
  </r>
  <r>
    <s v="Id815"/>
    <m/>
    <x v="742"/>
    <x v="525"/>
    <m/>
    <x v="2"/>
    <x v="2"/>
    <n v="1"/>
    <x v="2"/>
    <x v="3"/>
    <x v="3"/>
    <m/>
    <x v="77"/>
    <x v="3"/>
    <m/>
    <x v="3"/>
    <x v="13"/>
  </r>
  <r>
    <s v="Id814"/>
    <m/>
    <x v="742"/>
    <x v="525"/>
    <m/>
    <x v="2"/>
    <x v="2"/>
    <s v="No major surgery"/>
    <x v="2"/>
    <x v="3"/>
    <x v="3"/>
    <m/>
    <x v="77"/>
    <x v="3"/>
    <m/>
    <x v="3"/>
    <x v="13"/>
  </r>
  <r>
    <s v="Id813"/>
    <m/>
    <x v="742"/>
    <x v="525"/>
    <m/>
    <x v="2"/>
    <x v="2"/>
    <s v="No major surgery"/>
    <x v="2"/>
    <x v="3"/>
    <x v="3"/>
    <m/>
    <x v="77"/>
    <x v="3"/>
    <m/>
    <x v="3"/>
    <x v="13"/>
  </r>
  <r>
    <s v="Id812"/>
    <m/>
    <x v="742"/>
    <x v="525"/>
    <m/>
    <x v="2"/>
    <x v="2"/>
    <s v="No major surgery"/>
    <x v="2"/>
    <x v="3"/>
    <x v="3"/>
    <m/>
    <x v="77"/>
    <x v="3"/>
    <m/>
    <x v="3"/>
    <x v="13"/>
  </r>
  <r>
    <s v="Id811"/>
    <m/>
    <x v="742"/>
    <x v="525"/>
    <m/>
    <x v="2"/>
    <x v="2"/>
    <n v="1"/>
    <x v="2"/>
    <x v="3"/>
    <x v="3"/>
    <m/>
    <x v="77"/>
    <x v="3"/>
    <m/>
    <x v="3"/>
    <x v="13"/>
  </r>
  <r>
    <s v="Id810"/>
    <m/>
    <x v="742"/>
    <x v="525"/>
    <m/>
    <x v="2"/>
    <x v="2"/>
    <s v="No major surgery"/>
    <x v="2"/>
    <x v="3"/>
    <x v="3"/>
    <m/>
    <x v="77"/>
    <x v="3"/>
    <m/>
    <x v="3"/>
    <x v="13"/>
  </r>
  <r>
    <s v="Id809"/>
    <m/>
    <x v="742"/>
    <x v="525"/>
    <m/>
    <x v="2"/>
    <x v="2"/>
    <s v="No major surgery"/>
    <x v="2"/>
    <x v="3"/>
    <x v="3"/>
    <m/>
    <x v="77"/>
    <x v="3"/>
    <m/>
    <x v="3"/>
    <x v="13"/>
  </r>
  <r>
    <s v="Id808"/>
    <m/>
    <x v="742"/>
    <x v="525"/>
    <m/>
    <x v="2"/>
    <x v="2"/>
    <s v="No major surgery"/>
    <x v="2"/>
    <x v="3"/>
    <x v="3"/>
    <m/>
    <x v="77"/>
    <x v="3"/>
    <m/>
    <x v="3"/>
    <x v="13"/>
  </r>
  <r>
    <s v="Id807"/>
    <m/>
    <x v="742"/>
    <x v="525"/>
    <m/>
    <x v="2"/>
    <x v="2"/>
    <s v="No major surgery"/>
    <x v="2"/>
    <x v="3"/>
    <x v="3"/>
    <m/>
    <x v="77"/>
    <x v="3"/>
    <m/>
    <x v="3"/>
    <x v="13"/>
  </r>
  <r>
    <s v="Id806"/>
    <m/>
    <x v="742"/>
    <x v="525"/>
    <m/>
    <x v="2"/>
    <x v="2"/>
    <s v="No major surgery"/>
    <x v="2"/>
    <x v="3"/>
    <x v="3"/>
    <m/>
    <x v="77"/>
    <x v="3"/>
    <m/>
    <x v="3"/>
    <x v="13"/>
  </r>
  <r>
    <s v="Id805"/>
    <m/>
    <x v="742"/>
    <x v="525"/>
    <m/>
    <x v="2"/>
    <x v="2"/>
    <s v="No major surgery"/>
    <x v="2"/>
    <x v="3"/>
    <x v="3"/>
    <m/>
    <x v="77"/>
    <x v="3"/>
    <m/>
    <x v="3"/>
    <x v="13"/>
  </r>
  <r>
    <s v="Id804"/>
    <m/>
    <x v="742"/>
    <x v="525"/>
    <m/>
    <x v="2"/>
    <x v="2"/>
    <s v="No major surgery"/>
    <x v="2"/>
    <x v="3"/>
    <x v="3"/>
    <m/>
    <x v="77"/>
    <x v="3"/>
    <m/>
    <x v="3"/>
    <x v="13"/>
  </r>
  <r>
    <s v="Id803"/>
    <m/>
    <x v="742"/>
    <x v="525"/>
    <m/>
    <x v="2"/>
    <x v="2"/>
    <n v="1"/>
    <x v="2"/>
    <x v="3"/>
    <x v="3"/>
    <m/>
    <x v="77"/>
    <x v="3"/>
    <m/>
    <x v="3"/>
    <x v="13"/>
  </r>
  <r>
    <s v="Id802"/>
    <m/>
    <x v="742"/>
    <x v="525"/>
    <m/>
    <x v="2"/>
    <x v="2"/>
    <n v="2"/>
    <x v="2"/>
    <x v="3"/>
    <x v="3"/>
    <m/>
    <x v="77"/>
    <x v="3"/>
    <m/>
    <x v="3"/>
    <x v="13"/>
  </r>
  <r>
    <s v="Id801"/>
    <m/>
    <x v="742"/>
    <x v="525"/>
    <m/>
    <x v="2"/>
    <x v="2"/>
    <n v="1"/>
    <x v="2"/>
    <x v="3"/>
    <x v="3"/>
    <m/>
    <x v="77"/>
    <x v="3"/>
    <m/>
    <x v="3"/>
    <x v="13"/>
  </r>
  <r>
    <s v="Id800"/>
    <m/>
    <x v="742"/>
    <x v="525"/>
    <m/>
    <x v="2"/>
    <x v="2"/>
    <s v="No major surgery"/>
    <x v="2"/>
    <x v="3"/>
    <x v="3"/>
    <m/>
    <x v="77"/>
    <x v="3"/>
    <m/>
    <x v="3"/>
    <x v="13"/>
  </r>
  <r>
    <s v="Id799"/>
    <m/>
    <x v="742"/>
    <x v="525"/>
    <m/>
    <x v="2"/>
    <x v="2"/>
    <n v="1"/>
    <x v="2"/>
    <x v="3"/>
    <x v="3"/>
    <m/>
    <x v="77"/>
    <x v="3"/>
    <m/>
    <x v="3"/>
    <x v="13"/>
  </r>
  <r>
    <s v="Id798"/>
    <m/>
    <x v="742"/>
    <x v="525"/>
    <m/>
    <x v="2"/>
    <x v="2"/>
    <n v="2"/>
    <x v="2"/>
    <x v="3"/>
    <x v="3"/>
    <m/>
    <x v="77"/>
    <x v="3"/>
    <m/>
    <x v="3"/>
    <x v="13"/>
  </r>
  <r>
    <s v="Id797"/>
    <m/>
    <x v="742"/>
    <x v="525"/>
    <m/>
    <x v="2"/>
    <x v="2"/>
    <s v="No major surgery"/>
    <x v="2"/>
    <x v="3"/>
    <x v="3"/>
    <m/>
    <x v="77"/>
    <x v="3"/>
    <m/>
    <x v="3"/>
    <x v="13"/>
  </r>
  <r>
    <s v="Id796"/>
    <m/>
    <x v="742"/>
    <x v="525"/>
    <m/>
    <x v="2"/>
    <x v="2"/>
    <s v="No major surgery"/>
    <x v="2"/>
    <x v="3"/>
    <x v="3"/>
    <m/>
    <x v="77"/>
    <x v="3"/>
    <m/>
    <x v="3"/>
    <x v="13"/>
  </r>
  <r>
    <s v="Id795"/>
    <m/>
    <x v="742"/>
    <x v="525"/>
    <m/>
    <x v="2"/>
    <x v="2"/>
    <s v="No major surgery"/>
    <x v="2"/>
    <x v="3"/>
    <x v="3"/>
    <m/>
    <x v="77"/>
    <x v="3"/>
    <m/>
    <x v="3"/>
    <x v="13"/>
  </r>
  <r>
    <s v="Id794"/>
    <m/>
    <x v="742"/>
    <x v="525"/>
    <m/>
    <x v="2"/>
    <x v="2"/>
    <s v="No major surgery"/>
    <x v="2"/>
    <x v="3"/>
    <x v="3"/>
    <m/>
    <x v="77"/>
    <x v="3"/>
    <m/>
    <x v="3"/>
    <x v="13"/>
  </r>
  <r>
    <s v="Id793"/>
    <m/>
    <x v="742"/>
    <x v="525"/>
    <m/>
    <x v="2"/>
    <x v="2"/>
    <n v="1"/>
    <x v="2"/>
    <x v="3"/>
    <x v="3"/>
    <m/>
    <x v="77"/>
    <x v="3"/>
    <m/>
    <x v="3"/>
    <x v="13"/>
  </r>
  <r>
    <s v="Id792"/>
    <m/>
    <x v="742"/>
    <x v="525"/>
    <m/>
    <x v="2"/>
    <x v="2"/>
    <s v="No major surgery"/>
    <x v="2"/>
    <x v="3"/>
    <x v="3"/>
    <m/>
    <x v="77"/>
    <x v="3"/>
    <m/>
    <x v="3"/>
    <x v="13"/>
  </r>
  <r>
    <s v="Id791"/>
    <m/>
    <x v="742"/>
    <x v="525"/>
    <m/>
    <x v="2"/>
    <x v="2"/>
    <n v="1"/>
    <x v="2"/>
    <x v="3"/>
    <x v="3"/>
    <m/>
    <x v="77"/>
    <x v="3"/>
    <m/>
    <x v="3"/>
    <x v="13"/>
  </r>
  <r>
    <s v="Id790"/>
    <m/>
    <x v="742"/>
    <x v="525"/>
    <m/>
    <x v="2"/>
    <x v="2"/>
    <s v="No major surgery"/>
    <x v="2"/>
    <x v="3"/>
    <x v="3"/>
    <m/>
    <x v="77"/>
    <x v="3"/>
    <m/>
    <x v="3"/>
    <x v="13"/>
  </r>
  <r>
    <s v="Id789"/>
    <m/>
    <x v="742"/>
    <x v="525"/>
    <m/>
    <x v="2"/>
    <x v="2"/>
    <s v="No major surgery"/>
    <x v="2"/>
    <x v="3"/>
    <x v="3"/>
    <m/>
    <x v="77"/>
    <x v="3"/>
    <m/>
    <x v="3"/>
    <x v="13"/>
  </r>
  <r>
    <s v="Id788"/>
    <m/>
    <x v="742"/>
    <x v="525"/>
    <m/>
    <x v="2"/>
    <x v="2"/>
    <n v="1"/>
    <x v="2"/>
    <x v="3"/>
    <x v="3"/>
    <m/>
    <x v="77"/>
    <x v="3"/>
    <m/>
    <x v="3"/>
    <x v="13"/>
  </r>
  <r>
    <s v="Id787"/>
    <m/>
    <x v="742"/>
    <x v="525"/>
    <m/>
    <x v="2"/>
    <x v="2"/>
    <n v="1"/>
    <x v="2"/>
    <x v="3"/>
    <x v="3"/>
    <m/>
    <x v="77"/>
    <x v="3"/>
    <m/>
    <x v="3"/>
    <x v="13"/>
  </r>
  <r>
    <s v="Id786"/>
    <m/>
    <x v="742"/>
    <x v="525"/>
    <m/>
    <x v="2"/>
    <x v="2"/>
    <s v="No major surgery"/>
    <x v="2"/>
    <x v="3"/>
    <x v="3"/>
    <m/>
    <x v="77"/>
    <x v="3"/>
    <m/>
    <x v="3"/>
    <x v="13"/>
  </r>
  <r>
    <s v="Id785"/>
    <m/>
    <x v="742"/>
    <x v="525"/>
    <m/>
    <x v="2"/>
    <x v="2"/>
    <s v="No major surgery"/>
    <x v="2"/>
    <x v="3"/>
    <x v="3"/>
    <m/>
    <x v="77"/>
    <x v="3"/>
    <m/>
    <x v="3"/>
    <x v="13"/>
  </r>
  <r>
    <s v="Id784"/>
    <m/>
    <x v="742"/>
    <x v="525"/>
    <m/>
    <x v="2"/>
    <x v="2"/>
    <s v="No major surgery"/>
    <x v="2"/>
    <x v="3"/>
    <x v="3"/>
    <m/>
    <x v="77"/>
    <x v="3"/>
    <m/>
    <x v="3"/>
    <x v="13"/>
  </r>
  <r>
    <s v="Id783"/>
    <m/>
    <x v="742"/>
    <x v="525"/>
    <m/>
    <x v="2"/>
    <x v="2"/>
    <s v="No major surgery"/>
    <x v="2"/>
    <x v="3"/>
    <x v="3"/>
    <m/>
    <x v="77"/>
    <x v="3"/>
    <m/>
    <x v="3"/>
    <x v="13"/>
  </r>
  <r>
    <s v="Id782"/>
    <m/>
    <x v="742"/>
    <x v="525"/>
    <m/>
    <x v="2"/>
    <x v="2"/>
    <s v="No major surgery"/>
    <x v="2"/>
    <x v="3"/>
    <x v="3"/>
    <m/>
    <x v="77"/>
    <x v="3"/>
    <m/>
    <x v="3"/>
    <x v="13"/>
  </r>
  <r>
    <s v="Id781"/>
    <m/>
    <x v="742"/>
    <x v="525"/>
    <m/>
    <x v="2"/>
    <x v="2"/>
    <s v="No major surgery"/>
    <x v="2"/>
    <x v="3"/>
    <x v="3"/>
    <m/>
    <x v="77"/>
    <x v="3"/>
    <m/>
    <x v="3"/>
    <x v="13"/>
  </r>
  <r>
    <s v="Id780"/>
    <m/>
    <x v="742"/>
    <x v="525"/>
    <m/>
    <x v="2"/>
    <x v="2"/>
    <n v="2"/>
    <x v="2"/>
    <x v="3"/>
    <x v="3"/>
    <m/>
    <x v="77"/>
    <x v="3"/>
    <m/>
    <x v="3"/>
    <x v="13"/>
  </r>
  <r>
    <s v="Id779"/>
    <m/>
    <x v="742"/>
    <x v="525"/>
    <m/>
    <x v="2"/>
    <x v="2"/>
    <s v="No major surgery"/>
    <x v="2"/>
    <x v="3"/>
    <x v="3"/>
    <m/>
    <x v="77"/>
    <x v="3"/>
    <m/>
    <x v="3"/>
    <x v="13"/>
  </r>
  <r>
    <s v="Id778"/>
    <m/>
    <x v="742"/>
    <x v="525"/>
    <m/>
    <x v="2"/>
    <x v="2"/>
    <s v="No major surgery"/>
    <x v="2"/>
    <x v="3"/>
    <x v="3"/>
    <m/>
    <x v="77"/>
    <x v="3"/>
    <m/>
    <x v="3"/>
    <x v="13"/>
  </r>
  <r>
    <s v="Id777"/>
    <m/>
    <x v="742"/>
    <x v="525"/>
    <m/>
    <x v="2"/>
    <x v="2"/>
    <n v="1"/>
    <x v="2"/>
    <x v="3"/>
    <x v="3"/>
    <m/>
    <x v="77"/>
    <x v="3"/>
    <m/>
    <x v="3"/>
    <x v="13"/>
  </r>
  <r>
    <s v="Id776"/>
    <m/>
    <x v="742"/>
    <x v="525"/>
    <m/>
    <x v="2"/>
    <x v="2"/>
    <n v="1"/>
    <x v="2"/>
    <x v="3"/>
    <x v="3"/>
    <m/>
    <x v="77"/>
    <x v="3"/>
    <m/>
    <x v="3"/>
    <x v="13"/>
  </r>
  <r>
    <s v="Id775"/>
    <m/>
    <x v="742"/>
    <x v="525"/>
    <m/>
    <x v="2"/>
    <x v="2"/>
    <s v="No major surgery"/>
    <x v="2"/>
    <x v="3"/>
    <x v="3"/>
    <m/>
    <x v="77"/>
    <x v="3"/>
    <m/>
    <x v="3"/>
    <x v="13"/>
  </r>
  <r>
    <s v="Id774"/>
    <m/>
    <x v="742"/>
    <x v="525"/>
    <m/>
    <x v="2"/>
    <x v="2"/>
    <n v="1"/>
    <x v="2"/>
    <x v="3"/>
    <x v="3"/>
    <m/>
    <x v="77"/>
    <x v="3"/>
    <m/>
    <x v="3"/>
    <x v="13"/>
  </r>
  <r>
    <s v="Id773"/>
    <m/>
    <x v="742"/>
    <x v="525"/>
    <m/>
    <x v="2"/>
    <x v="2"/>
    <s v="No major surgery"/>
    <x v="2"/>
    <x v="3"/>
    <x v="3"/>
    <m/>
    <x v="77"/>
    <x v="3"/>
    <m/>
    <x v="3"/>
    <x v="13"/>
  </r>
  <r>
    <s v="Id772"/>
    <m/>
    <x v="742"/>
    <x v="525"/>
    <m/>
    <x v="2"/>
    <x v="2"/>
    <n v="1"/>
    <x v="2"/>
    <x v="3"/>
    <x v="3"/>
    <m/>
    <x v="77"/>
    <x v="3"/>
    <m/>
    <x v="3"/>
    <x v="13"/>
  </r>
  <r>
    <s v="Id771"/>
    <m/>
    <x v="742"/>
    <x v="525"/>
    <m/>
    <x v="2"/>
    <x v="2"/>
    <s v="No major surgery"/>
    <x v="2"/>
    <x v="3"/>
    <x v="3"/>
    <m/>
    <x v="77"/>
    <x v="3"/>
    <m/>
    <x v="3"/>
    <x v="13"/>
  </r>
  <r>
    <s v="Id770"/>
    <m/>
    <x v="742"/>
    <x v="525"/>
    <m/>
    <x v="2"/>
    <x v="2"/>
    <n v="2"/>
    <x v="2"/>
    <x v="3"/>
    <x v="3"/>
    <m/>
    <x v="77"/>
    <x v="3"/>
    <m/>
    <x v="3"/>
    <x v="13"/>
  </r>
  <r>
    <s v="Id769"/>
    <m/>
    <x v="742"/>
    <x v="525"/>
    <m/>
    <x v="2"/>
    <x v="2"/>
    <s v="No major surgery"/>
    <x v="2"/>
    <x v="3"/>
    <x v="3"/>
    <m/>
    <x v="77"/>
    <x v="3"/>
    <m/>
    <x v="3"/>
    <x v="13"/>
  </r>
  <r>
    <s v="Id768"/>
    <m/>
    <x v="742"/>
    <x v="525"/>
    <m/>
    <x v="2"/>
    <x v="2"/>
    <n v="1"/>
    <x v="2"/>
    <x v="3"/>
    <x v="3"/>
    <m/>
    <x v="77"/>
    <x v="3"/>
    <m/>
    <x v="3"/>
    <x v="13"/>
  </r>
  <r>
    <s v="Id767"/>
    <m/>
    <x v="742"/>
    <x v="525"/>
    <m/>
    <x v="2"/>
    <x v="2"/>
    <s v="No major surgery"/>
    <x v="2"/>
    <x v="3"/>
    <x v="3"/>
    <m/>
    <x v="77"/>
    <x v="3"/>
    <m/>
    <x v="3"/>
    <x v="13"/>
  </r>
  <r>
    <s v="Id766"/>
    <m/>
    <x v="742"/>
    <x v="525"/>
    <m/>
    <x v="2"/>
    <x v="2"/>
    <n v="1"/>
    <x v="2"/>
    <x v="3"/>
    <x v="3"/>
    <m/>
    <x v="77"/>
    <x v="3"/>
    <m/>
    <x v="3"/>
    <x v="13"/>
  </r>
  <r>
    <s v="Id765"/>
    <m/>
    <x v="742"/>
    <x v="525"/>
    <m/>
    <x v="2"/>
    <x v="2"/>
    <s v="No major surgery"/>
    <x v="2"/>
    <x v="3"/>
    <x v="3"/>
    <m/>
    <x v="77"/>
    <x v="3"/>
    <m/>
    <x v="3"/>
    <x v="13"/>
  </r>
  <r>
    <s v="Id764"/>
    <m/>
    <x v="742"/>
    <x v="525"/>
    <m/>
    <x v="2"/>
    <x v="2"/>
    <s v="No major surgery"/>
    <x v="2"/>
    <x v="3"/>
    <x v="3"/>
    <m/>
    <x v="77"/>
    <x v="3"/>
    <m/>
    <x v="3"/>
    <x v="13"/>
  </r>
  <r>
    <s v="Id763"/>
    <m/>
    <x v="742"/>
    <x v="525"/>
    <m/>
    <x v="2"/>
    <x v="2"/>
    <n v="1"/>
    <x v="2"/>
    <x v="3"/>
    <x v="3"/>
    <m/>
    <x v="77"/>
    <x v="3"/>
    <m/>
    <x v="3"/>
    <x v="13"/>
  </r>
  <r>
    <s v="Id762"/>
    <m/>
    <x v="742"/>
    <x v="525"/>
    <m/>
    <x v="2"/>
    <x v="2"/>
    <n v="2"/>
    <x v="2"/>
    <x v="3"/>
    <x v="3"/>
    <m/>
    <x v="77"/>
    <x v="3"/>
    <m/>
    <x v="3"/>
    <x v="13"/>
  </r>
  <r>
    <s v="Id761"/>
    <m/>
    <x v="742"/>
    <x v="525"/>
    <m/>
    <x v="2"/>
    <x v="2"/>
    <s v="No major surgery"/>
    <x v="2"/>
    <x v="3"/>
    <x v="3"/>
    <m/>
    <x v="77"/>
    <x v="3"/>
    <m/>
    <x v="3"/>
    <x v="13"/>
  </r>
  <r>
    <s v="Id760"/>
    <m/>
    <x v="742"/>
    <x v="525"/>
    <m/>
    <x v="2"/>
    <x v="2"/>
    <s v="No major surgery"/>
    <x v="2"/>
    <x v="3"/>
    <x v="3"/>
    <m/>
    <x v="77"/>
    <x v="3"/>
    <m/>
    <x v="3"/>
    <x v="13"/>
  </r>
  <r>
    <s v="Id759"/>
    <m/>
    <x v="742"/>
    <x v="525"/>
    <m/>
    <x v="2"/>
    <x v="2"/>
    <s v="No major surgery"/>
    <x v="2"/>
    <x v="3"/>
    <x v="3"/>
    <m/>
    <x v="77"/>
    <x v="3"/>
    <m/>
    <x v="3"/>
    <x v="13"/>
  </r>
  <r>
    <s v="Id758"/>
    <m/>
    <x v="742"/>
    <x v="525"/>
    <m/>
    <x v="2"/>
    <x v="2"/>
    <n v="1"/>
    <x v="2"/>
    <x v="3"/>
    <x v="3"/>
    <m/>
    <x v="77"/>
    <x v="3"/>
    <m/>
    <x v="3"/>
    <x v="13"/>
  </r>
  <r>
    <s v="Id757"/>
    <m/>
    <x v="742"/>
    <x v="525"/>
    <m/>
    <x v="2"/>
    <x v="2"/>
    <n v="1"/>
    <x v="2"/>
    <x v="3"/>
    <x v="3"/>
    <m/>
    <x v="77"/>
    <x v="3"/>
    <m/>
    <x v="3"/>
    <x v="13"/>
  </r>
  <r>
    <s v="Id756"/>
    <m/>
    <x v="742"/>
    <x v="525"/>
    <m/>
    <x v="2"/>
    <x v="2"/>
    <n v="1"/>
    <x v="2"/>
    <x v="3"/>
    <x v="3"/>
    <m/>
    <x v="77"/>
    <x v="3"/>
    <m/>
    <x v="3"/>
    <x v="13"/>
  </r>
  <r>
    <s v="Id755"/>
    <m/>
    <x v="742"/>
    <x v="525"/>
    <m/>
    <x v="2"/>
    <x v="2"/>
    <s v="No major surgery"/>
    <x v="2"/>
    <x v="3"/>
    <x v="3"/>
    <m/>
    <x v="77"/>
    <x v="3"/>
    <m/>
    <x v="3"/>
    <x v="13"/>
  </r>
  <r>
    <s v="Id754"/>
    <m/>
    <x v="742"/>
    <x v="525"/>
    <m/>
    <x v="2"/>
    <x v="2"/>
    <s v="No major surgery"/>
    <x v="2"/>
    <x v="3"/>
    <x v="3"/>
    <m/>
    <x v="77"/>
    <x v="3"/>
    <m/>
    <x v="3"/>
    <x v="13"/>
  </r>
  <r>
    <s v="Id753"/>
    <m/>
    <x v="742"/>
    <x v="525"/>
    <m/>
    <x v="2"/>
    <x v="2"/>
    <s v="No major surgery"/>
    <x v="2"/>
    <x v="3"/>
    <x v="3"/>
    <m/>
    <x v="77"/>
    <x v="3"/>
    <m/>
    <x v="3"/>
    <x v="13"/>
  </r>
  <r>
    <s v="Id752"/>
    <m/>
    <x v="742"/>
    <x v="525"/>
    <m/>
    <x v="2"/>
    <x v="2"/>
    <n v="1"/>
    <x v="2"/>
    <x v="3"/>
    <x v="3"/>
    <m/>
    <x v="77"/>
    <x v="3"/>
    <m/>
    <x v="3"/>
    <x v="13"/>
  </r>
  <r>
    <s v="Id751"/>
    <m/>
    <x v="742"/>
    <x v="525"/>
    <m/>
    <x v="2"/>
    <x v="2"/>
    <n v="1"/>
    <x v="2"/>
    <x v="3"/>
    <x v="3"/>
    <m/>
    <x v="77"/>
    <x v="3"/>
    <m/>
    <x v="3"/>
    <x v="13"/>
  </r>
  <r>
    <s v="Id750"/>
    <m/>
    <x v="742"/>
    <x v="525"/>
    <m/>
    <x v="2"/>
    <x v="2"/>
    <s v="No major surgery"/>
    <x v="2"/>
    <x v="3"/>
    <x v="3"/>
    <m/>
    <x v="77"/>
    <x v="3"/>
    <m/>
    <x v="3"/>
    <x v="13"/>
  </r>
  <r>
    <s v="Id749"/>
    <m/>
    <x v="742"/>
    <x v="525"/>
    <m/>
    <x v="2"/>
    <x v="2"/>
    <s v="No major surgery"/>
    <x v="2"/>
    <x v="3"/>
    <x v="3"/>
    <m/>
    <x v="77"/>
    <x v="3"/>
    <m/>
    <x v="3"/>
    <x v="13"/>
  </r>
  <r>
    <s v="Id748"/>
    <m/>
    <x v="742"/>
    <x v="525"/>
    <m/>
    <x v="2"/>
    <x v="2"/>
    <s v="No major surgery"/>
    <x v="2"/>
    <x v="3"/>
    <x v="3"/>
    <m/>
    <x v="77"/>
    <x v="3"/>
    <m/>
    <x v="3"/>
    <x v="13"/>
  </r>
  <r>
    <s v="Id747"/>
    <m/>
    <x v="742"/>
    <x v="525"/>
    <m/>
    <x v="2"/>
    <x v="2"/>
    <s v="No major surgery"/>
    <x v="2"/>
    <x v="3"/>
    <x v="3"/>
    <m/>
    <x v="77"/>
    <x v="3"/>
    <m/>
    <x v="3"/>
    <x v="13"/>
  </r>
  <r>
    <s v="Id746"/>
    <m/>
    <x v="742"/>
    <x v="525"/>
    <m/>
    <x v="2"/>
    <x v="2"/>
    <n v="1"/>
    <x v="2"/>
    <x v="3"/>
    <x v="3"/>
    <m/>
    <x v="77"/>
    <x v="3"/>
    <m/>
    <x v="3"/>
    <x v="13"/>
  </r>
  <r>
    <s v="Id745"/>
    <m/>
    <x v="742"/>
    <x v="525"/>
    <m/>
    <x v="2"/>
    <x v="2"/>
    <s v="No major surgery"/>
    <x v="2"/>
    <x v="3"/>
    <x v="3"/>
    <m/>
    <x v="77"/>
    <x v="3"/>
    <m/>
    <x v="3"/>
    <x v="13"/>
  </r>
  <r>
    <s v="Id744"/>
    <m/>
    <x v="742"/>
    <x v="525"/>
    <m/>
    <x v="2"/>
    <x v="2"/>
    <n v="1"/>
    <x v="2"/>
    <x v="3"/>
    <x v="3"/>
    <m/>
    <x v="77"/>
    <x v="3"/>
    <m/>
    <x v="3"/>
    <x v="13"/>
  </r>
  <r>
    <s v="Id743"/>
    <m/>
    <x v="742"/>
    <x v="525"/>
    <m/>
    <x v="2"/>
    <x v="2"/>
    <n v="1"/>
    <x v="2"/>
    <x v="3"/>
    <x v="3"/>
    <m/>
    <x v="77"/>
    <x v="3"/>
    <m/>
    <x v="3"/>
    <x v="13"/>
  </r>
  <r>
    <s v="Id742"/>
    <m/>
    <x v="742"/>
    <x v="525"/>
    <m/>
    <x v="2"/>
    <x v="2"/>
    <n v="2"/>
    <x v="2"/>
    <x v="3"/>
    <x v="3"/>
    <m/>
    <x v="77"/>
    <x v="3"/>
    <m/>
    <x v="3"/>
    <x v="13"/>
  </r>
  <r>
    <s v="Id741"/>
    <m/>
    <x v="742"/>
    <x v="525"/>
    <m/>
    <x v="2"/>
    <x v="2"/>
    <n v="2"/>
    <x v="2"/>
    <x v="3"/>
    <x v="3"/>
    <m/>
    <x v="77"/>
    <x v="3"/>
    <m/>
    <x v="3"/>
    <x v="13"/>
  </r>
  <r>
    <s v="Id740"/>
    <m/>
    <x v="742"/>
    <x v="525"/>
    <m/>
    <x v="2"/>
    <x v="2"/>
    <n v="2"/>
    <x v="2"/>
    <x v="3"/>
    <x v="3"/>
    <m/>
    <x v="77"/>
    <x v="3"/>
    <m/>
    <x v="3"/>
    <x v="13"/>
  </r>
  <r>
    <s v="Id739"/>
    <m/>
    <x v="742"/>
    <x v="525"/>
    <m/>
    <x v="2"/>
    <x v="2"/>
    <n v="1"/>
    <x v="2"/>
    <x v="3"/>
    <x v="3"/>
    <m/>
    <x v="77"/>
    <x v="3"/>
    <m/>
    <x v="3"/>
    <x v="13"/>
  </r>
  <r>
    <s v="Id738"/>
    <m/>
    <x v="742"/>
    <x v="525"/>
    <m/>
    <x v="2"/>
    <x v="2"/>
    <n v="1"/>
    <x v="2"/>
    <x v="3"/>
    <x v="3"/>
    <m/>
    <x v="77"/>
    <x v="3"/>
    <m/>
    <x v="3"/>
    <x v="13"/>
  </r>
  <r>
    <s v="Id737"/>
    <m/>
    <x v="742"/>
    <x v="525"/>
    <m/>
    <x v="2"/>
    <x v="2"/>
    <s v="No major surgery"/>
    <x v="2"/>
    <x v="3"/>
    <x v="3"/>
    <m/>
    <x v="77"/>
    <x v="3"/>
    <m/>
    <x v="3"/>
    <x v="13"/>
  </r>
  <r>
    <s v="Id736"/>
    <m/>
    <x v="742"/>
    <x v="525"/>
    <m/>
    <x v="2"/>
    <x v="2"/>
    <n v="2"/>
    <x v="2"/>
    <x v="3"/>
    <x v="3"/>
    <m/>
    <x v="77"/>
    <x v="3"/>
    <m/>
    <x v="3"/>
    <x v="13"/>
  </r>
  <r>
    <s v="Id735"/>
    <m/>
    <x v="742"/>
    <x v="525"/>
    <m/>
    <x v="2"/>
    <x v="2"/>
    <n v="1"/>
    <x v="2"/>
    <x v="3"/>
    <x v="3"/>
    <m/>
    <x v="77"/>
    <x v="3"/>
    <m/>
    <x v="3"/>
    <x v="13"/>
  </r>
  <r>
    <s v="Id734"/>
    <m/>
    <x v="742"/>
    <x v="525"/>
    <m/>
    <x v="2"/>
    <x v="2"/>
    <s v="No major surgery"/>
    <x v="2"/>
    <x v="3"/>
    <x v="3"/>
    <m/>
    <x v="77"/>
    <x v="3"/>
    <m/>
    <x v="3"/>
    <x v="13"/>
  </r>
  <r>
    <s v="Id733"/>
    <m/>
    <x v="742"/>
    <x v="525"/>
    <m/>
    <x v="2"/>
    <x v="2"/>
    <s v="No major surgery"/>
    <x v="2"/>
    <x v="3"/>
    <x v="3"/>
    <m/>
    <x v="77"/>
    <x v="3"/>
    <m/>
    <x v="3"/>
    <x v="13"/>
  </r>
  <r>
    <s v="Id732"/>
    <m/>
    <x v="742"/>
    <x v="525"/>
    <m/>
    <x v="2"/>
    <x v="2"/>
    <s v="No major surgery"/>
    <x v="2"/>
    <x v="3"/>
    <x v="3"/>
    <m/>
    <x v="77"/>
    <x v="3"/>
    <m/>
    <x v="3"/>
    <x v="13"/>
  </r>
  <r>
    <s v="Id731"/>
    <m/>
    <x v="742"/>
    <x v="525"/>
    <m/>
    <x v="2"/>
    <x v="2"/>
    <n v="1"/>
    <x v="2"/>
    <x v="3"/>
    <x v="3"/>
    <m/>
    <x v="77"/>
    <x v="3"/>
    <m/>
    <x v="3"/>
    <x v="13"/>
  </r>
  <r>
    <s v="Id730"/>
    <m/>
    <x v="742"/>
    <x v="525"/>
    <m/>
    <x v="2"/>
    <x v="2"/>
    <s v="No major surgery"/>
    <x v="2"/>
    <x v="3"/>
    <x v="3"/>
    <m/>
    <x v="77"/>
    <x v="3"/>
    <m/>
    <x v="3"/>
    <x v="13"/>
  </r>
  <r>
    <s v="Id729"/>
    <m/>
    <x v="742"/>
    <x v="525"/>
    <m/>
    <x v="2"/>
    <x v="2"/>
    <s v="No major surgery"/>
    <x v="2"/>
    <x v="3"/>
    <x v="3"/>
    <m/>
    <x v="77"/>
    <x v="3"/>
    <m/>
    <x v="3"/>
    <x v="13"/>
  </r>
  <r>
    <s v="Id728"/>
    <m/>
    <x v="742"/>
    <x v="525"/>
    <m/>
    <x v="2"/>
    <x v="2"/>
    <n v="1"/>
    <x v="2"/>
    <x v="3"/>
    <x v="3"/>
    <m/>
    <x v="77"/>
    <x v="3"/>
    <m/>
    <x v="3"/>
    <x v="13"/>
  </r>
  <r>
    <s v="Id727"/>
    <m/>
    <x v="742"/>
    <x v="525"/>
    <m/>
    <x v="2"/>
    <x v="2"/>
    <n v="2"/>
    <x v="2"/>
    <x v="3"/>
    <x v="3"/>
    <m/>
    <x v="77"/>
    <x v="3"/>
    <m/>
    <x v="3"/>
    <x v="13"/>
  </r>
  <r>
    <s v="Id726"/>
    <m/>
    <x v="742"/>
    <x v="525"/>
    <m/>
    <x v="2"/>
    <x v="2"/>
    <s v="No major surgery"/>
    <x v="2"/>
    <x v="3"/>
    <x v="3"/>
    <m/>
    <x v="77"/>
    <x v="3"/>
    <m/>
    <x v="3"/>
    <x v="13"/>
  </r>
  <r>
    <s v="Id725"/>
    <m/>
    <x v="742"/>
    <x v="525"/>
    <m/>
    <x v="2"/>
    <x v="2"/>
    <n v="1"/>
    <x v="2"/>
    <x v="3"/>
    <x v="3"/>
    <m/>
    <x v="77"/>
    <x v="3"/>
    <m/>
    <x v="3"/>
    <x v="13"/>
  </r>
  <r>
    <s v="Id724"/>
    <m/>
    <x v="742"/>
    <x v="525"/>
    <m/>
    <x v="2"/>
    <x v="2"/>
    <s v="No major surgery"/>
    <x v="2"/>
    <x v="3"/>
    <x v="3"/>
    <m/>
    <x v="77"/>
    <x v="3"/>
    <m/>
    <x v="3"/>
    <x v="13"/>
  </r>
  <r>
    <s v="Id723"/>
    <m/>
    <x v="742"/>
    <x v="525"/>
    <m/>
    <x v="2"/>
    <x v="2"/>
    <n v="2"/>
    <x v="2"/>
    <x v="3"/>
    <x v="3"/>
    <m/>
    <x v="77"/>
    <x v="3"/>
    <m/>
    <x v="3"/>
    <x v="13"/>
  </r>
  <r>
    <s v="Id722"/>
    <m/>
    <x v="742"/>
    <x v="525"/>
    <m/>
    <x v="2"/>
    <x v="2"/>
    <n v="2"/>
    <x v="2"/>
    <x v="3"/>
    <x v="3"/>
    <m/>
    <x v="77"/>
    <x v="3"/>
    <m/>
    <x v="3"/>
    <x v="13"/>
  </r>
  <r>
    <s v="Id721"/>
    <m/>
    <x v="742"/>
    <x v="525"/>
    <m/>
    <x v="2"/>
    <x v="2"/>
    <s v="No major surgery"/>
    <x v="2"/>
    <x v="3"/>
    <x v="3"/>
    <m/>
    <x v="77"/>
    <x v="3"/>
    <m/>
    <x v="3"/>
    <x v="13"/>
  </r>
  <r>
    <s v="Id720"/>
    <m/>
    <x v="742"/>
    <x v="525"/>
    <m/>
    <x v="2"/>
    <x v="2"/>
    <s v="No major surgery"/>
    <x v="2"/>
    <x v="3"/>
    <x v="3"/>
    <m/>
    <x v="77"/>
    <x v="3"/>
    <m/>
    <x v="3"/>
    <x v="13"/>
  </r>
  <r>
    <s v="Id719"/>
    <m/>
    <x v="742"/>
    <x v="525"/>
    <m/>
    <x v="2"/>
    <x v="2"/>
    <n v="1"/>
    <x v="2"/>
    <x v="3"/>
    <x v="3"/>
    <m/>
    <x v="77"/>
    <x v="3"/>
    <m/>
    <x v="3"/>
    <x v="13"/>
  </r>
  <r>
    <s v="Id718"/>
    <m/>
    <x v="742"/>
    <x v="525"/>
    <m/>
    <x v="2"/>
    <x v="2"/>
    <s v="No major surgery"/>
    <x v="2"/>
    <x v="3"/>
    <x v="3"/>
    <m/>
    <x v="77"/>
    <x v="3"/>
    <m/>
    <x v="3"/>
    <x v="13"/>
  </r>
  <r>
    <s v="Id717"/>
    <m/>
    <x v="742"/>
    <x v="525"/>
    <m/>
    <x v="2"/>
    <x v="2"/>
    <n v="1"/>
    <x v="2"/>
    <x v="3"/>
    <x v="3"/>
    <m/>
    <x v="77"/>
    <x v="3"/>
    <m/>
    <x v="3"/>
    <x v="13"/>
  </r>
  <r>
    <s v="Id716"/>
    <m/>
    <x v="742"/>
    <x v="525"/>
    <m/>
    <x v="2"/>
    <x v="2"/>
    <n v="1"/>
    <x v="2"/>
    <x v="3"/>
    <x v="3"/>
    <m/>
    <x v="77"/>
    <x v="3"/>
    <m/>
    <x v="3"/>
    <x v="13"/>
  </r>
  <r>
    <s v="Id715"/>
    <m/>
    <x v="742"/>
    <x v="525"/>
    <m/>
    <x v="2"/>
    <x v="2"/>
    <s v="No major surgery"/>
    <x v="2"/>
    <x v="3"/>
    <x v="3"/>
    <m/>
    <x v="77"/>
    <x v="3"/>
    <m/>
    <x v="3"/>
    <x v="13"/>
  </r>
  <r>
    <s v="Id714"/>
    <m/>
    <x v="742"/>
    <x v="525"/>
    <m/>
    <x v="2"/>
    <x v="2"/>
    <s v="No major surgery"/>
    <x v="2"/>
    <x v="3"/>
    <x v="3"/>
    <m/>
    <x v="77"/>
    <x v="3"/>
    <m/>
    <x v="3"/>
    <x v="13"/>
  </r>
  <r>
    <s v="Id713"/>
    <m/>
    <x v="742"/>
    <x v="525"/>
    <m/>
    <x v="2"/>
    <x v="2"/>
    <n v="1"/>
    <x v="2"/>
    <x v="3"/>
    <x v="3"/>
    <m/>
    <x v="77"/>
    <x v="3"/>
    <m/>
    <x v="3"/>
    <x v="13"/>
  </r>
  <r>
    <s v="Id712"/>
    <m/>
    <x v="742"/>
    <x v="525"/>
    <m/>
    <x v="2"/>
    <x v="2"/>
    <n v="2"/>
    <x v="2"/>
    <x v="3"/>
    <x v="3"/>
    <m/>
    <x v="77"/>
    <x v="3"/>
    <m/>
    <x v="3"/>
    <x v="13"/>
  </r>
  <r>
    <s v="Id711"/>
    <m/>
    <x v="742"/>
    <x v="525"/>
    <m/>
    <x v="2"/>
    <x v="2"/>
    <n v="1"/>
    <x v="2"/>
    <x v="3"/>
    <x v="3"/>
    <m/>
    <x v="77"/>
    <x v="3"/>
    <m/>
    <x v="3"/>
    <x v="13"/>
  </r>
  <r>
    <s v="Id710"/>
    <m/>
    <x v="742"/>
    <x v="525"/>
    <m/>
    <x v="2"/>
    <x v="2"/>
    <n v="1"/>
    <x v="2"/>
    <x v="3"/>
    <x v="3"/>
    <m/>
    <x v="77"/>
    <x v="3"/>
    <m/>
    <x v="3"/>
    <x v="13"/>
  </r>
  <r>
    <s v="Id709"/>
    <m/>
    <x v="742"/>
    <x v="525"/>
    <m/>
    <x v="2"/>
    <x v="2"/>
    <n v="1"/>
    <x v="2"/>
    <x v="3"/>
    <x v="3"/>
    <m/>
    <x v="77"/>
    <x v="3"/>
    <m/>
    <x v="3"/>
    <x v="13"/>
  </r>
  <r>
    <s v="Id708"/>
    <m/>
    <x v="742"/>
    <x v="525"/>
    <m/>
    <x v="2"/>
    <x v="2"/>
    <n v="1"/>
    <x v="2"/>
    <x v="3"/>
    <x v="3"/>
    <m/>
    <x v="77"/>
    <x v="3"/>
    <m/>
    <x v="3"/>
    <x v="13"/>
  </r>
  <r>
    <s v="Id707"/>
    <m/>
    <x v="742"/>
    <x v="525"/>
    <m/>
    <x v="2"/>
    <x v="2"/>
    <s v="No major surgery"/>
    <x v="2"/>
    <x v="3"/>
    <x v="3"/>
    <m/>
    <x v="77"/>
    <x v="3"/>
    <m/>
    <x v="3"/>
    <x v="13"/>
  </r>
  <r>
    <s v="Id706"/>
    <m/>
    <x v="742"/>
    <x v="525"/>
    <m/>
    <x v="2"/>
    <x v="2"/>
    <s v="No major surgery"/>
    <x v="2"/>
    <x v="3"/>
    <x v="3"/>
    <m/>
    <x v="77"/>
    <x v="3"/>
    <m/>
    <x v="3"/>
    <x v="13"/>
  </r>
  <r>
    <s v="Id705"/>
    <m/>
    <x v="742"/>
    <x v="525"/>
    <m/>
    <x v="2"/>
    <x v="2"/>
    <s v="No major surgery"/>
    <x v="2"/>
    <x v="3"/>
    <x v="3"/>
    <m/>
    <x v="77"/>
    <x v="3"/>
    <m/>
    <x v="3"/>
    <x v="13"/>
  </r>
  <r>
    <s v="Id704"/>
    <m/>
    <x v="742"/>
    <x v="525"/>
    <m/>
    <x v="2"/>
    <x v="2"/>
    <s v="No major surgery"/>
    <x v="2"/>
    <x v="3"/>
    <x v="3"/>
    <m/>
    <x v="77"/>
    <x v="3"/>
    <m/>
    <x v="3"/>
    <x v="13"/>
  </r>
  <r>
    <s v="Id703"/>
    <m/>
    <x v="742"/>
    <x v="525"/>
    <m/>
    <x v="2"/>
    <x v="2"/>
    <s v="No major surgery"/>
    <x v="2"/>
    <x v="3"/>
    <x v="3"/>
    <m/>
    <x v="77"/>
    <x v="3"/>
    <m/>
    <x v="3"/>
    <x v="13"/>
  </r>
  <r>
    <s v="Id702"/>
    <m/>
    <x v="742"/>
    <x v="525"/>
    <m/>
    <x v="2"/>
    <x v="2"/>
    <n v="1"/>
    <x v="2"/>
    <x v="3"/>
    <x v="3"/>
    <m/>
    <x v="77"/>
    <x v="3"/>
    <m/>
    <x v="3"/>
    <x v="13"/>
  </r>
  <r>
    <s v="Id701"/>
    <m/>
    <x v="742"/>
    <x v="525"/>
    <m/>
    <x v="2"/>
    <x v="2"/>
    <s v="No major surgery"/>
    <x v="2"/>
    <x v="3"/>
    <x v="3"/>
    <m/>
    <x v="77"/>
    <x v="3"/>
    <m/>
    <x v="3"/>
    <x v="13"/>
  </r>
  <r>
    <s v="Id700"/>
    <m/>
    <x v="742"/>
    <x v="525"/>
    <m/>
    <x v="2"/>
    <x v="2"/>
    <s v="No major surgery"/>
    <x v="2"/>
    <x v="3"/>
    <x v="3"/>
    <m/>
    <x v="77"/>
    <x v="3"/>
    <m/>
    <x v="3"/>
    <x v="13"/>
  </r>
  <r>
    <s v="Id699"/>
    <m/>
    <x v="742"/>
    <x v="525"/>
    <m/>
    <x v="2"/>
    <x v="2"/>
    <n v="2"/>
    <x v="2"/>
    <x v="3"/>
    <x v="3"/>
    <m/>
    <x v="77"/>
    <x v="3"/>
    <m/>
    <x v="3"/>
    <x v="13"/>
  </r>
  <r>
    <s v="Id698"/>
    <m/>
    <x v="742"/>
    <x v="525"/>
    <m/>
    <x v="2"/>
    <x v="2"/>
    <n v="1"/>
    <x v="2"/>
    <x v="3"/>
    <x v="3"/>
    <m/>
    <x v="77"/>
    <x v="3"/>
    <m/>
    <x v="3"/>
    <x v="13"/>
  </r>
  <r>
    <s v="Id697"/>
    <m/>
    <x v="742"/>
    <x v="525"/>
    <m/>
    <x v="2"/>
    <x v="2"/>
    <n v="1"/>
    <x v="2"/>
    <x v="3"/>
    <x v="3"/>
    <m/>
    <x v="77"/>
    <x v="3"/>
    <m/>
    <x v="3"/>
    <x v="13"/>
  </r>
  <r>
    <s v="Id696"/>
    <m/>
    <x v="742"/>
    <x v="525"/>
    <m/>
    <x v="2"/>
    <x v="2"/>
    <s v="No major surgery"/>
    <x v="2"/>
    <x v="3"/>
    <x v="3"/>
    <m/>
    <x v="77"/>
    <x v="3"/>
    <m/>
    <x v="3"/>
    <x v="13"/>
  </r>
  <r>
    <s v="Id695"/>
    <m/>
    <x v="742"/>
    <x v="525"/>
    <m/>
    <x v="2"/>
    <x v="2"/>
    <s v="No major surgery"/>
    <x v="2"/>
    <x v="3"/>
    <x v="3"/>
    <m/>
    <x v="77"/>
    <x v="3"/>
    <m/>
    <x v="3"/>
    <x v="13"/>
  </r>
  <r>
    <s v="Id694"/>
    <m/>
    <x v="742"/>
    <x v="525"/>
    <m/>
    <x v="2"/>
    <x v="2"/>
    <s v="No major surgery"/>
    <x v="2"/>
    <x v="3"/>
    <x v="3"/>
    <m/>
    <x v="77"/>
    <x v="3"/>
    <m/>
    <x v="3"/>
    <x v="13"/>
  </r>
  <r>
    <s v="Id693"/>
    <m/>
    <x v="742"/>
    <x v="525"/>
    <m/>
    <x v="2"/>
    <x v="2"/>
    <n v="1"/>
    <x v="2"/>
    <x v="3"/>
    <x v="3"/>
    <m/>
    <x v="77"/>
    <x v="3"/>
    <m/>
    <x v="3"/>
    <x v="13"/>
  </r>
  <r>
    <s v="Id692"/>
    <m/>
    <x v="742"/>
    <x v="525"/>
    <m/>
    <x v="2"/>
    <x v="2"/>
    <n v="1"/>
    <x v="2"/>
    <x v="3"/>
    <x v="3"/>
    <m/>
    <x v="77"/>
    <x v="3"/>
    <m/>
    <x v="3"/>
    <x v="13"/>
  </r>
  <r>
    <s v="Id691"/>
    <m/>
    <x v="742"/>
    <x v="525"/>
    <m/>
    <x v="2"/>
    <x v="2"/>
    <n v="1"/>
    <x v="2"/>
    <x v="3"/>
    <x v="3"/>
    <m/>
    <x v="77"/>
    <x v="3"/>
    <m/>
    <x v="3"/>
    <x v="13"/>
  </r>
  <r>
    <s v="Id690"/>
    <m/>
    <x v="742"/>
    <x v="525"/>
    <m/>
    <x v="2"/>
    <x v="2"/>
    <s v="No major surgery"/>
    <x v="2"/>
    <x v="3"/>
    <x v="3"/>
    <m/>
    <x v="77"/>
    <x v="3"/>
    <m/>
    <x v="3"/>
    <x v="13"/>
  </r>
  <r>
    <s v="Id689"/>
    <m/>
    <x v="742"/>
    <x v="525"/>
    <m/>
    <x v="2"/>
    <x v="2"/>
    <n v="1"/>
    <x v="2"/>
    <x v="3"/>
    <x v="3"/>
    <m/>
    <x v="77"/>
    <x v="3"/>
    <m/>
    <x v="3"/>
    <x v="13"/>
  </r>
  <r>
    <s v="Id688"/>
    <m/>
    <x v="742"/>
    <x v="525"/>
    <m/>
    <x v="2"/>
    <x v="2"/>
    <n v="1"/>
    <x v="2"/>
    <x v="3"/>
    <x v="3"/>
    <m/>
    <x v="77"/>
    <x v="3"/>
    <m/>
    <x v="3"/>
    <x v="13"/>
  </r>
  <r>
    <s v="Id687"/>
    <m/>
    <x v="742"/>
    <x v="525"/>
    <m/>
    <x v="2"/>
    <x v="2"/>
    <s v="No major surgery"/>
    <x v="2"/>
    <x v="3"/>
    <x v="3"/>
    <m/>
    <x v="77"/>
    <x v="3"/>
    <m/>
    <x v="3"/>
    <x v="13"/>
  </r>
  <r>
    <s v="Id686"/>
    <m/>
    <x v="742"/>
    <x v="525"/>
    <m/>
    <x v="2"/>
    <x v="2"/>
    <s v="No major surgery"/>
    <x v="2"/>
    <x v="3"/>
    <x v="3"/>
    <m/>
    <x v="77"/>
    <x v="3"/>
    <m/>
    <x v="3"/>
    <x v="13"/>
  </r>
  <r>
    <s v="Id685"/>
    <m/>
    <x v="742"/>
    <x v="525"/>
    <m/>
    <x v="2"/>
    <x v="2"/>
    <n v="1"/>
    <x v="2"/>
    <x v="3"/>
    <x v="3"/>
    <m/>
    <x v="77"/>
    <x v="3"/>
    <m/>
    <x v="3"/>
    <x v="13"/>
  </r>
  <r>
    <s v="Id684"/>
    <m/>
    <x v="742"/>
    <x v="525"/>
    <m/>
    <x v="2"/>
    <x v="2"/>
    <n v="1"/>
    <x v="2"/>
    <x v="3"/>
    <x v="3"/>
    <m/>
    <x v="77"/>
    <x v="3"/>
    <m/>
    <x v="3"/>
    <x v="13"/>
  </r>
  <r>
    <s v="Id683"/>
    <m/>
    <x v="742"/>
    <x v="525"/>
    <m/>
    <x v="2"/>
    <x v="2"/>
    <s v="No major surgery"/>
    <x v="2"/>
    <x v="3"/>
    <x v="3"/>
    <m/>
    <x v="77"/>
    <x v="3"/>
    <m/>
    <x v="3"/>
    <x v="13"/>
  </r>
  <r>
    <s v="Id682"/>
    <m/>
    <x v="742"/>
    <x v="525"/>
    <m/>
    <x v="2"/>
    <x v="2"/>
    <n v="1"/>
    <x v="2"/>
    <x v="3"/>
    <x v="3"/>
    <m/>
    <x v="77"/>
    <x v="3"/>
    <m/>
    <x v="3"/>
    <x v="13"/>
  </r>
  <r>
    <s v="Id681"/>
    <m/>
    <x v="742"/>
    <x v="525"/>
    <m/>
    <x v="2"/>
    <x v="2"/>
    <n v="1"/>
    <x v="2"/>
    <x v="3"/>
    <x v="3"/>
    <m/>
    <x v="77"/>
    <x v="3"/>
    <m/>
    <x v="3"/>
    <x v="13"/>
  </r>
  <r>
    <s v="Id680"/>
    <m/>
    <x v="742"/>
    <x v="525"/>
    <m/>
    <x v="2"/>
    <x v="2"/>
    <n v="1"/>
    <x v="2"/>
    <x v="3"/>
    <x v="3"/>
    <m/>
    <x v="77"/>
    <x v="3"/>
    <m/>
    <x v="3"/>
    <x v="13"/>
  </r>
  <r>
    <s v="Id679"/>
    <m/>
    <x v="742"/>
    <x v="525"/>
    <m/>
    <x v="2"/>
    <x v="2"/>
    <s v="No major surgery"/>
    <x v="2"/>
    <x v="3"/>
    <x v="3"/>
    <m/>
    <x v="77"/>
    <x v="3"/>
    <m/>
    <x v="3"/>
    <x v="13"/>
  </r>
  <r>
    <s v="Id678"/>
    <m/>
    <x v="742"/>
    <x v="525"/>
    <m/>
    <x v="2"/>
    <x v="2"/>
    <s v="No major surgery"/>
    <x v="2"/>
    <x v="3"/>
    <x v="3"/>
    <m/>
    <x v="77"/>
    <x v="3"/>
    <m/>
    <x v="3"/>
    <x v="13"/>
  </r>
  <r>
    <s v="Id677"/>
    <m/>
    <x v="742"/>
    <x v="525"/>
    <m/>
    <x v="2"/>
    <x v="2"/>
    <n v="2"/>
    <x v="2"/>
    <x v="3"/>
    <x v="3"/>
    <m/>
    <x v="77"/>
    <x v="3"/>
    <m/>
    <x v="3"/>
    <x v="13"/>
  </r>
  <r>
    <s v="Id676"/>
    <m/>
    <x v="742"/>
    <x v="525"/>
    <m/>
    <x v="2"/>
    <x v="2"/>
    <s v="No major surgery"/>
    <x v="2"/>
    <x v="3"/>
    <x v="3"/>
    <m/>
    <x v="77"/>
    <x v="3"/>
    <m/>
    <x v="3"/>
    <x v="13"/>
  </r>
  <r>
    <s v="Id675"/>
    <m/>
    <x v="742"/>
    <x v="525"/>
    <m/>
    <x v="2"/>
    <x v="2"/>
    <n v="1"/>
    <x v="2"/>
    <x v="3"/>
    <x v="3"/>
    <m/>
    <x v="77"/>
    <x v="3"/>
    <m/>
    <x v="3"/>
    <x v="13"/>
  </r>
  <r>
    <s v="Id674"/>
    <m/>
    <x v="742"/>
    <x v="525"/>
    <m/>
    <x v="2"/>
    <x v="2"/>
    <n v="1"/>
    <x v="2"/>
    <x v="3"/>
    <x v="3"/>
    <m/>
    <x v="77"/>
    <x v="3"/>
    <m/>
    <x v="3"/>
    <x v="13"/>
  </r>
  <r>
    <s v="Id673"/>
    <m/>
    <x v="742"/>
    <x v="525"/>
    <m/>
    <x v="2"/>
    <x v="2"/>
    <n v="1"/>
    <x v="2"/>
    <x v="3"/>
    <x v="3"/>
    <m/>
    <x v="77"/>
    <x v="3"/>
    <m/>
    <x v="3"/>
    <x v="13"/>
  </r>
  <r>
    <s v="Id672"/>
    <m/>
    <x v="742"/>
    <x v="525"/>
    <m/>
    <x v="2"/>
    <x v="2"/>
    <n v="2"/>
    <x v="2"/>
    <x v="3"/>
    <x v="3"/>
    <m/>
    <x v="77"/>
    <x v="3"/>
    <m/>
    <x v="3"/>
    <x v="13"/>
  </r>
  <r>
    <s v="Id671"/>
    <m/>
    <x v="742"/>
    <x v="525"/>
    <m/>
    <x v="2"/>
    <x v="2"/>
    <n v="1"/>
    <x v="2"/>
    <x v="3"/>
    <x v="3"/>
    <m/>
    <x v="77"/>
    <x v="3"/>
    <m/>
    <x v="3"/>
    <x v="13"/>
  </r>
  <r>
    <s v="Id670"/>
    <m/>
    <x v="742"/>
    <x v="525"/>
    <m/>
    <x v="2"/>
    <x v="2"/>
    <s v="No major surgery"/>
    <x v="2"/>
    <x v="3"/>
    <x v="3"/>
    <m/>
    <x v="77"/>
    <x v="3"/>
    <m/>
    <x v="3"/>
    <x v="13"/>
  </r>
  <r>
    <s v="Id669"/>
    <m/>
    <x v="742"/>
    <x v="525"/>
    <m/>
    <x v="2"/>
    <x v="2"/>
    <s v="No major surgery"/>
    <x v="2"/>
    <x v="3"/>
    <x v="3"/>
    <m/>
    <x v="77"/>
    <x v="3"/>
    <m/>
    <x v="3"/>
    <x v="13"/>
  </r>
  <r>
    <s v="Id668"/>
    <m/>
    <x v="742"/>
    <x v="525"/>
    <m/>
    <x v="2"/>
    <x v="2"/>
    <n v="1"/>
    <x v="2"/>
    <x v="3"/>
    <x v="3"/>
    <m/>
    <x v="77"/>
    <x v="3"/>
    <m/>
    <x v="3"/>
    <x v="13"/>
  </r>
  <r>
    <s v="Id667"/>
    <m/>
    <x v="742"/>
    <x v="525"/>
    <m/>
    <x v="2"/>
    <x v="2"/>
    <s v="No major surgery"/>
    <x v="2"/>
    <x v="3"/>
    <x v="3"/>
    <m/>
    <x v="77"/>
    <x v="3"/>
    <m/>
    <x v="3"/>
    <x v="13"/>
  </r>
  <r>
    <s v="Id666"/>
    <m/>
    <x v="742"/>
    <x v="525"/>
    <m/>
    <x v="2"/>
    <x v="2"/>
    <s v="No major surgery"/>
    <x v="2"/>
    <x v="3"/>
    <x v="3"/>
    <m/>
    <x v="77"/>
    <x v="3"/>
    <m/>
    <x v="3"/>
    <x v="13"/>
  </r>
  <r>
    <s v="Id665"/>
    <m/>
    <x v="742"/>
    <x v="525"/>
    <m/>
    <x v="2"/>
    <x v="2"/>
    <n v="1"/>
    <x v="2"/>
    <x v="3"/>
    <x v="3"/>
    <m/>
    <x v="77"/>
    <x v="3"/>
    <m/>
    <x v="3"/>
    <x v="13"/>
  </r>
  <r>
    <s v="Id664"/>
    <m/>
    <x v="742"/>
    <x v="525"/>
    <m/>
    <x v="2"/>
    <x v="2"/>
    <n v="2"/>
    <x v="2"/>
    <x v="3"/>
    <x v="3"/>
    <m/>
    <x v="77"/>
    <x v="3"/>
    <m/>
    <x v="3"/>
    <x v="13"/>
  </r>
  <r>
    <s v="Id663"/>
    <m/>
    <x v="742"/>
    <x v="525"/>
    <m/>
    <x v="2"/>
    <x v="2"/>
    <n v="1"/>
    <x v="2"/>
    <x v="3"/>
    <x v="3"/>
    <m/>
    <x v="77"/>
    <x v="3"/>
    <m/>
    <x v="3"/>
    <x v="13"/>
  </r>
  <r>
    <s v="Id662"/>
    <m/>
    <x v="742"/>
    <x v="525"/>
    <m/>
    <x v="2"/>
    <x v="2"/>
    <n v="1"/>
    <x v="2"/>
    <x v="3"/>
    <x v="3"/>
    <m/>
    <x v="77"/>
    <x v="3"/>
    <m/>
    <x v="3"/>
    <x v="13"/>
  </r>
  <r>
    <s v="Id661"/>
    <m/>
    <x v="742"/>
    <x v="525"/>
    <m/>
    <x v="2"/>
    <x v="2"/>
    <s v="No major surgery"/>
    <x v="2"/>
    <x v="3"/>
    <x v="3"/>
    <m/>
    <x v="77"/>
    <x v="3"/>
    <m/>
    <x v="3"/>
    <x v="13"/>
  </r>
  <r>
    <s v="Id660"/>
    <m/>
    <x v="742"/>
    <x v="525"/>
    <m/>
    <x v="2"/>
    <x v="2"/>
    <n v="1"/>
    <x v="2"/>
    <x v="3"/>
    <x v="3"/>
    <m/>
    <x v="77"/>
    <x v="3"/>
    <m/>
    <x v="3"/>
    <x v="13"/>
  </r>
  <r>
    <s v="Id659"/>
    <m/>
    <x v="742"/>
    <x v="525"/>
    <m/>
    <x v="2"/>
    <x v="2"/>
    <n v="1"/>
    <x v="2"/>
    <x v="3"/>
    <x v="3"/>
    <m/>
    <x v="77"/>
    <x v="3"/>
    <m/>
    <x v="3"/>
    <x v="13"/>
  </r>
  <r>
    <s v="Id658"/>
    <m/>
    <x v="742"/>
    <x v="525"/>
    <m/>
    <x v="2"/>
    <x v="2"/>
    <s v="No major surgery"/>
    <x v="2"/>
    <x v="3"/>
    <x v="3"/>
    <m/>
    <x v="77"/>
    <x v="3"/>
    <m/>
    <x v="3"/>
    <x v="13"/>
  </r>
  <r>
    <s v="Id657"/>
    <m/>
    <x v="742"/>
    <x v="525"/>
    <m/>
    <x v="2"/>
    <x v="2"/>
    <s v="No major surgery"/>
    <x v="2"/>
    <x v="3"/>
    <x v="3"/>
    <m/>
    <x v="77"/>
    <x v="3"/>
    <m/>
    <x v="3"/>
    <x v="13"/>
  </r>
  <r>
    <s v="Id656"/>
    <m/>
    <x v="742"/>
    <x v="525"/>
    <m/>
    <x v="2"/>
    <x v="2"/>
    <n v="1"/>
    <x v="2"/>
    <x v="3"/>
    <x v="3"/>
    <m/>
    <x v="77"/>
    <x v="3"/>
    <m/>
    <x v="3"/>
    <x v="13"/>
  </r>
  <r>
    <s v="Id655"/>
    <m/>
    <x v="742"/>
    <x v="525"/>
    <m/>
    <x v="2"/>
    <x v="2"/>
    <n v="1"/>
    <x v="2"/>
    <x v="3"/>
    <x v="3"/>
    <m/>
    <x v="77"/>
    <x v="3"/>
    <m/>
    <x v="3"/>
    <x v="13"/>
  </r>
  <r>
    <s v="Id654"/>
    <m/>
    <x v="742"/>
    <x v="525"/>
    <m/>
    <x v="2"/>
    <x v="2"/>
    <n v="1"/>
    <x v="2"/>
    <x v="3"/>
    <x v="3"/>
    <m/>
    <x v="77"/>
    <x v="3"/>
    <m/>
    <x v="3"/>
    <x v="13"/>
  </r>
  <r>
    <s v="Id653"/>
    <m/>
    <x v="742"/>
    <x v="525"/>
    <m/>
    <x v="2"/>
    <x v="2"/>
    <s v="No major surgery"/>
    <x v="2"/>
    <x v="3"/>
    <x v="3"/>
    <m/>
    <x v="77"/>
    <x v="3"/>
    <m/>
    <x v="3"/>
    <x v="13"/>
  </r>
  <r>
    <s v="Id652"/>
    <m/>
    <x v="742"/>
    <x v="525"/>
    <m/>
    <x v="2"/>
    <x v="2"/>
    <s v="No major surgery"/>
    <x v="2"/>
    <x v="3"/>
    <x v="3"/>
    <m/>
    <x v="77"/>
    <x v="3"/>
    <m/>
    <x v="3"/>
    <x v="13"/>
  </r>
  <r>
    <s v="Id651"/>
    <m/>
    <x v="742"/>
    <x v="525"/>
    <m/>
    <x v="2"/>
    <x v="2"/>
    <s v="No major surgery"/>
    <x v="2"/>
    <x v="3"/>
    <x v="3"/>
    <m/>
    <x v="77"/>
    <x v="3"/>
    <m/>
    <x v="3"/>
    <x v="13"/>
  </r>
  <r>
    <s v="Id650"/>
    <m/>
    <x v="742"/>
    <x v="525"/>
    <m/>
    <x v="2"/>
    <x v="2"/>
    <s v="No major surgery"/>
    <x v="2"/>
    <x v="3"/>
    <x v="3"/>
    <m/>
    <x v="77"/>
    <x v="3"/>
    <m/>
    <x v="3"/>
    <x v="13"/>
  </r>
  <r>
    <s v="Id649"/>
    <m/>
    <x v="742"/>
    <x v="525"/>
    <m/>
    <x v="2"/>
    <x v="2"/>
    <s v="No major surgery"/>
    <x v="2"/>
    <x v="3"/>
    <x v="3"/>
    <m/>
    <x v="77"/>
    <x v="3"/>
    <m/>
    <x v="3"/>
    <x v="13"/>
  </r>
  <r>
    <s v="Id648"/>
    <m/>
    <x v="742"/>
    <x v="525"/>
    <m/>
    <x v="2"/>
    <x v="2"/>
    <n v="1"/>
    <x v="2"/>
    <x v="3"/>
    <x v="3"/>
    <m/>
    <x v="77"/>
    <x v="3"/>
    <m/>
    <x v="3"/>
    <x v="13"/>
  </r>
  <r>
    <s v="Id647"/>
    <m/>
    <x v="742"/>
    <x v="525"/>
    <m/>
    <x v="2"/>
    <x v="2"/>
    <n v="1"/>
    <x v="2"/>
    <x v="3"/>
    <x v="3"/>
    <m/>
    <x v="77"/>
    <x v="3"/>
    <m/>
    <x v="3"/>
    <x v="13"/>
  </r>
  <r>
    <s v="Id646"/>
    <m/>
    <x v="742"/>
    <x v="525"/>
    <m/>
    <x v="2"/>
    <x v="2"/>
    <n v="1"/>
    <x v="2"/>
    <x v="3"/>
    <x v="3"/>
    <m/>
    <x v="77"/>
    <x v="3"/>
    <m/>
    <x v="3"/>
    <x v="13"/>
  </r>
  <r>
    <s v="Id645"/>
    <m/>
    <x v="742"/>
    <x v="525"/>
    <m/>
    <x v="2"/>
    <x v="2"/>
    <n v="1"/>
    <x v="2"/>
    <x v="3"/>
    <x v="3"/>
    <m/>
    <x v="77"/>
    <x v="3"/>
    <m/>
    <x v="3"/>
    <x v="13"/>
  </r>
  <r>
    <s v="Id644"/>
    <m/>
    <x v="742"/>
    <x v="525"/>
    <m/>
    <x v="2"/>
    <x v="2"/>
    <n v="1"/>
    <x v="2"/>
    <x v="3"/>
    <x v="3"/>
    <m/>
    <x v="77"/>
    <x v="3"/>
    <m/>
    <x v="3"/>
    <x v="13"/>
  </r>
  <r>
    <s v="Id643"/>
    <m/>
    <x v="742"/>
    <x v="525"/>
    <m/>
    <x v="2"/>
    <x v="2"/>
    <n v="1"/>
    <x v="2"/>
    <x v="3"/>
    <x v="3"/>
    <m/>
    <x v="77"/>
    <x v="3"/>
    <m/>
    <x v="3"/>
    <x v="13"/>
  </r>
  <r>
    <s v="Id642"/>
    <m/>
    <x v="742"/>
    <x v="525"/>
    <m/>
    <x v="2"/>
    <x v="2"/>
    <n v="2"/>
    <x v="2"/>
    <x v="3"/>
    <x v="3"/>
    <m/>
    <x v="77"/>
    <x v="3"/>
    <m/>
    <x v="3"/>
    <x v="13"/>
  </r>
  <r>
    <s v="Id641"/>
    <m/>
    <x v="742"/>
    <x v="525"/>
    <m/>
    <x v="2"/>
    <x v="2"/>
    <n v="1"/>
    <x v="2"/>
    <x v="3"/>
    <x v="3"/>
    <m/>
    <x v="77"/>
    <x v="3"/>
    <m/>
    <x v="3"/>
    <x v="13"/>
  </r>
  <r>
    <s v="Id640"/>
    <m/>
    <x v="742"/>
    <x v="525"/>
    <m/>
    <x v="2"/>
    <x v="2"/>
    <s v="No major surgery"/>
    <x v="2"/>
    <x v="3"/>
    <x v="3"/>
    <m/>
    <x v="77"/>
    <x v="3"/>
    <m/>
    <x v="3"/>
    <x v="13"/>
  </r>
  <r>
    <s v="Id639"/>
    <m/>
    <x v="742"/>
    <x v="525"/>
    <m/>
    <x v="2"/>
    <x v="2"/>
    <s v="No major surgery"/>
    <x v="2"/>
    <x v="3"/>
    <x v="3"/>
    <m/>
    <x v="77"/>
    <x v="3"/>
    <m/>
    <x v="3"/>
    <x v="13"/>
  </r>
  <r>
    <s v="Id638"/>
    <m/>
    <x v="742"/>
    <x v="525"/>
    <m/>
    <x v="2"/>
    <x v="2"/>
    <n v="1"/>
    <x v="2"/>
    <x v="3"/>
    <x v="3"/>
    <m/>
    <x v="77"/>
    <x v="3"/>
    <m/>
    <x v="3"/>
    <x v="13"/>
  </r>
  <r>
    <s v="Id637"/>
    <m/>
    <x v="742"/>
    <x v="525"/>
    <m/>
    <x v="2"/>
    <x v="2"/>
    <s v="No major surgery"/>
    <x v="2"/>
    <x v="3"/>
    <x v="3"/>
    <m/>
    <x v="77"/>
    <x v="3"/>
    <m/>
    <x v="3"/>
    <x v="13"/>
  </r>
  <r>
    <s v="Id636"/>
    <m/>
    <x v="742"/>
    <x v="525"/>
    <m/>
    <x v="2"/>
    <x v="2"/>
    <s v="No major surgery"/>
    <x v="2"/>
    <x v="3"/>
    <x v="3"/>
    <m/>
    <x v="77"/>
    <x v="3"/>
    <m/>
    <x v="3"/>
    <x v="13"/>
  </r>
  <r>
    <s v="Id635"/>
    <m/>
    <x v="742"/>
    <x v="525"/>
    <m/>
    <x v="2"/>
    <x v="2"/>
    <n v="1"/>
    <x v="2"/>
    <x v="3"/>
    <x v="3"/>
    <m/>
    <x v="77"/>
    <x v="3"/>
    <m/>
    <x v="3"/>
    <x v="13"/>
  </r>
  <r>
    <s v="Id634"/>
    <m/>
    <x v="742"/>
    <x v="525"/>
    <m/>
    <x v="2"/>
    <x v="2"/>
    <s v="No major surgery"/>
    <x v="2"/>
    <x v="3"/>
    <x v="3"/>
    <m/>
    <x v="77"/>
    <x v="3"/>
    <m/>
    <x v="3"/>
    <x v="13"/>
  </r>
  <r>
    <s v="Id633"/>
    <m/>
    <x v="742"/>
    <x v="525"/>
    <m/>
    <x v="2"/>
    <x v="2"/>
    <n v="1"/>
    <x v="2"/>
    <x v="3"/>
    <x v="3"/>
    <m/>
    <x v="77"/>
    <x v="3"/>
    <m/>
    <x v="3"/>
    <x v="13"/>
  </r>
  <r>
    <s v="Id632"/>
    <m/>
    <x v="742"/>
    <x v="525"/>
    <m/>
    <x v="2"/>
    <x v="2"/>
    <n v="1"/>
    <x v="2"/>
    <x v="3"/>
    <x v="3"/>
    <m/>
    <x v="77"/>
    <x v="3"/>
    <m/>
    <x v="3"/>
    <x v="13"/>
  </r>
  <r>
    <s v="Id631"/>
    <m/>
    <x v="742"/>
    <x v="525"/>
    <m/>
    <x v="2"/>
    <x v="2"/>
    <s v="No major surgery"/>
    <x v="2"/>
    <x v="3"/>
    <x v="3"/>
    <m/>
    <x v="77"/>
    <x v="3"/>
    <m/>
    <x v="3"/>
    <x v="13"/>
  </r>
  <r>
    <s v="Id630"/>
    <m/>
    <x v="742"/>
    <x v="525"/>
    <m/>
    <x v="2"/>
    <x v="2"/>
    <n v="1"/>
    <x v="2"/>
    <x v="3"/>
    <x v="3"/>
    <m/>
    <x v="77"/>
    <x v="3"/>
    <m/>
    <x v="3"/>
    <x v="13"/>
  </r>
  <r>
    <s v="Id629"/>
    <m/>
    <x v="742"/>
    <x v="525"/>
    <m/>
    <x v="2"/>
    <x v="2"/>
    <n v="1"/>
    <x v="2"/>
    <x v="3"/>
    <x v="3"/>
    <m/>
    <x v="77"/>
    <x v="3"/>
    <m/>
    <x v="3"/>
    <x v="13"/>
  </r>
  <r>
    <s v="Id628"/>
    <m/>
    <x v="742"/>
    <x v="525"/>
    <m/>
    <x v="2"/>
    <x v="2"/>
    <n v="1"/>
    <x v="2"/>
    <x v="3"/>
    <x v="3"/>
    <m/>
    <x v="77"/>
    <x v="3"/>
    <m/>
    <x v="3"/>
    <x v="13"/>
  </r>
  <r>
    <s v="Id627"/>
    <m/>
    <x v="742"/>
    <x v="525"/>
    <m/>
    <x v="2"/>
    <x v="2"/>
    <s v="No major surgery"/>
    <x v="2"/>
    <x v="3"/>
    <x v="3"/>
    <m/>
    <x v="77"/>
    <x v="3"/>
    <m/>
    <x v="3"/>
    <x v="13"/>
  </r>
  <r>
    <s v="Id626"/>
    <m/>
    <x v="742"/>
    <x v="525"/>
    <m/>
    <x v="2"/>
    <x v="2"/>
    <n v="1"/>
    <x v="2"/>
    <x v="3"/>
    <x v="3"/>
    <m/>
    <x v="77"/>
    <x v="3"/>
    <m/>
    <x v="3"/>
    <x v="13"/>
  </r>
  <r>
    <s v="Id625"/>
    <m/>
    <x v="742"/>
    <x v="525"/>
    <m/>
    <x v="2"/>
    <x v="2"/>
    <s v="No major surgery"/>
    <x v="2"/>
    <x v="3"/>
    <x v="3"/>
    <m/>
    <x v="77"/>
    <x v="3"/>
    <m/>
    <x v="3"/>
    <x v="13"/>
  </r>
  <r>
    <s v="Id624"/>
    <m/>
    <x v="742"/>
    <x v="525"/>
    <m/>
    <x v="2"/>
    <x v="2"/>
    <s v="No major surgery"/>
    <x v="2"/>
    <x v="3"/>
    <x v="3"/>
    <m/>
    <x v="77"/>
    <x v="3"/>
    <m/>
    <x v="3"/>
    <x v="13"/>
  </r>
  <r>
    <s v="Id623"/>
    <m/>
    <x v="742"/>
    <x v="525"/>
    <m/>
    <x v="2"/>
    <x v="2"/>
    <n v="2"/>
    <x v="2"/>
    <x v="3"/>
    <x v="3"/>
    <m/>
    <x v="77"/>
    <x v="3"/>
    <m/>
    <x v="3"/>
    <x v="13"/>
  </r>
  <r>
    <s v="Id622"/>
    <m/>
    <x v="742"/>
    <x v="525"/>
    <m/>
    <x v="2"/>
    <x v="2"/>
    <s v="No major surgery"/>
    <x v="2"/>
    <x v="3"/>
    <x v="3"/>
    <m/>
    <x v="77"/>
    <x v="3"/>
    <m/>
    <x v="3"/>
    <x v="13"/>
  </r>
  <r>
    <s v="Id621"/>
    <m/>
    <x v="742"/>
    <x v="525"/>
    <m/>
    <x v="2"/>
    <x v="2"/>
    <n v="1"/>
    <x v="2"/>
    <x v="3"/>
    <x v="3"/>
    <m/>
    <x v="77"/>
    <x v="3"/>
    <m/>
    <x v="3"/>
    <x v="13"/>
  </r>
  <r>
    <s v="Id620"/>
    <m/>
    <x v="742"/>
    <x v="525"/>
    <m/>
    <x v="2"/>
    <x v="2"/>
    <s v="No major surgery"/>
    <x v="2"/>
    <x v="3"/>
    <x v="3"/>
    <m/>
    <x v="77"/>
    <x v="3"/>
    <m/>
    <x v="3"/>
    <x v="13"/>
  </r>
  <r>
    <s v="Id619"/>
    <m/>
    <x v="742"/>
    <x v="525"/>
    <m/>
    <x v="2"/>
    <x v="2"/>
    <s v="No major surgery"/>
    <x v="2"/>
    <x v="3"/>
    <x v="3"/>
    <m/>
    <x v="77"/>
    <x v="3"/>
    <m/>
    <x v="3"/>
    <x v="13"/>
  </r>
  <r>
    <s v="Id618"/>
    <m/>
    <x v="742"/>
    <x v="525"/>
    <m/>
    <x v="2"/>
    <x v="2"/>
    <n v="1"/>
    <x v="2"/>
    <x v="3"/>
    <x v="3"/>
    <m/>
    <x v="77"/>
    <x v="3"/>
    <m/>
    <x v="3"/>
    <x v="13"/>
  </r>
  <r>
    <s v="Id617"/>
    <m/>
    <x v="742"/>
    <x v="525"/>
    <m/>
    <x v="2"/>
    <x v="2"/>
    <n v="1"/>
    <x v="2"/>
    <x v="3"/>
    <x v="3"/>
    <m/>
    <x v="77"/>
    <x v="3"/>
    <m/>
    <x v="3"/>
    <x v="13"/>
  </r>
  <r>
    <s v="Id616"/>
    <m/>
    <x v="742"/>
    <x v="525"/>
    <m/>
    <x v="2"/>
    <x v="2"/>
    <s v="No major surgery"/>
    <x v="2"/>
    <x v="3"/>
    <x v="3"/>
    <m/>
    <x v="77"/>
    <x v="3"/>
    <m/>
    <x v="3"/>
    <x v="13"/>
  </r>
  <r>
    <s v="Id615"/>
    <m/>
    <x v="742"/>
    <x v="525"/>
    <m/>
    <x v="2"/>
    <x v="2"/>
    <n v="1"/>
    <x v="2"/>
    <x v="3"/>
    <x v="3"/>
    <m/>
    <x v="77"/>
    <x v="3"/>
    <m/>
    <x v="3"/>
    <x v="13"/>
  </r>
  <r>
    <s v="Id614"/>
    <m/>
    <x v="742"/>
    <x v="525"/>
    <m/>
    <x v="2"/>
    <x v="2"/>
    <n v="1"/>
    <x v="2"/>
    <x v="3"/>
    <x v="3"/>
    <m/>
    <x v="77"/>
    <x v="3"/>
    <m/>
    <x v="3"/>
    <x v="13"/>
  </r>
  <r>
    <s v="Id613"/>
    <m/>
    <x v="742"/>
    <x v="525"/>
    <m/>
    <x v="2"/>
    <x v="2"/>
    <n v="1"/>
    <x v="2"/>
    <x v="3"/>
    <x v="3"/>
    <m/>
    <x v="77"/>
    <x v="3"/>
    <m/>
    <x v="3"/>
    <x v="13"/>
  </r>
  <r>
    <s v="Id612"/>
    <m/>
    <x v="742"/>
    <x v="525"/>
    <m/>
    <x v="2"/>
    <x v="2"/>
    <n v="1"/>
    <x v="2"/>
    <x v="3"/>
    <x v="3"/>
    <m/>
    <x v="77"/>
    <x v="3"/>
    <m/>
    <x v="3"/>
    <x v="13"/>
  </r>
  <r>
    <s v="Id611"/>
    <m/>
    <x v="742"/>
    <x v="525"/>
    <m/>
    <x v="2"/>
    <x v="2"/>
    <s v="No major surgery"/>
    <x v="2"/>
    <x v="3"/>
    <x v="3"/>
    <m/>
    <x v="77"/>
    <x v="3"/>
    <m/>
    <x v="3"/>
    <x v="13"/>
  </r>
  <r>
    <s v="Id610"/>
    <m/>
    <x v="742"/>
    <x v="525"/>
    <m/>
    <x v="2"/>
    <x v="2"/>
    <s v="No major surgery"/>
    <x v="2"/>
    <x v="3"/>
    <x v="3"/>
    <m/>
    <x v="77"/>
    <x v="3"/>
    <m/>
    <x v="3"/>
    <x v="13"/>
  </r>
  <r>
    <s v="Id609"/>
    <m/>
    <x v="742"/>
    <x v="525"/>
    <m/>
    <x v="2"/>
    <x v="2"/>
    <s v="No major surgery"/>
    <x v="2"/>
    <x v="3"/>
    <x v="3"/>
    <m/>
    <x v="77"/>
    <x v="3"/>
    <m/>
    <x v="3"/>
    <x v="13"/>
  </r>
  <r>
    <s v="Id608"/>
    <m/>
    <x v="742"/>
    <x v="525"/>
    <m/>
    <x v="2"/>
    <x v="2"/>
    <n v="1"/>
    <x v="2"/>
    <x v="3"/>
    <x v="3"/>
    <m/>
    <x v="77"/>
    <x v="3"/>
    <m/>
    <x v="3"/>
    <x v="13"/>
  </r>
  <r>
    <s v="Id607"/>
    <m/>
    <x v="742"/>
    <x v="525"/>
    <m/>
    <x v="2"/>
    <x v="2"/>
    <n v="1"/>
    <x v="2"/>
    <x v="3"/>
    <x v="3"/>
    <m/>
    <x v="77"/>
    <x v="3"/>
    <m/>
    <x v="3"/>
    <x v="13"/>
  </r>
  <r>
    <s v="Id606"/>
    <m/>
    <x v="742"/>
    <x v="525"/>
    <m/>
    <x v="2"/>
    <x v="2"/>
    <n v="1"/>
    <x v="2"/>
    <x v="3"/>
    <x v="3"/>
    <m/>
    <x v="77"/>
    <x v="3"/>
    <m/>
    <x v="3"/>
    <x v="13"/>
  </r>
  <r>
    <s v="Id605"/>
    <m/>
    <x v="742"/>
    <x v="525"/>
    <m/>
    <x v="2"/>
    <x v="2"/>
    <n v="1"/>
    <x v="2"/>
    <x v="3"/>
    <x v="3"/>
    <m/>
    <x v="77"/>
    <x v="3"/>
    <m/>
    <x v="3"/>
    <x v="13"/>
  </r>
  <r>
    <s v="Id604"/>
    <m/>
    <x v="742"/>
    <x v="525"/>
    <m/>
    <x v="2"/>
    <x v="2"/>
    <n v="1"/>
    <x v="2"/>
    <x v="3"/>
    <x v="3"/>
    <m/>
    <x v="77"/>
    <x v="3"/>
    <m/>
    <x v="3"/>
    <x v="13"/>
  </r>
  <r>
    <s v="Id603"/>
    <m/>
    <x v="742"/>
    <x v="525"/>
    <m/>
    <x v="2"/>
    <x v="2"/>
    <s v="No major surgery"/>
    <x v="2"/>
    <x v="3"/>
    <x v="3"/>
    <m/>
    <x v="77"/>
    <x v="3"/>
    <m/>
    <x v="3"/>
    <x v="13"/>
  </r>
  <r>
    <s v="Id602"/>
    <m/>
    <x v="742"/>
    <x v="525"/>
    <m/>
    <x v="2"/>
    <x v="2"/>
    <n v="1"/>
    <x v="2"/>
    <x v="3"/>
    <x v="3"/>
    <m/>
    <x v="77"/>
    <x v="3"/>
    <m/>
    <x v="3"/>
    <x v="13"/>
  </r>
  <r>
    <s v="Id601"/>
    <m/>
    <x v="742"/>
    <x v="525"/>
    <m/>
    <x v="2"/>
    <x v="2"/>
    <n v="1"/>
    <x v="2"/>
    <x v="3"/>
    <x v="3"/>
    <m/>
    <x v="77"/>
    <x v="3"/>
    <m/>
    <x v="3"/>
    <x v="13"/>
  </r>
  <r>
    <s v="Id600"/>
    <m/>
    <x v="742"/>
    <x v="525"/>
    <m/>
    <x v="2"/>
    <x v="2"/>
    <n v="1"/>
    <x v="2"/>
    <x v="3"/>
    <x v="3"/>
    <m/>
    <x v="77"/>
    <x v="3"/>
    <m/>
    <x v="3"/>
    <x v="13"/>
  </r>
  <r>
    <s v="Id599"/>
    <m/>
    <x v="742"/>
    <x v="525"/>
    <m/>
    <x v="2"/>
    <x v="2"/>
    <n v="1"/>
    <x v="2"/>
    <x v="3"/>
    <x v="3"/>
    <m/>
    <x v="77"/>
    <x v="3"/>
    <m/>
    <x v="3"/>
    <x v="13"/>
  </r>
  <r>
    <s v="Id598"/>
    <m/>
    <x v="742"/>
    <x v="525"/>
    <m/>
    <x v="2"/>
    <x v="2"/>
    <n v="1"/>
    <x v="2"/>
    <x v="3"/>
    <x v="3"/>
    <m/>
    <x v="77"/>
    <x v="3"/>
    <m/>
    <x v="3"/>
    <x v="13"/>
  </r>
  <r>
    <s v="Id597"/>
    <m/>
    <x v="742"/>
    <x v="525"/>
    <m/>
    <x v="2"/>
    <x v="2"/>
    <s v="No major surgery"/>
    <x v="2"/>
    <x v="3"/>
    <x v="3"/>
    <m/>
    <x v="77"/>
    <x v="3"/>
    <m/>
    <x v="3"/>
    <x v="13"/>
  </r>
  <r>
    <s v="Id596"/>
    <m/>
    <x v="742"/>
    <x v="525"/>
    <m/>
    <x v="2"/>
    <x v="2"/>
    <s v="No major surgery"/>
    <x v="2"/>
    <x v="3"/>
    <x v="3"/>
    <m/>
    <x v="77"/>
    <x v="3"/>
    <m/>
    <x v="3"/>
    <x v="13"/>
  </r>
  <r>
    <s v="Id595"/>
    <m/>
    <x v="742"/>
    <x v="525"/>
    <m/>
    <x v="2"/>
    <x v="2"/>
    <s v="No major surgery"/>
    <x v="2"/>
    <x v="3"/>
    <x v="3"/>
    <m/>
    <x v="77"/>
    <x v="3"/>
    <m/>
    <x v="3"/>
    <x v="13"/>
  </r>
  <r>
    <s v="Id594"/>
    <m/>
    <x v="742"/>
    <x v="525"/>
    <m/>
    <x v="2"/>
    <x v="2"/>
    <n v="1"/>
    <x v="2"/>
    <x v="3"/>
    <x v="3"/>
    <m/>
    <x v="77"/>
    <x v="3"/>
    <m/>
    <x v="3"/>
    <x v="13"/>
  </r>
  <r>
    <s v="Id593"/>
    <m/>
    <x v="742"/>
    <x v="525"/>
    <m/>
    <x v="2"/>
    <x v="2"/>
    <n v="1"/>
    <x v="2"/>
    <x v="3"/>
    <x v="3"/>
    <m/>
    <x v="77"/>
    <x v="3"/>
    <m/>
    <x v="3"/>
    <x v="13"/>
  </r>
  <r>
    <s v="Id592"/>
    <m/>
    <x v="742"/>
    <x v="525"/>
    <m/>
    <x v="2"/>
    <x v="2"/>
    <n v="1"/>
    <x v="2"/>
    <x v="3"/>
    <x v="3"/>
    <m/>
    <x v="77"/>
    <x v="3"/>
    <m/>
    <x v="3"/>
    <x v="13"/>
  </r>
  <r>
    <s v="Id591"/>
    <m/>
    <x v="742"/>
    <x v="525"/>
    <m/>
    <x v="2"/>
    <x v="2"/>
    <n v="1"/>
    <x v="2"/>
    <x v="3"/>
    <x v="3"/>
    <m/>
    <x v="77"/>
    <x v="3"/>
    <m/>
    <x v="3"/>
    <x v="13"/>
  </r>
  <r>
    <s v="Id590"/>
    <m/>
    <x v="742"/>
    <x v="525"/>
    <m/>
    <x v="2"/>
    <x v="2"/>
    <n v="1"/>
    <x v="2"/>
    <x v="3"/>
    <x v="3"/>
    <m/>
    <x v="77"/>
    <x v="3"/>
    <m/>
    <x v="3"/>
    <x v="13"/>
  </r>
  <r>
    <s v="Id589"/>
    <m/>
    <x v="742"/>
    <x v="525"/>
    <m/>
    <x v="2"/>
    <x v="2"/>
    <n v="1"/>
    <x v="2"/>
    <x v="3"/>
    <x v="3"/>
    <m/>
    <x v="77"/>
    <x v="3"/>
    <m/>
    <x v="3"/>
    <x v="13"/>
  </r>
  <r>
    <s v="Id588"/>
    <m/>
    <x v="742"/>
    <x v="525"/>
    <m/>
    <x v="2"/>
    <x v="2"/>
    <s v="No major surgery"/>
    <x v="2"/>
    <x v="3"/>
    <x v="3"/>
    <m/>
    <x v="77"/>
    <x v="3"/>
    <m/>
    <x v="3"/>
    <x v="13"/>
  </r>
  <r>
    <s v="Id587"/>
    <m/>
    <x v="742"/>
    <x v="525"/>
    <m/>
    <x v="2"/>
    <x v="2"/>
    <n v="1"/>
    <x v="2"/>
    <x v="3"/>
    <x v="3"/>
    <m/>
    <x v="77"/>
    <x v="3"/>
    <m/>
    <x v="3"/>
    <x v="13"/>
  </r>
  <r>
    <s v="Id586"/>
    <m/>
    <x v="742"/>
    <x v="525"/>
    <m/>
    <x v="2"/>
    <x v="2"/>
    <s v="No major surgery"/>
    <x v="2"/>
    <x v="3"/>
    <x v="3"/>
    <m/>
    <x v="77"/>
    <x v="3"/>
    <m/>
    <x v="3"/>
    <x v="13"/>
  </r>
  <r>
    <s v="Id585"/>
    <m/>
    <x v="742"/>
    <x v="525"/>
    <m/>
    <x v="2"/>
    <x v="2"/>
    <n v="1"/>
    <x v="2"/>
    <x v="3"/>
    <x v="3"/>
    <m/>
    <x v="77"/>
    <x v="3"/>
    <m/>
    <x v="3"/>
    <x v="13"/>
  </r>
  <r>
    <s v="Id584"/>
    <m/>
    <x v="742"/>
    <x v="525"/>
    <m/>
    <x v="2"/>
    <x v="2"/>
    <s v="No major surgery"/>
    <x v="2"/>
    <x v="3"/>
    <x v="3"/>
    <m/>
    <x v="77"/>
    <x v="3"/>
    <m/>
    <x v="3"/>
    <x v="13"/>
  </r>
  <r>
    <s v="Id583"/>
    <m/>
    <x v="742"/>
    <x v="525"/>
    <m/>
    <x v="2"/>
    <x v="2"/>
    <n v="1"/>
    <x v="2"/>
    <x v="3"/>
    <x v="3"/>
    <m/>
    <x v="77"/>
    <x v="3"/>
    <m/>
    <x v="3"/>
    <x v="13"/>
  </r>
  <r>
    <s v="Id582"/>
    <m/>
    <x v="742"/>
    <x v="525"/>
    <m/>
    <x v="2"/>
    <x v="2"/>
    <s v="No major surgery"/>
    <x v="2"/>
    <x v="3"/>
    <x v="3"/>
    <m/>
    <x v="77"/>
    <x v="3"/>
    <m/>
    <x v="3"/>
    <x v="13"/>
  </r>
  <r>
    <s v="Id581"/>
    <m/>
    <x v="742"/>
    <x v="525"/>
    <m/>
    <x v="2"/>
    <x v="2"/>
    <n v="1"/>
    <x v="2"/>
    <x v="3"/>
    <x v="3"/>
    <m/>
    <x v="77"/>
    <x v="3"/>
    <m/>
    <x v="3"/>
    <x v="13"/>
  </r>
  <r>
    <s v="Id580"/>
    <m/>
    <x v="742"/>
    <x v="525"/>
    <m/>
    <x v="2"/>
    <x v="2"/>
    <n v="1"/>
    <x v="2"/>
    <x v="3"/>
    <x v="3"/>
    <m/>
    <x v="77"/>
    <x v="3"/>
    <m/>
    <x v="3"/>
    <x v="13"/>
  </r>
  <r>
    <s v="Id579"/>
    <m/>
    <x v="742"/>
    <x v="525"/>
    <m/>
    <x v="2"/>
    <x v="2"/>
    <s v="No major surgery"/>
    <x v="2"/>
    <x v="3"/>
    <x v="3"/>
    <m/>
    <x v="77"/>
    <x v="3"/>
    <m/>
    <x v="3"/>
    <x v="13"/>
  </r>
  <r>
    <s v="Id578"/>
    <m/>
    <x v="742"/>
    <x v="525"/>
    <m/>
    <x v="2"/>
    <x v="2"/>
    <s v="No major surgery"/>
    <x v="2"/>
    <x v="3"/>
    <x v="3"/>
    <m/>
    <x v="77"/>
    <x v="3"/>
    <m/>
    <x v="3"/>
    <x v="13"/>
  </r>
  <r>
    <s v="Id577"/>
    <m/>
    <x v="742"/>
    <x v="525"/>
    <m/>
    <x v="2"/>
    <x v="2"/>
    <n v="1"/>
    <x v="2"/>
    <x v="3"/>
    <x v="3"/>
    <m/>
    <x v="77"/>
    <x v="3"/>
    <m/>
    <x v="3"/>
    <x v="13"/>
  </r>
  <r>
    <s v="Id576"/>
    <m/>
    <x v="742"/>
    <x v="525"/>
    <m/>
    <x v="2"/>
    <x v="2"/>
    <n v="1"/>
    <x v="2"/>
    <x v="3"/>
    <x v="3"/>
    <m/>
    <x v="77"/>
    <x v="3"/>
    <m/>
    <x v="3"/>
    <x v="13"/>
  </r>
  <r>
    <s v="Id575"/>
    <m/>
    <x v="742"/>
    <x v="525"/>
    <m/>
    <x v="2"/>
    <x v="2"/>
    <s v="No major surgery"/>
    <x v="2"/>
    <x v="3"/>
    <x v="3"/>
    <m/>
    <x v="77"/>
    <x v="3"/>
    <m/>
    <x v="3"/>
    <x v="13"/>
  </r>
  <r>
    <s v="Id574"/>
    <m/>
    <x v="742"/>
    <x v="525"/>
    <m/>
    <x v="2"/>
    <x v="2"/>
    <n v="1"/>
    <x v="2"/>
    <x v="3"/>
    <x v="3"/>
    <m/>
    <x v="77"/>
    <x v="3"/>
    <m/>
    <x v="3"/>
    <x v="13"/>
  </r>
  <r>
    <s v="Id573"/>
    <m/>
    <x v="742"/>
    <x v="525"/>
    <m/>
    <x v="2"/>
    <x v="2"/>
    <s v="No major surgery"/>
    <x v="2"/>
    <x v="3"/>
    <x v="3"/>
    <m/>
    <x v="77"/>
    <x v="3"/>
    <m/>
    <x v="3"/>
    <x v="13"/>
  </r>
  <r>
    <s v="Id572"/>
    <m/>
    <x v="742"/>
    <x v="525"/>
    <m/>
    <x v="2"/>
    <x v="2"/>
    <n v="1"/>
    <x v="2"/>
    <x v="3"/>
    <x v="3"/>
    <m/>
    <x v="77"/>
    <x v="3"/>
    <m/>
    <x v="3"/>
    <x v="13"/>
  </r>
  <r>
    <s v="Id571"/>
    <m/>
    <x v="742"/>
    <x v="525"/>
    <m/>
    <x v="2"/>
    <x v="2"/>
    <n v="2"/>
    <x v="2"/>
    <x v="3"/>
    <x v="3"/>
    <m/>
    <x v="77"/>
    <x v="3"/>
    <m/>
    <x v="3"/>
    <x v="13"/>
  </r>
  <r>
    <s v="Id570"/>
    <m/>
    <x v="742"/>
    <x v="525"/>
    <m/>
    <x v="2"/>
    <x v="2"/>
    <s v="No major surgery"/>
    <x v="2"/>
    <x v="3"/>
    <x v="3"/>
    <m/>
    <x v="77"/>
    <x v="3"/>
    <m/>
    <x v="3"/>
    <x v="13"/>
  </r>
  <r>
    <s v="Id569"/>
    <m/>
    <x v="742"/>
    <x v="525"/>
    <m/>
    <x v="2"/>
    <x v="2"/>
    <s v="No major surgery"/>
    <x v="2"/>
    <x v="3"/>
    <x v="3"/>
    <m/>
    <x v="77"/>
    <x v="3"/>
    <m/>
    <x v="3"/>
    <x v="13"/>
  </r>
  <r>
    <s v="Id568"/>
    <m/>
    <x v="742"/>
    <x v="525"/>
    <m/>
    <x v="2"/>
    <x v="2"/>
    <s v="No major surgery"/>
    <x v="2"/>
    <x v="3"/>
    <x v="3"/>
    <m/>
    <x v="77"/>
    <x v="3"/>
    <m/>
    <x v="3"/>
    <x v="13"/>
  </r>
  <r>
    <s v="Id567"/>
    <m/>
    <x v="742"/>
    <x v="525"/>
    <m/>
    <x v="2"/>
    <x v="2"/>
    <s v="No major surgery"/>
    <x v="2"/>
    <x v="3"/>
    <x v="3"/>
    <m/>
    <x v="77"/>
    <x v="3"/>
    <m/>
    <x v="3"/>
    <x v="13"/>
  </r>
  <r>
    <s v="Id566"/>
    <m/>
    <x v="742"/>
    <x v="525"/>
    <m/>
    <x v="2"/>
    <x v="2"/>
    <n v="1"/>
    <x v="2"/>
    <x v="3"/>
    <x v="3"/>
    <m/>
    <x v="77"/>
    <x v="3"/>
    <m/>
    <x v="3"/>
    <x v="13"/>
  </r>
  <r>
    <s v="Id565"/>
    <m/>
    <x v="742"/>
    <x v="525"/>
    <m/>
    <x v="2"/>
    <x v="2"/>
    <s v="No major surgery"/>
    <x v="2"/>
    <x v="3"/>
    <x v="3"/>
    <m/>
    <x v="77"/>
    <x v="3"/>
    <m/>
    <x v="3"/>
    <x v="13"/>
  </r>
  <r>
    <s v="Id564"/>
    <m/>
    <x v="742"/>
    <x v="525"/>
    <m/>
    <x v="2"/>
    <x v="2"/>
    <s v="No major surgery"/>
    <x v="2"/>
    <x v="3"/>
    <x v="3"/>
    <m/>
    <x v="77"/>
    <x v="3"/>
    <m/>
    <x v="3"/>
    <x v="13"/>
  </r>
  <r>
    <s v="Id563"/>
    <m/>
    <x v="742"/>
    <x v="525"/>
    <m/>
    <x v="2"/>
    <x v="2"/>
    <n v="1"/>
    <x v="2"/>
    <x v="3"/>
    <x v="3"/>
    <m/>
    <x v="77"/>
    <x v="3"/>
    <m/>
    <x v="3"/>
    <x v="13"/>
  </r>
  <r>
    <s v="Id562"/>
    <m/>
    <x v="742"/>
    <x v="525"/>
    <m/>
    <x v="2"/>
    <x v="2"/>
    <n v="1"/>
    <x v="2"/>
    <x v="3"/>
    <x v="3"/>
    <m/>
    <x v="77"/>
    <x v="3"/>
    <m/>
    <x v="3"/>
    <x v="13"/>
  </r>
  <r>
    <s v="Id561"/>
    <m/>
    <x v="742"/>
    <x v="525"/>
    <m/>
    <x v="2"/>
    <x v="2"/>
    <s v="No major surgery"/>
    <x v="2"/>
    <x v="3"/>
    <x v="3"/>
    <m/>
    <x v="77"/>
    <x v="3"/>
    <m/>
    <x v="3"/>
    <x v="13"/>
  </r>
  <r>
    <s v="Id560"/>
    <m/>
    <x v="742"/>
    <x v="525"/>
    <m/>
    <x v="2"/>
    <x v="2"/>
    <s v="No major surgery"/>
    <x v="2"/>
    <x v="3"/>
    <x v="3"/>
    <m/>
    <x v="77"/>
    <x v="3"/>
    <m/>
    <x v="3"/>
    <x v="13"/>
  </r>
  <r>
    <s v="Id559"/>
    <m/>
    <x v="742"/>
    <x v="525"/>
    <m/>
    <x v="2"/>
    <x v="2"/>
    <n v="1"/>
    <x v="2"/>
    <x v="3"/>
    <x v="3"/>
    <m/>
    <x v="77"/>
    <x v="3"/>
    <m/>
    <x v="3"/>
    <x v="13"/>
  </r>
  <r>
    <s v="Id558"/>
    <m/>
    <x v="742"/>
    <x v="525"/>
    <m/>
    <x v="2"/>
    <x v="2"/>
    <n v="1"/>
    <x v="2"/>
    <x v="3"/>
    <x v="3"/>
    <m/>
    <x v="77"/>
    <x v="3"/>
    <m/>
    <x v="3"/>
    <x v="13"/>
  </r>
  <r>
    <s v="Id557"/>
    <m/>
    <x v="742"/>
    <x v="525"/>
    <m/>
    <x v="2"/>
    <x v="2"/>
    <n v="1"/>
    <x v="2"/>
    <x v="3"/>
    <x v="3"/>
    <m/>
    <x v="77"/>
    <x v="3"/>
    <m/>
    <x v="3"/>
    <x v="13"/>
  </r>
  <r>
    <s v="Id556"/>
    <m/>
    <x v="742"/>
    <x v="525"/>
    <m/>
    <x v="2"/>
    <x v="2"/>
    <s v="No major surgery"/>
    <x v="2"/>
    <x v="3"/>
    <x v="3"/>
    <m/>
    <x v="77"/>
    <x v="3"/>
    <m/>
    <x v="3"/>
    <x v="13"/>
  </r>
  <r>
    <s v="Id555"/>
    <m/>
    <x v="742"/>
    <x v="525"/>
    <m/>
    <x v="2"/>
    <x v="2"/>
    <n v="1"/>
    <x v="2"/>
    <x v="3"/>
    <x v="3"/>
    <m/>
    <x v="77"/>
    <x v="3"/>
    <m/>
    <x v="3"/>
    <x v="13"/>
  </r>
  <r>
    <s v="Id554"/>
    <m/>
    <x v="742"/>
    <x v="525"/>
    <m/>
    <x v="2"/>
    <x v="2"/>
    <s v="No major surgery"/>
    <x v="2"/>
    <x v="3"/>
    <x v="3"/>
    <m/>
    <x v="77"/>
    <x v="3"/>
    <m/>
    <x v="3"/>
    <x v="13"/>
  </r>
  <r>
    <s v="Id553"/>
    <m/>
    <x v="742"/>
    <x v="525"/>
    <m/>
    <x v="2"/>
    <x v="2"/>
    <s v="No major surgery"/>
    <x v="2"/>
    <x v="3"/>
    <x v="3"/>
    <m/>
    <x v="77"/>
    <x v="3"/>
    <m/>
    <x v="3"/>
    <x v="13"/>
  </r>
  <r>
    <s v="Id552"/>
    <m/>
    <x v="742"/>
    <x v="525"/>
    <m/>
    <x v="2"/>
    <x v="2"/>
    <n v="1"/>
    <x v="2"/>
    <x v="3"/>
    <x v="3"/>
    <m/>
    <x v="77"/>
    <x v="3"/>
    <m/>
    <x v="3"/>
    <x v="13"/>
  </r>
  <r>
    <s v="Id551"/>
    <m/>
    <x v="742"/>
    <x v="525"/>
    <m/>
    <x v="2"/>
    <x v="2"/>
    <n v="1"/>
    <x v="2"/>
    <x v="3"/>
    <x v="3"/>
    <m/>
    <x v="77"/>
    <x v="3"/>
    <m/>
    <x v="3"/>
    <x v="13"/>
  </r>
  <r>
    <s v="Id550"/>
    <m/>
    <x v="742"/>
    <x v="525"/>
    <m/>
    <x v="2"/>
    <x v="2"/>
    <n v="1"/>
    <x v="2"/>
    <x v="3"/>
    <x v="3"/>
    <m/>
    <x v="77"/>
    <x v="3"/>
    <m/>
    <x v="3"/>
    <x v="13"/>
  </r>
  <r>
    <s v="Id549"/>
    <m/>
    <x v="742"/>
    <x v="525"/>
    <m/>
    <x v="2"/>
    <x v="2"/>
    <n v="1"/>
    <x v="2"/>
    <x v="3"/>
    <x v="3"/>
    <m/>
    <x v="77"/>
    <x v="3"/>
    <m/>
    <x v="3"/>
    <x v="13"/>
  </r>
  <r>
    <s v="Id548"/>
    <m/>
    <x v="742"/>
    <x v="525"/>
    <m/>
    <x v="2"/>
    <x v="2"/>
    <n v="1"/>
    <x v="2"/>
    <x v="3"/>
    <x v="3"/>
    <m/>
    <x v="77"/>
    <x v="3"/>
    <m/>
    <x v="3"/>
    <x v="13"/>
  </r>
  <r>
    <s v="Id547"/>
    <m/>
    <x v="742"/>
    <x v="525"/>
    <m/>
    <x v="2"/>
    <x v="2"/>
    <s v="No major surgery"/>
    <x v="2"/>
    <x v="3"/>
    <x v="3"/>
    <m/>
    <x v="77"/>
    <x v="3"/>
    <m/>
    <x v="3"/>
    <x v="13"/>
  </r>
  <r>
    <s v="Id546"/>
    <m/>
    <x v="742"/>
    <x v="525"/>
    <m/>
    <x v="2"/>
    <x v="2"/>
    <n v="1"/>
    <x v="2"/>
    <x v="3"/>
    <x v="3"/>
    <m/>
    <x v="77"/>
    <x v="3"/>
    <m/>
    <x v="3"/>
    <x v="13"/>
  </r>
  <r>
    <s v="Id545"/>
    <m/>
    <x v="742"/>
    <x v="525"/>
    <m/>
    <x v="2"/>
    <x v="2"/>
    <s v="No major surgery"/>
    <x v="2"/>
    <x v="3"/>
    <x v="3"/>
    <m/>
    <x v="77"/>
    <x v="3"/>
    <m/>
    <x v="3"/>
    <x v="13"/>
  </r>
  <r>
    <s v="Id544"/>
    <m/>
    <x v="742"/>
    <x v="525"/>
    <m/>
    <x v="2"/>
    <x v="2"/>
    <s v="No major surgery"/>
    <x v="2"/>
    <x v="3"/>
    <x v="3"/>
    <m/>
    <x v="77"/>
    <x v="3"/>
    <m/>
    <x v="3"/>
    <x v="13"/>
  </r>
  <r>
    <s v="Id543"/>
    <m/>
    <x v="742"/>
    <x v="525"/>
    <m/>
    <x v="2"/>
    <x v="2"/>
    <s v="No major surgery"/>
    <x v="2"/>
    <x v="3"/>
    <x v="3"/>
    <m/>
    <x v="77"/>
    <x v="3"/>
    <m/>
    <x v="3"/>
    <x v="13"/>
  </r>
  <r>
    <s v="Id542"/>
    <m/>
    <x v="742"/>
    <x v="525"/>
    <m/>
    <x v="2"/>
    <x v="2"/>
    <n v="1"/>
    <x v="2"/>
    <x v="3"/>
    <x v="3"/>
    <m/>
    <x v="77"/>
    <x v="3"/>
    <m/>
    <x v="3"/>
    <x v="13"/>
  </r>
  <r>
    <s v="Id541"/>
    <m/>
    <x v="742"/>
    <x v="525"/>
    <m/>
    <x v="2"/>
    <x v="2"/>
    <s v="No major surgery"/>
    <x v="2"/>
    <x v="3"/>
    <x v="3"/>
    <m/>
    <x v="77"/>
    <x v="3"/>
    <m/>
    <x v="3"/>
    <x v="13"/>
  </r>
  <r>
    <s v="Id540"/>
    <m/>
    <x v="742"/>
    <x v="525"/>
    <m/>
    <x v="2"/>
    <x v="2"/>
    <s v="No major surgery"/>
    <x v="2"/>
    <x v="3"/>
    <x v="3"/>
    <m/>
    <x v="77"/>
    <x v="3"/>
    <m/>
    <x v="3"/>
    <x v="13"/>
  </r>
  <r>
    <s v="Id539"/>
    <m/>
    <x v="742"/>
    <x v="525"/>
    <m/>
    <x v="2"/>
    <x v="2"/>
    <n v="1"/>
    <x v="2"/>
    <x v="3"/>
    <x v="3"/>
    <m/>
    <x v="77"/>
    <x v="3"/>
    <m/>
    <x v="3"/>
    <x v="13"/>
  </r>
  <r>
    <s v="Id538"/>
    <m/>
    <x v="742"/>
    <x v="525"/>
    <m/>
    <x v="2"/>
    <x v="2"/>
    <n v="1"/>
    <x v="2"/>
    <x v="3"/>
    <x v="3"/>
    <m/>
    <x v="77"/>
    <x v="3"/>
    <m/>
    <x v="3"/>
    <x v="13"/>
  </r>
  <r>
    <s v="Id537"/>
    <m/>
    <x v="742"/>
    <x v="525"/>
    <m/>
    <x v="2"/>
    <x v="2"/>
    <n v="1"/>
    <x v="2"/>
    <x v="3"/>
    <x v="3"/>
    <m/>
    <x v="77"/>
    <x v="3"/>
    <m/>
    <x v="3"/>
    <x v="13"/>
  </r>
  <r>
    <s v="Id536"/>
    <m/>
    <x v="742"/>
    <x v="525"/>
    <m/>
    <x v="2"/>
    <x v="2"/>
    <n v="1"/>
    <x v="2"/>
    <x v="3"/>
    <x v="3"/>
    <m/>
    <x v="77"/>
    <x v="3"/>
    <m/>
    <x v="3"/>
    <x v="13"/>
  </r>
  <r>
    <s v="Id535"/>
    <m/>
    <x v="742"/>
    <x v="525"/>
    <m/>
    <x v="2"/>
    <x v="2"/>
    <n v="1"/>
    <x v="2"/>
    <x v="3"/>
    <x v="3"/>
    <m/>
    <x v="77"/>
    <x v="3"/>
    <m/>
    <x v="3"/>
    <x v="13"/>
  </r>
  <r>
    <s v="Id534"/>
    <m/>
    <x v="742"/>
    <x v="525"/>
    <m/>
    <x v="2"/>
    <x v="2"/>
    <n v="1"/>
    <x v="2"/>
    <x v="3"/>
    <x v="3"/>
    <m/>
    <x v="77"/>
    <x v="3"/>
    <m/>
    <x v="3"/>
    <x v="13"/>
  </r>
  <r>
    <s v="Id533"/>
    <m/>
    <x v="742"/>
    <x v="525"/>
    <m/>
    <x v="2"/>
    <x v="2"/>
    <s v="No major surgery"/>
    <x v="2"/>
    <x v="3"/>
    <x v="3"/>
    <m/>
    <x v="77"/>
    <x v="3"/>
    <m/>
    <x v="3"/>
    <x v="13"/>
  </r>
  <r>
    <s v="Id532"/>
    <m/>
    <x v="742"/>
    <x v="525"/>
    <m/>
    <x v="2"/>
    <x v="2"/>
    <n v="1"/>
    <x v="2"/>
    <x v="3"/>
    <x v="3"/>
    <m/>
    <x v="77"/>
    <x v="3"/>
    <m/>
    <x v="3"/>
    <x v="13"/>
  </r>
  <r>
    <s v="Id531"/>
    <m/>
    <x v="742"/>
    <x v="525"/>
    <m/>
    <x v="2"/>
    <x v="2"/>
    <s v="No major surgery"/>
    <x v="2"/>
    <x v="3"/>
    <x v="3"/>
    <m/>
    <x v="77"/>
    <x v="3"/>
    <m/>
    <x v="3"/>
    <x v="13"/>
  </r>
  <r>
    <s v="Id530"/>
    <m/>
    <x v="742"/>
    <x v="525"/>
    <m/>
    <x v="2"/>
    <x v="2"/>
    <s v="No major surgery"/>
    <x v="2"/>
    <x v="3"/>
    <x v="3"/>
    <m/>
    <x v="77"/>
    <x v="3"/>
    <m/>
    <x v="3"/>
    <x v="13"/>
  </r>
  <r>
    <s v="Id529"/>
    <m/>
    <x v="742"/>
    <x v="525"/>
    <m/>
    <x v="2"/>
    <x v="2"/>
    <n v="1"/>
    <x v="2"/>
    <x v="3"/>
    <x v="3"/>
    <m/>
    <x v="77"/>
    <x v="3"/>
    <m/>
    <x v="3"/>
    <x v="13"/>
  </r>
  <r>
    <s v="Id528"/>
    <m/>
    <x v="742"/>
    <x v="525"/>
    <m/>
    <x v="2"/>
    <x v="2"/>
    <n v="1"/>
    <x v="2"/>
    <x v="3"/>
    <x v="3"/>
    <m/>
    <x v="77"/>
    <x v="3"/>
    <m/>
    <x v="3"/>
    <x v="13"/>
  </r>
  <r>
    <s v="Id527"/>
    <m/>
    <x v="742"/>
    <x v="525"/>
    <m/>
    <x v="2"/>
    <x v="2"/>
    <s v="No major surgery"/>
    <x v="2"/>
    <x v="3"/>
    <x v="3"/>
    <m/>
    <x v="77"/>
    <x v="3"/>
    <m/>
    <x v="3"/>
    <x v="13"/>
  </r>
  <r>
    <s v="Id526"/>
    <m/>
    <x v="742"/>
    <x v="525"/>
    <m/>
    <x v="2"/>
    <x v="2"/>
    <s v="No major surgery"/>
    <x v="2"/>
    <x v="3"/>
    <x v="3"/>
    <m/>
    <x v="77"/>
    <x v="3"/>
    <m/>
    <x v="3"/>
    <x v="13"/>
  </r>
  <r>
    <s v="Id525"/>
    <m/>
    <x v="742"/>
    <x v="525"/>
    <m/>
    <x v="2"/>
    <x v="2"/>
    <n v="1"/>
    <x v="2"/>
    <x v="3"/>
    <x v="3"/>
    <m/>
    <x v="77"/>
    <x v="3"/>
    <m/>
    <x v="3"/>
    <x v="13"/>
  </r>
  <r>
    <s v="Id524"/>
    <m/>
    <x v="742"/>
    <x v="525"/>
    <m/>
    <x v="2"/>
    <x v="2"/>
    <s v="No major surgery"/>
    <x v="2"/>
    <x v="3"/>
    <x v="3"/>
    <m/>
    <x v="77"/>
    <x v="3"/>
    <m/>
    <x v="3"/>
    <x v="13"/>
  </r>
  <r>
    <s v="Id523"/>
    <m/>
    <x v="742"/>
    <x v="525"/>
    <m/>
    <x v="2"/>
    <x v="2"/>
    <n v="1"/>
    <x v="2"/>
    <x v="3"/>
    <x v="3"/>
    <m/>
    <x v="77"/>
    <x v="3"/>
    <m/>
    <x v="3"/>
    <x v="13"/>
  </r>
  <r>
    <s v="Id522"/>
    <m/>
    <x v="742"/>
    <x v="525"/>
    <m/>
    <x v="2"/>
    <x v="2"/>
    <n v="1"/>
    <x v="2"/>
    <x v="3"/>
    <x v="3"/>
    <m/>
    <x v="77"/>
    <x v="3"/>
    <m/>
    <x v="3"/>
    <x v="13"/>
  </r>
  <r>
    <s v="Id521"/>
    <m/>
    <x v="742"/>
    <x v="525"/>
    <m/>
    <x v="2"/>
    <x v="2"/>
    <s v="No major surgery"/>
    <x v="2"/>
    <x v="3"/>
    <x v="3"/>
    <m/>
    <x v="77"/>
    <x v="3"/>
    <m/>
    <x v="3"/>
    <x v="13"/>
  </r>
  <r>
    <s v="Id520"/>
    <m/>
    <x v="742"/>
    <x v="525"/>
    <m/>
    <x v="2"/>
    <x v="2"/>
    <s v="No major surgery"/>
    <x v="2"/>
    <x v="3"/>
    <x v="3"/>
    <m/>
    <x v="77"/>
    <x v="3"/>
    <m/>
    <x v="3"/>
    <x v="13"/>
  </r>
  <r>
    <s v="Id519"/>
    <m/>
    <x v="742"/>
    <x v="525"/>
    <m/>
    <x v="2"/>
    <x v="2"/>
    <s v="No major surgery"/>
    <x v="2"/>
    <x v="3"/>
    <x v="3"/>
    <m/>
    <x v="77"/>
    <x v="3"/>
    <m/>
    <x v="3"/>
    <x v="13"/>
  </r>
  <r>
    <s v="Id518"/>
    <m/>
    <x v="742"/>
    <x v="525"/>
    <m/>
    <x v="2"/>
    <x v="2"/>
    <s v="No major surgery"/>
    <x v="2"/>
    <x v="3"/>
    <x v="3"/>
    <m/>
    <x v="77"/>
    <x v="3"/>
    <m/>
    <x v="3"/>
    <x v="13"/>
  </r>
  <r>
    <s v="Id517"/>
    <m/>
    <x v="742"/>
    <x v="525"/>
    <m/>
    <x v="2"/>
    <x v="2"/>
    <s v="No major surgery"/>
    <x v="2"/>
    <x v="3"/>
    <x v="3"/>
    <m/>
    <x v="77"/>
    <x v="3"/>
    <m/>
    <x v="3"/>
    <x v="13"/>
  </r>
  <r>
    <s v="Id516"/>
    <m/>
    <x v="742"/>
    <x v="525"/>
    <m/>
    <x v="2"/>
    <x v="2"/>
    <n v="1"/>
    <x v="2"/>
    <x v="3"/>
    <x v="3"/>
    <m/>
    <x v="77"/>
    <x v="3"/>
    <m/>
    <x v="3"/>
    <x v="13"/>
  </r>
  <r>
    <s v="Id515"/>
    <m/>
    <x v="742"/>
    <x v="525"/>
    <m/>
    <x v="2"/>
    <x v="2"/>
    <n v="1"/>
    <x v="2"/>
    <x v="3"/>
    <x v="3"/>
    <m/>
    <x v="77"/>
    <x v="3"/>
    <m/>
    <x v="3"/>
    <x v="13"/>
  </r>
  <r>
    <s v="Id514"/>
    <m/>
    <x v="742"/>
    <x v="525"/>
    <m/>
    <x v="2"/>
    <x v="2"/>
    <s v="No major surgery"/>
    <x v="2"/>
    <x v="3"/>
    <x v="3"/>
    <m/>
    <x v="77"/>
    <x v="3"/>
    <m/>
    <x v="3"/>
    <x v="13"/>
  </r>
  <r>
    <s v="Id513"/>
    <m/>
    <x v="742"/>
    <x v="525"/>
    <m/>
    <x v="2"/>
    <x v="2"/>
    <s v="No major surgery"/>
    <x v="2"/>
    <x v="3"/>
    <x v="3"/>
    <m/>
    <x v="77"/>
    <x v="3"/>
    <m/>
    <x v="3"/>
    <x v="13"/>
  </r>
  <r>
    <s v="Id512"/>
    <m/>
    <x v="742"/>
    <x v="525"/>
    <m/>
    <x v="2"/>
    <x v="2"/>
    <s v="No major surgery"/>
    <x v="2"/>
    <x v="3"/>
    <x v="3"/>
    <m/>
    <x v="77"/>
    <x v="3"/>
    <m/>
    <x v="3"/>
    <x v="13"/>
  </r>
  <r>
    <s v="Id511"/>
    <m/>
    <x v="742"/>
    <x v="525"/>
    <m/>
    <x v="2"/>
    <x v="2"/>
    <n v="1"/>
    <x v="2"/>
    <x v="3"/>
    <x v="3"/>
    <m/>
    <x v="77"/>
    <x v="3"/>
    <m/>
    <x v="3"/>
    <x v="13"/>
  </r>
  <r>
    <s v="Id510"/>
    <m/>
    <x v="742"/>
    <x v="525"/>
    <m/>
    <x v="2"/>
    <x v="2"/>
    <s v="No major surgery"/>
    <x v="2"/>
    <x v="3"/>
    <x v="3"/>
    <m/>
    <x v="77"/>
    <x v="3"/>
    <m/>
    <x v="3"/>
    <x v="13"/>
  </r>
  <r>
    <s v="Id509"/>
    <m/>
    <x v="742"/>
    <x v="525"/>
    <m/>
    <x v="2"/>
    <x v="2"/>
    <n v="1"/>
    <x v="2"/>
    <x v="3"/>
    <x v="3"/>
    <m/>
    <x v="77"/>
    <x v="3"/>
    <m/>
    <x v="3"/>
    <x v="13"/>
  </r>
  <r>
    <s v="Id508"/>
    <m/>
    <x v="742"/>
    <x v="525"/>
    <m/>
    <x v="2"/>
    <x v="2"/>
    <n v="1"/>
    <x v="2"/>
    <x v="3"/>
    <x v="3"/>
    <m/>
    <x v="77"/>
    <x v="3"/>
    <m/>
    <x v="3"/>
    <x v="13"/>
  </r>
  <r>
    <s v="Id507"/>
    <m/>
    <x v="742"/>
    <x v="525"/>
    <m/>
    <x v="2"/>
    <x v="2"/>
    <n v="1"/>
    <x v="2"/>
    <x v="3"/>
    <x v="3"/>
    <m/>
    <x v="77"/>
    <x v="3"/>
    <m/>
    <x v="3"/>
    <x v="13"/>
  </r>
  <r>
    <s v="Id506"/>
    <m/>
    <x v="742"/>
    <x v="525"/>
    <m/>
    <x v="2"/>
    <x v="2"/>
    <n v="1"/>
    <x v="2"/>
    <x v="3"/>
    <x v="3"/>
    <m/>
    <x v="77"/>
    <x v="3"/>
    <m/>
    <x v="3"/>
    <x v="13"/>
  </r>
  <r>
    <s v="Id505"/>
    <m/>
    <x v="742"/>
    <x v="525"/>
    <m/>
    <x v="2"/>
    <x v="2"/>
    <n v="1"/>
    <x v="2"/>
    <x v="3"/>
    <x v="3"/>
    <m/>
    <x v="77"/>
    <x v="3"/>
    <m/>
    <x v="3"/>
    <x v="13"/>
  </r>
  <r>
    <s v="Id504"/>
    <m/>
    <x v="742"/>
    <x v="525"/>
    <m/>
    <x v="2"/>
    <x v="2"/>
    <n v="1"/>
    <x v="2"/>
    <x v="3"/>
    <x v="3"/>
    <m/>
    <x v="77"/>
    <x v="3"/>
    <m/>
    <x v="3"/>
    <x v="13"/>
  </r>
  <r>
    <s v="Id503"/>
    <m/>
    <x v="742"/>
    <x v="525"/>
    <m/>
    <x v="2"/>
    <x v="2"/>
    <s v="No major surgery"/>
    <x v="2"/>
    <x v="3"/>
    <x v="3"/>
    <m/>
    <x v="77"/>
    <x v="3"/>
    <m/>
    <x v="3"/>
    <x v="13"/>
  </r>
  <r>
    <s v="Id502"/>
    <m/>
    <x v="742"/>
    <x v="525"/>
    <m/>
    <x v="2"/>
    <x v="2"/>
    <s v="No major surgery"/>
    <x v="2"/>
    <x v="3"/>
    <x v="3"/>
    <m/>
    <x v="77"/>
    <x v="3"/>
    <m/>
    <x v="3"/>
    <x v="13"/>
  </r>
  <r>
    <s v="Id501"/>
    <m/>
    <x v="742"/>
    <x v="525"/>
    <m/>
    <x v="2"/>
    <x v="2"/>
    <n v="1"/>
    <x v="2"/>
    <x v="3"/>
    <x v="3"/>
    <m/>
    <x v="77"/>
    <x v="3"/>
    <m/>
    <x v="3"/>
    <x v="13"/>
  </r>
  <r>
    <s v="Id500"/>
    <m/>
    <x v="742"/>
    <x v="525"/>
    <m/>
    <x v="2"/>
    <x v="2"/>
    <n v="1"/>
    <x v="2"/>
    <x v="3"/>
    <x v="3"/>
    <m/>
    <x v="77"/>
    <x v="3"/>
    <m/>
    <x v="3"/>
    <x v="13"/>
  </r>
  <r>
    <s v="Id499"/>
    <m/>
    <x v="742"/>
    <x v="525"/>
    <m/>
    <x v="2"/>
    <x v="2"/>
    <n v="1"/>
    <x v="2"/>
    <x v="3"/>
    <x v="3"/>
    <m/>
    <x v="77"/>
    <x v="3"/>
    <m/>
    <x v="3"/>
    <x v="13"/>
  </r>
  <r>
    <s v="Id498"/>
    <m/>
    <x v="742"/>
    <x v="525"/>
    <m/>
    <x v="2"/>
    <x v="2"/>
    <n v="1"/>
    <x v="2"/>
    <x v="3"/>
    <x v="3"/>
    <m/>
    <x v="77"/>
    <x v="3"/>
    <m/>
    <x v="3"/>
    <x v="13"/>
  </r>
  <r>
    <s v="Id497"/>
    <m/>
    <x v="742"/>
    <x v="525"/>
    <m/>
    <x v="2"/>
    <x v="2"/>
    <s v="No major surgery"/>
    <x v="2"/>
    <x v="3"/>
    <x v="3"/>
    <m/>
    <x v="77"/>
    <x v="3"/>
    <m/>
    <x v="3"/>
    <x v="13"/>
  </r>
  <r>
    <s v="Id496"/>
    <m/>
    <x v="742"/>
    <x v="525"/>
    <m/>
    <x v="2"/>
    <x v="2"/>
    <s v="No major surgery"/>
    <x v="2"/>
    <x v="3"/>
    <x v="3"/>
    <m/>
    <x v="77"/>
    <x v="3"/>
    <m/>
    <x v="3"/>
    <x v="13"/>
  </r>
  <r>
    <s v="Id495"/>
    <m/>
    <x v="742"/>
    <x v="525"/>
    <m/>
    <x v="2"/>
    <x v="2"/>
    <s v="No major surgery"/>
    <x v="2"/>
    <x v="3"/>
    <x v="3"/>
    <m/>
    <x v="77"/>
    <x v="3"/>
    <m/>
    <x v="3"/>
    <x v="13"/>
  </r>
  <r>
    <s v="Id494"/>
    <m/>
    <x v="742"/>
    <x v="525"/>
    <m/>
    <x v="2"/>
    <x v="2"/>
    <s v="No major surgery"/>
    <x v="2"/>
    <x v="3"/>
    <x v="3"/>
    <m/>
    <x v="77"/>
    <x v="3"/>
    <m/>
    <x v="3"/>
    <x v="13"/>
  </r>
  <r>
    <s v="Id493"/>
    <m/>
    <x v="742"/>
    <x v="525"/>
    <m/>
    <x v="2"/>
    <x v="2"/>
    <s v="No major surgery"/>
    <x v="2"/>
    <x v="3"/>
    <x v="3"/>
    <m/>
    <x v="77"/>
    <x v="3"/>
    <m/>
    <x v="3"/>
    <x v="13"/>
  </r>
  <r>
    <s v="Id492"/>
    <m/>
    <x v="742"/>
    <x v="525"/>
    <m/>
    <x v="2"/>
    <x v="2"/>
    <s v="No major surgery"/>
    <x v="2"/>
    <x v="3"/>
    <x v="3"/>
    <m/>
    <x v="77"/>
    <x v="3"/>
    <m/>
    <x v="3"/>
    <x v="13"/>
  </r>
  <r>
    <s v="Id491"/>
    <m/>
    <x v="742"/>
    <x v="525"/>
    <m/>
    <x v="2"/>
    <x v="2"/>
    <s v="No major surgery"/>
    <x v="2"/>
    <x v="3"/>
    <x v="3"/>
    <m/>
    <x v="77"/>
    <x v="3"/>
    <m/>
    <x v="3"/>
    <x v="13"/>
  </r>
  <r>
    <s v="Id490"/>
    <m/>
    <x v="742"/>
    <x v="525"/>
    <m/>
    <x v="2"/>
    <x v="2"/>
    <s v="No major surgery"/>
    <x v="2"/>
    <x v="3"/>
    <x v="3"/>
    <m/>
    <x v="77"/>
    <x v="3"/>
    <m/>
    <x v="3"/>
    <x v="13"/>
  </r>
  <r>
    <s v="Id489"/>
    <m/>
    <x v="742"/>
    <x v="525"/>
    <m/>
    <x v="2"/>
    <x v="2"/>
    <n v="1"/>
    <x v="2"/>
    <x v="3"/>
    <x v="3"/>
    <m/>
    <x v="77"/>
    <x v="3"/>
    <m/>
    <x v="3"/>
    <x v="13"/>
  </r>
  <r>
    <s v="Id488"/>
    <m/>
    <x v="742"/>
    <x v="525"/>
    <m/>
    <x v="2"/>
    <x v="2"/>
    <n v="1"/>
    <x v="2"/>
    <x v="3"/>
    <x v="3"/>
    <m/>
    <x v="77"/>
    <x v="3"/>
    <m/>
    <x v="3"/>
    <x v="13"/>
  </r>
  <r>
    <s v="Id487"/>
    <m/>
    <x v="742"/>
    <x v="525"/>
    <m/>
    <x v="2"/>
    <x v="2"/>
    <s v="No major surgery"/>
    <x v="2"/>
    <x v="3"/>
    <x v="3"/>
    <m/>
    <x v="77"/>
    <x v="3"/>
    <m/>
    <x v="3"/>
    <x v="13"/>
  </r>
  <r>
    <s v="Id486"/>
    <m/>
    <x v="742"/>
    <x v="525"/>
    <m/>
    <x v="2"/>
    <x v="2"/>
    <n v="1"/>
    <x v="2"/>
    <x v="3"/>
    <x v="3"/>
    <m/>
    <x v="77"/>
    <x v="3"/>
    <m/>
    <x v="3"/>
    <x v="13"/>
  </r>
  <r>
    <s v="Id485"/>
    <m/>
    <x v="742"/>
    <x v="525"/>
    <m/>
    <x v="2"/>
    <x v="2"/>
    <n v="1"/>
    <x v="2"/>
    <x v="3"/>
    <x v="3"/>
    <m/>
    <x v="77"/>
    <x v="3"/>
    <m/>
    <x v="3"/>
    <x v="13"/>
  </r>
  <r>
    <s v="Id484"/>
    <m/>
    <x v="742"/>
    <x v="525"/>
    <m/>
    <x v="2"/>
    <x v="2"/>
    <n v="1"/>
    <x v="2"/>
    <x v="3"/>
    <x v="3"/>
    <m/>
    <x v="77"/>
    <x v="3"/>
    <m/>
    <x v="3"/>
    <x v="13"/>
  </r>
  <r>
    <s v="Id483"/>
    <m/>
    <x v="742"/>
    <x v="525"/>
    <m/>
    <x v="2"/>
    <x v="2"/>
    <n v="1"/>
    <x v="2"/>
    <x v="3"/>
    <x v="3"/>
    <m/>
    <x v="77"/>
    <x v="3"/>
    <m/>
    <x v="3"/>
    <x v="13"/>
  </r>
  <r>
    <s v="Id482"/>
    <m/>
    <x v="742"/>
    <x v="525"/>
    <m/>
    <x v="2"/>
    <x v="2"/>
    <n v="1"/>
    <x v="2"/>
    <x v="3"/>
    <x v="3"/>
    <m/>
    <x v="77"/>
    <x v="3"/>
    <m/>
    <x v="3"/>
    <x v="13"/>
  </r>
  <r>
    <s v="Id481"/>
    <m/>
    <x v="742"/>
    <x v="525"/>
    <m/>
    <x v="2"/>
    <x v="2"/>
    <s v="No major surgery"/>
    <x v="2"/>
    <x v="3"/>
    <x v="3"/>
    <m/>
    <x v="77"/>
    <x v="3"/>
    <m/>
    <x v="3"/>
    <x v="13"/>
  </r>
  <r>
    <s v="Id480"/>
    <m/>
    <x v="742"/>
    <x v="525"/>
    <m/>
    <x v="2"/>
    <x v="2"/>
    <n v="1"/>
    <x v="2"/>
    <x v="3"/>
    <x v="3"/>
    <m/>
    <x v="77"/>
    <x v="3"/>
    <m/>
    <x v="3"/>
    <x v="13"/>
  </r>
  <r>
    <s v="Id479"/>
    <m/>
    <x v="742"/>
    <x v="525"/>
    <m/>
    <x v="2"/>
    <x v="2"/>
    <s v="No major surgery"/>
    <x v="2"/>
    <x v="3"/>
    <x v="3"/>
    <m/>
    <x v="77"/>
    <x v="3"/>
    <m/>
    <x v="3"/>
    <x v="13"/>
  </r>
  <r>
    <s v="Id478"/>
    <m/>
    <x v="742"/>
    <x v="525"/>
    <m/>
    <x v="2"/>
    <x v="2"/>
    <s v="No major surgery"/>
    <x v="2"/>
    <x v="3"/>
    <x v="3"/>
    <m/>
    <x v="77"/>
    <x v="3"/>
    <m/>
    <x v="3"/>
    <x v="13"/>
  </r>
  <r>
    <s v="Id477"/>
    <m/>
    <x v="742"/>
    <x v="525"/>
    <m/>
    <x v="2"/>
    <x v="2"/>
    <s v="No major surgery"/>
    <x v="2"/>
    <x v="3"/>
    <x v="3"/>
    <m/>
    <x v="77"/>
    <x v="3"/>
    <m/>
    <x v="3"/>
    <x v="13"/>
  </r>
  <r>
    <s v="Id476"/>
    <m/>
    <x v="742"/>
    <x v="525"/>
    <m/>
    <x v="2"/>
    <x v="2"/>
    <s v="No major surgery"/>
    <x v="2"/>
    <x v="3"/>
    <x v="3"/>
    <m/>
    <x v="77"/>
    <x v="3"/>
    <m/>
    <x v="3"/>
    <x v="13"/>
  </r>
  <r>
    <s v="id2444"/>
    <m/>
    <x v="742"/>
    <x v="525"/>
    <m/>
    <x v="2"/>
    <x v="2"/>
    <s v="No major surgery"/>
    <x v="2"/>
    <x v="3"/>
    <x v="3"/>
    <m/>
    <x v="77"/>
    <x v="3"/>
    <m/>
    <x v="3"/>
    <x v="13"/>
  </r>
  <r>
    <s v="Id475"/>
    <m/>
    <x v="742"/>
    <x v="525"/>
    <m/>
    <x v="2"/>
    <x v="2"/>
    <s v="No major surgery"/>
    <x v="2"/>
    <x v="3"/>
    <x v="3"/>
    <m/>
    <x v="77"/>
    <x v="3"/>
    <m/>
    <x v="3"/>
    <x v="13"/>
  </r>
  <r>
    <s v="Id474"/>
    <m/>
    <x v="742"/>
    <x v="525"/>
    <m/>
    <x v="2"/>
    <x v="2"/>
    <n v="1"/>
    <x v="2"/>
    <x v="3"/>
    <x v="3"/>
    <m/>
    <x v="77"/>
    <x v="3"/>
    <m/>
    <x v="3"/>
    <x v="13"/>
  </r>
  <r>
    <s v="Id473"/>
    <m/>
    <x v="742"/>
    <x v="525"/>
    <m/>
    <x v="2"/>
    <x v="2"/>
    <n v="1"/>
    <x v="2"/>
    <x v="3"/>
    <x v="3"/>
    <m/>
    <x v="77"/>
    <x v="3"/>
    <m/>
    <x v="3"/>
    <x v="13"/>
  </r>
  <r>
    <s v="Id472"/>
    <m/>
    <x v="742"/>
    <x v="525"/>
    <m/>
    <x v="2"/>
    <x v="2"/>
    <n v="1"/>
    <x v="2"/>
    <x v="3"/>
    <x v="3"/>
    <m/>
    <x v="77"/>
    <x v="3"/>
    <m/>
    <x v="3"/>
    <x v="13"/>
  </r>
  <r>
    <s v="Id471"/>
    <m/>
    <x v="742"/>
    <x v="525"/>
    <m/>
    <x v="2"/>
    <x v="2"/>
    <n v="1"/>
    <x v="2"/>
    <x v="3"/>
    <x v="3"/>
    <m/>
    <x v="77"/>
    <x v="3"/>
    <m/>
    <x v="3"/>
    <x v="13"/>
  </r>
  <r>
    <s v="Id470"/>
    <m/>
    <x v="742"/>
    <x v="525"/>
    <m/>
    <x v="2"/>
    <x v="2"/>
    <n v="1"/>
    <x v="2"/>
    <x v="3"/>
    <x v="3"/>
    <m/>
    <x v="77"/>
    <x v="3"/>
    <m/>
    <x v="3"/>
    <x v="13"/>
  </r>
  <r>
    <s v="Id469"/>
    <m/>
    <x v="742"/>
    <x v="525"/>
    <m/>
    <x v="2"/>
    <x v="2"/>
    <n v="1"/>
    <x v="2"/>
    <x v="3"/>
    <x v="3"/>
    <m/>
    <x v="77"/>
    <x v="3"/>
    <m/>
    <x v="3"/>
    <x v="13"/>
  </r>
  <r>
    <s v="Id468"/>
    <m/>
    <x v="742"/>
    <x v="525"/>
    <m/>
    <x v="2"/>
    <x v="2"/>
    <s v="No major surgery"/>
    <x v="2"/>
    <x v="3"/>
    <x v="3"/>
    <m/>
    <x v="77"/>
    <x v="3"/>
    <m/>
    <x v="3"/>
    <x v="13"/>
  </r>
  <r>
    <s v="Id467"/>
    <m/>
    <x v="742"/>
    <x v="525"/>
    <m/>
    <x v="2"/>
    <x v="2"/>
    <s v="No major surgery"/>
    <x v="2"/>
    <x v="3"/>
    <x v="3"/>
    <m/>
    <x v="77"/>
    <x v="3"/>
    <m/>
    <x v="3"/>
    <x v="13"/>
  </r>
  <r>
    <s v="Id466"/>
    <m/>
    <x v="742"/>
    <x v="525"/>
    <m/>
    <x v="2"/>
    <x v="2"/>
    <s v="No major surgery"/>
    <x v="2"/>
    <x v="3"/>
    <x v="3"/>
    <m/>
    <x v="77"/>
    <x v="3"/>
    <m/>
    <x v="3"/>
    <x v="13"/>
  </r>
  <r>
    <s v="Id465"/>
    <m/>
    <x v="742"/>
    <x v="525"/>
    <m/>
    <x v="2"/>
    <x v="2"/>
    <n v="1"/>
    <x v="2"/>
    <x v="3"/>
    <x v="3"/>
    <m/>
    <x v="77"/>
    <x v="3"/>
    <m/>
    <x v="3"/>
    <x v="13"/>
  </r>
  <r>
    <s v="Id464"/>
    <m/>
    <x v="742"/>
    <x v="525"/>
    <m/>
    <x v="2"/>
    <x v="2"/>
    <n v="1"/>
    <x v="2"/>
    <x v="3"/>
    <x v="3"/>
    <m/>
    <x v="77"/>
    <x v="3"/>
    <m/>
    <x v="3"/>
    <x v="13"/>
  </r>
  <r>
    <s v="Id463"/>
    <m/>
    <x v="742"/>
    <x v="525"/>
    <m/>
    <x v="2"/>
    <x v="2"/>
    <n v="1"/>
    <x v="2"/>
    <x v="3"/>
    <x v="3"/>
    <m/>
    <x v="77"/>
    <x v="3"/>
    <m/>
    <x v="3"/>
    <x v="13"/>
  </r>
  <r>
    <s v="Id462"/>
    <m/>
    <x v="742"/>
    <x v="525"/>
    <m/>
    <x v="2"/>
    <x v="2"/>
    <n v="1"/>
    <x v="2"/>
    <x v="3"/>
    <x v="3"/>
    <m/>
    <x v="77"/>
    <x v="3"/>
    <m/>
    <x v="3"/>
    <x v="13"/>
  </r>
  <r>
    <s v="Id461"/>
    <m/>
    <x v="742"/>
    <x v="525"/>
    <m/>
    <x v="2"/>
    <x v="2"/>
    <s v="No major surgery"/>
    <x v="2"/>
    <x v="3"/>
    <x v="3"/>
    <m/>
    <x v="77"/>
    <x v="3"/>
    <m/>
    <x v="3"/>
    <x v="13"/>
  </r>
  <r>
    <s v="Id460"/>
    <m/>
    <x v="742"/>
    <x v="525"/>
    <m/>
    <x v="2"/>
    <x v="2"/>
    <n v="1"/>
    <x v="2"/>
    <x v="3"/>
    <x v="3"/>
    <m/>
    <x v="77"/>
    <x v="3"/>
    <m/>
    <x v="3"/>
    <x v="13"/>
  </r>
  <r>
    <s v="Id459"/>
    <m/>
    <x v="742"/>
    <x v="525"/>
    <m/>
    <x v="2"/>
    <x v="2"/>
    <n v="1"/>
    <x v="2"/>
    <x v="3"/>
    <x v="3"/>
    <m/>
    <x v="77"/>
    <x v="3"/>
    <m/>
    <x v="3"/>
    <x v="13"/>
  </r>
  <r>
    <s v="Id458"/>
    <m/>
    <x v="742"/>
    <x v="525"/>
    <m/>
    <x v="2"/>
    <x v="2"/>
    <n v="1"/>
    <x v="2"/>
    <x v="3"/>
    <x v="3"/>
    <m/>
    <x v="77"/>
    <x v="3"/>
    <m/>
    <x v="3"/>
    <x v="13"/>
  </r>
  <r>
    <s v="Id457"/>
    <m/>
    <x v="742"/>
    <x v="525"/>
    <m/>
    <x v="2"/>
    <x v="2"/>
    <n v="1"/>
    <x v="2"/>
    <x v="3"/>
    <x v="3"/>
    <m/>
    <x v="77"/>
    <x v="3"/>
    <m/>
    <x v="3"/>
    <x v="13"/>
  </r>
  <r>
    <s v="Id456"/>
    <m/>
    <x v="742"/>
    <x v="525"/>
    <m/>
    <x v="2"/>
    <x v="2"/>
    <n v="1"/>
    <x v="2"/>
    <x v="3"/>
    <x v="3"/>
    <m/>
    <x v="77"/>
    <x v="3"/>
    <m/>
    <x v="3"/>
    <x v="13"/>
  </r>
  <r>
    <s v="Id455"/>
    <m/>
    <x v="742"/>
    <x v="525"/>
    <m/>
    <x v="2"/>
    <x v="2"/>
    <s v="No major surgery"/>
    <x v="2"/>
    <x v="3"/>
    <x v="3"/>
    <m/>
    <x v="77"/>
    <x v="3"/>
    <m/>
    <x v="3"/>
    <x v="13"/>
  </r>
  <r>
    <s v="Id454"/>
    <m/>
    <x v="742"/>
    <x v="525"/>
    <m/>
    <x v="2"/>
    <x v="2"/>
    <s v="No major surgery"/>
    <x v="2"/>
    <x v="3"/>
    <x v="3"/>
    <m/>
    <x v="77"/>
    <x v="3"/>
    <m/>
    <x v="3"/>
    <x v="13"/>
  </r>
  <r>
    <s v="Id453"/>
    <m/>
    <x v="742"/>
    <x v="525"/>
    <m/>
    <x v="2"/>
    <x v="2"/>
    <s v="No major surgery"/>
    <x v="2"/>
    <x v="3"/>
    <x v="3"/>
    <m/>
    <x v="77"/>
    <x v="3"/>
    <m/>
    <x v="3"/>
    <x v="13"/>
  </r>
  <r>
    <s v="Id452"/>
    <m/>
    <x v="742"/>
    <x v="525"/>
    <m/>
    <x v="2"/>
    <x v="2"/>
    <s v="No major surgery"/>
    <x v="2"/>
    <x v="3"/>
    <x v="3"/>
    <m/>
    <x v="77"/>
    <x v="3"/>
    <m/>
    <x v="3"/>
    <x v="13"/>
  </r>
  <r>
    <s v="Id451"/>
    <m/>
    <x v="742"/>
    <x v="525"/>
    <m/>
    <x v="2"/>
    <x v="2"/>
    <s v="No major surgery"/>
    <x v="2"/>
    <x v="3"/>
    <x v="3"/>
    <m/>
    <x v="77"/>
    <x v="3"/>
    <m/>
    <x v="3"/>
    <x v="13"/>
  </r>
  <r>
    <s v="Id450"/>
    <m/>
    <x v="742"/>
    <x v="525"/>
    <m/>
    <x v="2"/>
    <x v="2"/>
    <n v="1"/>
    <x v="2"/>
    <x v="3"/>
    <x v="3"/>
    <m/>
    <x v="77"/>
    <x v="3"/>
    <m/>
    <x v="3"/>
    <x v="13"/>
  </r>
  <r>
    <s v="Id449"/>
    <m/>
    <x v="742"/>
    <x v="525"/>
    <m/>
    <x v="2"/>
    <x v="2"/>
    <n v="1"/>
    <x v="2"/>
    <x v="3"/>
    <x v="3"/>
    <m/>
    <x v="77"/>
    <x v="3"/>
    <m/>
    <x v="3"/>
    <x v="13"/>
  </r>
  <r>
    <s v="Id448"/>
    <m/>
    <x v="742"/>
    <x v="525"/>
    <m/>
    <x v="2"/>
    <x v="2"/>
    <n v="1"/>
    <x v="2"/>
    <x v="3"/>
    <x v="3"/>
    <m/>
    <x v="77"/>
    <x v="3"/>
    <m/>
    <x v="3"/>
    <x v="13"/>
  </r>
  <r>
    <s v="Id447"/>
    <m/>
    <x v="742"/>
    <x v="525"/>
    <m/>
    <x v="2"/>
    <x v="2"/>
    <n v="1"/>
    <x v="2"/>
    <x v="3"/>
    <x v="3"/>
    <m/>
    <x v="77"/>
    <x v="3"/>
    <m/>
    <x v="3"/>
    <x v="13"/>
  </r>
  <r>
    <s v="Id446"/>
    <m/>
    <x v="742"/>
    <x v="525"/>
    <m/>
    <x v="2"/>
    <x v="2"/>
    <n v="1"/>
    <x v="2"/>
    <x v="3"/>
    <x v="3"/>
    <m/>
    <x v="77"/>
    <x v="3"/>
    <m/>
    <x v="3"/>
    <x v="13"/>
  </r>
  <r>
    <s v="Id445"/>
    <m/>
    <x v="742"/>
    <x v="525"/>
    <m/>
    <x v="2"/>
    <x v="2"/>
    <n v="1"/>
    <x v="2"/>
    <x v="3"/>
    <x v="3"/>
    <m/>
    <x v="77"/>
    <x v="3"/>
    <m/>
    <x v="3"/>
    <x v="13"/>
  </r>
  <r>
    <s v="Id444"/>
    <m/>
    <x v="742"/>
    <x v="525"/>
    <m/>
    <x v="2"/>
    <x v="2"/>
    <n v="1"/>
    <x v="2"/>
    <x v="3"/>
    <x v="3"/>
    <m/>
    <x v="77"/>
    <x v="3"/>
    <m/>
    <x v="3"/>
    <x v="13"/>
  </r>
  <r>
    <s v="Id443"/>
    <m/>
    <x v="742"/>
    <x v="525"/>
    <m/>
    <x v="2"/>
    <x v="2"/>
    <n v="1"/>
    <x v="2"/>
    <x v="3"/>
    <x v="3"/>
    <m/>
    <x v="77"/>
    <x v="3"/>
    <m/>
    <x v="3"/>
    <x v="13"/>
  </r>
  <r>
    <s v="Id442"/>
    <m/>
    <x v="742"/>
    <x v="525"/>
    <m/>
    <x v="2"/>
    <x v="2"/>
    <n v="2"/>
    <x v="2"/>
    <x v="3"/>
    <x v="3"/>
    <m/>
    <x v="77"/>
    <x v="3"/>
    <m/>
    <x v="3"/>
    <x v="13"/>
  </r>
  <r>
    <s v="Id441"/>
    <m/>
    <x v="742"/>
    <x v="525"/>
    <m/>
    <x v="2"/>
    <x v="2"/>
    <s v="No major surgery"/>
    <x v="2"/>
    <x v="3"/>
    <x v="3"/>
    <m/>
    <x v="77"/>
    <x v="3"/>
    <m/>
    <x v="3"/>
    <x v="13"/>
  </r>
  <r>
    <s v="Id440"/>
    <m/>
    <x v="742"/>
    <x v="525"/>
    <m/>
    <x v="2"/>
    <x v="2"/>
    <s v="No major surgery"/>
    <x v="2"/>
    <x v="3"/>
    <x v="3"/>
    <m/>
    <x v="77"/>
    <x v="3"/>
    <m/>
    <x v="3"/>
    <x v="13"/>
  </r>
  <r>
    <s v="Id439"/>
    <m/>
    <x v="742"/>
    <x v="525"/>
    <m/>
    <x v="2"/>
    <x v="2"/>
    <s v="No major surgery"/>
    <x v="2"/>
    <x v="3"/>
    <x v="3"/>
    <m/>
    <x v="77"/>
    <x v="3"/>
    <m/>
    <x v="3"/>
    <x v="13"/>
  </r>
  <r>
    <s v="Id438"/>
    <m/>
    <x v="742"/>
    <x v="525"/>
    <m/>
    <x v="2"/>
    <x v="2"/>
    <s v="No major surgery"/>
    <x v="2"/>
    <x v="3"/>
    <x v="3"/>
    <m/>
    <x v="77"/>
    <x v="3"/>
    <m/>
    <x v="3"/>
    <x v="13"/>
  </r>
  <r>
    <s v="Id437"/>
    <m/>
    <x v="742"/>
    <x v="525"/>
    <m/>
    <x v="2"/>
    <x v="2"/>
    <s v="No major surgery"/>
    <x v="2"/>
    <x v="3"/>
    <x v="3"/>
    <m/>
    <x v="77"/>
    <x v="3"/>
    <m/>
    <x v="3"/>
    <x v="13"/>
  </r>
  <r>
    <s v="Id436"/>
    <m/>
    <x v="742"/>
    <x v="525"/>
    <m/>
    <x v="2"/>
    <x v="2"/>
    <s v="No major surgery"/>
    <x v="2"/>
    <x v="3"/>
    <x v="3"/>
    <m/>
    <x v="77"/>
    <x v="3"/>
    <m/>
    <x v="3"/>
    <x v="13"/>
  </r>
  <r>
    <s v="Id435"/>
    <m/>
    <x v="742"/>
    <x v="525"/>
    <m/>
    <x v="2"/>
    <x v="2"/>
    <n v="1"/>
    <x v="2"/>
    <x v="3"/>
    <x v="3"/>
    <m/>
    <x v="77"/>
    <x v="3"/>
    <m/>
    <x v="3"/>
    <x v="13"/>
  </r>
  <r>
    <s v="Id434"/>
    <m/>
    <x v="742"/>
    <x v="525"/>
    <m/>
    <x v="2"/>
    <x v="2"/>
    <s v="No major surgery"/>
    <x v="2"/>
    <x v="3"/>
    <x v="3"/>
    <m/>
    <x v="77"/>
    <x v="3"/>
    <m/>
    <x v="3"/>
    <x v="13"/>
  </r>
  <r>
    <s v="Id433"/>
    <m/>
    <x v="742"/>
    <x v="525"/>
    <m/>
    <x v="2"/>
    <x v="2"/>
    <n v="1"/>
    <x v="2"/>
    <x v="3"/>
    <x v="3"/>
    <m/>
    <x v="77"/>
    <x v="3"/>
    <m/>
    <x v="3"/>
    <x v="13"/>
  </r>
  <r>
    <s v="Id432"/>
    <m/>
    <x v="742"/>
    <x v="525"/>
    <m/>
    <x v="2"/>
    <x v="2"/>
    <n v="1"/>
    <x v="2"/>
    <x v="3"/>
    <x v="3"/>
    <m/>
    <x v="77"/>
    <x v="3"/>
    <m/>
    <x v="3"/>
    <x v="13"/>
  </r>
  <r>
    <s v="Id431"/>
    <m/>
    <x v="742"/>
    <x v="525"/>
    <m/>
    <x v="2"/>
    <x v="2"/>
    <n v="1"/>
    <x v="2"/>
    <x v="3"/>
    <x v="3"/>
    <m/>
    <x v="77"/>
    <x v="3"/>
    <m/>
    <x v="3"/>
    <x v="13"/>
  </r>
  <r>
    <s v="Id430"/>
    <m/>
    <x v="742"/>
    <x v="525"/>
    <m/>
    <x v="2"/>
    <x v="2"/>
    <s v="No major surgery"/>
    <x v="2"/>
    <x v="3"/>
    <x v="3"/>
    <m/>
    <x v="77"/>
    <x v="3"/>
    <m/>
    <x v="3"/>
    <x v="13"/>
  </r>
  <r>
    <s v="Id429"/>
    <m/>
    <x v="742"/>
    <x v="525"/>
    <m/>
    <x v="2"/>
    <x v="2"/>
    <n v="2"/>
    <x v="2"/>
    <x v="3"/>
    <x v="3"/>
    <m/>
    <x v="77"/>
    <x v="3"/>
    <m/>
    <x v="3"/>
    <x v="13"/>
  </r>
  <r>
    <s v="Id428"/>
    <m/>
    <x v="742"/>
    <x v="525"/>
    <m/>
    <x v="2"/>
    <x v="2"/>
    <s v="No major surgery"/>
    <x v="2"/>
    <x v="3"/>
    <x v="3"/>
    <m/>
    <x v="77"/>
    <x v="3"/>
    <m/>
    <x v="3"/>
    <x v="13"/>
  </r>
  <r>
    <s v="Id427"/>
    <m/>
    <x v="742"/>
    <x v="525"/>
    <m/>
    <x v="2"/>
    <x v="2"/>
    <n v="1"/>
    <x v="2"/>
    <x v="3"/>
    <x v="3"/>
    <m/>
    <x v="77"/>
    <x v="3"/>
    <m/>
    <x v="3"/>
    <x v="13"/>
  </r>
  <r>
    <s v="Id426"/>
    <m/>
    <x v="742"/>
    <x v="525"/>
    <m/>
    <x v="2"/>
    <x v="2"/>
    <s v="No major surgery"/>
    <x v="2"/>
    <x v="3"/>
    <x v="3"/>
    <m/>
    <x v="77"/>
    <x v="3"/>
    <m/>
    <x v="3"/>
    <x v="13"/>
  </r>
  <r>
    <s v="Id425"/>
    <m/>
    <x v="742"/>
    <x v="525"/>
    <m/>
    <x v="2"/>
    <x v="2"/>
    <n v="1"/>
    <x v="2"/>
    <x v="3"/>
    <x v="3"/>
    <m/>
    <x v="77"/>
    <x v="3"/>
    <m/>
    <x v="3"/>
    <x v="13"/>
  </r>
  <r>
    <s v="Id424"/>
    <m/>
    <x v="742"/>
    <x v="525"/>
    <m/>
    <x v="2"/>
    <x v="2"/>
    <n v="1"/>
    <x v="2"/>
    <x v="3"/>
    <x v="3"/>
    <m/>
    <x v="77"/>
    <x v="3"/>
    <m/>
    <x v="3"/>
    <x v="13"/>
  </r>
  <r>
    <s v="Id423"/>
    <m/>
    <x v="742"/>
    <x v="525"/>
    <m/>
    <x v="2"/>
    <x v="2"/>
    <s v="No major surgery"/>
    <x v="2"/>
    <x v="3"/>
    <x v="3"/>
    <m/>
    <x v="77"/>
    <x v="3"/>
    <m/>
    <x v="3"/>
    <x v="13"/>
  </r>
  <r>
    <s v="Id422"/>
    <m/>
    <x v="742"/>
    <x v="525"/>
    <m/>
    <x v="2"/>
    <x v="2"/>
    <s v="No major surgery"/>
    <x v="2"/>
    <x v="3"/>
    <x v="3"/>
    <m/>
    <x v="77"/>
    <x v="3"/>
    <m/>
    <x v="3"/>
    <x v="13"/>
  </r>
  <r>
    <s v="Id421"/>
    <m/>
    <x v="742"/>
    <x v="525"/>
    <m/>
    <x v="2"/>
    <x v="2"/>
    <s v="No major surgery"/>
    <x v="2"/>
    <x v="3"/>
    <x v="3"/>
    <m/>
    <x v="77"/>
    <x v="3"/>
    <m/>
    <x v="3"/>
    <x v="13"/>
  </r>
  <r>
    <s v="Id420"/>
    <m/>
    <x v="742"/>
    <x v="525"/>
    <m/>
    <x v="2"/>
    <x v="2"/>
    <s v="No major surgery"/>
    <x v="2"/>
    <x v="3"/>
    <x v="3"/>
    <m/>
    <x v="77"/>
    <x v="3"/>
    <m/>
    <x v="3"/>
    <x v="13"/>
  </r>
  <r>
    <s v="Id419"/>
    <m/>
    <x v="742"/>
    <x v="525"/>
    <m/>
    <x v="2"/>
    <x v="2"/>
    <s v="No major surgery"/>
    <x v="2"/>
    <x v="3"/>
    <x v="3"/>
    <m/>
    <x v="77"/>
    <x v="3"/>
    <m/>
    <x v="3"/>
    <x v="13"/>
  </r>
  <r>
    <s v="Id418"/>
    <m/>
    <x v="742"/>
    <x v="525"/>
    <m/>
    <x v="2"/>
    <x v="2"/>
    <s v="No major surgery"/>
    <x v="2"/>
    <x v="3"/>
    <x v="3"/>
    <m/>
    <x v="77"/>
    <x v="3"/>
    <m/>
    <x v="3"/>
    <x v="13"/>
  </r>
  <r>
    <s v="Id417"/>
    <m/>
    <x v="742"/>
    <x v="525"/>
    <m/>
    <x v="2"/>
    <x v="2"/>
    <s v="No major surgery"/>
    <x v="2"/>
    <x v="3"/>
    <x v="3"/>
    <m/>
    <x v="77"/>
    <x v="3"/>
    <m/>
    <x v="3"/>
    <x v="13"/>
  </r>
  <r>
    <s v="Id416"/>
    <m/>
    <x v="742"/>
    <x v="525"/>
    <m/>
    <x v="2"/>
    <x v="2"/>
    <s v="No major surgery"/>
    <x v="2"/>
    <x v="3"/>
    <x v="3"/>
    <m/>
    <x v="77"/>
    <x v="3"/>
    <m/>
    <x v="3"/>
    <x v="13"/>
  </r>
  <r>
    <s v="Id415"/>
    <m/>
    <x v="742"/>
    <x v="525"/>
    <m/>
    <x v="2"/>
    <x v="2"/>
    <s v="No major surgery"/>
    <x v="2"/>
    <x v="3"/>
    <x v="3"/>
    <m/>
    <x v="77"/>
    <x v="3"/>
    <m/>
    <x v="3"/>
    <x v="13"/>
  </r>
  <r>
    <s v="Id414"/>
    <m/>
    <x v="742"/>
    <x v="525"/>
    <m/>
    <x v="2"/>
    <x v="2"/>
    <n v="1"/>
    <x v="2"/>
    <x v="3"/>
    <x v="3"/>
    <m/>
    <x v="77"/>
    <x v="3"/>
    <m/>
    <x v="3"/>
    <x v="13"/>
  </r>
  <r>
    <s v="Id413"/>
    <m/>
    <x v="742"/>
    <x v="525"/>
    <m/>
    <x v="2"/>
    <x v="2"/>
    <s v="No major surgery"/>
    <x v="2"/>
    <x v="3"/>
    <x v="3"/>
    <m/>
    <x v="77"/>
    <x v="3"/>
    <m/>
    <x v="3"/>
    <x v="13"/>
  </r>
  <r>
    <s v="Id412"/>
    <m/>
    <x v="742"/>
    <x v="525"/>
    <m/>
    <x v="2"/>
    <x v="2"/>
    <n v="1"/>
    <x v="2"/>
    <x v="3"/>
    <x v="3"/>
    <m/>
    <x v="77"/>
    <x v="3"/>
    <m/>
    <x v="3"/>
    <x v="13"/>
  </r>
  <r>
    <s v="Id411"/>
    <m/>
    <x v="742"/>
    <x v="525"/>
    <m/>
    <x v="2"/>
    <x v="2"/>
    <s v="No major surgery"/>
    <x v="2"/>
    <x v="3"/>
    <x v="3"/>
    <m/>
    <x v="77"/>
    <x v="3"/>
    <m/>
    <x v="3"/>
    <x v="13"/>
  </r>
  <r>
    <s v="Id410"/>
    <m/>
    <x v="742"/>
    <x v="525"/>
    <m/>
    <x v="2"/>
    <x v="2"/>
    <s v="No major surgery"/>
    <x v="2"/>
    <x v="3"/>
    <x v="3"/>
    <m/>
    <x v="77"/>
    <x v="3"/>
    <m/>
    <x v="3"/>
    <x v="13"/>
  </r>
  <r>
    <s v="Id409"/>
    <m/>
    <x v="742"/>
    <x v="525"/>
    <m/>
    <x v="2"/>
    <x v="2"/>
    <s v="No major surgery"/>
    <x v="2"/>
    <x v="3"/>
    <x v="3"/>
    <m/>
    <x v="77"/>
    <x v="3"/>
    <m/>
    <x v="3"/>
    <x v="13"/>
  </r>
  <r>
    <s v="Id408"/>
    <m/>
    <x v="742"/>
    <x v="525"/>
    <m/>
    <x v="2"/>
    <x v="2"/>
    <s v="No major surgery"/>
    <x v="2"/>
    <x v="3"/>
    <x v="3"/>
    <m/>
    <x v="77"/>
    <x v="3"/>
    <m/>
    <x v="3"/>
    <x v="13"/>
  </r>
  <r>
    <s v="Id407"/>
    <m/>
    <x v="742"/>
    <x v="525"/>
    <m/>
    <x v="2"/>
    <x v="2"/>
    <n v="1"/>
    <x v="2"/>
    <x v="3"/>
    <x v="3"/>
    <m/>
    <x v="77"/>
    <x v="3"/>
    <m/>
    <x v="3"/>
    <x v="13"/>
  </r>
  <r>
    <s v="Id406"/>
    <m/>
    <x v="742"/>
    <x v="525"/>
    <m/>
    <x v="2"/>
    <x v="2"/>
    <n v="1"/>
    <x v="2"/>
    <x v="3"/>
    <x v="3"/>
    <m/>
    <x v="77"/>
    <x v="3"/>
    <m/>
    <x v="3"/>
    <x v="13"/>
  </r>
  <r>
    <s v="Id405"/>
    <m/>
    <x v="742"/>
    <x v="525"/>
    <m/>
    <x v="2"/>
    <x v="2"/>
    <s v="No major surgery"/>
    <x v="2"/>
    <x v="3"/>
    <x v="3"/>
    <m/>
    <x v="77"/>
    <x v="3"/>
    <m/>
    <x v="3"/>
    <x v="13"/>
  </r>
  <r>
    <s v="Id404"/>
    <m/>
    <x v="742"/>
    <x v="525"/>
    <m/>
    <x v="2"/>
    <x v="2"/>
    <n v="1"/>
    <x v="2"/>
    <x v="3"/>
    <x v="3"/>
    <m/>
    <x v="77"/>
    <x v="3"/>
    <m/>
    <x v="3"/>
    <x v="13"/>
  </r>
  <r>
    <s v="Id403"/>
    <m/>
    <x v="742"/>
    <x v="525"/>
    <m/>
    <x v="2"/>
    <x v="2"/>
    <n v="1"/>
    <x v="2"/>
    <x v="3"/>
    <x v="3"/>
    <m/>
    <x v="77"/>
    <x v="3"/>
    <m/>
    <x v="3"/>
    <x v="13"/>
  </r>
  <r>
    <s v="Id402"/>
    <m/>
    <x v="742"/>
    <x v="525"/>
    <m/>
    <x v="2"/>
    <x v="2"/>
    <s v="No major surgery"/>
    <x v="2"/>
    <x v="3"/>
    <x v="3"/>
    <m/>
    <x v="77"/>
    <x v="3"/>
    <m/>
    <x v="3"/>
    <x v="13"/>
  </r>
  <r>
    <s v="Id401"/>
    <m/>
    <x v="742"/>
    <x v="525"/>
    <m/>
    <x v="2"/>
    <x v="2"/>
    <n v="1"/>
    <x v="2"/>
    <x v="3"/>
    <x v="3"/>
    <m/>
    <x v="77"/>
    <x v="3"/>
    <m/>
    <x v="3"/>
    <x v="13"/>
  </r>
  <r>
    <s v="Id400"/>
    <m/>
    <x v="742"/>
    <x v="525"/>
    <m/>
    <x v="2"/>
    <x v="2"/>
    <n v="1"/>
    <x v="2"/>
    <x v="3"/>
    <x v="3"/>
    <m/>
    <x v="77"/>
    <x v="3"/>
    <m/>
    <x v="3"/>
    <x v="13"/>
  </r>
  <r>
    <s v="Id399"/>
    <m/>
    <x v="742"/>
    <x v="525"/>
    <m/>
    <x v="2"/>
    <x v="2"/>
    <s v="No major surgery"/>
    <x v="2"/>
    <x v="3"/>
    <x v="3"/>
    <m/>
    <x v="77"/>
    <x v="3"/>
    <m/>
    <x v="3"/>
    <x v="13"/>
  </r>
  <r>
    <s v="Id398"/>
    <m/>
    <x v="742"/>
    <x v="525"/>
    <m/>
    <x v="2"/>
    <x v="2"/>
    <n v="1"/>
    <x v="2"/>
    <x v="3"/>
    <x v="3"/>
    <m/>
    <x v="77"/>
    <x v="3"/>
    <m/>
    <x v="3"/>
    <x v="13"/>
  </r>
  <r>
    <s v="Id397"/>
    <m/>
    <x v="742"/>
    <x v="525"/>
    <m/>
    <x v="2"/>
    <x v="2"/>
    <n v="1"/>
    <x v="2"/>
    <x v="3"/>
    <x v="3"/>
    <m/>
    <x v="77"/>
    <x v="3"/>
    <m/>
    <x v="3"/>
    <x v="13"/>
  </r>
  <r>
    <s v="Id396"/>
    <m/>
    <x v="742"/>
    <x v="525"/>
    <m/>
    <x v="2"/>
    <x v="2"/>
    <n v="1"/>
    <x v="2"/>
    <x v="3"/>
    <x v="3"/>
    <m/>
    <x v="77"/>
    <x v="3"/>
    <m/>
    <x v="3"/>
    <x v="13"/>
  </r>
  <r>
    <s v="Id395"/>
    <m/>
    <x v="742"/>
    <x v="525"/>
    <m/>
    <x v="2"/>
    <x v="2"/>
    <s v="No major surgery"/>
    <x v="2"/>
    <x v="3"/>
    <x v="3"/>
    <m/>
    <x v="77"/>
    <x v="3"/>
    <m/>
    <x v="3"/>
    <x v="13"/>
  </r>
  <r>
    <s v="Id394"/>
    <m/>
    <x v="742"/>
    <x v="525"/>
    <m/>
    <x v="2"/>
    <x v="2"/>
    <n v="1"/>
    <x v="2"/>
    <x v="3"/>
    <x v="3"/>
    <m/>
    <x v="77"/>
    <x v="3"/>
    <m/>
    <x v="3"/>
    <x v="13"/>
  </r>
  <r>
    <s v="Id393"/>
    <m/>
    <x v="742"/>
    <x v="525"/>
    <m/>
    <x v="2"/>
    <x v="2"/>
    <s v="No major surgery"/>
    <x v="2"/>
    <x v="3"/>
    <x v="3"/>
    <m/>
    <x v="77"/>
    <x v="3"/>
    <m/>
    <x v="3"/>
    <x v="13"/>
  </r>
  <r>
    <s v="Id392"/>
    <m/>
    <x v="742"/>
    <x v="525"/>
    <m/>
    <x v="2"/>
    <x v="2"/>
    <s v="No major surgery"/>
    <x v="2"/>
    <x v="3"/>
    <x v="3"/>
    <m/>
    <x v="77"/>
    <x v="3"/>
    <m/>
    <x v="3"/>
    <x v="13"/>
  </r>
  <r>
    <s v="Id391"/>
    <m/>
    <x v="742"/>
    <x v="525"/>
    <m/>
    <x v="2"/>
    <x v="2"/>
    <n v="1"/>
    <x v="2"/>
    <x v="3"/>
    <x v="3"/>
    <m/>
    <x v="77"/>
    <x v="3"/>
    <m/>
    <x v="3"/>
    <x v="13"/>
  </r>
  <r>
    <s v="Id390"/>
    <m/>
    <x v="742"/>
    <x v="525"/>
    <m/>
    <x v="2"/>
    <x v="2"/>
    <s v="No major surgery"/>
    <x v="2"/>
    <x v="3"/>
    <x v="3"/>
    <m/>
    <x v="77"/>
    <x v="3"/>
    <m/>
    <x v="3"/>
    <x v="13"/>
  </r>
  <r>
    <s v="Id389"/>
    <m/>
    <x v="742"/>
    <x v="525"/>
    <m/>
    <x v="2"/>
    <x v="2"/>
    <n v="1"/>
    <x v="2"/>
    <x v="3"/>
    <x v="3"/>
    <m/>
    <x v="77"/>
    <x v="3"/>
    <m/>
    <x v="3"/>
    <x v="13"/>
  </r>
  <r>
    <s v="Id388"/>
    <m/>
    <x v="742"/>
    <x v="525"/>
    <m/>
    <x v="2"/>
    <x v="2"/>
    <s v="No major surgery"/>
    <x v="2"/>
    <x v="3"/>
    <x v="3"/>
    <m/>
    <x v="77"/>
    <x v="3"/>
    <m/>
    <x v="3"/>
    <x v="13"/>
  </r>
  <r>
    <s v="Id387"/>
    <m/>
    <x v="742"/>
    <x v="525"/>
    <m/>
    <x v="2"/>
    <x v="2"/>
    <n v="1"/>
    <x v="2"/>
    <x v="3"/>
    <x v="3"/>
    <m/>
    <x v="77"/>
    <x v="3"/>
    <m/>
    <x v="3"/>
    <x v="13"/>
  </r>
  <r>
    <s v="Id386"/>
    <m/>
    <x v="742"/>
    <x v="525"/>
    <m/>
    <x v="2"/>
    <x v="2"/>
    <s v="No major surgery"/>
    <x v="2"/>
    <x v="3"/>
    <x v="3"/>
    <m/>
    <x v="77"/>
    <x v="3"/>
    <m/>
    <x v="3"/>
    <x v="13"/>
  </r>
  <r>
    <s v="Id385"/>
    <m/>
    <x v="742"/>
    <x v="525"/>
    <m/>
    <x v="2"/>
    <x v="2"/>
    <n v="1"/>
    <x v="2"/>
    <x v="3"/>
    <x v="3"/>
    <m/>
    <x v="77"/>
    <x v="3"/>
    <m/>
    <x v="3"/>
    <x v="13"/>
  </r>
  <r>
    <s v="Id384"/>
    <m/>
    <x v="742"/>
    <x v="525"/>
    <m/>
    <x v="2"/>
    <x v="2"/>
    <n v="1"/>
    <x v="2"/>
    <x v="3"/>
    <x v="3"/>
    <m/>
    <x v="77"/>
    <x v="3"/>
    <m/>
    <x v="3"/>
    <x v="13"/>
  </r>
  <r>
    <s v="Id383"/>
    <m/>
    <x v="742"/>
    <x v="525"/>
    <m/>
    <x v="2"/>
    <x v="2"/>
    <s v="No major surgery"/>
    <x v="2"/>
    <x v="3"/>
    <x v="3"/>
    <m/>
    <x v="77"/>
    <x v="3"/>
    <m/>
    <x v="3"/>
    <x v="13"/>
  </r>
  <r>
    <s v="Id382"/>
    <m/>
    <x v="742"/>
    <x v="525"/>
    <m/>
    <x v="2"/>
    <x v="2"/>
    <n v="1"/>
    <x v="2"/>
    <x v="3"/>
    <x v="3"/>
    <m/>
    <x v="77"/>
    <x v="3"/>
    <m/>
    <x v="3"/>
    <x v="13"/>
  </r>
  <r>
    <s v="Id381"/>
    <m/>
    <x v="742"/>
    <x v="525"/>
    <m/>
    <x v="2"/>
    <x v="2"/>
    <n v="1"/>
    <x v="2"/>
    <x v="3"/>
    <x v="3"/>
    <m/>
    <x v="77"/>
    <x v="3"/>
    <m/>
    <x v="3"/>
    <x v="13"/>
  </r>
  <r>
    <s v="Id380"/>
    <m/>
    <x v="742"/>
    <x v="525"/>
    <m/>
    <x v="2"/>
    <x v="2"/>
    <s v="No major surgery"/>
    <x v="2"/>
    <x v="3"/>
    <x v="3"/>
    <m/>
    <x v="77"/>
    <x v="3"/>
    <m/>
    <x v="3"/>
    <x v="13"/>
  </r>
  <r>
    <s v="Id379"/>
    <m/>
    <x v="742"/>
    <x v="525"/>
    <m/>
    <x v="2"/>
    <x v="2"/>
    <n v="1"/>
    <x v="2"/>
    <x v="3"/>
    <x v="3"/>
    <m/>
    <x v="77"/>
    <x v="3"/>
    <m/>
    <x v="3"/>
    <x v="13"/>
  </r>
  <r>
    <s v="Id378"/>
    <m/>
    <x v="742"/>
    <x v="525"/>
    <m/>
    <x v="2"/>
    <x v="2"/>
    <n v="1"/>
    <x v="2"/>
    <x v="3"/>
    <x v="3"/>
    <m/>
    <x v="77"/>
    <x v="3"/>
    <m/>
    <x v="3"/>
    <x v="13"/>
  </r>
  <r>
    <s v="Id377"/>
    <m/>
    <x v="742"/>
    <x v="525"/>
    <m/>
    <x v="2"/>
    <x v="2"/>
    <n v="1"/>
    <x v="2"/>
    <x v="3"/>
    <x v="3"/>
    <m/>
    <x v="77"/>
    <x v="3"/>
    <m/>
    <x v="3"/>
    <x v="13"/>
  </r>
  <r>
    <s v="Id376"/>
    <m/>
    <x v="742"/>
    <x v="525"/>
    <m/>
    <x v="2"/>
    <x v="2"/>
    <n v="1"/>
    <x v="2"/>
    <x v="3"/>
    <x v="3"/>
    <m/>
    <x v="77"/>
    <x v="3"/>
    <m/>
    <x v="3"/>
    <x v="13"/>
  </r>
  <r>
    <s v="Id375"/>
    <m/>
    <x v="742"/>
    <x v="525"/>
    <m/>
    <x v="2"/>
    <x v="2"/>
    <s v="No major surgery"/>
    <x v="2"/>
    <x v="3"/>
    <x v="3"/>
    <m/>
    <x v="77"/>
    <x v="3"/>
    <m/>
    <x v="3"/>
    <x v="13"/>
  </r>
  <r>
    <s v="Id374"/>
    <m/>
    <x v="742"/>
    <x v="525"/>
    <m/>
    <x v="2"/>
    <x v="2"/>
    <s v="No major surgery"/>
    <x v="2"/>
    <x v="3"/>
    <x v="3"/>
    <m/>
    <x v="77"/>
    <x v="3"/>
    <m/>
    <x v="3"/>
    <x v="13"/>
  </r>
  <r>
    <s v="Id373"/>
    <m/>
    <x v="742"/>
    <x v="525"/>
    <m/>
    <x v="2"/>
    <x v="2"/>
    <s v="No major surgery"/>
    <x v="2"/>
    <x v="3"/>
    <x v="3"/>
    <m/>
    <x v="77"/>
    <x v="3"/>
    <m/>
    <x v="3"/>
    <x v="13"/>
  </r>
  <r>
    <s v="Id372"/>
    <m/>
    <x v="742"/>
    <x v="525"/>
    <m/>
    <x v="2"/>
    <x v="2"/>
    <n v="1"/>
    <x v="2"/>
    <x v="3"/>
    <x v="3"/>
    <m/>
    <x v="77"/>
    <x v="3"/>
    <m/>
    <x v="3"/>
    <x v="13"/>
  </r>
  <r>
    <s v="Id371"/>
    <m/>
    <x v="742"/>
    <x v="525"/>
    <m/>
    <x v="2"/>
    <x v="2"/>
    <n v="1"/>
    <x v="2"/>
    <x v="3"/>
    <x v="3"/>
    <m/>
    <x v="77"/>
    <x v="3"/>
    <m/>
    <x v="3"/>
    <x v="13"/>
  </r>
  <r>
    <s v="Id370"/>
    <m/>
    <x v="742"/>
    <x v="525"/>
    <m/>
    <x v="2"/>
    <x v="2"/>
    <n v="1"/>
    <x v="2"/>
    <x v="3"/>
    <x v="3"/>
    <m/>
    <x v="77"/>
    <x v="3"/>
    <m/>
    <x v="3"/>
    <x v="13"/>
  </r>
  <r>
    <s v="Id369"/>
    <m/>
    <x v="742"/>
    <x v="525"/>
    <m/>
    <x v="2"/>
    <x v="2"/>
    <n v="1"/>
    <x v="2"/>
    <x v="3"/>
    <x v="3"/>
    <m/>
    <x v="77"/>
    <x v="3"/>
    <m/>
    <x v="3"/>
    <x v="13"/>
  </r>
  <r>
    <s v="Id368"/>
    <m/>
    <x v="742"/>
    <x v="525"/>
    <m/>
    <x v="2"/>
    <x v="2"/>
    <n v="2"/>
    <x v="2"/>
    <x v="3"/>
    <x v="3"/>
    <m/>
    <x v="77"/>
    <x v="3"/>
    <m/>
    <x v="3"/>
    <x v="13"/>
  </r>
  <r>
    <s v="Id367"/>
    <m/>
    <x v="742"/>
    <x v="525"/>
    <m/>
    <x v="2"/>
    <x v="2"/>
    <n v="1"/>
    <x v="2"/>
    <x v="3"/>
    <x v="3"/>
    <m/>
    <x v="77"/>
    <x v="3"/>
    <m/>
    <x v="3"/>
    <x v="13"/>
  </r>
  <r>
    <s v="Id366"/>
    <m/>
    <x v="742"/>
    <x v="525"/>
    <m/>
    <x v="2"/>
    <x v="2"/>
    <s v="No major surgery"/>
    <x v="2"/>
    <x v="3"/>
    <x v="3"/>
    <m/>
    <x v="77"/>
    <x v="3"/>
    <m/>
    <x v="3"/>
    <x v="13"/>
  </r>
  <r>
    <s v="Id365"/>
    <m/>
    <x v="742"/>
    <x v="525"/>
    <m/>
    <x v="2"/>
    <x v="2"/>
    <s v="No major surgery"/>
    <x v="2"/>
    <x v="3"/>
    <x v="3"/>
    <m/>
    <x v="77"/>
    <x v="3"/>
    <m/>
    <x v="3"/>
    <x v="13"/>
  </r>
  <r>
    <s v="Id364"/>
    <m/>
    <x v="742"/>
    <x v="525"/>
    <m/>
    <x v="2"/>
    <x v="2"/>
    <n v="1"/>
    <x v="2"/>
    <x v="3"/>
    <x v="3"/>
    <m/>
    <x v="77"/>
    <x v="3"/>
    <m/>
    <x v="3"/>
    <x v="13"/>
  </r>
  <r>
    <s v="Id363"/>
    <m/>
    <x v="742"/>
    <x v="525"/>
    <m/>
    <x v="2"/>
    <x v="2"/>
    <s v="No major surgery"/>
    <x v="2"/>
    <x v="3"/>
    <x v="3"/>
    <m/>
    <x v="77"/>
    <x v="3"/>
    <m/>
    <x v="3"/>
    <x v="13"/>
  </r>
  <r>
    <s v="Id362"/>
    <m/>
    <x v="742"/>
    <x v="525"/>
    <m/>
    <x v="2"/>
    <x v="2"/>
    <s v="No major surgery"/>
    <x v="2"/>
    <x v="3"/>
    <x v="3"/>
    <m/>
    <x v="77"/>
    <x v="3"/>
    <m/>
    <x v="3"/>
    <x v="13"/>
  </r>
  <r>
    <s v="Id361"/>
    <m/>
    <x v="742"/>
    <x v="525"/>
    <m/>
    <x v="2"/>
    <x v="2"/>
    <s v="No major surgery"/>
    <x v="2"/>
    <x v="3"/>
    <x v="3"/>
    <m/>
    <x v="77"/>
    <x v="3"/>
    <m/>
    <x v="3"/>
    <x v="13"/>
  </r>
  <r>
    <s v="Id360"/>
    <m/>
    <x v="742"/>
    <x v="525"/>
    <m/>
    <x v="2"/>
    <x v="2"/>
    <s v="No major surgery"/>
    <x v="2"/>
    <x v="3"/>
    <x v="3"/>
    <m/>
    <x v="77"/>
    <x v="3"/>
    <m/>
    <x v="3"/>
    <x v="13"/>
  </r>
  <r>
    <s v="Id359"/>
    <m/>
    <x v="742"/>
    <x v="525"/>
    <m/>
    <x v="2"/>
    <x v="2"/>
    <n v="1"/>
    <x v="2"/>
    <x v="3"/>
    <x v="3"/>
    <m/>
    <x v="77"/>
    <x v="3"/>
    <m/>
    <x v="3"/>
    <x v="13"/>
  </r>
  <r>
    <s v="Id358"/>
    <m/>
    <x v="742"/>
    <x v="525"/>
    <m/>
    <x v="2"/>
    <x v="2"/>
    <n v="1"/>
    <x v="2"/>
    <x v="3"/>
    <x v="3"/>
    <m/>
    <x v="77"/>
    <x v="3"/>
    <m/>
    <x v="3"/>
    <x v="13"/>
  </r>
  <r>
    <s v="Id357"/>
    <m/>
    <x v="742"/>
    <x v="525"/>
    <m/>
    <x v="2"/>
    <x v="2"/>
    <n v="1"/>
    <x v="2"/>
    <x v="3"/>
    <x v="3"/>
    <m/>
    <x v="77"/>
    <x v="3"/>
    <m/>
    <x v="3"/>
    <x v="13"/>
  </r>
  <r>
    <s v="Id356"/>
    <m/>
    <x v="742"/>
    <x v="525"/>
    <m/>
    <x v="2"/>
    <x v="2"/>
    <s v="No major surgery"/>
    <x v="2"/>
    <x v="3"/>
    <x v="3"/>
    <m/>
    <x v="77"/>
    <x v="3"/>
    <m/>
    <x v="3"/>
    <x v="13"/>
  </r>
  <r>
    <s v="Id355"/>
    <m/>
    <x v="742"/>
    <x v="525"/>
    <m/>
    <x v="2"/>
    <x v="2"/>
    <n v="1"/>
    <x v="2"/>
    <x v="3"/>
    <x v="3"/>
    <m/>
    <x v="77"/>
    <x v="3"/>
    <m/>
    <x v="3"/>
    <x v="13"/>
  </r>
  <r>
    <s v="Id354"/>
    <m/>
    <x v="742"/>
    <x v="525"/>
    <m/>
    <x v="2"/>
    <x v="2"/>
    <n v="1"/>
    <x v="2"/>
    <x v="3"/>
    <x v="3"/>
    <m/>
    <x v="77"/>
    <x v="3"/>
    <m/>
    <x v="3"/>
    <x v="13"/>
  </r>
  <r>
    <s v="Id353"/>
    <m/>
    <x v="742"/>
    <x v="525"/>
    <m/>
    <x v="2"/>
    <x v="2"/>
    <n v="1"/>
    <x v="2"/>
    <x v="3"/>
    <x v="3"/>
    <m/>
    <x v="77"/>
    <x v="3"/>
    <m/>
    <x v="3"/>
    <x v="13"/>
  </r>
  <r>
    <s v="Id352"/>
    <m/>
    <x v="742"/>
    <x v="525"/>
    <m/>
    <x v="2"/>
    <x v="2"/>
    <s v="No major surgery"/>
    <x v="2"/>
    <x v="3"/>
    <x v="3"/>
    <m/>
    <x v="77"/>
    <x v="3"/>
    <m/>
    <x v="3"/>
    <x v="13"/>
  </r>
  <r>
    <s v="Id351"/>
    <m/>
    <x v="742"/>
    <x v="525"/>
    <m/>
    <x v="2"/>
    <x v="2"/>
    <n v="1"/>
    <x v="2"/>
    <x v="3"/>
    <x v="3"/>
    <m/>
    <x v="77"/>
    <x v="3"/>
    <m/>
    <x v="3"/>
    <x v="13"/>
  </r>
  <r>
    <s v="Id350"/>
    <m/>
    <x v="742"/>
    <x v="525"/>
    <m/>
    <x v="2"/>
    <x v="2"/>
    <s v="No major surgery"/>
    <x v="2"/>
    <x v="3"/>
    <x v="3"/>
    <m/>
    <x v="77"/>
    <x v="3"/>
    <m/>
    <x v="3"/>
    <x v="13"/>
  </r>
  <r>
    <s v="Id349"/>
    <m/>
    <x v="742"/>
    <x v="525"/>
    <m/>
    <x v="2"/>
    <x v="2"/>
    <s v="No major surgery"/>
    <x v="2"/>
    <x v="3"/>
    <x v="3"/>
    <m/>
    <x v="77"/>
    <x v="3"/>
    <m/>
    <x v="3"/>
    <x v="13"/>
  </r>
  <r>
    <s v="Id348"/>
    <m/>
    <x v="742"/>
    <x v="525"/>
    <m/>
    <x v="2"/>
    <x v="2"/>
    <s v="No major surgery"/>
    <x v="2"/>
    <x v="3"/>
    <x v="3"/>
    <m/>
    <x v="77"/>
    <x v="3"/>
    <m/>
    <x v="3"/>
    <x v="13"/>
  </r>
  <r>
    <s v="Id347"/>
    <m/>
    <x v="742"/>
    <x v="525"/>
    <m/>
    <x v="2"/>
    <x v="2"/>
    <s v="No major surgery"/>
    <x v="2"/>
    <x v="3"/>
    <x v="3"/>
    <m/>
    <x v="77"/>
    <x v="3"/>
    <m/>
    <x v="3"/>
    <x v="13"/>
  </r>
  <r>
    <s v="Id346"/>
    <m/>
    <x v="742"/>
    <x v="525"/>
    <m/>
    <x v="2"/>
    <x v="2"/>
    <n v="1"/>
    <x v="2"/>
    <x v="3"/>
    <x v="3"/>
    <m/>
    <x v="77"/>
    <x v="3"/>
    <m/>
    <x v="3"/>
    <x v="13"/>
  </r>
  <r>
    <s v="Id345"/>
    <m/>
    <x v="742"/>
    <x v="525"/>
    <m/>
    <x v="2"/>
    <x v="2"/>
    <n v="1"/>
    <x v="2"/>
    <x v="3"/>
    <x v="3"/>
    <m/>
    <x v="77"/>
    <x v="3"/>
    <m/>
    <x v="3"/>
    <x v="13"/>
  </r>
  <r>
    <s v="Id344"/>
    <m/>
    <x v="742"/>
    <x v="525"/>
    <m/>
    <x v="2"/>
    <x v="2"/>
    <n v="1"/>
    <x v="2"/>
    <x v="3"/>
    <x v="3"/>
    <m/>
    <x v="77"/>
    <x v="3"/>
    <m/>
    <x v="3"/>
    <x v="13"/>
  </r>
  <r>
    <s v="Id343"/>
    <m/>
    <x v="742"/>
    <x v="525"/>
    <m/>
    <x v="2"/>
    <x v="2"/>
    <n v="1"/>
    <x v="2"/>
    <x v="3"/>
    <x v="3"/>
    <m/>
    <x v="77"/>
    <x v="3"/>
    <m/>
    <x v="3"/>
    <x v="13"/>
  </r>
  <r>
    <s v="Id342"/>
    <m/>
    <x v="742"/>
    <x v="525"/>
    <m/>
    <x v="2"/>
    <x v="2"/>
    <n v="1"/>
    <x v="2"/>
    <x v="3"/>
    <x v="3"/>
    <m/>
    <x v="77"/>
    <x v="3"/>
    <m/>
    <x v="3"/>
    <x v="13"/>
  </r>
  <r>
    <s v="Id341"/>
    <m/>
    <x v="742"/>
    <x v="525"/>
    <m/>
    <x v="2"/>
    <x v="2"/>
    <s v="No major surgery"/>
    <x v="2"/>
    <x v="3"/>
    <x v="3"/>
    <m/>
    <x v="77"/>
    <x v="3"/>
    <m/>
    <x v="3"/>
    <x v="13"/>
  </r>
  <r>
    <s v="Id340"/>
    <m/>
    <x v="742"/>
    <x v="525"/>
    <m/>
    <x v="2"/>
    <x v="2"/>
    <s v="No major surgery"/>
    <x v="2"/>
    <x v="3"/>
    <x v="3"/>
    <m/>
    <x v="77"/>
    <x v="3"/>
    <m/>
    <x v="3"/>
    <x v="13"/>
  </r>
  <r>
    <s v="Id339"/>
    <m/>
    <x v="742"/>
    <x v="525"/>
    <m/>
    <x v="2"/>
    <x v="2"/>
    <n v="2"/>
    <x v="2"/>
    <x v="3"/>
    <x v="3"/>
    <m/>
    <x v="77"/>
    <x v="3"/>
    <m/>
    <x v="3"/>
    <x v="13"/>
  </r>
  <r>
    <s v="Id338"/>
    <m/>
    <x v="742"/>
    <x v="525"/>
    <m/>
    <x v="2"/>
    <x v="2"/>
    <s v="No major surgery"/>
    <x v="2"/>
    <x v="3"/>
    <x v="3"/>
    <m/>
    <x v="77"/>
    <x v="3"/>
    <m/>
    <x v="3"/>
    <x v="13"/>
  </r>
  <r>
    <s v="Id337"/>
    <m/>
    <x v="742"/>
    <x v="525"/>
    <m/>
    <x v="2"/>
    <x v="2"/>
    <s v="No major surgery"/>
    <x v="2"/>
    <x v="3"/>
    <x v="3"/>
    <m/>
    <x v="77"/>
    <x v="3"/>
    <m/>
    <x v="3"/>
    <x v="13"/>
  </r>
  <r>
    <s v="Id336"/>
    <m/>
    <x v="742"/>
    <x v="525"/>
    <m/>
    <x v="2"/>
    <x v="2"/>
    <s v="No major surgery"/>
    <x v="2"/>
    <x v="3"/>
    <x v="3"/>
    <m/>
    <x v="77"/>
    <x v="3"/>
    <m/>
    <x v="3"/>
    <x v="13"/>
  </r>
  <r>
    <s v="Id335"/>
    <m/>
    <x v="742"/>
    <x v="525"/>
    <m/>
    <x v="2"/>
    <x v="2"/>
    <s v="No major surgery"/>
    <x v="2"/>
    <x v="3"/>
    <x v="3"/>
    <m/>
    <x v="77"/>
    <x v="3"/>
    <m/>
    <x v="3"/>
    <x v="13"/>
  </r>
  <r>
    <s v="Id334"/>
    <m/>
    <x v="742"/>
    <x v="525"/>
    <m/>
    <x v="2"/>
    <x v="2"/>
    <s v="No major surgery"/>
    <x v="2"/>
    <x v="3"/>
    <x v="3"/>
    <m/>
    <x v="77"/>
    <x v="3"/>
    <m/>
    <x v="3"/>
    <x v="13"/>
  </r>
  <r>
    <s v="Id333"/>
    <m/>
    <x v="742"/>
    <x v="525"/>
    <m/>
    <x v="2"/>
    <x v="2"/>
    <n v="1"/>
    <x v="2"/>
    <x v="3"/>
    <x v="3"/>
    <m/>
    <x v="77"/>
    <x v="3"/>
    <m/>
    <x v="3"/>
    <x v="13"/>
  </r>
  <r>
    <s v="Id332"/>
    <m/>
    <x v="742"/>
    <x v="525"/>
    <m/>
    <x v="2"/>
    <x v="2"/>
    <s v="No major surgery"/>
    <x v="2"/>
    <x v="3"/>
    <x v="3"/>
    <m/>
    <x v="77"/>
    <x v="3"/>
    <m/>
    <x v="3"/>
    <x v="13"/>
  </r>
  <r>
    <s v="Id331"/>
    <m/>
    <x v="742"/>
    <x v="525"/>
    <m/>
    <x v="2"/>
    <x v="2"/>
    <s v="No major surgery"/>
    <x v="2"/>
    <x v="3"/>
    <x v="3"/>
    <m/>
    <x v="77"/>
    <x v="3"/>
    <m/>
    <x v="3"/>
    <x v="13"/>
  </r>
  <r>
    <s v="Id330"/>
    <m/>
    <x v="742"/>
    <x v="525"/>
    <m/>
    <x v="2"/>
    <x v="2"/>
    <n v="1"/>
    <x v="2"/>
    <x v="3"/>
    <x v="3"/>
    <m/>
    <x v="77"/>
    <x v="3"/>
    <m/>
    <x v="3"/>
    <x v="13"/>
  </r>
  <r>
    <s v="Id329"/>
    <m/>
    <x v="742"/>
    <x v="525"/>
    <m/>
    <x v="2"/>
    <x v="2"/>
    <s v="No major surgery"/>
    <x v="2"/>
    <x v="3"/>
    <x v="3"/>
    <m/>
    <x v="77"/>
    <x v="3"/>
    <m/>
    <x v="3"/>
    <x v="13"/>
  </r>
  <r>
    <s v="Id328"/>
    <m/>
    <x v="742"/>
    <x v="525"/>
    <m/>
    <x v="2"/>
    <x v="2"/>
    <n v="1"/>
    <x v="2"/>
    <x v="3"/>
    <x v="3"/>
    <m/>
    <x v="77"/>
    <x v="3"/>
    <m/>
    <x v="3"/>
    <x v="13"/>
  </r>
  <r>
    <s v="Id327"/>
    <m/>
    <x v="742"/>
    <x v="525"/>
    <m/>
    <x v="2"/>
    <x v="2"/>
    <s v="No major surgery"/>
    <x v="2"/>
    <x v="3"/>
    <x v="3"/>
    <m/>
    <x v="77"/>
    <x v="3"/>
    <m/>
    <x v="3"/>
    <x v="13"/>
  </r>
  <r>
    <s v="Id326"/>
    <m/>
    <x v="742"/>
    <x v="525"/>
    <m/>
    <x v="2"/>
    <x v="2"/>
    <s v="No major surgery"/>
    <x v="2"/>
    <x v="3"/>
    <x v="3"/>
    <m/>
    <x v="77"/>
    <x v="3"/>
    <m/>
    <x v="3"/>
    <x v="13"/>
  </r>
  <r>
    <s v="Id325"/>
    <m/>
    <x v="742"/>
    <x v="525"/>
    <m/>
    <x v="2"/>
    <x v="2"/>
    <s v="No major surgery"/>
    <x v="2"/>
    <x v="3"/>
    <x v="3"/>
    <m/>
    <x v="77"/>
    <x v="3"/>
    <m/>
    <x v="3"/>
    <x v="13"/>
  </r>
  <r>
    <s v="Id324"/>
    <m/>
    <x v="742"/>
    <x v="525"/>
    <m/>
    <x v="2"/>
    <x v="2"/>
    <n v="1"/>
    <x v="2"/>
    <x v="3"/>
    <x v="3"/>
    <m/>
    <x v="77"/>
    <x v="3"/>
    <m/>
    <x v="3"/>
    <x v="13"/>
  </r>
  <r>
    <s v="Id323"/>
    <m/>
    <x v="742"/>
    <x v="525"/>
    <m/>
    <x v="2"/>
    <x v="2"/>
    <n v="1"/>
    <x v="2"/>
    <x v="3"/>
    <x v="3"/>
    <m/>
    <x v="77"/>
    <x v="3"/>
    <m/>
    <x v="3"/>
    <x v="13"/>
  </r>
  <r>
    <s v="Id322"/>
    <m/>
    <x v="742"/>
    <x v="525"/>
    <m/>
    <x v="2"/>
    <x v="2"/>
    <n v="1"/>
    <x v="2"/>
    <x v="3"/>
    <x v="3"/>
    <m/>
    <x v="77"/>
    <x v="3"/>
    <m/>
    <x v="3"/>
    <x v="13"/>
  </r>
  <r>
    <s v="Id321"/>
    <m/>
    <x v="742"/>
    <x v="525"/>
    <m/>
    <x v="2"/>
    <x v="2"/>
    <n v="1"/>
    <x v="2"/>
    <x v="3"/>
    <x v="3"/>
    <m/>
    <x v="77"/>
    <x v="3"/>
    <m/>
    <x v="3"/>
    <x v="13"/>
  </r>
  <r>
    <s v="Id320"/>
    <m/>
    <x v="742"/>
    <x v="525"/>
    <m/>
    <x v="2"/>
    <x v="2"/>
    <n v="1"/>
    <x v="2"/>
    <x v="3"/>
    <x v="3"/>
    <m/>
    <x v="77"/>
    <x v="3"/>
    <m/>
    <x v="3"/>
    <x v="13"/>
  </r>
  <r>
    <s v="Id319"/>
    <m/>
    <x v="742"/>
    <x v="525"/>
    <m/>
    <x v="2"/>
    <x v="2"/>
    <s v="No major surgery"/>
    <x v="2"/>
    <x v="3"/>
    <x v="3"/>
    <m/>
    <x v="77"/>
    <x v="3"/>
    <m/>
    <x v="3"/>
    <x v="13"/>
  </r>
  <r>
    <s v="Id318"/>
    <m/>
    <x v="742"/>
    <x v="525"/>
    <m/>
    <x v="2"/>
    <x v="2"/>
    <s v="No major surgery"/>
    <x v="2"/>
    <x v="3"/>
    <x v="3"/>
    <m/>
    <x v="77"/>
    <x v="3"/>
    <m/>
    <x v="3"/>
    <x v="13"/>
  </r>
  <r>
    <s v="Id317"/>
    <m/>
    <x v="742"/>
    <x v="525"/>
    <m/>
    <x v="2"/>
    <x v="2"/>
    <n v="1"/>
    <x v="2"/>
    <x v="3"/>
    <x v="3"/>
    <m/>
    <x v="77"/>
    <x v="3"/>
    <m/>
    <x v="3"/>
    <x v="13"/>
  </r>
  <r>
    <s v="Id316"/>
    <m/>
    <x v="742"/>
    <x v="525"/>
    <m/>
    <x v="2"/>
    <x v="2"/>
    <n v="1"/>
    <x v="2"/>
    <x v="3"/>
    <x v="3"/>
    <m/>
    <x v="77"/>
    <x v="3"/>
    <m/>
    <x v="3"/>
    <x v="13"/>
  </r>
  <r>
    <s v="Id315"/>
    <m/>
    <x v="742"/>
    <x v="525"/>
    <m/>
    <x v="2"/>
    <x v="2"/>
    <s v="No major surgery"/>
    <x v="2"/>
    <x v="3"/>
    <x v="3"/>
    <m/>
    <x v="77"/>
    <x v="3"/>
    <m/>
    <x v="3"/>
    <x v="13"/>
  </r>
  <r>
    <s v="Id314"/>
    <m/>
    <x v="742"/>
    <x v="525"/>
    <m/>
    <x v="2"/>
    <x v="2"/>
    <s v="No major surgery"/>
    <x v="2"/>
    <x v="3"/>
    <x v="3"/>
    <m/>
    <x v="77"/>
    <x v="3"/>
    <m/>
    <x v="3"/>
    <x v="13"/>
  </r>
  <r>
    <s v="Id313"/>
    <m/>
    <x v="742"/>
    <x v="525"/>
    <m/>
    <x v="2"/>
    <x v="2"/>
    <n v="1"/>
    <x v="2"/>
    <x v="3"/>
    <x v="3"/>
    <m/>
    <x v="77"/>
    <x v="3"/>
    <m/>
    <x v="3"/>
    <x v="13"/>
  </r>
  <r>
    <s v="Id312"/>
    <m/>
    <x v="742"/>
    <x v="525"/>
    <m/>
    <x v="2"/>
    <x v="2"/>
    <s v="No major surgery"/>
    <x v="2"/>
    <x v="3"/>
    <x v="3"/>
    <m/>
    <x v="77"/>
    <x v="3"/>
    <m/>
    <x v="3"/>
    <x v="13"/>
  </r>
  <r>
    <s v="Id311"/>
    <m/>
    <x v="742"/>
    <x v="525"/>
    <m/>
    <x v="2"/>
    <x v="2"/>
    <s v="No major surgery"/>
    <x v="2"/>
    <x v="3"/>
    <x v="3"/>
    <m/>
    <x v="77"/>
    <x v="3"/>
    <m/>
    <x v="3"/>
    <x v="13"/>
  </r>
  <r>
    <s v="Id310"/>
    <m/>
    <x v="742"/>
    <x v="525"/>
    <m/>
    <x v="2"/>
    <x v="2"/>
    <s v="No major surgery"/>
    <x v="2"/>
    <x v="3"/>
    <x v="3"/>
    <m/>
    <x v="77"/>
    <x v="3"/>
    <m/>
    <x v="3"/>
    <x v="13"/>
  </r>
  <r>
    <s v="Id309"/>
    <m/>
    <x v="742"/>
    <x v="525"/>
    <m/>
    <x v="2"/>
    <x v="2"/>
    <n v="2"/>
    <x v="2"/>
    <x v="3"/>
    <x v="3"/>
    <m/>
    <x v="77"/>
    <x v="3"/>
    <m/>
    <x v="3"/>
    <x v="13"/>
  </r>
  <r>
    <s v="Id308"/>
    <m/>
    <x v="742"/>
    <x v="525"/>
    <m/>
    <x v="2"/>
    <x v="2"/>
    <s v="No major surgery"/>
    <x v="2"/>
    <x v="3"/>
    <x v="3"/>
    <m/>
    <x v="77"/>
    <x v="3"/>
    <m/>
    <x v="3"/>
    <x v="13"/>
  </r>
  <r>
    <s v="Id307"/>
    <m/>
    <x v="742"/>
    <x v="525"/>
    <m/>
    <x v="2"/>
    <x v="2"/>
    <n v="1"/>
    <x v="2"/>
    <x v="3"/>
    <x v="3"/>
    <m/>
    <x v="77"/>
    <x v="3"/>
    <m/>
    <x v="3"/>
    <x v="13"/>
  </r>
  <r>
    <s v="Id306"/>
    <m/>
    <x v="742"/>
    <x v="525"/>
    <m/>
    <x v="2"/>
    <x v="2"/>
    <n v="1"/>
    <x v="2"/>
    <x v="3"/>
    <x v="3"/>
    <m/>
    <x v="77"/>
    <x v="3"/>
    <m/>
    <x v="3"/>
    <x v="13"/>
  </r>
  <r>
    <s v="Id305"/>
    <m/>
    <x v="742"/>
    <x v="525"/>
    <m/>
    <x v="2"/>
    <x v="2"/>
    <n v="1"/>
    <x v="2"/>
    <x v="3"/>
    <x v="3"/>
    <m/>
    <x v="77"/>
    <x v="3"/>
    <m/>
    <x v="3"/>
    <x v="13"/>
  </r>
  <r>
    <s v="Id304"/>
    <m/>
    <x v="742"/>
    <x v="525"/>
    <m/>
    <x v="2"/>
    <x v="2"/>
    <n v="1"/>
    <x v="2"/>
    <x v="3"/>
    <x v="3"/>
    <m/>
    <x v="77"/>
    <x v="3"/>
    <m/>
    <x v="3"/>
    <x v="13"/>
  </r>
  <r>
    <s v="Id303"/>
    <m/>
    <x v="742"/>
    <x v="525"/>
    <m/>
    <x v="2"/>
    <x v="2"/>
    <n v="1"/>
    <x v="2"/>
    <x v="3"/>
    <x v="3"/>
    <m/>
    <x v="77"/>
    <x v="3"/>
    <m/>
    <x v="3"/>
    <x v="13"/>
  </r>
  <r>
    <s v="Id302"/>
    <m/>
    <x v="742"/>
    <x v="525"/>
    <m/>
    <x v="2"/>
    <x v="2"/>
    <n v="1"/>
    <x v="2"/>
    <x v="3"/>
    <x v="3"/>
    <m/>
    <x v="77"/>
    <x v="3"/>
    <m/>
    <x v="3"/>
    <x v="13"/>
  </r>
  <r>
    <s v="Id301"/>
    <m/>
    <x v="742"/>
    <x v="525"/>
    <m/>
    <x v="2"/>
    <x v="2"/>
    <n v="1"/>
    <x v="2"/>
    <x v="3"/>
    <x v="3"/>
    <m/>
    <x v="77"/>
    <x v="3"/>
    <m/>
    <x v="3"/>
    <x v="13"/>
  </r>
  <r>
    <s v="Id300"/>
    <m/>
    <x v="742"/>
    <x v="525"/>
    <m/>
    <x v="2"/>
    <x v="2"/>
    <n v="1"/>
    <x v="2"/>
    <x v="3"/>
    <x v="3"/>
    <m/>
    <x v="77"/>
    <x v="3"/>
    <m/>
    <x v="3"/>
    <x v="13"/>
  </r>
  <r>
    <s v="Id299"/>
    <m/>
    <x v="742"/>
    <x v="525"/>
    <m/>
    <x v="2"/>
    <x v="2"/>
    <s v="No major surgery"/>
    <x v="2"/>
    <x v="3"/>
    <x v="3"/>
    <m/>
    <x v="77"/>
    <x v="3"/>
    <m/>
    <x v="3"/>
    <x v="13"/>
  </r>
  <r>
    <s v="Id298"/>
    <m/>
    <x v="742"/>
    <x v="525"/>
    <m/>
    <x v="2"/>
    <x v="2"/>
    <s v="No major surgery"/>
    <x v="2"/>
    <x v="3"/>
    <x v="3"/>
    <m/>
    <x v="77"/>
    <x v="3"/>
    <m/>
    <x v="3"/>
    <x v="13"/>
  </r>
  <r>
    <s v="Id297"/>
    <m/>
    <x v="742"/>
    <x v="525"/>
    <m/>
    <x v="2"/>
    <x v="2"/>
    <n v="1"/>
    <x v="2"/>
    <x v="3"/>
    <x v="3"/>
    <m/>
    <x v="77"/>
    <x v="3"/>
    <m/>
    <x v="3"/>
    <x v="13"/>
  </r>
  <r>
    <s v="Id296"/>
    <m/>
    <x v="742"/>
    <x v="525"/>
    <m/>
    <x v="2"/>
    <x v="2"/>
    <n v="1"/>
    <x v="2"/>
    <x v="3"/>
    <x v="3"/>
    <m/>
    <x v="77"/>
    <x v="3"/>
    <m/>
    <x v="3"/>
    <x v="13"/>
  </r>
  <r>
    <s v="Id295"/>
    <m/>
    <x v="742"/>
    <x v="525"/>
    <m/>
    <x v="2"/>
    <x v="2"/>
    <n v="1"/>
    <x v="2"/>
    <x v="3"/>
    <x v="3"/>
    <m/>
    <x v="77"/>
    <x v="3"/>
    <m/>
    <x v="3"/>
    <x v="13"/>
  </r>
  <r>
    <s v="Id294"/>
    <m/>
    <x v="742"/>
    <x v="525"/>
    <m/>
    <x v="2"/>
    <x v="2"/>
    <n v="1"/>
    <x v="2"/>
    <x v="3"/>
    <x v="3"/>
    <m/>
    <x v="77"/>
    <x v="3"/>
    <m/>
    <x v="3"/>
    <x v="13"/>
  </r>
  <r>
    <s v="Id293"/>
    <m/>
    <x v="742"/>
    <x v="525"/>
    <m/>
    <x v="2"/>
    <x v="2"/>
    <n v="1"/>
    <x v="2"/>
    <x v="3"/>
    <x v="3"/>
    <m/>
    <x v="77"/>
    <x v="3"/>
    <m/>
    <x v="3"/>
    <x v="13"/>
  </r>
  <r>
    <s v="Id292"/>
    <m/>
    <x v="742"/>
    <x v="525"/>
    <m/>
    <x v="2"/>
    <x v="2"/>
    <n v="1"/>
    <x v="2"/>
    <x v="3"/>
    <x v="3"/>
    <m/>
    <x v="77"/>
    <x v="3"/>
    <m/>
    <x v="3"/>
    <x v="13"/>
  </r>
  <r>
    <s v="Id291"/>
    <m/>
    <x v="742"/>
    <x v="525"/>
    <m/>
    <x v="2"/>
    <x v="2"/>
    <n v="1"/>
    <x v="2"/>
    <x v="3"/>
    <x v="3"/>
    <m/>
    <x v="77"/>
    <x v="3"/>
    <m/>
    <x v="3"/>
    <x v="13"/>
  </r>
  <r>
    <s v="Id290"/>
    <m/>
    <x v="742"/>
    <x v="525"/>
    <m/>
    <x v="2"/>
    <x v="2"/>
    <n v="1"/>
    <x v="2"/>
    <x v="3"/>
    <x v="3"/>
    <m/>
    <x v="77"/>
    <x v="3"/>
    <m/>
    <x v="3"/>
    <x v="13"/>
  </r>
  <r>
    <s v="Id289"/>
    <m/>
    <x v="742"/>
    <x v="525"/>
    <m/>
    <x v="2"/>
    <x v="2"/>
    <n v="1"/>
    <x v="2"/>
    <x v="3"/>
    <x v="3"/>
    <m/>
    <x v="77"/>
    <x v="3"/>
    <m/>
    <x v="3"/>
    <x v="13"/>
  </r>
  <r>
    <s v="Id288"/>
    <m/>
    <x v="742"/>
    <x v="525"/>
    <m/>
    <x v="2"/>
    <x v="2"/>
    <n v="1"/>
    <x v="2"/>
    <x v="3"/>
    <x v="3"/>
    <m/>
    <x v="77"/>
    <x v="3"/>
    <m/>
    <x v="3"/>
    <x v="13"/>
  </r>
  <r>
    <s v="Id287"/>
    <m/>
    <x v="742"/>
    <x v="525"/>
    <m/>
    <x v="2"/>
    <x v="2"/>
    <n v="1"/>
    <x v="2"/>
    <x v="3"/>
    <x v="3"/>
    <m/>
    <x v="77"/>
    <x v="3"/>
    <m/>
    <x v="3"/>
    <x v="13"/>
  </r>
  <r>
    <s v="Id286"/>
    <m/>
    <x v="742"/>
    <x v="525"/>
    <m/>
    <x v="2"/>
    <x v="2"/>
    <n v="1"/>
    <x v="2"/>
    <x v="3"/>
    <x v="3"/>
    <m/>
    <x v="77"/>
    <x v="3"/>
    <m/>
    <x v="3"/>
    <x v="13"/>
  </r>
  <r>
    <s v="Id285"/>
    <m/>
    <x v="742"/>
    <x v="525"/>
    <m/>
    <x v="2"/>
    <x v="2"/>
    <n v="1"/>
    <x v="2"/>
    <x v="3"/>
    <x v="3"/>
    <m/>
    <x v="77"/>
    <x v="3"/>
    <m/>
    <x v="3"/>
    <x v="13"/>
  </r>
  <r>
    <s v="Id284"/>
    <m/>
    <x v="742"/>
    <x v="525"/>
    <m/>
    <x v="2"/>
    <x v="2"/>
    <s v="No major surgery"/>
    <x v="2"/>
    <x v="3"/>
    <x v="3"/>
    <m/>
    <x v="77"/>
    <x v="3"/>
    <m/>
    <x v="3"/>
    <x v="13"/>
  </r>
  <r>
    <s v="Id283"/>
    <m/>
    <x v="742"/>
    <x v="525"/>
    <m/>
    <x v="2"/>
    <x v="2"/>
    <s v="No major surgery"/>
    <x v="2"/>
    <x v="3"/>
    <x v="3"/>
    <m/>
    <x v="77"/>
    <x v="3"/>
    <m/>
    <x v="3"/>
    <x v="13"/>
  </r>
  <r>
    <s v="Id282"/>
    <m/>
    <x v="742"/>
    <x v="525"/>
    <m/>
    <x v="2"/>
    <x v="2"/>
    <s v="No major surgery"/>
    <x v="2"/>
    <x v="3"/>
    <x v="3"/>
    <m/>
    <x v="77"/>
    <x v="3"/>
    <m/>
    <x v="3"/>
    <x v="13"/>
  </r>
  <r>
    <s v="Id281"/>
    <m/>
    <x v="742"/>
    <x v="525"/>
    <m/>
    <x v="2"/>
    <x v="2"/>
    <s v="No major surgery"/>
    <x v="2"/>
    <x v="3"/>
    <x v="3"/>
    <m/>
    <x v="77"/>
    <x v="3"/>
    <m/>
    <x v="3"/>
    <x v="13"/>
  </r>
  <r>
    <s v="Id280"/>
    <m/>
    <x v="742"/>
    <x v="525"/>
    <m/>
    <x v="2"/>
    <x v="2"/>
    <s v="No major surgery"/>
    <x v="2"/>
    <x v="3"/>
    <x v="3"/>
    <m/>
    <x v="77"/>
    <x v="3"/>
    <m/>
    <x v="3"/>
    <x v="13"/>
  </r>
  <r>
    <s v="Id279"/>
    <m/>
    <x v="742"/>
    <x v="525"/>
    <m/>
    <x v="2"/>
    <x v="2"/>
    <n v="1"/>
    <x v="2"/>
    <x v="3"/>
    <x v="3"/>
    <m/>
    <x v="77"/>
    <x v="3"/>
    <m/>
    <x v="3"/>
    <x v="13"/>
  </r>
  <r>
    <s v="Id278"/>
    <m/>
    <x v="742"/>
    <x v="525"/>
    <m/>
    <x v="2"/>
    <x v="2"/>
    <n v="1"/>
    <x v="2"/>
    <x v="3"/>
    <x v="3"/>
    <m/>
    <x v="77"/>
    <x v="3"/>
    <m/>
    <x v="3"/>
    <x v="13"/>
  </r>
  <r>
    <s v="Id277"/>
    <m/>
    <x v="742"/>
    <x v="525"/>
    <m/>
    <x v="2"/>
    <x v="2"/>
    <n v="1"/>
    <x v="2"/>
    <x v="3"/>
    <x v="3"/>
    <m/>
    <x v="77"/>
    <x v="3"/>
    <m/>
    <x v="3"/>
    <x v="13"/>
  </r>
  <r>
    <s v="Id276"/>
    <m/>
    <x v="742"/>
    <x v="525"/>
    <m/>
    <x v="2"/>
    <x v="2"/>
    <s v="No major surgery"/>
    <x v="2"/>
    <x v="3"/>
    <x v="3"/>
    <m/>
    <x v="77"/>
    <x v="3"/>
    <m/>
    <x v="3"/>
    <x v="13"/>
  </r>
  <r>
    <s v="Id275"/>
    <m/>
    <x v="742"/>
    <x v="525"/>
    <m/>
    <x v="2"/>
    <x v="2"/>
    <s v="No major surgery"/>
    <x v="2"/>
    <x v="3"/>
    <x v="3"/>
    <m/>
    <x v="77"/>
    <x v="3"/>
    <m/>
    <x v="3"/>
    <x v="13"/>
  </r>
  <r>
    <s v="Id274"/>
    <m/>
    <x v="742"/>
    <x v="525"/>
    <m/>
    <x v="2"/>
    <x v="2"/>
    <s v="No major surgery"/>
    <x v="2"/>
    <x v="3"/>
    <x v="3"/>
    <m/>
    <x v="77"/>
    <x v="3"/>
    <m/>
    <x v="3"/>
    <x v="13"/>
  </r>
  <r>
    <s v="Id273"/>
    <m/>
    <x v="742"/>
    <x v="525"/>
    <m/>
    <x v="2"/>
    <x v="2"/>
    <s v="No major surgery"/>
    <x v="2"/>
    <x v="3"/>
    <x v="3"/>
    <m/>
    <x v="77"/>
    <x v="3"/>
    <m/>
    <x v="3"/>
    <x v="13"/>
  </r>
  <r>
    <s v="Id272"/>
    <m/>
    <x v="742"/>
    <x v="525"/>
    <m/>
    <x v="2"/>
    <x v="2"/>
    <s v="No major surgery"/>
    <x v="2"/>
    <x v="3"/>
    <x v="3"/>
    <m/>
    <x v="77"/>
    <x v="3"/>
    <m/>
    <x v="3"/>
    <x v="13"/>
  </r>
  <r>
    <s v="Id271"/>
    <m/>
    <x v="742"/>
    <x v="525"/>
    <m/>
    <x v="2"/>
    <x v="2"/>
    <s v="No major surgery"/>
    <x v="2"/>
    <x v="3"/>
    <x v="3"/>
    <m/>
    <x v="77"/>
    <x v="3"/>
    <m/>
    <x v="3"/>
    <x v="13"/>
  </r>
  <r>
    <s v="Id270"/>
    <m/>
    <x v="742"/>
    <x v="525"/>
    <m/>
    <x v="2"/>
    <x v="2"/>
    <s v="No major surgery"/>
    <x v="2"/>
    <x v="3"/>
    <x v="3"/>
    <m/>
    <x v="77"/>
    <x v="3"/>
    <m/>
    <x v="3"/>
    <x v="13"/>
  </r>
  <r>
    <s v="Id269"/>
    <m/>
    <x v="742"/>
    <x v="525"/>
    <m/>
    <x v="2"/>
    <x v="2"/>
    <n v="1"/>
    <x v="2"/>
    <x v="3"/>
    <x v="3"/>
    <m/>
    <x v="77"/>
    <x v="3"/>
    <m/>
    <x v="3"/>
    <x v="13"/>
  </r>
  <r>
    <s v="Id268"/>
    <m/>
    <x v="742"/>
    <x v="525"/>
    <m/>
    <x v="2"/>
    <x v="2"/>
    <n v="2"/>
    <x v="2"/>
    <x v="3"/>
    <x v="3"/>
    <m/>
    <x v="77"/>
    <x v="3"/>
    <m/>
    <x v="3"/>
    <x v="13"/>
  </r>
  <r>
    <s v="Id267"/>
    <m/>
    <x v="742"/>
    <x v="525"/>
    <m/>
    <x v="2"/>
    <x v="2"/>
    <n v="1"/>
    <x v="2"/>
    <x v="3"/>
    <x v="3"/>
    <m/>
    <x v="77"/>
    <x v="3"/>
    <m/>
    <x v="3"/>
    <x v="13"/>
  </r>
  <r>
    <s v="Id266"/>
    <m/>
    <x v="742"/>
    <x v="525"/>
    <m/>
    <x v="2"/>
    <x v="2"/>
    <s v="No major surgery"/>
    <x v="2"/>
    <x v="3"/>
    <x v="3"/>
    <m/>
    <x v="77"/>
    <x v="3"/>
    <m/>
    <x v="3"/>
    <x v="13"/>
  </r>
  <r>
    <s v="Id265"/>
    <m/>
    <x v="742"/>
    <x v="525"/>
    <m/>
    <x v="2"/>
    <x v="2"/>
    <n v="1"/>
    <x v="2"/>
    <x v="3"/>
    <x v="3"/>
    <m/>
    <x v="77"/>
    <x v="3"/>
    <m/>
    <x v="3"/>
    <x v="13"/>
  </r>
  <r>
    <s v="Id264"/>
    <m/>
    <x v="742"/>
    <x v="525"/>
    <m/>
    <x v="2"/>
    <x v="2"/>
    <n v="1"/>
    <x v="2"/>
    <x v="3"/>
    <x v="3"/>
    <m/>
    <x v="77"/>
    <x v="3"/>
    <m/>
    <x v="3"/>
    <x v="13"/>
  </r>
  <r>
    <s v="Id263"/>
    <m/>
    <x v="742"/>
    <x v="525"/>
    <m/>
    <x v="2"/>
    <x v="2"/>
    <n v="1"/>
    <x v="2"/>
    <x v="3"/>
    <x v="3"/>
    <m/>
    <x v="77"/>
    <x v="3"/>
    <m/>
    <x v="3"/>
    <x v="13"/>
  </r>
  <r>
    <s v="Id262"/>
    <m/>
    <x v="742"/>
    <x v="525"/>
    <m/>
    <x v="2"/>
    <x v="2"/>
    <n v="1"/>
    <x v="2"/>
    <x v="3"/>
    <x v="3"/>
    <m/>
    <x v="77"/>
    <x v="3"/>
    <m/>
    <x v="3"/>
    <x v="13"/>
  </r>
  <r>
    <s v="Id261"/>
    <m/>
    <x v="742"/>
    <x v="525"/>
    <m/>
    <x v="2"/>
    <x v="2"/>
    <n v="1"/>
    <x v="2"/>
    <x v="3"/>
    <x v="3"/>
    <m/>
    <x v="77"/>
    <x v="3"/>
    <m/>
    <x v="3"/>
    <x v="13"/>
  </r>
  <r>
    <s v="Id260"/>
    <m/>
    <x v="742"/>
    <x v="525"/>
    <m/>
    <x v="2"/>
    <x v="2"/>
    <n v="1"/>
    <x v="2"/>
    <x v="3"/>
    <x v="3"/>
    <m/>
    <x v="77"/>
    <x v="3"/>
    <m/>
    <x v="3"/>
    <x v="13"/>
  </r>
  <r>
    <s v="Id259"/>
    <m/>
    <x v="742"/>
    <x v="525"/>
    <m/>
    <x v="2"/>
    <x v="2"/>
    <n v="1"/>
    <x v="2"/>
    <x v="3"/>
    <x v="3"/>
    <m/>
    <x v="77"/>
    <x v="3"/>
    <m/>
    <x v="3"/>
    <x v="13"/>
  </r>
  <r>
    <s v="Id258"/>
    <m/>
    <x v="742"/>
    <x v="525"/>
    <m/>
    <x v="2"/>
    <x v="2"/>
    <n v="1"/>
    <x v="2"/>
    <x v="3"/>
    <x v="3"/>
    <m/>
    <x v="77"/>
    <x v="3"/>
    <m/>
    <x v="3"/>
    <x v="13"/>
  </r>
  <r>
    <s v="Id257"/>
    <m/>
    <x v="742"/>
    <x v="525"/>
    <m/>
    <x v="2"/>
    <x v="2"/>
    <s v="No major surgery"/>
    <x v="2"/>
    <x v="3"/>
    <x v="3"/>
    <m/>
    <x v="77"/>
    <x v="3"/>
    <m/>
    <x v="3"/>
    <x v="13"/>
  </r>
  <r>
    <s v="Id256"/>
    <m/>
    <x v="742"/>
    <x v="525"/>
    <m/>
    <x v="2"/>
    <x v="2"/>
    <n v="1"/>
    <x v="2"/>
    <x v="3"/>
    <x v="3"/>
    <m/>
    <x v="77"/>
    <x v="3"/>
    <m/>
    <x v="3"/>
    <x v="13"/>
  </r>
  <r>
    <s v="Id255"/>
    <m/>
    <x v="742"/>
    <x v="525"/>
    <m/>
    <x v="2"/>
    <x v="2"/>
    <s v="No major surgery"/>
    <x v="2"/>
    <x v="3"/>
    <x v="3"/>
    <m/>
    <x v="77"/>
    <x v="3"/>
    <m/>
    <x v="3"/>
    <x v="13"/>
  </r>
  <r>
    <s v="Id254"/>
    <m/>
    <x v="742"/>
    <x v="525"/>
    <m/>
    <x v="2"/>
    <x v="2"/>
    <s v="No major surgery"/>
    <x v="2"/>
    <x v="3"/>
    <x v="3"/>
    <m/>
    <x v="77"/>
    <x v="3"/>
    <m/>
    <x v="3"/>
    <x v="13"/>
  </r>
  <r>
    <s v="Id253"/>
    <m/>
    <x v="742"/>
    <x v="525"/>
    <m/>
    <x v="2"/>
    <x v="2"/>
    <s v="No major surgery"/>
    <x v="2"/>
    <x v="3"/>
    <x v="3"/>
    <m/>
    <x v="77"/>
    <x v="3"/>
    <m/>
    <x v="3"/>
    <x v="13"/>
  </r>
  <r>
    <s v="Id252"/>
    <m/>
    <x v="742"/>
    <x v="525"/>
    <m/>
    <x v="2"/>
    <x v="2"/>
    <s v="No major surgery"/>
    <x v="2"/>
    <x v="3"/>
    <x v="3"/>
    <m/>
    <x v="77"/>
    <x v="3"/>
    <m/>
    <x v="3"/>
    <x v="13"/>
  </r>
  <r>
    <s v="Id251"/>
    <m/>
    <x v="742"/>
    <x v="525"/>
    <m/>
    <x v="2"/>
    <x v="2"/>
    <s v="No major surgery"/>
    <x v="2"/>
    <x v="3"/>
    <x v="3"/>
    <m/>
    <x v="77"/>
    <x v="3"/>
    <m/>
    <x v="3"/>
    <x v="13"/>
  </r>
  <r>
    <s v="Id250"/>
    <m/>
    <x v="742"/>
    <x v="525"/>
    <m/>
    <x v="2"/>
    <x v="2"/>
    <s v="No major surgery"/>
    <x v="2"/>
    <x v="3"/>
    <x v="3"/>
    <m/>
    <x v="77"/>
    <x v="3"/>
    <m/>
    <x v="3"/>
    <x v="13"/>
  </r>
  <r>
    <s v="Id249"/>
    <m/>
    <x v="742"/>
    <x v="525"/>
    <m/>
    <x v="2"/>
    <x v="2"/>
    <n v="1"/>
    <x v="2"/>
    <x v="3"/>
    <x v="3"/>
    <m/>
    <x v="77"/>
    <x v="3"/>
    <m/>
    <x v="3"/>
    <x v="13"/>
  </r>
  <r>
    <s v="Id248"/>
    <m/>
    <x v="742"/>
    <x v="525"/>
    <m/>
    <x v="2"/>
    <x v="2"/>
    <s v="No major surgery"/>
    <x v="2"/>
    <x v="3"/>
    <x v="3"/>
    <m/>
    <x v="77"/>
    <x v="3"/>
    <m/>
    <x v="3"/>
    <x v="13"/>
  </r>
  <r>
    <s v="Id247"/>
    <m/>
    <x v="742"/>
    <x v="525"/>
    <m/>
    <x v="2"/>
    <x v="2"/>
    <n v="1"/>
    <x v="2"/>
    <x v="3"/>
    <x v="3"/>
    <m/>
    <x v="77"/>
    <x v="3"/>
    <m/>
    <x v="3"/>
    <x v="13"/>
  </r>
  <r>
    <s v="Id246"/>
    <m/>
    <x v="742"/>
    <x v="525"/>
    <m/>
    <x v="2"/>
    <x v="2"/>
    <n v="1"/>
    <x v="2"/>
    <x v="3"/>
    <x v="3"/>
    <m/>
    <x v="77"/>
    <x v="3"/>
    <m/>
    <x v="3"/>
    <x v="13"/>
  </r>
  <r>
    <s v="Id245"/>
    <m/>
    <x v="742"/>
    <x v="525"/>
    <m/>
    <x v="2"/>
    <x v="2"/>
    <s v="No major surgery"/>
    <x v="2"/>
    <x v="3"/>
    <x v="3"/>
    <m/>
    <x v="77"/>
    <x v="3"/>
    <m/>
    <x v="3"/>
    <x v="13"/>
  </r>
  <r>
    <s v="Id244"/>
    <m/>
    <x v="742"/>
    <x v="525"/>
    <m/>
    <x v="2"/>
    <x v="2"/>
    <n v="1"/>
    <x v="2"/>
    <x v="3"/>
    <x v="3"/>
    <m/>
    <x v="77"/>
    <x v="3"/>
    <m/>
    <x v="3"/>
    <x v="13"/>
  </r>
  <r>
    <s v="Id243"/>
    <m/>
    <x v="742"/>
    <x v="525"/>
    <m/>
    <x v="2"/>
    <x v="2"/>
    <s v="No major surgery"/>
    <x v="2"/>
    <x v="3"/>
    <x v="3"/>
    <m/>
    <x v="77"/>
    <x v="3"/>
    <m/>
    <x v="3"/>
    <x v="13"/>
  </r>
  <r>
    <s v="Id242"/>
    <m/>
    <x v="742"/>
    <x v="525"/>
    <m/>
    <x v="2"/>
    <x v="2"/>
    <s v="No major surgery"/>
    <x v="2"/>
    <x v="3"/>
    <x v="3"/>
    <m/>
    <x v="77"/>
    <x v="3"/>
    <m/>
    <x v="3"/>
    <x v="13"/>
  </r>
  <r>
    <s v="id3444"/>
    <m/>
    <x v="742"/>
    <x v="525"/>
    <m/>
    <x v="2"/>
    <x v="2"/>
    <s v="No major surgery"/>
    <x v="2"/>
    <x v="3"/>
    <x v="3"/>
    <m/>
    <x v="77"/>
    <x v="3"/>
    <m/>
    <x v="3"/>
    <x v="13"/>
  </r>
  <r>
    <s v="Id241"/>
    <m/>
    <x v="742"/>
    <x v="525"/>
    <m/>
    <x v="2"/>
    <x v="2"/>
    <s v="No major surgery"/>
    <x v="2"/>
    <x v="3"/>
    <x v="3"/>
    <m/>
    <x v="77"/>
    <x v="3"/>
    <m/>
    <x v="3"/>
    <x v="13"/>
  </r>
  <r>
    <s v="Id240"/>
    <m/>
    <x v="742"/>
    <x v="525"/>
    <m/>
    <x v="2"/>
    <x v="2"/>
    <s v="No major surgery"/>
    <x v="2"/>
    <x v="3"/>
    <x v="3"/>
    <m/>
    <x v="77"/>
    <x v="3"/>
    <m/>
    <x v="3"/>
    <x v="13"/>
  </r>
  <r>
    <s v="Id239"/>
    <m/>
    <x v="742"/>
    <x v="525"/>
    <m/>
    <x v="2"/>
    <x v="2"/>
    <n v="2"/>
    <x v="2"/>
    <x v="3"/>
    <x v="3"/>
    <m/>
    <x v="77"/>
    <x v="3"/>
    <m/>
    <x v="3"/>
    <x v="13"/>
  </r>
  <r>
    <s v="Id238"/>
    <m/>
    <x v="742"/>
    <x v="525"/>
    <m/>
    <x v="2"/>
    <x v="2"/>
    <n v="2"/>
    <x v="2"/>
    <x v="3"/>
    <x v="3"/>
    <m/>
    <x v="77"/>
    <x v="3"/>
    <m/>
    <x v="3"/>
    <x v="13"/>
  </r>
  <r>
    <s v="Id237"/>
    <m/>
    <x v="742"/>
    <x v="525"/>
    <m/>
    <x v="2"/>
    <x v="2"/>
    <n v="1"/>
    <x v="2"/>
    <x v="3"/>
    <x v="3"/>
    <m/>
    <x v="77"/>
    <x v="3"/>
    <m/>
    <x v="3"/>
    <x v="13"/>
  </r>
  <r>
    <s v="Id236"/>
    <m/>
    <x v="742"/>
    <x v="525"/>
    <m/>
    <x v="2"/>
    <x v="2"/>
    <n v="1"/>
    <x v="2"/>
    <x v="3"/>
    <x v="3"/>
    <m/>
    <x v="77"/>
    <x v="3"/>
    <m/>
    <x v="3"/>
    <x v="13"/>
  </r>
  <r>
    <s v="Id235"/>
    <m/>
    <x v="742"/>
    <x v="525"/>
    <m/>
    <x v="2"/>
    <x v="2"/>
    <n v="1"/>
    <x v="2"/>
    <x v="3"/>
    <x v="3"/>
    <m/>
    <x v="77"/>
    <x v="3"/>
    <m/>
    <x v="3"/>
    <x v="13"/>
  </r>
  <r>
    <s v="Id234"/>
    <m/>
    <x v="742"/>
    <x v="525"/>
    <m/>
    <x v="2"/>
    <x v="2"/>
    <n v="1"/>
    <x v="2"/>
    <x v="3"/>
    <x v="3"/>
    <m/>
    <x v="77"/>
    <x v="3"/>
    <m/>
    <x v="3"/>
    <x v="13"/>
  </r>
  <r>
    <s v="Id233"/>
    <m/>
    <x v="742"/>
    <x v="525"/>
    <m/>
    <x v="2"/>
    <x v="2"/>
    <s v="No major surgery"/>
    <x v="2"/>
    <x v="3"/>
    <x v="3"/>
    <m/>
    <x v="77"/>
    <x v="3"/>
    <m/>
    <x v="3"/>
    <x v="13"/>
  </r>
  <r>
    <s v="Id232"/>
    <m/>
    <x v="742"/>
    <x v="525"/>
    <m/>
    <x v="2"/>
    <x v="2"/>
    <n v="1"/>
    <x v="2"/>
    <x v="3"/>
    <x v="3"/>
    <m/>
    <x v="77"/>
    <x v="3"/>
    <m/>
    <x v="3"/>
    <x v="13"/>
  </r>
  <r>
    <s v="Id231"/>
    <m/>
    <x v="742"/>
    <x v="525"/>
    <m/>
    <x v="2"/>
    <x v="2"/>
    <n v="1"/>
    <x v="2"/>
    <x v="3"/>
    <x v="3"/>
    <m/>
    <x v="77"/>
    <x v="3"/>
    <m/>
    <x v="3"/>
    <x v="13"/>
  </r>
  <r>
    <s v="Id230"/>
    <m/>
    <x v="742"/>
    <x v="525"/>
    <m/>
    <x v="2"/>
    <x v="2"/>
    <n v="1"/>
    <x v="2"/>
    <x v="3"/>
    <x v="3"/>
    <m/>
    <x v="77"/>
    <x v="3"/>
    <m/>
    <x v="3"/>
    <x v="13"/>
  </r>
  <r>
    <s v="Id229"/>
    <m/>
    <x v="742"/>
    <x v="525"/>
    <m/>
    <x v="2"/>
    <x v="2"/>
    <n v="1"/>
    <x v="2"/>
    <x v="3"/>
    <x v="3"/>
    <m/>
    <x v="77"/>
    <x v="3"/>
    <m/>
    <x v="3"/>
    <x v="13"/>
  </r>
  <r>
    <s v="Id228"/>
    <m/>
    <x v="742"/>
    <x v="525"/>
    <m/>
    <x v="2"/>
    <x v="2"/>
    <n v="1"/>
    <x v="2"/>
    <x v="3"/>
    <x v="3"/>
    <m/>
    <x v="77"/>
    <x v="3"/>
    <m/>
    <x v="3"/>
    <x v="13"/>
  </r>
  <r>
    <s v="Id227"/>
    <m/>
    <x v="742"/>
    <x v="525"/>
    <m/>
    <x v="2"/>
    <x v="2"/>
    <n v="1"/>
    <x v="2"/>
    <x v="3"/>
    <x v="3"/>
    <m/>
    <x v="77"/>
    <x v="3"/>
    <m/>
    <x v="3"/>
    <x v="13"/>
  </r>
  <r>
    <s v="Id226"/>
    <m/>
    <x v="742"/>
    <x v="525"/>
    <m/>
    <x v="2"/>
    <x v="2"/>
    <n v="1"/>
    <x v="2"/>
    <x v="3"/>
    <x v="3"/>
    <m/>
    <x v="77"/>
    <x v="3"/>
    <m/>
    <x v="3"/>
    <x v="13"/>
  </r>
  <r>
    <s v="Id225"/>
    <m/>
    <x v="742"/>
    <x v="525"/>
    <m/>
    <x v="2"/>
    <x v="2"/>
    <n v="1"/>
    <x v="2"/>
    <x v="3"/>
    <x v="3"/>
    <m/>
    <x v="77"/>
    <x v="3"/>
    <m/>
    <x v="3"/>
    <x v="13"/>
  </r>
  <r>
    <s v="Id224"/>
    <m/>
    <x v="742"/>
    <x v="525"/>
    <m/>
    <x v="2"/>
    <x v="2"/>
    <n v="1"/>
    <x v="2"/>
    <x v="3"/>
    <x v="3"/>
    <m/>
    <x v="77"/>
    <x v="3"/>
    <m/>
    <x v="3"/>
    <x v="13"/>
  </r>
  <r>
    <s v="Id223"/>
    <m/>
    <x v="742"/>
    <x v="525"/>
    <m/>
    <x v="2"/>
    <x v="2"/>
    <s v="No major surgery"/>
    <x v="2"/>
    <x v="3"/>
    <x v="3"/>
    <m/>
    <x v="77"/>
    <x v="3"/>
    <m/>
    <x v="3"/>
    <x v="13"/>
  </r>
  <r>
    <s v="Id222"/>
    <m/>
    <x v="742"/>
    <x v="525"/>
    <m/>
    <x v="2"/>
    <x v="2"/>
    <s v="No major surgery"/>
    <x v="2"/>
    <x v="3"/>
    <x v="3"/>
    <m/>
    <x v="77"/>
    <x v="3"/>
    <m/>
    <x v="3"/>
    <x v="13"/>
  </r>
  <r>
    <s v="Id221"/>
    <m/>
    <x v="742"/>
    <x v="525"/>
    <m/>
    <x v="2"/>
    <x v="2"/>
    <n v="1"/>
    <x v="2"/>
    <x v="3"/>
    <x v="3"/>
    <m/>
    <x v="77"/>
    <x v="3"/>
    <m/>
    <x v="3"/>
    <x v="13"/>
  </r>
  <r>
    <s v="Id220"/>
    <m/>
    <x v="742"/>
    <x v="525"/>
    <m/>
    <x v="2"/>
    <x v="2"/>
    <n v="1"/>
    <x v="2"/>
    <x v="3"/>
    <x v="3"/>
    <m/>
    <x v="77"/>
    <x v="3"/>
    <m/>
    <x v="3"/>
    <x v="13"/>
  </r>
  <r>
    <s v="Id219"/>
    <m/>
    <x v="742"/>
    <x v="525"/>
    <m/>
    <x v="2"/>
    <x v="2"/>
    <n v="1"/>
    <x v="2"/>
    <x v="3"/>
    <x v="3"/>
    <m/>
    <x v="77"/>
    <x v="3"/>
    <m/>
    <x v="3"/>
    <x v="13"/>
  </r>
  <r>
    <s v="Id218"/>
    <m/>
    <x v="742"/>
    <x v="525"/>
    <m/>
    <x v="2"/>
    <x v="2"/>
    <n v="1"/>
    <x v="2"/>
    <x v="3"/>
    <x v="3"/>
    <m/>
    <x v="77"/>
    <x v="3"/>
    <m/>
    <x v="3"/>
    <x v="13"/>
  </r>
  <r>
    <s v="Id217"/>
    <m/>
    <x v="742"/>
    <x v="525"/>
    <m/>
    <x v="2"/>
    <x v="2"/>
    <n v="1"/>
    <x v="2"/>
    <x v="3"/>
    <x v="3"/>
    <m/>
    <x v="77"/>
    <x v="3"/>
    <m/>
    <x v="3"/>
    <x v="13"/>
  </r>
  <r>
    <s v="Id216"/>
    <m/>
    <x v="742"/>
    <x v="525"/>
    <m/>
    <x v="2"/>
    <x v="2"/>
    <n v="1"/>
    <x v="2"/>
    <x v="3"/>
    <x v="3"/>
    <m/>
    <x v="77"/>
    <x v="3"/>
    <m/>
    <x v="3"/>
    <x v="13"/>
  </r>
  <r>
    <s v="Id215"/>
    <m/>
    <x v="742"/>
    <x v="525"/>
    <m/>
    <x v="2"/>
    <x v="2"/>
    <n v="1"/>
    <x v="2"/>
    <x v="3"/>
    <x v="3"/>
    <m/>
    <x v="77"/>
    <x v="3"/>
    <m/>
    <x v="3"/>
    <x v="13"/>
  </r>
  <r>
    <s v="Id214"/>
    <m/>
    <x v="742"/>
    <x v="525"/>
    <m/>
    <x v="2"/>
    <x v="2"/>
    <n v="1"/>
    <x v="2"/>
    <x v="3"/>
    <x v="3"/>
    <m/>
    <x v="77"/>
    <x v="3"/>
    <m/>
    <x v="3"/>
    <x v="13"/>
  </r>
  <r>
    <s v="Id213"/>
    <m/>
    <x v="742"/>
    <x v="525"/>
    <m/>
    <x v="2"/>
    <x v="2"/>
    <n v="1"/>
    <x v="2"/>
    <x v="3"/>
    <x v="3"/>
    <m/>
    <x v="77"/>
    <x v="3"/>
    <m/>
    <x v="3"/>
    <x v="13"/>
  </r>
  <r>
    <s v="Id212"/>
    <m/>
    <x v="742"/>
    <x v="525"/>
    <m/>
    <x v="2"/>
    <x v="2"/>
    <n v="1"/>
    <x v="2"/>
    <x v="3"/>
    <x v="3"/>
    <m/>
    <x v="77"/>
    <x v="3"/>
    <m/>
    <x v="3"/>
    <x v="13"/>
  </r>
  <r>
    <s v="?"/>
    <m/>
    <x v="742"/>
    <x v="525"/>
    <m/>
    <x v="2"/>
    <x v="2"/>
    <n v="1"/>
    <x v="2"/>
    <x v="3"/>
    <x v="3"/>
    <m/>
    <x v="77"/>
    <x v="3"/>
    <m/>
    <x v="3"/>
    <x v="13"/>
  </r>
  <r>
    <s v="Id211"/>
    <m/>
    <x v="742"/>
    <x v="525"/>
    <m/>
    <x v="2"/>
    <x v="2"/>
    <n v="1"/>
    <x v="2"/>
    <x v="3"/>
    <x v="3"/>
    <m/>
    <x v="77"/>
    <x v="3"/>
    <m/>
    <x v="3"/>
    <x v="13"/>
  </r>
  <r>
    <s v="Id210"/>
    <m/>
    <x v="742"/>
    <x v="525"/>
    <m/>
    <x v="2"/>
    <x v="2"/>
    <n v="1"/>
    <x v="2"/>
    <x v="3"/>
    <x v="3"/>
    <m/>
    <x v="77"/>
    <x v="3"/>
    <m/>
    <x v="3"/>
    <x v="13"/>
  </r>
  <r>
    <s v="Id209"/>
    <m/>
    <x v="742"/>
    <x v="525"/>
    <m/>
    <x v="2"/>
    <x v="2"/>
    <n v="1"/>
    <x v="2"/>
    <x v="3"/>
    <x v="3"/>
    <m/>
    <x v="77"/>
    <x v="3"/>
    <m/>
    <x v="3"/>
    <x v="13"/>
  </r>
  <r>
    <s v="Id208"/>
    <m/>
    <x v="742"/>
    <x v="525"/>
    <m/>
    <x v="2"/>
    <x v="2"/>
    <s v="No major surgery"/>
    <x v="2"/>
    <x v="3"/>
    <x v="3"/>
    <m/>
    <x v="77"/>
    <x v="3"/>
    <m/>
    <x v="3"/>
    <x v="13"/>
  </r>
  <r>
    <s v="Id207"/>
    <m/>
    <x v="742"/>
    <x v="525"/>
    <m/>
    <x v="2"/>
    <x v="2"/>
    <s v="No major surgery"/>
    <x v="2"/>
    <x v="3"/>
    <x v="3"/>
    <m/>
    <x v="77"/>
    <x v="3"/>
    <m/>
    <x v="3"/>
    <x v="13"/>
  </r>
  <r>
    <s v="Id206"/>
    <m/>
    <x v="742"/>
    <x v="525"/>
    <m/>
    <x v="2"/>
    <x v="2"/>
    <s v="No major surgery"/>
    <x v="2"/>
    <x v="3"/>
    <x v="3"/>
    <m/>
    <x v="77"/>
    <x v="3"/>
    <m/>
    <x v="3"/>
    <x v="13"/>
  </r>
  <r>
    <s v="Id205"/>
    <m/>
    <x v="742"/>
    <x v="525"/>
    <m/>
    <x v="2"/>
    <x v="2"/>
    <s v="No major surgery"/>
    <x v="2"/>
    <x v="3"/>
    <x v="3"/>
    <m/>
    <x v="77"/>
    <x v="3"/>
    <m/>
    <x v="3"/>
    <x v="13"/>
  </r>
  <r>
    <s v="Id204"/>
    <m/>
    <x v="742"/>
    <x v="525"/>
    <m/>
    <x v="2"/>
    <x v="2"/>
    <n v="1"/>
    <x v="2"/>
    <x v="3"/>
    <x v="3"/>
    <m/>
    <x v="77"/>
    <x v="3"/>
    <m/>
    <x v="3"/>
    <x v="13"/>
  </r>
  <r>
    <s v="Id203"/>
    <m/>
    <x v="742"/>
    <x v="525"/>
    <m/>
    <x v="2"/>
    <x v="2"/>
    <n v="2"/>
    <x v="2"/>
    <x v="3"/>
    <x v="3"/>
    <m/>
    <x v="77"/>
    <x v="3"/>
    <m/>
    <x v="3"/>
    <x v="13"/>
  </r>
  <r>
    <s v="Id202"/>
    <m/>
    <x v="742"/>
    <x v="525"/>
    <m/>
    <x v="2"/>
    <x v="2"/>
    <n v="2"/>
    <x v="2"/>
    <x v="3"/>
    <x v="3"/>
    <m/>
    <x v="77"/>
    <x v="3"/>
    <m/>
    <x v="3"/>
    <x v="13"/>
  </r>
  <r>
    <s v="Id201"/>
    <m/>
    <x v="742"/>
    <x v="525"/>
    <m/>
    <x v="2"/>
    <x v="2"/>
    <s v="No major surgery"/>
    <x v="2"/>
    <x v="3"/>
    <x v="3"/>
    <m/>
    <x v="77"/>
    <x v="3"/>
    <m/>
    <x v="3"/>
    <x v="13"/>
  </r>
  <r>
    <s v="Id200"/>
    <m/>
    <x v="742"/>
    <x v="525"/>
    <m/>
    <x v="2"/>
    <x v="2"/>
    <s v="No major surgery"/>
    <x v="2"/>
    <x v="3"/>
    <x v="3"/>
    <m/>
    <x v="77"/>
    <x v="3"/>
    <m/>
    <x v="3"/>
    <x v="13"/>
  </r>
  <r>
    <s v="Id199"/>
    <m/>
    <x v="742"/>
    <x v="525"/>
    <m/>
    <x v="2"/>
    <x v="2"/>
    <s v="No major surgery"/>
    <x v="2"/>
    <x v="3"/>
    <x v="3"/>
    <m/>
    <x v="77"/>
    <x v="3"/>
    <m/>
    <x v="3"/>
    <x v="13"/>
  </r>
  <r>
    <s v="Id198"/>
    <m/>
    <x v="742"/>
    <x v="525"/>
    <m/>
    <x v="2"/>
    <x v="2"/>
    <s v="No major surgery"/>
    <x v="2"/>
    <x v="3"/>
    <x v="3"/>
    <m/>
    <x v="77"/>
    <x v="3"/>
    <m/>
    <x v="3"/>
    <x v="13"/>
  </r>
  <r>
    <s v="Id197"/>
    <m/>
    <x v="742"/>
    <x v="525"/>
    <m/>
    <x v="2"/>
    <x v="2"/>
    <n v="1"/>
    <x v="2"/>
    <x v="3"/>
    <x v="3"/>
    <m/>
    <x v="77"/>
    <x v="3"/>
    <m/>
    <x v="3"/>
    <x v="13"/>
  </r>
  <r>
    <s v="Id196"/>
    <m/>
    <x v="742"/>
    <x v="525"/>
    <m/>
    <x v="2"/>
    <x v="2"/>
    <s v="No major surgery"/>
    <x v="2"/>
    <x v="3"/>
    <x v="3"/>
    <m/>
    <x v="77"/>
    <x v="3"/>
    <m/>
    <x v="3"/>
    <x v="13"/>
  </r>
  <r>
    <s v="Id195"/>
    <m/>
    <x v="742"/>
    <x v="525"/>
    <m/>
    <x v="2"/>
    <x v="2"/>
    <n v="1"/>
    <x v="2"/>
    <x v="3"/>
    <x v="3"/>
    <m/>
    <x v="77"/>
    <x v="3"/>
    <m/>
    <x v="3"/>
    <x v="13"/>
  </r>
  <r>
    <s v="Id194"/>
    <m/>
    <x v="742"/>
    <x v="525"/>
    <m/>
    <x v="2"/>
    <x v="2"/>
    <s v="No major surgery"/>
    <x v="2"/>
    <x v="3"/>
    <x v="3"/>
    <m/>
    <x v="77"/>
    <x v="3"/>
    <m/>
    <x v="3"/>
    <x v="13"/>
  </r>
  <r>
    <s v="Id193"/>
    <m/>
    <x v="742"/>
    <x v="525"/>
    <m/>
    <x v="2"/>
    <x v="2"/>
    <n v="1"/>
    <x v="2"/>
    <x v="3"/>
    <x v="3"/>
    <m/>
    <x v="77"/>
    <x v="3"/>
    <m/>
    <x v="3"/>
    <x v="13"/>
  </r>
  <r>
    <s v="Id192"/>
    <m/>
    <x v="742"/>
    <x v="525"/>
    <m/>
    <x v="2"/>
    <x v="2"/>
    <n v="1"/>
    <x v="2"/>
    <x v="3"/>
    <x v="3"/>
    <m/>
    <x v="77"/>
    <x v="3"/>
    <m/>
    <x v="3"/>
    <x v="13"/>
  </r>
  <r>
    <s v="Id191"/>
    <m/>
    <x v="742"/>
    <x v="525"/>
    <m/>
    <x v="2"/>
    <x v="2"/>
    <n v="1"/>
    <x v="2"/>
    <x v="3"/>
    <x v="3"/>
    <m/>
    <x v="77"/>
    <x v="3"/>
    <m/>
    <x v="3"/>
    <x v="13"/>
  </r>
  <r>
    <s v="Id190"/>
    <m/>
    <x v="742"/>
    <x v="525"/>
    <m/>
    <x v="2"/>
    <x v="2"/>
    <s v="No major surgery"/>
    <x v="2"/>
    <x v="3"/>
    <x v="3"/>
    <m/>
    <x v="77"/>
    <x v="3"/>
    <m/>
    <x v="3"/>
    <x v="13"/>
  </r>
  <r>
    <s v="Id189"/>
    <m/>
    <x v="742"/>
    <x v="525"/>
    <m/>
    <x v="2"/>
    <x v="2"/>
    <s v="No major surgery"/>
    <x v="2"/>
    <x v="3"/>
    <x v="3"/>
    <m/>
    <x v="77"/>
    <x v="3"/>
    <m/>
    <x v="3"/>
    <x v="13"/>
  </r>
  <r>
    <s v="Id188"/>
    <m/>
    <x v="742"/>
    <x v="525"/>
    <m/>
    <x v="2"/>
    <x v="2"/>
    <s v="No major surgery"/>
    <x v="2"/>
    <x v="3"/>
    <x v="3"/>
    <m/>
    <x v="77"/>
    <x v="3"/>
    <m/>
    <x v="3"/>
    <x v="13"/>
  </r>
  <r>
    <s v="Id187"/>
    <m/>
    <x v="742"/>
    <x v="525"/>
    <m/>
    <x v="2"/>
    <x v="2"/>
    <s v="No major surgery"/>
    <x v="2"/>
    <x v="3"/>
    <x v="3"/>
    <m/>
    <x v="77"/>
    <x v="3"/>
    <m/>
    <x v="3"/>
    <x v="13"/>
  </r>
  <r>
    <s v="Id186"/>
    <m/>
    <x v="742"/>
    <x v="525"/>
    <m/>
    <x v="2"/>
    <x v="2"/>
    <s v="No major surgery"/>
    <x v="2"/>
    <x v="3"/>
    <x v="3"/>
    <m/>
    <x v="77"/>
    <x v="3"/>
    <m/>
    <x v="3"/>
    <x v="13"/>
  </r>
  <r>
    <s v="Id185"/>
    <m/>
    <x v="742"/>
    <x v="525"/>
    <m/>
    <x v="2"/>
    <x v="2"/>
    <s v="No major surgery"/>
    <x v="2"/>
    <x v="3"/>
    <x v="3"/>
    <m/>
    <x v="77"/>
    <x v="3"/>
    <m/>
    <x v="3"/>
    <x v="13"/>
  </r>
  <r>
    <s v="Id184"/>
    <m/>
    <x v="742"/>
    <x v="525"/>
    <m/>
    <x v="2"/>
    <x v="2"/>
    <s v="No major surgery"/>
    <x v="2"/>
    <x v="3"/>
    <x v="3"/>
    <m/>
    <x v="77"/>
    <x v="3"/>
    <m/>
    <x v="3"/>
    <x v="13"/>
  </r>
  <r>
    <s v="?"/>
    <m/>
    <x v="742"/>
    <x v="525"/>
    <m/>
    <x v="2"/>
    <x v="2"/>
    <s v="No major surgery"/>
    <x v="2"/>
    <x v="3"/>
    <x v="3"/>
    <m/>
    <x v="77"/>
    <x v="3"/>
    <m/>
    <x v="3"/>
    <x v="13"/>
  </r>
  <r>
    <s v="Id183"/>
    <m/>
    <x v="742"/>
    <x v="525"/>
    <m/>
    <x v="2"/>
    <x v="2"/>
    <s v="No major surgery"/>
    <x v="2"/>
    <x v="3"/>
    <x v="3"/>
    <m/>
    <x v="77"/>
    <x v="3"/>
    <m/>
    <x v="3"/>
    <x v="13"/>
  </r>
  <r>
    <s v="Id182"/>
    <m/>
    <x v="742"/>
    <x v="525"/>
    <m/>
    <x v="2"/>
    <x v="2"/>
    <s v="No major surgery"/>
    <x v="2"/>
    <x v="3"/>
    <x v="3"/>
    <m/>
    <x v="77"/>
    <x v="3"/>
    <m/>
    <x v="3"/>
    <x v="13"/>
  </r>
  <r>
    <s v="Id181"/>
    <m/>
    <x v="742"/>
    <x v="525"/>
    <m/>
    <x v="2"/>
    <x v="2"/>
    <s v="No major surgery"/>
    <x v="2"/>
    <x v="3"/>
    <x v="3"/>
    <m/>
    <x v="77"/>
    <x v="3"/>
    <m/>
    <x v="3"/>
    <x v="13"/>
  </r>
  <r>
    <s v="Id180"/>
    <m/>
    <x v="742"/>
    <x v="525"/>
    <m/>
    <x v="2"/>
    <x v="2"/>
    <n v="1"/>
    <x v="2"/>
    <x v="3"/>
    <x v="3"/>
    <m/>
    <x v="77"/>
    <x v="3"/>
    <m/>
    <x v="3"/>
    <x v="13"/>
  </r>
  <r>
    <s v="Id179"/>
    <m/>
    <x v="742"/>
    <x v="525"/>
    <m/>
    <x v="2"/>
    <x v="2"/>
    <s v="No major surgery"/>
    <x v="2"/>
    <x v="3"/>
    <x v="3"/>
    <m/>
    <x v="77"/>
    <x v="3"/>
    <m/>
    <x v="3"/>
    <x v="13"/>
  </r>
  <r>
    <s v="Id178"/>
    <m/>
    <x v="742"/>
    <x v="525"/>
    <m/>
    <x v="2"/>
    <x v="2"/>
    <n v="1"/>
    <x v="2"/>
    <x v="3"/>
    <x v="3"/>
    <m/>
    <x v="77"/>
    <x v="3"/>
    <m/>
    <x v="3"/>
    <x v="13"/>
  </r>
  <r>
    <s v="Id177"/>
    <m/>
    <x v="742"/>
    <x v="525"/>
    <m/>
    <x v="2"/>
    <x v="2"/>
    <s v="No major surgery"/>
    <x v="2"/>
    <x v="3"/>
    <x v="3"/>
    <m/>
    <x v="77"/>
    <x v="3"/>
    <m/>
    <x v="3"/>
    <x v="13"/>
  </r>
  <r>
    <s v="Id176"/>
    <m/>
    <x v="742"/>
    <x v="525"/>
    <m/>
    <x v="2"/>
    <x v="2"/>
    <n v="1"/>
    <x v="2"/>
    <x v="3"/>
    <x v="3"/>
    <m/>
    <x v="77"/>
    <x v="3"/>
    <m/>
    <x v="3"/>
    <x v="13"/>
  </r>
  <r>
    <s v="Id175"/>
    <m/>
    <x v="742"/>
    <x v="525"/>
    <m/>
    <x v="2"/>
    <x v="2"/>
    <n v="1"/>
    <x v="2"/>
    <x v="3"/>
    <x v="3"/>
    <m/>
    <x v="77"/>
    <x v="3"/>
    <m/>
    <x v="3"/>
    <x v="13"/>
  </r>
  <r>
    <s v="Id174"/>
    <m/>
    <x v="742"/>
    <x v="525"/>
    <m/>
    <x v="2"/>
    <x v="2"/>
    <s v="No major surgery"/>
    <x v="2"/>
    <x v="3"/>
    <x v="3"/>
    <m/>
    <x v="77"/>
    <x v="3"/>
    <m/>
    <x v="3"/>
    <x v="13"/>
  </r>
  <r>
    <s v="Id173"/>
    <m/>
    <x v="742"/>
    <x v="525"/>
    <m/>
    <x v="2"/>
    <x v="2"/>
    <s v="No major surgery"/>
    <x v="2"/>
    <x v="3"/>
    <x v="3"/>
    <m/>
    <x v="77"/>
    <x v="3"/>
    <m/>
    <x v="3"/>
    <x v="13"/>
  </r>
  <r>
    <s v="Id172"/>
    <m/>
    <x v="742"/>
    <x v="525"/>
    <m/>
    <x v="2"/>
    <x v="2"/>
    <n v="1"/>
    <x v="2"/>
    <x v="3"/>
    <x v="3"/>
    <m/>
    <x v="77"/>
    <x v="3"/>
    <m/>
    <x v="3"/>
    <x v="13"/>
  </r>
  <r>
    <s v="Id171"/>
    <m/>
    <x v="742"/>
    <x v="525"/>
    <m/>
    <x v="2"/>
    <x v="2"/>
    <s v="No major surgery"/>
    <x v="2"/>
    <x v="3"/>
    <x v="3"/>
    <m/>
    <x v="77"/>
    <x v="3"/>
    <m/>
    <x v="3"/>
    <x v="13"/>
  </r>
  <r>
    <s v="Id170"/>
    <m/>
    <x v="742"/>
    <x v="525"/>
    <m/>
    <x v="2"/>
    <x v="2"/>
    <s v="No major surgery"/>
    <x v="2"/>
    <x v="3"/>
    <x v="3"/>
    <m/>
    <x v="77"/>
    <x v="3"/>
    <m/>
    <x v="3"/>
    <x v="13"/>
  </r>
  <r>
    <s v="Id169"/>
    <m/>
    <x v="742"/>
    <x v="525"/>
    <m/>
    <x v="2"/>
    <x v="2"/>
    <n v="1"/>
    <x v="2"/>
    <x v="3"/>
    <x v="3"/>
    <m/>
    <x v="77"/>
    <x v="3"/>
    <m/>
    <x v="3"/>
    <x v="13"/>
  </r>
  <r>
    <s v="Id168"/>
    <m/>
    <x v="742"/>
    <x v="525"/>
    <m/>
    <x v="2"/>
    <x v="2"/>
    <n v="1"/>
    <x v="2"/>
    <x v="3"/>
    <x v="3"/>
    <m/>
    <x v="77"/>
    <x v="3"/>
    <m/>
    <x v="3"/>
    <x v="13"/>
  </r>
  <r>
    <s v="Id167"/>
    <m/>
    <x v="742"/>
    <x v="525"/>
    <m/>
    <x v="2"/>
    <x v="2"/>
    <n v="1"/>
    <x v="2"/>
    <x v="3"/>
    <x v="3"/>
    <m/>
    <x v="77"/>
    <x v="3"/>
    <m/>
    <x v="3"/>
    <x v="13"/>
  </r>
  <r>
    <s v="Id166"/>
    <m/>
    <x v="742"/>
    <x v="525"/>
    <m/>
    <x v="2"/>
    <x v="2"/>
    <n v="1"/>
    <x v="2"/>
    <x v="3"/>
    <x v="3"/>
    <m/>
    <x v="77"/>
    <x v="3"/>
    <m/>
    <x v="3"/>
    <x v="13"/>
  </r>
  <r>
    <s v="Id165"/>
    <m/>
    <x v="742"/>
    <x v="525"/>
    <m/>
    <x v="2"/>
    <x v="2"/>
    <n v="1"/>
    <x v="2"/>
    <x v="3"/>
    <x v="3"/>
    <m/>
    <x v="77"/>
    <x v="3"/>
    <m/>
    <x v="3"/>
    <x v="13"/>
  </r>
  <r>
    <s v="Id164"/>
    <m/>
    <x v="742"/>
    <x v="525"/>
    <m/>
    <x v="2"/>
    <x v="2"/>
    <n v="1"/>
    <x v="2"/>
    <x v="3"/>
    <x v="3"/>
    <m/>
    <x v="77"/>
    <x v="3"/>
    <m/>
    <x v="3"/>
    <x v="13"/>
  </r>
  <r>
    <s v="Id163"/>
    <m/>
    <x v="742"/>
    <x v="525"/>
    <m/>
    <x v="2"/>
    <x v="2"/>
    <n v="1"/>
    <x v="2"/>
    <x v="3"/>
    <x v="3"/>
    <m/>
    <x v="77"/>
    <x v="3"/>
    <m/>
    <x v="3"/>
    <x v="13"/>
  </r>
  <r>
    <s v="Id162"/>
    <m/>
    <x v="742"/>
    <x v="525"/>
    <m/>
    <x v="2"/>
    <x v="2"/>
    <n v="1"/>
    <x v="2"/>
    <x v="3"/>
    <x v="3"/>
    <m/>
    <x v="77"/>
    <x v="3"/>
    <m/>
    <x v="3"/>
    <x v="13"/>
  </r>
  <r>
    <s v="Id161"/>
    <m/>
    <x v="742"/>
    <x v="525"/>
    <m/>
    <x v="2"/>
    <x v="2"/>
    <n v="1"/>
    <x v="2"/>
    <x v="3"/>
    <x v="3"/>
    <m/>
    <x v="77"/>
    <x v="3"/>
    <m/>
    <x v="3"/>
    <x v="13"/>
  </r>
  <r>
    <s v="Id160"/>
    <m/>
    <x v="742"/>
    <x v="525"/>
    <m/>
    <x v="2"/>
    <x v="2"/>
    <n v="1"/>
    <x v="2"/>
    <x v="3"/>
    <x v="3"/>
    <m/>
    <x v="77"/>
    <x v="3"/>
    <m/>
    <x v="3"/>
    <x v="13"/>
  </r>
  <r>
    <s v="Id159"/>
    <m/>
    <x v="742"/>
    <x v="525"/>
    <m/>
    <x v="2"/>
    <x v="2"/>
    <n v="1"/>
    <x v="2"/>
    <x v="3"/>
    <x v="3"/>
    <m/>
    <x v="77"/>
    <x v="3"/>
    <m/>
    <x v="3"/>
    <x v="13"/>
  </r>
  <r>
    <s v="Id158"/>
    <m/>
    <x v="742"/>
    <x v="525"/>
    <m/>
    <x v="2"/>
    <x v="2"/>
    <n v="1"/>
    <x v="2"/>
    <x v="3"/>
    <x v="3"/>
    <m/>
    <x v="77"/>
    <x v="3"/>
    <m/>
    <x v="3"/>
    <x v="13"/>
  </r>
  <r>
    <s v="Id157"/>
    <m/>
    <x v="742"/>
    <x v="525"/>
    <m/>
    <x v="2"/>
    <x v="2"/>
    <n v="1"/>
    <x v="2"/>
    <x v="3"/>
    <x v="3"/>
    <m/>
    <x v="77"/>
    <x v="3"/>
    <m/>
    <x v="3"/>
    <x v="13"/>
  </r>
  <r>
    <s v="Id156"/>
    <m/>
    <x v="742"/>
    <x v="525"/>
    <m/>
    <x v="2"/>
    <x v="2"/>
    <n v="1"/>
    <x v="2"/>
    <x v="3"/>
    <x v="3"/>
    <m/>
    <x v="77"/>
    <x v="3"/>
    <m/>
    <x v="3"/>
    <x v="13"/>
  </r>
  <r>
    <s v="Id155"/>
    <m/>
    <x v="742"/>
    <x v="525"/>
    <m/>
    <x v="2"/>
    <x v="2"/>
    <n v="1"/>
    <x v="2"/>
    <x v="3"/>
    <x v="3"/>
    <m/>
    <x v="77"/>
    <x v="3"/>
    <m/>
    <x v="3"/>
    <x v="13"/>
  </r>
  <r>
    <s v="Id154"/>
    <m/>
    <x v="742"/>
    <x v="525"/>
    <m/>
    <x v="2"/>
    <x v="2"/>
    <n v="1"/>
    <x v="2"/>
    <x v="3"/>
    <x v="3"/>
    <m/>
    <x v="77"/>
    <x v="3"/>
    <m/>
    <x v="3"/>
    <x v="13"/>
  </r>
  <r>
    <s v="Id153"/>
    <m/>
    <x v="742"/>
    <x v="525"/>
    <m/>
    <x v="2"/>
    <x v="2"/>
    <n v="1"/>
    <x v="2"/>
    <x v="3"/>
    <x v="3"/>
    <m/>
    <x v="77"/>
    <x v="3"/>
    <m/>
    <x v="3"/>
    <x v="13"/>
  </r>
  <r>
    <s v="Id152"/>
    <m/>
    <x v="742"/>
    <x v="525"/>
    <m/>
    <x v="2"/>
    <x v="2"/>
    <n v="1"/>
    <x v="2"/>
    <x v="3"/>
    <x v="3"/>
    <m/>
    <x v="77"/>
    <x v="3"/>
    <m/>
    <x v="3"/>
    <x v="13"/>
  </r>
  <r>
    <s v="Id151"/>
    <m/>
    <x v="742"/>
    <x v="525"/>
    <m/>
    <x v="2"/>
    <x v="2"/>
    <n v="1"/>
    <x v="2"/>
    <x v="3"/>
    <x v="3"/>
    <m/>
    <x v="77"/>
    <x v="3"/>
    <m/>
    <x v="3"/>
    <x v="13"/>
  </r>
  <r>
    <s v="Id150"/>
    <m/>
    <x v="742"/>
    <x v="525"/>
    <m/>
    <x v="2"/>
    <x v="2"/>
    <n v="1"/>
    <x v="2"/>
    <x v="3"/>
    <x v="3"/>
    <m/>
    <x v="77"/>
    <x v="3"/>
    <m/>
    <x v="3"/>
    <x v="13"/>
  </r>
  <r>
    <s v="Id149"/>
    <m/>
    <x v="742"/>
    <x v="525"/>
    <m/>
    <x v="2"/>
    <x v="2"/>
    <n v="1"/>
    <x v="2"/>
    <x v="3"/>
    <x v="3"/>
    <m/>
    <x v="77"/>
    <x v="3"/>
    <m/>
    <x v="3"/>
    <x v="13"/>
  </r>
  <r>
    <s v="Id148"/>
    <m/>
    <x v="742"/>
    <x v="525"/>
    <m/>
    <x v="2"/>
    <x v="2"/>
    <n v="1"/>
    <x v="2"/>
    <x v="3"/>
    <x v="3"/>
    <m/>
    <x v="77"/>
    <x v="3"/>
    <m/>
    <x v="3"/>
    <x v="13"/>
  </r>
  <r>
    <s v="Id147"/>
    <m/>
    <x v="742"/>
    <x v="525"/>
    <m/>
    <x v="2"/>
    <x v="2"/>
    <n v="1"/>
    <x v="2"/>
    <x v="3"/>
    <x v="3"/>
    <m/>
    <x v="77"/>
    <x v="3"/>
    <m/>
    <x v="3"/>
    <x v="13"/>
  </r>
  <r>
    <s v="Id146"/>
    <m/>
    <x v="742"/>
    <x v="525"/>
    <m/>
    <x v="2"/>
    <x v="2"/>
    <n v="1"/>
    <x v="2"/>
    <x v="3"/>
    <x v="3"/>
    <m/>
    <x v="77"/>
    <x v="3"/>
    <m/>
    <x v="3"/>
    <x v="13"/>
  </r>
  <r>
    <s v="Id145"/>
    <m/>
    <x v="742"/>
    <x v="525"/>
    <m/>
    <x v="2"/>
    <x v="2"/>
    <n v="1"/>
    <x v="2"/>
    <x v="3"/>
    <x v="3"/>
    <m/>
    <x v="77"/>
    <x v="3"/>
    <m/>
    <x v="3"/>
    <x v="13"/>
  </r>
  <r>
    <s v="Id144"/>
    <m/>
    <x v="742"/>
    <x v="525"/>
    <m/>
    <x v="2"/>
    <x v="2"/>
    <n v="1"/>
    <x v="2"/>
    <x v="3"/>
    <x v="3"/>
    <m/>
    <x v="77"/>
    <x v="3"/>
    <m/>
    <x v="3"/>
    <x v="13"/>
  </r>
  <r>
    <s v="Id143"/>
    <m/>
    <x v="742"/>
    <x v="525"/>
    <m/>
    <x v="2"/>
    <x v="2"/>
    <n v="1"/>
    <x v="2"/>
    <x v="3"/>
    <x v="3"/>
    <m/>
    <x v="77"/>
    <x v="3"/>
    <m/>
    <x v="3"/>
    <x v="13"/>
  </r>
  <r>
    <s v="Id142"/>
    <m/>
    <x v="742"/>
    <x v="525"/>
    <m/>
    <x v="2"/>
    <x v="2"/>
    <n v="1"/>
    <x v="2"/>
    <x v="3"/>
    <x v="3"/>
    <m/>
    <x v="77"/>
    <x v="3"/>
    <m/>
    <x v="3"/>
    <x v="13"/>
  </r>
  <r>
    <s v="Id141"/>
    <m/>
    <x v="742"/>
    <x v="525"/>
    <m/>
    <x v="2"/>
    <x v="2"/>
    <n v="1"/>
    <x v="2"/>
    <x v="3"/>
    <x v="3"/>
    <m/>
    <x v="77"/>
    <x v="3"/>
    <m/>
    <x v="3"/>
    <x v="13"/>
  </r>
  <r>
    <s v="?"/>
    <m/>
    <x v="742"/>
    <x v="525"/>
    <m/>
    <x v="2"/>
    <x v="2"/>
    <n v="1"/>
    <x v="2"/>
    <x v="3"/>
    <x v="3"/>
    <m/>
    <x v="77"/>
    <x v="3"/>
    <m/>
    <x v="3"/>
    <x v="13"/>
  </r>
  <r>
    <s v="Id140"/>
    <m/>
    <x v="742"/>
    <x v="525"/>
    <m/>
    <x v="2"/>
    <x v="2"/>
    <n v="1"/>
    <x v="2"/>
    <x v="3"/>
    <x v="3"/>
    <m/>
    <x v="77"/>
    <x v="3"/>
    <m/>
    <x v="3"/>
    <x v="13"/>
  </r>
  <r>
    <s v="Id139"/>
    <m/>
    <x v="742"/>
    <x v="525"/>
    <m/>
    <x v="2"/>
    <x v="2"/>
    <n v="1"/>
    <x v="2"/>
    <x v="3"/>
    <x v="3"/>
    <m/>
    <x v="77"/>
    <x v="3"/>
    <m/>
    <x v="3"/>
    <x v="13"/>
  </r>
  <r>
    <s v="Id138"/>
    <m/>
    <x v="742"/>
    <x v="525"/>
    <m/>
    <x v="2"/>
    <x v="2"/>
    <n v="1"/>
    <x v="2"/>
    <x v="3"/>
    <x v="3"/>
    <m/>
    <x v="77"/>
    <x v="3"/>
    <m/>
    <x v="3"/>
    <x v="13"/>
  </r>
  <r>
    <s v="Id137"/>
    <m/>
    <x v="742"/>
    <x v="525"/>
    <m/>
    <x v="2"/>
    <x v="2"/>
    <n v="1"/>
    <x v="2"/>
    <x v="3"/>
    <x v="3"/>
    <m/>
    <x v="77"/>
    <x v="3"/>
    <m/>
    <x v="3"/>
    <x v="13"/>
  </r>
  <r>
    <s v="Id136"/>
    <m/>
    <x v="742"/>
    <x v="525"/>
    <m/>
    <x v="2"/>
    <x v="2"/>
    <n v="1"/>
    <x v="2"/>
    <x v="3"/>
    <x v="3"/>
    <m/>
    <x v="77"/>
    <x v="3"/>
    <m/>
    <x v="3"/>
    <x v="13"/>
  </r>
  <r>
    <s v="Id135"/>
    <m/>
    <x v="742"/>
    <x v="525"/>
    <m/>
    <x v="2"/>
    <x v="2"/>
    <n v="1"/>
    <x v="2"/>
    <x v="3"/>
    <x v="3"/>
    <m/>
    <x v="77"/>
    <x v="3"/>
    <m/>
    <x v="3"/>
    <x v="13"/>
  </r>
  <r>
    <s v="Id134"/>
    <m/>
    <x v="742"/>
    <x v="525"/>
    <m/>
    <x v="2"/>
    <x v="2"/>
    <n v="1"/>
    <x v="2"/>
    <x v="3"/>
    <x v="3"/>
    <m/>
    <x v="77"/>
    <x v="3"/>
    <m/>
    <x v="3"/>
    <x v="13"/>
  </r>
  <r>
    <s v="Id133"/>
    <m/>
    <x v="742"/>
    <x v="525"/>
    <m/>
    <x v="2"/>
    <x v="2"/>
    <n v="1"/>
    <x v="2"/>
    <x v="3"/>
    <x v="3"/>
    <m/>
    <x v="77"/>
    <x v="3"/>
    <m/>
    <x v="3"/>
    <x v="13"/>
  </r>
  <r>
    <s v="Id132"/>
    <m/>
    <x v="742"/>
    <x v="525"/>
    <m/>
    <x v="2"/>
    <x v="2"/>
    <n v="1"/>
    <x v="2"/>
    <x v="3"/>
    <x v="3"/>
    <m/>
    <x v="77"/>
    <x v="3"/>
    <m/>
    <x v="3"/>
    <x v="13"/>
  </r>
  <r>
    <s v="Id131"/>
    <m/>
    <x v="742"/>
    <x v="525"/>
    <m/>
    <x v="2"/>
    <x v="2"/>
    <n v="1"/>
    <x v="2"/>
    <x v="3"/>
    <x v="3"/>
    <m/>
    <x v="77"/>
    <x v="3"/>
    <m/>
    <x v="3"/>
    <x v="13"/>
  </r>
  <r>
    <s v="Id130"/>
    <m/>
    <x v="742"/>
    <x v="525"/>
    <m/>
    <x v="2"/>
    <x v="2"/>
    <n v="1"/>
    <x v="2"/>
    <x v="3"/>
    <x v="3"/>
    <m/>
    <x v="77"/>
    <x v="3"/>
    <m/>
    <x v="3"/>
    <x v="13"/>
  </r>
  <r>
    <s v="Id129"/>
    <m/>
    <x v="742"/>
    <x v="525"/>
    <m/>
    <x v="2"/>
    <x v="2"/>
    <n v="1"/>
    <x v="2"/>
    <x v="3"/>
    <x v="3"/>
    <m/>
    <x v="77"/>
    <x v="3"/>
    <m/>
    <x v="3"/>
    <x v="13"/>
  </r>
  <r>
    <s v="Id128"/>
    <m/>
    <x v="742"/>
    <x v="525"/>
    <m/>
    <x v="2"/>
    <x v="2"/>
    <n v="1"/>
    <x v="2"/>
    <x v="3"/>
    <x v="3"/>
    <m/>
    <x v="77"/>
    <x v="3"/>
    <m/>
    <x v="3"/>
    <x v="13"/>
  </r>
  <r>
    <s v="Id127"/>
    <m/>
    <x v="742"/>
    <x v="525"/>
    <m/>
    <x v="2"/>
    <x v="2"/>
    <n v="1"/>
    <x v="2"/>
    <x v="3"/>
    <x v="3"/>
    <m/>
    <x v="77"/>
    <x v="3"/>
    <m/>
    <x v="3"/>
    <x v="13"/>
  </r>
  <r>
    <s v="Id126"/>
    <m/>
    <x v="742"/>
    <x v="525"/>
    <m/>
    <x v="2"/>
    <x v="2"/>
    <n v="1"/>
    <x v="2"/>
    <x v="3"/>
    <x v="3"/>
    <m/>
    <x v="77"/>
    <x v="3"/>
    <m/>
    <x v="3"/>
    <x v="13"/>
  </r>
  <r>
    <s v="Id125"/>
    <m/>
    <x v="742"/>
    <x v="525"/>
    <m/>
    <x v="2"/>
    <x v="2"/>
    <n v="1"/>
    <x v="2"/>
    <x v="3"/>
    <x v="3"/>
    <m/>
    <x v="77"/>
    <x v="3"/>
    <m/>
    <x v="3"/>
    <x v="13"/>
  </r>
  <r>
    <s v="Id124"/>
    <m/>
    <x v="742"/>
    <x v="525"/>
    <m/>
    <x v="2"/>
    <x v="2"/>
    <n v="1"/>
    <x v="2"/>
    <x v="3"/>
    <x v="3"/>
    <m/>
    <x v="77"/>
    <x v="3"/>
    <m/>
    <x v="3"/>
    <x v="13"/>
  </r>
  <r>
    <s v="Id123"/>
    <m/>
    <x v="742"/>
    <x v="525"/>
    <m/>
    <x v="2"/>
    <x v="2"/>
    <s v="No major surgery"/>
    <x v="2"/>
    <x v="3"/>
    <x v="3"/>
    <m/>
    <x v="77"/>
    <x v="3"/>
    <m/>
    <x v="3"/>
    <x v="13"/>
  </r>
  <r>
    <s v="Id122"/>
    <m/>
    <x v="742"/>
    <x v="525"/>
    <m/>
    <x v="2"/>
    <x v="2"/>
    <s v="No major surgery"/>
    <x v="2"/>
    <x v="3"/>
    <x v="3"/>
    <m/>
    <x v="77"/>
    <x v="3"/>
    <m/>
    <x v="3"/>
    <x v="13"/>
  </r>
  <r>
    <s v="Id121"/>
    <m/>
    <x v="742"/>
    <x v="525"/>
    <m/>
    <x v="2"/>
    <x v="2"/>
    <s v="No major surgery"/>
    <x v="2"/>
    <x v="3"/>
    <x v="3"/>
    <m/>
    <x v="77"/>
    <x v="3"/>
    <m/>
    <x v="3"/>
    <x v="13"/>
  </r>
  <r>
    <s v="Id120"/>
    <m/>
    <x v="742"/>
    <x v="525"/>
    <m/>
    <x v="2"/>
    <x v="2"/>
    <s v="No major surgery"/>
    <x v="2"/>
    <x v="3"/>
    <x v="3"/>
    <m/>
    <x v="77"/>
    <x v="3"/>
    <m/>
    <x v="3"/>
    <x v="13"/>
  </r>
  <r>
    <s v="Id119"/>
    <m/>
    <x v="742"/>
    <x v="525"/>
    <m/>
    <x v="2"/>
    <x v="2"/>
    <n v="1"/>
    <x v="2"/>
    <x v="3"/>
    <x v="3"/>
    <m/>
    <x v="77"/>
    <x v="3"/>
    <m/>
    <x v="3"/>
    <x v="13"/>
  </r>
  <r>
    <s v="Id118"/>
    <m/>
    <x v="742"/>
    <x v="525"/>
    <m/>
    <x v="2"/>
    <x v="2"/>
    <n v="1"/>
    <x v="2"/>
    <x v="3"/>
    <x v="3"/>
    <m/>
    <x v="77"/>
    <x v="3"/>
    <m/>
    <x v="3"/>
    <x v="13"/>
  </r>
  <r>
    <s v="Id117"/>
    <m/>
    <x v="742"/>
    <x v="525"/>
    <m/>
    <x v="2"/>
    <x v="2"/>
    <n v="1"/>
    <x v="2"/>
    <x v="3"/>
    <x v="3"/>
    <m/>
    <x v="77"/>
    <x v="3"/>
    <m/>
    <x v="3"/>
    <x v="13"/>
  </r>
  <r>
    <s v="Id116"/>
    <m/>
    <x v="742"/>
    <x v="525"/>
    <m/>
    <x v="2"/>
    <x v="2"/>
    <n v="1"/>
    <x v="2"/>
    <x v="3"/>
    <x v="3"/>
    <m/>
    <x v="77"/>
    <x v="3"/>
    <m/>
    <x v="3"/>
    <x v="13"/>
  </r>
  <r>
    <s v="Id115"/>
    <m/>
    <x v="742"/>
    <x v="525"/>
    <m/>
    <x v="2"/>
    <x v="2"/>
    <n v="1"/>
    <x v="2"/>
    <x v="3"/>
    <x v="3"/>
    <m/>
    <x v="77"/>
    <x v="3"/>
    <m/>
    <x v="3"/>
    <x v="13"/>
  </r>
  <r>
    <s v="Id114"/>
    <m/>
    <x v="742"/>
    <x v="525"/>
    <m/>
    <x v="2"/>
    <x v="2"/>
    <n v="1"/>
    <x v="2"/>
    <x v="3"/>
    <x v="3"/>
    <m/>
    <x v="77"/>
    <x v="3"/>
    <m/>
    <x v="3"/>
    <x v="13"/>
  </r>
  <r>
    <s v="Id113"/>
    <m/>
    <x v="742"/>
    <x v="525"/>
    <m/>
    <x v="2"/>
    <x v="2"/>
    <n v="1"/>
    <x v="2"/>
    <x v="3"/>
    <x v="3"/>
    <m/>
    <x v="77"/>
    <x v="3"/>
    <m/>
    <x v="3"/>
    <x v="13"/>
  </r>
  <r>
    <s v="Id112"/>
    <m/>
    <x v="742"/>
    <x v="525"/>
    <m/>
    <x v="2"/>
    <x v="2"/>
    <n v="1"/>
    <x v="2"/>
    <x v="3"/>
    <x v="3"/>
    <m/>
    <x v="77"/>
    <x v="3"/>
    <m/>
    <x v="3"/>
    <x v="13"/>
  </r>
  <r>
    <s v="Id111"/>
    <m/>
    <x v="742"/>
    <x v="525"/>
    <m/>
    <x v="2"/>
    <x v="2"/>
    <s v="No major surgery"/>
    <x v="2"/>
    <x v="3"/>
    <x v="3"/>
    <m/>
    <x v="77"/>
    <x v="3"/>
    <m/>
    <x v="3"/>
    <x v="13"/>
  </r>
  <r>
    <s v="Id110"/>
    <m/>
    <x v="742"/>
    <x v="525"/>
    <m/>
    <x v="2"/>
    <x v="2"/>
    <s v="No major surgery"/>
    <x v="2"/>
    <x v="3"/>
    <x v="3"/>
    <m/>
    <x v="77"/>
    <x v="3"/>
    <m/>
    <x v="3"/>
    <x v="13"/>
  </r>
  <r>
    <s v="Id109"/>
    <m/>
    <x v="742"/>
    <x v="525"/>
    <m/>
    <x v="2"/>
    <x v="2"/>
    <n v="1"/>
    <x v="2"/>
    <x v="3"/>
    <x v="3"/>
    <m/>
    <x v="77"/>
    <x v="3"/>
    <m/>
    <x v="3"/>
    <x v="13"/>
  </r>
  <r>
    <s v="Id108"/>
    <m/>
    <x v="742"/>
    <x v="525"/>
    <m/>
    <x v="2"/>
    <x v="2"/>
    <n v="1"/>
    <x v="2"/>
    <x v="3"/>
    <x v="3"/>
    <m/>
    <x v="77"/>
    <x v="3"/>
    <m/>
    <x v="3"/>
    <x v="13"/>
  </r>
  <r>
    <s v="Id107"/>
    <m/>
    <x v="742"/>
    <x v="525"/>
    <m/>
    <x v="2"/>
    <x v="2"/>
    <s v="No major surgery"/>
    <x v="2"/>
    <x v="3"/>
    <x v="3"/>
    <m/>
    <x v="77"/>
    <x v="3"/>
    <m/>
    <x v="3"/>
    <x v="13"/>
  </r>
  <r>
    <s v="Id106"/>
    <m/>
    <x v="742"/>
    <x v="525"/>
    <m/>
    <x v="2"/>
    <x v="2"/>
    <s v="No major surgery"/>
    <x v="2"/>
    <x v="3"/>
    <x v="3"/>
    <m/>
    <x v="77"/>
    <x v="3"/>
    <m/>
    <x v="3"/>
    <x v="13"/>
  </r>
  <r>
    <s v="Id105"/>
    <m/>
    <x v="742"/>
    <x v="525"/>
    <m/>
    <x v="2"/>
    <x v="2"/>
    <s v="No major surgery"/>
    <x v="2"/>
    <x v="3"/>
    <x v="3"/>
    <m/>
    <x v="77"/>
    <x v="3"/>
    <m/>
    <x v="3"/>
    <x v="13"/>
  </r>
  <r>
    <s v="Id104"/>
    <m/>
    <x v="742"/>
    <x v="525"/>
    <m/>
    <x v="2"/>
    <x v="2"/>
    <s v="No major surgery"/>
    <x v="2"/>
    <x v="3"/>
    <x v="3"/>
    <m/>
    <x v="77"/>
    <x v="3"/>
    <m/>
    <x v="3"/>
    <x v="13"/>
  </r>
  <r>
    <s v="Id103"/>
    <m/>
    <x v="742"/>
    <x v="525"/>
    <m/>
    <x v="2"/>
    <x v="2"/>
    <n v="1"/>
    <x v="2"/>
    <x v="3"/>
    <x v="3"/>
    <m/>
    <x v="77"/>
    <x v="3"/>
    <m/>
    <x v="3"/>
    <x v="13"/>
  </r>
  <r>
    <s v="Id102"/>
    <m/>
    <x v="742"/>
    <x v="525"/>
    <m/>
    <x v="2"/>
    <x v="2"/>
    <n v="1"/>
    <x v="2"/>
    <x v="3"/>
    <x v="3"/>
    <m/>
    <x v="77"/>
    <x v="3"/>
    <m/>
    <x v="3"/>
    <x v="13"/>
  </r>
  <r>
    <s v="Id101"/>
    <m/>
    <x v="742"/>
    <x v="525"/>
    <m/>
    <x v="2"/>
    <x v="2"/>
    <n v="1"/>
    <x v="2"/>
    <x v="3"/>
    <x v="3"/>
    <m/>
    <x v="77"/>
    <x v="3"/>
    <m/>
    <x v="3"/>
    <x v="13"/>
  </r>
  <r>
    <s v="Id100"/>
    <m/>
    <x v="742"/>
    <x v="525"/>
    <m/>
    <x v="2"/>
    <x v="2"/>
    <n v="1"/>
    <x v="2"/>
    <x v="3"/>
    <x v="3"/>
    <m/>
    <x v="77"/>
    <x v="3"/>
    <m/>
    <x v="3"/>
    <x v="13"/>
  </r>
  <r>
    <s v="Id99"/>
    <m/>
    <x v="742"/>
    <x v="525"/>
    <m/>
    <x v="2"/>
    <x v="2"/>
    <s v="No major surgery"/>
    <x v="2"/>
    <x v="3"/>
    <x v="3"/>
    <m/>
    <x v="77"/>
    <x v="3"/>
    <m/>
    <x v="3"/>
    <x v="13"/>
  </r>
  <r>
    <s v="Id98"/>
    <m/>
    <x v="742"/>
    <x v="525"/>
    <m/>
    <x v="2"/>
    <x v="2"/>
    <s v="No major surgery"/>
    <x v="2"/>
    <x v="3"/>
    <x v="3"/>
    <m/>
    <x v="77"/>
    <x v="3"/>
    <m/>
    <x v="3"/>
    <x v="13"/>
  </r>
  <r>
    <s v="Id97"/>
    <m/>
    <x v="742"/>
    <x v="525"/>
    <m/>
    <x v="2"/>
    <x v="2"/>
    <s v="No major surgery"/>
    <x v="2"/>
    <x v="3"/>
    <x v="3"/>
    <m/>
    <x v="77"/>
    <x v="3"/>
    <m/>
    <x v="3"/>
    <x v="13"/>
  </r>
  <r>
    <s v="Id96"/>
    <m/>
    <x v="742"/>
    <x v="525"/>
    <m/>
    <x v="2"/>
    <x v="2"/>
    <s v="No major surgery"/>
    <x v="2"/>
    <x v="3"/>
    <x v="3"/>
    <m/>
    <x v="77"/>
    <x v="3"/>
    <m/>
    <x v="3"/>
    <x v="13"/>
  </r>
  <r>
    <s v="Id95"/>
    <m/>
    <x v="742"/>
    <x v="525"/>
    <m/>
    <x v="2"/>
    <x v="2"/>
    <s v="No major surgery"/>
    <x v="2"/>
    <x v="3"/>
    <x v="3"/>
    <m/>
    <x v="77"/>
    <x v="3"/>
    <m/>
    <x v="3"/>
    <x v="13"/>
  </r>
  <r>
    <s v="Id94"/>
    <m/>
    <x v="742"/>
    <x v="525"/>
    <m/>
    <x v="2"/>
    <x v="2"/>
    <n v="1"/>
    <x v="2"/>
    <x v="3"/>
    <x v="3"/>
    <m/>
    <x v="77"/>
    <x v="3"/>
    <m/>
    <x v="3"/>
    <x v="13"/>
  </r>
  <r>
    <s v="Id93"/>
    <m/>
    <x v="742"/>
    <x v="525"/>
    <m/>
    <x v="2"/>
    <x v="2"/>
    <n v="1"/>
    <x v="2"/>
    <x v="3"/>
    <x v="3"/>
    <m/>
    <x v="77"/>
    <x v="3"/>
    <m/>
    <x v="3"/>
    <x v="13"/>
  </r>
  <r>
    <s v="Id92"/>
    <m/>
    <x v="742"/>
    <x v="525"/>
    <m/>
    <x v="2"/>
    <x v="2"/>
    <n v="1"/>
    <x v="2"/>
    <x v="3"/>
    <x v="3"/>
    <m/>
    <x v="77"/>
    <x v="3"/>
    <m/>
    <x v="3"/>
    <x v="13"/>
  </r>
  <r>
    <s v="Id91"/>
    <m/>
    <x v="742"/>
    <x v="525"/>
    <m/>
    <x v="2"/>
    <x v="2"/>
    <n v="1"/>
    <x v="2"/>
    <x v="3"/>
    <x v="3"/>
    <m/>
    <x v="77"/>
    <x v="3"/>
    <m/>
    <x v="3"/>
    <x v="13"/>
  </r>
  <r>
    <s v="Id90"/>
    <m/>
    <x v="742"/>
    <x v="525"/>
    <m/>
    <x v="2"/>
    <x v="2"/>
    <n v="1"/>
    <x v="2"/>
    <x v="3"/>
    <x v="3"/>
    <m/>
    <x v="77"/>
    <x v="3"/>
    <m/>
    <x v="3"/>
    <x v="13"/>
  </r>
  <r>
    <s v="Id89"/>
    <m/>
    <x v="742"/>
    <x v="525"/>
    <m/>
    <x v="2"/>
    <x v="2"/>
    <s v="No major surgery"/>
    <x v="2"/>
    <x v="3"/>
    <x v="3"/>
    <m/>
    <x v="77"/>
    <x v="3"/>
    <m/>
    <x v="3"/>
    <x v="13"/>
  </r>
  <r>
    <s v="Id88"/>
    <m/>
    <x v="742"/>
    <x v="525"/>
    <m/>
    <x v="2"/>
    <x v="2"/>
    <n v="1"/>
    <x v="2"/>
    <x v="3"/>
    <x v="3"/>
    <m/>
    <x v="77"/>
    <x v="3"/>
    <m/>
    <x v="3"/>
    <x v="13"/>
  </r>
  <r>
    <s v="Id87"/>
    <m/>
    <x v="742"/>
    <x v="525"/>
    <m/>
    <x v="2"/>
    <x v="2"/>
    <n v="1"/>
    <x v="2"/>
    <x v="3"/>
    <x v="3"/>
    <m/>
    <x v="77"/>
    <x v="3"/>
    <m/>
    <x v="3"/>
    <x v="13"/>
  </r>
  <r>
    <s v="Id86"/>
    <m/>
    <x v="742"/>
    <x v="525"/>
    <m/>
    <x v="2"/>
    <x v="2"/>
    <n v="1"/>
    <x v="2"/>
    <x v="3"/>
    <x v="3"/>
    <m/>
    <x v="77"/>
    <x v="3"/>
    <m/>
    <x v="3"/>
    <x v="13"/>
  </r>
  <r>
    <s v="Id85"/>
    <m/>
    <x v="742"/>
    <x v="525"/>
    <m/>
    <x v="2"/>
    <x v="2"/>
    <n v="1"/>
    <x v="2"/>
    <x v="3"/>
    <x v="3"/>
    <m/>
    <x v="77"/>
    <x v="3"/>
    <m/>
    <x v="3"/>
    <x v="13"/>
  </r>
  <r>
    <s v="Id84"/>
    <m/>
    <x v="742"/>
    <x v="525"/>
    <m/>
    <x v="2"/>
    <x v="2"/>
    <n v="1"/>
    <x v="2"/>
    <x v="3"/>
    <x v="3"/>
    <m/>
    <x v="77"/>
    <x v="3"/>
    <m/>
    <x v="3"/>
    <x v="13"/>
  </r>
  <r>
    <s v="Id83"/>
    <m/>
    <x v="742"/>
    <x v="525"/>
    <m/>
    <x v="2"/>
    <x v="2"/>
    <n v="1"/>
    <x v="2"/>
    <x v="3"/>
    <x v="3"/>
    <m/>
    <x v="77"/>
    <x v="3"/>
    <m/>
    <x v="3"/>
    <x v="13"/>
  </r>
  <r>
    <s v="Id82"/>
    <m/>
    <x v="742"/>
    <x v="525"/>
    <m/>
    <x v="2"/>
    <x v="2"/>
    <n v="1"/>
    <x v="2"/>
    <x v="3"/>
    <x v="3"/>
    <m/>
    <x v="77"/>
    <x v="3"/>
    <m/>
    <x v="3"/>
    <x v="13"/>
  </r>
  <r>
    <s v="Id81"/>
    <m/>
    <x v="742"/>
    <x v="525"/>
    <m/>
    <x v="2"/>
    <x v="2"/>
    <n v="1"/>
    <x v="2"/>
    <x v="3"/>
    <x v="3"/>
    <m/>
    <x v="77"/>
    <x v="3"/>
    <m/>
    <x v="3"/>
    <x v="13"/>
  </r>
  <r>
    <s v="Id80"/>
    <m/>
    <x v="742"/>
    <x v="525"/>
    <m/>
    <x v="2"/>
    <x v="2"/>
    <n v="1"/>
    <x v="2"/>
    <x v="3"/>
    <x v="3"/>
    <m/>
    <x v="77"/>
    <x v="3"/>
    <m/>
    <x v="3"/>
    <x v="13"/>
  </r>
  <r>
    <s v="Id79"/>
    <m/>
    <x v="742"/>
    <x v="525"/>
    <m/>
    <x v="2"/>
    <x v="2"/>
    <n v="1"/>
    <x v="2"/>
    <x v="3"/>
    <x v="3"/>
    <m/>
    <x v="77"/>
    <x v="3"/>
    <m/>
    <x v="3"/>
    <x v="13"/>
  </r>
  <r>
    <s v="Id78"/>
    <m/>
    <x v="742"/>
    <x v="525"/>
    <m/>
    <x v="2"/>
    <x v="2"/>
    <s v="No major surgery"/>
    <x v="2"/>
    <x v="3"/>
    <x v="3"/>
    <m/>
    <x v="77"/>
    <x v="3"/>
    <m/>
    <x v="3"/>
    <x v="13"/>
  </r>
  <r>
    <s v="Id77"/>
    <m/>
    <x v="742"/>
    <x v="525"/>
    <m/>
    <x v="2"/>
    <x v="2"/>
    <n v="1"/>
    <x v="2"/>
    <x v="3"/>
    <x v="3"/>
    <m/>
    <x v="77"/>
    <x v="3"/>
    <m/>
    <x v="3"/>
    <x v="13"/>
  </r>
  <r>
    <s v="Id76"/>
    <m/>
    <x v="742"/>
    <x v="525"/>
    <m/>
    <x v="2"/>
    <x v="2"/>
    <s v="No major surgery"/>
    <x v="2"/>
    <x v="3"/>
    <x v="3"/>
    <m/>
    <x v="77"/>
    <x v="3"/>
    <m/>
    <x v="3"/>
    <x v="13"/>
  </r>
  <r>
    <s v="Id75"/>
    <m/>
    <x v="742"/>
    <x v="525"/>
    <m/>
    <x v="2"/>
    <x v="2"/>
    <n v="1"/>
    <x v="2"/>
    <x v="3"/>
    <x v="3"/>
    <m/>
    <x v="77"/>
    <x v="3"/>
    <m/>
    <x v="3"/>
    <x v="13"/>
  </r>
  <r>
    <s v="Id74"/>
    <m/>
    <x v="742"/>
    <x v="525"/>
    <m/>
    <x v="2"/>
    <x v="2"/>
    <n v="1"/>
    <x v="2"/>
    <x v="3"/>
    <x v="3"/>
    <m/>
    <x v="77"/>
    <x v="3"/>
    <m/>
    <x v="3"/>
    <x v="13"/>
  </r>
  <r>
    <s v="Id73"/>
    <m/>
    <x v="742"/>
    <x v="525"/>
    <m/>
    <x v="2"/>
    <x v="2"/>
    <n v="1"/>
    <x v="2"/>
    <x v="3"/>
    <x v="3"/>
    <m/>
    <x v="77"/>
    <x v="3"/>
    <m/>
    <x v="3"/>
    <x v="13"/>
  </r>
  <r>
    <s v="Id72"/>
    <m/>
    <x v="742"/>
    <x v="525"/>
    <m/>
    <x v="2"/>
    <x v="2"/>
    <s v="No major surgery"/>
    <x v="2"/>
    <x v="3"/>
    <x v="3"/>
    <m/>
    <x v="77"/>
    <x v="3"/>
    <m/>
    <x v="3"/>
    <x v="13"/>
  </r>
  <r>
    <s v="Id71"/>
    <m/>
    <x v="742"/>
    <x v="525"/>
    <m/>
    <x v="2"/>
    <x v="2"/>
    <n v="1"/>
    <x v="2"/>
    <x v="3"/>
    <x v="3"/>
    <m/>
    <x v="77"/>
    <x v="3"/>
    <m/>
    <x v="3"/>
    <x v="13"/>
  </r>
  <r>
    <s v="Id70"/>
    <m/>
    <x v="742"/>
    <x v="525"/>
    <m/>
    <x v="2"/>
    <x v="2"/>
    <n v="1"/>
    <x v="2"/>
    <x v="3"/>
    <x v="3"/>
    <m/>
    <x v="77"/>
    <x v="3"/>
    <m/>
    <x v="3"/>
    <x v="13"/>
  </r>
  <r>
    <s v="Id69"/>
    <m/>
    <x v="742"/>
    <x v="525"/>
    <m/>
    <x v="2"/>
    <x v="2"/>
    <s v="No major surgery"/>
    <x v="2"/>
    <x v="3"/>
    <x v="3"/>
    <m/>
    <x v="77"/>
    <x v="3"/>
    <m/>
    <x v="3"/>
    <x v="13"/>
  </r>
  <r>
    <s v="Id68"/>
    <m/>
    <x v="742"/>
    <x v="525"/>
    <m/>
    <x v="2"/>
    <x v="2"/>
    <s v="No major surgery"/>
    <x v="2"/>
    <x v="3"/>
    <x v="3"/>
    <m/>
    <x v="77"/>
    <x v="3"/>
    <m/>
    <x v="3"/>
    <x v="13"/>
  </r>
  <r>
    <s v="Id67"/>
    <m/>
    <x v="742"/>
    <x v="525"/>
    <m/>
    <x v="2"/>
    <x v="2"/>
    <n v="1"/>
    <x v="2"/>
    <x v="3"/>
    <x v="3"/>
    <m/>
    <x v="77"/>
    <x v="3"/>
    <m/>
    <x v="3"/>
    <x v="13"/>
  </r>
  <r>
    <s v="Id66"/>
    <m/>
    <x v="742"/>
    <x v="525"/>
    <m/>
    <x v="2"/>
    <x v="2"/>
    <s v="No major surgery"/>
    <x v="2"/>
    <x v="3"/>
    <x v="3"/>
    <m/>
    <x v="77"/>
    <x v="3"/>
    <m/>
    <x v="3"/>
    <x v="13"/>
  </r>
  <r>
    <s v="Id65"/>
    <m/>
    <x v="742"/>
    <x v="525"/>
    <m/>
    <x v="2"/>
    <x v="2"/>
    <s v="No major surgery"/>
    <x v="2"/>
    <x v="3"/>
    <x v="3"/>
    <m/>
    <x v="77"/>
    <x v="3"/>
    <m/>
    <x v="3"/>
    <x v="13"/>
  </r>
  <r>
    <s v="Id64"/>
    <m/>
    <x v="742"/>
    <x v="525"/>
    <m/>
    <x v="2"/>
    <x v="2"/>
    <s v="No major surgery"/>
    <x v="2"/>
    <x v="3"/>
    <x v="3"/>
    <m/>
    <x v="77"/>
    <x v="3"/>
    <m/>
    <x v="3"/>
    <x v="13"/>
  </r>
  <r>
    <s v="Id63"/>
    <m/>
    <x v="742"/>
    <x v="525"/>
    <m/>
    <x v="2"/>
    <x v="2"/>
    <n v="1"/>
    <x v="2"/>
    <x v="3"/>
    <x v="3"/>
    <m/>
    <x v="77"/>
    <x v="3"/>
    <m/>
    <x v="3"/>
    <x v="13"/>
  </r>
  <r>
    <s v="Id62"/>
    <m/>
    <x v="742"/>
    <x v="525"/>
    <m/>
    <x v="2"/>
    <x v="2"/>
    <s v="No major surgery"/>
    <x v="2"/>
    <x v="3"/>
    <x v="3"/>
    <m/>
    <x v="77"/>
    <x v="3"/>
    <m/>
    <x v="3"/>
    <x v="13"/>
  </r>
  <r>
    <s v="Id61"/>
    <m/>
    <x v="742"/>
    <x v="525"/>
    <m/>
    <x v="2"/>
    <x v="2"/>
    <n v="1"/>
    <x v="2"/>
    <x v="3"/>
    <x v="3"/>
    <m/>
    <x v="77"/>
    <x v="3"/>
    <m/>
    <x v="3"/>
    <x v="13"/>
  </r>
  <r>
    <s v="Id60"/>
    <m/>
    <x v="742"/>
    <x v="525"/>
    <m/>
    <x v="2"/>
    <x v="2"/>
    <n v="1"/>
    <x v="2"/>
    <x v="3"/>
    <x v="3"/>
    <m/>
    <x v="77"/>
    <x v="3"/>
    <m/>
    <x v="3"/>
    <x v="13"/>
  </r>
  <r>
    <s v="Id59"/>
    <m/>
    <x v="742"/>
    <x v="525"/>
    <m/>
    <x v="2"/>
    <x v="2"/>
    <n v="1"/>
    <x v="2"/>
    <x v="3"/>
    <x v="3"/>
    <m/>
    <x v="77"/>
    <x v="3"/>
    <m/>
    <x v="3"/>
    <x v="13"/>
  </r>
  <r>
    <s v="Id58"/>
    <m/>
    <x v="742"/>
    <x v="525"/>
    <m/>
    <x v="2"/>
    <x v="2"/>
    <s v="No major surgery"/>
    <x v="2"/>
    <x v="3"/>
    <x v="3"/>
    <m/>
    <x v="77"/>
    <x v="3"/>
    <m/>
    <x v="3"/>
    <x v="13"/>
  </r>
  <r>
    <s v="Id57"/>
    <m/>
    <x v="742"/>
    <x v="525"/>
    <m/>
    <x v="2"/>
    <x v="2"/>
    <n v="1"/>
    <x v="2"/>
    <x v="3"/>
    <x v="3"/>
    <m/>
    <x v="77"/>
    <x v="3"/>
    <m/>
    <x v="3"/>
    <x v="13"/>
  </r>
  <r>
    <s v="Id56"/>
    <m/>
    <x v="742"/>
    <x v="525"/>
    <m/>
    <x v="2"/>
    <x v="2"/>
    <s v="No major surgery"/>
    <x v="2"/>
    <x v="3"/>
    <x v="3"/>
    <m/>
    <x v="77"/>
    <x v="3"/>
    <m/>
    <x v="3"/>
    <x v="13"/>
  </r>
  <r>
    <s v="Id55"/>
    <m/>
    <x v="742"/>
    <x v="525"/>
    <m/>
    <x v="2"/>
    <x v="2"/>
    <n v="1"/>
    <x v="2"/>
    <x v="3"/>
    <x v="3"/>
    <m/>
    <x v="77"/>
    <x v="3"/>
    <m/>
    <x v="3"/>
    <x v="13"/>
  </r>
  <r>
    <s v="Id54"/>
    <m/>
    <x v="742"/>
    <x v="525"/>
    <m/>
    <x v="2"/>
    <x v="2"/>
    <n v="1"/>
    <x v="2"/>
    <x v="3"/>
    <x v="3"/>
    <m/>
    <x v="77"/>
    <x v="3"/>
    <m/>
    <x v="3"/>
    <x v="13"/>
  </r>
  <r>
    <s v="Id53"/>
    <m/>
    <x v="742"/>
    <x v="525"/>
    <m/>
    <x v="2"/>
    <x v="2"/>
    <s v="No major surgery"/>
    <x v="2"/>
    <x v="3"/>
    <x v="3"/>
    <m/>
    <x v="77"/>
    <x v="3"/>
    <m/>
    <x v="3"/>
    <x v="13"/>
  </r>
  <r>
    <s v="Id52"/>
    <m/>
    <x v="742"/>
    <x v="525"/>
    <m/>
    <x v="2"/>
    <x v="2"/>
    <n v="1"/>
    <x v="2"/>
    <x v="3"/>
    <x v="3"/>
    <m/>
    <x v="77"/>
    <x v="3"/>
    <m/>
    <x v="3"/>
    <x v="13"/>
  </r>
  <r>
    <s v="Id51"/>
    <m/>
    <x v="742"/>
    <x v="525"/>
    <m/>
    <x v="2"/>
    <x v="2"/>
    <n v="1"/>
    <x v="2"/>
    <x v="3"/>
    <x v="3"/>
    <m/>
    <x v="77"/>
    <x v="3"/>
    <m/>
    <x v="3"/>
    <x v="13"/>
  </r>
  <r>
    <s v="Id50"/>
    <m/>
    <x v="742"/>
    <x v="525"/>
    <m/>
    <x v="2"/>
    <x v="2"/>
    <n v="1"/>
    <x v="2"/>
    <x v="3"/>
    <x v="3"/>
    <m/>
    <x v="77"/>
    <x v="3"/>
    <m/>
    <x v="3"/>
    <x v="13"/>
  </r>
  <r>
    <s v="Id49"/>
    <m/>
    <x v="742"/>
    <x v="525"/>
    <m/>
    <x v="2"/>
    <x v="2"/>
    <s v="No major surgery"/>
    <x v="2"/>
    <x v="3"/>
    <x v="3"/>
    <m/>
    <x v="77"/>
    <x v="3"/>
    <m/>
    <x v="3"/>
    <x v="13"/>
  </r>
  <r>
    <s v="Id48"/>
    <m/>
    <x v="742"/>
    <x v="525"/>
    <m/>
    <x v="2"/>
    <x v="2"/>
    <n v="1"/>
    <x v="2"/>
    <x v="3"/>
    <x v="3"/>
    <m/>
    <x v="77"/>
    <x v="3"/>
    <m/>
    <x v="3"/>
    <x v="13"/>
  </r>
  <r>
    <s v="Id47"/>
    <m/>
    <x v="742"/>
    <x v="525"/>
    <m/>
    <x v="2"/>
    <x v="2"/>
    <n v="1"/>
    <x v="2"/>
    <x v="3"/>
    <x v="3"/>
    <m/>
    <x v="77"/>
    <x v="3"/>
    <m/>
    <x v="3"/>
    <x v="13"/>
  </r>
  <r>
    <s v="Id46"/>
    <m/>
    <x v="742"/>
    <x v="525"/>
    <m/>
    <x v="2"/>
    <x v="2"/>
    <s v="No major surgery"/>
    <x v="2"/>
    <x v="3"/>
    <x v="3"/>
    <m/>
    <x v="77"/>
    <x v="3"/>
    <m/>
    <x v="3"/>
    <x v="13"/>
  </r>
  <r>
    <s v="Id45"/>
    <m/>
    <x v="742"/>
    <x v="525"/>
    <m/>
    <x v="2"/>
    <x v="2"/>
    <n v="1"/>
    <x v="2"/>
    <x v="3"/>
    <x v="3"/>
    <m/>
    <x v="77"/>
    <x v="3"/>
    <m/>
    <x v="3"/>
    <x v="13"/>
  </r>
  <r>
    <s v="Id44"/>
    <m/>
    <x v="742"/>
    <x v="525"/>
    <m/>
    <x v="2"/>
    <x v="2"/>
    <n v="1"/>
    <x v="2"/>
    <x v="3"/>
    <x v="3"/>
    <m/>
    <x v="77"/>
    <x v="3"/>
    <m/>
    <x v="3"/>
    <x v="13"/>
  </r>
  <r>
    <s v="Id43"/>
    <m/>
    <x v="742"/>
    <x v="525"/>
    <m/>
    <x v="2"/>
    <x v="2"/>
    <n v="1"/>
    <x v="2"/>
    <x v="3"/>
    <x v="3"/>
    <m/>
    <x v="77"/>
    <x v="3"/>
    <m/>
    <x v="3"/>
    <x v="13"/>
  </r>
  <r>
    <s v="Id42"/>
    <m/>
    <x v="742"/>
    <x v="525"/>
    <m/>
    <x v="2"/>
    <x v="2"/>
    <n v="1"/>
    <x v="2"/>
    <x v="3"/>
    <x v="3"/>
    <m/>
    <x v="77"/>
    <x v="3"/>
    <m/>
    <x v="3"/>
    <x v="13"/>
  </r>
  <r>
    <s v="Id41"/>
    <m/>
    <x v="742"/>
    <x v="525"/>
    <m/>
    <x v="2"/>
    <x v="2"/>
    <n v="1"/>
    <x v="2"/>
    <x v="3"/>
    <x v="3"/>
    <m/>
    <x v="77"/>
    <x v="3"/>
    <m/>
    <x v="3"/>
    <x v="13"/>
  </r>
  <r>
    <s v="Id40"/>
    <m/>
    <x v="742"/>
    <x v="525"/>
    <m/>
    <x v="2"/>
    <x v="2"/>
    <s v="No major surgery"/>
    <x v="2"/>
    <x v="3"/>
    <x v="3"/>
    <m/>
    <x v="77"/>
    <x v="3"/>
    <m/>
    <x v="3"/>
    <x v="13"/>
  </r>
  <r>
    <s v="Id39"/>
    <m/>
    <x v="742"/>
    <x v="525"/>
    <m/>
    <x v="2"/>
    <x v="2"/>
    <s v="No major surgery"/>
    <x v="2"/>
    <x v="3"/>
    <x v="3"/>
    <m/>
    <x v="77"/>
    <x v="3"/>
    <m/>
    <x v="3"/>
    <x v="13"/>
  </r>
  <r>
    <s v="Id38"/>
    <m/>
    <x v="742"/>
    <x v="525"/>
    <m/>
    <x v="2"/>
    <x v="2"/>
    <s v="No major surgery"/>
    <x v="2"/>
    <x v="3"/>
    <x v="3"/>
    <m/>
    <x v="77"/>
    <x v="3"/>
    <m/>
    <x v="3"/>
    <x v="13"/>
  </r>
  <r>
    <s v="Id37"/>
    <m/>
    <x v="742"/>
    <x v="525"/>
    <m/>
    <x v="2"/>
    <x v="2"/>
    <n v="1"/>
    <x v="2"/>
    <x v="3"/>
    <x v="3"/>
    <m/>
    <x v="77"/>
    <x v="3"/>
    <m/>
    <x v="3"/>
    <x v="13"/>
  </r>
  <r>
    <s v="Id36"/>
    <m/>
    <x v="742"/>
    <x v="525"/>
    <m/>
    <x v="2"/>
    <x v="2"/>
    <s v="No major surgery"/>
    <x v="2"/>
    <x v="3"/>
    <x v="3"/>
    <m/>
    <x v="77"/>
    <x v="3"/>
    <m/>
    <x v="3"/>
    <x v="13"/>
  </r>
  <r>
    <s v="Id35"/>
    <m/>
    <x v="742"/>
    <x v="525"/>
    <m/>
    <x v="2"/>
    <x v="2"/>
    <n v="1"/>
    <x v="2"/>
    <x v="3"/>
    <x v="3"/>
    <m/>
    <x v="77"/>
    <x v="3"/>
    <m/>
    <x v="3"/>
    <x v="13"/>
  </r>
  <r>
    <s v="Id34"/>
    <m/>
    <x v="742"/>
    <x v="525"/>
    <m/>
    <x v="2"/>
    <x v="2"/>
    <s v="No major surgery"/>
    <x v="2"/>
    <x v="3"/>
    <x v="3"/>
    <m/>
    <x v="77"/>
    <x v="3"/>
    <m/>
    <x v="3"/>
    <x v="13"/>
  </r>
  <r>
    <s v="Id33"/>
    <m/>
    <x v="742"/>
    <x v="525"/>
    <m/>
    <x v="2"/>
    <x v="2"/>
    <s v="No major surgery"/>
    <x v="2"/>
    <x v="3"/>
    <x v="3"/>
    <m/>
    <x v="77"/>
    <x v="3"/>
    <m/>
    <x v="3"/>
    <x v="13"/>
  </r>
  <r>
    <s v="Id32"/>
    <m/>
    <x v="742"/>
    <x v="525"/>
    <m/>
    <x v="2"/>
    <x v="2"/>
    <n v="1"/>
    <x v="2"/>
    <x v="3"/>
    <x v="3"/>
    <m/>
    <x v="77"/>
    <x v="3"/>
    <m/>
    <x v="3"/>
    <x v="13"/>
  </r>
  <r>
    <s v="Id31"/>
    <m/>
    <x v="742"/>
    <x v="525"/>
    <m/>
    <x v="2"/>
    <x v="2"/>
    <s v="No major surgery"/>
    <x v="2"/>
    <x v="3"/>
    <x v="3"/>
    <m/>
    <x v="77"/>
    <x v="3"/>
    <m/>
    <x v="3"/>
    <x v="13"/>
  </r>
  <r>
    <s v="Id30"/>
    <m/>
    <x v="742"/>
    <x v="525"/>
    <m/>
    <x v="2"/>
    <x v="2"/>
    <n v="1"/>
    <x v="2"/>
    <x v="3"/>
    <x v="3"/>
    <m/>
    <x v="77"/>
    <x v="3"/>
    <m/>
    <x v="3"/>
    <x v="13"/>
  </r>
  <r>
    <s v="Id29"/>
    <m/>
    <x v="742"/>
    <x v="525"/>
    <m/>
    <x v="2"/>
    <x v="2"/>
    <n v="1"/>
    <x v="2"/>
    <x v="3"/>
    <x v="3"/>
    <m/>
    <x v="77"/>
    <x v="3"/>
    <m/>
    <x v="3"/>
    <x v="13"/>
  </r>
  <r>
    <s v="Id28"/>
    <m/>
    <x v="742"/>
    <x v="525"/>
    <m/>
    <x v="2"/>
    <x v="2"/>
    <n v="1"/>
    <x v="2"/>
    <x v="3"/>
    <x v="3"/>
    <m/>
    <x v="77"/>
    <x v="3"/>
    <m/>
    <x v="3"/>
    <x v="13"/>
  </r>
  <r>
    <s v="Id27"/>
    <m/>
    <x v="742"/>
    <x v="525"/>
    <m/>
    <x v="2"/>
    <x v="2"/>
    <n v="1"/>
    <x v="2"/>
    <x v="3"/>
    <x v="3"/>
    <m/>
    <x v="77"/>
    <x v="3"/>
    <m/>
    <x v="3"/>
    <x v="13"/>
  </r>
  <r>
    <s v="Id26"/>
    <m/>
    <x v="742"/>
    <x v="525"/>
    <m/>
    <x v="2"/>
    <x v="2"/>
    <s v="No major surgery"/>
    <x v="2"/>
    <x v="3"/>
    <x v="3"/>
    <m/>
    <x v="77"/>
    <x v="3"/>
    <m/>
    <x v="3"/>
    <x v="13"/>
  </r>
  <r>
    <s v="Id25"/>
    <m/>
    <x v="742"/>
    <x v="525"/>
    <m/>
    <x v="2"/>
    <x v="2"/>
    <n v="1"/>
    <x v="2"/>
    <x v="3"/>
    <x v="3"/>
    <m/>
    <x v="77"/>
    <x v="3"/>
    <m/>
    <x v="3"/>
    <x v="13"/>
  </r>
  <r>
    <s v="Id24"/>
    <m/>
    <x v="742"/>
    <x v="525"/>
    <m/>
    <x v="2"/>
    <x v="2"/>
    <s v="No major surgery"/>
    <x v="2"/>
    <x v="3"/>
    <x v="3"/>
    <m/>
    <x v="77"/>
    <x v="3"/>
    <m/>
    <x v="3"/>
    <x v="13"/>
  </r>
  <r>
    <s v="Id23"/>
    <m/>
    <x v="742"/>
    <x v="525"/>
    <m/>
    <x v="2"/>
    <x v="2"/>
    <n v="1"/>
    <x v="2"/>
    <x v="3"/>
    <x v="3"/>
    <m/>
    <x v="77"/>
    <x v="3"/>
    <m/>
    <x v="3"/>
    <x v="13"/>
  </r>
  <r>
    <s v="Id22"/>
    <m/>
    <x v="742"/>
    <x v="525"/>
    <m/>
    <x v="2"/>
    <x v="2"/>
    <s v="No major surgery"/>
    <x v="2"/>
    <x v="3"/>
    <x v="3"/>
    <m/>
    <x v="77"/>
    <x v="3"/>
    <m/>
    <x v="3"/>
    <x v="13"/>
  </r>
  <r>
    <s v="Id21"/>
    <m/>
    <x v="742"/>
    <x v="525"/>
    <m/>
    <x v="2"/>
    <x v="2"/>
    <s v="No major surgery"/>
    <x v="2"/>
    <x v="3"/>
    <x v="3"/>
    <m/>
    <x v="77"/>
    <x v="3"/>
    <m/>
    <x v="3"/>
    <x v="13"/>
  </r>
  <r>
    <s v="Id20"/>
    <m/>
    <x v="742"/>
    <x v="525"/>
    <m/>
    <x v="2"/>
    <x v="2"/>
    <s v="No major surgery"/>
    <x v="2"/>
    <x v="3"/>
    <x v="3"/>
    <m/>
    <x v="77"/>
    <x v="3"/>
    <m/>
    <x v="3"/>
    <x v="13"/>
  </r>
  <r>
    <s v="Id19"/>
    <m/>
    <x v="742"/>
    <x v="525"/>
    <m/>
    <x v="2"/>
    <x v="2"/>
    <s v="No major surgery"/>
    <x v="2"/>
    <x v="3"/>
    <x v="3"/>
    <m/>
    <x v="77"/>
    <x v="3"/>
    <m/>
    <x v="3"/>
    <x v="13"/>
  </r>
  <r>
    <s v="Id18"/>
    <m/>
    <x v="742"/>
    <x v="525"/>
    <m/>
    <x v="2"/>
    <x v="2"/>
    <n v="1"/>
    <x v="2"/>
    <x v="3"/>
    <x v="3"/>
    <m/>
    <x v="77"/>
    <x v="3"/>
    <m/>
    <x v="3"/>
    <x v="13"/>
  </r>
  <r>
    <s v="Id17"/>
    <m/>
    <x v="742"/>
    <x v="525"/>
    <m/>
    <x v="2"/>
    <x v="2"/>
    <s v="No major surgery"/>
    <x v="2"/>
    <x v="3"/>
    <x v="3"/>
    <m/>
    <x v="77"/>
    <x v="3"/>
    <m/>
    <x v="3"/>
    <x v="13"/>
  </r>
  <r>
    <s v="Id16"/>
    <m/>
    <x v="742"/>
    <x v="525"/>
    <m/>
    <x v="2"/>
    <x v="2"/>
    <n v="1"/>
    <x v="2"/>
    <x v="3"/>
    <x v="3"/>
    <m/>
    <x v="77"/>
    <x v="3"/>
    <m/>
    <x v="3"/>
    <x v="13"/>
  </r>
  <r>
    <s v="Id15"/>
    <m/>
    <x v="742"/>
    <x v="525"/>
    <m/>
    <x v="2"/>
    <x v="2"/>
    <n v="1"/>
    <x v="2"/>
    <x v="3"/>
    <x v="3"/>
    <m/>
    <x v="77"/>
    <x v="3"/>
    <m/>
    <x v="3"/>
    <x v="13"/>
  </r>
  <r>
    <s v="Id14"/>
    <m/>
    <x v="742"/>
    <x v="525"/>
    <m/>
    <x v="2"/>
    <x v="2"/>
    <s v="No major surgery"/>
    <x v="2"/>
    <x v="3"/>
    <x v="3"/>
    <m/>
    <x v="77"/>
    <x v="3"/>
    <m/>
    <x v="3"/>
    <x v="13"/>
  </r>
  <r>
    <s v="Id13"/>
    <m/>
    <x v="742"/>
    <x v="525"/>
    <m/>
    <x v="2"/>
    <x v="2"/>
    <n v="1"/>
    <x v="2"/>
    <x v="3"/>
    <x v="3"/>
    <m/>
    <x v="77"/>
    <x v="3"/>
    <m/>
    <x v="3"/>
    <x v="13"/>
  </r>
  <r>
    <s v="Id12"/>
    <m/>
    <x v="742"/>
    <x v="525"/>
    <m/>
    <x v="2"/>
    <x v="2"/>
    <n v="1"/>
    <x v="2"/>
    <x v="3"/>
    <x v="3"/>
    <m/>
    <x v="77"/>
    <x v="3"/>
    <m/>
    <x v="3"/>
    <x v="13"/>
  </r>
  <r>
    <s v="Id11"/>
    <m/>
    <x v="742"/>
    <x v="525"/>
    <m/>
    <x v="2"/>
    <x v="2"/>
    <n v="1"/>
    <x v="2"/>
    <x v="3"/>
    <x v="3"/>
    <m/>
    <x v="77"/>
    <x v="3"/>
    <m/>
    <x v="3"/>
    <x v="13"/>
  </r>
  <r>
    <s v="Id10"/>
    <m/>
    <x v="742"/>
    <x v="525"/>
    <m/>
    <x v="2"/>
    <x v="2"/>
    <n v="1"/>
    <x v="2"/>
    <x v="3"/>
    <x v="3"/>
    <m/>
    <x v="77"/>
    <x v="3"/>
    <m/>
    <x v="3"/>
    <x v="13"/>
  </r>
  <r>
    <s v="Id9"/>
    <m/>
    <x v="742"/>
    <x v="525"/>
    <m/>
    <x v="2"/>
    <x v="2"/>
    <n v="1"/>
    <x v="2"/>
    <x v="3"/>
    <x v="3"/>
    <m/>
    <x v="77"/>
    <x v="3"/>
    <m/>
    <x v="3"/>
    <x v="13"/>
  </r>
  <r>
    <s v="Id8"/>
    <m/>
    <x v="742"/>
    <x v="525"/>
    <m/>
    <x v="2"/>
    <x v="2"/>
    <e v="#VALUE!"/>
    <x v="2"/>
    <x v="3"/>
    <x v="3"/>
    <m/>
    <x v="77"/>
    <x v="3"/>
    <m/>
    <x v="3"/>
    <x v="13"/>
  </r>
  <r>
    <s v="Id7"/>
    <m/>
    <x v="742"/>
    <x v="525"/>
    <m/>
    <x v="2"/>
    <x v="2"/>
    <e v="#VALUE!"/>
    <x v="2"/>
    <x v="3"/>
    <x v="3"/>
    <m/>
    <x v="77"/>
    <x v="3"/>
    <m/>
    <x v="3"/>
    <x v="13"/>
  </r>
  <r>
    <s v="Id6"/>
    <m/>
    <x v="742"/>
    <x v="525"/>
    <m/>
    <x v="2"/>
    <x v="2"/>
    <e v="#VALUE!"/>
    <x v="2"/>
    <x v="3"/>
    <x v="3"/>
    <m/>
    <x v="77"/>
    <x v="3"/>
    <m/>
    <x v="3"/>
    <x v="13"/>
  </r>
  <r>
    <s v="Id5"/>
    <m/>
    <x v="742"/>
    <x v="525"/>
    <m/>
    <x v="2"/>
    <x v="2"/>
    <e v="#VALUE!"/>
    <x v="2"/>
    <x v="3"/>
    <x v="3"/>
    <m/>
    <x v="77"/>
    <x v="3"/>
    <m/>
    <x v="3"/>
    <x v="13"/>
  </r>
  <r>
    <s v="Id4"/>
    <m/>
    <x v="742"/>
    <x v="525"/>
    <m/>
    <x v="2"/>
    <x v="2"/>
    <e v="#VALUE!"/>
    <x v="2"/>
    <x v="3"/>
    <x v="3"/>
    <m/>
    <x v="77"/>
    <x v="3"/>
    <m/>
    <x v="3"/>
    <x v="13"/>
  </r>
  <r>
    <s v="Id3"/>
    <m/>
    <x v="742"/>
    <x v="525"/>
    <m/>
    <x v="2"/>
    <x v="2"/>
    <e v="#VALUE!"/>
    <x v="2"/>
    <x v="3"/>
    <x v="3"/>
    <m/>
    <x v="77"/>
    <x v="3"/>
    <m/>
    <x v="3"/>
    <x v="13"/>
  </r>
  <r>
    <s v="Id2"/>
    <m/>
    <x v="742"/>
    <x v="525"/>
    <m/>
    <x v="2"/>
    <x v="2"/>
    <e v="#VALUE!"/>
    <x v="2"/>
    <x v="3"/>
    <x v="3"/>
    <m/>
    <x v="77"/>
    <x v="3"/>
    <m/>
    <x v="3"/>
    <x v="13"/>
  </r>
  <r>
    <s v="Id1"/>
    <m/>
    <x v="742"/>
    <x v="525"/>
    <m/>
    <x v="2"/>
    <x v="2"/>
    <e v="#VALUE!"/>
    <x v="2"/>
    <x v="3"/>
    <x v="3"/>
    <m/>
    <x v="77"/>
    <x v="3"/>
    <m/>
    <x v="3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E55BF-6E77-435C-84BC-95ECA5354F6E}" name="PivotTable6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H19:I34" firstHeaderRow="1" firstDataRow="1" firstDataCol="1"/>
  <pivotFields count="17"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>
      <items count="79"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77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5">
        <item x="2"/>
        <item x="1"/>
        <item x="0"/>
        <item x="3"/>
        <item t="default"/>
      </items>
    </pivotField>
    <pivotField axis="axisRow" showAll="0">
      <items count="15">
        <item x="9"/>
        <item x="12"/>
        <item x="5"/>
        <item x="3"/>
        <item x="10"/>
        <item x="7"/>
        <item x="2"/>
        <item x="6"/>
        <item x="8"/>
        <item x="4"/>
        <item x="11"/>
        <item x="1"/>
        <item x="0"/>
        <item x="13"/>
        <item t="default"/>
      </items>
    </pivotField>
  </pivotFields>
  <rowFields count="1">
    <field x="16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$charges" fld="12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D69B1-0DF8-433D-95DE-64BE7C6DEB12}" name="PivotTable4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9:F25" firstHeaderRow="1" firstDataRow="2" firstDataCol="1"/>
  <pivotFields count="17"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axis="axisCol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$charges" fld="12" subtotal="count" baseField="15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4EC05-6F9A-44EF-91E6-98C8ABC77D4F}" name="PivotTable3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8">
  <location ref="I3:N9" firstHeaderRow="1" firstDataRow="2" firstDataCol="1"/>
  <pivotFields count="17"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$charges" fld="12" subtotal="count" baseField="0" baseItem="0"/>
  </dataFields>
  <chartFormats count="20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6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6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7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7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7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7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4C09F-B821-460E-8353-7EF3CA96D109}" name="PivotTable2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E3:G7" firstHeaderRow="0" firstDataRow="1" firstDataCol="1"/>
  <pivotFields count="17">
    <pivotField showAll="0"/>
    <pivotField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OfMajorSurgeries" fld="7" baseField="5" baseItem="0"/>
    <dataField name="Sum of HBA1C" fld="3" baseField="5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3D5D8E-D2C6-40AB-AC44-69A73A7C5D4C}" name="PivotTable1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3:B7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dataField="1" showAll="0">
      <items count="4">
        <item x="0"/>
        <item x="1"/>
        <item x="2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ancer history" fld="6" subtotal="count" baseField="0" baseItem="0"/>
  </dataFields>
  <chartFormats count="5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9E5D6F90-8298-47A4-92CD-DA706E3D6F0D}" autoFormatId="16" applyNumberFormats="0" applyBorderFormats="0" applyFontFormats="0" applyPatternFormats="0" applyAlignmentFormats="0" applyWidthHeightFormats="0">
  <queryTableRefresh nextId="18">
    <queryTableFields count="17">
      <queryTableField id="1" name="Customer ID" tableColumnId="1"/>
      <queryTableField id="2" name="BMI" tableColumnId="2"/>
      <queryTableField id="16" dataBound="0" tableColumnId="16"/>
      <queryTableField id="3" name="HBA1C" tableColumnId="3"/>
      <queryTableField id="17" dataBound="0" tableColumnId="17"/>
      <queryTableField id="4" name="Heart Issues" tableColumnId="4"/>
      <queryTableField id="5" name="Any Transplants" tableColumnId="5"/>
      <queryTableField id="6" name="Cancer history" tableColumnId="6"/>
      <queryTableField id="7" name="NumberOfMajorSurgeries" tableColumnId="7"/>
      <queryTableField id="8" name="NumberOfMajorSurgeries 2" tableColumnId="8"/>
      <queryTableField id="9" name="smoker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DCFD547D-A278-49D7-9DE4-946046CE58B0}" autoFormatId="16" applyNumberFormats="0" applyBorderFormats="0" applyFontFormats="0" applyPatternFormats="0" applyAlignmentFormats="0" applyWidthHeightFormats="0">
  <queryTableRefresh nextId="6" unboundColumnsRight="3">
    <queryTableFields count="5">
      <queryTableField id="1" name="Column1" tableColumnId="1"/>
      <queryTableField id="2" name="Column2" tableColumnId="2"/>
      <queryTableField id="3" dataBound="0" tableColumnId="3"/>
      <queryTableField id="4" dataBound="0" tableColumnId="4"/>
      <queryTableField id="5" dataBound="0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E411B0D4-4ED6-4D7F-A35B-B6C0A080F151}" autoFormatId="16" applyNumberFormats="0" applyBorderFormats="0" applyFontFormats="0" applyPatternFormats="0" applyAlignmentFormats="0" applyWidthHeightFormats="0">
  <queryTableRefresh nextId="17">
    <queryTableFields count="16">
      <queryTableField id="1" name="Customer ID" tableColumnId="1"/>
      <queryTableField id="2" name="year" tableColumnId="2"/>
      <queryTableField id="3" name="Year 2" tableColumnId="3"/>
      <queryTableField id="4" name="month" tableColumnId="4"/>
      <queryTableField id="5" name="Month 2" tableColumnId="5"/>
      <queryTableField id="6" name="date" tableColumnId="6"/>
      <queryTableField id="7" name="Date of Birth" tableColumnId="7"/>
      <queryTableField id="8" name="children" tableColumnId="8"/>
      <queryTableField id="9" name="$charges" tableColumnId="9"/>
      <queryTableField id="10" name="Hospital tier" tableColumnId="10"/>
      <queryTableField id="11" name="City tier" tableColumnId="11"/>
      <queryTableField id="12" name="State ID" tableColumnId="12"/>
      <queryTableField id="13" name="Age" tableColumnId="13"/>
      <queryTableField id="14" name="Column15" tableColumnId="14"/>
      <queryTableField id="15" name="Column16" tableColumnId="15"/>
      <queryTableField id="16" name="Column2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644391-86AC-4AB0-925C-0D681510E7D1}" name="Medical_Examinations_2" displayName="Medical_Examinations_2" ref="A1:Q2336" tableType="queryTable" totalsRowShown="0">
  <autoFilter ref="A1:Q2336" xr:uid="{72644391-86AC-4AB0-925C-0D681510E7D1}"/>
  <tableColumns count="17">
    <tableColumn id="1" xr3:uid="{B1B94AA6-680D-4827-AD7F-BF2EC377A656}" uniqueName="1" name="Customer ID" queryTableFieldId="1" dataDxfId="17"/>
    <tableColumn id="2" xr3:uid="{7C4203AD-0E91-46FD-B69E-0996E4F32607}" uniqueName="2" name="BMI" queryTableFieldId="2"/>
    <tableColumn id="16" xr3:uid="{57E0D954-5340-4A7B-B186-745FB356A9B1}" uniqueName="16" name="Weight Status" queryTableFieldId="16" dataDxfId="10">
      <calculatedColumnFormula array="1">_xlfn.IFS(B2&lt;=18.5,  "Underweight",B2&lt;=24.9,"Normal weight",B2&lt;=29.9, "Over weight",B2&gt;=30,"Obesity")</calculatedColumnFormula>
    </tableColumn>
    <tableColumn id="3" xr3:uid="{6A49FDEC-6EF5-4EAB-B502-0F58B357FB5C}" uniqueName="3" name="HBA1C" queryTableFieldId="3"/>
    <tableColumn id="17" xr3:uid="{E0306F0A-D55E-455E-9656-86F2036FCFE6}" uniqueName="17" name="Diabetes Status" queryTableFieldId="17" dataDxfId="9">
      <calculatedColumnFormula array="1">_xlfn.IFS(D2&lt;5.7,"Normal",D2&lt;=6.4,"Prediabetes",D2&gt;=6.5,"Diabetes")</calculatedColumnFormula>
    </tableColumn>
    <tableColumn id="4" xr3:uid="{363415A3-55E4-4853-BFA3-C443F8757DB2}" uniqueName="4" name="Heart Issues" queryTableFieldId="4" dataDxfId="16"/>
    <tableColumn id="5" xr3:uid="{B8D84C3A-0AB9-496E-A527-6F848EA979B8}" uniqueName="5" name="Any Transplants" queryTableFieldId="5" dataDxfId="15"/>
    <tableColumn id="6" xr3:uid="{FC1806BD-4EEF-44D4-AE74-387DD1CB6E5D}" uniqueName="6" name="Cancer history" queryTableFieldId="6" dataDxfId="12"/>
    <tableColumn id="7" xr3:uid="{41BF605B-7AA9-44C4-90F1-3F22D9729CAE}" uniqueName="7" name="NumberOfMajorSurgeries" queryTableFieldId="7" dataDxfId="11"/>
    <tableColumn id="8" xr3:uid="{9E94A382-04B6-4170-AD62-2A541D4A5DEC}" uniqueName="8" name="NumberOfMajorSurgeries 2" queryTableFieldId="8"/>
    <tableColumn id="9" xr3:uid="{D54C97CF-2047-4DD1-8938-DEC4789564CD}" uniqueName="9" name="smoker" queryTableFieldId="9" dataDxfId="14"/>
    <tableColumn id="10" xr3:uid="{FAC3CD73-3090-4487-8B10-EFA1D5EB0802}" uniqueName="10" name="Column9" queryTableFieldId="10"/>
    <tableColumn id="11" xr3:uid="{851E8554-9FCC-443A-8E47-C30F4594F1B1}" uniqueName="11" name="Column10" queryTableFieldId="11"/>
    <tableColumn id="12" xr3:uid="{D0402479-FF77-4683-90E3-EC3DC469BAEE}" uniqueName="12" name="Column11" queryTableFieldId="12"/>
    <tableColumn id="13" xr3:uid="{3BFC0BFC-CBB6-4060-85CA-1A6E10801C93}" uniqueName="13" name="Column12" queryTableFieldId="13"/>
    <tableColumn id="14" xr3:uid="{36FB9D94-0A58-4512-8A0A-F1A568453430}" uniqueName="14" name="Column13" queryTableFieldId="14" dataDxfId="13"/>
    <tableColumn id="15" xr3:uid="{288A6E3B-7DD9-4B68-9BFA-E48A2AE4013B}" uniqueName="15" name="Column14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44A914-6FA9-4C73-9E15-A129798D469E}" name="Customer_Names_2" displayName="Customer_Names_2" ref="A1:E2336" tableType="queryTable" totalsRowShown="0">
  <autoFilter ref="A1:E2336" xr:uid="{8E44A914-6FA9-4C73-9E15-A129798D469E}"/>
  <tableColumns count="5">
    <tableColumn id="1" xr3:uid="{7E63C56B-7580-43E8-91E8-B2F465029864}" uniqueName="1" name="Customer ID" queryTableFieldId="1" dataDxfId="22"/>
    <tableColumn id="2" xr3:uid="{CFC8309F-FD93-4827-9EE2-129624B358C8}" uniqueName="2" name="name" queryTableFieldId="2" dataDxfId="18"/>
    <tableColumn id="3" xr3:uid="{B43019E0-5B7A-4AE0-9D96-B5D2B8CBE064}" uniqueName="3" name="Title" queryTableFieldId="3" dataDxfId="21"/>
    <tableColumn id="4" xr3:uid="{B7CE9DD1-C93F-4289-A018-116499304A85}" uniqueName="4" name="First Name" queryTableFieldId="4" dataDxfId="20"/>
    <tableColumn id="5" xr3:uid="{502C0D4E-EE51-4C61-B6D4-D64DF756684D}" uniqueName="5" name="Last Name" queryTableFieldId="5" dataDxf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ED70E43-50D7-4665-ADAE-C49B952B0BDA}" name="Hospitalisation_Details_2__3" displayName="Hospitalisation_Details_2__3" ref="A1:P2344" tableType="queryTable" totalsRowShown="0">
  <autoFilter ref="A1:P2344" xr:uid="{1ED70E43-50D7-4665-ADAE-C49B952B0BDA}"/>
  <tableColumns count="16">
    <tableColumn id="1" xr3:uid="{14DB7115-0B7F-4BB1-A50D-8A9152DF2369}" uniqueName="1" name="Customer ID" queryTableFieldId="1" dataDxfId="8"/>
    <tableColumn id="2" xr3:uid="{F86BD584-3902-4899-A33F-C70EBC71C725}" uniqueName="2" name="year" queryTableFieldId="2"/>
    <tableColumn id="3" xr3:uid="{D3568689-61FD-4937-BCE4-90F759041D78}" uniqueName="3" name="Year 2" queryTableFieldId="3"/>
    <tableColumn id="4" xr3:uid="{FB8B9D53-802F-480B-A66E-DD061535B158}" uniqueName="4" name="month" queryTableFieldId="4" dataDxfId="7"/>
    <tableColumn id="5" xr3:uid="{A620B78F-983A-451B-8F4E-D74CD44A6AB7}" uniqueName="5" name="Month 2" queryTableFieldId="5" dataDxfId="6"/>
    <tableColumn id="6" xr3:uid="{15AC5044-81A8-49C2-856F-CE14E9003B5D}" uniqueName="6" name="date" queryTableFieldId="6"/>
    <tableColumn id="7" xr3:uid="{B5C6FE9A-A4D5-44B0-8D7A-4529780370EF}" uniqueName="7" name="Date of Birth" queryTableFieldId="7" dataDxfId="5"/>
    <tableColumn id="8" xr3:uid="{C98EAD32-F4E1-46A1-904A-0C26BB7D4EB8}" uniqueName="8" name="children" queryTableFieldId="8"/>
    <tableColumn id="9" xr3:uid="{FA842F01-C99D-4401-B4A8-ED161DD4D0D9}" uniqueName="9" name="$charges" queryTableFieldId="9" dataDxfId="4"/>
    <tableColumn id="10" xr3:uid="{06F960EF-B9C1-44B4-A25E-68CB7001D7B3}" uniqueName="10" name="Hospital tier" queryTableFieldId="10" dataDxfId="3"/>
    <tableColumn id="11" xr3:uid="{1D68920A-40DF-4B90-8489-A02C328A16E0}" uniqueName="11" name="City tier" queryTableFieldId="11" dataDxfId="2"/>
    <tableColumn id="12" xr3:uid="{63FB4583-8F0E-4349-A45A-AE53E6CADF11}" uniqueName="12" name="State ID" queryTableFieldId="12" dataDxfId="1"/>
    <tableColumn id="13" xr3:uid="{E307C1B0-FCF5-4059-8CFD-7C70EC3A871F}" uniqueName="13" name="Age" queryTableFieldId="13"/>
    <tableColumn id="14" xr3:uid="{A6A4EA06-83BA-4CDF-BB4F-F74290E5A531}" uniqueName="14" name="Column15" queryTableFieldId="14" dataDxfId="0"/>
    <tableColumn id="15" xr3:uid="{E5E3CAA7-34C5-45C6-A291-CCEE2D5DB746}" uniqueName="15" name="Column16" queryTableFieldId="15"/>
    <tableColumn id="16" xr3:uid="{816A7216-B8FD-49BD-BC56-A3AFDC2F2F8A}" uniqueName="16" name="Column2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0822-E8F6-4908-86A0-9B5353A01CD7}">
  <dimension ref="A1:Q2336"/>
  <sheetViews>
    <sheetView zoomScale="80" workbookViewId="0">
      <selection activeCell="E1" sqref="E1"/>
    </sheetView>
  </sheetViews>
  <sheetFormatPr defaultRowHeight="15" x14ac:dyDescent="0.25"/>
  <cols>
    <col min="1" max="1" width="14.140625" bestFit="1" customWidth="1"/>
    <col min="2" max="2" width="7" bestFit="1" customWidth="1"/>
    <col min="3" max="3" width="15.85546875" bestFit="1" customWidth="1"/>
    <col min="5" max="5" width="17.140625" bestFit="1" customWidth="1"/>
    <col min="6" max="6" width="17.42578125" bestFit="1" customWidth="1"/>
    <col min="7" max="7" width="16" bestFit="1" customWidth="1"/>
    <col min="8" max="8" width="26.7109375" style="1" bestFit="1" customWidth="1"/>
    <col min="9" max="9" width="28.28515625" bestFit="1" customWidth="1"/>
    <col min="10" max="10" width="9.85546875" bestFit="1" customWidth="1"/>
    <col min="11" max="11" width="11.140625" bestFit="1" customWidth="1"/>
    <col min="12" max="14" width="12.140625" bestFit="1" customWidth="1"/>
    <col min="15" max="15" width="14.85546875" bestFit="1" customWidth="1"/>
    <col min="16" max="16" width="12.140625" bestFit="1" customWidth="1"/>
  </cols>
  <sheetData>
    <row r="1" spans="1:17" x14ac:dyDescent="0.25">
      <c r="A1" t="s">
        <v>0</v>
      </c>
      <c r="B1" t="s">
        <v>2372</v>
      </c>
      <c r="C1" t="s">
        <v>10715</v>
      </c>
      <c r="D1" t="s">
        <v>2373</v>
      </c>
      <c r="E1" t="s">
        <v>10717</v>
      </c>
      <c r="F1" t="s">
        <v>2374</v>
      </c>
      <c r="G1" t="s">
        <v>2375</v>
      </c>
      <c r="H1" t="s">
        <v>2376</v>
      </c>
      <c r="I1" s="1" t="s">
        <v>2377</v>
      </c>
      <c r="J1" t="s">
        <v>8380</v>
      </c>
      <c r="K1" t="s">
        <v>2378</v>
      </c>
      <c r="L1" t="s">
        <v>4733</v>
      </c>
      <c r="M1" t="s">
        <v>4734</v>
      </c>
      <c r="N1" t="s">
        <v>4735</v>
      </c>
      <c r="O1" t="s">
        <v>4736</v>
      </c>
      <c r="P1" t="s">
        <v>4737</v>
      </c>
      <c r="Q1" t="s">
        <v>4738</v>
      </c>
    </row>
    <row r="2" spans="1:17" x14ac:dyDescent="0.25">
      <c r="A2" s="3" t="s">
        <v>2371</v>
      </c>
      <c r="B2">
        <v>47.41</v>
      </c>
      <c r="C2" t="str" cm="1">
        <f t="array" ref="C2">_xlfn.IFS(B2&lt;=18.5,  "Underweight",B2&lt;=24.9,"Normal weight",B2&lt;=29.9, "Over weight",B2&gt;=30,"Obesity")</f>
        <v>Obesity</v>
      </c>
      <c r="D2">
        <v>7.47</v>
      </c>
      <c r="E2" t="str" cm="1">
        <f t="array" ref="E2">_xlfn.IFS(D2&lt;5.7,"Normal",D2&lt;=6.4,"Prediabetes",D2&gt;=6.5,"Diabetes")</f>
        <v>Diabetes</v>
      </c>
      <c r="F2" s="3" t="s">
        <v>2379</v>
      </c>
      <c r="G2" s="3" t="s">
        <v>2379</v>
      </c>
      <c r="H2" s="3" t="s">
        <v>2379</v>
      </c>
      <c r="I2" s="1" t="s">
        <v>2380</v>
      </c>
      <c r="J2">
        <v>0</v>
      </c>
      <c r="K2" s="3" t="s">
        <v>2382</v>
      </c>
      <c r="O2">
        <v>1</v>
      </c>
      <c r="P2" s="3" t="s">
        <v>0</v>
      </c>
      <c r="Q2">
        <v>0</v>
      </c>
    </row>
    <row r="3" spans="1:17" x14ac:dyDescent="0.25">
      <c r="A3" s="3" t="s">
        <v>2370</v>
      </c>
      <c r="B3">
        <v>30.36</v>
      </c>
      <c r="C3" t="str" cm="1">
        <f t="array" ref="C3">_xlfn.IFS(B3&lt;=18.5,  "Underweight",B3&lt;=24.9,"Normal weight",B3&lt;=29.9, "Over weight",B3&gt;=30,"Obesity")</f>
        <v>Obesity</v>
      </c>
      <c r="D3">
        <v>5.77</v>
      </c>
      <c r="E3" t="str" cm="1">
        <f t="array" ref="E3">_xlfn.IFS(D3&lt;5.7,"Normal",D3&lt;=6.4,"Prediabetes",D3&gt;=6.5,"Diabetes")</f>
        <v>Prediabetes</v>
      </c>
      <c r="F3" s="3" t="s">
        <v>2379</v>
      </c>
      <c r="G3" s="3" t="s">
        <v>2379</v>
      </c>
      <c r="H3" s="3" t="s">
        <v>2379</v>
      </c>
      <c r="I3" s="1" t="s">
        <v>2380</v>
      </c>
      <c r="J3">
        <v>0</v>
      </c>
      <c r="K3" s="3" t="s">
        <v>2382</v>
      </c>
      <c r="P3" s="3" t="s">
        <v>2372</v>
      </c>
      <c r="Q3">
        <v>0</v>
      </c>
    </row>
    <row r="4" spans="1:17" x14ac:dyDescent="0.25">
      <c r="A4" s="3" t="s">
        <v>2369</v>
      </c>
      <c r="B4">
        <v>34.484999999999999</v>
      </c>
      <c r="C4" t="str" cm="1">
        <f t="array" ref="C4">_xlfn.IFS(B4&lt;=18.5,  "Underweight",B4&lt;=24.9,"Normal weight",B4&lt;=29.9, "Over weight",B4&gt;=30,"Obesity")</f>
        <v>Obesity</v>
      </c>
      <c r="D4">
        <v>11.87</v>
      </c>
      <c r="E4" t="str" cm="1">
        <f t="array" ref="E4">_xlfn.IFS(D4&lt;5.7,"Normal",D4&lt;=6.4,"Prediabetes",D4&gt;=6.5,"Diabetes")</f>
        <v>Diabetes</v>
      </c>
      <c r="F4" s="3" t="s">
        <v>2382</v>
      </c>
      <c r="G4" s="3" t="s">
        <v>2379</v>
      </c>
      <c r="H4" s="3" t="s">
        <v>2379</v>
      </c>
      <c r="I4" s="1">
        <v>2</v>
      </c>
      <c r="J4">
        <v>2</v>
      </c>
      <c r="K4" s="3" t="s">
        <v>2382</v>
      </c>
      <c r="P4" s="3" t="s">
        <v>2373</v>
      </c>
      <c r="Q4">
        <v>0</v>
      </c>
    </row>
    <row r="5" spans="1:17" x14ac:dyDescent="0.25">
      <c r="A5" s="3" t="s">
        <v>2368</v>
      </c>
      <c r="B5">
        <v>38.094999999999999</v>
      </c>
      <c r="C5" t="str" cm="1">
        <f t="array" ref="C5">_xlfn.IFS(B5&lt;=18.5,  "Underweight",B5&lt;=24.9,"Normal weight",B5&lt;=29.9, "Over weight",B5&gt;=30,"Obesity")</f>
        <v>Obesity</v>
      </c>
      <c r="D5">
        <v>6.05</v>
      </c>
      <c r="E5" t="str" cm="1">
        <f t="array" ref="E5">_xlfn.IFS(D5&lt;5.7,"Normal",D5&lt;=6.4,"Prediabetes",D5&gt;=6.5,"Diabetes")</f>
        <v>Prediabetes</v>
      </c>
      <c r="F5" s="3" t="s">
        <v>2379</v>
      </c>
      <c r="G5" s="3" t="s">
        <v>2379</v>
      </c>
      <c r="H5" s="3" t="s">
        <v>2379</v>
      </c>
      <c r="I5" s="1" t="s">
        <v>2380</v>
      </c>
      <c r="J5">
        <v>0</v>
      </c>
      <c r="K5" s="3" t="s">
        <v>2382</v>
      </c>
      <c r="P5" s="3" t="s">
        <v>2374</v>
      </c>
      <c r="Q5">
        <v>0</v>
      </c>
    </row>
    <row r="6" spans="1:17" x14ac:dyDescent="0.25">
      <c r="A6" s="3" t="s">
        <v>2367</v>
      </c>
      <c r="B6">
        <v>35.53</v>
      </c>
      <c r="C6" t="str" cm="1">
        <f t="array" ref="C6">_xlfn.IFS(B6&lt;=18.5,  "Underweight",B6&lt;=24.9,"Normal weight",B6&lt;=29.9, "Over weight",B6&gt;=30,"Obesity")</f>
        <v>Obesity</v>
      </c>
      <c r="D6">
        <v>5.45</v>
      </c>
      <c r="E6" t="str" cm="1">
        <f t="array" ref="E6">_xlfn.IFS(D6&lt;5.7,"Normal",D6&lt;=6.4,"Prediabetes",D6&gt;=6.5,"Diabetes")</f>
        <v>Normal</v>
      </c>
      <c r="F6" s="3" t="s">
        <v>2379</v>
      </c>
      <c r="G6" s="3" t="s">
        <v>2379</v>
      </c>
      <c r="H6" s="3" t="s">
        <v>2379</v>
      </c>
      <c r="I6" s="1" t="s">
        <v>2380</v>
      </c>
      <c r="J6">
        <v>0</v>
      </c>
      <c r="K6" s="3" t="s">
        <v>2382</v>
      </c>
      <c r="P6" s="3" t="s">
        <v>4719</v>
      </c>
      <c r="Q6">
        <v>0</v>
      </c>
    </row>
    <row r="7" spans="1:17" x14ac:dyDescent="0.25">
      <c r="A7" s="3" t="s">
        <v>2366</v>
      </c>
      <c r="B7">
        <v>32.799999999999997</v>
      </c>
      <c r="C7" t="str" cm="1">
        <f t="array" ref="C7">_xlfn.IFS(B7&lt;=18.5,  "Underweight",B7&lt;=24.9,"Normal weight",B7&lt;=29.9, "Over weight",B7&gt;=30,"Obesity")</f>
        <v>Obesity</v>
      </c>
      <c r="D7">
        <v>6.59</v>
      </c>
      <c r="E7" t="str" cm="1">
        <f t="array" ref="E7">_xlfn.IFS(D7&lt;5.7,"Normal",D7&lt;=6.4,"Prediabetes",D7&gt;=6.5,"Diabetes")</f>
        <v>Diabetes</v>
      </c>
      <c r="F7" s="3" t="s">
        <v>2379</v>
      </c>
      <c r="G7" s="3" t="s">
        <v>2379</v>
      </c>
      <c r="H7" s="3" t="s">
        <v>2379</v>
      </c>
      <c r="I7" s="1" t="s">
        <v>2380</v>
      </c>
      <c r="J7">
        <v>0</v>
      </c>
      <c r="K7" s="3" t="s">
        <v>2382</v>
      </c>
      <c r="P7" s="3" t="s">
        <v>2376</v>
      </c>
      <c r="Q7">
        <v>0</v>
      </c>
    </row>
    <row r="8" spans="1:17" x14ac:dyDescent="0.25">
      <c r="A8" s="3" t="s">
        <v>2365</v>
      </c>
      <c r="B8">
        <v>36.4</v>
      </c>
      <c r="C8" t="str" cm="1">
        <f t="array" ref="C8">_xlfn.IFS(B8&lt;=18.5,  "Underweight",B8&lt;=24.9,"Normal weight",B8&lt;=29.9, "Over weight",B8&gt;=30,"Obesity")</f>
        <v>Obesity</v>
      </c>
      <c r="D8">
        <v>6.07</v>
      </c>
      <c r="E8" t="str" cm="1">
        <f t="array" ref="E8">_xlfn.IFS(D8&lt;5.7,"Normal",D8&lt;=6.4,"Prediabetes",D8&gt;=6.5,"Diabetes")</f>
        <v>Prediabetes</v>
      </c>
      <c r="F8" s="3" t="s">
        <v>2379</v>
      </c>
      <c r="G8" s="3" t="s">
        <v>2379</v>
      </c>
      <c r="H8" s="3" t="s">
        <v>2379</v>
      </c>
      <c r="I8" s="1" t="s">
        <v>2380</v>
      </c>
      <c r="J8">
        <v>0</v>
      </c>
      <c r="K8" s="3" t="s">
        <v>2382</v>
      </c>
      <c r="P8" s="3" t="s">
        <v>4720</v>
      </c>
      <c r="Q8">
        <v>0</v>
      </c>
    </row>
    <row r="9" spans="1:17" x14ac:dyDescent="0.25">
      <c r="A9" s="3" t="s">
        <v>2364</v>
      </c>
      <c r="B9">
        <v>36.96</v>
      </c>
      <c r="C9" t="str" cm="1">
        <f t="array" ref="C9">_xlfn.IFS(B9&lt;=18.5,  "Underweight",B9&lt;=24.9,"Normal weight",B9&lt;=29.9, "Over weight",B9&gt;=30,"Obesity")</f>
        <v>Obesity</v>
      </c>
      <c r="D9">
        <v>7.93</v>
      </c>
      <c r="E9" t="str" cm="1">
        <f t="array" ref="E9">_xlfn.IFS(D9&lt;5.7,"Normal",D9&lt;=6.4,"Prediabetes",D9&gt;=6.5,"Diabetes")</f>
        <v>Diabetes</v>
      </c>
      <c r="F9" s="3" t="s">
        <v>2379</v>
      </c>
      <c r="G9" s="3" t="s">
        <v>2379</v>
      </c>
      <c r="H9" s="3" t="s">
        <v>2379</v>
      </c>
      <c r="I9" s="1">
        <v>3</v>
      </c>
      <c r="J9">
        <v>3</v>
      </c>
      <c r="K9" s="3" t="s">
        <v>2382</v>
      </c>
      <c r="P9" s="3" t="s">
        <v>4721</v>
      </c>
      <c r="Q9">
        <v>2</v>
      </c>
    </row>
    <row r="10" spans="1:17" x14ac:dyDescent="0.25">
      <c r="A10" s="3" t="s">
        <v>2363</v>
      </c>
      <c r="B10">
        <v>41.14</v>
      </c>
      <c r="C10" t="str" cm="1">
        <f t="array" ref="C10">_xlfn.IFS(B10&lt;=18.5,  "Underweight",B10&lt;=24.9,"Normal weight",B10&lt;=29.9, "Over weight",B10&gt;=30,"Obesity")</f>
        <v>Obesity</v>
      </c>
      <c r="D10">
        <v>9.58</v>
      </c>
      <c r="E10" t="str" cm="1">
        <f t="array" ref="E10">_xlfn.IFS(D10&lt;5.7,"Normal",D10&lt;=6.4,"Prediabetes",D10&gt;=6.5,"Diabetes")</f>
        <v>Diabetes</v>
      </c>
      <c r="F10" s="3" t="s">
        <v>2382</v>
      </c>
      <c r="G10" s="3" t="s">
        <v>2379</v>
      </c>
      <c r="H10" s="3" t="s">
        <v>2382</v>
      </c>
      <c r="I10" s="1">
        <v>1</v>
      </c>
      <c r="J10">
        <v>1</v>
      </c>
      <c r="K10" s="3" t="s">
        <v>2382</v>
      </c>
      <c r="P10" s="3"/>
    </row>
    <row r="11" spans="1:17" x14ac:dyDescent="0.25">
      <c r="A11" s="3" t="s">
        <v>2362</v>
      </c>
      <c r="B11">
        <v>38.06</v>
      </c>
      <c r="C11" t="str" cm="1">
        <f t="array" ref="C11">_xlfn.IFS(B11&lt;=18.5,  "Underweight",B11&lt;=24.9,"Normal weight",B11&lt;=29.9, "Over weight",B11&gt;=30,"Obesity")</f>
        <v>Obesity</v>
      </c>
      <c r="D11">
        <v>10.79</v>
      </c>
      <c r="E11" t="str" cm="1">
        <f t="array" ref="E11">_xlfn.IFS(D11&lt;5.7,"Normal",D11&lt;=6.4,"Prediabetes",D11&gt;=6.5,"Diabetes")</f>
        <v>Diabetes</v>
      </c>
      <c r="F11" s="3" t="s">
        <v>2379</v>
      </c>
      <c r="G11" s="3" t="s">
        <v>2379</v>
      </c>
      <c r="H11" s="3" t="s">
        <v>2379</v>
      </c>
      <c r="I11" s="1" t="s">
        <v>2380</v>
      </c>
      <c r="J11">
        <v>0</v>
      </c>
      <c r="K11" s="3" t="s">
        <v>2382</v>
      </c>
      <c r="P11" s="3"/>
    </row>
    <row r="12" spans="1:17" x14ac:dyDescent="0.25">
      <c r="A12" s="3" t="s">
        <v>2361</v>
      </c>
      <c r="B12">
        <v>37.700000000000003</v>
      </c>
      <c r="C12" t="str" cm="1">
        <f t="array" ref="C12">_xlfn.IFS(B12&lt;=18.5,  "Underweight",B12&lt;=24.9,"Normal weight",B12&lt;=29.9, "Over weight",B12&gt;=30,"Obesity")</f>
        <v>Obesity</v>
      </c>
      <c r="D12">
        <v>5.96</v>
      </c>
      <c r="E12" t="str" cm="1">
        <f t="array" ref="E12">_xlfn.IFS(D12&lt;5.7,"Normal",D12&lt;=6.4,"Prediabetes",D12&gt;=6.5,"Diabetes")</f>
        <v>Prediabetes</v>
      </c>
      <c r="F12" s="3" t="s">
        <v>2382</v>
      </c>
      <c r="G12" s="3" t="s">
        <v>2379</v>
      </c>
      <c r="H12" s="3" t="s">
        <v>2379</v>
      </c>
      <c r="I12" s="1">
        <v>2</v>
      </c>
      <c r="J12">
        <v>2</v>
      </c>
      <c r="K12" s="3" t="s">
        <v>2382</v>
      </c>
      <c r="P12" s="3"/>
    </row>
    <row r="13" spans="1:17" x14ac:dyDescent="0.25">
      <c r="A13" s="3" t="s">
        <v>2360</v>
      </c>
      <c r="B13">
        <v>42.13</v>
      </c>
      <c r="C13" t="str" cm="1">
        <f t="array" ref="C13">_xlfn.IFS(B13&lt;=18.5,  "Underweight",B13&lt;=24.9,"Normal weight",B13&lt;=29.9, "Over weight",B13&gt;=30,"Obesity")</f>
        <v>Obesity</v>
      </c>
      <c r="D13">
        <v>11.9</v>
      </c>
      <c r="E13" t="str" cm="1">
        <f t="array" ref="E13">_xlfn.IFS(D13&lt;5.7,"Normal",D13&lt;=6.4,"Prediabetes",D13&gt;=6.5,"Diabetes")</f>
        <v>Diabetes</v>
      </c>
      <c r="F13" s="3" t="s">
        <v>2379</v>
      </c>
      <c r="G13" s="3" t="s">
        <v>2379</v>
      </c>
      <c r="H13" s="3" t="s">
        <v>2379</v>
      </c>
      <c r="I13" s="1" t="s">
        <v>2380</v>
      </c>
      <c r="J13">
        <v>0</v>
      </c>
      <c r="K13" s="3" t="s">
        <v>2382</v>
      </c>
      <c r="P13" s="3"/>
    </row>
    <row r="14" spans="1:17" x14ac:dyDescent="0.25">
      <c r="A14" s="3" t="s">
        <v>2359</v>
      </c>
      <c r="B14">
        <v>40.92</v>
      </c>
      <c r="C14" t="str" cm="1">
        <f t="array" ref="C14">_xlfn.IFS(B14&lt;=18.5,  "Underweight",B14&lt;=24.9,"Normal weight",B14&lt;=29.9, "Over weight",B14&gt;=30,"Obesity")</f>
        <v>Obesity</v>
      </c>
      <c r="D14">
        <v>8.41</v>
      </c>
      <c r="E14" t="str" cm="1">
        <f t="array" ref="E14">_xlfn.IFS(D14&lt;5.7,"Normal",D14&lt;=6.4,"Prediabetes",D14&gt;=6.5,"Diabetes")</f>
        <v>Diabetes</v>
      </c>
      <c r="F14" s="3" t="s">
        <v>2379</v>
      </c>
      <c r="G14" s="3" t="s">
        <v>2379</v>
      </c>
      <c r="H14" s="3" t="s">
        <v>2379</v>
      </c>
      <c r="I14" s="1" t="s">
        <v>2380</v>
      </c>
      <c r="J14">
        <v>0</v>
      </c>
      <c r="K14" s="3" t="s">
        <v>2382</v>
      </c>
      <c r="P14" s="3"/>
    </row>
    <row r="15" spans="1:17" x14ac:dyDescent="0.25">
      <c r="A15" s="3" t="s">
        <v>2358</v>
      </c>
      <c r="B15">
        <v>40.564999999999998</v>
      </c>
      <c r="C15" t="str" cm="1">
        <f t="array" ref="C15">_xlfn.IFS(B15&lt;=18.5,  "Underweight",B15&lt;=24.9,"Normal weight",B15&lt;=29.9, "Over weight",B15&gt;=30,"Obesity")</f>
        <v>Obesity</v>
      </c>
      <c r="D15">
        <v>7.02</v>
      </c>
      <c r="E15" t="str" cm="1">
        <f t="array" ref="E15">_xlfn.IFS(D15&lt;5.7,"Normal",D15&lt;=6.4,"Prediabetes",D15&gt;=6.5,"Diabetes")</f>
        <v>Diabetes</v>
      </c>
      <c r="F15" s="3" t="s">
        <v>2379</v>
      </c>
      <c r="G15" s="3" t="s">
        <v>2379</v>
      </c>
      <c r="H15" s="3" t="s">
        <v>2379</v>
      </c>
      <c r="I15" s="1" t="s">
        <v>2380</v>
      </c>
      <c r="J15">
        <v>0</v>
      </c>
      <c r="K15" s="3" t="s">
        <v>2382</v>
      </c>
      <c r="P15" s="3"/>
    </row>
    <row r="16" spans="1:17" x14ac:dyDescent="0.25">
      <c r="A16" s="3" t="s">
        <v>2357</v>
      </c>
      <c r="B16">
        <v>36.384999999999998</v>
      </c>
      <c r="C16" t="str" cm="1">
        <f t="array" ref="C16">_xlfn.IFS(B16&lt;=18.5,  "Underweight",B16&lt;=24.9,"Normal weight",B16&lt;=29.9, "Over weight",B16&gt;=30,"Obesity")</f>
        <v>Obesity</v>
      </c>
      <c r="D16">
        <v>7.59</v>
      </c>
      <c r="E16" t="str" cm="1">
        <f t="array" ref="E16">_xlfn.IFS(D16&lt;5.7,"Normal",D16&lt;=6.4,"Prediabetes",D16&gt;=6.5,"Diabetes")</f>
        <v>Diabetes</v>
      </c>
      <c r="F16" s="3" t="s">
        <v>2382</v>
      </c>
      <c r="G16" s="3" t="s">
        <v>2379</v>
      </c>
      <c r="H16" s="3" t="s">
        <v>2379</v>
      </c>
      <c r="I16" s="1">
        <v>2</v>
      </c>
      <c r="J16">
        <v>2</v>
      </c>
      <c r="K16" s="3" t="s">
        <v>2382</v>
      </c>
      <c r="P16" s="3"/>
    </row>
    <row r="17" spans="1:16" x14ac:dyDescent="0.25">
      <c r="A17" s="3" t="s">
        <v>2356</v>
      </c>
      <c r="B17">
        <v>39.9</v>
      </c>
      <c r="C17" t="str" cm="1">
        <f t="array" ref="C17">_xlfn.IFS(B17&lt;=18.5,  "Underweight",B17&lt;=24.9,"Normal weight",B17&lt;=29.9, "Over weight",B17&gt;=30,"Obesity")</f>
        <v>Obesity</v>
      </c>
      <c r="D17">
        <v>11.32</v>
      </c>
      <c r="E17" t="str" cm="1">
        <f t="array" ref="E17">_xlfn.IFS(D17&lt;5.7,"Normal",D17&lt;=6.4,"Prediabetes",D17&gt;=6.5,"Diabetes")</f>
        <v>Diabetes</v>
      </c>
      <c r="F17" s="3" t="s">
        <v>2379</v>
      </c>
      <c r="G17" s="3" t="s">
        <v>2379</v>
      </c>
      <c r="H17" s="3" t="s">
        <v>2379</v>
      </c>
      <c r="I17" s="1" t="s">
        <v>2380</v>
      </c>
      <c r="J17">
        <v>0</v>
      </c>
      <c r="K17" s="3" t="s">
        <v>2382</v>
      </c>
      <c r="P17" s="3"/>
    </row>
    <row r="18" spans="1:16" x14ac:dyDescent="0.25">
      <c r="A18" s="3" t="s">
        <v>2355</v>
      </c>
      <c r="B18">
        <v>33.799999999999997</v>
      </c>
      <c r="C18" t="str" cm="1">
        <f t="array" ref="C18">_xlfn.IFS(B18&lt;=18.5,  "Underweight",B18&lt;=24.9,"Normal weight",B18&lt;=29.9, "Over weight",B18&gt;=30,"Obesity")</f>
        <v>Obesity</v>
      </c>
      <c r="D18">
        <v>7.67</v>
      </c>
      <c r="E18" t="str" cm="1">
        <f t="array" ref="E18">_xlfn.IFS(D18&lt;5.7,"Normal",D18&lt;=6.4,"Prediabetes",D18&gt;=6.5,"Diabetes")</f>
        <v>Diabetes</v>
      </c>
      <c r="F18" s="3" t="s">
        <v>2379</v>
      </c>
      <c r="G18" s="3" t="s">
        <v>2379</v>
      </c>
      <c r="H18" s="3" t="s">
        <v>2379</v>
      </c>
      <c r="I18" s="1">
        <v>3</v>
      </c>
      <c r="J18">
        <v>3</v>
      </c>
      <c r="K18" s="3" t="s">
        <v>2382</v>
      </c>
      <c r="P18" s="3"/>
    </row>
    <row r="19" spans="1:16" x14ac:dyDescent="0.25">
      <c r="A19" s="3" t="s">
        <v>2354</v>
      </c>
      <c r="B19">
        <v>36.765000000000001</v>
      </c>
      <c r="C19" t="str" cm="1">
        <f t="array" ref="C19">_xlfn.IFS(B19&lt;=18.5,  "Underweight",B19&lt;=24.9,"Normal weight",B19&lt;=29.9, "Over weight",B19&gt;=30,"Obesity")</f>
        <v>Obesity</v>
      </c>
      <c r="D19">
        <v>7.29</v>
      </c>
      <c r="E19" t="str" cm="1">
        <f t="array" ref="E19">_xlfn.IFS(D19&lt;5.7,"Normal",D19&lt;=6.4,"Prediabetes",D19&gt;=6.5,"Diabetes")</f>
        <v>Diabetes</v>
      </c>
      <c r="F19" s="3" t="s">
        <v>2382</v>
      </c>
      <c r="G19" s="3" t="s">
        <v>2379</v>
      </c>
      <c r="H19" s="3" t="s">
        <v>2382</v>
      </c>
      <c r="I19" s="1">
        <v>1</v>
      </c>
      <c r="J19">
        <v>1</v>
      </c>
      <c r="K19" s="3" t="s">
        <v>2382</v>
      </c>
      <c r="P19" s="3"/>
    </row>
    <row r="20" spans="1:16" x14ac:dyDescent="0.25">
      <c r="A20" s="3" t="s">
        <v>2353</v>
      </c>
      <c r="B20">
        <v>36.954999999999998</v>
      </c>
      <c r="C20" t="str" cm="1">
        <f t="array" ref="C20">_xlfn.IFS(B20&lt;=18.5,  "Underweight",B20&lt;=24.9,"Normal weight",B20&lt;=29.9, "Over weight",B20&gt;=30,"Obesity")</f>
        <v>Obesity</v>
      </c>
      <c r="D20">
        <v>4.72</v>
      </c>
      <c r="E20" t="str" cm="1">
        <f t="array" ref="E20">_xlfn.IFS(D20&lt;5.7,"Normal",D20&lt;=6.4,"Prediabetes",D20&gt;=6.5,"Diabetes")</f>
        <v>Normal</v>
      </c>
      <c r="F20" s="3" t="s">
        <v>2382</v>
      </c>
      <c r="G20" s="3" t="s">
        <v>2379</v>
      </c>
      <c r="H20" s="3" t="s">
        <v>2379</v>
      </c>
      <c r="I20" s="1">
        <v>1</v>
      </c>
      <c r="J20">
        <v>1</v>
      </c>
      <c r="K20" s="3" t="s">
        <v>2382</v>
      </c>
      <c r="P20" s="3"/>
    </row>
    <row r="21" spans="1:16" x14ac:dyDescent="0.25">
      <c r="A21" s="3" t="s">
        <v>2352</v>
      </c>
      <c r="B21">
        <v>42.9</v>
      </c>
      <c r="C21" t="str" cm="1">
        <f t="array" ref="C21">_xlfn.IFS(B21&lt;=18.5,  "Underweight",B21&lt;=24.9,"Normal weight",B21&lt;=29.9, "Over weight",B21&gt;=30,"Obesity")</f>
        <v>Obesity</v>
      </c>
      <c r="D21">
        <v>11.41</v>
      </c>
      <c r="E21" t="str" cm="1">
        <f t="array" ref="E21">_xlfn.IFS(D21&lt;5.7,"Normal",D21&lt;=6.4,"Prediabetes",D21&gt;=6.5,"Diabetes")</f>
        <v>Diabetes</v>
      </c>
      <c r="F21" s="3" t="s">
        <v>2379</v>
      </c>
      <c r="G21" s="3" t="s">
        <v>2379</v>
      </c>
      <c r="H21" s="3" t="s">
        <v>2379</v>
      </c>
      <c r="I21" s="1" t="s">
        <v>2380</v>
      </c>
      <c r="J21">
        <v>0</v>
      </c>
      <c r="K21" s="3" t="s">
        <v>2382</v>
      </c>
      <c r="P21" s="3"/>
    </row>
    <row r="22" spans="1:16" x14ac:dyDescent="0.25">
      <c r="A22" s="3" t="s">
        <v>2351</v>
      </c>
      <c r="B22">
        <v>36.299999999999997</v>
      </c>
      <c r="C22" t="str" cm="1">
        <f t="array" ref="C22">_xlfn.IFS(B22&lt;=18.5,  "Underweight",B22&lt;=24.9,"Normal weight",B22&lt;=29.9, "Over weight",B22&gt;=30,"Obesity")</f>
        <v>Obesity</v>
      </c>
      <c r="D22">
        <v>11.5</v>
      </c>
      <c r="E22" t="str" cm="1">
        <f t="array" ref="E22">_xlfn.IFS(D22&lt;5.7,"Normal",D22&lt;=6.4,"Prediabetes",D22&gt;=6.5,"Diabetes")</f>
        <v>Diabetes</v>
      </c>
      <c r="F22" s="3" t="s">
        <v>2382</v>
      </c>
      <c r="G22" s="3" t="s">
        <v>2379</v>
      </c>
      <c r="H22" s="3" t="s">
        <v>2379</v>
      </c>
      <c r="I22" s="1">
        <v>2</v>
      </c>
      <c r="J22">
        <v>2</v>
      </c>
      <c r="K22" s="3" t="s">
        <v>2382</v>
      </c>
      <c r="P22" s="3"/>
    </row>
    <row r="23" spans="1:16" x14ac:dyDescent="0.25">
      <c r="A23" s="3" t="s">
        <v>2350</v>
      </c>
      <c r="B23">
        <v>32.200000000000003</v>
      </c>
      <c r="C23" t="str" cm="1">
        <f t="array" ref="C23">_xlfn.IFS(B23&lt;=18.5,  "Underweight",B23&lt;=24.9,"Normal weight",B23&lt;=29.9, "Over weight",B23&gt;=30,"Obesity")</f>
        <v>Obesity</v>
      </c>
      <c r="D23">
        <v>6.22</v>
      </c>
      <c r="E23" t="str" cm="1">
        <f t="array" ref="E23">_xlfn.IFS(D23&lt;5.7,"Normal",D23&lt;=6.4,"Prediabetes",D23&gt;=6.5,"Diabetes")</f>
        <v>Prediabetes</v>
      </c>
      <c r="F23" s="3" t="s">
        <v>2382</v>
      </c>
      <c r="G23" s="3" t="s">
        <v>2379</v>
      </c>
      <c r="H23" s="3" t="s">
        <v>2379</v>
      </c>
      <c r="I23" s="1">
        <v>2</v>
      </c>
      <c r="J23">
        <v>2</v>
      </c>
      <c r="K23" s="3" t="s">
        <v>2382</v>
      </c>
      <c r="P23" s="3"/>
    </row>
    <row r="24" spans="1:16" x14ac:dyDescent="0.25">
      <c r="A24" s="3" t="s">
        <v>2349</v>
      </c>
      <c r="B24">
        <v>31.3</v>
      </c>
      <c r="C24" t="str" cm="1">
        <f t="array" ref="C24">_xlfn.IFS(B24&lt;=18.5,  "Underweight",B24&lt;=24.9,"Normal weight",B24&lt;=29.9, "Over weight",B24&gt;=30,"Obesity")</f>
        <v>Obesity</v>
      </c>
      <c r="D24">
        <v>11.38</v>
      </c>
      <c r="E24" t="str" cm="1">
        <f t="array" ref="E24">_xlfn.IFS(D24&lt;5.7,"Normal",D24&lt;=6.4,"Prediabetes",D24&gt;=6.5,"Diabetes")</f>
        <v>Diabetes</v>
      </c>
      <c r="F24" s="3" t="s">
        <v>2379</v>
      </c>
      <c r="G24" s="3" t="s">
        <v>2379</v>
      </c>
      <c r="H24" s="3" t="s">
        <v>2379</v>
      </c>
      <c r="I24" s="1">
        <v>3</v>
      </c>
      <c r="J24">
        <v>3</v>
      </c>
      <c r="K24" s="3" t="s">
        <v>2382</v>
      </c>
      <c r="P24" s="3"/>
    </row>
    <row r="25" spans="1:16" x14ac:dyDescent="0.25">
      <c r="A25" s="3" t="s">
        <v>2348</v>
      </c>
      <c r="B25">
        <v>41.8</v>
      </c>
      <c r="C25" t="str" cm="1">
        <f t="array" ref="C25">_xlfn.IFS(B25&lt;=18.5,  "Underweight",B25&lt;=24.9,"Normal weight",B25&lt;=29.9, "Over weight",B25&gt;=30,"Obesity")</f>
        <v>Obesity</v>
      </c>
      <c r="D25">
        <v>7.89</v>
      </c>
      <c r="E25" t="str" cm="1">
        <f t="array" ref="E25">_xlfn.IFS(D25&lt;5.7,"Normal",D25&lt;=6.4,"Prediabetes",D25&gt;=6.5,"Diabetes")</f>
        <v>Diabetes</v>
      </c>
      <c r="F25" s="3" t="s">
        <v>2382</v>
      </c>
      <c r="G25" s="3" t="s">
        <v>2379</v>
      </c>
      <c r="H25" s="3" t="s">
        <v>2379</v>
      </c>
      <c r="I25" s="1">
        <v>2</v>
      </c>
      <c r="J25">
        <v>2</v>
      </c>
      <c r="K25" s="3" t="s">
        <v>2382</v>
      </c>
      <c r="P25" s="3"/>
    </row>
    <row r="26" spans="1:16" x14ac:dyDescent="0.25">
      <c r="A26" s="3" t="s">
        <v>2347</v>
      </c>
      <c r="B26">
        <v>35.090000000000003</v>
      </c>
      <c r="C26" t="str" cm="1">
        <f t="array" ref="C26">_xlfn.IFS(B26&lt;=18.5,  "Underweight",B26&lt;=24.9,"Normal weight",B26&lt;=29.9, "Over weight",B26&gt;=30,"Obesity")</f>
        <v>Obesity</v>
      </c>
      <c r="D26">
        <v>4.38</v>
      </c>
      <c r="E26" t="str" cm="1">
        <f t="array" ref="E26">_xlfn.IFS(D26&lt;5.7,"Normal",D26&lt;=6.4,"Prediabetes",D26&gt;=6.5,"Diabetes")</f>
        <v>Normal</v>
      </c>
      <c r="F26" s="3" t="s">
        <v>2382</v>
      </c>
      <c r="G26" s="3" t="s">
        <v>2379</v>
      </c>
      <c r="H26" s="3" t="s">
        <v>2379</v>
      </c>
      <c r="I26" s="1">
        <v>2</v>
      </c>
      <c r="J26">
        <v>2</v>
      </c>
      <c r="K26" s="3" t="s">
        <v>2382</v>
      </c>
      <c r="P26" s="3"/>
    </row>
    <row r="27" spans="1:16" x14ac:dyDescent="0.25">
      <c r="A27" s="3" t="s">
        <v>2346</v>
      </c>
      <c r="B27">
        <v>33.880000000000003</v>
      </c>
      <c r="C27" t="str" cm="1">
        <f t="array" ref="C27">_xlfn.IFS(B27&lt;=18.5,  "Underweight",B27&lt;=24.9,"Normal weight",B27&lt;=29.9, "Over weight",B27&gt;=30,"Obesity")</f>
        <v>Obesity</v>
      </c>
      <c r="D27">
        <v>7.01</v>
      </c>
      <c r="E27" t="str" cm="1">
        <f t="array" ref="E27">_xlfn.IFS(D27&lt;5.7,"Normal",D27&lt;=6.4,"Prediabetes",D27&gt;=6.5,"Diabetes")</f>
        <v>Diabetes</v>
      </c>
      <c r="F27" s="3" t="s">
        <v>2379</v>
      </c>
      <c r="G27" s="3" t="s">
        <v>2379</v>
      </c>
      <c r="H27" s="3" t="s">
        <v>2379</v>
      </c>
      <c r="I27" s="1">
        <v>3</v>
      </c>
      <c r="J27">
        <v>3</v>
      </c>
      <c r="K27" s="3" t="s">
        <v>2382</v>
      </c>
      <c r="P27" s="3"/>
    </row>
    <row r="28" spans="1:16" x14ac:dyDescent="0.25">
      <c r="A28" s="3" t="s">
        <v>2345</v>
      </c>
      <c r="B28">
        <v>30.875</v>
      </c>
      <c r="C28" t="str" cm="1">
        <f t="array" ref="C28">_xlfn.IFS(B28&lt;=18.5,  "Underweight",B28&lt;=24.9,"Normal weight",B28&lt;=29.9, "Over weight",B28&gt;=30,"Obesity")</f>
        <v>Obesity</v>
      </c>
      <c r="D28">
        <v>11.88</v>
      </c>
      <c r="E28" t="str" cm="1">
        <f t="array" ref="E28">_xlfn.IFS(D28&lt;5.7,"Normal",D28&lt;=6.4,"Prediabetes",D28&gt;=6.5,"Diabetes")</f>
        <v>Diabetes</v>
      </c>
      <c r="F28" s="3" t="s">
        <v>2379</v>
      </c>
      <c r="G28" s="3" t="s">
        <v>2379</v>
      </c>
      <c r="H28" s="3" t="s">
        <v>2379</v>
      </c>
      <c r="I28" s="1" t="s">
        <v>2380</v>
      </c>
      <c r="J28">
        <v>0</v>
      </c>
      <c r="K28" s="3" t="s">
        <v>2382</v>
      </c>
      <c r="P28" s="3"/>
    </row>
    <row r="29" spans="1:16" x14ac:dyDescent="0.25">
      <c r="A29" s="3" t="s">
        <v>2344</v>
      </c>
      <c r="B29">
        <v>36.86</v>
      </c>
      <c r="C29" t="str" cm="1">
        <f t="array" ref="C29">_xlfn.IFS(B29&lt;=18.5,  "Underweight",B29&lt;=24.9,"Normal weight",B29&lt;=29.9, "Over weight",B29&gt;=30,"Obesity")</f>
        <v>Obesity</v>
      </c>
      <c r="D29">
        <v>5.19</v>
      </c>
      <c r="E29" t="str" cm="1">
        <f t="array" ref="E29">_xlfn.IFS(D29&lt;5.7,"Normal",D29&lt;=6.4,"Prediabetes",D29&gt;=6.5,"Diabetes")</f>
        <v>Normal</v>
      </c>
      <c r="F29" s="3" t="s">
        <v>2382</v>
      </c>
      <c r="G29" s="3" t="s">
        <v>2379</v>
      </c>
      <c r="H29" s="3" t="s">
        <v>2382</v>
      </c>
      <c r="I29" s="1">
        <v>1</v>
      </c>
      <c r="J29">
        <v>1</v>
      </c>
      <c r="K29" s="3" t="s">
        <v>2382</v>
      </c>
      <c r="P29" s="3"/>
    </row>
    <row r="30" spans="1:16" x14ac:dyDescent="0.25">
      <c r="A30" s="3" t="s">
        <v>2343</v>
      </c>
      <c r="B30">
        <v>35.86</v>
      </c>
      <c r="C30" t="str" cm="1">
        <f t="array" ref="C30">_xlfn.IFS(B30&lt;=18.5,  "Underweight",B30&lt;=24.9,"Normal weight",B30&lt;=29.9, "Over weight",B30&gt;=30,"Obesity")</f>
        <v>Obesity</v>
      </c>
      <c r="D30">
        <v>6.74</v>
      </c>
      <c r="E30" t="str" cm="1">
        <f t="array" ref="E30">_xlfn.IFS(D30&lt;5.7,"Normal",D30&lt;=6.4,"Prediabetes",D30&gt;=6.5,"Diabetes")</f>
        <v>Diabetes</v>
      </c>
      <c r="F30" s="3" t="s">
        <v>2382</v>
      </c>
      <c r="G30" s="3" t="s">
        <v>2379</v>
      </c>
      <c r="H30" s="3" t="s">
        <v>2379</v>
      </c>
      <c r="I30" s="1">
        <v>2</v>
      </c>
      <c r="J30">
        <v>2</v>
      </c>
      <c r="K30" s="3" t="s">
        <v>2382</v>
      </c>
      <c r="P30" s="3"/>
    </row>
    <row r="31" spans="1:16" x14ac:dyDescent="0.25">
      <c r="A31" s="3" t="s">
        <v>2342</v>
      </c>
      <c r="B31">
        <v>37.049999999999997</v>
      </c>
      <c r="C31" t="str" cm="1">
        <f t="array" ref="C31">_xlfn.IFS(B31&lt;=18.5,  "Underweight",B31&lt;=24.9,"Normal weight",B31&lt;=29.9, "Over weight",B31&gt;=30,"Obesity")</f>
        <v>Obesity</v>
      </c>
      <c r="D31">
        <v>8.44</v>
      </c>
      <c r="E31" t="str" cm="1">
        <f t="array" ref="E31">_xlfn.IFS(D31&lt;5.7,"Normal",D31&lt;=6.4,"Prediabetes",D31&gt;=6.5,"Diabetes")</f>
        <v>Diabetes</v>
      </c>
      <c r="F31" s="3" t="s">
        <v>2379</v>
      </c>
      <c r="G31" s="3" t="s">
        <v>2379</v>
      </c>
      <c r="H31" s="3" t="s">
        <v>2379</v>
      </c>
      <c r="I31" s="1" t="s">
        <v>2380</v>
      </c>
      <c r="J31">
        <v>0</v>
      </c>
      <c r="K31" s="3" t="s">
        <v>2382</v>
      </c>
      <c r="P31" s="3"/>
    </row>
    <row r="32" spans="1:16" x14ac:dyDescent="0.25">
      <c r="A32" s="3" t="s">
        <v>2341</v>
      </c>
      <c r="B32">
        <v>43.89</v>
      </c>
      <c r="C32" t="str" cm="1">
        <f t="array" ref="C32">_xlfn.IFS(B32&lt;=18.5,  "Underweight",B32&lt;=24.9,"Normal weight",B32&lt;=29.9, "Over weight",B32&gt;=30,"Obesity")</f>
        <v>Obesity</v>
      </c>
      <c r="D32">
        <v>8.7100000000000009</v>
      </c>
      <c r="E32" t="str" cm="1">
        <f t="array" ref="E32">_xlfn.IFS(D32&lt;5.7,"Normal",D32&lt;=6.4,"Prediabetes",D32&gt;=6.5,"Diabetes")</f>
        <v>Diabetes</v>
      </c>
      <c r="F32" s="3" t="s">
        <v>2379</v>
      </c>
      <c r="G32" s="3" t="s">
        <v>2379</v>
      </c>
      <c r="H32" s="3" t="s">
        <v>2379</v>
      </c>
      <c r="I32" s="1" t="s">
        <v>2380</v>
      </c>
      <c r="J32">
        <v>0</v>
      </c>
      <c r="K32" s="3" t="s">
        <v>2382</v>
      </c>
      <c r="P32" s="3"/>
    </row>
    <row r="33" spans="1:16" x14ac:dyDescent="0.25">
      <c r="A33" s="3" t="s">
        <v>2340</v>
      </c>
      <c r="B33">
        <v>42.35</v>
      </c>
      <c r="C33" t="str" cm="1">
        <f t="array" ref="C33">_xlfn.IFS(B33&lt;=18.5,  "Underweight",B33&lt;=24.9,"Normal weight",B33&lt;=29.9, "Over weight",B33&gt;=30,"Obesity")</f>
        <v>Obesity</v>
      </c>
      <c r="D33">
        <v>5.08</v>
      </c>
      <c r="E33" t="str" cm="1">
        <f t="array" ref="E33">_xlfn.IFS(D33&lt;5.7,"Normal",D33&lt;=6.4,"Prediabetes",D33&gt;=6.5,"Diabetes")</f>
        <v>Normal</v>
      </c>
      <c r="F33" s="3" t="s">
        <v>2382</v>
      </c>
      <c r="G33" s="3" t="s">
        <v>2379</v>
      </c>
      <c r="H33" s="3" t="s">
        <v>2379</v>
      </c>
      <c r="I33" s="1" t="s">
        <v>2380</v>
      </c>
      <c r="J33">
        <v>0</v>
      </c>
      <c r="K33" s="3" t="s">
        <v>2382</v>
      </c>
      <c r="P33" s="3"/>
    </row>
    <row r="34" spans="1:16" x14ac:dyDescent="0.25">
      <c r="A34" s="3" t="s">
        <v>2339</v>
      </c>
      <c r="B34">
        <v>31.35</v>
      </c>
      <c r="C34" t="str" cm="1">
        <f t="array" ref="C34">_xlfn.IFS(B34&lt;=18.5,  "Underweight",B34&lt;=24.9,"Normal weight",B34&lt;=29.9, "Over weight",B34&gt;=30,"Obesity")</f>
        <v>Obesity</v>
      </c>
      <c r="D34">
        <v>6.86</v>
      </c>
      <c r="E34" t="str" cm="1">
        <f t="array" ref="E34">_xlfn.IFS(D34&lt;5.7,"Normal",D34&lt;=6.4,"Prediabetes",D34&gt;=6.5,"Diabetes")</f>
        <v>Diabetes</v>
      </c>
      <c r="F34" s="3" t="s">
        <v>2379</v>
      </c>
      <c r="G34" s="3" t="s">
        <v>2379</v>
      </c>
      <c r="H34" s="3" t="s">
        <v>2379</v>
      </c>
      <c r="I34" s="1" t="s">
        <v>2380</v>
      </c>
      <c r="J34">
        <v>0</v>
      </c>
      <c r="K34" s="3" t="s">
        <v>2382</v>
      </c>
      <c r="P34" s="3"/>
    </row>
    <row r="35" spans="1:16" x14ac:dyDescent="0.25">
      <c r="A35" s="3" t="s">
        <v>2338</v>
      </c>
      <c r="B35">
        <v>47.6</v>
      </c>
      <c r="C35" t="str" cm="1">
        <f t="array" ref="C35">_xlfn.IFS(B35&lt;=18.5,  "Underweight",B35&lt;=24.9,"Normal weight",B35&lt;=29.9, "Over weight",B35&gt;=30,"Obesity")</f>
        <v>Obesity</v>
      </c>
      <c r="D35">
        <v>5.95</v>
      </c>
      <c r="E35" t="str" cm="1">
        <f t="array" ref="E35">_xlfn.IFS(D35&lt;5.7,"Normal",D35&lt;=6.4,"Prediabetes",D35&gt;=6.5,"Diabetes")</f>
        <v>Prediabetes</v>
      </c>
      <c r="F35" s="3" t="s">
        <v>2382</v>
      </c>
      <c r="G35" s="3" t="s">
        <v>2379</v>
      </c>
      <c r="H35" s="3" t="s">
        <v>2379</v>
      </c>
      <c r="I35" s="1" t="s">
        <v>2380</v>
      </c>
      <c r="J35">
        <v>0</v>
      </c>
      <c r="K35" s="3" t="s">
        <v>2382</v>
      </c>
      <c r="P35" s="3"/>
    </row>
    <row r="36" spans="1:16" x14ac:dyDescent="0.25">
      <c r="A36" s="3" t="s">
        <v>2337</v>
      </c>
      <c r="B36">
        <v>46.2</v>
      </c>
      <c r="C36" t="str" cm="1">
        <f t="array" ref="C36">_xlfn.IFS(B36&lt;=18.5,  "Underweight",B36&lt;=24.9,"Normal weight",B36&lt;=29.9, "Over weight",B36&gt;=30,"Obesity")</f>
        <v>Obesity</v>
      </c>
      <c r="D36">
        <v>6.09</v>
      </c>
      <c r="E36" t="str" cm="1">
        <f t="array" ref="E36">_xlfn.IFS(D36&lt;5.7,"Normal",D36&lt;=6.4,"Prediabetes",D36&gt;=6.5,"Diabetes")</f>
        <v>Prediabetes</v>
      </c>
      <c r="F36" s="3" t="s">
        <v>2379</v>
      </c>
      <c r="G36" s="3" t="s">
        <v>2379</v>
      </c>
      <c r="H36" s="3" t="s">
        <v>2382</v>
      </c>
      <c r="I36" s="1">
        <v>1</v>
      </c>
      <c r="J36">
        <v>1</v>
      </c>
      <c r="K36" s="3" t="s">
        <v>2382</v>
      </c>
      <c r="P36" s="3"/>
    </row>
    <row r="37" spans="1:16" x14ac:dyDescent="0.25">
      <c r="A37" s="3" t="s">
        <v>2336</v>
      </c>
      <c r="B37">
        <v>32.015000000000001</v>
      </c>
      <c r="C37" t="str" cm="1">
        <f t="array" ref="C37">_xlfn.IFS(B37&lt;=18.5,  "Underweight",B37&lt;=24.9,"Normal weight",B37&lt;=29.9, "Over weight",B37&gt;=30,"Obesity")</f>
        <v>Obesity</v>
      </c>
      <c r="D37">
        <v>11.75</v>
      </c>
      <c r="E37" t="str" cm="1">
        <f t="array" ref="E37">_xlfn.IFS(D37&lt;5.7,"Normal",D37&lt;=6.4,"Prediabetes",D37&gt;=6.5,"Diabetes")</f>
        <v>Diabetes</v>
      </c>
      <c r="F37" s="3" t="s">
        <v>2379</v>
      </c>
      <c r="G37" s="3" t="s">
        <v>2379</v>
      </c>
      <c r="H37" s="3" t="s">
        <v>2379</v>
      </c>
      <c r="I37" s="1" t="s">
        <v>2380</v>
      </c>
      <c r="J37">
        <v>0</v>
      </c>
      <c r="K37" s="3" t="s">
        <v>2382</v>
      </c>
      <c r="P37" s="3"/>
    </row>
    <row r="38" spans="1:16" x14ac:dyDescent="0.25">
      <c r="A38" s="3" t="s">
        <v>2335</v>
      </c>
      <c r="B38">
        <v>40.564999999999998</v>
      </c>
      <c r="C38" t="str" cm="1">
        <f t="array" ref="C38">_xlfn.IFS(B38&lt;=18.5,  "Underweight",B38&lt;=24.9,"Normal weight",B38&lt;=29.9, "Over weight",B38&gt;=30,"Obesity")</f>
        <v>Obesity</v>
      </c>
      <c r="D38">
        <v>7.37</v>
      </c>
      <c r="E38" t="str" cm="1">
        <f t="array" ref="E38">_xlfn.IFS(D38&lt;5.7,"Normal",D38&lt;=6.4,"Prediabetes",D38&gt;=6.5,"Diabetes")</f>
        <v>Diabetes</v>
      </c>
      <c r="F38" s="3" t="s">
        <v>2379</v>
      </c>
      <c r="G38" s="3" t="s">
        <v>2379</v>
      </c>
      <c r="H38" s="3" t="s">
        <v>2379</v>
      </c>
      <c r="I38" s="1" t="s">
        <v>2380</v>
      </c>
      <c r="J38">
        <v>0</v>
      </c>
      <c r="K38" s="3" t="s">
        <v>2382</v>
      </c>
      <c r="P38" s="3"/>
    </row>
    <row r="39" spans="1:16" x14ac:dyDescent="0.25">
      <c r="A39" s="3" t="s">
        <v>2334</v>
      </c>
      <c r="B39">
        <v>32.450000000000003</v>
      </c>
      <c r="C39" t="str" cm="1">
        <f t="array" ref="C39">_xlfn.IFS(B39&lt;=18.5,  "Underweight",B39&lt;=24.9,"Normal weight",B39&lt;=29.9, "Over weight",B39&gt;=30,"Obesity")</f>
        <v>Obesity</v>
      </c>
      <c r="D39">
        <v>11.91</v>
      </c>
      <c r="E39" t="str" cm="1">
        <f t="array" ref="E39">_xlfn.IFS(D39&lt;5.7,"Normal",D39&lt;=6.4,"Prediabetes",D39&gt;=6.5,"Diabetes")</f>
        <v>Diabetes</v>
      </c>
      <c r="F39" s="3" t="s">
        <v>2379</v>
      </c>
      <c r="G39" s="3" t="s">
        <v>2379</v>
      </c>
      <c r="H39" s="3" t="s">
        <v>2379</v>
      </c>
      <c r="I39" s="1" t="s">
        <v>2380</v>
      </c>
      <c r="J39">
        <v>0</v>
      </c>
      <c r="K39" s="3" t="s">
        <v>2382</v>
      </c>
      <c r="P39" s="3"/>
    </row>
    <row r="40" spans="1:16" x14ac:dyDescent="0.25">
      <c r="A40" s="3" t="s">
        <v>2333</v>
      </c>
      <c r="B40">
        <v>34.96</v>
      </c>
      <c r="C40" t="str" cm="1">
        <f t="array" ref="C40">_xlfn.IFS(B40&lt;=18.5,  "Underweight",B40&lt;=24.9,"Normal weight",B40&lt;=29.9, "Over weight",B40&gt;=30,"Obesity")</f>
        <v>Obesity</v>
      </c>
      <c r="D40">
        <v>6.52</v>
      </c>
      <c r="E40" t="str" cm="1">
        <f t="array" ref="E40">_xlfn.IFS(D40&lt;5.7,"Normal",D40&lt;=6.4,"Prediabetes",D40&gt;=6.5,"Diabetes")</f>
        <v>Diabetes</v>
      </c>
      <c r="F40" s="3" t="s">
        <v>2379</v>
      </c>
      <c r="G40" s="3" t="s">
        <v>2379</v>
      </c>
      <c r="H40" s="3" t="s">
        <v>2379</v>
      </c>
      <c r="I40" s="1" t="s">
        <v>2380</v>
      </c>
      <c r="J40">
        <v>0</v>
      </c>
      <c r="K40" s="3" t="s">
        <v>2382</v>
      </c>
      <c r="P40" s="3"/>
    </row>
    <row r="41" spans="1:16" x14ac:dyDescent="0.25">
      <c r="A41" s="3" t="s">
        <v>2332</v>
      </c>
      <c r="B41">
        <v>35.5</v>
      </c>
      <c r="C41" t="str" cm="1">
        <f t="array" ref="C41">_xlfn.IFS(B41&lt;=18.5,  "Underweight",B41&lt;=24.9,"Normal weight",B41&lt;=29.9, "Over weight",B41&gt;=30,"Obesity")</f>
        <v>Obesity</v>
      </c>
      <c r="D41">
        <v>5.14</v>
      </c>
      <c r="E41" t="str" cm="1">
        <f t="array" ref="E41">_xlfn.IFS(D41&lt;5.7,"Normal",D41&lt;=6.4,"Prediabetes",D41&gt;=6.5,"Diabetes")</f>
        <v>Normal</v>
      </c>
      <c r="F41" s="3" t="s">
        <v>2379</v>
      </c>
      <c r="G41" s="3" t="s">
        <v>2379</v>
      </c>
      <c r="H41" s="3" t="s">
        <v>2382</v>
      </c>
      <c r="I41" s="1">
        <v>1</v>
      </c>
      <c r="J41">
        <v>1</v>
      </c>
      <c r="K41" s="3" t="s">
        <v>2382</v>
      </c>
      <c r="P41" s="3"/>
    </row>
    <row r="42" spans="1:16" x14ac:dyDescent="0.25">
      <c r="A42" s="3" t="s">
        <v>2331</v>
      </c>
      <c r="B42">
        <v>52.58</v>
      </c>
      <c r="C42" t="str" cm="1">
        <f t="array" ref="C42">_xlfn.IFS(B42&lt;=18.5,  "Underweight",B42&lt;=24.9,"Normal weight",B42&lt;=29.9, "Over weight",B42&gt;=30,"Obesity")</f>
        <v>Obesity</v>
      </c>
      <c r="D42">
        <v>4.1900000000000004</v>
      </c>
      <c r="E42" t="str" cm="1">
        <f t="array" ref="E42">_xlfn.IFS(D42&lt;5.7,"Normal",D42&lt;=6.4,"Prediabetes",D42&gt;=6.5,"Diabetes")</f>
        <v>Normal</v>
      </c>
      <c r="F42" s="3" t="s">
        <v>2379</v>
      </c>
      <c r="G42" s="3" t="s">
        <v>2381</v>
      </c>
      <c r="H42" s="3" t="s">
        <v>2379</v>
      </c>
      <c r="I42" s="1">
        <v>1</v>
      </c>
      <c r="J42">
        <v>1</v>
      </c>
      <c r="K42" s="3" t="s">
        <v>2382</v>
      </c>
      <c r="P42" s="3"/>
    </row>
    <row r="43" spans="1:16" x14ac:dyDescent="0.25">
      <c r="A43" s="3" t="s">
        <v>2330</v>
      </c>
      <c r="B43">
        <v>35.200000000000003</v>
      </c>
      <c r="C43" t="str" cm="1">
        <f t="array" ref="C43">_xlfn.IFS(B43&lt;=18.5,  "Underweight",B43&lt;=24.9,"Normal weight",B43&lt;=29.9, "Over weight",B43&gt;=30,"Obesity")</f>
        <v>Obesity</v>
      </c>
      <c r="D43">
        <v>11.68</v>
      </c>
      <c r="E43" t="str" cm="1">
        <f t="array" ref="E43">_xlfn.IFS(D43&lt;5.7,"Normal",D43&lt;=6.4,"Prediabetes",D43&gt;=6.5,"Diabetes")</f>
        <v>Diabetes</v>
      </c>
      <c r="F43" s="3" t="s">
        <v>2382</v>
      </c>
      <c r="G43" s="3" t="s">
        <v>2379</v>
      </c>
      <c r="H43" s="3" t="s">
        <v>2379</v>
      </c>
      <c r="I43" s="1" t="s">
        <v>2380</v>
      </c>
      <c r="J43">
        <v>0</v>
      </c>
      <c r="K43" s="3" t="s">
        <v>2382</v>
      </c>
      <c r="P43" s="3"/>
    </row>
    <row r="44" spans="1:16" x14ac:dyDescent="0.25">
      <c r="A44" s="3" t="s">
        <v>2329</v>
      </c>
      <c r="B44">
        <v>38.06</v>
      </c>
      <c r="C44" t="str" cm="1">
        <f t="array" ref="C44">_xlfn.IFS(B44&lt;=18.5,  "Underweight",B44&lt;=24.9,"Normal weight",B44&lt;=29.9, "Over weight",B44&gt;=30,"Obesity")</f>
        <v>Obesity</v>
      </c>
      <c r="D44">
        <v>6.98</v>
      </c>
      <c r="E44" t="str" cm="1">
        <f t="array" ref="E44">_xlfn.IFS(D44&lt;5.7,"Normal",D44&lt;=6.4,"Prediabetes",D44&gt;=6.5,"Diabetes")</f>
        <v>Diabetes</v>
      </c>
      <c r="F44" s="3" t="s">
        <v>2379</v>
      </c>
      <c r="G44" s="3" t="s">
        <v>2379</v>
      </c>
      <c r="H44" s="3" t="s">
        <v>2379</v>
      </c>
      <c r="I44" s="1" t="s">
        <v>2380</v>
      </c>
      <c r="J44">
        <v>0</v>
      </c>
      <c r="K44" s="3" t="s">
        <v>2382</v>
      </c>
      <c r="P44" s="3"/>
    </row>
    <row r="45" spans="1:16" x14ac:dyDescent="0.25">
      <c r="A45" s="3" t="s">
        <v>2328</v>
      </c>
      <c r="B45">
        <v>34.21</v>
      </c>
      <c r="C45" t="str" cm="1">
        <f t="array" ref="C45">_xlfn.IFS(B45&lt;=18.5,  "Underweight",B45&lt;=24.9,"Normal weight",B45&lt;=29.9, "Over weight",B45&gt;=30,"Obesity")</f>
        <v>Obesity</v>
      </c>
      <c r="D45">
        <v>8.34</v>
      </c>
      <c r="E45" t="str" cm="1">
        <f t="array" ref="E45">_xlfn.IFS(D45&lt;5.7,"Normal",D45&lt;=6.4,"Prediabetes",D45&gt;=6.5,"Diabetes")</f>
        <v>Diabetes</v>
      </c>
      <c r="F45" s="3" t="s">
        <v>2379</v>
      </c>
      <c r="G45" s="3" t="s">
        <v>2379</v>
      </c>
      <c r="H45" s="3" t="s">
        <v>2379</v>
      </c>
      <c r="I45" s="1" t="s">
        <v>2380</v>
      </c>
      <c r="J45">
        <v>0</v>
      </c>
      <c r="K45" s="3" t="s">
        <v>2382</v>
      </c>
      <c r="P45" s="3"/>
    </row>
    <row r="46" spans="1:16" x14ac:dyDescent="0.25">
      <c r="A46" s="3" t="s">
        <v>2327</v>
      </c>
      <c r="B46">
        <v>38.94</v>
      </c>
      <c r="C46" t="str" cm="1">
        <f t="array" ref="C46">_xlfn.IFS(B46&lt;=18.5,  "Underweight",B46&lt;=24.9,"Normal weight",B46&lt;=29.9, "Over weight",B46&gt;=30,"Obesity")</f>
        <v>Obesity</v>
      </c>
      <c r="D46">
        <v>8.49</v>
      </c>
      <c r="E46" t="str" cm="1">
        <f t="array" ref="E46">_xlfn.IFS(D46&lt;5.7,"Normal",D46&lt;=6.4,"Prediabetes",D46&gt;=6.5,"Diabetes")</f>
        <v>Diabetes</v>
      </c>
      <c r="F46" s="3" t="s">
        <v>2382</v>
      </c>
      <c r="G46" s="3" t="s">
        <v>2379</v>
      </c>
      <c r="H46" s="3" t="s">
        <v>2379</v>
      </c>
      <c r="I46" s="1">
        <v>1</v>
      </c>
      <c r="J46">
        <v>1</v>
      </c>
      <c r="K46" s="3" t="s">
        <v>2382</v>
      </c>
      <c r="P46" s="3"/>
    </row>
    <row r="47" spans="1:16" x14ac:dyDescent="0.25">
      <c r="A47" s="3" t="s">
        <v>2326</v>
      </c>
      <c r="B47">
        <v>30.21</v>
      </c>
      <c r="C47" t="str" cm="1">
        <f t="array" ref="C47">_xlfn.IFS(B47&lt;=18.5,  "Underweight",B47&lt;=24.9,"Normal weight",B47&lt;=29.9, "Over weight",B47&gt;=30,"Obesity")</f>
        <v>Obesity</v>
      </c>
      <c r="D47">
        <v>5.34</v>
      </c>
      <c r="E47" t="str" cm="1">
        <f t="array" ref="E47">_xlfn.IFS(D47&lt;5.7,"Normal",D47&lt;=6.4,"Prediabetes",D47&gt;=6.5,"Diabetes")</f>
        <v>Normal</v>
      </c>
      <c r="F47" s="3" t="s">
        <v>2382</v>
      </c>
      <c r="G47" s="3" t="s">
        <v>2379</v>
      </c>
      <c r="H47" s="3" t="s">
        <v>2379</v>
      </c>
      <c r="I47" s="1">
        <v>1</v>
      </c>
      <c r="J47">
        <v>1</v>
      </c>
      <c r="K47" s="3" t="s">
        <v>2382</v>
      </c>
      <c r="P47" s="3"/>
    </row>
    <row r="48" spans="1:16" x14ac:dyDescent="0.25">
      <c r="A48" s="3" t="s">
        <v>2325</v>
      </c>
      <c r="B48">
        <v>33.630000000000003</v>
      </c>
      <c r="C48" t="str" cm="1">
        <f t="array" ref="C48">_xlfn.IFS(B48&lt;=18.5,  "Underweight",B48&lt;=24.9,"Normal weight",B48&lt;=29.9, "Over weight",B48&gt;=30,"Obesity")</f>
        <v>Obesity</v>
      </c>
      <c r="D48">
        <v>4.43</v>
      </c>
      <c r="E48" t="str" cm="1">
        <f t="array" ref="E48">_xlfn.IFS(D48&lt;5.7,"Normal",D48&lt;=6.4,"Prediabetes",D48&gt;=6.5,"Diabetes")</f>
        <v>Normal</v>
      </c>
      <c r="F48" s="3" t="s">
        <v>2382</v>
      </c>
      <c r="G48" s="3" t="s">
        <v>2379</v>
      </c>
      <c r="H48" s="3" t="s">
        <v>2379</v>
      </c>
      <c r="I48" s="1">
        <v>2</v>
      </c>
      <c r="J48">
        <v>2</v>
      </c>
      <c r="K48" s="3" t="s">
        <v>2382</v>
      </c>
      <c r="P48" s="3"/>
    </row>
    <row r="49" spans="1:16" x14ac:dyDescent="0.25">
      <c r="A49" s="3" t="s">
        <v>2324</v>
      </c>
      <c r="B49">
        <v>40.369999999999997</v>
      </c>
      <c r="C49" t="str" cm="1">
        <f t="array" ref="C49">_xlfn.IFS(B49&lt;=18.5,  "Underweight",B49&lt;=24.9,"Normal weight",B49&lt;=29.9, "Over weight",B49&gt;=30,"Obesity")</f>
        <v>Obesity</v>
      </c>
      <c r="D49">
        <v>4.47</v>
      </c>
      <c r="E49" t="str" cm="1">
        <f t="array" ref="E49">_xlfn.IFS(D49&lt;5.7,"Normal",D49&lt;=6.4,"Prediabetes",D49&gt;=6.5,"Diabetes")</f>
        <v>Normal</v>
      </c>
      <c r="F49" s="3" t="s">
        <v>2379</v>
      </c>
      <c r="G49" s="3" t="s">
        <v>2379</v>
      </c>
      <c r="H49" s="3" t="s">
        <v>2379</v>
      </c>
      <c r="I49" s="1" t="s">
        <v>2380</v>
      </c>
      <c r="J49">
        <v>0</v>
      </c>
      <c r="K49" s="3" t="s">
        <v>2382</v>
      </c>
      <c r="P49" s="3"/>
    </row>
    <row r="50" spans="1:16" x14ac:dyDescent="0.25">
      <c r="A50" s="3" t="s">
        <v>2323</v>
      </c>
      <c r="B50">
        <v>53.09</v>
      </c>
      <c r="C50" t="str" cm="1">
        <f t="array" ref="C50">_xlfn.IFS(B50&lt;=18.5,  "Underweight",B50&lt;=24.9,"Normal weight",B50&lt;=29.9, "Over weight",B50&gt;=30,"Obesity")</f>
        <v>Obesity</v>
      </c>
      <c r="D50">
        <v>4.82</v>
      </c>
      <c r="E50" t="str" cm="1">
        <f t="array" ref="E50">_xlfn.IFS(D50&lt;5.7,"Normal",D50&lt;=6.4,"Prediabetes",D50&gt;=6.5,"Diabetes")</f>
        <v>Normal</v>
      </c>
      <c r="F50" s="3" t="s">
        <v>2382</v>
      </c>
      <c r="G50" s="3" t="s">
        <v>2379</v>
      </c>
      <c r="H50" s="3" t="s">
        <v>2379</v>
      </c>
      <c r="I50" s="1">
        <v>2</v>
      </c>
      <c r="J50">
        <v>2</v>
      </c>
      <c r="K50" s="3" t="s">
        <v>2382</v>
      </c>
      <c r="P50" s="3"/>
    </row>
    <row r="51" spans="1:16" x14ac:dyDescent="0.25">
      <c r="A51" s="3" t="s">
        <v>2322</v>
      </c>
      <c r="B51">
        <v>31.79</v>
      </c>
      <c r="C51" t="str" cm="1">
        <f t="array" ref="C51">_xlfn.IFS(B51&lt;=18.5,  "Underweight",B51&lt;=24.9,"Normal weight",B51&lt;=29.9, "Over weight",B51&gt;=30,"Obesity")</f>
        <v>Obesity</v>
      </c>
      <c r="D51">
        <v>5.51</v>
      </c>
      <c r="E51" t="str" cm="1">
        <f t="array" ref="E51">_xlfn.IFS(D51&lt;5.7,"Normal",D51&lt;=6.4,"Prediabetes",D51&gt;=6.5,"Diabetes")</f>
        <v>Normal</v>
      </c>
      <c r="F51" s="3" t="s">
        <v>2382</v>
      </c>
      <c r="G51" s="3" t="s">
        <v>2379</v>
      </c>
      <c r="H51" s="3" t="s">
        <v>2379</v>
      </c>
      <c r="I51" s="1">
        <v>2</v>
      </c>
      <c r="J51">
        <v>2</v>
      </c>
      <c r="K51" s="3" t="s">
        <v>2382</v>
      </c>
      <c r="P51" s="3"/>
    </row>
    <row r="52" spans="1:16" x14ac:dyDescent="0.25">
      <c r="A52" s="3" t="s">
        <v>2321</v>
      </c>
      <c r="B52">
        <v>41.895000000000003</v>
      </c>
      <c r="C52" t="str" cm="1">
        <f t="array" ref="C52">_xlfn.IFS(B52&lt;=18.5,  "Underweight",B52&lt;=24.9,"Normal weight",B52&lt;=29.9, "Over weight",B52&gt;=30,"Obesity")</f>
        <v>Obesity</v>
      </c>
      <c r="D52">
        <v>10.87</v>
      </c>
      <c r="E52" t="str" cm="1">
        <f t="array" ref="E52">_xlfn.IFS(D52&lt;5.7,"Normal",D52&lt;=6.4,"Prediabetes",D52&gt;=6.5,"Diabetes")</f>
        <v>Diabetes</v>
      </c>
      <c r="F52" s="3" t="s">
        <v>2382</v>
      </c>
      <c r="G52" s="3" t="s">
        <v>2379</v>
      </c>
      <c r="H52" s="3" t="s">
        <v>2379</v>
      </c>
      <c r="I52" s="1">
        <v>1</v>
      </c>
      <c r="J52">
        <v>1</v>
      </c>
      <c r="K52" s="3" t="s">
        <v>2382</v>
      </c>
      <c r="P52" s="3"/>
    </row>
    <row r="53" spans="1:16" x14ac:dyDescent="0.25">
      <c r="A53" s="3" t="s">
        <v>2320</v>
      </c>
      <c r="B53">
        <v>31.16</v>
      </c>
      <c r="C53" t="str" cm="1">
        <f t="array" ref="C53">_xlfn.IFS(B53&lt;=18.5,  "Underweight",B53&lt;=24.9,"Normal weight",B53&lt;=29.9, "Over weight",B53&gt;=30,"Obesity")</f>
        <v>Obesity</v>
      </c>
      <c r="D53">
        <v>9.34</v>
      </c>
      <c r="E53" t="str" cm="1">
        <f t="array" ref="E53">_xlfn.IFS(D53&lt;5.7,"Normal",D53&lt;=6.4,"Prediabetes",D53&gt;=6.5,"Diabetes")</f>
        <v>Diabetes</v>
      </c>
      <c r="F53" s="3" t="s">
        <v>2379</v>
      </c>
      <c r="G53" s="3" t="s">
        <v>2379</v>
      </c>
      <c r="H53" s="3" t="s">
        <v>2379</v>
      </c>
      <c r="I53" s="1" t="s">
        <v>2380</v>
      </c>
      <c r="J53">
        <v>0</v>
      </c>
      <c r="K53" s="3" t="s">
        <v>2382</v>
      </c>
      <c r="P53" s="3"/>
    </row>
    <row r="54" spans="1:16" x14ac:dyDescent="0.25">
      <c r="A54" s="3" t="s">
        <v>2319</v>
      </c>
      <c r="B54">
        <v>34.104999999999997</v>
      </c>
      <c r="C54" t="str" cm="1">
        <f t="array" ref="C54">_xlfn.IFS(B54&lt;=18.5,  "Underweight",B54&lt;=24.9,"Normal weight",B54&lt;=29.9, "Over weight",B54&gt;=30,"Obesity")</f>
        <v>Obesity</v>
      </c>
      <c r="D54">
        <v>5.03</v>
      </c>
      <c r="E54" t="str" cm="1">
        <f t="array" ref="E54">_xlfn.IFS(D54&lt;5.7,"Normal",D54&lt;=6.4,"Prediabetes",D54&gt;=6.5,"Diabetes")</f>
        <v>Normal</v>
      </c>
      <c r="F54" s="3" t="s">
        <v>2382</v>
      </c>
      <c r="G54" s="3" t="s">
        <v>2379</v>
      </c>
      <c r="H54" s="3" t="s">
        <v>2382</v>
      </c>
      <c r="I54" s="1">
        <v>1</v>
      </c>
      <c r="J54">
        <v>1</v>
      </c>
      <c r="K54" s="3" t="s">
        <v>2382</v>
      </c>
      <c r="P54" s="3"/>
    </row>
    <row r="55" spans="1:16" x14ac:dyDescent="0.25">
      <c r="A55" s="3" t="s">
        <v>2318</v>
      </c>
      <c r="B55">
        <v>51.93</v>
      </c>
      <c r="C55" t="str" cm="1">
        <f t="array" ref="C55">_xlfn.IFS(B55&lt;=18.5,  "Underweight",B55&lt;=24.9,"Normal weight",B55&lt;=29.9, "Over weight",B55&gt;=30,"Obesity")</f>
        <v>Obesity</v>
      </c>
      <c r="D55">
        <v>11.05</v>
      </c>
      <c r="E55" t="str" cm="1">
        <f t="array" ref="E55">_xlfn.IFS(D55&lt;5.7,"Normal",D55&lt;=6.4,"Prediabetes",D55&gt;=6.5,"Diabetes")</f>
        <v>Diabetes</v>
      </c>
      <c r="F55" s="3" t="s">
        <v>2379</v>
      </c>
      <c r="G55" s="3" t="s">
        <v>2379</v>
      </c>
      <c r="H55" s="3" t="s">
        <v>2379</v>
      </c>
      <c r="I55" s="1" t="s">
        <v>2380</v>
      </c>
      <c r="J55">
        <v>0</v>
      </c>
      <c r="K55" s="3" t="s">
        <v>2382</v>
      </c>
      <c r="P55" s="3"/>
    </row>
    <row r="56" spans="1:16" x14ac:dyDescent="0.25">
      <c r="A56" s="3" t="s">
        <v>2317</v>
      </c>
      <c r="B56">
        <v>38.950000000000003</v>
      </c>
      <c r="C56" t="str" cm="1">
        <f t="array" ref="C56">_xlfn.IFS(B56&lt;=18.5,  "Underweight",B56&lt;=24.9,"Normal weight",B56&lt;=29.9, "Over weight",B56&gt;=30,"Obesity")</f>
        <v>Obesity</v>
      </c>
      <c r="D56">
        <v>11.95</v>
      </c>
      <c r="E56" t="str" cm="1">
        <f t="array" ref="E56">_xlfn.IFS(D56&lt;5.7,"Normal",D56&lt;=6.4,"Prediabetes",D56&gt;=6.5,"Diabetes")</f>
        <v>Diabetes</v>
      </c>
      <c r="F56" s="3" t="s">
        <v>2379</v>
      </c>
      <c r="G56" s="3" t="s">
        <v>2379</v>
      </c>
      <c r="H56" s="3" t="s">
        <v>2379</v>
      </c>
      <c r="I56" s="1" t="s">
        <v>2380</v>
      </c>
      <c r="J56">
        <v>0</v>
      </c>
      <c r="K56" s="3" t="s">
        <v>2382</v>
      </c>
      <c r="P56" s="3"/>
    </row>
    <row r="57" spans="1:16" x14ac:dyDescent="0.25">
      <c r="A57" s="3" t="s">
        <v>2316</v>
      </c>
      <c r="B57">
        <v>36.630000000000003</v>
      </c>
      <c r="C57" t="str" cm="1">
        <f t="array" ref="C57">_xlfn.IFS(B57&lt;=18.5,  "Underweight",B57&lt;=24.9,"Normal weight",B57&lt;=29.9, "Over weight",B57&gt;=30,"Obesity")</f>
        <v>Obesity</v>
      </c>
      <c r="D57">
        <v>7.72</v>
      </c>
      <c r="E57" t="str" cm="1">
        <f t="array" ref="E57">_xlfn.IFS(D57&lt;5.7,"Normal",D57&lt;=6.4,"Prediabetes",D57&gt;=6.5,"Diabetes")</f>
        <v>Diabetes</v>
      </c>
      <c r="F57" s="3" t="s">
        <v>2382</v>
      </c>
      <c r="G57" s="3" t="s">
        <v>2379</v>
      </c>
      <c r="H57" s="3" t="s">
        <v>2379</v>
      </c>
      <c r="I57" s="1">
        <v>1</v>
      </c>
      <c r="J57">
        <v>1</v>
      </c>
      <c r="K57" s="3" t="s">
        <v>2382</v>
      </c>
      <c r="P57" s="3"/>
    </row>
    <row r="58" spans="1:16" x14ac:dyDescent="0.25">
      <c r="A58" s="3" t="s">
        <v>2315</v>
      </c>
      <c r="B58">
        <v>34.200000000000003</v>
      </c>
      <c r="C58" t="str" cm="1">
        <f t="array" ref="C58">_xlfn.IFS(B58&lt;=18.5,  "Underweight",B58&lt;=24.9,"Normal weight",B58&lt;=29.9, "Over weight",B58&gt;=30,"Obesity")</f>
        <v>Obesity</v>
      </c>
      <c r="D58">
        <v>5.75</v>
      </c>
      <c r="E58" t="str" cm="1">
        <f t="array" ref="E58">_xlfn.IFS(D58&lt;5.7,"Normal",D58&lt;=6.4,"Prediabetes",D58&gt;=6.5,"Diabetes")</f>
        <v>Prediabetes</v>
      </c>
      <c r="F58" s="3" t="s">
        <v>2379</v>
      </c>
      <c r="G58" s="3" t="s">
        <v>2379</v>
      </c>
      <c r="H58" s="3" t="s">
        <v>2379</v>
      </c>
      <c r="I58" s="1">
        <v>2</v>
      </c>
      <c r="J58">
        <v>2</v>
      </c>
      <c r="K58" s="3" t="s">
        <v>2382</v>
      </c>
      <c r="P58" s="3"/>
    </row>
    <row r="59" spans="1:16" x14ac:dyDescent="0.25">
      <c r="A59" s="3" t="s">
        <v>2314</v>
      </c>
      <c r="B59">
        <v>50.63</v>
      </c>
      <c r="C59" t="str" cm="1">
        <f t="array" ref="C59">_xlfn.IFS(B59&lt;=18.5,  "Underweight",B59&lt;=24.9,"Normal weight",B59&lt;=29.9, "Over weight",B59&gt;=30,"Obesity")</f>
        <v>Obesity</v>
      </c>
      <c r="D59">
        <v>11.89</v>
      </c>
      <c r="E59" t="str" cm="1">
        <f t="array" ref="E59">_xlfn.IFS(D59&lt;5.7,"Normal",D59&lt;=6.4,"Prediabetes",D59&gt;=6.5,"Diabetes")</f>
        <v>Diabetes</v>
      </c>
      <c r="F59" s="3" t="s">
        <v>2379</v>
      </c>
      <c r="G59" s="3" t="s">
        <v>2379</v>
      </c>
      <c r="H59" s="3" t="s">
        <v>2379</v>
      </c>
      <c r="I59" s="1" t="s">
        <v>2380</v>
      </c>
      <c r="J59">
        <v>0</v>
      </c>
      <c r="K59" s="3" t="s">
        <v>2382</v>
      </c>
      <c r="P59" s="3"/>
    </row>
    <row r="60" spans="1:16" x14ac:dyDescent="0.25">
      <c r="A60" s="3" t="s">
        <v>2313</v>
      </c>
      <c r="B60">
        <v>36.479999999999997</v>
      </c>
      <c r="C60" t="str" cm="1">
        <f t="array" ref="C60">_xlfn.IFS(B60&lt;=18.5,  "Underweight",B60&lt;=24.9,"Normal weight",B60&lt;=29.9, "Over weight",B60&gt;=30,"Obesity")</f>
        <v>Obesity</v>
      </c>
      <c r="D60">
        <v>6.2</v>
      </c>
      <c r="E60" t="str" cm="1">
        <f t="array" ref="E60">_xlfn.IFS(D60&lt;5.7,"Normal",D60&lt;=6.4,"Prediabetes",D60&gt;=6.5,"Diabetes")</f>
        <v>Prediabetes</v>
      </c>
      <c r="F60" s="3" t="s">
        <v>2379</v>
      </c>
      <c r="G60" s="3" t="s">
        <v>2379</v>
      </c>
      <c r="H60" s="3" t="s">
        <v>2379</v>
      </c>
      <c r="I60" s="1" t="s">
        <v>2380</v>
      </c>
      <c r="J60">
        <v>0</v>
      </c>
      <c r="K60" s="3" t="s">
        <v>2382</v>
      </c>
      <c r="P60" s="3"/>
    </row>
    <row r="61" spans="1:16" x14ac:dyDescent="0.25">
      <c r="A61" s="3" t="s">
        <v>2312</v>
      </c>
      <c r="B61">
        <v>54.82</v>
      </c>
      <c r="C61" t="str" cm="1">
        <f t="array" ref="C61">_xlfn.IFS(B61&lt;=18.5,  "Underweight",B61&lt;=24.9,"Normal weight",B61&lt;=29.9, "Over weight",B61&gt;=30,"Obesity")</f>
        <v>Obesity</v>
      </c>
      <c r="D61">
        <v>10.61</v>
      </c>
      <c r="E61" t="str" cm="1">
        <f t="array" ref="E61">_xlfn.IFS(D61&lt;5.7,"Normal",D61&lt;=6.4,"Prediabetes",D61&gt;=6.5,"Diabetes")</f>
        <v>Diabetes</v>
      </c>
      <c r="F61" s="3" t="s">
        <v>2379</v>
      </c>
      <c r="G61" s="3" t="s">
        <v>2379</v>
      </c>
      <c r="H61" s="3" t="s">
        <v>2379</v>
      </c>
      <c r="I61" s="1" t="s">
        <v>2380</v>
      </c>
      <c r="J61">
        <v>0</v>
      </c>
      <c r="K61" s="3" t="s">
        <v>2382</v>
      </c>
      <c r="P61" s="3"/>
    </row>
    <row r="62" spans="1:16" x14ac:dyDescent="0.25">
      <c r="A62" s="3" t="s">
        <v>2311</v>
      </c>
      <c r="B62">
        <v>38.06</v>
      </c>
      <c r="C62" t="str" cm="1">
        <f t="array" ref="C62">_xlfn.IFS(B62&lt;=18.5,  "Underweight",B62&lt;=24.9,"Normal weight",B62&lt;=29.9, "Over weight",B62&gt;=30,"Obesity")</f>
        <v>Obesity</v>
      </c>
      <c r="D62">
        <v>6.04</v>
      </c>
      <c r="E62" t="str" cm="1">
        <f t="array" ref="E62">_xlfn.IFS(D62&lt;5.7,"Normal",D62&lt;=6.4,"Prediabetes",D62&gt;=6.5,"Diabetes")</f>
        <v>Prediabetes</v>
      </c>
      <c r="F62" s="3" t="s">
        <v>2379</v>
      </c>
      <c r="G62" s="3" t="s">
        <v>2379</v>
      </c>
      <c r="H62" s="3" t="s">
        <v>2382</v>
      </c>
      <c r="I62" s="1">
        <v>1</v>
      </c>
      <c r="J62">
        <v>1</v>
      </c>
      <c r="K62" s="3" t="s">
        <v>2382</v>
      </c>
      <c r="P62" s="3"/>
    </row>
    <row r="63" spans="1:16" x14ac:dyDescent="0.25">
      <c r="A63" s="3" t="s">
        <v>2310</v>
      </c>
      <c r="B63">
        <v>51.48</v>
      </c>
      <c r="C63" t="str" cm="1">
        <f t="array" ref="C63">_xlfn.IFS(B63&lt;=18.5,  "Underweight",B63&lt;=24.9,"Normal weight",B63&lt;=29.9, "Over weight",B63&gt;=30,"Obesity")</f>
        <v>Obesity</v>
      </c>
      <c r="D63">
        <v>9.33</v>
      </c>
      <c r="E63" t="str" cm="1">
        <f t="array" ref="E63">_xlfn.IFS(D63&lt;5.7,"Normal",D63&lt;=6.4,"Prediabetes",D63&gt;=6.5,"Diabetes")</f>
        <v>Diabetes</v>
      </c>
      <c r="F63" s="3" t="s">
        <v>2382</v>
      </c>
      <c r="G63" s="3" t="s">
        <v>2379</v>
      </c>
      <c r="H63" s="3" t="s">
        <v>2379</v>
      </c>
      <c r="I63" s="1" t="s">
        <v>2380</v>
      </c>
      <c r="J63">
        <v>0</v>
      </c>
      <c r="K63" s="3" t="s">
        <v>2382</v>
      </c>
      <c r="P63" s="3"/>
    </row>
    <row r="64" spans="1:16" x14ac:dyDescent="0.25">
      <c r="A64" s="3" t="s">
        <v>2309</v>
      </c>
      <c r="B64">
        <v>52.06</v>
      </c>
      <c r="C64" t="str" cm="1">
        <f t="array" ref="C64">_xlfn.IFS(B64&lt;=18.5,  "Underweight",B64&lt;=24.9,"Normal weight",B64&lt;=29.9, "Over weight",B64&gt;=30,"Obesity")</f>
        <v>Obesity</v>
      </c>
      <c r="D64">
        <v>11.47</v>
      </c>
      <c r="E64" t="str" cm="1">
        <f t="array" ref="E64">_xlfn.IFS(D64&lt;5.7,"Normal",D64&lt;=6.4,"Prediabetes",D64&gt;=6.5,"Diabetes")</f>
        <v>Diabetes</v>
      </c>
      <c r="F64" s="3" t="s">
        <v>2379</v>
      </c>
      <c r="G64" s="3" t="s">
        <v>2379</v>
      </c>
      <c r="H64" s="3" t="s">
        <v>2379</v>
      </c>
      <c r="I64" s="1" t="s">
        <v>2380</v>
      </c>
      <c r="J64">
        <v>0</v>
      </c>
      <c r="K64" s="3" t="s">
        <v>2382</v>
      </c>
      <c r="P64" s="3"/>
    </row>
    <row r="65" spans="1:16" x14ac:dyDescent="0.25">
      <c r="A65" s="3" t="s">
        <v>2308</v>
      </c>
      <c r="B65">
        <v>30.684999999999999</v>
      </c>
      <c r="C65" t="str" cm="1">
        <f t="array" ref="C65">_xlfn.IFS(B65&lt;=18.5,  "Underweight",B65&lt;=24.9,"Normal weight",B65&lt;=29.9, "Over weight",B65&gt;=30,"Obesity")</f>
        <v>Obesity</v>
      </c>
      <c r="D65">
        <v>7.02</v>
      </c>
      <c r="E65" t="str" cm="1">
        <f t="array" ref="E65">_xlfn.IFS(D65&lt;5.7,"Normal",D65&lt;=6.4,"Prediabetes",D65&gt;=6.5,"Diabetes")</f>
        <v>Diabetes</v>
      </c>
      <c r="F65" s="3" t="s">
        <v>2382</v>
      </c>
      <c r="G65" s="3" t="s">
        <v>2379</v>
      </c>
      <c r="H65" s="3" t="s">
        <v>2379</v>
      </c>
      <c r="I65" s="1" t="s">
        <v>2380</v>
      </c>
      <c r="J65">
        <v>0</v>
      </c>
      <c r="K65" s="3" t="s">
        <v>2382</v>
      </c>
      <c r="P65" s="3"/>
    </row>
    <row r="66" spans="1:16" x14ac:dyDescent="0.25">
      <c r="A66" s="3" t="s">
        <v>2307</v>
      </c>
      <c r="B66">
        <v>36.08</v>
      </c>
      <c r="C66" t="str" cm="1">
        <f t="array" ref="C66">_xlfn.IFS(B66&lt;=18.5,  "Underweight",B66&lt;=24.9,"Normal weight",B66&lt;=29.9, "Over weight",B66&gt;=30,"Obesity")</f>
        <v>Obesity</v>
      </c>
      <c r="D66">
        <v>8.8000000000000007</v>
      </c>
      <c r="E66" t="str" cm="1">
        <f t="array" ref="E66">_xlfn.IFS(D66&lt;5.7,"Normal",D66&lt;=6.4,"Prediabetes",D66&gt;=6.5,"Diabetes")</f>
        <v>Diabetes</v>
      </c>
      <c r="F66" s="3" t="s">
        <v>2382</v>
      </c>
      <c r="G66" s="3" t="s">
        <v>2379</v>
      </c>
      <c r="H66" s="3" t="s">
        <v>2379</v>
      </c>
      <c r="I66" s="1">
        <v>1</v>
      </c>
      <c r="J66">
        <v>1</v>
      </c>
      <c r="K66" s="3" t="s">
        <v>2382</v>
      </c>
      <c r="P66" s="3"/>
    </row>
    <row r="67" spans="1:16" x14ac:dyDescent="0.25">
      <c r="A67" s="3" t="s">
        <v>2306</v>
      </c>
      <c r="B67">
        <v>54.99</v>
      </c>
      <c r="C67" t="str" cm="1">
        <f t="array" ref="C67">_xlfn.IFS(B67&lt;=18.5,  "Underweight",B67&lt;=24.9,"Normal weight",B67&lt;=29.9, "Over weight",B67&gt;=30,"Obesity")</f>
        <v>Obesity</v>
      </c>
      <c r="D67">
        <v>8.68</v>
      </c>
      <c r="E67" t="str" cm="1">
        <f t="array" ref="E67">_xlfn.IFS(D67&lt;5.7,"Normal",D67&lt;=6.4,"Prediabetes",D67&gt;=6.5,"Diabetes")</f>
        <v>Diabetes</v>
      </c>
      <c r="F67" s="3" t="s">
        <v>2379</v>
      </c>
      <c r="G67" s="3" t="s">
        <v>2379</v>
      </c>
      <c r="H67" s="3" t="s">
        <v>2379</v>
      </c>
      <c r="I67" s="1">
        <v>2</v>
      </c>
      <c r="J67">
        <v>2</v>
      </c>
      <c r="K67" s="3" t="s">
        <v>2382</v>
      </c>
      <c r="P67" s="3"/>
    </row>
    <row r="68" spans="1:16" x14ac:dyDescent="0.25">
      <c r="A68" s="3" t="s">
        <v>2305</v>
      </c>
      <c r="B68">
        <v>35.97</v>
      </c>
      <c r="C68" t="str" cm="1">
        <f t="array" ref="C68">_xlfn.IFS(B68&lt;=18.5,  "Underweight",B68&lt;=24.9,"Normal weight",B68&lt;=29.9, "Over weight",B68&gt;=30,"Obesity")</f>
        <v>Obesity</v>
      </c>
      <c r="D68">
        <v>6.12</v>
      </c>
      <c r="E68" t="str" cm="1">
        <f t="array" ref="E68">_xlfn.IFS(D68&lt;5.7,"Normal",D68&lt;=6.4,"Prediabetes",D68&gt;=6.5,"Diabetes")</f>
        <v>Prediabetes</v>
      </c>
      <c r="F68" s="3" t="s">
        <v>2379</v>
      </c>
      <c r="G68" s="3" t="s">
        <v>2379</v>
      </c>
      <c r="H68" s="3" t="s">
        <v>2382</v>
      </c>
      <c r="I68" s="1">
        <v>1</v>
      </c>
      <c r="J68">
        <v>1</v>
      </c>
      <c r="K68" s="3" t="s">
        <v>2382</v>
      </c>
      <c r="P68" s="3"/>
    </row>
    <row r="69" spans="1:16" x14ac:dyDescent="0.25">
      <c r="A69" s="3" t="s">
        <v>2304</v>
      </c>
      <c r="B69">
        <v>45.54</v>
      </c>
      <c r="C69" t="str" cm="1">
        <f t="array" ref="C69">_xlfn.IFS(B69&lt;=18.5,  "Underweight",B69&lt;=24.9,"Normal weight",B69&lt;=29.9, "Over weight",B69&gt;=30,"Obesity")</f>
        <v>Obesity</v>
      </c>
      <c r="D69">
        <v>5.4</v>
      </c>
      <c r="E69" t="str" cm="1">
        <f t="array" ref="E69">_xlfn.IFS(D69&lt;5.7,"Normal",D69&lt;=6.4,"Prediabetes",D69&gt;=6.5,"Diabetes")</f>
        <v>Normal</v>
      </c>
      <c r="F69" s="3" t="s">
        <v>2382</v>
      </c>
      <c r="G69" s="3" t="s">
        <v>2379</v>
      </c>
      <c r="H69" s="3" t="s">
        <v>2382</v>
      </c>
      <c r="I69" s="1">
        <v>1</v>
      </c>
      <c r="J69">
        <v>1</v>
      </c>
      <c r="K69" s="3" t="s">
        <v>2382</v>
      </c>
      <c r="P69" s="3"/>
    </row>
    <row r="70" spans="1:16" x14ac:dyDescent="0.25">
      <c r="A70" s="3" t="s">
        <v>2303</v>
      </c>
      <c r="B70">
        <v>35.53</v>
      </c>
      <c r="C70" t="str" cm="1">
        <f t="array" ref="C70">_xlfn.IFS(B70&lt;=18.5,  "Underweight",B70&lt;=24.9,"Normal weight",B70&lt;=29.9, "Over weight",B70&gt;=30,"Obesity")</f>
        <v>Obesity</v>
      </c>
      <c r="D70">
        <v>4.3600000000000003</v>
      </c>
      <c r="E70" t="str" cm="1">
        <f t="array" ref="E70">_xlfn.IFS(D70&lt;5.7,"Normal",D70&lt;=6.4,"Prediabetes",D70&gt;=6.5,"Diabetes")</f>
        <v>Normal</v>
      </c>
      <c r="F70" s="3" t="s">
        <v>2382</v>
      </c>
      <c r="G70" s="3" t="s">
        <v>2379</v>
      </c>
      <c r="H70" s="3" t="s">
        <v>2379</v>
      </c>
      <c r="I70" s="1" t="s">
        <v>2380</v>
      </c>
      <c r="J70">
        <v>0</v>
      </c>
      <c r="K70" s="3" t="s">
        <v>2382</v>
      </c>
      <c r="P70" s="3"/>
    </row>
    <row r="71" spans="1:16" x14ac:dyDescent="0.25">
      <c r="A71" s="3" t="s">
        <v>2302</v>
      </c>
      <c r="B71">
        <v>30.8</v>
      </c>
      <c r="C71" t="str" cm="1">
        <f t="array" ref="C71">_xlfn.IFS(B71&lt;=18.5,  "Underweight",B71&lt;=24.9,"Normal weight",B71&lt;=29.9, "Over weight",B71&gt;=30,"Obesity")</f>
        <v>Obesity</v>
      </c>
      <c r="D71">
        <v>9.77</v>
      </c>
      <c r="E71" t="str" cm="1">
        <f t="array" ref="E71">_xlfn.IFS(D71&lt;5.7,"Normal",D71&lt;=6.4,"Prediabetes",D71&gt;=6.5,"Diabetes")</f>
        <v>Diabetes</v>
      </c>
      <c r="F71" s="3" t="s">
        <v>2379</v>
      </c>
      <c r="G71" s="3" t="s">
        <v>2379</v>
      </c>
      <c r="H71" s="3" t="s">
        <v>2379</v>
      </c>
      <c r="I71" s="1" t="s">
        <v>2380</v>
      </c>
      <c r="J71">
        <v>0</v>
      </c>
      <c r="K71" s="3" t="s">
        <v>2382</v>
      </c>
      <c r="P71" s="3"/>
    </row>
    <row r="72" spans="1:16" x14ac:dyDescent="0.25">
      <c r="A72" s="3" t="s">
        <v>2301</v>
      </c>
      <c r="B72">
        <v>38.39</v>
      </c>
      <c r="C72" t="str" cm="1">
        <f t="array" ref="C72">_xlfn.IFS(B72&lt;=18.5,  "Underweight",B72&lt;=24.9,"Normal weight",B72&lt;=29.9, "Over weight",B72&gt;=30,"Obesity")</f>
        <v>Obesity</v>
      </c>
      <c r="D72">
        <v>4.25</v>
      </c>
      <c r="E72" t="str" cm="1">
        <f t="array" ref="E72">_xlfn.IFS(D72&lt;5.7,"Normal",D72&lt;=6.4,"Prediabetes",D72&gt;=6.5,"Diabetes")</f>
        <v>Normal</v>
      </c>
      <c r="F72" s="3" t="s">
        <v>2379</v>
      </c>
      <c r="G72" s="3" t="s">
        <v>2379</v>
      </c>
      <c r="H72" s="3" t="s">
        <v>2379</v>
      </c>
      <c r="I72" s="1">
        <v>1</v>
      </c>
      <c r="J72">
        <v>1</v>
      </c>
      <c r="K72" s="3" t="s">
        <v>2382</v>
      </c>
      <c r="P72" s="3"/>
    </row>
    <row r="73" spans="1:16" x14ac:dyDescent="0.25">
      <c r="A73" s="3" t="s">
        <v>2300</v>
      </c>
      <c r="B73">
        <v>32.299999999999997</v>
      </c>
      <c r="C73" t="str" cm="1">
        <f t="array" ref="C73">_xlfn.IFS(B73&lt;=18.5,  "Underweight",B73&lt;=24.9,"Normal weight",B73&lt;=29.9, "Over weight",B73&gt;=30,"Obesity")</f>
        <v>Obesity</v>
      </c>
      <c r="D73">
        <v>4.76</v>
      </c>
      <c r="E73" t="str" cm="1">
        <f t="array" ref="E73">_xlfn.IFS(D73&lt;5.7,"Normal",D73&lt;=6.4,"Prediabetes",D73&gt;=6.5,"Diabetes")</f>
        <v>Normal</v>
      </c>
      <c r="F73" s="3" t="s">
        <v>2379</v>
      </c>
      <c r="G73" s="3" t="s">
        <v>2379</v>
      </c>
      <c r="H73" s="3" t="s">
        <v>2379</v>
      </c>
      <c r="I73" s="1">
        <v>2</v>
      </c>
      <c r="J73">
        <v>2</v>
      </c>
      <c r="K73" s="3" t="s">
        <v>2382</v>
      </c>
      <c r="P73" s="3"/>
    </row>
    <row r="74" spans="1:16" x14ac:dyDescent="0.25">
      <c r="A74" s="3" t="s">
        <v>2299</v>
      </c>
      <c r="B74">
        <v>48.8</v>
      </c>
      <c r="C74" t="str" cm="1">
        <f t="array" ref="C74">_xlfn.IFS(B74&lt;=18.5,  "Underweight",B74&lt;=24.9,"Normal weight",B74&lt;=29.9, "Over weight",B74&gt;=30,"Obesity")</f>
        <v>Obesity</v>
      </c>
      <c r="D74">
        <v>6.22</v>
      </c>
      <c r="E74" t="str" cm="1">
        <f t="array" ref="E74">_xlfn.IFS(D74&lt;5.7,"Normal",D74&lt;=6.4,"Prediabetes",D74&gt;=6.5,"Diabetes")</f>
        <v>Prediabetes</v>
      </c>
      <c r="F74" s="3" t="s">
        <v>2382</v>
      </c>
      <c r="G74" s="3" t="s">
        <v>2379</v>
      </c>
      <c r="H74" s="3" t="s">
        <v>2379</v>
      </c>
      <c r="I74" s="1">
        <v>2</v>
      </c>
      <c r="J74">
        <v>2</v>
      </c>
      <c r="K74" s="3" t="s">
        <v>2382</v>
      </c>
      <c r="P74" s="3"/>
    </row>
    <row r="75" spans="1:16" x14ac:dyDescent="0.25">
      <c r="A75" s="3" t="s">
        <v>2298</v>
      </c>
      <c r="B75">
        <v>45.5</v>
      </c>
      <c r="C75" t="str" cm="1">
        <f t="array" ref="C75">_xlfn.IFS(B75&lt;=18.5,  "Underweight",B75&lt;=24.9,"Normal weight",B75&lt;=29.9, "Over weight",B75&gt;=30,"Obesity")</f>
        <v>Obesity</v>
      </c>
      <c r="D75">
        <v>7.96</v>
      </c>
      <c r="E75" t="str" cm="1">
        <f t="array" ref="E75">_xlfn.IFS(D75&lt;5.7,"Normal",D75&lt;=6.4,"Prediabetes",D75&gt;=6.5,"Diabetes")</f>
        <v>Diabetes</v>
      </c>
      <c r="F75" s="3" t="s">
        <v>2379</v>
      </c>
      <c r="G75" s="3" t="s">
        <v>2379</v>
      </c>
      <c r="H75" s="3" t="s">
        <v>2379</v>
      </c>
      <c r="I75" s="1" t="s">
        <v>2380</v>
      </c>
      <c r="J75">
        <v>0</v>
      </c>
      <c r="K75" s="3" t="s">
        <v>2382</v>
      </c>
      <c r="P75" s="3"/>
    </row>
    <row r="76" spans="1:16" x14ac:dyDescent="0.25">
      <c r="A76" s="3" t="s">
        <v>2297</v>
      </c>
      <c r="B76">
        <v>53.61</v>
      </c>
      <c r="C76" t="str" cm="1">
        <f t="array" ref="C76">_xlfn.IFS(B76&lt;=18.5,  "Underweight",B76&lt;=24.9,"Normal weight",B76&lt;=29.9, "Over weight",B76&gt;=30,"Obesity")</f>
        <v>Obesity</v>
      </c>
      <c r="D76">
        <v>10.92</v>
      </c>
      <c r="E76" t="str" cm="1">
        <f t="array" ref="E76">_xlfn.IFS(D76&lt;5.7,"Normal",D76&lt;=6.4,"Prediabetes",D76&gt;=6.5,"Diabetes")</f>
        <v>Diabetes</v>
      </c>
      <c r="F76" s="3" t="s">
        <v>2382</v>
      </c>
      <c r="G76" s="3" t="s">
        <v>2379</v>
      </c>
      <c r="H76" s="3" t="s">
        <v>2379</v>
      </c>
      <c r="I76" s="1">
        <v>1</v>
      </c>
      <c r="J76">
        <v>1</v>
      </c>
      <c r="K76" s="3" t="s">
        <v>2382</v>
      </c>
      <c r="P76" s="3"/>
    </row>
    <row r="77" spans="1:16" x14ac:dyDescent="0.25">
      <c r="A77" s="3" t="s">
        <v>2296</v>
      </c>
      <c r="B77">
        <v>36.19</v>
      </c>
      <c r="C77" t="str" cm="1">
        <f t="array" ref="C77">_xlfn.IFS(B77&lt;=18.5,  "Underweight",B77&lt;=24.9,"Normal weight",B77&lt;=29.9, "Over weight",B77&gt;=30,"Obesity")</f>
        <v>Obesity</v>
      </c>
      <c r="D77">
        <v>11.51</v>
      </c>
      <c r="E77" t="str" cm="1">
        <f t="array" ref="E77">_xlfn.IFS(D77&lt;5.7,"Normal",D77&lt;=6.4,"Prediabetes",D77&gt;=6.5,"Diabetes")</f>
        <v>Diabetes</v>
      </c>
      <c r="F77" s="3" t="s">
        <v>2382</v>
      </c>
      <c r="G77" s="3" t="s">
        <v>2379</v>
      </c>
      <c r="H77" s="3" t="s">
        <v>2379</v>
      </c>
      <c r="I77" s="1">
        <v>1</v>
      </c>
      <c r="J77">
        <v>1</v>
      </c>
      <c r="K77" s="3" t="s">
        <v>2382</v>
      </c>
      <c r="P77" s="3"/>
    </row>
    <row r="78" spans="1:16" x14ac:dyDescent="0.25">
      <c r="A78" s="3" t="s">
        <v>2295</v>
      </c>
      <c r="B78">
        <v>34.6</v>
      </c>
      <c r="C78" t="str" cm="1">
        <f t="array" ref="C78">_xlfn.IFS(B78&lt;=18.5,  "Underweight",B78&lt;=24.9,"Normal weight",B78&lt;=29.9, "Over weight",B78&gt;=30,"Obesity")</f>
        <v>Obesity</v>
      </c>
      <c r="D78">
        <v>5.99</v>
      </c>
      <c r="E78" t="str" cm="1">
        <f t="array" ref="E78">_xlfn.IFS(D78&lt;5.7,"Normal",D78&lt;=6.4,"Prediabetes",D78&gt;=6.5,"Diabetes")</f>
        <v>Prediabetes</v>
      </c>
      <c r="F78" s="3" t="s">
        <v>2382</v>
      </c>
      <c r="G78" s="3" t="s">
        <v>2379</v>
      </c>
      <c r="H78" s="3" t="s">
        <v>2379</v>
      </c>
      <c r="I78" s="1" t="s">
        <v>2380</v>
      </c>
      <c r="J78">
        <v>0</v>
      </c>
      <c r="K78" s="3" t="s">
        <v>2382</v>
      </c>
      <c r="P78" s="3"/>
    </row>
    <row r="79" spans="1:16" x14ac:dyDescent="0.25">
      <c r="A79" s="3" t="s">
        <v>2294</v>
      </c>
      <c r="B79">
        <v>54.12</v>
      </c>
      <c r="C79" t="str" cm="1">
        <f t="array" ref="C79">_xlfn.IFS(B79&lt;=18.5,  "Underweight",B79&lt;=24.9,"Normal weight",B79&lt;=29.9, "Over weight",B79&gt;=30,"Obesity")</f>
        <v>Obesity</v>
      </c>
      <c r="D79">
        <v>11.57</v>
      </c>
      <c r="E79" t="str" cm="1">
        <f t="array" ref="E79">_xlfn.IFS(D79&lt;5.7,"Normal",D79&lt;=6.4,"Prediabetes",D79&gt;=6.5,"Diabetes")</f>
        <v>Diabetes</v>
      </c>
      <c r="F79" s="3" t="s">
        <v>2379</v>
      </c>
      <c r="G79" s="3" t="s">
        <v>2379</v>
      </c>
      <c r="H79" s="3" t="s">
        <v>2379</v>
      </c>
      <c r="I79" s="1" t="s">
        <v>2380</v>
      </c>
      <c r="J79">
        <v>0</v>
      </c>
      <c r="K79" s="3" t="s">
        <v>2382</v>
      </c>
      <c r="P79" s="3"/>
    </row>
    <row r="80" spans="1:16" x14ac:dyDescent="0.25">
      <c r="A80" s="3" t="s">
        <v>2293</v>
      </c>
      <c r="B80">
        <v>48.82</v>
      </c>
      <c r="C80" t="str" cm="1">
        <f t="array" ref="C80">_xlfn.IFS(B80&lt;=18.5,  "Underweight",B80&lt;=24.9,"Normal weight",B80&lt;=29.9, "Over weight",B80&gt;=30,"Obesity")</f>
        <v>Obesity</v>
      </c>
      <c r="D80">
        <v>6.67</v>
      </c>
      <c r="E80" t="str" cm="1">
        <f t="array" ref="E80">_xlfn.IFS(D80&lt;5.7,"Normal",D80&lt;=6.4,"Prediabetes",D80&gt;=6.5,"Diabetes")</f>
        <v>Diabetes</v>
      </c>
      <c r="F80" s="3" t="s">
        <v>2382</v>
      </c>
      <c r="G80" s="3" t="s">
        <v>2379</v>
      </c>
      <c r="H80" s="3" t="s">
        <v>2379</v>
      </c>
      <c r="I80" s="1" t="s">
        <v>2380</v>
      </c>
      <c r="J80">
        <v>0</v>
      </c>
      <c r="K80" s="3" t="s">
        <v>2382</v>
      </c>
      <c r="P80" s="3"/>
    </row>
    <row r="81" spans="1:16" x14ac:dyDescent="0.25">
      <c r="A81" s="3" t="s">
        <v>2292</v>
      </c>
      <c r="B81">
        <v>51.01</v>
      </c>
      <c r="C81" t="str" cm="1">
        <f t="array" ref="C81">_xlfn.IFS(B81&lt;=18.5,  "Underweight",B81&lt;=24.9,"Normal weight",B81&lt;=29.9, "Over weight",B81&gt;=30,"Obesity")</f>
        <v>Obesity</v>
      </c>
      <c r="D81">
        <v>9.1999999999999993</v>
      </c>
      <c r="E81" t="str" cm="1">
        <f t="array" ref="E81">_xlfn.IFS(D81&lt;5.7,"Normal",D81&lt;=6.4,"Prediabetes",D81&gt;=6.5,"Diabetes")</f>
        <v>Diabetes</v>
      </c>
      <c r="F81" s="3" t="s">
        <v>2379</v>
      </c>
      <c r="G81" s="3" t="s">
        <v>2379</v>
      </c>
      <c r="H81" s="3" t="s">
        <v>2379</v>
      </c>
      <c r="I81" s="1" t="s">
        <v>2380</v>
      </c>
      <c r="J81">
        <v>0</v>
      </c>
      <c r="K81" s="3" t="s">
        <v>2382</v>
      </c>
      <c r="P81" s="3"/>
    </row>
    <row r="82" spans="1:16" x14ac:dyDescent="0.25">
      <c r="A82" s="3" t="s">
        <v>2291</v>
      </c>
      <c r="B82">
        <v>45.65</v>
      </c>
      <c r="C82" t="str" cm="1">
        <f t="array" ref="C82">_xlfn.IFS(B82&lt;=18.5,  "Underweight",B82&lt;=24.9,"Normal weight",B82&lt;=29.9, "Over weight",B82&gt;=30,"Obesity")</f>
        <v>Obesity</v>
      </c>
      <c r="D82">
        <v>5.1100000000000003</v>
      </c>
      <c r="E82" t="str" cm="1">
        <f t="array" ref="E82">_xlfn.IFS(D82&lt;5.7,"Normal",D82&lt;=6.4,"Prediabetes",D82&gt;=6.5,"Diabetes")</f>
        <v>Normal</v>
      </c>
      <c r="F82" s="3" t="s">
        <v>2382</v>
      </c>
      <c r="G82" s="3" t="s">
        <v>2379</v>
      </c>
      <c r="H82" s="3" t="s">
        <v>2379</v>
      </c>
      <c r="I82" s="1">
        <v>1</v>
      </c>
      <c r="J82">
        <v>1</v>
      </c>
      <c r="K82" s="3" t="s">
        <v>2382</v>
      </c>
      <c r="P82" s="3"/>
    </row>
    <row r="83" spans="1:16" x14ac:dyDescent="0.25">
      <c r="A83" s="3" t="s">
        <v>2290</v>
      </c>
      <c r="B83">
        <v>52.9</v>
      </c>
      <c r="C83" t="str" cm="1">
        <f t="array" ref="C83">_xlfn.IFS(B83&lt;=18.5,  "Underweight",B83&lt;=24.9,"Normal weight",B83&lt;=29.9, "Over weight",B83&gt;=30,"Obesity")</f>
        <v>Obesity</v>
      </c>
      <c r="D83">
        <v>5.34</v>
      </c>
      <c r="E83" t="str" cm="1">
        <f t="array" ref="E83">_xlfn.IFS(D83&lt;5.7,"Normal",D83&lt;=6.4,"Prediabetes",D83&gt;=6.5,"Diabetes")</f>
        <v>Normal</v>
      </c>
      <c r="F83" s="3" t="s">
        <v>2379</v>
      </c>
      <c r="G83" s="3" t="s">
        <v>2379</v>
      </c>
      <c r="H83" s="3" t="s">
        <v>2379</v>
      </c>
      <c r="I83" s="1" t="s">
        <v>2380</v>
      </c>
      <c r="J83">
        <v>0</v>
      </c>
      <c r="K83" s="3" t="s">
        <v>2382</v>
      </c>
      <c r="P83" s="3"/>
    </row>
    <row r="84" spans="1:16" x14ac:dyDescent="0.25">
      <c r="A84" s="3" t="s">
        <v>2289</v>
      </c>
      <c r="B84">
        <v>45.41</v>
      </c>
      <c r="C84" t="str" cm="1">
        <f t="array" ref="C84">_xlfn.IFS(B84&lt;=18.5,  "Underweight",B84&lt;=24.9,"Normal weight",B84&lt;=29.9, "Over weight",B84&gt;=30,"Obesity")</f>
        <v>Obesity</v>
      </c>
      <c r="D84">
        <v>4.03</v>
      </c>
      <c r="E84" t="str" cm="1">
        <f t="array" ref="E84">_xlfn.IFS(D84&lt;5.7,"Normal",D84&lt;=6.4,"Prediabetes",D84&gt;=6.5,"Diabetes")</f>
        <v>Normal</v>
      </c>
      <c r="F84" s="3" t="s">
        <v>2382</v>
      </c>
      <c r="G84" s="3" t="s">
        <v>2379</v>
      </c>
      <c r="H84" s="3" t="s">
        <v>2379</v>
      </c>
      <c r="I84" s="1">
        <v>1</v>
      </c>
      <c r="J84">
        <v>1</v>
      </c>
      <c r="K84" s="3" t="s">
        <v>2382</v>
      </c>
      <c r="P84" s="3"/>
    </row>
    <row r="85" spans="1:16" x14ac:dyDescent="0.25">
      <c r="A85" s="3" t="s">
        <v>2288</v>
      </c>
      <c r="B85">
        <v>49.41</v>
      </c>
      <c r="C85" t="str" cm="1">
        <f t="array" ref="C85">_xlfn.IFS(B85&lt;=18.5,  "Underweight",B85&lt;=24.9,"Normal weight",B85&lt;=29.9, "Over weight",B85&gt;=30,"Obesity")</f>
        <v>Obesity</v>
      </c>
      <c r="D85">
        <v>4.2300000000000004</v>
      </c>
      <c r="E85" t="str" cm="1">
        <f t="array" ref="E85">_xlfn.IFS(D85&lt;5.7,"Normal",D85&lt;=6.4,"Prediabetes",D85&gt;=6.5,"Diabetes")</f>
        <v>Normal</v>
      </c>
      <c r="F85" s="3" t="s">
        <v>2382</v>
      </c>
      <c r="G85" s="3" t="s">
        <v>2379</v>
      </c>
      <c r="H85" s="3" t="s">
        <v>2382</v>
      </c>
      <c r="I85" s="1">
        <v>1</v>
      </c>
      <c r="J85">
        <v>1</v>
      </c>
      <c r="K85" s="3" t="s">
        <v>2382</v>
      </c>
      <c r="P85" s="3"/>
    </row>
    <row r="86" spans="1:16" x14ac:dyDescent="0.25">
      <c r="A86" s="3" t="s">
        <v>2287</v>
      </c>
      <c r="B86">
        <v>31.824999999999999</v>
      </c>
      <c r="C86" t="str" cm="1">
        <f t="array" ref="C86">_xlfn.IFS(B86&lt;=18.5,  "Underweight",B86&lt;=24.9,"Normal weight",B86&lt;=29.9, "Over weight",B86&gt;=30,"Obesity")</f>
        <v>Obesity</v>
      </c>
      <c r="D86">
        <v>4.0599999999999996</v>
      </c>
      <c r="E86" t="str" cm="1">
        <f t="array" ref="E86">_xlfn.IFS(D86&lt;5.7,"Normal",D86&lt;=6.4,"Prediabetes",D86&gt;=6.5,"Diabetes")</f>
        <v>Normal</v>
      </c>
      <c r="F86" s="3" t="s">
        <v>2379</v>
      </c>
      <c r="G86" s="3" t="s">
        <v>2379</v>
      </c>
      <c r="H86" s="3" t="s">
        <v>2379</v>
      </c>
      <c r="I86" s="1">
        <v>2</v>
      </c>
      <c r="J86">
        <v>2</v>
      </c>
      <c r="K86" s="3" t="s">
        <v>2382</v>
      </c>
      <c r="P86" s="3"/>
    </row>
    <row r="87" spans="1:16" x14ac:dyDescent="0.25">
      <c r="A87" s="3" t="s">
        <v>2286</v>
      </c>
      <c r="B87">
        <v>51.28</v>
      </c>
      <c r="C87" t="str" cm="1">
        <f t="array" ref="C87">_xlfn.IFS(B87&lt;=18.5,  "Underweight",B87&lt;=24.9,"Normal weight",B87&lt;=29.9, "Over weight",B87&gt;=30,"Obesity")</f>
        <v>Obesity</v>
      </c>
      <c r="D87">
        <v>4.68</v>
      </c>
      <c r="E87" t="str" cm="1">
        <f t="array" ref="E87">_xlfn.IFS(D87&lt;5.7,"Normal",D87&lt;=6.4,"Prediabetes",D87&gt;=6.5,"Diabetes")</f>
        <v>Normal</v>
      </c>
      <c r="F87" s="3" t="s">
        <v>2379</v>
      </c>
      <c r="G87" s="3" t="s">
        <v>2379</v>
      </c>
      <c r="H87" s="3" t="s">
        <v>2379</v>
      </c>
      <c r="I87" s="1">
        <v>2</v>
      </c>
      <c r="J87">
        <v>2</v>
      </c>
      <c r="K87" s="3" t="s">
        <v>2382</v>
      </c>
      <c r="P87" s="3"/>
    </row>
    <row r="88" spans="1:16" x14ac:dyDescent="0.25">
      <c r="A88" s="3" t="s">
        <v>2285</v>
      </c>
      <c r="B88">
        <v>34.96</v>
      </c>
      <c r="C88" t="str" cm="1">
        <f t="array" ref="C88">_xlfn.IFS(B88&lt;=18.5,  "Underweight",B88&lt;=24.9,"Normal weight",B88&lt;=29.9, "Over weight",B88&gt;=30,"Obesity")</f>
        <v>Obesity</v>
      </c>
      <c r="D88">
        <v>4.34</v>
      </c>
      <c r="E88" t="str" cm="1">
        <f t="array" ref="E88">_xlfn.IFS(D88&lt;5.7,"Normal",D88&lt;=6.4,"Prediabetes",D88&gt;=6.5,"Diabetes")</f>
        <v>Normal</v>
      </c>
      <c r="F88" s="3" t="s">
        <v>2379</v>
      </c>
      <c r="G88" s="3" t="s">
        <v>2379</v>
      </c>
      <c r="H88" s="3" t="s">
        <v>2382</v>
      </c>
      <c r="I88" s="1">
        <v>1</v>
      </c>
      <c r="J88">
        <v>1</v>
      </c>
      <c r="K88" s="3" t="s">
        <v>2382</v>
      </c>
      <c r="P88" s="3"/>
    </row>
    <row r="89" spans="1:16" x14ac:dyDescent="0.25">
      <c r="A89" s="3" t="s">
        <v>2284</v>
      </c>
      <c r="B89">
        <v>33.11</v>
      </c>
      <c r="C89" t="str" cm="1">
        <f t="array" ref="C89">_xlfn.IFS(B89&lt;=18.5,  "Underweight",B89&lt;=24.9,"Normal weight",B89&lt;=29.9, "Over weight",B89&gt;=30,"Obesity")</f>
        <v>Obesity</v>
      </c>
      <c r="D89">
        <v>10.51</v>
      </c>
      <c r="E89" t="str" cm="1">
        <f t="array" ref="E89">_xlfn.IFS(D89&lt;5.7,"Normal",D89&lt;=6.4,"Prediabetes",D89&gt;=6.5,"Diabetes")</f>
        <v>Diabetes</v>
      </c>
      <c r="F89" s="3" t="s">
        <v>2379</v>
      </c>
      <c r="G89" s="3" t="s">
        <v>2379</v>
      </c>
      <c r="H89" s="3" t="s">
        <v>2379</v>
      </c>
      <c r="I89" s="1" t="s">
        <v>2380</v>
      </c>
      <c r="J89">
        <v>0</v>
      </c>
      <c r="K89" s="3" t="s">
        <v>2382</v>
      </c>
      <c r="P89" s="3"/>
    </row>
    <row r="90" spans="1:16" x14ac:dyDescent="0.25">
      <c r="A90" s="3" t="s">
        <v>2283</v>
      </c>
      <c r="B90">
        <v>54.74</v>
      </c>
      <c r="C90" t="str" cm="1">
        <f t="array" ref="C90">_xlfn.IFS(B90&lt;=18.5,  "Underweight",B90&lt;=24.9,"Normal weight",B90&lt;=29.9, "Over weight",B90&gt;=30,"Obesity")</f>
        <v>Obesity</v>
      </c>
      <c r="D90">
        <v>5.84</v>
      </c>
      <c r="E90" t="str" cm="1">
        <f t="array" ref="E90">_xlfn.IFS(D90&lt;5.7,"Normal",D90&lt;=6.4,"Prediabetes",D90&gt;=6.5,"Diabetes")</f>
        <v>Prediabetes</v>
      </c>
      <c r="F90" s="3" t="s">
        <v>2382</v>
      </c>
      <c r="G90" s="3" t="s">
        <v>2379</v>
      </c>
      <c r="H90" s="3" t="s">
        <v>2382</v>
      </c>
      <c r="I90" s="1">
        <v>1</v>
      </c>
      <c r="J90">
        <v>1</v>
      </c>
      <c r="K90" s="3" t="s">
        <v>2382</v>
      </c>
      <c r="P90" s="3"/>
    </row>
    <row r="91" spans="1:16" x14ac:dyDescent="0.25">
      <c r="A91" s="3" t="s">
        <v>2282</v>
      </c>
      <c r="B91">
        <v>32.56</v>
      </c>
      <c r="C91" t="str" cm="1">
        <f t="array" ref="C91">_xlfn.IFS(B91&lt;=18.5,  "Underweight",B91&lt;=24.9,"Normal weight",B91&lt;=29.9, "Over weight",B91&gt;=30,"Obesity")</f>
        <v>Obesity</v>
      </c>
      <c r="D91">
        <v>5.41</v>
      </c>
      <c r="E91" t="str" cm="1">
        <f t="array" ref="E91">_xlfn.IFS(D91&lt;5.7,"Normal",D91&lt;=6.4,"Prediabetes",D91&gt;=6.5,"Diabetes")</f>
        <v>Normal</v>
      </c>
      <c r="F91" s="3" t="s">
        <v>2379</v>
      </c>
      <c r="G91" s="3" t="s">
        <v>2379</v>
      </c>
      <c r="H91" s="3" t="s">
        <v>2382</v>
      </c>
      <c r="I91" s="1">
        <v>1</v>
      </c>
      <c r="J91">
        <v>1</v>
      </c>
      <c r="K91" s="3" t="s">
        <v>2382</v>
      </c>
      <c r="P91" s="3"/>
    </row>
    <row r="92" spans="1:16" x14ac:dyDescent="0.25">
      <c r="A92" s="3" t="s">
        <v>2281</v>
      </c>
      <c r="B92">
        <v>39.049999999999997</v>
      </c>
      <c r="C92" t="str" cm="1">
        <f t="array" ref="C92">_xlfn.IFS(B92&lt;=18.5,  "Underweight",B92&lt;=24.9,"Normal weight",B92&lt;=29.9, "Over weight",B92&gt;=30,"Obesity")</f>
        <v>Obesity</v>
      </c>
      <c r="D92">
        <v>6.06</v>
      </c>
      <c r="E92" t="str" cm="1">
        <f t="array" ref="E92">_xlfn.IFS(D92&lt;5.7,"Normal",D92&lt;=6.4,"Prediabetes",D92&gt;=6.5,"Diabetes")</f>
        <v>Prediabetes</v>
      </c>
      <c r="F92" s="3" t="s">
        <v>2379</v>
      </c>
      <c r="G92" s="3" t="s">
        <v>2379</v>
      </c>
      <c r="H92" s="3" t="s">
        <v>2379</v>
      </c>
      <c r="I92" s="1">
        <v>1</v>
      </c>
      <c r="J92">
        <v>1</v>
      </c>
      <c r="K92" s="3" t="s">
        <v>2382</v>
      </c>
      <c r="P92" s="3"/>
    </row>
    <row r="93" spans="1:16" x14ac:dyDescent="0.25">
      <c r="A93" s="3" t="s">
        <v>2280</v>
      </c>
      <c r="B93">
        <v>42.75</v>
      </c>
      <c r="C93" t="str" cm="1">
        <f t="array" ref="C93">_xlfn.IFS(B93&lt;=18.5,  "Underweight",B93&lt;=24.9,"Normal weight",B93&lt;=29.9, "Over weight",B93&gt;=30,"Obesity")</f>
        <v>Obesity</v>
      </c>
      <c r="D93">
        <v>4.22</v>
      </c>
      <c r="E93" t="str" cm="1">
        <f t="array" ref="E93">_xlfn.IFS(D93&lt;5.7,"Normal",D93&lt;=6.4,"Prediabetes",D93&gt;=6.5,"Diabetes")</f>
        <v>Normal</v>
      </c>
      <c r="F93" s="3" t="s">
        <v>2379</v>
      </c>
      <c r="G93" s="3" t="s">
        <v>2379</v>
      </c>
      <c r="H93" s="3" t="s">
        <v>2379</v>
      </c>
      <c r="I93" s="1" t="s">
        <v>2380</v>
      </c>
      <c r="J93">
        <v>0</v>
      </c>
      <c r="K93" s="3" t="s">
        <v>2382</v>
      </c>
      <c r="P93" s="3"/>
    </row>
    <row r="94" spans="1:16" x14ac:dyDescent="0.25">
      <c r="A94" s="3" t="s">
        <v>2279</v>
      </c>
      <c r="B94">
        <v>50.58</v>
      </c>
      <c r="C94" t="str" cm="1">
        <f t="array" ref="C94">_xlfn.IFS(B94&lt;=18.5,  "Underweight",B94&lt;=24.9,"Normal weight",B94&lt;=29.9, "Over weight",B94&gt;=30,"Obesity")</f>
        <v>Obesity</v>
      </c>
      <c r="D94">
        <v>5.12</v>
      </c>
      <c r="E94" t="str" cm="1">
        <f t="array" ref="E94">_xlfn.IFS(D94&lt;5.7,"Normal",D94&lt;=6.4,"Prediabetes",D94&gt;=6.5,"Diabetes")</f>
        <v>Normal</v>
      </c>
      <c r="F94" s="3" t="s">
        <v>2379</v>
      </c>
      <c r="G94" s="3" t="s">
        <v>2379</v>
      </c>
      <c r="H94" s="3" t="s">
        <v>2379</v>
      </c>
      <c r="I94" s="1">
        <v>2</v>
      </c>
      <c r="J94">
        <v>2</v>
      </c>
      <c r="K94" s="3" t="s">
        <v>2382</v>
      </c>
      <c r="P94" s="3"/>
    </row>
    <row r="95" spans="1:16" x14ac:dyDescent="0.25">
      <c r="A95" s="3" t="s">
        <v>2278</v>
      </c>
      <c r="B95">
        <v>30.495000000000001</v>
      </c>
      <c r="C95" t="str" cm="1">
        <f t="array" ref="C95">_xlfn.IFS(B95&lt;=18.5,  "Underweight",B95&lt;=24.9,"Normal weight",B95&lt;=29.9, "Over weight",B95&gt;=30,"Obesity")</f>
        <v>Obesity</v>
      </c>
      <c r="D95">
        <v>4.57</v>
      </c>
      <c r="E95" t="str" cm="1">
        <f t="array" ref="E95">_xlfn.IFS(D95&lt;5.7,"Normal",D95&lt;=6.4,"Prediabetes",D95&gt;=6.5,"Diabetes")</f>
        <v>Normal</v>
      </c>
      <c r="F95" s="3" t="s">
        <v>2382</v>
      </c>
      <c r="G95" s="3" t="s">
        <v>2379</v>
      </c>
      <c r="H95" s="3" t="s">
        <v>2379</v>
      </c>
      <c r="I95" s="1" t="s">
        <v>2380</v>
      </c>
      <c r="J95">
        <v>0</v>
      </c>
      <c r="K95" s="3" t="s">
        <v>2382</v>
      </c>
      <c r="P95" s="3"/>
    </row>
    <row r="96" spans="1:16" x14ac:dyDescent="0.25">
      <c r="A96" s="3" t="s">
        <v>2277</v>
      </c>
      <c r="B96">
        <v>48.31</v>
      </c>
      <c r="C96" t="str" cm="1">
        <f t="array" ref="C96">_xlfn.IFS(B96&lt;=18.5,  "Underweight",B96&lt;=24.9,"Normal weight",B96&lt;=29.9, "Over weight",B96&gt;=30,"Obesity")</f>
        <v>Obesity</v>
      </c>
      <c r="D96">
        <v>9.58</v>
      </c>
      <c r="E96" t="str" cm="1">
        <f t="array" ref="E96">_xlfn.IFS(D96&lt;5.7,"Normal",D96&lt;=6.4,"Prediabetes",D96&gt;=6.5,"Diabetes")</f>
        <v>Diabetes</v>
      </c>
      <c r="F96" s="3" t="s">
        <v>2382</v>
      </c>
      <c r="G96" s="3" t="s">
        <v>2379</v>
      </c>
      <c r="H96" s="3" t="s">
        <v>2379</v>
      </c>
      <c r="I96" s="1">
        <v>2</v>
      </c>
      <c r="J96">
        <v>2</v>
      </c>
      <c r="K96" s="3" t="s">
        <v>2382</v>
      </c>
      <c r="P96" s="3"/>
    </row>
    <row r="97" spans="1:16" x14ac:dyDescent="0.25">
      <c r="A97" s="3" t="s">
        <v>2276</v>
      </c>
      <c r="B97">
        <v>48.99</v>
      </c>
      <c r="C97" t="str" cm="1">
        <f t="array" ref="C97">_xlfn.IFS(B97&lt;=18.5,  "Underweight",B97&lt;=24.9,"Normal weight",B97&lt;=29.9, "Over weight",B97&gt;=30,"Obesity")</f>
        <v>Obesity</v>
      </c>
      <c r="D97">
        <v>9.7799999999999994</v>
      </c>
      <c r="E97" t="str" cm="1">
        <f t="array" ref="E97">_xlfn.IFS(D97&lt;5.7,"Normal",D97&lt;=6.4,"Prediabetes",D97&gt;=6.5,"Diabetes")</f>
        <v>Diabetes</v>
      </c>
      <c r="F97" s="3" t="s">
        <v>2382</v>
      </c>
      <c r="G97" s="3" t="s">
        <v>2379</v>
      </c>
      <c r="H97" s="3" t="s">
        <v>2379</v>
      </c>
      <c r="I97" s="1">
        <v>1</v>
      </c>
      <c r="J97">
        <v>1</v>
      </c>
      <c r="K97" s="3" t="s">
        <v>2382</v>
      </c>
      <c r="P97" s="3"/>
    </row>
    <row r="98" spans="1:16" x14ac:dyDescent="0.25">
      <c r="A98" s="3" t="s">
        <v>2275</v>
      </c>
      <c r="B98">
        <v>38.39</v>
      </c>
      <c r="C98" t="str" cm="1">
        <f t="array" ref="C98">_xlfn.IFS(B98&lt;=18.5,  "Underweight",B98&lt;=24.9,"Normal weight",B98&lt;=29.9, "Over weight",B98&gt;=30,"Obesity")</f>
        <v>Obesity</v>
      </c>
      <c r="D98">
        <v>4.1100000000000003</v>
      </c>
      <c r="E98" t="str" cm="1">
        <f t="array" ref="E98">_xlfn.IFS(D98&lt;5.7,"Normal",D98&lt;=6.4,"Prediabetes",D98&gt;=6.5,"Diabetes")</f>
        <v>Normal</v>
      </c>
      <c r="F98" s="3" t="s">
        <v>2382</v>
      </c>
      <c r="G98" s="3" t="s">
        <v>2379</v>
      </c>
      <c r="H98" s="3" t="s">
        <v>2379</v>
      </c>
      <c r="I98" s="1" t="s">
        <v>2380</v>
      </c>
      <c r="J98">
        <v>0</v>
      </c>
      <c r="K98" s="3" t="s">
        <v>2382</v>
      </c>
      <c r="P98" s="3"/>
    </row>
    <row r="99" spans="1:16" x14ac:dyDescent="0.25">
      <c r="A99" s="3" t="s">
        <v>2274</v>
      </c>
      <c r="B99">
        <v>44.34</v>
      </c>
      <c r="C99" t="str" cm="1">
        <f t="array" ref="C99">_xlfn.IFS(B99&lt;=18.5,  "Underweight",B99&lt;=24.9,"Normal weight",B99&lt;=29.9, "Over weight",B99&gt;=30,"Obesity")</f>
        <v>Obesity</v>
      </c>
      <c r="D99">
        <v>4.0199999999999996</v>
      </c>
      <c r="E99" t="str" cm="1">
        <f t="array" ref="E99">_xlfn.IFS(D99&lt;5.7,"Normal",D99&lt;=6.4,"Prediabetes",D99&gt;=6.5,"Diabetes")</f>
        <v>Normal</v>
      </c>
      <c r="F99" s="3" t="s">
        <v>2382</v>
      </c>
      <c r="G99" s="3" t="s">
        <v>2379</v>
      </c>
      <c r="H99" s="3" t="s">
        <v>2379</v>
      </c>
      <c r="I99" s="1">
        <v>2</v>
      </c>
      <c r="J99">
        <v>2</v>
      </c>
      <c r="K99" s="3" t="s">
        <v>2382</v>
      </c>
      <c r="P99" s="3"/>
    </row>
    <row r="100" spans="1:16" x14ac:dyDescent="0.25">
      <c r="A100" s="3" t="s">
        <v>2273</v>
      </c>
      <c r="B100">
        <v>41.51</v>
      </c>
      <c r="C100" t="str" cm="1">
        <f t="array" ref="C100">_xlfn.IFS(B100&lt;=18.5,  "Underweight",B100&lt;=24.9,"Normal weight",B100&lt;=29.9, "Over weight",B100&gt;=30,"Obesity")</f>
        <v>Obesity</v>
      </c>
      <c r="D100">
        <v>6.92</v>
      </c>
      <c r="E100" t="str" cm="1">
        <f t="array" ref="E100">_xlfn.IFS(D100&lt;5.7,"Normal",D100&lt;=6.4,"Prediabetes",D100&gt;=6.5,"Diabetes")</f>
        <v>Diabetes</v>
      </c>
      <c r="F100" s="3" t="s">
        <v>2379</v>
      </c>
      <c r="G100" s="3" t="s">
        <v>2379</v>
      </c>
      <c r="H100" s="3" t="s">
        <v>2379</v>
      </c>
      <c r="I100" s="1" t="s">
        <v>2380</v>
      </c>
      <c r="J100">
        <v>0</v>
      </c>
      <c r="K100" s="3" t="s">
        <v>2382</v>
      </c>
      <c r="P100" s="3"/>
    </row>
    <row r="101" spans="1:16" x14ac:dyDescent="0.25">
      <c r="A101" s="3" t="s">
        <v>2272</v>
      </c>
      <c r="B101">
        <v>48.2</v>
      </c>
      <c r="C101" t="str" cm="1">
        <f t="array" ref="C101">_xlfn.IFS(B101&lt;=18.5,  "Underweight",B101&lt;=24.9,"Normal weight",B101&lt;=29.9, "Over weight",B101&gt;=30,"Obesity")</f>
        <v>Obesity</v>
      </c>
      <c r="D101">
        <v>4.84</v>
      </c>
      <c r="E101" t="str" cm="1">
        <f t="array" ref="E101">_xlfn.IFS(D101&lt;5.7,"Normal",D101&lt;=6.4,"Prediabetes",D101&gt;=6.5,"Diabetes")</f>
        <v>Normal</v>
      </c>
      <c r="F101" s="3" t="s">
        <v>2379</v>
      </c>
      <c r="G101" s="3" t="s">
        <v>2379</v>
      </c>
      <c r="H101" s="3" t="s">
        <v>2379</v>
      </c>
      <c r="I101" s="1" t="s">
        <v>2380</v>
      </c>
      <c r="J101">
        <v>0</v>
      </c>
      <c r="K101" s="3" t="s">
        <v>2382</v>
      </c>
      <c r="P101" s="3"/>
    </row>
    <row r="102" spans="1:16" x14ac:dyDescent="0.25">
      <c r="A102" s="3" t="s">
        <v>2271</v>
      </c>
      <c r="B102">
        <v>35.75</v>
      </c>
      <c r="C102" t="str" cm="1">
        <f t="array" ref="C102">_xlfn.IFS(B102&lt;=18.5,  "Underweight",B102&lt;=24.9,"Normal weight",B102&lt;=29.9, "Over weight",B102&gt;=30,"Obesity")</f>
        <v>Obesity</v>
      </c>
      <c r="D102">
        <v>8</v>
      </c>
      <c r="E102" t="str" cm="1">
        <f t="array" ref="E102">_xlfn.IFS(D102&lt;5.7,"Normal",D102&lt;=6.4,"Prediabetes",D102&gt;=6.5,"Diabetes")</f>
        <v>Diabetes</v>
      </c>
      <c r="F102" s="3" t="s">
        <v>2382</v>
      </c>
      <c r="G102" s="3" t="s">
        <v>2379</v>
      </c>
      <c r="H102" s="3" t="s">
        <v>2379</v>
      </c>
      <c r="I102" s="1" t="s">
        <v>2380</v>
      </c>
      <c r="J102">
        <v>0</v>
      </c>
      <c r="K102" s="3" t="s">
        <v>2382</v>
      </c>
      <c r="P102" s="3"/>
    </row>
    <row r="103" spans="1:16" x14ac:dyDescent="0.25">
      <c r="A103" s="3" t="s">
        <v>2270</v>
      </c>
      <c r="B103">
        <v>53.81</v>
      </c>
      <c r="C103" t="str" cm="1">
        <f t="array" ref="C103">_xlfn.IFS(B103&lt;=18.5,  "Underweight",B103&lt;=24.9,"Normal weight",B103&lt;=29.9, "Over weight",B103&gt;=30,"Obesity")</f>
        <v>Obesity</v>
      </c>
      <c r="D103">
        <v>8.77</v>
      </c>
      <c r="E103" t="str" cm="1">
        <f t="array" ref="E103">_xlfn.IFS(D103&lt;5.7,"Normal",D103&lt;=6.4,"Prediabetes",D103&gt;=6.5,"Diabetes")</f>
        <v>Diabetes</v>
      </c>
      <c r="F103" s="3" t="s">
        <v>2382</v>
      </c>
      <c r="G103" s="3" t="s">
        <v>2379</v>
      </c>
      <c r="H103" s="3" t="s">
        <v>2379</v>
      </c>
      <c r="I103" s="1" t="s">
        <v>2380</v>
      </c>
      <c r="J103">
        <v>0</v>
      </c>
      <c r="K103" s="3" t="s">
        <v>2382</v>
      </c>
      <c r="P103" s="3"/>
    </row>
    <row r="104" spans="1:16" x14ac:dyDescent="0.25">
      <c r="A104" s="3" t="s">
        <v>2269</v>
      </c>
      <c r="B104">
        <v>49.48</v>
      </c>
      <c r="C104" t="str" cm="1">
        <f t="array" ref="C104">_xlfn.IFS(B104&lt;=18.5,  "Underweight",B104&lt;=24.9,"Normal weight",B104&lt;=29.9, "Over weight",B104&gt;=30,"Obesity")</f>
        <v>Obesity</v>
      </c>
      <c r="D104">
        <v>4.96</v>
      </c>
      <c r="E104" t="str" cm="1">
        <f t="array" ref="E104">_xlfn.IFS(D104&lt;5.7,"Normal",D104&lt;=6.4,"Prediabetes",D104&gt;=6.5,"Diabetes")</f>
        <v>Normal</v>
      </c>
      <c r="F104" s="3" t="s">
        <v>2379</v>
      </c>
      <c r="G104" s="3" t="s">
        <v>2379</v>
      </c>
      <c r="H104" s="3" t="s">
        <v>2382</v>
      </c>
      <c r="I104" s="1">
        <v>1</v>
      </c>
      <c r="J104">
        <v>1</v>
      </c>
      <c r="K104" s="3" t="s">
        <v>2382</v>
      </c>
      <c r="P104" s="3"/>
    </row>
    <row r="105" spans="1:16" x14ac:dyDescent="0.25">
      <c r="A105" s="3" t="s">
        <v>2268</v>
      </c>
      <c r="B105">
        <v>34.1</v>
      </c>
      <c r="C105" t="str" cm="1">
        <f t="array" ref="C105">_xlfn.IFS(B105&lt;=18.5,  "Underweight",B105&lt;=24.9,"Normal weight",B105&lt;=29.9, "Over weight",B105&gt;=30,"Obesity")</f>
        <v>Obesity</v>
      </c>
      <c r="D105">
        <v>4.43</v>
      </c>
      <c r="E105" t="str" cm="1">
        <f t="array" ref="E105">_xlfn.IFS(D105&lt;5.7,"Normal",D105&lt;=6.4,"Prediabetes",D105&gt;=6.5,"Diabetes")</f>
        <v>Normal</v>
      </c>
      <c r="F105" s="3" t="s">
        <v>2382</v>
      </c>
      <c r="G105" s="3" t="s">
        <v>2379</v>
      </c>
      <c r="H105" s="3" t="s">
        <v>2379</v>
      </c>
      <c r="I105" s="1" t="s">
        <v>2380</v>
      </c>
      <c r="J105">
        <v>0</v>
      </c>
      <c r="K105" s="3" t="s">
        <v>2382</v>
      </c>
      <c r="P105" s="3"/>
    </row>
    <row r="106" spans="1:16" x14ac:dyDescent="0.25">
      <c r="A106" s="3" t="s">
        <v>2267</v>
      </c>
      <c r="B106">
        <v>35.299999999999997</v>
      </c>
      <c r="C106" t="str" cm="1">
        <f t="array" ref="C106">_xlfn.IFS(B106&lt;=18.5,  "Underweight",B106&lt;=24.9,"Normal weight",B106&lt;=29.9, "Over weight",B106&gt;=30,"Obesity")</f>
        <v>Obesity</v>
      </c>
      <c r="D106">
        <v>5.82</v>
      </c>
      <c r="E106" t="str" cm="1">
        <f t="array" ref="E106">_xlfn.IFS(D106&lt;5.7,"Normal",D106&lt;=6.4,"Prediabetes",D106&gt;=6.5,"Diabetes")</f>
        <v>Prediabetes</v>
      </c>
      <c r="F106" s="3" t="s">
        <v>2382</v>
      </c>
      <c r="G106" s="3" t="s">
        <v>2379</v>
      </c>
      <c r="H106" s="3" t="s">
        <v>2382</v>
      </c>
      <c r="I106" s="1">
        <v>1</v>
      </c>
      <c r="J106">
        <v>1</v>
      </c>
      <c r="K106" s="3" t="s">
        <v>2382</v>
      </c>
      <c r="P106" s="3"/>
    </row>
    <row r="107" spans="1:16" x14ac:dyDescent="0.25">
      <c r="A107" s="3" t="s">
        <v>2266</v>
      </c>
      <c r="B107">
        <v>43.83</v>
      </c>
      <c r="C107" t="str" cm="1">
        <f t="array" ref="C107">_xlfn.IFS(B107&lt;=18.5,  "Underweight",B107&lt;=24.9,"Normal weight",B107&lt;=29.9, "Over weight",B107&gt;=30,"Obesity")</f>
        <v>Obesity</v>
      </c>
      <c r="D107">
        <v>6.03</v>
      </c>
      <c r="E107" t="str" cm="1">
        <f t="array" ref="E107">_xlfn.IFS(D107&lt;5.7,"Normal",D107&lt;=6.4,"Prediabetes",D107&gt;=6.5,"Diabetes")</f>
        <v>Prediabetes</v>
      </c>
      <c r="F107" s="3" t="s">
        <v>2382</v>
      </c>
      <c r="G107" s="3" t="s">
        <v>2379</v>
      </c>
      <c r="H107" s="3" t="s">
        <v>2379</v>
      </c>
      <c r="I107" s="1">
        <v>2</v>
      </c>
      <c r="J107">
        <v>2</v>
      </c>
      <c r="K107" s="3" t="s">
        <v>2382</v>
      </c>
      <c r="P107" s="3"/>
    </row>
    <row r="108" spans="1:16" x14ac:dyDescent="0.25">
      <c r="A108" s="3" t="s">
        <v>2265</v>
      </c>
      <c r="B108">
        <v>50.07</v>
      </c>
      <c r="C108" t="str" cm="1">
        <f t="array" ref="C108">_xlfn.IFS(B108&lt;=18.5,  "Underweight",B108&lt;=24.9,"Normal weight",B108&lt;=29.9, "Over weight",B108&gt;=30,"Obesity")</f>
        <v>Obesity</v>
      </c>
      <c r="D108">
        <v>9.27</v>
      </c>
      <c r="E108" t="str" cm="1">
        <f t="array" ref="E108">_xlfn.IFS(D108&lt;5.7,"Normal",D108&lt;=6.4,"Prediabetes",D108&gt;=6.5,"Diabetes")</f>
        <v>Diabetes</v>
      </c>
      <c r="F108" s="3" t="s">
        <v>2379</v>
      </c>
      <c r="G108" s="3" t="s">
        <v>2379</v>
      </c>
      <c r="H108" s="3" t="s">
        <v>2379</v>
      </c>
      <c r="I108" s="1" t="s">
        <v>2380</v>
      </c>
      <c r="J108">
        <v>0</v>
      </c>
      <c r="K108" s="3" t="s">
        <v>2382</v>
      </c>
      <c r="P108" s="3"/>
    </row>
    <row r="109" spans="1:16" x14ac:dyDescent="0.25">
      <c r="A109" s="3" t="s">
        <v>2264</v>
      </c>
      <c r="B109">
        <v>32.774999999999999</v>
      </c>
      <c r="C109" t="str" cm="1">
        <f t="array" ref="C109">_xlfn.IFS(B109&lt;=18.5,  "Underweight",B109&lt;=24.9,"Normal weight",B109&lt;=29.9, "Over weight",B109&gt;=30,"Obesity")</f>
        <v>Obesity</v>
      </c>
      <c r="D109">
        <v>5.53</v>
      </c>
      <c r="E109" t="str" cm="1">
        <f t="array" ref="E109">_xlfn.IFS(D109&lt;5.7,"Normal",D109&lt;=6.4,"Prediabetes",D109&gt;=6.5,"Diabetes")</f>
        <v>Normal</v>
      </c>
      <c r="F109" s="3" t="s">
        <v>2379</v>
      </c>
      <c r="G109" s="3" t="s">
        <v>2379</v>
      </c>
      <c r="H109" s="3" t="s">
        <v>2379</v>
      </c>
      <c r="I109" s="1" t="s">
        <v>2380</v>
      </c>
      <c r="J109">
        <v>0</v>
      </c>
      <c r="K109" s="3" t="s">
        <v>2382</v>
      </c>
      <c r="P109" s="3"/>
    </row>
    <row r="110" spans="1:16" x14ac:dyDescent="0.25">
      <c r="A110" s="3" t="s">
        <v>2263</v>
      </c>
      <c r="B110">
        <v>34.104999999999997</v>
      </c>
      <c r="C110" t="str" cm="1">
        <f t="array" ref="C110">_xlfn.IFS(B110&lt;=18.5,  "Underweight",B110&lt;=24.9,"Normal weight",B110&lt;=29.9, "Over weight",B110&gt;=30,"Obesity")</f>
        <v>Obesity</v>
      </c>
      <c r="D110">
        <v>5.07</v>
      </c>
      <c r="E110" t="str" cm="1">
        <f t="array" ref="E110">_xlfn.IFS(D110&lt;5.7,"Normal",D110&lt;=6.4,"Prediabetes",D110&gt;=6.5,"Diabetes")</f>
        <v>Normal</v>
      </c>
      <c r="F110" s="3" t="s">
        <v>2379</v>
      </c>
      <c r="G110" s="3" t="s">
        <v>2379</v>
      </c>
      <c r="H110" s="3" t="s">
        <v>2379</v>
      </c>
      <c r="I110" s="1">
        <v>1</v>
      </c>
      <c r="J110">
        <v>1</v>
      </c>
      <c r="K110" s="3" t="s">
        <v>2382</v>
      </c>
      <c r="P110" s="3"/>
    </row>
    <row r="111" spans="1:16" x14ac:dyDescent="0.25">
      <c r="A111" s="3" t="s">
        <v>2262</v>
      </c>
      <c r="B111">
        <v>48.93</v>
      </c>
      <c r="C111" t="str" cm="1">
        <f t="array" ref="C111">_xlfn.IFS(B111&lt;=18.5,  "Underweight",B111&lt;=24.9,"Normal weight",B111&lt;=29.9, "Over weight",B111&gt;=30,"Obesity")</f>
        <v>Obesity</v>
      </c>
      <c r="D111">
        <v>11.17</v>
      </c>
      <c r="E111" t="str" cm="1">
        <f t="array" ref="E111">_xlfn.IFS(D111&lt;5.7,"Normal",D111&lt;=6.4,"Prediabetes",D111&gt;=6.5,"Diabetes")</f>
        <v>Diabetes</v>
      </c>
      <c r="F111" s="3" t="s">
        <v>2382</v>
      </c>
      <c r="G111" s="3" t="s">
        <v>2379</v>
      </c>
      <c r="H111" s="3" t="s">
        <v>2379</v>
      </c>
      <c r="I111" s="1">
        <v>1</v>
      </c>
      <c r="J111">
        <v>1</v>
      </c>
      <c r="K111" s="3" t="s">
        <v>2382</v>
      </c>
      <c r="P111" s="3"/>
    </row>
    <row r="112" spans="1:16" x14ac:dyDescent="0.25">
      <c r="A112" s="3" t="s">
        <v>2261</v>
      </c>
      <c r="B112">
        <v>37.07</v>
      </c>
      <c r="C112" t="str" cm="1">
        <f t="array" ref="C112">_xlfn.IFS(B112&lt;=18.5,  "Underweight",B112&lt;=24.9,"Normal weight",B112&lt;=29.9, "Over weight",B112&gt;=30,"Obesity")</f>
        <v>Obesity</v>
      </c>
      <c r="D112">
        <v>6.14</v>
      </c>
      <c r="E112" t="str" cm="1">
        <f t="array" ref="E112">_xlfn.IFS(D112&lt;5.7,"Normal",D112&lt;=6.4,"Prediabetes",D112&gt;=6.5,"Diabetes")</f>
        <v>Prediabetes</v>
      </c>
      <c r="F112" s="3" t="s">
        <v>2382</v>
      </c>
      <c r="G112" s="3" t="s">
        <v>2379</v>
      </c>
      <c r="H112" s="3" t="s">
        <v>2379</v>
      </c>
      <c r="I112" s="1" t="s">
        <v>2380</v>
      </c>
      <c r="J112">
        <v>0</v>
      </c>
      <c r="K112" s="3" t="s">
        <v>2382</v>
      </c>
      <c r="P112" s="3"/>
    </row>
    <row r="113" spans="1:16" x14ac:dyDescent="0.25">
      <c r="A113" s="3" t="s">
        <v>2260</v>
      </c>
      <c r="B113">
        <v>51.51</v>
      </c>
      <c r="C113" t="str" cm="1">
        <f t="array" ref="C113">_xlfn.IFS(B113&lt;=18.5,  "Underweight",B113&lt;=24.9,"Normal weight",B113&lt;=29.9, "Over weight",B113&gt;=30,"Obesity")</f>
        <v>Obesity</v>
      </c>
      <c r="D113">
        <v>6.26</v>
      </c>
      <c r="E113" t="str" cm="1">
        <f t="array" ref="E113">_xlfn.IFS(D113&lt;5.7,"Normal",D113&lt;=6.4,"Prediabetes",D113&gt;=6.5,"Diabetes")</f>
        <v>Prediabetes</v>
      </c>
      <c r="F113" s="3" t="s">
        <v>2382</v>
      </c>
      <c r="G113" s="3" t="s">
        <v>2379</v>
      </c>
      <c r="H113" s="3" t="s">
        <v>2382</v>
      </c>
      <c r="I113" s="1">
        <v>1</v>
      </c>
      <c r="J113">
        <v>1</v>
      </c>
      <c r="K113" s="3" t="s">
        <v>2382</v>
      </c>
      <c r="P113" s="3"/>
    </row>
    <row r="114" spans="1:16" x14ac:dyDescent="0.25">
      <c r="A114" s="3" t="s">
        <v>2259</v>
      </c>
      <c r="B114">
        <v>34.799999999999997</v>
      </c>
      <c r="C114" t="str" cm="1">
        <f t="array" ref="C114">_xlfn.IFS(B114&lt;=18.5,  "Underweight",B114&lt;=24.9,"Normal weight",B114&lt;=29.9, "Over weight",B114&gt;=30,"Obesity")</f>
        <v>Obesity</v>
      </c>
      <c r="D114">
        <v>4.72</v>
      </c>
      <c r="E114" t="str" cm="1">
        <f t="array" ref="E114">_xlfn.IFS(D114&lt;5.7,"Normal",D114&lt;=6.4,"Prediabetes",D114&gt;=6.5,"Diabetes")</f>
        <v>Normal</v>
      </c>
      <c r="F114" s="3" t="s">
        <v>2382</v>
      </c>
      <c r="G114" s="3" t="s">
        <v>2379</v>
      </c>
      <c r="H114" s="3" t="s">
        <v>2379</v>
      </c>
      <c r="I114" s="1" t="s">
        <v>2380</v>
      </c>
      <c r="J114">
        <v>0</v>
      </c>
      <c r="K114" s="3" t="s">
        <v>2382</v>
      </c>
      <c r="P114" s="3"/>
    </row>
    <row r="115" spans="1:16" x14ac:dyDescent="0.25">
      <c r="A115" s="3" t="s">
        <v>2258</v>
      </c>
      <c r="B115">
        <v>36.67</v>
      </c>
      <c r="C115" t="str" cm="1">
        <f t="array" ref="C115">_xlfn.IFS(B115&lt;=18.5,  "Underweight",B115&lt;=24.9,"Normal weight",B115&lt;=29.9, "Over weight",B115&gt;=30,"Obesity")</f>
        <v>Obesity</v>
      </c>
      <c r="D115">
        <v>5.18</v>
      </c>
      <c r="E115" t="str" cm="1">
        <f t="array" ref="E115">_xlfn.IFS(D115&lt;5.7,"Normal",D115&lt;=6.4,"Prediabetes",D115&gt;=6.5,"Diabetes")</f>
        <v>Normal</v>
      </c>
      <c r="F115" s="3" t="s">
        <v>2379</v>
      </c>
      <c r="G115" s="3" t="s">
        <v>2379</v>
      </c>
      <c r="H115" s="3" t="s">
        <v>2379</v>
      </c>
      <c r="I115" s="1">
        <v>1</v>
      </c>
      <c r="J115">
        <v>1</v>
      </c>
      <c r="K115" s="3" t="s">
        <v>2382</v>
      </c>
      <c r="P115" s="3"/>
    </row>
    <row r="116" spans="1:16" x14ac:dyDescent="0.25">
      <c r="A116" s="3" t="s">
        <v>2257</v>
      </c>
      <c r="B116">
        <v>30.9</v>
      </c>
      <c r="C116" t="str" cm="1">
        <f t="array" ref="C116">_xlfn.IFS(B116&lt;=18.5,  "Underweight",B116&lt;=24.9,"Normal weight",B116&lt;=29.9, "Over weight",B116&gt;=30,"Obesity")</f>
        <v>Obesity</v>
      </c>
      <c r="D116">
        <v>9.4</v>
      </c>
      <c r="E116" t="str" cm="1">
        <f t="array" ref="E116">_xlfn.IFS(D116&lt;5.7,"Normal",D116&lt;=6.4,"Prediabetes",D116&gt;=6.5,"Diabetes")</f>
        <v>Diabetes</v>
      </c>
      <c r="F116" s="3" t="s">
        <v>2379</v>
      </c>
      <c r="G116" s="3" t="s">
        <v>2379</v>
      </c>
      <c r="H116" s="3" t="s">
        <v>2379</v>
      </c>
      <c r="I116" s="1">
        <v>2</v>
      </c>
      <c r="J116">
        <v>2</v>
      </c>
      <c r="K116" s="3" t="s">
        <v>2382</v>
      </c>
      <c r="P116" s="3"/>
    </row>
    <row r="117" spans="1:16" x14ac:dyDescent="0.25">
      <c r="A117" s="3" t="s">
        <v>2256</v>
      </c>
      <c r="B117">
        <v>30.495000000000001</v>
      </c>
      <c r="C117" t="str" cm="1">
        <f t="array" ref="C117">_xlfn.IFS(B117&lt;=18.5,  "Underweight",B117&lt;=24.9,"Normal weight",B117&lt;=29.9, "Over weight",B117&gt;=30,"Obesity")</f>
        <v>Obesity</v>
      </c>
      <c r="D117">
        <v>6.29</v>
      </c>
      <c r="E117" t="str" cm="1">
        <f t="array" ref="E117">_xlfn.IFS(D117&lt;5.7,"Normal",D117&lt;=6.4,"Prediabetes",D117&gt;=6.5,"Diabetes")</f>
        <v>Prediabetes</v>
      </c>
      <c r="F117" s="3" t="s">
        <v>2379</v>
      </c>
      <c r="G117" s="3" t="s">
        <v>2379</v>
      </c>
      <c r="H117" s="3" t="s">
        <v>2379</v>
      </c>
      <c r="I117" s="1" t="s">
        <v>2380</v>
      </c>
      <c r="J117">
        <v>0</v>
      </c>
      <c r="K117" s="3" t="s">
        <v>2382</v>
      </c>
      <c r="P117" s="3"/>
    </row>
    <row r="118" spans="1:16" x14ac:dyDescent="0.25">
      <c r="A118" s="3" t="s">
        <v>2255</v>
      </c>
      <c r="B118">
        <v>44.88</v>
      </c>
      <c r="C118" t="str" cm="1">
        <f t="array" ref="C118">_xlfn.IFS(B118&lt;=18.5,  "Underweight",B118&lt;=24.9,"Normal weight",B118&lt;=29.9, "Over weight",B118&gt;=30,"Obesity")</f>
        <v>Obesity</v>
      </c>
      <c r="D118">
        <v>6.04</v>
      </c>
      <c r="E118" t="str" cm="1">
        <f t="array" ref="E118">_xlfn.IFS(D118&lt;5.7,"Normal",D118&lt;=6.4,"Prediabetes",D118&gt;=6.5,"Diabetes")</f>
        <v>Prediabetes</v>
      </c>
      <c r="F118" s="3" t="s">
        <v>2379</v>
      </c>
      <c r="G118" s="3" t="s">
        <v>2379</v>
      </c>
      <c r="H118" s="3" t="s">
        <v>2382</v>
      </c>
      <c r="I118" s="1">
        <v>1</v>
      </c>
      <c r="J118">
        <v>1</v>
      </c>
      <c r="K118" s="3" t="s">
        <v>2382</v>
      </c>
      <c r="P118" s="3"/>
    </row>
    <row r="119" spans="1:16" x14ac:dyDescent="0.25">
      <c r="A119" s="3" t="s">
        <v>2254</v>
      </c>
      <c r="B119">
        <v>44.32</v>
      </c>
      <c r="C119" t="str" cm="1">
        <f t="array" ref="C119">_xlfn.IFS(B119&lt;=18.5,  "Underweight",B119&lt;=24.9,"Normal weight",B119&lt;=29.9, "Over weight",B119&gt;=30,"Obesity")</f>
        <v>Obesity</v>
      </c>
      <c r="D119">
        <v>10.55</v>
      </c>
      <c r="E119" t="str" cm="1">
        <f t="array" ref="E119">_xlfn.IFS(D119&lt;5.7,"Normal",D119&lt;=6.4,"Prediabetes",D119&gt;=6.5,"Diabetes")</f>
        <v>Diabetes</v>
      </c>
      <c r="F119" s="3" t="s">
        <v>2379</v>
      </c>
      <c r="G119" s="3" t="s">
        <v>2379</v>
      </c>
      <c r="H119" s="3" t="s">
        <v>2379</v>
      </c>
      <c r="I119" s="1" t="s">
        <v>2380</v>
      </c>
      <c r="J119">
        <v>0</v>
      </c>
      <c r="K119" s="3" t="s">
        <v>2382</v>
      </c>
      <c r="P119" s="3"/>
    </row>
    <row r="120" spans="1:16" x14ac:dyDescent="0.25">
      <c r="A120" s="3" t="s">
        <v>2253</v>
      </c>
      <c r="B120">
        <v>46.39</v>
      </c>
      <c r="C120" t="str" cm="1">
        <f t="array" ref="C120">_xlfn.IFS(B120&lt;=18.5,  "Underweight",B120&lt;=24.9,"Normal weight",B120&lt;=29.9, "Over weight",B120&gt;=30,"Obesity")</f>
        <v>Obesity</v>
      </c>
      <c r="D120">
        <v>5.09</v>
      </c>
      <c r="E120" t="str" cm="1">
        <f t="array" ref="E120">_xlfn.IFS(D120&lt;5.7,"Normal",D120&lt;=6.4,"Prediabetes",D120&gt;=6.5,"Diabetes")</f>
        <v>Normal</v>
      </c>
      <c r="F120" s="3" t="s">
        <v>2379</v>
      </c>
      <c r="G120" s="3" t="s">
        <v>2379</v>
      </c>
      <c r="H120" s="3" t="s">
        <v>2379</v>
      </c>
      <c r="I120" s="1" t="s">
        <v>2380</v>
      </c>
      <c r="J120">
        <v>0</v>
      </c>
      <c r="K120" s="3" t="s">
        <v>2382</v>
      </c>
      <c r="P120" s="3"/>
    </row>
    <row r="121" spans="1:16" x14ac:dyDescent="0.25">
      <c r="A121" s="3" t="s">
        <v>2252</v>
      </c>
      <c r="B121">
        <v>42.13</v>
      </c>
      <c r="C121" t="str" cm="1">
        <f t="array" ref="C121">_xlfn.IFS(B121&lt;=18.5,  "Underweight",B121&lt;=24.9,"Normal weight",B121&lt;=29.9, "Over weight",B121&gt;=30,"Obesity")</f>
        <v>Obesity</v>
      </c>
      <c r="D121">
        <v>5.2</v>
      </c>
      <c r="E121" t="str" cm="1">
        <f t="array" ref="E121">_xlfn.IFS(D121&lt;5.7,"Normal",D121&lt;=6.4,"Prediabetes",D121&gt;=6.5,"Diabetes")</f>
        <v>Normal</v>
      </c>
      <c r="F121" s="3" t="s">
        <v>2382</v>
      </c>
      <c r="G121" s="3" t="s">
        <v>2379</v>
      </c>
      <c r="H121" s="3" t="s">
        <v>2379</v>
      </c>
      <c r="I121" s="1">
        <v>1</v>
      </c>
      <c r="J121">
        <v>1</v>
      </c>
      <c r="K121" s="3" t="s">
        <v>2382</v>
      </c>
      <c r="P121" s="3"/>
    </row>
    <row r="122" spans="1:16" x14ac:dyDescent="0.25">
      <c r="A122" s="3" t="s">
        <v>2251</v>
      </c>
      <c r="B122">
        <v>30.78</v>
      </c>
      <c r="C122" t="str" cm="1">
        <f t="array" ref="C122">_xlfn.IFS(B122&lt;=18.5,  "Underweight",B122&lt;=24.9,"Normal weight",B122&lt;=29.9, "Over weight",B122&gt;=30,"Obesity")</f>
        <v>Obesity</v>
      </c>
      <c r="D122">
        <v>8.4499999999999993</v>
      </c>
      <c r="E122" t="str" cm="1">
        <f t="array" ref="E122">_xlfn.IFS(D122&lt;5.7,"Normal",D122&lt;=6.4,"Prediabetes",D122&gt;=6.5,"Diabetes")</f>
        <v>Diabetes</v>
      </c>
      <c r="F122" s="3" t="s">
        <v>2382</v>
      </c>
      <c r="G122" s="3" t="s">
        <v>2379</v>
      </c>
      <c r="H122" s="3" t="s">
        <v>2379</v>
      </c>
      <c r="I122" s="1" t="s">
        <v>2380</v>
      </c>
      <c r="J122">
        <v>0</v>
      </c>
      <c r="K122" s="3" t="s">
        <v>2382</v>
      </c>
      <c r="P122" s="3"/>
    </row>
    <row r="123" spans="1:16" x14ac:dyDescent="0.25">
      <c r="A123" s="3" t="s">
        <v>2250</v>
      </c>
      <c r="B123">
        <v>31.35</v>
      </c>
      <c r="C123" t="str" cm="1">
        <f t="array" ref="C123">_xlfn.IFS(B123&lt;=18.5,  "Underweight",B123&lt;=24.9,"Normal weight",B123&lt;=29.9, "Over weight",B123&gt;=30,"Obesity")</f>
        <v>Obesity</v>
      </c>
      <c r="D123">
        <v>9.5399999999999991</v>
      </c>
      <c r="E123" t="str" cm="1">
        <f t="array" ref="E123">_xlfn.IFS(D123&lt;5.7,"Normal",D123&lt;=6.4,"Prediabetes",D123&gt;=6.5,"Diabetes")</f>
        <v>Diabetes</v>
      </c>
      <c r="F123" s="3" t="s">
        <v>2379</v>
      </c>
      <c r="G123" s="3" t="s">
        <v>2379</v>
      </c>
      <c r="H123" s="3" t="s">
        <v>2379</v>
      </c>
      <c r="I123" s="1" t="s">
        <v>2380</v>
      </c>
      <c r="J123">
        <v>0</v>
      </c>
      <c r="K123" s="3" t="s">
        <v>2382</v>
      </c>
      <c r="P123" s="3"/>
    </row>
    <row r="124" spans="1:16" x14ac:dyDescent="0.25">
      <c r="A124" s="3" t="s">
        <v>2249</v>
      </c>
      <c r="B124">
        <v>41.46</v>
      </c>
      <c r="C124" t="str" cm="1">
        <f t="array" ref="C124">_xlfn.IFS(B124&lt;=18.5,  "Underweight",B124&lt;=24.9,"Normal weight",B124&lt;=29.9, "Over weight",B124&gt;=30,"Obesity")</f>
        <v>Obesity</v>
      </c>
      <c r="D124">
        <v>4.99</v>
      </c>
      <c r="E124" t="str" cm="1">
        <f t="array" ref="E124">_xlfn.IFS(D124&lt;5.7,"Normal",D124&lt;=6.4,"Prediabetes",D124&gt;=6.5,"Diabetes")</f>
        <v>Normal</v>
      </c>
      <c r="F124" s="3" t="s">
        <v>2382</v>
      </c>
      <c r="G124" s="3" t="s">
        <v>2379</v>
      </c>
      <c r="H124" s="3" t="s">
        <v>2379</v>
      </c>
      <c r="I124" s="1">
        <v>2</v>
      </c>
      <c r="J124">
        <v>2</v>
      </c>
      <c r="K124" s="3" t="s">
        <v>2382</v>
      </c>
      <c r="P124" s="3"/>
    </row>
    <row r="125" spans="1:16" x14ac:dyDescent="0.25">
      <c r="A125" s="3" t="s">
        <v>2248</v>
      </c>
      <c r="B125">
        <v>48</v>
      </c>
      <c r="C125" t="str" cm="1">
        <f t="array" ref="C125">_xlfn.IFS(B125&lt;=18.5,  "Underweight",B125&lt;=24.9,"Normal weight",B125&lt;=29.9, "Over weight",B125&gt;=30,"Obesity")</f>
        <v>Obesity</v>
      </c>
      <c r="D125">
        <v>10.54</v>
      </c>
      <c r="E125" t="str" cm="1">
        <f t="array" ref="E125">_xlfn.IFS(D125&lt;5.7,"Normal",D125&lt;=6.4,"Prediabetes",D125&gt;=6.5,"Diabetes")</f>
        <v>Diabetes</v>
      </c>
      <c r="F125" s="3" t="s">
        <v>2379</v>
      </c>
      <c r="G125" s="3" t="s">
        <v>2379</v>
      </c>
      <c r="H125" s="3" t="s">
        <v>2379</v>
      </c>
      <c r="I125" s="1" t="s">
        <v>2380</v>
      </c>
      <c r="J125">
        <v>0</v>
      </c>
      <c r="K125" s="3" t="s">
        <v>2382</v>
      </c>
      <c r="P125" s="3"/>
    </row>
    <row r="126" spans="1:16" x14ac:dyDescent="0.25">
      <c r="A126" s="3" t="s">
        <v>2247</v>
      </c>
      <c r="B126">
        <v>49.13</v>
      </c>
      <c r="C126" t="str" cm="1">
        <f t="array" ref="C126">_xlfn.IFS(B126&lt;=18.5,  "Underweight",B126&lt;=24.9,"Normal weight",B126&lt;=29.9, "Over weight",B126&gt;=30,"Obesity")</f>
        <v>Obesity</v>
      </c>
      <c r="D126">
        <v>4.54</v>
      </c>
      <c r="E126" t="str" cm="1">
        <f t="array" ref="E126">_xlfn.IFS(D126&lt;5.7,"Normal",D126&lt;=6.4,"Prediabetes",D126&gt;=6.5,"Diabetes")</f>
        <v>Normal</v>
      </c>
      <c r="F126" s="3" t="s">
        <v>2379</v>
      </c>
      <c r="G126" s="3" t="s">
        <v>2379</v>
      </c>
      <c r="H126" s="3" t="s">
        <v>2379</v>
      </c>
      <c r="I126" s="1" t="s">
        <v>2380</v>
      </c>
      <c r="J126">
        <v>0</v>
      </c>
      <c r="K126" s="3" t="s">
        <v>2382</v>
      </c>
      <c r="P126" s="3"/>
    </row>
    <row r="127" spans="1:16" x14ac:dyDescent="0.25">
      <c r="A127" s="3" t="s">
        <v>2246</v>
      </c>
      <c r="B127">
        <v>37.799999999999997</v>
      </c>
      <c r="C127" t="str" cm="1">
        <f t="array" ref="C127">_xlfn.IFS(B127&lt;=18.5,  "Underweight",B127&lt;=24.9,"Normal weight",B127&lt;=29.9, "Over weight",B127&gt;=30,"Obesity")</f>
        <v>Obesity</v>
      </c>
      <c r="D127">
        <v>6.29</v>
      </c>
      <c r="E127" t="str" cm="1">
        <f t="array" ref="E127">_xlfn.IFS(D127&lt;5.7,"Normal",D127&lt;=6.4,"Prediabetes",D127&gt;=6.5,"Diabetes")</f>
        <v>Prediabetes</v>
      </c>
      <c r="F127" s="3" t="s">
        <v>2379</v>
      </c>
      <c r="G127" s="3" t="s">
        <v>2379</v>
      </c>
      <c r="H127" s="3" t="s">
        <v>2379</v>
      </c>
      <c r="I127" s="1">
        <v>1</v>
      </c>
      <c r="J127">
        <v>1</v>
      </c>
      <c r="K127" s="3" t="s">
        <v>2382</v>
      </c>
      <c r="P127" s="3"/>
    </row>
    <row r="128" spans="1:16" x14ac:dyDescent="0.25">
      <c r="A128" s="3" t="s">
        <v>2245</v>
      </c>
      <c r="B128">
        <v>38.299999999999997</v>
      </c>
      <c r="C128" t="str" cm="1">
        <f t="array" ref="C128">_xlfn.IFS(B128&lt;=18.5,  "Underweight",B128&lt;=24.9,"Normal weight",B128&lt;=29.9, "Over weight",B128&gt;=30,"Obesity")</f>
        <v>Obesity</v>
      </c>
      <c r="D128">
        <v>9.51</v>
      </c>
      <c r="E128" t="str" cm="1">
        <f t="array" ref="E128">_xlfn.IFS(D128&lt;5.7,"Normal",D128&lt;=6.4,"Prediabetes",D128&gt;=6.5,"Diabetes")</f>
        <v>Diabetes</v>
      </c>
      <c r="F128" s="3" t="s">
        <v>2379</v>
      </c>
      <c r="G128" s="3" t="s">
        <v>2379</v>
      </c>
      <c r="H128" s="3" t="s">
        <v>2379</v>
      </c>
      <c r="I128" s="1" t="s">
        <v>2380</v>
      </c>
      <c r="J128">
        <v>0</v>
      </c>
      <c r="K128" s="3" t="s">
        <v>2382</v>
      </c>
      <c r="P128" s="3"/>
    </row>
    <row r="129" spans="1:16" x14ac:dyDescent="0.25">
      <c r="A129" s="3" t="s">
        <v>2244</v>
      </c>
      <c r="B129">
        <v>32.774999999999999</v>
      </c>
      <c r="C129" t="str" cm="1">
        <f t="array" ref="C129">_xlfn.IFS(B129&lt;=18.5,  "Underweight",B129&lt;=24.9,"Normal weight",B129&lt;=29.9, "Over weight",B129&gt;=30,"Obesity")</f>
        <v>Obesity</v>
      </c>
      <c r="D129">
        <v>4.72</v>
      </c>
      <c r="E129" t="str" cm="1">
        <f t="array" ref="E129">_xlfn.IFS(D129&lt;5.7,"Normal",D129&lt;=6.4,"Prediabetes",D129&gt;=6.5,"Diabetes")</f>
        <v>Normal</v>
      </c>
      <c r="F129" s="3" t="s">
        <v>2379</v>
      </c>
      <c r="G129" s="3" t="s">
        <v>2379</v>
      </c>
      <c r="H129" s="3" t="s">
        <v>2379</v>
      </c>
      <c r="I129" s="1" t="s">
        <v>2380</v>
      </c>
      <c r="J129">
        <v>0</v>
      </c>
      <c r="K129" s="3" t="s">
        <v>2382</v>
      </c>
      <c r="P129" s="3"/>
    </row>
    <row r="130" spans="1:16" x14ac:dyDescent="0.25">
      <c r="A130" s="3" t="s">
        <v>2243</v>
      </c>
      <c r="B130">
        <v>34.200000000000003</v>
      </c>
      <c r="C130" t="str" cm="1">
        <f t="array" ref="C130">_xlfn.IFS(B130&lt;=18.5,  "Underweight",B130&lt;=24.9,"Normal weight",B130&lt;=29.9, "Over weight",B130&gt;=30,"Obesity")</f>
        <v>Obesity</v>
      </c>
      <c r="D130">
        <v>5.91</v>
      </c>
      <c r="E130" t="str" cm="1">
        <f t="array" ref="E130">_xlfn.IFS(D130&lt;5.7,"Normal",D130&lt;=6.4,"Prediabetes",D130&gt;=6.5,"Diabetes")</f>
        <v>Prediabetes</v>
      </c>
      <c r="F130" s="3" t="s">
        <v>2382</v>
      </c>
      <c r="G130" s="3" t="s">
        <v>2379</v>
      </c>
      <c r="H130" s="3" t="s">
        <v>2379</v>
      </c>
      <c r="I130" s="1" t="s">
        <v>2380</v>
      </c>
      <c r="J130">
        <v>0</v>
      </c>
      <c r="K130" s="3" t="s">
        <v>2382</v>
      </c>
      <c r="P130" s="3"/>
    </row>
    <row r="131" spans="1:16" x14ac:dyDescent="0.25">
      <c r="A131" s="3" t="s">
        <v>2242</v>
      </c>
      <c r="B131">
        <v>30.2</v>
      </c>
      <c r="C131" t="str" cm="1">
        <f t="array" ref="C131">_xlfn.IFS(B131&lt;=18.5,  "Underweight",B131&lt;=24.9,"Normal weight",B131&lt;=29.9, "Over weight",B131&gt;=30,"Obesity")</f>
        <v>Obesity</v>
      </c>
      <c r="D131">
        <v>9.58</v>
      </c>
      <c r="E131" t="str" cm="1">
        <f t="array" ref="E131">_xlfn.IFS(D131&lt;5.7,"Normal",D131&lt;=6.4,"Prediabetes",D131&gt;=6.5,"Diabetes")</f>
        <v>Diabetes</v>
      </c>
      <c r="F131" s="3" t="s">
        <v>2379</v>
      </c>
      <c r="G131" s="3" t="s">
        <v>2379</v>
      </c>
      <c r="H131" s="3" t="s">
        <v>2379</v>
      </c>
      <c r="I131" s="1" t="s">
        <v>2380</v>
      </c>
      <c r="J131">
        <v>0</v>
      </c>
      <c r="K131" s="3" t="s">
        <v>2382</v>
      </c>
      <c r="P131" s="3"/>
    </row>
    <row r="132" spans="1:16" x14ac:dyDescent="0.25">
      <c r="A132" s="3" t="s">
        <v>2241</v>
      </c>
      <c r="B132">
        <v>48.32</v>
      </c>
      <c r="C132" t="str" cm="1">
        <f t="array" ref="C132">_xlfn.IFS(B132&lt;=18.5,  "Underweight",B132&lt;=24.9,"Normal weight",B132&lt;=29.9, "Over weight",B132&gt;=30,"Obesity")</f>
        <v>Obesity</v>
      </c>
      <c r="D132">
        <v>5.77</v>
      </c>
      <c r="E132" t="str" cm="1">
        <f t="array" ref="E132">_xlfn.IFS(D132&lt;5.7,"Normal",D132&lt;=6.4,"Prediabetes",D132&gt;=6.5,"Diabetes")</f>
        <v>Prediabetes</v>
      </c>
      <c r="F132" s="3" t="s">
        <v>2379</v>
      </c>
      <c r="G132" s="3" t="s">
        <v>2379</v>
      </c>
      <c r="H132" s="3" t="s">
        <v>2379</v>
      </c>
      <c r="I132" s="1" t="s">
        <v>2380</v>
      </c>
      <c r="J132">
        <v>0</v>
      </c>
      <c r="K132" s="3" t="s">
        <v>2382</v>
      </c>
      <c r="P132" s="3"/>
    </row>
    <row r="133" spans="1:16" x14ac:dyDescent="0.25">
      <c r="A133" s="3" t="s">
        <v>2240</v>
      </c>
      <c r="B133">
        <v>44.86</v>
      </c>
      <c r="C133" t="str" cm="1">
        <f t="array" ref="C133">_xlfn.IFS(B133&lt;=18.5,  "Underweight",B133&lt;=24.9,"Normal weight",B133&lt;=29.9, "Over weight",B133&gt;=30,"Obesity")</f>
        <v>Obesity</v>
      </c>
      <c r="D133">
        <v>4.38</v>
      </c>
      <c r="E133" t="str" cm="1">
        <f t="array" ref="E133">_xlfn.IFS(D133&lt;5.7,"Normal",D133&lt;=6.4,"Prediabetes",D133&gt;=6.5,"Diabetes")</f>
        <v>Normal</v>
      </c>
      <c r="F133" s="3" t="s">
        <v>2382</v>
      </c>
      <c r="G133" s="3" t="s">
        <v>2379</v>
      </c>
      <c r="H133" s="3" t="s">
        <v>2379</v>
      </c>
      <c r="I133" s="1" t="s">
        <v>2380</v>
      </c>
      <c r="J133">
        <v>0</v>
      </c>
      <c r="K133" s="3" t="s">
        <v>2382</v>
      </c>
      <c r="P133" s="3"/>
    </row>
    <row r="134" spans="1:16" x14ac:dyDescent="0.25">
      <c r="A134" s="3" t="s">
        <v>2239</v>
      </c>
      <c r="B134">
        <v>52.15</v>
      </c>
      <c r="C134" t="str" cm="1">
        <f t="array" ref="C134">_xlfn.IFS(B134&lt;=18.5,  "Underweight",B134&lt;=24.9,"Normal weight",B134&lt;=29.9, "Over weight",B134&gt;=30,"Obesity")</f>
        <v>Obesity</v>
      </c>
      <c r="D134">
        <v>5.65</v>
      </c>
      <c r="E134" t="str" cm="1">
        <f t="array" ref="E134">_xlfn.IFS(D134&lt;5.7,"Normal",D134&lt;=6.4,"Prediabetes",D134&gt;=6.5,"Diabetes")</f>
        <v>Normal</v>
      </c>
      <c r="F134" s="3" t="s">
        <v>2379</v>
      </c>
      <c r="G134" s="3" t="s">
        <v>2379</v>
      </c>
      <c r="H134" s="3" t="s">
        <v>2379</v>
      </c>
      <c r="I134" s="1">
        <v>1</v>
      </c>
      <c r="J134">
        <v>1</v>
      </c>
      <c r="K134" s="3" t="s">
        <v>2382</v>
      </c>
      <c r="P134" s="3"/>
    </row>
    <row r="135" spans="1:16" x14ac:dyDescent="0.25">
      <c r="A135" s="3" t="s">
        <v>2238</v>
      </c>
      <c r="B135">
        <v>41.12</v>
      </c>
      <c r="C135" t="str" cm="1">
        <f t="array" ref="C135">_xlfn.IFS(B135&lt;=18.5,  "Underweight",B135&lt;=24.9,"Normal weight",B135&lt;=29.9, "Over weight",B135&gt;=30,"Obesity")</f>
        <v>Obesity</v>
      </c>
      <c r="D135">
        <v>7.54</v>
      </c>
      <c r="E135" t="str" cm="1">
        <f t="array" ref="E135">_xlfn.IFS(D135&lt;5.7,"Normal",D135&lt;=6.4,"Prediabetes",D135&gt;=6.5,"Diabetes")</f>
        <v>Diabetes</v>
      </c>
      <c r="F135" s="3" t="s">
        <v>2382</v>
      </c>
      <c r="G135" s="3" t="s">
        <v>2379</v>
      </c>
      <c r="H135" s="3" t="s">
        <v>2379</v>
      </c>
      <c r="I135" s="1" t="s">
        <v>2380</v>
      </c>
      <c r="J135">
        <v>0</v>
      </c>
      <c r="K135" s="3" t="s">
        <v>2382</v>
      </c>
      <c r="P135" s="3"/>
    </row>
    <row r="136" spans="1:16" x14ac:dyDescent="0.25">
      <c r="A136" s="3" t="s">
        <v>2237</v>
      </c>
      <c r="B136">
        <v>38.39</v>
      </c>
      <c r="C136" t="str" cm="1">
        <f t="array" ref="C136">_xlfn.IFS(B136&lt;=18.5,  "Underweight",B136&lt;=24.9,"Normal weight",B136&lt;=29.9, "Over weight",B136&gt;=30,"Obesity")</f>
        <v>Obesity</v>
      </c>
      <c r="D136">
        <v>5.1100000000000003</v>
      </c>
      <c r="E136" t="str" cm="1">
        <f t="array" ref="E136">_xlfn.IFS(D136&lt;5.7,"Normal",D136&lt;=6.4,"Prediabetes",D136&gt;=6.5,"Diabetes")</f>
        <v>Normal</v>
      </c>
      <c r="F136" s="3" t="s">
        <v>2382</v>
      </c>
      <c r="G136" s="3" t="s">
        <v>2379</v>
      </c>
      <c r="H136" s="3" t="s">
        <v>2379</v>
      </c>
      <c r="I136" s="1">
        <v>1</v>
      </c>
      <c r="J136">
        <v>1</v>
      </c>
      <c r="K136" s="3" t="s">
        <v>2382</v>
      </c>
      <c r="P136" s="3"/>
    </row>
    <row r="137" spans="1:16" x14ac:dyDescent="0.25">
      <c r="A137" s="3" t="s">
        <v>2236</v>
      </c>
      <c r="B137">
        <v>46.85</v>
      </c>
      <c r="C137" t="str" cm="1">
        <f t="array" ref="C137">_xlfn.IFS(B137&lt;=18.5,  "Underweight",B137&lt;=24.9,"Normal weight",B137&lt;=29.9, "Over weight",B137&gt;=30,"Obesity")</f>
        <v>Obesity</v>
      </c>
      <c r="D137">
        <v>4.25</v>
      </c>
      <c r="E137" t="str" cm="1">
        <f t="array" ref="E137">_xlfn.IFS(D137&lt;5.7,"Normal",D137&lt;=6.4,"Prediabetes",D137&gt;=6.5,"Diabetes")</f>
        <v>Normal</v>
      </c>
      <c r="F137" s="3" t="s">
        <v>2379</v>
      </c>
      <c r="G137" s="3" t="s">
        <v>2379</v>
      </c>
      <c r="H137" s="3" t="s">
        <v>2382</v>
      </c>
      <c r="I137" s="1">
        <v>1</v>
      </c>
      <c r="J137">
        <v>1</v>
      </c>
      <c r="K137" s="3" t="s">
        <v>2382</v>
      </c>
      <c r="P137" s="3"/>
    </row>
    <row r="138" spans="1:16" x14ac:dyDescent="0.25">
      <c r="A138" s="3" t="s">
        <v>2235</v>
      </c>
      <c r="B138">
        <v>42.24</v>
      </c>
      <c r="C138" t="str" cm="1">
        <f t="array" ref="C138">_xlfn.IFS(B138&lt;=18.5,  "Underweight",B138&lt;=24.9,"Normal weight",B138&lt;=29.9, "Over weight",B138&gt;=30,"Obesity")</f>
        <v>Obesity</v>
      </c>
      <c r="D138">
        <v>5.55</v>
      </c>
      <c r="E138" t="str" cm="1">
        <f t="array" ref="E138">_xlfn.IFS(D138&lt;5.7,"Normal",D138&lt;=6.4,"Prediabetes",D138&gt;=6.5,"Diabetes")</f>
        <v>Normal</v>
      </c>
      <c r="F138" s="3" t="s">
        <v>2379</v>
      </c>
      <c r="G138" s="3" t="s">
        <v>2381</v>
      </c>
      <c r="H138" s="3" t="s">
        <v>2379</v>
      </c>
      <c r="I138" s="1">
        <v>1</v>
      </c>
      <c r="J138">
        <v>1</v>
      </c>
      <c r="K138" s="3" t="s">
        <v>2382</v>
      </c>
      <c r="P138" s="3"/>
    </row>
    <row r="139" spans="1:16" x14ac:dyDescent="0.25">
      <c r="A139" s="3" t="s">
        <v>2234</v>
      </c>
      <c r="B139">
        <v>34.39</v>
      </c>
      <c r="C139" t="str" cm="1">
        <f t="array" ref="C139">_xlfn.IFS(B139&lt;=18.5,  "Underweight",B139&lt;=24.9,"Normal weight",B139&lt;=29.9, "Over weight",B139&gt;=30,"Obesity")</f>
        <v>Obesity</v>
      </c>
      <c r="D139">
        <v>5.78</v>
      </c>
      <c r="E139" t="str" cm="1">
        <f t="array" ref="E139">_xlfn.IFS(D139&lt;5.7,"Normal",D139&lt;=6.4,"Prediabetes",D139&gt;=6.5,"Diabetes")</f>
        <v>Prediabetes</v>
      </c>
      <c r="F139" s="3" t="s">
        <v>2379</v>
      </c>
      <c r="G139" s="3" t="s">
        <v>2379</v>
      </c>
      <c r="H139" s="3" t="s">
        <v>2379</v>
      </c>
      <c r="I139" s="1" t="s">
        <v>2380</v>
      </c>
      <c r="J139">
        <v>0</v>
      </c>
      <c r="K139" s="3" t="s">
        <v>2382</v>
      </c>
      <c r="P139" s="3"/>
    </row>
    <row r="140" spans="1:16" x14ac:dyDescent="0.25">
      <c r="A140" s="3" t="s">
        <v>2233</v>
      </c>
      <c r="B140">
        <v>42.89</v>
      </c>
      <c r="C140" t="str" cm="1">
        <f t="array" ref="C140">_xlfn.IFS(B140&lt;=18.5,  "Underweight",B140&lt;=24.9,"Normal weight",B140&lt;=29.9, "Over weight",B140&gt;=30,"Obesity")</f>
        <v>Obesity</v>
      </c>
      <c r="D140">
        <v>5.28</v>
      </c>
      <c r="E140" t="str" cm="1">
        <f t="array" ref="E140">_xlfn.IFS(D140&lt;5.7,"Normal",D140&lt;=6.4,"Prediabetes",D140&gt;=6.5,"Diabetes")</f>
        <v>Normal</v>
      </c>
      <c r="F140" s="3" t="s">
        <v>2382</v>
      </c>
      <c r="G140" s="3" t="s">
        <v>2379</v>
      </c>
      <c r="H140" s="3" t="s">
        <v>2379</v>
      </c>
      <c r="I140" s="1" t="s">
        <v>2380</v>
      </c>
      <c r="J140">
        <v>0</v>
      </c>
      <c r="K140" s="3" t="s">
        <v>2382</v>
      </c>
      <c r="P140" s="3"/>
    </row>
    <row r="141" spans="1:16" x14ac:dyDescent="0.25">
      <c r="A141" s="3" t="s">
        <v>2232</v>
      </c>
      <c r="B141">
        <v>36.299999999999997</v>
      </c>
      <c r="C141" t="str" cm="1">
        <f t="array" ref="C141">_xlfn.IFS(B141&lt;=18.5,  "Underweight",B141&lt;=24.9,"Normal weight",B141&lt;=29.9, "Over weight",B141&gt;=30,"Obesity")</f>
        <v>Obesity</v>
      </c>
      <c r="D141">
        <v>5.39</v>
      </c>
      <c r="E141" t="str" cm="1">
        <f t="array" ref="E141">_xlfn.IFS(D141&lt;5.7,"Normal",D141&lt;=6.4,"Prediabetes",D141&gt;=6.5,"Diabetes")</f>
        <v>Normal</v>
      </c>
      <c r="F141" s="3" t="s">
        <v>2379</v>
      </c>
      <c r="G141" s="3" t="s">
        <v>2379</v>
      </c>
      <c r="H141" s="3" t="s">
        <v>2379</v>
      </c>
      <c r="I141" s="1" t="s">
        <v>2380</v>
      </c>
      <c r="J141">
        <v>0</v>
      </c>
      <c r="K141" s="3" t="s">
        <v>2382</v>
      </c>
      <c r="P141" s="3"/>
    </row>
    <row r="142" spans="1:16" x14ac:dyDescent="0.25">
      <c r="A142" s="3" t="s">
        <v>2231</v>
      </c>
      <c r="B142">
        <v>35.200000000000003</v>
      </c>
      <c r="C142" t="str" cm="1">
        <f t="array" ref="C142">_xlfn.IFS(B142&lt;=18.5,  "Underweight",B142&lt;=24.9,"Normal weight",B142&lt;=29.9, "Over weight",B142&gt;=30,"Obesity")</f>
        <v>Obesity</v>
      </c>
      <c r="D142">
        <v>8.01</v>
      </c>
      <c r="E142" t="str" cm="1">
        <f t="array" ref="E142">_xlfn.IFS(D142&lt;5.7,"Normal",D142&lt;=6.4,"Prediabetes",D142&gt;=6.5,"Diabetes")</f>
        <v>Diabetes</v>
      </c>
      <c r="F142" s="3" t="s">
        <v>2382</v>
      </c>
      <c r="G142" s="3" t="s">
        <v>2379</v>
      </c>
      <c r="H142" s="3" t="s">
        <v>2379</v>
      </c>
      <c r="I142" s="1">
        <v>1</v>
      </c>
      <c r="J142">
        <v>1</v>
      </c>
      <c r="K142" s="3" t="s">
        <v>2382</v>
      </c>
      <c r="P142" s="3"/>
    </row>
    <row r="143" spans="1:16" x14ac:dyDescent="0.25">
      <c r="A143" s="3" t="s">
        <v>2230</v>
      </c>
      <c r="B143">
        <v>53.62</v>
      </c>
      <c r="C143" t="str" cm="1">
        <f t="array" ref="C143">_xlfn.IFS(B143&lt;=18.5,  "Underweight",B143&lt;=24.9,"Normal weight",B143&lt;=29.9, "Over weight",B143&gt;=30,"Obesity")</f>
        <v>Obesity</v>
      </c>
      <c r="D143">
        <v>5.21</v>
      </c>
      <c r="E143" t="str" cm="1">
        <f t="array" ref="E143">_xlfn.IFS(D143&lt;5.7,"Normal",D143&lt;=6.4,"Prediabetes",D143&gt;=6.5,"Diabetes")</f>
        <v>Normal</v>
      </c>
      <c r="F143" s="3" t="s">
        <v>2379</v>
      </c>
      <c r="G143" s="3" t="s">
        <v>2379</v>
      </c>
      <c r="H143" s="3" t="s">
        <v>2379</v>
      </c>
      <c r="I143" s="1" t="s">
        <v>2380</v>
      </c>
      <c r="J143">
        <v>0</v>
      </c>
      <c r="K143" s="3" t="s">
        <v>2382</v>
      </c>
      <c r="P143" s="3"/>
    </row>
    <row r="144" spans="1:16" x14ac:dyDescent="0.25">
      <c r="A144" s="3" t="s">
        <v>2229</v>
      </c>
      <c r="B144">
        <v>36.67</v>
      </c>
      <c r="C144" t="str" cm="1">
        <f t="array" ref="C144">_xlfn.IFS(B144&lt;=18.5,  "Underweight",B144&lt;=24.9,"Normal weight",B144&lt;=29.9, "Over weight",B144&gt;=30,"Obesity")</f>
        <v>Obesity</v>
      </c>
      <c r="D144">
        <v>6.27</v>
      </c>
      <c r="E144" t="str" cm="1">
        <f t="array" ref="E144">_xlfn.IFS(D144&lt;5.7,"Normal",D144&lt;=6.4,"Prediabetes",D144&gt;=6.5,"Diabetes")</f>
        <v>Prediabetes</v>
      </c>
      <c r="F144" s="3" t="s">
        <v>2379</v>
      </c>
      <c r="G144" s="3" t="s">
        <v>2379</v>
      </c>
      <c r="H144" s="3" t="s">
        <v>2379</v>
      </c>
      <c r="I144" s="1" t="s">
        <v>2380</v>
      </c>
      <c r="J144">
        <v>0</v>
      </c>
      <c r="K144" s="3" t="s">
        <v>2382</v>
      </c>
      <c r="P144" s="3"/>
    </row>
    <row r="145" spans="1:16" x14ac:dyDescent="0.25">
      <c r="A145" s="3" t="s">
        <v>2228</v>
      </c>
      <c r="B145">
        <v>33.4</v>
      </c>
      <c r="C145" t="str" cm="1">
        <f t="array" ref="C145">_xlfn.IFS(B145&lt;=18.5,  "Underweight",B145&lt;=24.9,"Normal weight",B145&lt;=29.9, "Over weight",B145&gt;=30,"Obesity")</f>
        <v>Obesity</v>
      </c>
      <c r="D145">
        <v>10.73</v>
      </c>
      <c r="E145" t="str" cm="1">
        <f t="array" ref="E145">_xlfn.IFS(D145&lt;5.7,"Normal",D145&lt;=6.4,"Prediabetes",D145&gt;=6.5,"Diabetes")</f>
        <v>Diabetes</v>
      </c>
      <c r="F145" s="3" t="s">
        <v>2382</v>
      </c>
      <c r="G145" s="3" t="s">
        <v>2379</v>
      </c>
      <c r="H145" s="3" t="s">
        <v>2379</v>
      </c>
      <c r="I145" s="1">
        <v>1</v>
      </c>
      <c r="J145">
        <v>1</v>
      </c>
      <c r="K145" s="3" t="s">
        <v>2382</v>
      </c>
      <c r="P145" s="3"/>
    </row>
    <row r="146" spans="1:16" x14ac:dyDescent="0.25">
      <c r="A146" s="3" t="s">
        <v>2227</v>
      </c>
      <c r="B146">
        <v>42.71</v>
      </c>
      <c r="C146" t="str" cm="1">
        <f t="array" ref="C146">_xlfn.IFS(B146&lt;=18.5,  "Underweight",B146&lt;=24.9,"Normal weight",B146&lt;=29.9, "Over weight",B146&gt;=30,"Obesity")</f>
        <v>Obesity</v>
      </c>
      <c r="D146">
        <v>10.52</v>
      </c>
      <c r="E146" t="str" cm="1">
        <f t="array" ref="E146">_xlfn.IFS(D146&lt;5.7,"Normal",D146&lt;=6.4,"Prediabetes",D146&gt;=6.5,"Diabetes")</f>
        <v>Diabetes</v>
      </c>
      <c r="F146" s="3" t="s">
        <v>2379</v>
      </c>
      <c r="G146" s="3" t="s">
        <v>2379</v>
      </c>
      <c r="H146" s="3" t="s">
        <v>2379</v>
      </c>
      <c r="I146" s="1" t="s">
        <v>2380</v>
      </c>
      <c r="J146">
        <v>0</v>
      </c>
      <c r="K146" s="3" t="s">
        <v>2382</v>
      </c>
      <c r="P146" s="3"/>
    </row>
    <row r="147" spans="1:16" x14ac:dyDescent="0.25">
      <c r="A147" s="3" t="s">
        <v>2226</v>
      </c>
      <c r="B147">
        <v>41.52</v>
      </c>
      <c r="C147" t="str" cm="1">
        <f t="array" ref="C147">_xlfn.IFS(B147&lt;=18.5,  "Underweight",B147&lt;=24.9,"Normal weight",B147&lt;=29.9, "Over weight",B147&gt;=30,"Obesity")</f>
        <v>Obesity</v>
      </c>
      <c r="D147">
        <v>11.82</v>
      </c>
      <c r="E147" t="str" cm="1">
        <f t="array" ref="E147">_xlfn.IFS(D147&lt;5.7,"Normal",D147&lt;=6.4,"Prediabetes",D147&gt;=6.5,"Diabetes")</f>
        <v>Diabetes</v>
      </c>
      <c r="F147" s="3" t="s">
        <v>2382</v>
      </c>
      <c r="G147" s="3" t="s">
        <v>2379</v>
      </c>
      <c r="H147" s="3" t="s">
        <v>2379</v>
      </c>
      <c r="I147" s="1">
        <v>2</v>
      </c>
      <c r="J147">
        <v>2</v>
      </c>
      <c r="K147" s="3" t="s">
        <v>2382</v>
      </c>
      <c r="P147" s="3"/>
    </row>
    <row r="148" spans="1:16" x14ac:dyDescent="0.25">
      <c r="A148" s="3" t="s">
        <v>2225</v>
      </c>
      <c r="B148">
        <v>39.4</v>
      </c>
      <c r="C148" t="str" cm="1">
        <f t="array" ref="C148">_xlfn.IFS(B148&lt;=18.5,  "Underweight",B148&lt;=24.9,"Normal weight",B148&lt;=29.9, "Over weight",B148&gt;=30,"Obesity")</f>
        <v>Obesity</v>
      </c>
      <c r="D148">
        <v>6.76</v>
      </c>
      <c r="E148" t="str" cm="1">
        <f t="array" ref="E148">_xlfn.IFS(D148&lt;5.7,"Normal",D148&lt;=6.4,"Prediabetes",D148&gt;=6.5,"Diabetes")</f>
        <v>Diabetes</v>
      </c>
      <c r="F148" s="3" t="s">
        <v>2379</v>
      </c>
      <c r="G148" s="3" t="s">
        <v>2379</v>
      </c>
      <c r="H148" s="3" t="s">
        <v>2379</v>
      </c>
      <c r="I148" s="1" t="s">
        <v>2380</v>
      </c>
      <c r="J148">
        <v>0</v>
      </c>
      <c r="K148" s="3" t="s">
        <v>2382</v>
      </c>
      <c r="P148" s="3"/>
    </row>
    <row r="149" spans="1:16" x14ac:dyDescent="0.25">
      <c r="A149" s="3" t="s">
        <v>2224</v>
      </c>
      <c r="B149">
        <v>46.45</v>
      </c>
      <c r="C149" t="str" cm="1">
        <f t="array" ref="C149">_xlfn.IFS(B149&lt;=18.5,  "Underweight",B149&lt;=24.9,"Normal weight",B149&lt;=29.9, "Over weight",B149&gt;=30,"Obesity")</f>
        <v>Obesity</v>
      </c>
      <c r="D149">
        <v>5.62</v>
      </c>
      <c r="E149" t="str" cm="1">
        <f t="array" ref="E149">_xlfn.IFS(D149&lt;5.7,"Normal",D149&lt;=6.4,"Prediabetes",D149&gt;=6.5,"Diabetes")</f>
        <v>Normal</v>
      </c>
      <c r="F149" s="3" t="s">
        <v>2379</v>
      </c>
      <c r="G149" s="3" t="s">
        <v>2379</v>
      </c>
      <c r="H149" s="3" t="s">
        <v>2379</v>
      </c>
      <c r="I149" s="1" t="s">
        <v>2380</v>
      </c>
      <c r="J149">
        <v>0</v>
      </c>
      <c r="K149" s="3" t="s">
        <v>2382</v>
      </c>
      <c r="P149" s="3"/>
    </row>
    <row r="150" spans="1:16" x14ac:dyDescent="0.25">
      <c r="A150" s="3" t="s">
        <v>2223</v>
      </c>
      <c r="B150">
        <v>35.75</v>
      </c>
      <c r="C150" t="str" cm="1">
        <f t="array" ref="C150">_xlfn.IFS(B150&lt;=18.5,  "Underweight",B150&lt;=24.9,"Normal weight",B150&lt;=29.9, "Over weight",B150&gt;=30,"Obesity")</f>
        <v>Obesity</v>
      </c>
      <c r="D150">
        <v>4.1900000000000004</v>
      </c>
      <c r="E150" t="str" cm="1">
        <f t="array" ref="E150">_xlfn.IFS(D150&lt;5.7,"Normal",D150&lt;=6.4,"Prediabetes",D150&gt;=6.5,"Diabetes")</f>
        <v>Normal</v>
      </c>
      <c r="F150" s="3" t="s">
        <v>2379</v>
      </c>
      <c r="G150" s="3" t="s">
        <v>2379</v>
      </c>
      <c r="H150" s="3" t="s">
        <v>2379</v>
      </c>
      <c r="I150" s="1" t="s">
        <v>2380</v>
      </c>
      <c r="J150">
        <v>0</v>
      </c>
      <c r="K150" s="3" t="s">
        <v>2382</v>
      </c>
      <c r="P150" s="3"/>
    </row>
    <row r="151" spans="1:16" x14ac:dyDescent="0.25">
      <c r="A151" s="3" t="s">
        <v>2222</v>
      </c>
      <c r="B151">
        <v>26.07</v>
      </c>
      <c r="C151" t="str" cm="1">
        <f t="array" ref="C151">_xlfn.IFS(B151&lt;=18.5,  "Underweight",B151&lt;=24.9,"Normal weight",B151&lt;=29.9, "Over weight",B151&gt;=30,"Obesity")</f>
        <v>Over weight</v>
      </c>
      <c r="D151">
        <v>5.32</v>
      </c>
      <c r="E151" t="str" cm="1">
        <f t="array" ref="E151">_xlfn.IFS(D151&lt;5.7,"Normal",D151&lt;=6.4,"Prediabetes",D151&gt;=6.5,"Diabetes")</f>
        <v>Normal</v>
      </c>
      <c r="F151" s="3" t="s">
        <v>2379</v>
      </c>
      <c r="G151" s="3" t="s">
        <v>2379</v>
      </c>
      <c r="H151" s="3" t="s">
        <v>2379</v>
      </c>
      <c r="I151" s="1" t="s">
        <v>2380</v>
      </c>
      <c r="J151">
        <v>0</v>
      </c>
      <c r="K151" s="3" t="s">
        <v>2382</v>
      </c>
      <c r="P151" s="3"/>
    </row>
    <row r="152" spans="1:16" x14ac:dyDescent="0.25">
      <c r="A152" s="3" t="s">
        <v>2221</v>
      </c>
      <c r="B152">
        <v>36.54</v>
      </c>
      <c r="C152" t="str" cm="1">
        <f t="array" ref="C152">_xlfn.IFS(B152&lt;=18.5,  "Underweight",B152&lt;=24.9,"Normal weight",B152&lt;=29.9, "Over weight",B152&gt;=30,"Obesity")</f>
        <v>Obesity</v>
      </c>
      <c r="D152">
        <v>4.46</v>
      </c>
      <c r="E152" t="str" cm="1">
        <f t="array" ref="E152">_xlfn.IFS(D152&lt;5.7,"Normal",D152&lt;=6.4,"Prediabetes",D152&gt;=6.5,"Diabetes")</f>
        <v>Normal</v>
      </c>
      <c r="F152" s="3" t="s">
        <v>2382</v>
      </c>
      <c r="G152" s="3" t="s">
        <v>2379</v>
      </c>
      <c r="H152" s="3" t="s">
        <v>2379</v>
      </c>
      <c r="I152" s="1">
        <v>1</v>
      </c>
      <c r="J152">
        <v>1</v>
      </c>
      <c r="K152" s="3" t="s">
        <v>2382</v>
      </c>
      <c r="P152" s="3"/>
    </row>
    <row r="153" spans="1:16" x14ac:dyDescent="0.25">
      <c r="A153" s="3" t="s">
        <v>2220</v>
      </c>
      <c r="B153">
        <v>51.64</v>
      </c>
      <c r="C153" t="str" cm="1">
        <f t="array" ref="C153">_xlfn.IFS(B153&lt;=18.5,  "Underweight",B153&lt;=24.9,"Normal weight",B153&lt;=29.9, "Over weight",B153&gt;=30,"Obesity")</f>
        <v>Obesity</v>
      </c>
      <c r="D153">
        <v>5.65</v>
      </c>
      <c r="E153" t="str" cm="1">
        <f t="array" ref="E153">_xlfn.IFS(D153&lt;5.7,"Normal",D153&lt;=6.4,"Prediabetes",D153&gt;=6.5,"Diabetes")</f>
        <v>Normal</v>
      </c>
      <c r="F153" s="3" t="s">
        <v>2379</v>
      </c>
      <c r="G153" s="3" t="s">
        <v>2379</v>
      </c>
      <c r="H153" s="3" t="s">
        <v>2379</v>
      </c>
      <c r="I153" s="1" t="s">
        <v>2380</v>
      </c>
      <c r="J153">
        <v>0</v>
      </c>
      <c r="K153" s="3" t="s">
        <v>2382</v>
      </c>
      <c r="P153" s="3"/>
    </row>
    <row r="154" spans="1:16" x14ac:dyDescent="0.25">
      <c r="A154" s="3" t="s">
        <v>2219</v>
      </c>
      <c r="B154">
        <v>42.83</v>
      </c>
      <c r="C154" t="str" cm="1">
        <f t="array" ref="C154">_xlfn.IFS(B154&lt;=18.5,  "Underweight",B154&lt;=24.9,"Normal weight",B154&lt;=29.9, "Over weight",B154&gt;=30,"Obesity")</f>
        <v>Obesity</v>
      </c>
      <c r="D154">
        <v>6.04</v>
      </c>
      <c r="E154" t="str" cm="1">
        <f t="array" ref="E154">_xlfn.IFS(D154&lt;5.7,"Normal",D154&lt;=6.4,"Prediabetes",D154&gt;=6.5,"Diabetes")</f>
        <v>Prediabetes</v>
      </c>
      <c r="F154" s="3" t="s">
        <v>2379</v>
      </c>
      <c r="G154" s="3" t="s">
        <v>2379</v>
      </c>
      <c r="H154" s="3" t="s">
        <v>2379</v>
      </c>
      <c r="I154" s="1">
        <v>2</v>
      </c>
      <c r="J154">
        <v>2</v>
      </c>
      <c r="K154" s="3" t="s">
        <v>2382</v>
      </c>
      <c r="P154" s="3"/>
    </row>
    <row r="155" spans="1:16" x14ac:dyDescent="0.25">
      <c r="A155" s="3" t="s">
        <v>2218</v>
      </c>
      <c r="B155">
        <v>40.15</v>
      </c>
      <c r="C155" t="str" cm="1">
        <f t="array" ref="C155">_xlfn.IFS(B155&lt;=18.5,  "Underweight",B155&lt;=24.9,"Normal weight",B155&lt;=29.9, "Over weight",B155&gt;=30,"Obesity")</f>
        <v>Obesity</v>
      </c>
      <c r="D155">
        <v>5.76</v>
      </c>
      <c r="E155" t="str" cm="1">
        <f t="array" ref="E155">_xlfn.IFS(D155&lt;5.7,"Normal",D155&lt;=6.4,"Prediabetes",D155&gt;=6.5,"Diabetes")</f>
        <v>Prediabetes</v>
      </c>
      <c r="F155" s="3" t="s">
        <v>2379</v>
      </c>
      <c r="G155" s="3" t="s">
        <v>2379</v>
      </c>
      <c r="H155" s="3" t="s">
        <v>2379</v>
      </c>
      <c r="I155" s="1">
        <v>1</v>
      </c>
      <c r="J155">
        <v>1</v>
      </c>
      <c r="K155" s="3" t="s">
        <v>2382</v>
      </c>
      <c r="P155" s="3"/>
    </row>
    <row r="156" spans="1:16" x14ac:dyDescent="0.25">
      <c r="A156" s="3" t="s">
        <v>2217</v>
      </c>
      <c r="B156">
        <v>27.8</v>
      </c>
      <c r="C156" t="str" cm="1">
        <f t="array" ref="C156">_xlfn.IFS(B156&lt;=18.5,  "Underweight",B156&lt;=24.9,"Normal weight",B156&lt;=29.9, "Over weight",B156&gt;=30,"Obesity")</f>
        <v>Over weight</v>
      </c>
      <c r="D156">
        <v>4.3600000000000003</v>
      </c>
      <c r="E156" t="str" cm="1">
        <f t="array" ref="E156">_xlfn.IFS(D156&lt;5.7,"Normal",D156&lt;=6.4,"Prediabetes",D156&gt;=6.5,"Diabetes")</f>
        <v>Normal</v>
      </c>
      <c r="F156" s="3" t="s">
        <v>2379</v>
      </c>
      <c r="G156" s="3" t="s">
        <v>2379</v>
      </c>
      <c r="H156" s="3" t="s">
        <v>2382</v>
      </c>
      <c r="I156" s="1">
        <v>1</v>
      </c>
      <c r="J156">
        <v>1</v>
      </c>
      <c r="K156" s="3" t="s">
        <v>2382</v>
      </c>
      <c r="P156" s="3"/>
    </row>
    <row r="157" spans="1:16" x14ac:dyDescent="0.25">
      <c r="A157" s="3" t="s">
        <v>2216</v>
      </c>
      <c r="B157">
        <v>45.81</v>
      </c>
      <c r="C157" t="str" cm="1">
        <f t="array" ref="C157">_xlfn.IFS(B157&lt;=18.5,  "Underweight",B157&lt;=24.9,"Normal weight",B157&lt;=29.9, "Over weight",B157&gt;=30,"Obesity")</f>
        <v>Obesity</v>
      </c>
      <c r="D157">
        <v>4.76</v>
      </c>
      <c r="E157" t="str" cm="1">
        <f t="array" ref="E157">_xlfn.IFS(D157&lt;5.7,"Normal",D157&lt;=6.4,"Prediabetes",D157&gt;=6.5,"Diabetes")</f>
        <v>Normal</v>
      </c>
      <c r="F157" s="3" t="s">
        <v>2382</v>
      </c>
      <c r="G157" s="3" t="s">
        <v>2379</v>
      </c>
      <c r="H157" s="3" t="s">
        <v>2382</v>
      </c>
      <c r="I157" s="1">
        <v>1</v>
      </c>
      <c r="J157">
        <v>1</v>
      </c>
      <c r="K157" s="3" t="s">
        <v>2382</v>
      </c>
      <c r="P157" s="3"/>
    </row>
    <row r="158" spans="1:16" x14ac:dyDescent="0.25">
      <c r="A158" s="3" t="s">
        <v>2215</v>
      </c>
      <c r="B158">
        <v>34.43</v>
      </c>
      <c r="C158" t="str" cm="1">
        <f t="array" ref="C158">_xlfn.IFS(B158&lt;=18.5,  "Underweight",B158&lt;=24.9,"Normal weight",B158&lt;=29.9, "Over weight",B158&gt;=30,"Obesity")</f>
        <v>Obesity</v>
      </c>
      <c r="D158">
        <v>10.82</v>
      </c>
      <c r="E158" t="str" cm="1">
        <f t="array" ref="E158">_xlfn.IFS(D158&lt;5.7,"Normal",D158&lt;=6.4,"Prediabetes",D158&gt;=6.5,"Diabetes")</f>
        <v>Diabetes</v>
      </c>
      <c r="F158" s="3" t="s">
        <v>2382</v>
      </c>
      <c r="G158" s="3" t="s">
        <v>2379</v>
      </c>
      <c r="H158" s="3" t="s">
        <v>2379</v>
      </c>
      <c r="I158" s="1">
        <v>1</v>
      </c>
      <c r="J158">
        <v>1</v>
      </c>
      <c r="K158" s="3" t="s">
        <v>2382</v>
      </c>
      <c r="P158" s="3"/>
    </row>
    <row r="159" spans="1:16" x14ac:dyDescent="0.25">
      <c r="A159" s="3" t="s">
        <v>2214</v>
      </c>
      <c r="B159">
        <v>41.33</v>
      </c>
      <c r="C159" t="str" cm="1">
        <f t="array" ref="C159">_xlfn.IFS(B159&lt;=18.5,  "Underweight",B159&lt;=24.9,"Normal weight",B159&lt;=29.9, "Over weight",B159&gt;=30,"Obesity")</f>
        <v>Obesity</v>
      </c>
      <c r="D159">
        <v>4.01</v>
      </c>
      <c r="E159" t="str" cm="1">
        <f t="array" ref="E159">_xlfn.IFS(D159&lt;5.7,"Normal",D159&lt;=6.4,"Prediabetes",D159&gt;=6.5,"Diabetes")</f>
        <v>Normal</v>
      </c>
      <c r="F159" s="3" t="s">
        <v>2382</v>
      </c>
      <c r="G159" s="3" t="s">
        <v>2379</v>
      </c>
      <c r="H159" s="3" t="s">
        <v>2379</v>
      </c>
      <c r="I159" s="1" t="s">
        <v>2380</v>
      </c>
      <c r="J159">
        <v>0</v>
      </c>
      <c r="K159" s="3" t="s">
        <v>2382</v>
      </c>
      <c r="P159" s="3"/>
    </row>
    <row r="160" spans="1:16" x14ac:dyDescent="0.25">
      <c r="A160" s="3" t="s">
        <v>2213</v>
      </c>
      <c r="B160">
        <v>31.92</v>
      </c>
      <c r="C160" t="str" cm="1">
        <f t="array" ref="C160">_xlfn.IFS(B160&lt;=18.5,  "Underweight",B160&lt;=24.9,"Normal weight",B160&lt;=29.9, "Over weight",B160&gt;=30,"Obesity")</f>
        <v>Obesity</v>
      </c>
      <c r="D160">
        <v>5.12</v>
      </c>
      <c r="E160" t="str" cm="1">
        <f t="array" ref="E160">_xlfn.IFS(D160&lt;5.7,"Normal",D160&lt;=6.4,"Prediabetes",D160&gt;=6.5,"Diabetes")</f>
        <v>Normal</v>
      </c>
      <c r="F160" s="3" t="s">
        <v>2382</v>
      </c>
      <c r="G160" s="3" t="s">
        <v>2379</v>
      </c>
      <c r="H160" s="3" t="s">
        <v>2379</v>
      </c>
      <c r="I160" s="1">
        <v>1</v>
      </c>
      <c r="J160">
        <v>1</v>
      </c>
      <c r="K160" s="3" t="s">
        <v>2382</v>
      </c>
      <c r="P160" s="3"/>
    </row>
    <row r="161" spans="1:16" x14ac:dyDescent="0.25">
      <c r="A161" s="3" t="s">
        <v>2212</v>
      </c>
      <c r="B161">
        <v>39.799999999999997</v>
      </c>
      <c r="C161" t="str" cm="1">
        <f t="array" ref="C161">_xlfn.IFS(B161&lt;=18.5,  "Underweight",B161&lt;=24.9,"Normal weight",B161&lt;=29.9, "Over weight",B161&gt;=30,"Obesity")</f>
        <v>Obesity</v>
      </c>
      <c r="D161">
        <v>10.54</v>
      </c>
      <c r="E161" t="str" cm="1">
        <f t="array" ref="E161">_xlfn.IFS(D161&lt;5.7,"Normal",D161&lt;=6.4,"Prediabetes",D161&gt;=6.5,"Diabetes")</f>
        <v>Diabetes</v>
      </c>
      <c r="F161" s="3" t="s">
        <v>2382</v>
      </c>
      <c r="G161" s="3" t="s">
        <v>2379</v>
      </c>
      <c r="H161" s="3" t="s">
        <v>2379</v>
      </c>
      <c r="I161" s="1">
        <v>2</v>
      </c>
      <c r="J161">
        <v>2</v>
      </c>
      <c r="K161" s="3" t="s">
        <v>2382</v>
      </c>
      <c r="P161" s="3"/>
    </row>
    <row r="162" spans="1:16" x14ac:dyDescent="0.25">
      <c r="A162" s="3" t="s">
        <v>2211</v>
      </c>
      <c r="B162">
        <v>42.82</v>
      </c>
      <c r="C162" t="str" cm="1">
        <f t="array" ref="C162">_xlfn.IFS(B162&lt;=18.5,  "Underweight",B162&lt;=24.9,"Normal weight",B162&lt;=29.9, "Over weight",B162&gt;=30,"Obesity")</f>
        <v>Obesity</v>
      </c>
      <c r="D162">
        <v>4.21</v>
      </c>
      <c r="E162" t="str" cm="1">
        <f t="array" ref="E162">_xlfn.IFS(D162&lt;5.7,"Normal",D162&lt;=6.4,"Prediabetes",D162&gt;=6.5,"Diabetes")</f>
        <v>Normal</v>
      </c>
      <c r="F162" s="3" t="s">
        <v>2379</v>
      </c>
      <c r="G162" s="3" t="s">
        <v>2379</v>
      </c>
      <c r="H162" s="3" t="s">
        <v>2379</v>
      </c>
      <c r="I162" s="1" t="s">
        <v>2380</v>
      </c>
      <c r="J162">
        <v>0</v>
      </c>
      <c r="K162" s="3" t="s">
        <v>2382</v>
      </c>
      <c r="P162" s="3"/>
    </row>
    <row r="163" spans="1:16" x14ac:dyDescent="0.25">
      <c r="A163" s="3" t="s">
        <v>2210</v>
      </c>
      <c r="B163">
        <v>33.630000000000003</v>
      </c>
      <c r="C163" t="str" cm="1">
        <f t="array" ref="C163">_xlfn.IFS(B163&lt;=18.5,  "Underweight",B163&lt;=24.9,"Normal weight",B163&lt;=29.9, "Over weight",B163&gt;=30,"Obesity")</f>
        <v>Obesity</v>
      </c>
      <c r="D163">
        <v>5.42</v>
      </c>
      <c r="E163" t="str" cm="1">
        <f t="array" ref="E163">_xlfn.IFS(D163&lt;5.7,"Normal",D163&lt;=6.4,"Prediabetes",D163&gt;=6.5,"Diabetes")</f>
        <v>Normal</v>
      </c>
      <c r="F163" s="3" t="s">
        <v>2379</v>
      </c>
      <c r="G163" s="3" t="s">
        <v>2379</v>
      </c>
      <c r="H163" s="3" t="s">
        <v>2379</v>
      </c>
      <c r="I163" s="1" t="s">
        <v>2380</v>
      </c>
      <c r="J163">
        <v>0</v>
      </c>
      <c r="K163" s="3" t="s">
        <v>2382</v>
      </c>
      <c r="P163" s="3"/>
    </row>
    <row r="164" spans="1:16" x14ac:dyDescent="0.25">
      <c r="A164" s="3" t="s">
        <v>2209</v>
      </c>
      <c r="B164">
        <v>37.07</v>
      </c>
      <c r="C164" t="str" cm="1">
        <f t="array" ref="C164">_xlfn.IFS(B164&lt;=18.5,  "Underweight",B164&lt;=24.9,"Normal weight",B164&lt;=29.9, "Over weight",B164&gt;=30,"Obesity")</f>
        <v>Obesity</v>
      </c>
      <c r="D164">
        <v>4.28</v>
      </c>
      <c r="E164" t="str" cm="1">
        <f t="array" ref="E164">_xlfn.IFS(D164&lt;5.7,"Normal",D164&lt;=6.4,"Prediabetes",D164&gt;=6.5,"Diabetes")</f>
        <v>Normal</v>
      </c>
      <c r="F164" s="3" t="s">
        <v>2379</v>
      </c>
      <c r="G164" s="3" t="s">
        <v>2381</v>
      </c>
      <c r="H164" s="3" t="s">
        <v>2379</v>
      </c>
      <c r="I164" s="1">
        <v>1</v>
      </c>
      <c r="J164">
        <v>1</v>
      </c>
      <c r="K164" s="3" t="s">
        <v>2382</v>
      </c>
      <c r="P164" s="3"/>
    </row>
    <row r="165" spans="1:16" x14ac:dyDescent="0.25">
      <c r="A165" s="3" t="s">
        <v>2208</v>
      </c>
      <c r="B165">
        <v>35.625</v>
      </c>
      <c r="C165" t="str" cm="1">
        <f t="array" ref="C165">_xlfn.IFS(B165&lt;=18.5,  "Underweight",B165&lt;=24.9,"Normal weight",B165&lt;=29.9, "Over weight",B165&gt;=30,"Obesity")</f>
        <v>Obesity</v>
      </c>
      <c r="D165">
        <v>8.9</v>
      </c>
      <c r="E165" t="str" cm="1">
        <f t="array" ref="E165">_xlfn.IFS(D165&lt;5.7,"Normal",D165&lt;=6.4,"Prediabetes",D165&gt;=6.5,"Diabetes")</f>
        <v>Diabetes</v>
      </c>
      <c r="F165" s="3" t="s">
        <v>2379</v>
      </c>
      <c r="G165" s="3" t="s">
        <v>2379</v>
      </c>
      <c r="H165" s="3" t="s">
        <v>2379</v>
      </c>
      <c r="I165" s="1" t="s">
        <v>2380</v>
      </c>
      <c r="J165">
        <v>0</v>
      </c>
      <c r="K165" s="3" t="s">
        <v>2382</v>
      </c>
      <c r="P165" s="3"/>
    </row>
    <row r="166" spans="1:16" x14ac:dyDescent="0.25">
      <c r="A166" s="3" t="s">
        <v>2207</v>
      </c>
      <c r="B166">
        <v>42.69</v>
      </c>
      <c r="C166" t="str" cm="1">
        <f t="array" ref="C166">_xlfn.IFS(B166&lt;=18.5,  "Underweight",B166&lt;=24.9,"Normal weight",B166&lt;=29.9, "Over weight",B166&gt;=30,"Obesity")</f>
        <v>Obesity</v>
      </c>
      <c r="D166">
        <v>4.8899999999999997</v>
      </c>
      <c r="E166" t="str" cm="1">
        <f t="array" ref="E166">_xlfn.IFS(D166&lt;5.7,"Normal",D166&lt;=6.4,"Prediabetes",D166&gt;=6.5,"Diabetes")</f>
        <v>Normal</v>
      </c>
      <c r="F166" s="3" t="s">
        <v>2379</v>
      </c>
      <c r="G166" s="3" t="s">
        <v>2379</v>
      </c>
      <c r="H166" s="3" t="s">
        <v>2382</v>
      </c>
      <c r="I166" s="1">
        <v>1</v>
      </c>
      <c r="J166">
        <v>1</v>
      </c>
      <c r="K166" s="3" t="s">
        <v>2382</v>
      </c>
      <c r="P166" s="3"/>
    </row>
    <row r="167" spans="1:16" x14ac:dyDescent="0.25">
      <c r="A167" s="3" t="s">
        <v>2206</v>
      </c>
      <c r="B167">
        <v>37.869999999999997</v>
      </c>
      <c r="C167" t="str" cm="1">
        <f t="array" ref="C167">_xlfn.IFS(B167&lt;=18.5,  "Underweight",B167&lt;=24.9,"Normal weight",B167&lt;=29.9, "Over weight",B167&gt;=30,"Obesity")</f>
        <v>Obesity</v>
      </c>
      <c r="D167">
        <v>4.29</v>
      </c>
      <c r="E167" t="str" cm="1">
        <f t="array" ref="E167">_xlfn.IFS(D167&lt;5.7,"Normal",D167&lt;=6.4,"Prediabetes",D167&gt;=6.5,"Diabetes")</f>
        <v>Normal</v>
      </c>
      <c r="F167" s="3" t="s">
        <v>2382</v>
      </c>
      <c r="G167" s="3" t="s">
        <v>2379</v>
      </c>
      <c r="H167" s="3" t="s">
        <v>2382</v>
      </c>
      <c r="I167" s="1">
        <v>1</v>
      </c>
      <c r="J167">
        <v>1</v>
      </c>
      <c r="K167" s="3" t="s">
        <v>2382</v>
      </c>
      <c r="P167" s="3"/>
    </row>
    <row r="168" spans="1:16" x14ac:dyDescent="0.25">
      <c r="A168" s="3" t="s">
        <v>2205</v>
      </c>
      <c r="B168">
        <v>40.61</v>
      </c>
      <c r="C168" t="str" cm="1">
        <f t="array" ref="C168">_xlfn.IFS(B168&lt;=18.5,  "Underweight",B168&lt;=24.9,"Normal weight",B168&lt;=29.9, "Over weight",B168&gt;=30,"Obesity")</f>
        <v>Obesity</v>
      </c>
      <c r="D168">
        <v>8</v>
      </c>
      <c r="E168" t="str" cm="1">
        <f t="array" ref="E168">_xlfn.IFS(D168&lt;5.7,"Normal",D168&lt;=6.4,"Prediabetes",D168&gt;=6.5,"Diabetes")</f>
        <v>Diabetes</v>
      </c>
      <c r="F168" s="3" t="s">
        <v>2382</v>
      </c>
      <c r="G168" s="3" t="s">
        <v>2379</v>
      </c>
      <c r="H168" s="3" t="s">
        <v>2379</v>
      </c>
      <c r="I168" s="1">
        <v>1</v>
      </c>
      <c r="J168">
        <v>1</v>
      </c>
      <c r="K168" s="3" t="s">
        <v>2382</v>
      </c>
      <c r="P168" s="3"/>
    </row>
    <row r="169" spans="1:16" x14ac:dyDescent="0.25">
      <c r="A169" s="3" t="s">
        <v>2204</v>
      </c>
      <c r="B169">
        <v>30.78</v>
      </c>
      <c r="C169" t="str" cm="1">
        <f t="array" ref="C169">_xlfn.IFS(B169&lt;=18.5,  "Underweight",B169&lt;=24.9,"Normal weight",B169&lt;=29.9, "Over weight",B169&gt;=30,"Obesity")</f>
        <v>Obesity</v>
      </c>
      <c r="D169">
        <v>4.67</v>
      </c>
      <c r="E169" t="str" cm="1">
        <f t="array" ref="E169">_xlfn.IFS(D169&lt;5.7,"Normal",D169&lt;=6.4,"Prediabetes",D169&gt;=6.5,"Diabetes")</f>
        <v>Normal</v>
      </c>
      <c r="F169" s="3" t="s">
        <v>2382</v>
      </c>
      <c r="G169" s="3" t="s">
        <v>2379</v>
      </c>
      <c r="H169" s="3" t="s">
        <v>2379</v>
      </c>
      <c r="I169" s="1" t="s">
        <v>2380</v>
      </c>
      <c r="J169">
        <v>0</v>
      </c>
      <c r="K169" s="3" t="s">
        <v>2382</v>
      </c>
      <c r="P169" s="3"/>
    </row>
    <row r="170" spans="1:16" x14ac:dyDescent="0.25">
      <c r="A170" s="3" t="s">
        <v>2203</v>
      </c>
      <c r="B170">
        <v>49.49</v>
      </c>
      <c r="C170" t="str" cm="1">
        <f t="array" ref="C170">_xlfn.IFS(B170&lt;=18.5,  "Underweight",B170&lt;=24.9,"Normal weight",B170&lt;=29.9, "Over weight",B170&gt;=30,"Obesity")</f>
        <v>Obesity</v>
      </c>
      <c r="D170">
        <v>4.5</v>
      </c>
      <c r="E170" t="str" cm="1">
        <f t="array" ref="E170">_xlfn.IFS(D170&lt;5.7,"Normal",D170&lt;=6.4,"Prediabetes",D170&gt;=6.5,"Diabetes")</f>
        <v>Normal</v>
      </c>
      <c r="F170" s="3" t="s">
        <v>2379</v>
      </c>
      <c r="G170" s="3" t="s">
        <v>2379</v>
      </c>
      <c r="H170" s="3" t="s">
        <v>2379</v>
      </c>
      <c r="I170" s="1" t="s">
        <v>2380</v>
      </c>
      <c r="J170">
        <v>0</v>
      </c>
      <c r="K170" s="3" t="s">
        <v>2382</v>
      </c>
      <c r="P170" s="3"/>
    </row>
    <row r="171" spans="1:16" x14ac:dyDescent="0.25">
      <c r="A171" s="3" t="s">
        <v>2202</v>
      </c>
      <c r="B171">
        <v>37.619999999999997</v>
      </c>
      <c r="C171" t="str" cm="1">
        <f t="array" ref="C171">_xlfn.IFS(B171&lt;=18.5,  "Underweight",B171&lt;=24.9,"Normal weight",B171&lt;=29.9, "Over weight",B171&gt;=30,"Obesity")</f>
        <v>Obesity</v>
      </c>
      <c r="D171">
        <v>6.32</v>
      </c>
      <c r="E171" t="str" cm="1">
        <f t="array" ref="E171">_xlfn.IFS(D171&lt;5.7,"Normal",D171&lt;=6.4,"Prediabetes",D171&gt;=6.5,"Diabetes")</f>
        <v>Prediabetes</v>
      </c>
      <c r="F171" s="3" t="s">
        <v>2382</v>
      </c>
      <c r="G171" s="3" t="s">
        <v>2381</v>
      </c>
      <c r="H171" s="3" t="s">
        <v>2379</v>
      </c>
      <c r="I171" s="1">
        <v>2</v>
      </c>
      <c r="J171">
        <v>2</v>
      </c>
      <c r="K171" s="3" t="s">
        <v>2382</v>
      </c>
      <c r="P171" s="3"/>
    </row>
    <row r="172" spans="1:16" x14ac:dyDescent="0.25">
      <c r="A172" s="3" t="s">
        <v>2201</v>
      </c>
      <c r="B172">
        <v>36.08</v>
      </c>
      <c r="C172" t="str" cm="1">
        <f t="array" ref="C172">_xlfn.IFS(B172&lt;=18.5,  "Underweight",B172&lt;=24.9,"Normal weight",B172&lt;=29.9, "Over weight",B172&gt;=30,"Obesity")</f>
        <v>Obesity</v>
      </c>
      <c r="D172">
        <v>6.1</v>
      </c>
      <c r="E172" t="str" cm="1">
        <f t="array" ref="E172">_xlfn.IFS(D172&lt;5.7,"Normal",D172&lt;=6.4,"Prediabetes",D172&gt;=6.5,"Diabetes")</f>
        <v>Prediabetes</v>
      </c>
      <c r="F172" s="3" t="s">
        <v>2382</v>
      </c>
      <c r="G172" s="3" t="s">
        <v>2379</v>
      </c>
      <c r="H172" s="3" t="s">
        <v>2379</v>
      </c>
      <c r="I172" s="1">
        <v>1</v>
      </c>
      <c r="J172">
        <v>1</v>
      </c>
      <c r="K172" s="3" t="s">
        <v>2382</v>
      </c>
      <c r="P172" s="3"/>
    </row>
    <row r="173" spans="1:16" x14ac:dyDescent="0.25">
      <c r="A173" s="3" t="s">
        <v>2200</v>
      </c>
      <c r="B173">
        <v>33.5</v>
      </c>
      <c r="C173" t="str" cm="1">
        <f t="array" ref="C173">_xlfn.IFS(B173&lt;=18.5,  "Underweight",B173&lt;=24.9,"Normal weight",B173&lt;=29.9, "Over weight",B173&gt;=30,"Obesity")</f>
        <v>Obesity</v>
      </c>
      <c r="D173">
        <v>5.4</v>
      </c>
      <c r="E173" t="str" cm="1">
        <f t="array" ref="E173">_xlfn.IFS(D173&lt;5.7,"Normal",D173&lt;=6.4,"Prediabetes",D173&gt;=6.5,"Diabetes")</f>
        <v>Normal</v>
      </c>
      <c r="F173" s="3" t="s">
        <v>2379</v>
      </c>
      <c r="G173" s="3" t="s">
        <v>2379</v>
      </c>
      <c r="H173" s="3" t="s">
        <v>2379</v>
      </c>
      <c r="I173" s="1" t="s">
        <v>2380</v>
      </c>
      <c r="J173">
        <v>0</v>
      </c>
      <c r="K173" s="3" t="s">
        <v>2382</v>
      </c>
      <c r="P173" s="3"/>
    </row>
    <row r="174" spans="1:16" x14ac:dyDescent="0.25">
      <c r="A174" s="3" t="s">
        <v>2199</v>
      </c>
      <c r="B174">
        <v>47.46</v>
      </c>
      <c r="C174" t="str" cm="1">
        <f t="array" ref="C174">_xlfn.IFS(B174&lt;=18.5,  "Underweight",B174&lt;=24.9,"Normal weight",B174&lt;=29.9, "Over weight",B174&gt;=30,"Obesity")</f>
        <v>Obesity</v>
      </c>
      <c r="D174">
        <v>6.24</v>
      </c>
      <c r="E174" t="str" cm="1">
        <f t="array" ref="E174">_xlfn.IFS(D174&lt;5.7,"Normal",D174&lt;=6.4,"Prediabetes",D174&gt;=6.5,"Diabetes")</f>
        <v>Prediabetes</v>
      </c>
      <c r="F174" s="3" t="s">
        <v>2382</v>
      </c>
      <c r="G174" s="3" t="s">
        <v>2379</v>
      </c>
      <c r="H174" s="3" t="s">
        <v>2379</v>
      </c>
      <c r="I174" s="1">
        <v>1</v>
      </c>
      <c r="J174">
        <v>1</v>
      </c>
      <c r="K174" s="3" t="s">
        <v>2382</v>
      </c>
      <c r="P174" s="3"/>
    </row>
    <row r="175" spans="1:16" x14ac:dyDescent="0.25">
      <c r="A175" s="3" t="s">
        <v>2198</v>
      </c>
      <c r="B175">
        <v>49.24</v>
      </c>
      <c r="C175" t="str" cm="1">
        <f t="array" ref="C175">_xlfn.IFS(B175&lt;=18.5,  "Underweight",B175&lt;=24.9,"Normal weight",B175&lt;=29.9, "Over weight",B175&gt;=30,"Obesity")</f>
        <v>Obesity</v>
      </c>
      <c r="D175">
        <v>4.45</v>
      </c>
      <c r="E175" t="str" cm="1">
        <f t="array" ref="E175">_xlfn.IFS(D175&lt;5.7,"Normal",D175&lt;=6.4,"Prediabetes",D175&gt;=6.5,"Diabetes")</f>
        <v>Normal</v>
      </c>
      <c r="F175" s="3" t="s">
        <v>2379</v>
      </c>
      <c r="G175" s="3" t="s">
        <v>2379</v>
      </c>
      <c r="H175" s="3" t="s">
        <v>2379</v>
      </c>
      <c r="I175" s="1" t="s">
        <v>2380</v>
      </c>
      <c r="J175">
        <v>0</v>
      </c>
      <c r="K175" s="3" t="s">
        <v>2382</v>
      </c>
      <c r="P175" s="3"/>
    </row>
    <row r="176" spans="1:16" x14ac:dyDescent="0.25">
      <c r="A176" s="3" t="s">
        <v>2197</v>
      </c>
      <c r="B176">
        <v>54.4</v>
      </c>
      <c r="C176" t="str" cm="1">
        <f t="array" ref="C176">_xlfn.IFS(B176&lt;=18.5,  "Underweight",B176&lt;=24.9,"Normal weight",B176&lt;=29.9, "Over weight",B176&gt;=30,"Obesity")</f>
        <v>Obesity</v>
      </c>
      <c r="D176">
        <v>5.22</v>
      </c>
      <c r="E176" t="str" cm="1">
        <f t="array" ref="E176">_xlfn.IFS(D176&lt;5.7,"Normal",D176&lt;=6.4,"Prediabetes",D176&gt;=6.5,"Diabetes")</f>
        <v>Normal</v>
      </c>
      <c r="F176" s="3" t="s">
        <v>2379</v>
      </c>
      <c r="G176" s="3" t="s">
        <v>2379</v>
      </c>
      <c r="H176" s="3" t="s">
        <v>2379</v>
      </c>
      <c r="I176" s="1">
        <v>1</v>
      </c>
      <c r="J176">
        <v>1</v>
      </c>
      <c r="K176" s="3" t="s">
        <v>2382</v>
      </c>
      <c r="P176" s="3"/>
    </row>
    <row r="177" spans="1:16" x14ac:dyDescent="0.25">
      <c r="A177" s="3" t="s">
        <v>2196</v>
      </c>
      <c r="B177">
        <v>35.53</v>
      </c>
      <c r="C177" t="str" cm="1">
        <f t="array" ref="C177">_xlfn.IFS(B177&lt;=18.5,  "Underweight",B177&lt;=24.9,"Normal weight",B177&lt;=29.9, "Over weight",B177&gt;=30,"Obesity")</f>
        <v>Obesity</v>
      </c>
      <c r="D177">
        <v>4.6100000000000003</v>
      </c>
      <c r="E177" t="str" cm="1">
        <f t="array" ref="E177">_xlfn.IFS(D177&lt;5.7,"Normal",D177&lt;=6.4,"Prediabetes",D177&gt;=6.5,"Diabetes")</f>
        <v>Normal</v>
      </c>
      <c r="F177" s="3" t="s">
        <v>2379</v>
      </c>
      <c r="G177" s="3" t="s">
        <v>2379</v>
      </c>
      <c r="H177" s="3" t="s">
        <v>2379</v>
      </c>
      <c r="I177" s="1">
        <v>1</v>
      </c>
      <c r="J177">
        <v>1</v>
      </c>
      <c r="K177" s="3" t="s">
        <v>2382</v>
      </c>
      <c r="P177" s="3"/>
    </row>
    <row r="178" spans="1:16" x14ac:dyDescent="0.25">
      <c r="A178" s="3" t="s">
        <v>2195</v>
      </c>
      <c r="B178">
        <v>39.729999999999997</v>
      </c>
      <c r="C178" t="str" cm="1">
        <f t="array" ref="C178">_xlfn.IFS(B178&lt;=18.5,  "Underweight",B178&lt;=24.9,"Normal weight",B178&lt;=29.9, "Over weight",B178&gt;=30,"Obesity")</f>
        <v>Obesity</v>
      </c>
      <c r="D178">
        <v>6.24</v>
      </c>
      <c r="E178" t="str" cm="1">
        <f t="array" ref="E178">_xlfn.IFS(D178&lt;5.7,"Normal",D178&lt;=6.4,"Prediabetes",D178&gt;=6.5,"Diabetes")</f>
        <v>Prediabetes</v>
      </c>
      <c r="F178" s="3" t="s">
        <v>2379</v>
      </c>
      <c r="G178" s="3" t="s">
        <v>2379</v>
      </c>
      <c r="H178" s="3" t="s">
        <v>2379</v>
      </c>
      <c r="I178" s="1" t="s">
        <v>2380</v>
      </c>
      <c r="J178">
        <v>0</v>
      </c>
      <c r="K178" s="3" t="s">
        <v>2382</v>
      </c>
      <c r="P178" s="3"/>
    </row>
    <row r="179" spans="1:16" x14ac:dyDescent="0.25">
      <c r="A179" s="3" t="s">
        <v>2194</v>
      </c>
      <c r="B179">
        <v>35.68</v>
      </c>
      <c r="C179" t="str" cm="1">
        <f t="array" ref="C179">_xlfn.IFS(B179&lt;=18.5,  "Underweight",B179&lt;=24.9,"Normal weight",B179&lt;=29.9, "Over weight",B179&gt;=30,"Obesity")</f>
        <v>Obesity</v>
      </c>
      <c r="D179">
        <v>10.039999999999999</v>
      </c>
      <c r="E179" t="str" cm="1">
        <f t="array" ref="E179">_xlfn.IFS(D179&lt;5.7,"Normal",D179&lt;=6.4,"Prediabetes",D179&gt;=6.5,"Diabetes")</f>
        <v>Diabetes</v>
      </c>
      <c r="F179" s="3" t="s">
        <v>2379</v>
      </c>
      <c r="G179" s="3" t="s">
        <v>2379</v>
      </c>
      <c r="H179" s="3" t="s">
        <v>2379</v>
      </c>
      <c r="I179" s="1" t="s">
        <v>2380</v>
      </c>
      <c r="J179">
        <v>0</v>
      </c>
      <c r="K179" s="3" t="s">
        <v>2382</v>
      </c>
      <c r="P179" s="3"/>
    </row>
    <row r="180" spans="1:16" x14ac:dyDescent="0.25">
      <c r="A180" s="3" t="s">
        <v>2193</v>
      </c>
      <c r="B180">
        <v>48.86</v>
      </c>
      <c r="C180" t="str" cm="1">
        <f t="array" ref="C180">_xlfn.IFS(B180&lt;=18.5,  "Underweight",B180&lt;=24.9,"Normal weight",B180&lt;=29.9, "Over weight",B180&gt;=30,"Obesity")</f>
        <v>Obesity</v>
      </c>
      <c r="D180">
        <v>6.09</v>
      </c>
      <c r="E180" t="str" cm="1">
        <f t="array" ref="E180">_xlfn.IFS(D180&lt;5.7,"Normal",D180&lt;=6.4,"Prediabetes",D180&gt;=6.5,"Diabetes")</f>
        <v>Prediabetes</v>
      </c>
      <c r="F180" s="3" t="s">
        <v>2379</v>
      </c>
      <c r="G180" s="3" t="s">
        <v>2379</v>
      </c>
      <c r="H180" s="3" t="s">
        <v>2379</v>
      </c>
      <c r="I180" s="1" t="s">
        <v>2380</v>
      </c>
      <c r="J180">
        <v>0</v>
      </c>
      <c r="K180" s="3" t="s">
        <v>2382</v>
      </c>
      <c r="P180" s="3"/>
    </row>
    <row r="181" spans="1:16" x14ac:dyDescent="0.25">
      <c r="A181" s="3" t="s">
        <v>2192</v>
      </c>
      <c r="B181">
        <v>34.799999999999997</v>
      </c>
      <c r="C181" t="str" cm="1">
        <f t="array" ref="C181">_xlfn.IFS(B181&lt;=18.5,  "Underweight",B181&lt;=24.9,"Normal weight",B181&lt;=29.9, "Over weight",B181&gt;=30,"Obesity")</f>
        <v>Obesity</v>
      </c>
      <c r="D181">
        <v>11.4</v>
      </c>
      <c r="E181" t="str" cm="1">
        <f t="array" ref="E181">_xlfn.IFS(D181&lt;5.7,"Normal",D181&lt;=6.4,"Prediabetes",D181&gt;=6.5,"Diabetes")</f>
        <v>Diabetes</v>
      </c>
      <c r="F181" s="3" t="s">
        <v>2382</v>
      </c>
      <c r="G181" s="3" t="s">
        <v>2379</v>
      </c>
      <c r="H181" s="3" t="s">
        <v>2382</v>
      </c>
      <c r="I181" s="1">
        <v>1</v>
      </c>
      <c r="J181">
        <v>1</v>
      </c>
      <c r="K181" s="3" t="s">
        <v>2379</v>
      </c>
      <c r="P181" s="3"/>
    </row>
    <row r="182" spans="1:16" x14ac:dyDescent="0.25">
      <c r="A182" s="3" t="s">
        <v>2191</v>
      </c>
      <c r="B182">
        <v>32.49</v>
      </c>
      <c r="C182" t="str" cm="1">
        <f t="array" ref="C182">_xlfn.IFS(B182&lt;=18.5,  "Underweight",B182&lt;=24.9,"Normal weight",B182&lt;=29.9, "Over weight",B182&gt;=30,"Obesity")</f>
        <v>Obesity</v>
      </c>
      <c r="D182">
        <v>4.29</v>
      </c>
      <c r="E182" t="str" cm="1">
        <f t="array" ref="E182">_xlfn.IFS(D182&lt;5.7,"Normal",D182&lt;=6.4,"Prediabetes",D182&gt;=6.5,"Diabetes")</f>
        <v>Normal</v>
      </c>
      <c r="F182" s="3" t="s">
        <v>2379</v>
      </c>
      <c r="G182" s="3" t="s">
        <v>2379</v>
      </c>
      <c r="H182" s="3" t="s">
        <v>2382</v>
      </c>
      <c r="I182" s="1">
        <v>1</v>
      </c>
      <c r="J182">
        <v>1</v>
      </c>
      <c r="K182" s="3" t="s">
        <v>2382</v>
      </c>
      <c r="P182" s="3"/>
    </row>
    <row r="183" spans="1:16" x14ac:dyDescent="0.25">
      <c r="A183" s="3" t="s">
        <v>2190</v>
      </c>
      <c r="B183">
        <v>39</v>
      </c>
      <c r="C183" t="str" cm="1">
        <f t="array" ref="C183">_xlfn.IFS(B183&lt;=18.5,  "Underweight",B183&lt;=24.9,"Normal weight",B183&lt;=29.9, "Over weight",B183&gt;=30,"Obesity")</f>
        <v>Obesity</v>
      </c>
      <c r="D183">
        <v>5.7</v>
      </c>
      <c r="E183" t="str" cm="1">
        <f t="array" ref="E183">_xlfn.IFS(D183&lt;5.7,"Normal",D183&lt;=6.4,"Prediabetes",D183&gt;=6.5,"Diabetes")</f>
        <v>Prediabetes</v>
      </c>
      <c r="F183" s="3" t="s">
        <v>2379</v>
      </c>
      <c r="G183" s="3" t="s">
        <v>2379</v>
      </c>
      <c r="H183" s="3" t="s">
        <v>2379</v>
      </c>
      <c r="I183" s="1">
        <v>2</v>
      </c>
      <c r="J183">
        <v>2</v>
      </c>
      <c r="K183" s="3" t="s">
        <v>2382</v>
      </c>
      <c r="P183" s="3"/>
    </row>
    <row r="184" spans="1:16" x14ac:dyDescent="0.25">
      <c r="A184" s="3" t="s">
        <v>2189</v>
      </c>
      <c r="B184">
        <v>35.299999999999997</v>
      </c>
      <c r="C184" t="str" cm="1">
        <f t="array" ref="C184">_xlfn.IFS(B184&lt;=18.5,  "Underweight",B184&lt;=24.9,"Normal weight",B184&lt;=29.9, "Over weight",B184&gt;=30,"Obesity")</f>
        <v>Obesity</v>
      </c>
      <c r="D184">
        <v>6.09</v>
      </c>
      <c r="E184" t="str" cm="1">
        <f t="array" ref="E184">_xlfn.IFS(D184&lt;5.7,"Normal",D184&lt;=6.4,"Prediabetes",D184&gt;=6.5,"Diabetes")</f>
        <v>Prediabetes</v>
      </c>
      <c r="F184" s="3" t="s">
        <v>2379</v>
      </c>
      <c r="G184" s="3" t="s">
        <v>2379</v>
      </c>
      <c r="H184" s="3" t="s">
        <v>2379</v>
      </c>
      <c r="I184" s="1">
        <v>1</v>
      </c>
      <c r="J184">
        <v>1</v>
      </c>
      <c r="K184" s="3" t="s">
        <v>2382</v>
      </c>
      <c r="P184" s="3"/>
    </row>
    <row r="185" spans="1:16" x14ac:dyDescent="0.25">
      <c r="A185" s="3" t="s">
        <v>2188</v>
      </c>
      <c r="B185">
        <v>33.42</v>
      </c>
      <c r="C185" t="str" cm="1">
        <f t="array" ref="C185">_xlfn.IFS(B185&lt;=18.5,  "Underweight",B185&lt;=24.9,"Normal weight",B185&lt;=29.9, "Over weight",B185&gt;=30,"Obesity")</f>
        <v>Obesity</v>
      </c>
      <c r="D185">
        <v>10.67</v>
      </c>
      <c r="E185" t="str" cm="1">
        <f t="array" ref="E185">_xlfn.IFS(D185&lt;5.7,"Normal",D185&lt;=6.4,"Prediabetes",D185&gt;=6.5,"Diabetes")</f>
        <v>Diabetes</v>
      </c>
      <c r="F185" s="3" t="s">
        <v>2379</v>
      </c>
      <c r="G185" s="3" t="s">
        <v>2379</v>
      </c>
      <c r="H185" s="3" t="s">
        <v>2379</v>
      </c>
      <c r="I185" s="1" t="s">
        <v>2380</v>
      </c>
      <c r="J185">
        <v>0</v>
      </c>
      <c r="K185" s="3" t="s">
        <v>2382</v>
      </c>
      <c r="P185" s="3"/>
    </row>
    <row r="186" spans="1:16" x14ac:dyDescent="0.25">
      <c r="A186" s="3" t="s">
        <v>2187</v>
      </c>
      <c r="B186">
        <v>37.18</v>
      </c>
      <c r="C186" t="str" cm="1">
        <f t="array" ref="C186">_xlfn.IFS(B186&lt;=18.5,  "Underweight",B186&lt;=24.9,"Normal weight",B186&lt;=29.9, "Over weight",B186&gt;=30,"Obesity")</f>
        <v>Obesity</v>
      </c>
      <c r="D186">
        <v>6.75</v>
      </c>
      <c r="E186" t="str" cm="1">
        <f t="array" ref="E186">_xlfn.IFS(D186&lt;5.7,"Normal",D186&lt;=6.4,"Prediabetes",D186&gt;=6.5,"Diabetes")</f>
        <v>Diabetes</v>
      </c>
      <c r="F186" s="3" t="s">
        <v>2382</v>
      </c>
      <c r="G186" s="3" t="s">
        <v>2379</v>
      </c>
      <c r="H186" s="3" t="s">
        <v>2379</v>
      </c>
      <c r="I186" s="1">
        <v>2</v>
      </c>
      <c r="J186">
        <v>2</v>
      </c>
      <c r="K186" s="3" t="s">
        <v>2382</v>
      </c>
      <c r="P186" s="3"/>
    </row>
    <row r="187" spans="1:16" x14ac:dyDescent="0.25">
      <c r="A187" s="3" t="s">
        <v>2186</v>
      </c>
      <c r="B187">
        <v>33.33</v>
      </c>
      <c r="C187" t="str" cm="1">
        <f t="array" ref="C187">_xlfn.IFS(B187&lt;=18.5,  "Underweight",B187&lt;=24.9,"Normal weight",B187&lt;=29.9, "Over weight",B187&gt;=30,"Obesity")</f>
        <v>Obesity</v>
      </c>
      <c r="D187">
        <v>9.26</v>
      </c>
      <c r="E187" t="str" cm="1">
        <f t="array" ref="E187">_xlfn.IFS(D187&lt;5.7,"Normal",D187&lt;=6.4,"Prediabetes",D187&gt;=6.5,"Diabetes")</f>
        <v>Diabetes</v>
      </c>
      <c r="F187" s="3" t="s">
        <v>2382</v>
      </c>
      <c r="G187" s="3" t="s">
        <v>2379</v>
      </c>
      <c r="H187" s="3" t="s">
        <v>2379</v>
      </c>
      <c r="I187" s="1">
        <v>2</v>
      </c>
      <c r="J187">
        <v>2</v>
      </c>
      <c r="K187" s="3" t="s">
        <v>2379</v>
      </c>
      <c r="P187" s="3"/>
    </row>
    <row r="188" spans="1:16" x14ac:dyDescent="0.25">
      <c r="A188" s="3" t="s">
        <v>2185</v>
      </c>
      <c r="B188">
        <v>53.21</v>
      </c>
      <c r="C188" t="str" cm="1">
        <f t="array" ref="C188">_xlfn.IFS(B188&lt;=18.5,  "Underweight",B188&lt;=24.9,"Normal weight",B188&lt;=29.9, "Over weight",B188&gt;=30,"Obesity")</f>
        <v>Obesity</v>
      </c>
      <c r="D188">
        <v>4.2699999999999996</v>
      </c>
      <c r="E188" t="str" cm="1">
        <f t="array" ref="E188">_xlfn.IFS(D188&lt;5.7,"Normal",D188&lt;=6.4,"Prediabetes",D188&gt;=6.5,"Diabetes")</f>
        <v>Normal</v>
      </c>
      <c r="F188" s="3" t="s">
        <v>2379</v>
      </c>
      <c r="G188" s="3" t="s">
        <v>2379</v>
      </c>
      <c r="H188" s="3" t="s">
        <v>2379</v>
      </c>
      <c r="I188" s="1">
        <v>1</v>
      </c>
      <c r="J188">
        <v>1</v>
      </c>
      <c r="K188" s="3" t="s">
        <v>2382</v>
      </c>
      <c r="P188" s="3"/>
    </row>
    <row r="189" spans="1:16" x14ac:dyDescent="0.25">
      <c r="A189" s="3" t="s">
        <v>2184</v>
      </c>
      <c r="B189">
        <v>38.729999999999997</v>
      </c>
      <c r="C189" t="str" cm="1">
        <f t="array" ref="C189">_xlfn.IFS(B189&lt;=18.5,  "Underweight",B189&lt;=24.9,"Normal weight",B189&lt;=29.9, "Over weight",B189&gt;=30,"Obesity")</f>
        <v>Obesity</v>
      </c>
      <c r="D189">
        <v>11.51</v>
      </c>
      <c r="E189" t="str" cm="1">
        <f t="array" ref="E189">_xlfn.IFS(D189&lt;5.7,"Normal",D189&lt;=6.4,"Prediabetes",D189&gt;=6.5,"Diabetes")</f>
        <v>Diabetes</v>
      </c>
      <c r="F189" s="3" t="s">
        <v>2379</v>
      </c>
      <c r="G189" s="3" t="s">
        <v>2379</v>
      </c>
      <c r="H189" s="3" t="s">
        <v>2379</v>
      </c>
      <c r="I189" s="1">
        <v>2</v>
      </c>
      <c r="J189">
        <v>2</v>
      </c>
      <c r="K189" s="3" t="s">
        <v>2382</v>
      </c>
      <c r="P189" s="3"/>
    </row>
    <row r="190" spans="1:16" x14ac:dyDescent="0.25">
      <c r="A190" s="3" t="s">
        <v>2183</v>
      </c>
      <c r="B190">
        <v>29.73</v>
      </c>
      <c r="C190" t="str" cm="1">
        <f t="array" ref="C190">_xlfn.IFS(B190&lt;=18.5,  "Underweight",B190&lt;=24.9,"Normal weight",B190&lt;=29.9, "Over weight",B190&gt;=30,"Obesity")</f>
        <v>Over weight</v>
      </c>
      <c r="D190">
        <v>7.22</v>
      </c>
      <c r="E190" t="str" cm="1">
        <f t="array" ref="E190">_xlfn.IFS(D190&lt;5.7,"Normal",D190&lt;=6.4,"Prediabetes",D190&gt;=6.5,"Diabetes")</f>
        <v>Diabetes</v>
      </c>
      <c r="F190" s="3" t="s">
        <v>2379</v>
      </c>
      <c r="G190" s="3" t="s">
        <v>2379</v>
      </c>
      <c r="H190" s="3" t="s">
        <v>2379</v>
      </c>
      <c r="I190" s="1" t="s">
        <v>2380</v>
      </c>
      <c r="J190">
        <v>0</v>
      </c>
      <c r="K190" s="3" t="s">
        <v>2382</v>
      </c>
      <c r="P190" s="3"/>
    </row>
    <row r="191" spans="1:16" x14ac:dyDescent="0.25">
      <c r="A191" s="3" t="s">
        <v>2182</v>
      </c>
      <c r="B191">
        <v>34.700000000000003</v>
      </c>
      <c r="C191" t="str" cm="1">
        <f t="array" ref="C191">_xlfn.IFS(B191&lt;=18.5,  "Underweight",B191&lt;=24.9,"Normal weight",B191&lt;=29.9, "Over weight",B191&gt;=30,"Obesity")</f>
        <v>Obesity</v>
      </c>
      <c r="D191">
        <v>4.37</v>
      </c>
      <c r="E191" t="str" cm="1">
        <f t="array" ref="E191">_xlfn.IFS(D191&lt;5.7,"Normal",D191&lt;=6.4,"Prediabetes",D191&gt;=6.5,"Diabetes")</f>
        <v>Normal</v>
      </c>
      <c r="F191" s="3" t="s">
        <v>2379</v>
      </c>
      <c r="G191" s="3" t="s">
        <v>2379</v>
      </c>
      <c r="H191" s="3" t="s">
        <v>2382</v>
      </c>
      <c r="I191" s="1">
        <v>1</v>
      </c>
      <c r="J191">
        <v>1</v>
      </c>
      <c r="K191" s="3" t="s">
        <v>2382</v>
      </c>
      <c r="P191" s="3"/>
    </row>
    <row r="192" spans="1:16" x14ac:dyDescent="0.25">
      <c r="A192" s="3" t="s">
        <v>2181</v>
      </c>
      <c r="B192">
        <v>38.28</v>
      </c>
      <c r="C192" t="str" cm="1">
        <f t="array" ref="C192">_xlfn.IFS(B192&lt;=18.5,  "Underweight",B192&lt;=24.9,"Normal weight",B192&lt;=29.9, "Over weight",B192&gt;=30,"Obesity")</f>
        <v>Obesity</v>
      </c>
      <c r="D192">
        <v>11.56</v>
      </c>
      <c r="E192" t="str" cm="1">
        <f t="array" ref="E192">_xlfn.IFS(D192&lt;5.7,"Normal",D192&lt;=6.4,"Prediabetes",D192&gt;=6.5,"Diabetes")</f>
        <v>Diabetes</v>
      </c>
      <c r="F192" s="3" t="s">
        <v>2382</v>
      </c>
      <c r="G192" s="3" t="s">
        <v>2379</v>
      </c>
      <c r="H192" s="3" t="s">
        <v>2379</v>
      </c>
      <c r="I192" s="1">
        <v>1</v>
      </c>
      <c r="J192">
        <v>1</v>
      </c>
      <c r="K192" s="3" t="s">
        <v>2382</v>
      </c>
      <c r="P192" s="3"/>
    </row>
    <row r="193" spans="1:16" x14ac:dyDescent="0.25">
      <c r="A193" s="3" t="s">
        <v>2180</v>
      </c>
      <c r="B193">
        <v>33.57</v>
      </c>
      <c r="C193" t="str" cm="1">
        <f t="array" ref="C193">_xlfn.IFS(B193&lt;=18.5,  "Underweight",B193&lt;=24.9,"Normal weight",B193&lt;=29.9, "Over weight",B193&gt;=30,"Obesity")</f>
        <v>Obesity</v>
      </c>
      <c r="D193">
        <v>8.82</v>
      </c>
      <c r="E193" t="str" cm="1">
        <f t="array" ref="E193">_xlfn.IFS(D193&lt;5.7,"Normal",D193&lt;=6.4,"Prediabetes",D193&gt;=6.5,"Diabetes")</f>
        <v>Diabetes</v>
      </c>
      <c r="F193" s="3" t="s">
        <v>2382</v>
      </c>
      <c r="G193" s="3" t="s">
        <v>2379</v>
      </c>
      <c r="H193" s="3" t="s">
        <v>2379</v>
      </c>
      <c r="I193" s="1" t="s">
        <v>2380</v>
      </c>
      <c r="J193">
        <v>0</v>
      </c>
      <c r="K193" s="3" t="s">
        <v>2382</v>
      </c>
      <c r="P193" s="3"/>
    </row>
    <row r="194" spans="1:16" x14ac:dyDescent="0.25">
      <c r="A194" s="3" t="s">
        <v>2179</v>
      </c>
      <c r="B194">
        <v>52.06</v>
      </c>
      <c r="C194" t="str" cm="1">
        <f t="array" ref="C194">_xlfn.IFS(B194&lt;=18.5,  "Underweight",B194&lt;=24.9,"Normal weight",B194&lt;=29.9, "Over weight",B194&gt;=30,"Obesity")</f>
        <v>Obesity</v>
      </c>
      <c r="D194">
        <v>4.6900000000000004</v>
      </c>
      <c r="E194" t="str" cm="1">
        <f t="array" ref="E194">_xlfn.IFS(D194&lt;5.7,"Normal",D194&lt;=6.4,"Prediabetes",D194&gt;=6.5,"Diabetes")</f>
        <v>Normal</v>
      </c>
      <c r="F194" s="3" t="s">
        <v>2379</v>
      </c>
      <c r="G194" s="3" t="s">
        <v>2379</v>
      </c>
      <c r="H194" s="3" t="s">
        <v>2379</v>
      </c>
      <c r="I194" s="1">
        <v>1</v>
      </c>
      <c r="J194">
        <v>1</v>
      </c>
      <c r="K194" s="3" t="s">
        <v>2382</v>
      </c>
      <c r="P194" s="3"/>
    </row>
    <row r="195" spans="1:16" x14ac:dyDescent="0.25">
      <c r="A195" s="3" t="s">
        <v>2178</v>
      </c>
      <c r="B195">
        <v>38.17</v>
      </c>
      <c r="C195" t="str" cm="1">
        <f t="array" ref="C195">_xlfn.IFS(B195&lt;=18.5,  "Underweight",B195&lt;=24.9,"Normal weight",B195&lt;=29.9, "Over weight",B195&gt;=30,"Obesity")</f>
        <v>Obesity</v>
      </c>
      <c r="D195">
        <v>4.53</v>
      </c>
      <c r="E195" t="str" cm="1">
        <f t="array" ref="E195">_xlfn.IFS(D195&lt;5.7,"Normal",D195&lt;=6.4,"Prediabetes",D195&gt;=6.5,"Diabetes")</f>
        <v>Normal</v>
      </c>
      <c r="F195" s="3" t="s">
        <v>2379</v>
      </c>
      <c r="G195" s="3" t="s">
        <v>2381</v>
      </c>
      <c r="H195" s="3" t="s">
        <v>2379</v>
      </c>
      <c r="I195" s="1">
        <v>1</v>
      </c>
      <c r="J195">
        <v>1</v>
      </c>
      <c r="K195" s="3" t="s">
        <v>2382</v>
      </c>
      <c r="P195" s="3"/>
    </row>
    <row r="196" spans="1:16" x14ac:dyDescent="0.25">
      <c r="A196" s="3" t="s">
        <v>2177</v>
      </c>
      <c r="B196">
        <v>36.954999999999998</v>
      </c>
      <c r="C196" t="str" cm="1">
        <f t="array" ref="C196">_xlfn.IFS(B196&lt;=18.5,  "Underweight",B196&lt;=24.9,"Normal weight",B196&lt;=29.9, "Over weight",B196&gt;=30,"Obesity")</f>
        <v>Obesity</v>
      </c>
      <c r="D196">
        <v>5.84</v>
      </c>
      <c r="E196" t="str" cm="1">
        <f t="array" ref="E196">_xlfn.IFS(D196&lt;5.7,"Normal",D196&lt;=6.4,"Prediabetes",D196&gt;=6.5,"Diabetes")</f>
        <v>Prediabetes</v>
      </c>
      <c r="F196" s="3" t="s">
        <v>2379</v>
      </c>
      <c r="G196" s="3" t="s">
        <v>2379</v>
      </c>
      <c r="H196" s="3" t="s">
        <v>2382</v>
      </c>
      <c r="I196" s="1">
        <v>1</v>
      </c>
      <c r="J196">
        <v>1</v>
      </c>
      <c r="K196" s="3" t="s">
        <v>2382</v>
      </c>
      <c r="P196" s="3"/>
    </row>
    <row r="197" spans="1:16" x14ac:dyDescent="0.25">
      <c r="A197" s="3" t="s">
        <v>2176</v>
      </c>
      <c r="B197">
        <v>34.4</v>
      </c>
      <c r="C197" t="str" cm="1">
        <f t="array" ref="C197">_xlfn.IFS(B197&lt;=18.5,  "Underweight",B197&lt;=24.9,"Normal weight",B197&lt;=29.9, "Over weight",B197&gt;=30,"Obesity")</f>
        <v>Obesity</v>
      </c>
      <c r="D197">
        <v>4.9000000000000004</v>
      </c>
      <c r="E197" t="str" cm="1">
        <f t="array" ref="E197">_xlfn.IFS(D197&lt;5.7,"Normal",D197&lt;=6.4,"Prediabetes",D197&gt;=6.5,"Diabetes")</f>
        <v>Normal</v>
      </c>
      <c r="F197" s="3" t="s">
        <v>2379</v>
      </c>
      <c r="G197" s="3" t="s">
        <v>2379</v>
      </c>
      <c r="H197" s="3" t="s">
        <v>2382</v>
      </c>
      <c r="I197" s="1">
        <v>1</v>
      </c>
      <c r="J197">
        <v>1</v>
      </c>
      <c r="K197" s="3" t="s">
        <v>2382</v>
      </c>
      <c r="P197" s="3"/>
    </row>
    <row r="198" spans="1:16" x14ac:dyDescent="0.25">
      <c r="A198" s="3" t="s">
        <v>2175</v>
      </c>
      <c r="B198">
        <v>31.73</v>
      </c>
      <c r="C198" t="str" cm="1">
        <f t="array" ref="C198">_xlfn.IFS(B198&lt;=18.5,  "Underweight",B198&lt;=24.9,"Normal weight",B198&lt;=29.9, "Over weight",B198&gt;=30,"Obesity")</f>
        <v>Obesity</v>
      </c>
      <c r="D198">
        <v>4.3</v>
      </c>
      <c r="E198" t="str" cm="1">
        <f t="array" ref="E198">_xlfn.IFS(D198&lt;5.7,"Normal",D198&lt;=6.4,"Prediabetes",D198&gt;=6.5,"Diabetes")</f>
        <v>Normal</v>
      </c>
      <c r="F198" s="3" t="s">
        <v>2379</v>
      </c>
      <c r="G198" s="3" t="s">
        <v>2379</v>
      </c>
      <c r="H198" s="3" t="s">
        <v>2379</v>
      </c>
      <c r="I198" s="1" t="s">
        <v>2380</v>
      </c>
      <c r="J198">
        <v>0</v>
      </c>
      <c r="K198" s="3" t="s">
        <v>2382</v>
      </c>
      <c r="P198" s="3"/>
    </row>
    <row r="199" spans="1:16" x14ac:dyDescent="0.25">
      <c r="A199" s="3" t="s">
        <v>2174</v>
      </c>
      <c r="B199">
        <v>36.64</v>
      </c>
      <c r="C199" t="str" cm="1">
        <f t="array" ref="C199">_xlfn.IFS(B199&lt;=18.5,  "Underweight",B199&lt;=24.9,"Normal weight",B199&lt;=29.9, "Over weight",B199&gt;=30,"Obesity")</f>
        <v>Obesity</v>
      </c>
      <c r="D199">
        <v>11.34</v>
      </c>
      <c r="E199" t="str" cm="1">
        <f t="array" ref="E199">_xlfn.IFS(D199&lt;5.7,"Normal",D199&lt;=6.4,"Prediabetes",D199&gt;=6.5,"Diabetes")</f>
        <v>Diabetes</v>
      </c>
      <c r="F199" s="3" t="s">
        <v>2379</v>
      </c>
      <c r="G199" s="3" t="s">
        <v>2379</v>
      </c>
      <c r="H199" s="3" t="s">
        <v>2379</v>
      </c>
      <c r="I199" s="1" t="s">
        <v>2380</v>
      </c>
      <c r="J199">
        <v>0</v>
      </c>
      <c r="K199" s="3" t="s">
        <v>2382</v>
      </c>
      <c r="P199" s="3"/>
    </row>
    <row r="200" spans="1:16" x14ac:dyDescent="0.25">
      <c r="A200" s="3" t="s">
        <v>2173</v>
      </c>
      <c r="B200">
        <v>36.85</v>
      </c>
      <c r="C200" t="str" cm="1">
        <f t="array" ref="C200">_xlfn.IFS(B200&lt;=18.5,  "Underweight",B200&lt;=24.9,"Normal weight",B200&lt;=29.9, "Over weight",B200&gt;=30,"Obesity")</f>
        <v>Obesity</v>
      </c>
      <c r="D200">
        <v>5.88</v>
      </c>
      <c r="E200" t="str" cm="1">
        <f t="array" ref="E200">_xlfn.IFS(D200&lt;5.7,"Normal",D200&lt;=6.4,"Prediabetes",D200&gt;=6.5,"Diabetes")</f>
        <v>Prediabetes</v>
      </c>
      <c r="F200" s="3" t="s">
        <v>2379</v>
      </c>
      <c r="G200" s="3" t="s">
        <v>2381</v>
      </c>
      <c r="H200" s="3" t="s">
        <v>2379</v>
      </c>
      <c r="I200" s="1">
        <v>1</v>
      </c>
      <c r="J200">
        <v>1</v>
      </c>
      <c r="K200" s="3" t="s">
        <v>2382</v>
      </c>
      <c r="P200" s="3"/>
    </row>
    <row r="201" spans="1:16" x14ac:dyDescent="0.25">
      <c r="A201" s="3" t="s">
        <v>2172</v>
      </c>
      <c r="B201">
        <v>33.33</v>
      </c>
      <c r="C201" t="str" cm="1">
        <f t="array" ref="C201">_xlfn.IFS(B201&lt;=18.5,  "Underweight",B201&lt;=24.9,"Normal weight",B201&lt;=29.9, "Over weight",B201&gt;=30,"Obesity")</f>
        <v>Obesity</v>
      </c>
      <c r="D201">
        <v>5.01</v>
      </c>
      <c r="E201" t="str" cm="1">
        <f t="array" ref="E201">_xlfn.IFS(D201&lt;5.7,"Normal",D201&lt;=6.4,"Prediabetes",D201&gt;=6.5,"Diabetes")</f>
        <v>Normal</v>
      </c>
      <c r="F201" s="3" t="s">
        <v>2382</v>
      </c>
      <c r="G201" s="3" t="s">
        <v>2379</v>
      </c>
      <c r="H201" s="3" t="s">
        <v>2382</v>
      </c>
      <c r="I201" s="1">
        <v>1</v>
      </c>
      <c r="J201">
        <v>1</v>
      </c>
      <c r="K201" s="3" t="s">
        <v>2382</v>
      </c>
      <c r="P201" s="3"/>
    </row>
    <row r="202" spans="1:16" x14ac:dyDescent="0.25">
      <c r="A202" s="3" t="s">
        <v>2171</v>
      </c>
      <c r="B202">
        <v>39.14</v>
      </c>
      <c r="C202" t="str" cm="1">
        <f t="array" ref="C202">_xlfn.IFS(B202&lt;=18.5,  "Underweight",B202&lt;=24.9,"Normal weight",B202&lt;=29.9, "Over weight",B202&gt;=30,"Obesity")</f>
        <v>Obesity</v>
      </c>
      <c r="D202">
        <v>4.4000000000000004</v>
      </c>
      <c r="E202" t="str" cm="1">
        <f t="array" ref="E202">_xlfn.IFS(D202&lt;5.7,"Normal",D202&lt;=6.4,"Prediabetes",D202&gt;=6.5,"Diabetes")</f>
        <v>Normal</v>
      </c>
      <c r="F202" s="3" t="s">
        <v>2379</v>
      </c>
      <c r="G202" s="3" t="s">
        <v>2379</v>
      </c>
      <c r="H202" s="3" t="s">
        <v>2382</v>
      </c>
      <c r="I202" s="1">
        <v>1</v>
      </c>
      <c r="J202">
        <v>1</v>
      </c>
      <c r="K202" s="3" t="s">
        <v>2382</v>
      </c>
      <c r="P202" s="3"/>
    </row>
    <row r="203" spans="1:16" x14ac:dyDescent="0.25">
      <c r="A203" s="3" t="s">
        <v>2170</v>
      </c>
      <c r="B203">
        <v>32.9</v>
      </c>
      <c r="C203" t="str" cm="1">
        <f t="array" ref="C203">_xlfn.IFS(B203&lt;=18.5,  "Underweight",B203&lt;=24.9,"Normal weight",B203&lt;=29.9, "Over weight",B203&gt;=30,"Obesity")</f>
        <v>Obesity</v>
      </c>
      <c r="D203">
        <v>6.26</v>
      </c>
      <c r="E203" t="str" cm="1">
        <f t="array" ref="E203">_xlfn.IFS(D203&lt;5.7,"Normal",D203&lt;=6.4,"Prediabetes",D203&gt;=6.5,"Diabetes")</f>
        <v>Prediabetes</v>
      </c>
      <c r="F203" s="3" t="s">
        <v>2382</v>
      </c>
      <c r="G203" s="3" t="s">
        <v>2379</v>
      </c>
      <c r="H203" s="3" t="s">
        <v>2379</v>
      </c>
      <c r="I203" s="1" t="s">
        <v>2380</v>
      </c>
      <c r="J203">
        <v>0</v>
      </c>
      <c r="K203" s="3" t="s">
        <v>2382</v>
      </c>
      <c r="P203" s="3"/>
    </row>
    <row r="204" spans="1:16" x14ac:dyDescent="0.25">
      <c r="A204" s="3" t="s">
        <v>2169</v>
      </c>
      <c r="B204">
        <v>29.78</v>
      </c>
      <c r="C204" t="str" cm="1">
        <f t="array" ref="C204">_xlfn.IFS(B204&lt;=18.5,  "Underweight",B204&lt;=24.9,"Normal weight",B204&lt;=29.9, "Over weight",B204&gt;=30,"Obesity")</f>
        <v>Over weight</v>
      </c>
      <c r="D204">
        <v>10.27</v>
      </c>
      <c r="E204" t="str" cm="1">
        <f t="array" ref="E204">_xlfn.IFS(D204&lt;5.7,"Normal",D204&lt;=6.4,"Prediabetes",D204&gt;=6.5,"Diabetes")</f>
        <v>Diabetes</v>
      </c>
      <c r="F204" s="3" t="s">
        <v>2382</v>
      </c>
      <c r="G204" s="3" t="s">
        <v>2379</v>
      </c>
      <c r="H204" s="3" t="s">
        <v>2382</v>
      </c>
      <c r="I204" s="1">
        <v>1</v>
      </c>
      <c r="J204">
        <v>1</v>
      </c>
      <c r="K204" s="3" t="s">
        <v>2382</v>
      </c>
      <c r="P204" s="3"/>
    </row>
    <row r="205" spans="1:16" x14ac:dyDescent="0.25">
      <c r="A205" s="3" t="s">
        <v>2168</v>
      </c>
      <c r="B205">
        <v>32.78</v>
      </c>
      <c r="C205" t="str" cm="1">
        <f t="array" ref="C205">_xlfn.IFS(B205&lt;=18.5,  "Underweight",B205&lt;=24.9,"Normal weight",B205&lt;=29.9, "Over weight",B205&gt;=30,"Obesity")</f>
        <v>Obesity</v>
      </c>
      <c r="D205">
        <v>5.27</v>
      </c>
      <c r="E205" t="str" cm="1">
        <f t="array" ref="E205">_xlfn.IFS(D205&lt;5.7,"Normal",D205&lt;=6.4,"Prediabetes",D205&gt;=6.5,"Diabetes")</f>
        <v>Normal</v>
      </c>
      <c r="F205" s="3" t="s">
        <v>2379</v>
      </c>
      <c r="G205" s="3" t="s">
        <v>2379</v>
      </c>
      <c r="H205" s="3" t="s">
        <v>2379</v>
      </c>
      <c r="I205" s="1" t="s">
        <v>2380</v>
      </c>
      <c r="J205">
        <v>0</v>
      </c>
      <c r="K205" s="3" t="s">
        <v>2382</v>
      </c>
      <c r="P205" s="3"/>
    </row>
    <row r="206" spans="1:16" x14ac:dyDescent="0.25">
      <c r="A206" s="3" t="s">
        <v>2167</v>
      </c>
      <c r="B206">
        <v>41.65</v>
      </c>
      <c r="C206" t="str" cm="1">
        <f t="array" ref="C206">_xlfn.IFS(B206&lt;=18.5,  "Underweight",B206&lt;=24.9,"Normal weight",B206&lt;=29.9, "Over weight",B206&gt;=30,"Obesity")</f>
        <v>Obesity</v>
      </c>
      <c r="D206">
        <v>10.73</v>
      </c>
      <c r="E206" t="str" cm="1">
        <f t="array" ref="E206">_xlfn.IFS(D206&lt;5.7,"Normal",D206&lt;=6.4,"Prediabetes",D206&gt;=6.5,"Diabetes")</f>
        <v>Diabetes</v>
      </c>
      <c r="F206" s="3" t="s">
        <v>2382</v>
      </c>
      <c r="G206" s="3" t="s">
        <v>2379</v>
      </c>
      <c r="H206" s="3" t="s">
        <v>2379</v>
      </c>
      <c r="I206" s="1" t="s">
        <v>2380</v>
      </c>
      <c r="J206">
        <v>0</v>
      </c>
      <c r="K206" s="3" t="s">
        <v>2382</v>
      </c>
      <c r="P206" s="3"/>
    </row>
    <row r="207" spans="1:16" x14ac:dyDescent="0.25">
      <c r="A207" s="3" t="s">
        <v>2166</v>
      </c>
      <c r="B207">
        <v>50.79</v>
      </c>
      <c r="C207" t="str" cm="1">
        <f t="array" ref="C207">_xlfn.IFS(B207&lt;=18.5,  "Underweight",B207&lt;=24.9,"Normal weight",B207&lt;=29.9, "Over weight",B207&gt;=30,"Obesity")</f>
        <v>Obesity</v>
      </c>
      <c r="D207">
        <v>4.45</v>
      </c>
      <c r="E207" t="str" cm="1">
        <f t="array" ref="E207">_xlfn.IFS(D207&lt;5.7,"Normal",D207&lt;=6.4,"Prediabetes",D207&gt;=6.5,"Diabetes")</f>
        <v>Normal</v>
      </c>
      <c r="F207" s="3" t="s">
        <v>2379</v>
      </c>
      <c r="G207" s="3" t="s">
        <v>2379</v>
      </c>
      <c r="H207" s="3" t="s">
        <v>2379</v>
      </c>
      <c r="I207" s="1">
        <v>1</v>
      </c>
      <c r="J207">
        <v>1</v>
      </c>
      <c r="K207" s="3" t="s">
        <v>2382</v>
      </c>
      <c r="P207" s="3"/>
    </row>
    <row r="208" spans="1:16" x14ac:dyDescent="0.25">
      <c r="A208" s="3" t="s">
        <v>2165</v>
      </c>
      <c r="B208">
        <v>35.43</v>
      </c>
      <c r="C208" t="str" cm="1">
        <f t="array" ref="C208">_xlfn.IFS(B208&lt;=18.5,  "Underweight",B208&lt;=24.9,"Normal weight",B208&lt;=29.9, "Over weight",B208&gt;=30,"Obesity")</f>
        <v>Obesity</v>
      </c>
      <c r="D208">
        <v>5.25</v>
      </c>
      <c r="E208" t="str" cm="1">
        <f t="array" ref="E208">_xlfn.IFS(D208&lt;5.7,"Normal",D208&lt;=6.4,"Prediabetes",D208&gt;=6.5,"Diabetes")</f>
        <v>Normal</v>
      </c>
      <c r="F208" s="3" t="s">
        <v>2382</v>
      </c>
      <c r="G208" s="3" t="s">
        <v>2379</v>
      </c>
      <c r="H208" s="3" t="s">
        <v>2379</v>
      </c>
      <c r="I208" s="1" t="s">
        <v>2380</v>
      </c>
      <c r="J208">
        <v>0</v>
      </c>
      <c r="K208" s="3" t="s">
        <v>2382</v>
      </c>
      <c r="P208" s="3"/>
    </row>
    <row r="209" spans="1:16" x14ac:dyDescent="0.25">
      <c r="A209" s="3" t="s">
        <v>2164</v>
      </c>
      <c r="B209">
        <v>35.25</v>
      </c>
      <c r="C209" t="str" cm="1">
        <f t="array" ref="C209">_xlfn.IFS(B209&lt;=18.5,  "Underweight",B209&lt;=24.9,"Normal weight",B209&lt;=29.9, "Over weight",B209&gt;=30,"Obesity")</f>
        <v>Obesity</v>
      </c>
      <c r="D209">
        <v>9.51</v>
      </c>
      <c r="E209" t="str" cm="1">
        <f t="array" ref="E209">_xlfn.IFS(D209&lt;5.7,"Normal",D209&lt;=6.4,"Prediabetes",D209&gt;=6.5,"Diabetes")</f>
        <v>Diabetes</v>
      </c>
      <c r="F209" s="3" t="s">
        <v>2379</v>
      </c>
      <c r="G209" s="3" t="s">
        <v>2379</v>
      </c>
      <c r="H209" s="3" t="s">
        <v>2379</v>
      </c>
      <c r="I209" s="1" t="s">
        <v>2380</v>
      </c>
      <c r="J209">
        <v>0</v>
      </c>
      <c r="K209" s="3" t="s">
        <v>2382</v>
      </c>
      <c r="P209" s="3"/>
    </row>
    <row r="210" spans="1:16" x14ac:dyDescent="0.25">
      <c r="A210" s="3" t="s">
        <v>2163</v>
      </c>
      <c r="B210">
        <v>36.85</v>
      </c>
      <c r="C210" t="str" cm="1">
        <f t="array" ref="C210">_xlfn.IFS(B210&lt;=18.5,  "Underweight",B210&lt;=24.9,"Normal weight",B210&lt;=29.9, "Over weight",B210&gt;=30,"Obesity")</f>
        <v>Obesity</v>
      </c>
      <c r="D210">
        <v>11.12</v>
      </c>
      <c r="E210" t="str" cm="1">
        <f t="array" ref="E210">_xlfn.IFS(D210&lt;5.7,"Normal",D210&lt;=6.4,"Prediabetes",D210&gt;=6.5,"Diabetes")</f>
        <v>Diabetes</v>
      </c>
      <c r="F210" s="3" t="s">
        <v>2379</v>
      </c>
      <c r="G210" s="3" t="s">
        <v>2379</v>
      </c>
      <c r="H210" s="3" t="s">
        <v>2379</v>
      </c>
      <c r="I210" s="1" t="s">
        <v>2380</v>
      </c>
      <c r="J210">
        <v>0</v>
      </c>
      <c r="K210" s="3" t="s">
        <v>2382</v>
      </c>
      <c r="P210" s="3"/>
    </row>
    <row r="211" spans="1:16" x14ac:dyDescent="0.25">
      <c r="A211" s="3" t="s">
        <v>2162</v>
      </c>
      <c r="B211">
        <v>31.02</v>
      </c>
      <c r="C211" t="str" cm="1">
        <f t="array" ref="C211">_xlfn.IFS(B211&lt;=18.5,  "Underweight",B211&lt;=24.9,"Normal weight",B211&lt;=29.9, "Over weight",B211&gt;=30,"Obesity")</f>
        <v>Obesity</v>
      </c>
      <c r="D211">
        <v>4.5599999999999996</v>
      </c>
      <c r="E211" t="str" cm="1">
        <f t="array" ref="E211">_xlfn.IFS(D211&lt;5.7,"Normal",D211&lt;=6.4,"Prediabetes",D211&gt;=6.5,"Diabetes")</f>
        <v>Normal</v>
      </c>
      <c r="F211" s="3" t="s">
        <v>2379</v>
      </c>
      <c r="G211" s="3" t="s">
        <v>2381</v>
      </c>
      <c r="H211" s="3" t="s">
        <v>2379</v>
      </c>
      <c r="I211" s="1">
        <v>1</v>
      </c>
      <c r="J211">
        <v>1</v>
      </c>
      <c r="K211" s="3" t="s">
        <v>2382</v>
      </c>
      <c r="P211" s="3"/>
    </row>
    <row r="212" spans="1:16" x14ac:dyDescent="0.25">
      <c r="A212" s="3" t="s">
        <v>2161</v>
      </c>
      <c r="B212">
        <v>35.6</v>
      </c>
      <c r="C212" t="str" cm="1">
        <f t="array" ref="C212">_xlfn.IFS(B212&lt;=18.5,  "Underweight",B212&lt;=24.9,"Normal weight",B212&lt;=29.9, "Over weight",B212&gt;=30,"Obesity")</f>
        <v>Obesity</v>
      </c>
      <c r="D212">
        <v>4.0199999999999996</v>
      </c>
      <c r="E212" t="str" cm="1">
        <f t="array" ref="E212">_xlfn.IFS(D212&lt;5.7,"Normal",D212&lt;=6.4,"Prediabetes",D212&gt;=6.5,"Diabetes")</f>
        <v>Normal</v>
      </c>
      <c r="F212" s="3" t="s">
        <v>2382</v>
      </c>
      <c r="G212" s="3" t="s">
        <v>2381</v>
      </c>
      <c r="H212" s="3" t="s">
        <v>2379</v>
      </c>
      <c r="I212" s="1">
        <v>2</v>
      </c>
      <c r="J212">
        <v>2</v>
      </c>
      <c r="K212" s="3" t="s">
        <v>2382</v>
      </c>
      <c r="P212" s="3"/>
    </row>
    <row r="213" spans="1:16" x14ac:dyDescent="0.25">
      <c r="A213" s="3" t="s">
        <v>2160</v>
      </c>
      <c r="B213">
        <v>34.39</v>
      </c>
      <c r="C213" t="str" cm="1">
        <f t="array" ref="C213">_xlfn.IFS(B213&lt;=18.5,  "Underweight",B213&lt;=24.9,"Normal weight",B213&lt;=29.9, "Over weight",B213&gt;=30,"Obesity")</f>
        <v>Obesity</v>
      </c>
      <c r="D213">
        <v>8.7200000000000006</v>
      </c>
      <c r="E213" t="str" cm="1">
        <f t="array" ref="E213">_xlfn.IFS(D213&lt;5.7,"Normal",D213&lt;=6.4,"Prediabetes",D213&gt;=6.5,"Diabetes")</f>
        <v>Diabetes</v>
      </c>
      <c r="F213" s="3" t="s">
        <v>2379</v>
      </c>
      <c r="G213" s="3" t="s">
        <v>2379</v>
      </c>
      <c r="H213" s="3" t="s">
        <v>2379</v>
      </c>
      <c r="I213" s="1" t="s">
        <v>2380</v>
      </c>
      <c r="J213">
        <v>0</v>
      </c>
      <c r="K213" s="3" t="s">
        <v>2382</v>
      </c>
      <c r="P213" s="3"/>
    </row>
    <row r="214" spans="1:16" x14ac:dyDescent="0.25">
      <c r="A214" s="3" t="s">
        <v>2159</v>
      </c>
      <c r="B214">
        <v>29.06</v>
      </c>
      <c r="C214" t="str" cm="1">
        <f t="array" ref="C214">_xlfn.IFS(B214&lt;=18.5,  "Underweight",B214&lt;=24.9,"Normal weight",B214&lt;=29.9, "Over weight",B214&gt;=30,"Obesity")</f>
        <v>Over weight</v>
      </c>
      <c r="D214">
        <v>6.25</v>
      </c>
      <c r="E214" t="str" cm="1">
        <f t="array" ref="E214">_xlfn.IFS(D214&lt;5.7,"Normal",D214&lt;=6.4,"Prediabetes",D214&gt;=6.5,"Diabetes")</f>
        <v>Prediabetes</v>
      </c>
      <c r="F214" s="3" t="s">
        <v>2382</v>
      </c>
      <c r="G214" s="3" t="s">
        <v>2379</v>
      </c>
      <c r="H214" s="3" t="s">
        <v>2379</v>
      </c>
      <c r="I214" s="1">
        <v>1</v>
      </c>
      <c r="J214">
        <v>1</v>
      </c>
      <c r="K214" s="3" t="s">
        <v>2382</v>
      </c>
      <c r="P214" s="3"/>
    </row>
    <row r="215" spans="1:16" x14ac:dyDescent="0.25">
      <c r="A215" s="3" t="s">
        <v>2158</v>
      </c>
      <c r="B215">
        <v>35.799999999999997</v>
      </c>
      <c r="C215" t="str" cm="1">
        <f t="array" ref="C215">_xlfn.IFS(B215&lt;=18.5,  "Underweight",B215&lt;=24.9,"Normal weight",B215&lt;=29.9, "Over weight",B215&gt;=30,"Obesity")</f>
        <v>Obesity</v>
      </c>
      <c r="D215">
        <v>7.32</v>
      </c>
      <c r="E215" t="str" cm="1">
        <f t="array" ref="E215">_xlfn.IFS(D215&lt;5.7,"Normal",D215&lt;=6.4,"Prediabetes",D215&gt;=6.5,"Diabetes")</f>
        <v>Diabetes</v>
      </c>
      <c r="F215" s="3" t="s">
        <v>2379</v>
      </c>
      <c r="G215" s="3" t="s">
        <v>2379</v>
      </c>
      <c r="H215" s="3" t="s">
        <v>2379</v>
      </c>
      <c r="I215" s="1">
        <v>2</v>
      </c>
      <c r="J215">
        <v>2</v>
      </c>
      <c r="K215" s="3" t="s">
        <v>2382</v>
      </c>
      <c r="P215" s="3"/>
    </row>
    <row r="216" spans="1:16" x14ac:dyDescent="0.25">
      <c r="A216" s="3" t="s">
        <v>2157</v>
      </c>
      <c r="B216">
        <v>49.8</v>
      </c>
      <c r="C216" t="str" cm="1">
        <f t="array" ref="C216">_xlfn.IFS(B216&lt;=18.5,  "Underweight",B216&lt;=24.9,"Normal weight",B216&lt;=29.9, "Over weight",B216&gt;=30,"Obesity")</f>
        <v>Obesity</v>
      </c>
      <c r="D216">
        <v>4.24</v>
      </c>
      <c r="E216" t="str" cm="1">
        <f t="array" ref="E216">_xlfn.IFS(D216&lt;5.7,"Normal",D216&lt;=6.4,"Prediabetes",D216&gt;=6.5,"Diabetes")</f>
        <v>Normal</v>
      </c>
      <c r="F216" s="3" t="s">
        <v>2379</v>
      </c>
      <c r="G216" s="3" t="s">
        <v>2379</v>
      </c>
      <c r="H216" s="3" t="s">
        <v>2379</v>
      </c>
      <c r="I216" s="1">
        <v>1</v>
      </c>
      <c r="J216">
        <v>1</v>
      </c>
      <c r="K216" s="3" t="s">
        <v>2382</v>
      </c>
      <c r="P216" s="3"/>
    </row>
    <row r="217" spans="1:16" x14ac:dyDescent="0.25">
      <c r="A217" s="3" t="s">
        <v>2156</v>
      </c>
      <c r="B217">
        <v>35.71</v>
      </c>
      <c r="C217" t="str" cm="1">
        <f t="array" ref="C217">_xlfn.IFS(B217&lt;=18.5,  "Underweight",B217&lt;=24.9,"Normal weight",B217&lt;=29.9, "Over weight",B217&gt;=30,"Obesity")</f>
        <v>Obesity</v>
      </c>
      <c r="D217">
        <v>6.84</v>
      </c>
      <c r="E217" t="str" cm="1">
        <f t="array" ref="E217">_xlfn.IFS(D217&lt;5.7,"Normal",D217&lt;=6.4,"Prediabetes",D217&gt;=6.5,"Diabetes")</f>
        <v>Diabetes</v>
      </c>
      <c r="F217" s="3" t="s">
        <v>2379</v>
      </c>
      <c r="G217" s="3" t="s">
        <v>2379</v>
      </c>
      <c r="H217" s="3" t="s">
        <v>2379</v>
      </c>
      <c r="I217" s="1">
        <v>2</v>
      </c>
      <c r="J217">
        <v>2</v>
      </c>
      <c r="K217" s="3" t="s">
        <v>2382</v>
      </c>
      <c r="P217" s="3"/>
    </row>
    <row r="218" spans="1:16" x14ac:dyDescent="0.25">
      <c r="A218" s="3" t="s">
        <v>2155</v>
      </c>
      <c r="B218">
        <v>30.8</v>
      </c>
      <c r="C218" t="str" cm="1">
        <f t="array" ref="C218">_xlfn.IFS(B218&lt;=18.5,  "Underweight",B218&lt;=24.9,"Normal weight",B218&lt;=29.9, "Over weight",B218&gt;=30,"Obesity")</f>
        <v>Obesity</v>
      </c>
      <c r="D218">
        <v>5.23</v>
      </c>
      <c r="E218" t="str" cm="1">
        <f t="array" ref="E218">_xlfn.IFS(D218&lt;5.7,"Normal",D218&lt;=6.4,"Prediabetes",D218&gt;=6.5,"Diabetes")</f>
        <v>Normal</v>
      </c>
      <c r="F218" s="3" t="s">
        <v>2382</v>
      </c>
      <c r="G218" s="3" t="s">
        <v>2379</v>
      </c>
      <c r="H218" s="3" t="s">
        <v>2379</v>
      </c>
      <c r="I218" s="1">
        <v>1</v>
      </c>
      <c r="J218">
        <v>1</v>
      </c>
      <c r="K218" s="3" t="s">
        <v>2382</v>
      </c>
      <c r="P218" s="3"/>
    </row>
    <row r="219" spans="1:16" x14ac:dyDescent="0.25">
      <c r="A219" s="3" t="s">
        <v>2154</v>
      </c>
      <c r="B219">
        <v>33.69</v>
      </c>
      <c r="C219" t="str" cm="1">
        <f t="array" ref="C219">_xlfn.IFS(B219&lt;=18.5,  "Underweight",B219&lt;=24.9,"Normal weight",B219&lt;=29.9, "Over weight",B219&gt;=30,"Obesity")</f>
        <v>Obesity</v>
      </c>
      <c r="D219">
        <v>9.68</v>
      </c>
      <c r="E219" t="str" cm="1">
        <f t="array" ref="E219">_xlfn.IFS(D219&lt;5.7,"Normal",D219&lt;=6.4,"Prediabetes",D219&gt;=6.5,"Diabetes")</f>
        <v>Diabetes</v>
      </c>
      <c r="F219" s="3" t="s">
        <v>2379</v>
      </c>
      <c r="G219" s="3" t="s">
        <v>2379</v>
      </c>
      <c r="H219" s="3" t="s">
        <v>2379</v>
      </c>
      <c r="I219" s="1" t="s">
        <v>2380</v>
      </c>
      <c r="J219">
        <v>0</v>
      </c>
      <c r="K219" s="3" t="s">
        <v>2382</v>
      </c>
      <c r="P219" s="3"/>
    </row>
    <row r="220" spans="1:16" x14ac:dyDescent="0.25">
      <c r="A220" s="3" t="s">
        <v>2153</v>
      </c>
      <c r="B220">
        <v>42.27</v>
      </c>
      <c r="C220" t="str" cm="1">
        <f t="array" ref="C220">_xlfn.IFS(B220&lt;=18.5,  "Underweight",B220&lt;=24.9,"Normal weight",B220&lt;=29.9, "Over weight",B220&gt;=30,"Obesity")</f>
        <v>Obesity</v>
      </c>
      <c r="D220">
        <v>6.05</v>
      </c>
      <c r="E220" t="str" cm="1">
        <f t="array" ref="E220">_xlfn.IFS(D220&lt;5.7,"Normal",D220&lt;=6.4,"Prediabetes",D220&gt;=6.5,"Diabetes")</f>
        <v>Prediabetes</v>
      </c>
      <c r="F220" s="3" t="s">
        <v>2382</v>
      </c>
      <c r="G220" s="3" t="s">
        <v>2379</v>
      </c>
      <c r="H220" s="3" t="s">
        <v>2379</v>
      </c>
      <c r="I220" s="1">
        <v>1</v>
      </c>
      <c r="J220">
        <v>1</v>
      </c>
      <c r="K220" s="3" t="s">
        <v>2382</v>
      </c>
      <c r="P220" s="3"/>
    </row>
    <row r="221" spans="1:16" x14ac:dyDescent="0.25">
      <c r="A221" s="3" t="s">
        <v>2152</v>
      </c>
      <c r="B221">
        <v>53.25</v>
      </c>
      <c r="C221" t="str" cm="1">
        <f t="array" ref="C221">_xlfn.IFS(B221&lt;=18.5,  "Underweight",B221&lt;=24.9,"Normal weight",B221&lt;=29.9, "Over weight",B221&gt;=30,"Obesity")</f>
        <v>Obesity</v>
      </c>
      <c r="D221">
        <v>6.11</v>
      </c>
      <c r="E221" t="str" cm="1">
        <f t="array" ref="E221">_xlfn.IFS(D221&lt;5.7,"Normal",D221&lt;=6.4,"Prediabetes",D221&gt;=6.5,"Diabetes")</f>
        <v>Prediabetes</v>
      </c>
      <c r="F221" s="3" t="s">
        <v>2382</v>
      </c>
      <c r="G221" s="3" t="s">
        <v>2379</v>
      </c>
      <c r="H221" s="3" t="s">
        <v>2382</v>
      </c>
      <c r="I221" s="1">
        <v>1</v>
      </c>
      <c r="J221">
        <v>1</v>
      </c>
      <c r="K221" s="3" t="s">
        <v>2382</v>
      </c>
      <c r="P221" s="3"/>
    </row>
    <row r="222" spans="1:16" x14ac:dyDescent="0.25">
      <c r="A222" s="3" t="s">
        <v>2151</v>
      </c>
      <c r="B222">
        <v>26.8</v>
      </c>
      <c r="C222" t="str" cm="1">
        <f t="array" ref="C222">_xlfn.IFS(B222&lt;=18.5,  "Underweight",B222&lt;=24.9,"Normal weight",B222&lt;=29.9, "Over weight",B222&gt;=30,"Obesity")</f>
        <v>Over weight</v>
      </c>
      <c r="D222">
        <v>10.93</v>
      </c>
      <c r="E222" t="str" cm="1">
        <f t="array" ref="E222">_xlfn.IFS(D222&lt;5.7,"Normal",D222&lt;=6.4,"Prediabetes",D222&gt;=6.5,"Diabetes")</f>
        <v>Diabetes</v>
      </c>
      <c r="F222" s="3" t="s">
        <v>2382</v>
      </c>
      <c r="G222" s="3" t="s">
        <v>2379</v>
      </c>
      <c r="H222" s="3" t="s">
        <v>2379</v>
      </c>
      <c r="I222" s="1" t="s">
        <v>2380</v>
      </c>
      <c r="J222">
        <v>0</v>
      </c>
      <c r="K222" s="3" t="s">
        <v>2379</v>
      </c>
      <c r="P222" s="3"/>
    </row>
    <row r="223" spans="1:16" x14ac:dyDescent="0.25">
      <c r="A223" s="3" t="s">
        <v>2150</v>
      </c>
      <c r="B223">
        <v>28.5</v>
      </c>
      <c r="C223" t="str" cm="1">
        <f t="array" ref="C223">_xlfn.IFS(B223&lt;=18.5,  "Underweight",B223&lt;=24.9,"Normal weight",B223&lt;=29.9, "Over weight",B223&gt;=30,"Obesity")</f>
        <v>Over weight</v>
      </c>
      <c r="D223">
        <v>5.12</v>
      </c>
      <c r="E223" t="str" cm="1">
        <f t="array" ref="E223">_xlfn.IFS(D223&lt;5.7,"Normal",D223&lt;=6.4,"Prediabetes",D223&gt;=6.5,"Diabetes")</f>
        <v>Normal</v>
      </c>
      <c r="F223" s="3" t="s">
        <v>2379</v>
      </c>
      <c r="G223" s="3" t="s">
        <v>2379</v>
      </c>
      <c r="H223" s="3" t="s">
        <v>2379</v>
      </c>
      <c r="I223" s="1">
        <v>1</v>
      </c>
      <c r="J223">
        <v>1</v>
      </c>
      <c r="K223" s="3" t="s">
        <v>2382</v>
      </c>
      <c r="P223" s="3"/>
    </row>
    <row r="224" spans="1:16" x14ac:dyDescent="0.25">
      <c r="A224" s="3" t="s">
        <v>2149</v>
      </c>
      <c r="B224">
        <v>22.895</v>
      </c>
      <c r="C224" t="str" cm="1">
        <f t="array" ref="C224">_xlfn.IFS(B224&lt;=18.5,  "Underweight",B224&lt;=24.9,"Normal weight",B224&lt;=29.9, "Over weight",B224&gt;=30,"Obesity")</f>
        <v>Normal weight</v>
      </c>
      <c r="D224">
        <v>5.72</v>
      </c>
      <c r="E224" t="str" cm="1">
        <f t="array" ref="E224">_xlfn.IFS(D224&lt;5.7,"Normal",D224&lt;=6.4,"Prediabetes",D224&gt;=6.5,"Diabetes")</f>
        <v>Prediabetes</v>
      </c>
      <c r="F224" s="3" t="s">
        <v>2379</v>
      </c>
      <c r="G224" s="3" t="s">
        <v>2379</v>
      </c>
      <c r="H224" s="3" t="s">
        <v>2379</v>
      </c>
      <c r="I224" s="1" t="s">
        <v>2380</v>
      </c>
      <c r="J224">
        <v>0</v>
      </c>
      <c r="K224" s="3" t="s">
        <v>2382</v>
      </c>
      <c r="P224" s="3"/>
    </row>
    <row r="225" spans="1:16" x14ac:dyDescent="0.25">
      <c r="A225" s="3" t="s">
        <v>2148</v>
      </c>
      <c r="B225">
        <v>34.06</v>
      </c>
      <c r="C225" t="str" cm="1">
        <f t="array" ref="C225">_xlfn.IFS(B225&lt;=18.5,  "Underweight",B225&lt;=24.9,"Normal weight",B225&lt;=29.9, "Over weight",B225&gt;=30,"Obesity")</f>
        <v>Obesity</v>
      </c>
      <c r="D225">
        <v>11.83</v>
      </c>
      <c r="E225" t="str" cm="1">
        <f t="array" ref="E225">_xlfn.IFS(D225&lt;5.7,"Normal",D225&lt;=6.4,"Prediabetes",D225&gt;=6.5,"Diabetes")</f>
        <v>Diabetes</v>
      </c>
      <c r="F225" s="3" t="s">
        <v>2382</v>
      </c>
      <c r="G225" s="3" t="s">
        <v>2379</v>
      </c>
      <c r="H225" s="3" t="s">
        <v>2379</v>
      </c>
      <c r="I225" s="1">
        <v>1</v>
      </c>
      <c r="J225">
        <v>1</v>
      </c>
      <c r="K225" s="3" t="s">
        <v>2382</v>
      </c>
      <c r="P225" s="3"/>
    </row>
    <row r="226" spans="1:16" x14ac:dyDescent="0.25">
      <c r="A226" s="3" t="s">
        <v>2147</v>
      </c>
      <c r="B226">
        <v>36.409999999999997</v>
      </c>
      <c r="C226" t="str" cm="1">
        <f t="array" ref="C226">_xlfn.IFS(B226&lt;=18.5,  "Underweight",B226&lt;=24.9,"Normal weight",B226&lt;=29.9, "Over weight",B226&gt;=30,"Obesity")</f>
        <v>Obesity</v>
      </c>
      <c r="D226">
        <v>4.55</v>
      </c>
      <c r="E226" t="str" cm="1">
        <f t="array" ref="E226">_xlfn.IFS(D226&lt;5.7,"Normal",D226&lt;=6.4,"Prediabetes",D226&gt;=6.5,"Diabetes")</f>
        <v>Normal</v>
      </c>
      <c r="F226" s="3" t="s">
        <v>2379</v>
      </c>
      <c r="G226" s="3" t="s">
        <v>2379</v>
      </c>
      <c r="H226" s="3" t="s">
        <v>2379</v>
      </c>
      <c r="I226" s="1" t="s">
        <v>2380</v>
      </c>
      <c r="J226">
        <v>0</v>
      </c>
      <c r="K226" s="3" t="s">
        <v>2382</v>
      </c>
      <c r="P226" s="3"/>
    </row>
    <row r="227" spans="1:16" x14ac:dyDescent="0.25">
      <c r="A227" s="3" t="s">
        <v>2146</v>
      </c>
      <c r="B227">
        <v>52.3</v>
      </c>
      <c r="C227" t="str" cm="1">
        <f t="array" ref="C227">_xlfn.IFS(B227&lt;=18.5,  "Underweight",B227&lt;=24.9,"Normal weight",B227&lt;=29.9, "Over weight",B227&gt;=30,"Obesity")</f>
        <v>Obesity</v>
      </c>
      <c r="D227">
        <v>4.87</v>
      </c>
      <c r="E227" t="str" cm="1">
        <f t="array" ref="E227">_xlfn.IFS(D227&lt;5.7,"Normal",D227&lt;=6.4,"Prediabetes",D227&gt;=6.5,"Diabetes")</f>
        <v>Normal</v>
      </c>
      <c r="F227" s="3" t="s">
        <v>2382</v>
      </c>
      <c r="G227" s="3" t="s">
        <v>2379</v>
      </c>
      <c r="H227" s="3" t="s">
        <v>2382</v>
      </c>
      <c r="I227" s="1">
        <v>1</v>
      </c>
      <c r="J227">
        <v>1</v>
      </c>
      <c r="K227" s="3" t="s">
        <v>2382</v>
      </c>
      <c r="P227" s="3"/>
    </row>
    <row r="228" spans="1:16" x14ac:dyDescent="0.25">
      <c r="A228" s="3" t="s">
        <v>2145</v>
      </c>
      <c r="B228">
        <v>52.66</v>
      </c>
      <c r="C228" t="str" cm="1">
        <f t="array" ref="C228">_xlfn.IFS(B228&lt;=18.5,  "Underweight",B228&lt;=24.9,"Normal weight",B228&lt;=29.9, "Over weight",B228&gt;=30,"Obesity")</f>
        <v>Obesity</v>
      </c>
      <c r="D228">
        <v>4.45</v>
      </c>
      <c r="E228" t="str" cm="1">
        <f t="array" ref="E228">_xlfn.IFS(D228&lt;5.7,"Normal",D228&lt;=6.4,"Prediabetes",D228&gt;=6.5,"Diabetes")</f>
        <v>Normal</v>
      </c>
      <c r="F228" s="3" t="s">
        <v>2379</v>
      </c>
      <c r="G228" s="3" t="s">
        <v>2379</v>
      </c>
      <c r="H228" s="3" t="s">
        <v>2379</v>
      </c>
      <c r="I228" s="1">
        <v>1</v>
      </c>
      <c r="J228">
        <v>1</v>
      </c>
      <c r="K228" s="3" t="s">
        <v>2382</v>
      </c>
      <c r="P228" s="3"/>
    </row>
    <row r="229" spans="1:16" x14ac:dyDescent="0.25">
      <c r="A229" s="3" t="s">
        <v>2144</v>
      </c>
      <c r="B229">
        <v>29.57</v>
      </c>
      <c r="C229" t="str" cm="1">
        <f t="array" ref="C229">_xlfn.IFS(B229&lt;=18.5,  "Underweight",B229&lt;=24.9,"Normal weight",B229&lt;=29.9, "Over weight",B229&gt;=30,"Obesity")</f>
        <v>Over weight</v>
      </c>
      <c r="D229">
        <v>9.42</v>
      </c>
      <c r="E229" t="str" cm="1">
        <f t="array" ref="E229">_xlfn.IFS(D229&lt;5.7,"Normal",D229&lt;=6.4,"Prediabetes",D229&gt;=6.5,"Diabetes")</f>
        <v>Diabetes</v>
      </c>
      <c r="F229" s="3" t="s">
        <v>2382</v>
      </c>
      <c r="G229" s="3" t="s">
        <v>2379</v>
      </c>
      <c r="H229" s="3" t="s">
        <v>2379</v>
      </c>
      <c r="I229" s="1" t="s">
        <v>2380</v>
      </c>
      <c r="J229">
        <v>0</v>
      </c>
      <c r="K229" s="3" t="s">
        <v>2382</v>
      </c>
      <c r="P229" s="3"/>
    </row>
    <row r="230" spans="1:16" x14ac:dyDescent="0.25">
      <c r="A230" s="3" t="s">
        <v>2143</v>
      </c>
      <c r="B230">
        <v>36.99</v>
      </c>
      <c r="C230" t="str" cm="1">
        <f t="array" ref="C230">_xlfn.IFS(B230&lt;=18.5,  "Underweight",B230&lt;=24.9,"Normal weight",B230&lt;=29.9, "Over weight",B230&gt;=30,"Obesity")</f>
        <v>Obesity</v>
      </c>
      <c r="D230">
        <v>5.37</v>
      </c>
      <c r="E230" t="str" cm="1">
        <f t="array" ref="E230">_xlfn.IFS(D230&lt;5.7,"Normal",D230&lt;=6.4,"Prediabetes",D230&gt;=6.5,"Diabetes")</f>
        <v>Normal</v>
      </c>
      <c r="F230" s="3" t="s">
        <v>2382</v>
      </c>
      <c r="G230" s="3" t="s">
        <v>2379</v>
      </c>
      <c r="H230" s="3" t="s">
        <v>2382</v>
      </c>
      <c r="I230" s="1">
        <v>1</v>
      </c>
      <c r="J230">
        <v>1</v>
      </c>
      <c r="K230" s="3" t="s">
        <v>2382</v>
      </c>
      <c r="P230" s="3"/>
    </row>
    <row r="231" spans="1:16" x14ac:dyDescent="0.25">
      <c r="A231" s="3" t="s">
        <v>2142</v>
      </c>
      <c r="B231">
        <v>31.4</v>
      </c>
      <c r="C231" t="str" cm="1">
        <f t="array" ref="C231">_xlfn.IFS(B231&lt;=18.5,  "Underweight",B231&lt;=24.9,"Normal weight",B231&lt;=29.9, "Over weight",B231&gt;=30,"Obesity")</f>
        <v>Obesity</v>
      </c>
      <c r="D231">
        <v>4.5999999999999996</v>
      </c>
      <c r="E231" t="str" cm="1">
        <f t="array" ref="E231">_xlfn.IFS(D231&lt;5.7,"Normal",D231&lt;=6.4,"Prediabetes",D231&gt;=6.5,"Diabetes")</f>
        <v>Normal</v>
      </c>
      <c r="F231" s="3" t="s">
        <v>2382</v>
      </c>
      <c r="G231" s="3" t="s">
        <v>2379</v>
      </c>
      <c r="H231" s="3" t="s">
        <v>2379</v>
      </c>
      <c r="I231" s="1">
        <v>1</v>
      </c>
      <c r="J231">
        <v>1</v>
      </c>
      <c r="K231" s="3" t="s">
        <v>2382</v>
      </c>
      <c r="P231" s="3"/>
    </row>
    <row r="232" spans="1:16" x14ac:dyDescent="0.25">
      <c r="A232" s="3" t="s">
        <v>2141</v>
      </c>
      <c r="B232">
        <v>34.9</v>
      </c>
      <c r="C232" t="str" cm="1">
        <f t="array" ref="C232">_xlfn.IFS(B232&lt;=18.5,  "Underweight",B232&lt;=24.9,"Normal weight",B232&lt;=29.9, "Over weight",B232&gt;=30,"Obesity")</f>
        <v>Obesity</v>
      </c>
      <c r="D232">
        <v>6.22</v>
      </c>
      <c r="E232" t="str" cm="1">
        <f t="array" ref="E232">_xlfn.IFS(D232&lt;5.7,"Normal",D232&lt;=6.4,"Prediabetes",D232&gt;=6.5,"Diabetes")</f>
        <v>Prediabetes</v>
      </c>
      <c r="F232" s="3" t="s">
        <v>2379</v>
      </c>
      <c r="G232" s="3" t="s">
        <v>2379</v>
      </c>
      <c r="H232" s="3" t="s">
        <v>2382</v>
      </c>
      <c r="I232" s="1">
        <v>1</v>
      </c>
      <c r="J232">
        <v>1</v>
      </c>
      <c r="K232" s="3" t="s">
        <v>2382</v>
      </c>
      <c r="P232" s="3"/>
    </row>
    <row r="233" spans="1:16" x14ac:dyDescent="0.25">
      <c r="A233" s="3" t="s">
        <v>2140</v>
      </c>
      <c r="B233">
        <v>31.13</v>
      </c>
      <c r="C233" t="str" cm="1">
        <f t="array" ref="C233">_xlfn.IFS(B233&lt;=18.5,  "Underweight",B233&lt;=24.9,"Normal weight",B233&lt;=29.9, "Over weight",B233&gt;=30,"Obesity")</f>
        <v>Obesity</v>
      </c>
      <c r="D233">
        <v>4.5199999999999996</v>
      </c>
      <c r="E233" t="str" cm="1">
        <f t="array" ref="E233">_xlfn.IFS(D233&lt;5.7,"Normal",D233&lt;=6.4,"Prediabetes",D233&gt;=6.5,"Diabetes")</f>
        <v>Normal</v>
      </c>
      <c r="F233" s="3" t="s">
        <v>2382</v>
      </c>
      <c r="G233" s="3" t="s">
        <v>2379</v>
      </c>
      <c r="H233" s="3" t="s">
        <v>2379</v>
      </c>
      <c r="I233" s="1">
        <v>1</v>
      </c>
      <c r="J233">
        <v>1</v>
      </c>
      <c r="K233" s="3" t="s">
        <v>2382</v>
      </c>
      <c r="P233" s="3"/>
    </row>
    <row r="234" spans="1:16" x14ac:dyDescent="0.25">
      <c r="A234" s="3" t="s">
        <v>2139</v>
      </c>
      <c r="B234">
        <v>34.799999999999997</v>
      </c>
      <c r="C234" t="str" cm="1">
        <f t="array" ref="C234">_xlfn.IFS(B234&lt;=18.5,  "Underweight",B234&lt;=24.9,"Normal weight",B234&lt;=29.9, "Over weight",B234&gt;=30,"Obesity")</f>
        <v>Obesity</v>
      </c>
      <c r="D234">
        <v>6.18</v>
      </c>
      <c r="E234" t="str" cm="1">
        <f t="array" ref="E234">_xlfn.IFS(D234&lt;5.7,"Normal",D234&lt;=6.4,"Prediabetes",D234&gt;=6.5,"Diabetes")</f>
        <v>Prediabetes</v>
      </c>
      <c r="F234" s="3" t="s">
        <v>2379</v>
      </c>
      <c r="G234" s="3" t="s">
        <v>2379</v>
      </c>
      <c r="H234" s="3" t="s">
        <v>2382</v>
      </c>
      <c r="I234" s="1">
        <v>1</v>
      </c>
      <c r="J234">
        <v>1</v>
      </c>
      <c r="K234" s="3" t="s">
        <v>2382</v>
      </c>
      <c r="P234" s="3"/>
    </row>
    <row r="235" spans="1:16" x14ac:dyDescent="0.25">
      <c r="A235" s="3" t="s">
        <v>2138</v>
      </c>
      <c r="B235">
        <v>31.68</v>
      </c>
      <c r="C235" t="str" cm="1">
        <f t="array" ref="C235">_xlfn.IFS(B235&lt;=18.5,  "Underweight",B235&lt;=24.9,"Normal weight",B235&lt;=29.9, "Over weight",B235&gt;=30,"Obesity")</f>
        <v>Obesity</v>
      </c>
      <c r="D235">
        <v>4.4000000000000004</v>
      </c>
      <c r="E235" t="str" cm="1">
        <f t="array" ref="E235">_xlfn.IFS(D235&lt;5.7,"Normal",D235&lt;=6.4,"Prediabetes",D235&gt;=6.5,"Diabetes")</f>
        <v>Normal</v>
      </c>
      <c r="F235" s="3" t="s">
        <v>2379</v>
      </c>
      <c r="G235" s="3" t="s">
        <v>2379</v>
      </c>
      <c r="H235" s="3" t="s">
        <v>2379</v>
      </c>
      <c r="I235" s="1" t="s">
        <v>2380</v>
      </c>
      <c r="J235">
        <v>0</v>
      </c>
      <c r="K235" s="3" t="s">
        <v>2382</v>
      </c>
      <c r="P235" s="3"/>
    </row>
    <row r="236" spans="1:16" x14ac:dyDescent="0.25">
      <c r="A236" s="3" t="s">
        <v>2137</v>
      </c>
      <c r="B236">
        <v>33.534999999999997</v>
      </c>
      <c r="C236" t="str" cm="1">
        <f t="array" ref="C236">_xlfn.IFS(B236&lt;=18.5,  "Underweight",B236&lt;=24.9,"Normal weight",B236&lt;=29.9, "Over weight",B236&gt;=30,"Obesity")</f>
        <v>Obesity</v>
      </c>
      <c r="D236">
        <v>6.23</v>
      </c>
      <c r="E236" t="str" cm="1">
        <f t="array" ref="E236">_xlfn.IFS(D236&lt;5.7,"Normal",D236&lt;=6.4,"Prediabetes",D236&gt;=6.5,"Diabetes")</f>
        <v>Prediabetes</v>
      </c>
      <c r="F236" s="3" t="s">
        <v>2379</v>
      </c>
      <c r="G236" s="3" t="s">
        <v>2381</v>
      </c>
      <c r="H236" s="3" t="s">
        <v>2379</v>
      </c>
      <c r="I236" s="1">
        <v>1</v>
      </c>
      <c r="J236">
        <v>1</v>
      </c>
      <c r="K236" s="3" t="s">
        <v>2382</v>
      </c>
      <c r="P236" s="3"/>
    </row>
    <row r="237" spans="1:16" x14ac:dyDescent="0.25">
      <c r="A237" s="3" t="s">
        <v>2136</v>
      </c>
      <c r="B237">
        <v>31.92</v>
      </c>
      <c r="C237" t="str" cm="1">
        <f t="array" ref="C237">_xlfn.IFS(B237&lt;=18.5,  "Underweight",B237&lt;=24.9,"Normal weight",B237&lt;=29.9, "Over weight",B237&gt;=30,"Obesity")</f>
        <v>Obesity</v>
      </c>
      <c r="D237">
        <v>5.33</v>
      </c>
      <c r="E237" t="str" cm="1">
        <f t="array" ref="E237">_xlfn.IFS(D237&lt;5.7,"Normal",D237&lt;=6.4,"Prediabetes",D237&gt;=6.5,"Diabetes")</f>
        <v>Normal</v>
      </c>
      <c r="F237" s="3" t="s">
        <v>2382</v>
      </c>
      <c r="G237" s="3" t="s">
        <v>2379</v>
      </c>
      <c r="H237" s="3" t="s">
        <v>2379</v>
      </c>
      <c r="I237" s="1" t="s">
        <v>2380</v>
      </c>
      <c r="J237">
        <v>0</v>
      </c>
      <c r="K237" s="3" t="s">
        <v>2382</v>
      </c>
      <c r="P237" s="3"/>
    </row>
    <row r="238" spans="1:16" x14ac:dyDescent="0.25">
      <c r="A238" s="3" t="s">
        <v>2135</v>
      </c>
      <c r="B238">
        <v>32.700000000000003</v>
      </c>
      <c r="C238" t="str" cm="1">
        <f t="array" ref="C238">_xlfn.IFS(B238&lt;=18.5,  "Underweight",B238&lt;=24.9,"Normal weight",B238&lt;=29.9, "Over weight",B238&gt;=30,"Obesity")</f>
        <v>Obesity</v>
      </c>
      <c r="D238">
        <v>4.09</v>
      </c>
      <c r="E238" t="str" cm="1">
        <f t="array" ref="E238">_xlfn.IFS(D238&lt;5.7,"Normal",D238&lt;=6.4,"Prediabetes",D238&gt;=6.5,"Diabetes")</f>
        <v>Normal</v>
      </c>
      <c r="F238" s="3" t="s">
        <v>2379</v>
      </c>
      <c r="G238" s="3" t="s">
        <v>2379</v>
      </c>
      <c r="H238" s="3" t="s">
        <v>2379</v>
      </c>
      <c r="I238" s="1">
        <v>1</v>
      </c>
      <c r="J238">
        <v>1</v>
      </c>
      <c r="K238" s="3" t="s">
        <v>2382</v>
      </c>
      <c r="P238" s="3"/>
    </row>
    <row r="239" spans="1:16" x14ac:dyDescent="0.25">
      <c r="A239" s="3" t="s">
        <v>2134</v>
      </c>
      <c r="B239">
        <v>41.25</v>
      </c>
      <c r="C239" t="str" cm="1">
        <f t="array" ref="C239">_xlfn.IFS(B239&lt;=18.5,  "Underweight",B239&lt;=24.9,"Normal weight",B239&lt;=29.9, "Over weight",B239&gt;=30,"Obesity")</f>
        <v>Obesity</v>
      </c>
      <c r="D239">
        <v>5.19</v>
      </c>
      <c r="E239" t="str" cm="1">
        <f t="array" ref="E239">_xlfn.IFS(D239&lt;5.7,"Normal",D239&lt;=6.4,"Prediabetes",D239&gt;=6.5,"Diabetes")</f>
        <v>Normal</v>
      </c>
      <c r="F239" s="3" t="s">
        <v>2379</v>
      </c>
      <c r="G239" s="3" t="s">
        <v>2379</v>
      </c>
      <c r="H239" s="3" t="s">
        <v>2379</v>
      </c>
      <c r="I239" s="1" t="s">
        <v>2380</v>
      </c>
      <c r="J239">
        <v>0</v>
      </c>
      <c r="K239" s="3" t="s">
        <v>2382</v>
      </c>
      <c r="P239" s="3"/>
    </row>
    <row r="240" spans="1:16" x14ac:dyDescent="0.25">
      <c r="A240" s="3" t="s">
        <v>2133</v>
      </c>
      <c r="B240">
        <v>33.11</v>
      </c>
      <c r="C240" t="str" cm="1">
        <f t="array" ref="C240">_xlfn.IFS(B240&lt;=18.5,  "Underweight",B240&lt;=24.9,"Normal weight",B240&lt;=29.9, "Over weight",B240&gt;=30,"Obesity")</f>
        <v>Obesity</v>
      </c>
      <c r="D240">
        <v>4.12</v>
      </c>
      <c r="E240" t="str" cm="1">
        <f t="array" ref="E240">_xlfn.IFS(D240&lt;5.7,"Normal",D240&lt;=6.4,"Prediabetes",D240&gt;=6.5,"Diabetes")</f>
        <v>Normal</v>
      </c>
      <c r="F240" s="3" t="s">
        <v>2379</v>
      </c>
      <c r="G240" s="3" t="s">
        <v>2379</v>
      </c>
      <c r="H240" s="3" t="s">
        <v>2382</v>
      </c>
      <c r="I240" s="1">
        <v>1</v>
      </c>
      <c r="J240">
        <v>1</v>
      </c>
      <c r="K240" s="3" t="s">
        <v>2382</v>
      </c>
      <c r="P240" s="3"/>
    </row>
    <row r="241" spans="1:16" x14ac:dyDescent="0.25">
      <c r="A241" s="3" t="s">
        <v>2132</v>
      </c>
      <c r="B241">
        <v>36.159999999999997</v>
      </c>
      <c r="C241" t="str" cm="1">
        <f t="array" ref="C241">_xlfn.IFS(B241&lt;=18.5,  "Underweight",B241&lt;=24.9,"Normal weight",B241&lt;=29.9, "Over weight",B241&gt;=30,"Obesity")</f>
        <v>Obesity</v>
      </c>
      <c r="D241">
        <v>5.0999999999999996</v>
      </c>
      <c r="E241" t="str" cm="1">
        <f t="array" ref="E241">_xlfn.IFS(D241&lt;5.7,"Normal",D241&lt;=6.4,"Prediabetes",D241&gt;=6.5,"Diabetes")</f>
        <v>Normal</v>
      </c>
      <c r="F241" s="3" t="s">
        <v>2379</v>
      </c>
      <c r="G241" s="3" t="s">
        <v>2379</v>
      </c>
      <c r="H241" s="3" t="s">
        <v>2379</v>
      </c>
      <c r="I241" s="1">
        <v>1</v>
      </c>
      <c r="J241">
        <v>1</v>
      </c>
      <c r="K241" s="3" t="s">
        <v>2382</v>
      </c>
      <c r="P241" s="3"/>
    </row>
    <row r="242" spans="1:16" x14ac:dyDescent="0.25">
      <c r="A242" s="3" t="s">
        <v>2131</v>
      </c>
      <c r="B242">
        <v>33.72</v>
      </c>
      <c r="C242" t="str" cm="1">
        <f t="array" ref="C242">_xlfn.IFS(B242&lt;=18.5,  "Underweight",B242&lt;=24.9,"Normal weight",B242&lt;=29.9, "Over weight",B242&gt;=30,"Obesity")</f>
        <v>Obesity</v>
      </c>
      <c r="D242">
        <v>6.21</v>
      </c>
      <c r="E242" t="str" cm="1">
        <f t="array" ref="E242">_xlfn.IFS(D242&lt;5.7,"Normal",D242&lt;=6.4,"Prediabetes",D242&gt;=6.5,"Diabetes")</f>
        <v>Prediabetes</v>
      </c>
      <c r="F242" s="3" t="s">
        <v>2382</v>
      </c>
      <c r="G242" s="3" t="s">
        <v>2379</v>
      </c>
      <c r="H242" s="3" t="s">
        <v>2382</v>
      </c>
      <c r="I242" s="1">
        <v>1</v>
      </c>
      <c r="J242">
        <v>1</v>
      </c>
      <c r="K242" s="3" t="s">
        <v>2382</v>
      </c>
      <c r="P242" s="3"/>
    </row>
    <row r="243" spans="1:16" x14ac:dyDescent="0.25">
      <c r="A243" s="3" t="s">
        <v>2129</v>
      </c>
      <c r="B243">
        <v>37.74</v>
      </c>
      <c r="C243" t="str" cm="1">
        <f t="array" ref="C243">_xlfn.IFS(B243&lt;=18.5,  "Underweight",B243&lt;=24.9,"Normal weight",B243&lt;=29.9, "Over weight",B243&gt;=30,"Obesity")</f>
        <v>Obesity</v>
      </c>
      <c r="D243">
        <v>9.5299999999999994</v>
      </c>
      <c r="E243" t="str" cm="1">
        <f t="array" ref="E243">_xlfn.IFS(D243&lt;5.7,"Normal",D243&lt;=6.4,"Prediabetes",D243&gt;=6.5,"Diabetes")</f>
        <v>Diabetes</v>
      </c>
      <c r="F243" s="3" t="s">
        <v>2382</v>
      </c>
      <c r="G243" s="3" t="s">
        <v>2379</v>
      </c>
      <c r="H243" s="3" t="s">
        <v>2379</v>
      </c>
      <c r="I243" s="1">
        <v>1</v>
      </c>
      <c r="J243">
        <v>1</v>
      </c>
      <c r="K243" s="3" t="s">
        <v>2382</v>
      </c>
      <c r="P243" s="3"/>
    </row>
    <row r="244" spans="1:16" x14ac:dyDescent="0.25">
      <c r="A244" s="3" t="s">
        <v>2128</v>
      </c>
      <c r="B244">
        <v>48.75</v>
      </c>
      <c r="C244" t="str" cm="1">
        <f t="array" ref="C244">_xlfn.IFS(B244&lt;=18.5,  "Underweight",B244&lt;=24.9,"Normal weight",B244&lt;=29.9, "Over weight",B244&gt;=30,"Obesity")</f>
        <v>Obesity</v>
      </c>
      <c r="D244">
        <v>4.6399999999999997</v>
      </c>
      <c r="E244" t="str" cm="1">
        <f t="array" ref="E244">_xlfn.IFS(D244&lt;5.7,"Normal",D244&lt;=6.4,"Prediabetes",D244&gt;=6.5,"Diabetes")</f>
        <v>Normal</v>
      </c>
      <c r="F244" s="3" t="s">
        <v>2382</v>
      </c>
      <c r="G244" s="3" t="s">
        <v>2379</v>
      </c>
      <c r="H244" s="3" t="s">
        <v>2379</v>
      </c>
      <c r="I244" s="1">
        <v>1</v>
      </c>
      <c r="J244">
        <v>1</v>
      </c>
      <c r="K244" s="3" t="s">
        <v>2382</v>
      </c>
      <c r="P244" s="3"/>
    </row>
    <row r="245" spans="1:16" x14ac:dyDescent="0.25">
      <c r="A245" s="3" t="s">
        <v>2127</v>
      </c>
      <c r="B245">
        <v>31.065000000000001</v>
      </c>
      <c r="C245" t="str" cm="1">
        <f t="array" ref="C245">_xlfn.IFS(B245&lt;=18.5,  "Underweight",B245&lt;=24.9,"Normal weight",B245&lt;=29.9, "Over weight",B245&gt;=30,"Obesity")</f>
        <v>Obesity</v>
      </c>
      <c r="D245">
        <v>5.05</v>
      </c>
      <c r="E245" t="str" cm="1">
        <f t="array" ref="E245">_xlfn.IFS(D245&lt;5.7,"Normal",D245&lt;=6.4,"Prediabetes",D245&gt;=6.5,"Diabetes")</f>
        <v>Normal</v>
      </c>
      <c r="F245" s="3" t="s">
        <v>2379</v>
      </c>
      <c r="G245" s="3" t="s">
        <v>2379</v>
      </c>
      <c r="H245" s="3" t="s">
        <v>2379</v>
      </c>
      <c r="I245" s="1">
        <v>1</v>
      </c>
      <c r="J245">
        <v>1</v>
      </c>
      <c r="K245" s="3" t="s">
        <v>2382</v>
      </c>
      <c r="P245" s="3"/>
    </row>
    <row r="246" spans="1:16" x14ac:dyDescent="0.25">
      <c r="A246" s="3" t="s">
        <v>2126</v>
      </c>
      <c r="B246">
        <v>23.55</v>
      </c>
      <c r="C246" t="str" cm="1">
        <f t="array" ref="C246">_xlfn.IFS(B246&lt;=18.5,  "Underweight",B246&lt;=24.9,"Normal weight",B246&lt;=29.9, "Over weight",B246&gt;=30,"Obesity")</f>
        <v>Normal weight</v>
      </c>
      <c r="D246">
        <v>10.38</v>
      </c>
      <c r="E246" t="str" cm="1">
        <f t="array" ref="E246">_xlfn.IFS(D246&lt;5.7,"Normal",D246&lt;=6.4,"Prediabetes",D246&gt;=6.5,"Diabetes")</f>
        <v>Diabetes</v>
      </c>
      <c r="F246" s="3" t="s">
        <v>2379</v>
      </c>
      <c r="G246" s="3" t="s">
        <v>2379</v>
      </c>
      <c r="H246" s="3" t="s">
        <v>2379</v>
      </c>
      <c r="I246" s="1" t="s">
        <v>2380</v>
      </c>
      <c r="J246">
        <v>0</v>
      </c>
      <c r="K246" s="3" t="s">
        <v>2382</v>
      </c>
      <c r="P246" s="3"/>
    </row>
    <row r="247" spans="1:16" x14ac:dyDescent="0.25">
      <c r="A247" s="3" t="s">
        <v>2125</v>
      </c>
      <c r="B247">
        <v>30.18</v>
      </c>
      <c r="C247" t="str" cm="1">
        <f t="array" ref="C247">_xlfn.IFS(B247&lt;=18.5,  "Underweight",B247&lt;=24.9,"Normal weight",B247&lt;=29.9, "Over weight",B247&gt;=30,"Obesity")</f>
        <v>Obesity</v>
      </c>
      <c r="D247">
        <v>8.31</v>
      </c>
      <c r="E247" t="str" cm="1">
        <f t="array" ref="E247">_xlfn.IFS(D247&lt;5.7,"Normal",D247&lt;=6.4,"Prediabetes",D247&gt;=6.5,"Diabetes")</f>
        <v>Diabetes</v>
      </c>
      <c r="F247" s="3" t="s">
        <v>2382</v>
      </c>
      <c r="G247" s="3" t="s">
        <v>2379</v>
      </c>
      <c r="H247" s="3" t="s">
        <v>2379</v>
      </c>
      <c r="I247" s="1">
        <v>1</v>
      </c>
      <c r="J247">
        <v>1</v>
      </c>
      <c r="K247" s="3" t="s">
        <v>2382</v>
      </c>
      <c r="P247" s="3"/>
    </row>
    <row r="248" spans="1:16" x14ac:dyDescent="0.25">
      <c r="A248" s="3" t="s">
        <v>2124</v>
      </c>
      <c r="B248">
        <v>29.94</v>
      </c>
      <c r="C248" t="s">
        <v>10716</v>
      </c>
      <c r="D248">
        <v>7.59</v>
      </c>
      <c r="E248" t="str" cm="1">
        <f t="array" ref="E248">_xlfn.IFS(D248&lt;5.7,"Normal",D248&lt;=6.4,"Prediabetes",D248&gt;=6.5,"Diabetes")</f>
        <v>Diabetes</v>
      </c>
      <c r="F248" s="3" t="s">
        <v>2379</v>
      </c>
      <c r="G248" s="3" t="s">
        <v>2379</v>
      </c>
      <c r="H248" s="3" t="s">
        <v>2379</v>
      </c>
      <c r="I248" s="1" t="s">
        <v>2380</v>
      </c>
      <c r="J248">
        <v>0</v>
      </c>
      <c r="K248" s="3" t="s">
        <v>2382</v>
      </c>
      <c r="P248" s="3"/>
    </row>
    <row r="249" spans="1:16" x14ac:dyDescent="0.25">
      <c r="A249" s="3" t="s">
        <v>2123</v>
      </c>
      <c r="B249">
        <v>31.4</v>
      </c>
      <c r="C249" t="str" cm="1">
        <f t="array" ref="C249">_xlfn.IFS(B249&lt;=18.5,  "Underweight",B249&lt;=24.9,"Normal weight",B249&lt;=29.9, "Over weight",B249&gt;=30,"Obesity")</f>
        <v>Obesity</v>
      </c>
      <c r="D249">
        <v>5.49</v>
      </c>
      <c r="E249" t="str" cm="1">
        <f t="array" ref="E249">_xlfn.IFS(D249&lt;5.7,"Normal",D249&lt;=6.4,"Prediabetes",D249&gt;=6.5,"Diabetes")</f>
        <v>Normal</v>
      </c>
      <c r="F249" s="3" t="s">
        <v>2379</v>
      </c>
      <c r="G249" s="3" t="s">
        <v>2379</v>
      </c>
      <c r="H249" s="3" t="s">
        <v>2379</v>
      </c>
      <c r="I249" s="1" t="s">
        <v>2380</v>
      </c>
      <c r="J249">
        <v>0</v>
      </c>
      <c r="K249" s="3" t="s">
        <v>2382</v>
      </c>
      <c r="P249" s="3"/>
    </row>
    <row r="250" spans="1:16" x14ac:dyDescent="0.25">
      <c r="A250" s="3" t="s">
        <v>2122</v>
      </c>
      <c r="B250">
        <v>53.06</v>
      </c>
      <c r="C250" t="str" cm="1">
        <f t="array" ref="C250">_xlfn.IFS(B250&lt;=18.5,  "Underweight",B250&lt;=24.9,"Normal weight",B250&lt;=29.9, "Over weight",B250&gt;=30,"Obesity")</f>
        <v>Obesity</v>
      </c>
      <c r="D250">
        <v>11.68</v>
      </c>
      <c r="E250" t="str" cm="1">
        <f t="array" ref="E250">_xlfn.IFS(D250&lt;5.7,"Normal",D250&lt;=6.4,"Prediabetes",D250&gt;=6.5,"Diabetes")</f>
        <v>Diabetes</v>
      </c>
      <c r="F250" s="3" t="s">
        <v>2379</v>
      </c>
      <c r="G250" s="3" t="s">
        <v>2379</v>
      </c>
      <c r="H250" s="3" t="s">
        <v>2379</v>
      </c>
      <c r="I250" s="1" t="s">
        <v>2380</v>
      </c>
      <c r="J250">
        <v>0</v>
      </c>
      <c r="K250" s="3" t="s">
        <v>2382</v>
      </c>
      <c r="P250" s="3"/>
    </row>
    <row r="251" spans="1:16" x14ac:dyDescent="0.25">
      <c r="A251" s="3" t="s">
        <v>2121</v>
      </c>
      <c r="B251">
        <v>30.25</v>
      </c>
      <c r="C251" t="str" cm="1">
        <f t="array" ref="C251">_xlfn.IFS(B251&lt;=18.5,  "Underweight",B251&lt;=24.9,"Normal weight",B251&lt;=29.9, "Over weight",B251&gt;=30,"Obesity")</f>
        <v>Obesity</v>
      </c>
      <c r="D251">
        <v>4.1900000000000004</v>
      </c>
      <c r="E251" t="str" cm="1">
        <f t="array" ref="E251">_xlfn.IFS(D251&lt;5.7,"Normal",D251&lt;=6.4,"Prediabetes",D251&gt;=6.5,"Diabetes")</f>
        <v>Normal</v>
      </c>
      <c r="F251" s="3" t="s">
        <v>2379</v>
      </c>
      <c r="G251" s="3" t="s">
        <v>2379</v>
      </c>
      <c r="H251" s="3" t="s">
        <v>2379</v>
      </c>
      <c r="I251" s="1">
        <v>2</v>
      </c>
      <c r="J251">
        <v>2</v>
      </c>
      <c r="K251" s="3" t="s">
        <v>2382</v>
      </c>
      <c r="P251" s="3"/>
    </row>
    <row r="252" spans="1:16" x14ac:dyDescent="0.25">
      <c r="A252" s="3" t="s">
        <v>2120</v>
      </c>
      <c r="B252">
        <v>46.68</v>
      </c>
      <c r="C252" t="str" cm="1">
        <f t="array" ref="C252">_xlfn.IFS(B252&lt;=18.5,  "Underweight",B252&lt;=24.9,"Normal weight",B252&lt;=29.9, "Over weight",B252&gt;=30,"Obesity")</f>
        <v>Obesity</v>
      </c>
      <c r="D252">
        <v>4.01</v>
      </c>
      <c r="E252" t="str" cm="1">
        <f t="array" ref="E252">_xlfn.IFS(D252&lt;5.7,"Normal",D252&lt;=6.4,"Prediabetes",D252&gt;=6.5,"Diabetes")</f>
        <v>Normal</v>
      </c>
      <c r="F252" s="3" t="s">
        <v>2379</v>
      </c>
      <c r="G252" s="3" t="s">
        <v>2379</v>
      </c>
      <c r="H252" s="3" t="s">
        <v>2379</v>
      </c>
      <c r="I252" s="1" t="s">
        <v>2380</v>
      </c>
      <c r="J252">
        <v>0</v>
      </c>
      <c r="K252" s="3" t="s">
        <v>2382</v>
      </c>
      <c r="P252" s="3"/>
    </row>
    <row r="253" spans="1:16" x14ac:dyDescent="0.25">
      <c r="A253" s="3" t="s">
        <v>2119</v>
      </c>
      <c r="B253">
        <v>30.4</v>
      </c>
      <c r="C253" t="str" cm="1">
        <f t="array" ref="C253">_xlfn.IFS(B253&lt;=18.5,  "Underweight",B253&lt;=24.9,"Normal weight",B253&lt;=29.9, "Over weight",B253&gt;=30,"Obesity")</f>
        <v>Obesity</v>
      </c>
      <c r="D253">
        <v>5.91</v>
      </c>
      <c r="E253" t="str" cm="1">
        <f t="array" ref="E253">_xlfn.IFS(D253&lt;5.7,"Normal",D253&lt;=6.4,"Prediabetes",D253&gt;=6.5,"Diabetes")</f>
        <v>Prediabetes</v>
      </c>
      <c r="F253" s="3" t="s">
        <v>2379</v>
      </c>
      <c r="G253" s="3" t="s">
        <v>2381</v>
      </c>
      <c r="H253" s="3" t="s">
        <v>2379</v>
      </c>
      <c r="I253" s="1">
        <v>2</v>
      </c>
      <c r="J253">
        <v>2</v>
      </c>
      <c r="K253" s="3" t="s">
        <v>2382</v>
      </c>
      <c r="P253" s="3"/>
    </row>
    <row r="254" spans="1:16" x14ac:dyDescent="0.25">
      <c r="A254" s="3" t="s">
        <v>2118</v>
      </c>
      <c r="B254">
        <v>30.2</v>
      </c>
      <c r="C254" t="str" cm="1">
        <f t="array" ref="C254">_xlfn.IFS(B254&lt;=18.5,  "Underweight",B254&lt;=24.9,"Normal weight",B254&lt;=29.9, "Over weight",B254&gt;=30,"Obesity")</f>
        <v>Obesity</v>
      </c>
      <c r="D254">
        <v>4.47</v>
      </c>
      <c r="E254" t="str" cm="1">
        <f t="array" ref="E254">_xlfn.IFS(D254&lt;5.7,"Normal",D254&lt;=6.4,"Prediabetes",D254&gt;=6.5,"Diabetes")</f>
        <v>Normal</v>
      </c>
      <c r="F254" s="3" t="s">
        <v>2382</v>
      </c>
      <c r="G254" s="3" t="s">
        <v>2379</v>
      </c>
      <c r="H254" s="3" t="s">
        <v>2382</v>
      </c>
      <c r="I254" s="1">
        <v>1</v>
      </c>
      <c r="J254">
        <v>1</v>
      </c>
      <c r="K254" s="3" t="s">
        <v>2382</v>
      </c>
      <c r="P254" s="3"/>
    </row>
    <row r="255" spans="1:16" x14ac:dyDescent="0.25">
      <c r="A255" s="3" t="s">
        <v>2117</v>
      </c>
      <c r="B255">
        <v>51.18</v>
      </c>
      <c r="C255" t="str" cm="1">
        <f t="array" ref="C255">_xlfn.IFS(B255&lt;=18.5,  "Underweight",B255&lt;=24.9,"Normal weight",B255&lt;=29.9, "Over weight",B255&gt;=30,"Obesity")</f>
        <v>Obesity</v>
      </c>
      <c r="D255">
        <v>4.5599999999999996</v>
      </c>
      <c r="E255" t="str" cm="1">
        <f t="array" ref="E255">_xlfn.IFS(D255&lt;5.7,"Normal",D255&lt;=6.4,"Prediabetes",D255&gt;=6.5,"Diabetes")</f>
        <v>Normal</v>
      </c>
      <c r="F255" s="3" t="s">
        <v>2382</v>
      </c>
      <c r="G255" s="3" t="s">
        <v>2381</v>
      </c>
      <c r="H255" s="3" t="s">
        <v>2379</v>
      </c>
      <c r="I255" s="1">
        <v>2</v>
      </c>
      <c r="J255">
        <v>2</v>
      </c>
      <c r="K255" s="3" t="s">
        <v>2382</v>
      </c>
      <c r="P255" s="3"/>
    </row>
    <row r="256" spans="1:16" x14ac:dyDescent="0.25">
      <c r="A256" s="3" t="s">
        <v>2116</v>
      </c>
      <c r="B256">
        <v>22.18</v>
      </c>
      <c r="C256" t="str" cm="1">
        <f t="array" ref="C256">_xlfn.IFS(B256&lt;=18.5,  "Underweight",B256&lt;=24.9,"Normal weight",B256&lt;=29.9, "Over weight",B256&gt;=30,"Obesity")</f>
        <v>Normal weight</v>
      </c>
      <c r="D256">
        <v>9.9</v>
      </c>
      <c r="E256" t="str" cm="1">
        <f t="array" ref="E256">_xlfn.IFS(D256&lt;5.7,"Normal",D256&lt;=6.4,"Prediabetes",D256&gt;=6.5,"Diabetes")</f>
        <v>Diabetes</v>
      </c>
      <c r="F256" s="3" t="s">
        <v>2379</v>
      </c>
      <c r="G256" s="3" t="s">
        <v>2379</v>
      </c>
      <c r="H256" s="3" t="s">
        <v>2379</v>
      </c>
      <c r="I256" s="1" t="s">
        <v>2380</v>
      </c>
      <c r="J256">
        <v>0</v>
      </c>
      <c r="K256" s="3" t="s">
        <v>2382</v>
      </c>
      <c r="P256" s="3"/>
    </row>
    <row r="257" spans="1:16" x14ac:dyDescent="0.25">
      <c r="A257" s="3" t="s">
        <v>2115</v>
      </c>
      <c r="B257">
        <v>31.92</v>
      </c>
      <c r="C257" t="str" cm="1">
        <f t="array" ref="C257">_xlfn.IFS(B257&lt;=18.5,  "Underweight",B257&lt;=24.9,"Normal weight",B257&lt;=29.9, "Over weight",B257&gt;=30,"Obesity")</f>
        <v>Obesity</v>
      </c>
      <c r="D257">
        <v>5.1100000000000003</v>
      </c>
      <c r="E257" t="str" cm="1">
        <f t="array" ref="E257">_xlfn.IFS(D257&lt;5.7,"Normal",D257&lt;=6.4,"Prediabetes",D257&gt;=6.5,"Diabetes")</f>
        <v>Normal</v>
      </c>
      <c r="F257" s="3" t="s">
        <v>2379</v>
      </c>
      <c r="G257" s="3" t="s">
        <v>2379</v>
      </c>
      <c r="H257" s="3" t="s">
        <v>2382</v>
      </c>
      <c r="I257" s="1">
        <v>1</v>
      </c>
      <c r="J257">
        <v>1</v>
      </c>
      <c r="K257" s="3" t="s">
        <v>2382</v>
      </c>
      <c r="P257" s="3"/>
    </row>
    <row r="258" spans="1:16" x14ac:dyDescent="0.25">
      <c r="A258" s="3" t="s">
        <v>2114</v>
      </c>
      <c r="B258">
        <v>31.73</v>
      </c>
      <c r="C258" t="str" cm="1">
        <f t="array" ref="C258">_xlfn.IFS(B258&lt;=18.5,  "Underweight",B258&lt;=24.9,"Normal weight",B258&lt;=29.9, "Over weight",B258&gt;=30,"Obesity")</f>
        <v>Obesity</v>
      </c>
      <c r="D258">
        <v>5.73</v>
      </c>
      <c r="E258" t="str" cm="1">
        <f t="array" ref="E258">_xlfn.IFS(D258&lt;5.7,"Normal",D258&lt;=6.4,"Prediabetes",D258&gt;=6.5,"Diabetes")</f>
        <v>Prediabetes</v>
      </c>
      <c r="F258" s="3" t="s">
        <v>2379</v>
      </c>
      <c r="G258" s="3" t="s">
        <v>2381</v>
      </c>
      <c r="H258" s="3" t="s">
        <v>2379</v>
      </c>
      <c r="I258" s="1">
        <v>1</v>
      </c>
      <c r="J258">
        <v>1</v>
      </c>
      <c r="K258" s="3" t="s">
        <v>2382</v>
      </c>
      <c r="P258" s="3"/>
    </row>
    <row r="259" spans="1:16" x14ac:dyDescent="0.25">
      <c r="A259" s="3" t="s">
        <v>2113</v>
      </c>
      <c r="B259">
        <v>45.52</v>
      </c>
      <c r="C259" t="str" cm="1">
        <f t="array" ref="C259">_xlfn.IFS(B259&lt;=18.5,  "Underweight",B259&lt;=24.9,"Normal weight",B259&lt;=29.9, "Over weight",B259&gt;=30,"Obesity")</f>
        <v>Obesity</v>
      </c>
      <c r="D259">
        <v>6.04</v>
      </c>
      <c r="E259" t="str" cm="1">
        <f t="array" ref="E259">_xlfn.IFS(D259&lt;5.7,"Normal",D259&lt;=6.4,"Prediabetes",D259&gt;=6.5,"Diabetes")</f>
        <v>Prediabetes</v>
      </c>
      <c r="F259" s="3" t="s">
        <v>2379</v>
      </c>
      <c r="G259" s="3" t="s">
        <v>2379</v>
      </c>
      <c r="H259" s="3" t="s">
        <v>2382</v>
      </c>
      <c r="I259" s="1">
        <v>1</v>
      </c>
      <c r="J259">
        <v>1</v>
      </c>
      <c r="K259" s="3" t="s">
        <v>2382</v>
      </c>
      <c r="P259" s="3"/>
    </row>
    <row r="260" spans="1:16" x14ac:dyDescent="0.25">
      <c r="A260" s="3" t="s">
        <v>2112</v>
      </c>
      <c r="B260">
        <v>52.81</v>
      </c>
      <c r="C260" t="str" cm="1">
        <f t="array" ref="C260">_xlfn.IFS(B260&lt;=18.5,  "Underweight",B260&lt;=24.9,"Normal weight",B260&lt;=29.9, "Over weight",B260&gt;=30,"Obesity")</f>
        <v>Obesity</v>
      </c>
      <c r="D260">
        <v>5.19</v>
      </c>
      <c r="E260" t="str" cm="1">
        <f t="array" ref="E260">_xlfn.IFS(D260&lt;5.7,"Normal",D260&lt;=6.4,"Prediabetes",D260&gt;=6.5,"Diabetes")</f>
        <v>Normal</v>
      </c>
      <c r="F260" s="3" t="s">
        <v>2379</v>
      </c>
      <c r="G260" s="3" t="s">
        <v>2379</v>
      </c>
      <c r="H260" s="3" t="s">
        <v>2382</v>
      </c>
      <c r="I260" s="1">
        <v>1</v>
      </c>
      <c r="J260">
        <v>1</v>
      </c>
      <c r="K260" s="3" t="s">
        <v>2382</v>
      </c>
      <c r="P260" s="3"/>
    </row>
    <row r="261" spans="1:16" x14ac:dyDescent="0.25">
      <c r="A261" s="3" t="s">
        <v>2111</v>
      </c>
      <c r="B261">
        <v>33.58</v>
      </c>
      <c r="C261" t="str" cm="1">
        <f t="array" ref="C261">_xlfn.IFS(B261&lt;=18.5,  "Underweight",B261&lt;=24.9,"Normal weight",B261&lt;=29.9, "Over weight",B261&gt;=30,"Obesity")</f>
        <v>Obesity</v>
      </c>
      <c r="D261">
        <v>5.56</v>
      </c>
      <c r="E261" t="str" cm="1">
        <f t="array" ref="E261">_xlfn.IFS(D261&lt;5.7,"Normal",D261&lt;=6.4,"Prediabetes",D261&gt;=6.5,"Diabetes")</f>
        <v>Normal</v>
      </c>
      <c r="F261" s="3" t="s">
        <v>2379</v>
      </c>
      <c r="G261" s="3" t="s">
        <v>2379</v>
      </c>
      <c r="H261" s="3" t="s">
        <v>2379</v>
      </c>
      <c r="I261" s="1">
        <v>1</v>
      </c>
      <c r="J261">
        <v>1</v>
      </c>
      <c r="K261" s="3" t="s">
        <v>2382</v>
      </c>
      <c r="P261" s="3"/>
    </row>
    <row r="262" spans="1:16" x14ac:dyDescent="0.25">
      <c r="A262" s="3" t="s">
        <v>2110</v>
      </c>
      <c r="B262">
        <v>30.684999999999999</v>
      </c>
      <c r="C262" t="str" cm="1">
        <f t="array" ref="C262">_xlfn.IFS(B262&lt;=18.5,  "Underweight",B262&lt;=24.9,"Normal weight",B262&lt;=29.9, "Over weight",B262&gt;=30,"Obesity")</f>
        <v>Obesity</v>
      </c>
      <c r="D262">
        <v>8.23</v>
      </c>
      <c r="E262" t="str" cm="1">
        <f t="array" ref="E262">_xlfn.IFS(D262&lt;5.7,"Normal",D262&lt;=6.4,"Prediabetes",D262&gt;=6.5,"Diabetes")</f>
        <v>Diabetes</v>
      </c>
      <c r="F262" s="3" t="s">
        <v>2379</v>
      </c>
      <c r="G262" s="3" t="s">
        <v>2379</v>
      </c>
      <c r="H262" s="3" t="s">
        <v>2379</v>
      </c>
      <c r="I262" s="1" t="s">
        <v>2380</v>
      </c>
      <c r="J262">
        <v>0</v>
      </c>
      <c r="K262" s="3" t="s">
        <v>2382</v>
      </c>
      <c r="P262" s="3"/>
    </row>
    <row r="263" spans="1:16" x14ac:dyDescent="0.25">
      <c r="A263" s="3" t="s">
        <v>2109</v>
      </c>
      <c r="B263">
        <v>37.524999999999999</v>
      </c>
      <c r="C263" t="str" cm="1">
        <f t="array" ref="C263">_xlfn.IFS(B263&lt;=18.5,  "Underweight",B263&lt;=24.9,"Normal weight",B263&lt;=29.9, "Over weight",B263&gt;=30,"Obesity")</f>
        <v>Obesity</v>
      </c>
      <c r="D263">
        <v>9.0299999999999994</v>
      </c>
      <c r="E263" t="str" cm="1">
        <f t="array" ref="E263">_xlfn.IFS(D263&lt;5.7,"Normal",D263&lt;=6.4,"Prediabetes",D263&gt;=6.5,"Diabetes")</f>
        <v>Diabetes</v>
      </c>
      <c r="F263" s="3" t="s">
        <v>2382</v>
      </c>
      <c r="G263" s="3" t="s">
        <v>2379</v>
      </c>
      <c r="H263" s="3" t="s">
        <v>2379</v>
      </c>
      <c r="I263" s="1">
        <v>2</v>
      </c>
      <c r="J263">
        <v>2</v>
      </c>
      <c r="K263" s="3" t="s">
        <v>2379</v>
      </c>
      <c r="P263" s="3"/>
    </row>
    <row r="264" spans="1:16" x14ac:dyDescent="0.25">
      <c r="A264" s="3" t="s">
        <v>2108</v>
      </c>
      <c r="B264">
        <v>34.5</v>
      </c>
      <c r="C264" t="str" cm="1">
        <f t="array" ref="C264">_xlfn.IFS(B264&lt;=18.5,  "Underweight",B264&lt;=24.9,"Normal weight",B264&lt;=29.9, "Over weight",B264&gt;=30,"Obesity")</f>
        <v>Obesity</v>
      </c>
      <c r="D264">
        <v>4.07</v>
      </c>
      <c r="E264" t="str" cm="1">
        <f t="array" ref="E264">_xlfn.IFS(D264&lt;5.7,"Normal",D264&lt;=6.4,"Prediabetes",D264&gt;=6.5,"Diabetes")</f>
        <v>Normal</v>
      </c>
      <c r="F264" s="3" t="s">
        <v>2382</v>
      </c>
      <c r="G264" s="3" t="s">
        <v>2379</v>
      </c>
      <c r="H264" s="3" t="s">
        <v>2379</v>
      </c>
      <c r="I264" s="1" t="s">
        <v>2380</v>
      </c>
      <c r="J264">
        <v>0</v>
      </c>
      <c r="K264" s="3" t="s">
        <v>2382</v>
      </c>
      <c r="P264" s="3"/>
    </row>
    <row r="265" spans="1:16" x14ac:dyDescent="0.25">
      <c r="A265" s="3" t="s">
        <v>2107</v>
      </c>
      <c r="B265">
        <v>28.16</v>
      </c>
      <c r="C265" t="str" cm="1">
        <f t="array" ref="C265">_xlfn.IFS(B265&lt;=18.5,  "Underweight",B265&lt;=24.9,"Normal weight",B265&lt;=29.9, "Over weight",B265&gt;=30,"Obesity")</f>
        <v>Over weight</v>
      </c>
      <c r="D265">
        <v>5.77</v>
      </c>
      <c r="E265" t="str" cm="1">
        <f t="array" ref="E265">_xlfn.IFS(D265&lt;5.7,"Normal",D265&lt;=6.4,"Prediabetes",D265&gt;=6.5,"Diabetes")</f>
        <v>Prediabetes</v>
      </c>
      <c r="F265" s="3" t="s">
        <v>2379</v>
      </c>
      <c r="G265" s="3" t="s">
        <v>2379</v>
      </c>
      <c r="H265" s="3" t="s">
        <v>2379</v>
      </c>
      <c r="I265" s="1">
        <v>2</v>
      </c>
      <c r="J265">
        <v>2</v>
      </c>
      <c r="K265" s="3" t="s">
        <v>2382</v>
      </c>
      <c r="P265" s="3"/>
    </row>
    <row r="266" spans="1:16" x14ac:dyDescent="0.25">
      <c r="A266" s="3" t="s">
        <v>2106</v>
      </c>
      <c r="B266">
        <v>30.02</v>
      </c>
      <c r="C266" t="str" cm="1">
        <f t="array" ref="C266">_xlfn.IFS(B266&lt;=18.5,  "Underweight",B266&lt;=24.9,"Normal weight",B266&lt;=29.9, "Over weight",B266&gt;=30,"Obesity")</f>
        <v>Obesity</v>
      </c>
      <c r="D266">
        <v>5.98</v>
      </c>
      <c r="E266" t="str" cm="1">
        <f t="array" ref="E266">_xlfn.IFS(D266&lt;5.7,"Normal",D266&lt;=6.4,"Prediabetes",D266&gt;=6.5,"Diabetes")</f>
        <v>Prediabetes</v>
      </c>
      <c r="F266" s="3" t="s">
        <v>2379</v>
      </c>
      <c r="G266" s="3" t="s">
        <v>2379</v>
      </c>
      <c r="H266" s="3" t="s">
        <v>2382</v>
      </c>
      <c r="I266" s="1">
        <v>1</v>
      </c>
      <c r="J266">
        <v>1</v>
      </c>
      <c r="K266" s="3" t="s">
        <v>2382</v>
      </c>
      <c r="P266" s="3"/>
    </row>
    <row r="267" spans="1:16" x14ac:dyDescent="0.25">
      <c r="A267" s="3" t="s">
        <v>2105</v>
      </c>
      <c r="B267">
        <v>37.82</v>
      </c>
      <c r="C267" t="str" cm="1">
        <f t="array" ref="C267">_xlfn.IFS(B267&lt;=18.5,  "Underweight",B267&lt;=24.9,"Normal weight",B267&lt;=29.9, "Over weight",B267&gt;=30,"Obesity")</f>
        <v>Obesity</v>
      </c>
      <c r="D267">
        <v>6.01</v>
      </c>
      <c r="E267" t="str" cm="1">
        <f t="array" ref="E267">_xlfn.IFS(D267&lt;5.7,"Normal",D267&lt;=6.4,"Prediabetes",D267&gt;=6.5,"Diabetes")</f>
        <v>Prediabetes</v>
      </c>
      <c r="F267" s="3" t="s">
        <v>2379</v>
      </c>
      <c r="G267" s="3" t="s">
        <v>2379</v>
      </c>
      <c r="H267" s="3" t="s">
        <v>2379</v>
      </c>
      <c r="I267" s="1" t="s">
        <v>2380</v>
      </c>
      <c r="J267">
        <v>0</v>
      </c>
      <c r="K267" s="3" t="s">
        <v>2382</v>
      </c>
      <c r="P267" s="3"/>
    </row>
    <row r="268" spans="1:16" x14ac:dyDescent="0.25">
      <c r="A268" s="3" t="s">
        <v>2104</v>
      </c>
      <c r="B268">
        <v>33.14</v>
      </c>
      <c r="C268" t="str" cm="1">
        <f t="array" ref="C268">_xlfn.IFS(B268&lt;=18.5,  "Underweight",B268&lt;=24.9,"Normal weight",B268&lt;=29.9, "Over weight",B268&gt;=30,"Obesity")</f>
        <v>Obesity</v>
      </c>
      <c r="D268">
        <v>5.67</v>
      </c>
      <c r="E268" t="str" cm="1">
        <f t="array" ref="E268">_xlfn.IFS(D268&lt;5.7,"Normal",D268&lt;=6.4,"Prediabetes",D268&gt;=6.5,"Diabetes")</f>
        <v>Normal</v>
      </c>
      <c r="F268" s="3" t="s">
        <v>2382</v>
      </c>
      <c r="G268" s="3" t="s">
        <v>2379</v>
      </c>
      <c r="H268" s="3" t="s">
        <v>2379</v>
      </c>
      <c r="I268" s="1" t="s">
        <v>2380</v>
      </c>
      <c r="J268">
        <v>0</v>
      </c>
      <c r="K268" s="3" t="s">
        <v>2382</v>
      </c>
      <c r="P268" s="3"/>
    </row>
    <row r="269" spans="1:16" x14ac:dyDescent="0.25">
      <c r="A269" s="3" t="s">
        <v>2103</v>
      </c>
      <c r="B269">
        <v>25.14</v>
      </c>
      <c r="C269" t="str" cm="1">
        <f t="array" ref="C269">_xlfn.IFS(B269&lt;=18.5,  "Underweight",B269&lt;=24.9,"Normal weight",B269&lt;=29.9, "Over weight",B269&gt;=30,"Obesity")</f>
        <v>Over weight</v>
      </c>
      <c r="D269">
        <v>6.02</v>
      </c>
      <c r="E269" t="str" cm="1">
        <f t="array" ref="E269">_xlfn.IFS(D269&lt;5.7,"Normal",D269&lt;=6.4,"Prediabetes",D269&gt;=6.5,"Diabetes")</f>
        <v>Prediabetes</v>
      </c>
      <c r="F269" s="3" t="s">
        <v>2382</v>
      </c>
      <c r="G269" s="3" t="s">
        <v>2379</v>
      </c>
      <c r="H269" s="3" t="s">
        <v>2382</v>
      </c>
      <c r="I269" s="1">
        <v>1</v>
      </c>
      <c r="J269">
        <v>1</v>
      </c>
      <c r="K269" s="3" t="s">
        <v>2382</v>
      </c>
      <c r="P269" s="3"/>
    </row>
    <row r="270" spans="1:16" x14ac:dyDescent="0.25">
      <c r="A270" s="3" t="s">
        <v>2102</v>
      </c>
      <c r="B270">
        <v>20.18</v>
      </c>
      <c r="C270" t="str" cm="1">
        <f t="array" ref="C270">_xlfn.IFS(B270&lt;=18.5,  "Underweight",B270&lt;=24.9,"Normal weight",B270&lt;=29.9, "Over weight",B270&gt;=30,"Obesity")</f>
        <v>Normal weight</v>
      </c>
      <c r="D270">
        <v>11.19</v>
      </c>
      <c r="E270" t="str" cm="1">
        <f t="array" ref="E270">_xlfn.IFS(D270&lt;5.7,"Normal",D270&lt;=6.4,"Prediabetes",D270&gt;=6.5,"Diabetes")</f>
        <v>Diabetes</v>
      </c>
      <c r="F270" s="3" t="s">
        <v>2379</v>
      </c>
      <c r="G270" s="3" t="s">
        <v>2379</v>
      </c>
      <c r="H270" s="3" t="s">
        <v>2379</v>
      </c>
      <c r="I270" s="1" t="s">
        <v>2380</v>
      </c>
      <c r="J270">
        <v>0</v>
      </c>
      <c r="K270" s="3" t="s">
        <v>2382</v>
      </c>
      <c r="P270" s="3"/>
    </row>
    <row r="271" spans="1:16" x14ac:dyDescent="0.25">
      <c r="A271" s="3" t="s">
        <v>2101</v>
      </c>
      <c r="B271">
        <v>44.36</v>
      </c>
      <c r="C271" t="str" cm="1">
        <f t="array" ref="C271">_xlfn.IFS(B271&lt;=18.5,  "Underweight",B271&lt;=24.9,"Normal weight",B271&lt;=29.9, "Over weight",B271&gt;=30,"Obesity")</f>
        <v>Obesity</v>
      </c>
      <c r="D271">
        <v>5.1100000000000003</v>
      </c>
      <c r="E271" t="str" cm="1">
        <f t="array" ref="E271">_xlfn.IFS(D271&lt;5.7,"Normal",D271&lt;=6.4,"Prediabetes",D271&gt;=6.5,"Diabetes")</f>
        <v>Normal</v>
      </c>
      <c r="F271" s="3" t="s">
        <v>2379</v>
      </c>
      <c r="G271" s="3" t="s">
        <v>2379</v>
      </c>
      <c r="H271" s="3" t="s">
        <v>2379</v>
      </c>
      <c r="I271" s="1" t="s">
        <v>2380</v>
      </c>
      <c r="J271">
        <v>0</v>
      </c>
      <c r="K271" s="3" t="s">
        <v>2382</v>
      </c>
      <c r="P271" s="3"/>
    </row>
    <row r="272" spans="1:16" x14ac:dyDescent="0.25">
      <c r="A272" s="3" t="s">
        <v>2100</v>
      </c>
      <c r="B272">
        <v>23.82</v>
      </c>
      <c r="C272" t="str" cm="1">
        <f t="array" ref="C272">_xlfn.IFS(B272&lt;=18.5,  "Underweight",B272&lt;=24.9,"Normal weight",B272&lt;=29.9, "Over weight",B272&gt;=30,"Obesity")</f>
        <v>Normal weight</v>
      </c>
      <c r="D272">
        <v>10.85</v>
      </c>
      <c r="E272" t="str" cm="1">
        <f t="array" ref="E272">_xlfn.IFS(D272&lt;5.7,"Normal",D272&lt;=6.4,"Prediabetes",D272&gt;=6.5,"Diabetes")</f>
        <v>Diabetes</v>
      </c>
      <c r="F272" s="3" t="s">
        <v>2382</v>
      </c>
      <c r="G272" s="3" t="s">
        <v>2379</v>
      </c>
      <c r="H272" s="3" t="s">
        <v>2379</v>
      </c>
      <c r="I272" s="1" t="s">
        <v>2380</v>
      </c>
      <c r="J272">
        <v>0</v>
      </c>
      <c r="K272" s="3" t="s">
        <v>2382</v>
      </c>
      <c r="P272" s="3"/>
    </row>
    <row r="273" spans="1:16" x14ac:dyDescent="0.25">
      <c r="A273" s="3" t="s">
        <v>2099</v>
      </c>
      <c r="B273">
        <v>45</v>
      </c>
      <c r="C273" t="str" cm="1">
        <f t="array" ref="C273">_xlfn.IFS(B273&lt;=18.5,  "Underweight",B273&lt;=24.9,"Normal weight",B273&lt;=29.9, "Over weight",B273&gt;=30,"Obesity")</f>
        <v>Obesity</v>
      </c>
      <c r="D273">
        <v>5.24</v>
      </c>
      <c r="E273" t="str" cm="1">
        <f t="array" ref="E273">_xlfn.IFS(D273&lt;5.7,"Normal",D273&lt;=6.4,"Prediabetes",D273&gt;=6.5,"Diabetes")</f>
        <v>Normal</v>
      </c>
      <c r="F273" s="3" t="s">
        <v>2382</v>
      </c>
      <c r="G273" s="3" t="s">
        <v>2379</v>
      </c>
      <c r="H273" s="3" t="s">
        <v>2379</v>
      </c>
      <c r="I273" s="1">
        <v>1</v>
      </c>
      <c r="J273">
        <v>1</v>
      </c>
      <c r="K273" s="3" t="s">
        <v>2382</v>
      </c>
      <c r="P273" s="3"/>
    </row>
    <row r="274" spans="1:16" x14ac:dyDescent="0.25">
      <c r="A274" s="3" t="s">
        <v>2098</v>
      </c>
      <c r="B274">
        <v>26.62</v>
      </c>
      <c r="C274" t="str" cm="1">
        <f t="array" ref="C274">_xlfn.IFS(B274&lt;=18.5,  "Underweight",B274&lt;=24.9,"Normal weight",B274&lt;=29.9, "Over weight",B274&gt;=30,"Obesity")</f>
        <v>Over weight</v>
      </c>
      <c r="D274">
        <v>10.08</v>
      </c>
      <c r="E274" t="str" cm="1">
        <f t="array" ref="E274">_xlfn.IFS(D274&lt;5.7,"Normal",D274&lt;=6.4,"Prediabetes",D274&gt;=6.5,"Diabetes")</f>
        <v>Diabetes</v>
      </c>
      <c r="F274" s="3" t="s">
        <v>2379</v>
      </c>
      <c r="G274" s="3" t="s">
        <v>2379</v>
      </c>
      <c r="H274" s="3" t="s">
        <v>2379</v>
      </c>
      <c r="I274" s="1" t="s">
        <v>2380</v>
      </c>
      <c r="J274">
        <v>0</v>
      </c>
      <c r="K274" s="3" t="s">
        <v>2382</v>
      </c>
      <c r="P274" s="3"/>
    </row>
    <row r="275" spans="1:16" x14ac:dyDescent="0.25">
      <c r="A275" s="3" t="s">
        <v>2097</v>
      </c>
      <c r="B275">
        <v>32.67</v>
      </c>
      <c r="C275" t="str" cm="1">
        <f t="array" ref="C275">_xlfn.IFS(B275&lt;=18.5,  "Underweight",B275&lt;=24.9,"Normal weight",B275&lt;=29.9, "Over weight",B275&gt;=30,"Obesity")</f>
        <v>Obesity</v>
      </c>
      <c r="D275">
        <v>10.97</v>
      </c>
      <c r="E275" t="str" cm="1">
        <f t="array" ref="E275">_xlfn.IFS(D275&lt;5.7,"Normal",D275&lt;=6.4,"Prediabetes",D275&gt;=6.5,"Diabetes")</f>
        <v>Diabetes</v>
      </c>
      <c r="F275" s="3" t="s">
        <v>2382</v>
      </c>
      <c r="G275" s="3" t="s">
        <v>2379</v>
      </c>
      <c r="H275" s="3" t="s">
        <v>2379</v>
      </c>
      <c r="I275" s="1" t="s">
        <v>2380</v>
      </c>
      <c r="J275">
        <v>0</v>
      </c>
      <c r="K275" s="3" t="s">
        <v>2382</v>
      </c>
      <c r="P275" s="3"/>
    </row>
    <row r="276" spans="1:16" x14ac:dyDescent="0.25">
      <c r="A276" s="3" t="s">
        <v>2096</v>
      </c>
      <c r="B276">
        <v>44.44</v>
      </c>
      <c r="C276" t="str" cm="1">
        <f t="array" ref="C276">_xlfn.IFS(B276&lt;=18.5,  "Underweight",B276&lt;=24.9,"Normal weight",B276&lt;=29.9, "Over weight",B276&gt;=30,"Obesity")</f>
        <v>Obesity</v>
      </c>
      <c r="D276">
        <v>4.9000000000000004</v>
      </c>
      <c r="E276" t="str" cm="1">
        <f t="array" ref="E276">_xlfn.IFS(D276&lt;5.7,"Normal",D276&lt;=6.4,"Prediabetes",D276&gt;=6.5,"Diabetes")</f>
        <v>Normal</v>
      </c>
      <c r="F276" s="3" t="s">
        <v>2382</v>
      </c>
      <c r="G276" s="3" t="s">
        <v>2379</v>
      </c>
      <c r="H276" s="3" t="s">
        <v>2379</v>
      </c>
      <c r="I276" s="1">
        <v>1</v>
      </c>
      <c r="J276">
        <v>1</v>
      </c>
      <c r="K276" s="3" t="s">
        <v>2382</v>
      </c>
      <c r="P276" s="3"/>
    </row>
    <row r="277" spans="1:16" x14ac:dyDescent="0.25">
      <c r="A277" s="3" t="s">
        <v>2095</v>
      </c>
      <c r="B277">
        <v>28.31</v>
      </c>
      <c r="C277" t="str" cm="1">
        <f t="array" ref="C277">_xlfn.IFS(B277&lt;=18.5,  "Underweight",B277&lt;=24.9,"Normal weight",B277&lt;=29.9, "Over weight",B277&gt;=30,"Obesity")</f>
        <v>Over weight</v>
      </c>
      <c r="D277">
        <v>5.33</v>
      </c>
      <c r="E277" t="str" cm="1">
        <f t="array" ref="E277">_xlfn.IFS(D277&lt;5.7,"Normal",D277&lt;=6.4,"Prediabetes",D277&gt;=6.5,"Diabetes")</f>
        <v>Normal</v>
      </c>
      <c r="F277" s="3" t="s">
        <v>2379</v>
      </c>
      <c r="G277" s="3" t="s">
        <v>2379</v>
      </c>
      <c r="H277" s="3" t="s">
        <v>2379</v>
      </c>
      <c r="I277" s="1" t="s">
        <v>2380</v>
      </c>
      <c r="J277">
        <v>0</v>
      </c>
      <c r="K277" s="3" t="s">
        <v>2382</v>
      </c>
      <c r="P277" s="3"/>
    </row>
    <row r="278" spans="1:16" x14ac:dyDescent="0.25">
      <c r="A278" s="3" t="s">
        <v>2094</v>
      </c>
      <c r="B278">
        <v>25.05</v>
      </c>
      <c r="C278" t="str" cm="1">
        <f t="array" ref="C278">_xlfn.IFS(B278&lt;=18.5,  "Underweight",B278&lt;=24.9,"Normal weight",B278&lt;=29.9, "Over weight",B278&gt;=30,"Obesity")</f>
        <v>Over weight</v>
      </c>
      <c r="D278">
        <v>4.6100000000000003</v>
      </c>
      <c r="E278" t="str" cm="1">
        <f t="array" ref="E278">_xlfn.IFS(D278&lt;5.7,"Normal",D278&lt;=6.4,"Prediabetes",D278&gt;=6.5,"Diabetes")</f>
        <v>Normal</v>
      </c>
      <c r="F278" s="3" t="s">
        <v>2379</v>
      </c>
      <c r="G278" s="3" t="s">
        <v>2379</v>
      </c>
      <c r="H278" s="3" t="s">
        <v>2379</v>
      </c>
      <c r="I278" s="1">
        <v>2</v>
      </c>
      <c r="J278">
        <v>2</v>
      </c>
      <c r="K278" s="3" t="s">
        <v>2382</v>
      </c>
      <c r="P278" s="3"/>
    </row>
    <row r="279" spans="1:16" x14ac:dyDescent="0.25">
      <c r="A279" s="3" t="s">
        <v>2093</v>
      </c>
      <c r="B279">
        <v>28.34</v>
      </c>
      <c r="C279" t="str" cm="1">
        <f t="array" ref="C279">_xlfn.IFS(B279&lt;=18.5,  "Underweight",B279&lt;=24.9,"Normal weight",B279&lt;=29.9, "Over weight",B279&gt;=30,"Obesity")</f>
        <v>Over weight</v>
      </c>
      <c r="D279">
        <v>8.18</v>
      </c>
      <c r="E279" t="str" cm="1">
        <f t="array" ref="E279">_xlfn.IFS(D279&lt;5.7,"Normal",D279&lt;=6.4,"Prediabetes",D279&gt;=6.5,"Diabetes")</f>
        <v>Diabetes</v>
      </c>
      <c r="F279" s="3" t="s">
        <v>2379</v>
      </c>
      <c r="G279" s="3" t="s">
        <v>2379</v>
      </c>
      <c r="H279" s="3" t="s">
        <v>2379</v>
      </c>
      <c r="I279" s="1" t="s">
        <v>2380</v>
      </c>
      <c r="J279">
        <v>0</v>
      </c>
      <c r="K279" s="3" t="s">
        <v>2382</v>
      </c>
      <c r="P279" s="3"/>
    </row>
    <row r="280" spans="1:16" x14ac:dyDescent="0.25">
      <c r="A280" s="3" t="s">
        <v>2092</v>
      </c>
      <c r="B280">
        <v>17.765000000000001</v>
      </c>
      <c r="C280" t="str" cm="1">
        <f t="array" ref="C280">_xlfn.IFS(B280&lt;=18.5,  "Underweight",B280&lt;=24.9,"Normal weight",B280&lt;=29.9, "Over weight",B280&gt;=30,"Obesity")</f>
        <v>Underweight</v>
      </c>
      <c r="D280">
        <v>5.62</v>
      </c>
      <c r="E280" t="str" cm="1">
        <f t="array" ref="E280">_xlfn.IFS(D280&lt;5.7,"Normal",D280&lt;=6.4,"Prediabetes",D280&gt;=6.5,"Diabetes")</f>
        <v>Normal</v>
      </c>
      <c r="F280" s="3" t="s">
        <v>2379</v>
      </c>
      <c r="G280" s="3" t="s">
        <v>2379</v>
      </c>
      <c r="H280" s="3" t="s">
        <v>2379</v>
      </c>
      <c r="I280" s="1" t="s">
        <v>2380</v>
      </c>
      <c r="J280">
        <v>0</v>
      </c>
      <c r="K280" s="3" t="s">
        <v>2382</v>
      </c>
      <c r="P280" s="3"/>
    </row>
    <row r="281" spans="1:16" x14ac:dyDescent="0.25">
      <c r="A281" s="3" t="s">
        <v>2091</v>
      </c>
      <c r="B281">
        <v>36.119999999999997</v>
      </c>
      <c r="C281" t="str" cm="1">
        <f t="array" ref="C281">_xlfn.IFS(B281&lt;=18.5,  "Underweight",B281&lt;=24.9,"Normal weight",B281&lt;=29.9, "Over weight",B281&gt;=30,"Obesity")</f>
        <v>Obesity</v>
      </c>
      <c r="D281">
        <v>5.82</v>
      </c>
      <c r="E281" t="str" cm="1">
        <f t="array" ref="E281">_xlfn.IFS(D281&lt;5.7,"Normal",D281&lt;=6.4,"Prediabetes",D281&gt;=6.5,"Diabetes")</f>
        <v>Prediabetes</v>
      </c>
      <c r="F281" s="3" t="s">
        <v>2379</v>
      </c>
      <c r="G281" s="3" t="s">
        <v>2379</v>
      </c>
      <c r="H281" s="3" t="s">
        <v>2379</v>
      </c>
      <c r="I281" s="1" t="s">
        <v>2380</v>
      </c>
      <c r="J281">
        <v>0</v>
      </c>
      <c r="K281" s="3" t="s">
        <v>2382</v>
      </c>
      <c r="P281" s="3"/>
    </row>
    <row r="282" spans="1:16" x14ac:dyDescent="0.25">
      <c r="A282" s="3" t="s">
        <v>2090</v>
      </c>
      <c r="B282">
        <v>23.19</v>
      </c>
      <c r="C282" t="str" cm="1">
        <f t="array" ref="C282">_xlfn.IFS(B282&lt;=18.5,  "Underweight",B282&lt;=24.9,"Normal weight",B282&lt;=29.9, "Over weight",B282&gt;=30,"Obesity")</f>
        <v>Normal weight</v>
      </c>
      <c r="D282">
        <v>7.66</v>
      </c>
      <c r="E282" t="str" cm="1">
        <f t="array" ref="E282">_xlfn.IFS(D282&lt;5.7,"Normal",D282&lt;=6.4,"Prediabetes",D282&gt;=6.5,"Diabetes")</f>
        <v>Diabetes</v>
      </c>
      <c r="F282" s="3" t="s">
        <v>2379</v>
      </c>
      <c r="G282" s="3" t="s">
        <v>2379</v>
      </c>
      <c r="H282" s="3" t="s">
        <v>2379</v>
      </c>
      <c r="I282" s="1" t="s">
        <v>2380</v>
      </c>
      <c r="J282">
        <v>0</v>
      </c>
      <c r="K282" s="3" t="s">
        <v>2382</v>
      </c>
      <c r="P282" s="3"/>
    </row>
    <row r="283" spans="1:16" x14ac:dyDescent="0.25">
      <c r="A283" s="3" t="s">
        <v>2089</v>
      </c>
      <c r="B283">
        <v>35.99</v>
      </c>
      <c r="C283" t="str" cm="1">
        <f t="array" ref="C283">_xlfn.IFS(B283&lt;=18.5,  "Underweight",B283&lt;=24.9,"Normal weight",B283&lt;=29.9, "Over weight",B283&gt;=30,"Obesity")</f>
        <v>Obesity</v>
      </c>
      <c r="D283">
        <v>4.2300000000000004</v>
      </c>
      <c r="E283" t="str" cm="1">
        <f t="array" ref="E283">_xlfn.IFS(D283&lt;5.7,"Normal",D283&lt;=6.4,"Prediabetes",D283&gt;=6.5,"Diabetes")</f>
        <v>Normal</v>
      </c>
      <c r="F283" s="3" t="s">
        <v>2379</v>
      </c>
      <c r="G283" s="3" t="s">
        <v>2379</v>
      </c>
      <c r="H283" s="3" t="s">
        <v>2379</v>
      </c>
      <c r="I283" s="1" t="s">
        <v>2380</v>
      </c>
      <c r="J283">
        <v>0</v>
      </c>
      <c r="K283" s="3" t="s">
        <v>2382</v>
      </c>
      <c r="P283" s="3"/>
    </row>
    <row r="284" spans="1:16" x14ac:dyDescent="0.25">
      <c r="A284" s="3" t="s">
        <v>2088</v>
      </c>
      <c r="B284">
        <v>30.25</v>
      </c>
      <c r="C284" t="str" cm="1">
        <f t="array" ref="C284">_xlfn.IFS(B284&lt;=18.5,  "Underweight",B284&lt;=24.9,"Normal weight",B284&lt;=29.9, "Over weight",B284&gt;=30,"Obesity")</f>
        <v>Obesity</v>
      </c>
      <c r="D284">
        <v>5.58</v>
      </c>
      <c r="E284" t="str" cm="1">
        <f t="array" ref="E284">_xlfn.IFS(D284&lt;5.7,"Normal",D284&lt;=6.4,"Prediabetes",D284&gt;=6.5,"Diabetes")</f>
        <v>Normal</v>
      </c>
      <c r="F284" s="3" t="s">
        <v>2379</v>
      </c>
      <c r="G284" s="3" t="s">
        <v>2379</v>
      </c>
      <c r="H284" s="3" t="s">
        <v>2382</v>
      </c>
      <c r="I284" s="1">
        <v>1</v>
      </c>
      <c r="J284">
        <v>1</v>
      </c>
      <c r="K284" s="3" t="s">
        <v>2382</v>
      </c>
      <c r="P284" s="3"/>
    </row>
    <row r="285" spans="1:16" x14ac:dyDescent="0.25">
      <c r="A285" s="3" t="s">
        <v>2087</v>
      </c>
      <c r="B285">
        <v>26.24</v>
      </c>
      <c r="C285" t="str" cm="1">
        <f t="array" ref="C285">_xlfn.IFS(B285&lt;=18.5,  "Underweight",B285&lt;=24.9,"Normal weight",B285&lt;=29.9, "Over weight",B285&gt;=30,"Obesity")</f>
        <v>Over weight</v>
      </c>
      <c r="D285">
        <v>6.26</v>
      </c>
      <c r="E285" t="str" cm="1">
        <f t="array" ref="E285">_xlfn.IFS(D285&lt;5.7,"Normal",D285&lt;=6.4,"Prediabetes",D285&gt;=6.5,"Diabetes")</f>
        <v>Prediabetes</v>
      </c>
      <c r="F285" s="3" t="s">
        <v>2382</v>
      </c>
      <c r="G285" s="3" t="s">
        <v>2379</v>
      </c>
      <c r="H285" s="3" t="s">
        <v>2379</v>
      </c>
      <c r="I285" s="1" t="s">
        <v>2380</v>
      </c>
      <c r="J285">
        <v>0</v>
      </c>
      <c r="K285" s="3" t="s">
        <v>2382</v>
      </c>
      <c r="P285" s="3"/>
    </row>
    <row r="286" spans="1:16" x14ac:dyDescent="0.25">
      <c r="A286" s="3" t="s">
        <v>2086</v>
      </c>
      <c r="B286">
        <v>31.36</v>
      </c>
      <c r="C286" t="str" cm="1">
        <f t="array" ref="C286">_xlfn.IFS(B286&lt;=18.5,  "Underweight",B286&lt;=24.9,"Normal weight",B286&lt;=29.9, "Over weight",B286&gt;=30,"Obesity")</f>
        <v>Obesity</v>
      </c>
      <c r="D286">
        <v>10.6</v>
      </c>
      <c r="E286" t="str" cm="1">
        <f t="array" ref="E286">_xlfn.IFS(D286&lt;5.7,"Normal",D286&lt;=6.4,"Prediabetes",D286&gt;=6.5,"Diabetes")</f>
        <v>Diabetes</v>
      </c>
      <c r="F286" s="3" t="s">
        <v>2382</v>
      </c>
      <c r="G286" s="3" t="s">
        <v>2379</v>
      </c>
      <c r="H286" s="3" t="s">
        <v>2379</v>
      </c>
      <c r="I286" s="1" t="s">
        <v>2380</v>
      </c>
      <c r="J286">
        <v>0</v>
      </c>
      <c r="K286" s="3" t="s">
        <v>2382</v>
      </c>
      <c r="P286" s="3"/>
    </row>
    <row r="287" spans="1:16" x14ac:dyDescent="0.25">
      <c r="A287" s="3" t="s">
        <v>2085</v>
      </c>
      <c r="B287">
        <v>25.69</v>
      </c>
      <c r="C287" t="str" cm="1">
        <f t="array" ref="C287">_xlfn.IFS(B287&lt;=18.5,  "Underweight",B287&lt;=24.9,"Normal weight",B287&lt;=29.9, "Over weight",B287&gt;=30,"Obesity")</f>
        <v>Over weight</v>
      </c>
      <c r="D287">
        <v>4.78</v>
      </c>
      <c r="E287" t="str" cm="1">
        <f t="array" ref="E287">_xlfn.IFS(D287&lt;5.7,"Normal",D287&lt;=6.4,"Prediabetes",D287&gt;=6.5,"Diabetes")</f>
        <v>Normal</v>
      </c>
      <c r="F287" s="3" t="s">
        <v>2382</v>
      </c>
      <c r="G287" s="3" t="s">
        <v>2379</v>
      </c>
      <c r="H287" s="3" t="s">
        <v>2379</v>
      </c>
      <c r="I287" s="1" t="s">
        <v>2380</v>
      </c>
      <c r="J287">
        <v>0</v>
      </c>
      <c r="K287" s="3" t="s">
        <v>2382</v>
      </c>
      <c r="P287" s="3"/>
    </row>
    <row r="288" spans="1:16" x14ac:dyDescent="0.25">
      <c r="A288" s="3" t="s">
        <v>2084</v>
      </c>
      <c r="B288">
        <v>25.46</v>
      </c>
      <c r="C288" t="str" cm="1">
        <f t="array" ref="C288">_xlfn.IFS(B288&lt;=18.5,  "Underweight",B288&lt;=24.9,"Normal weight",B288&lt;=29.9, "Over weight",B288&gt;=30,"Obesity")</f>
        <v>Over weight</v>
      </c>
      <c r="D288">
        <v>6.03</v>
      </c>
      <c r="E288" t="str" cm="1">
        <f t="array" ref="E288">_xlfn.IFS(D288&lt;5.7,"Normal",D288&lt;=6.4,"Prediabetes",D288&gt;=6.5,"Diabetes")</f>
        <v>Prediabetes</v>
      </c>
      <c r="F288" s="3" t="s">
        <v>2379</v>
      </c>
      <c r="G288" s="3" t="s">
        <v>2379</v>
      </c>
      <c r="H288" s="3" t="s">
        <v>2379</v>
      </c>
      <c r="I288" s="1">
        <v>2</v>
      </c>
      <c r="J288">
        <v>2</v>
      </c>
      <c r="K288" s="3" t="s">
        <v>2382</v>
      </c>
      <c r="P288" s="3"/>
    </row>
    <row r="289" spans="1:16" x14ac:dyDescent="0.25">
      <c r="A289" s="3" t="s">
        <v>2083</v>
      </c>
      <c r="B289">
        <v>31.83</v>
      </c>
      <c r="C289" t="str" cm="1">
        <f t="array" ref="C289">_xlfn.IFS(B289&lt;=18.5,  "Underweight",B289&lt;=24.9,"Normal weight",B289&lt;=29.9, "Over weight",B289&gt;=30,"Obesity")</f>
        <v>Obesity</v>
      </c>
      <c r="D289">
        <v>11.55</v>
      </c>
      <c r="E289" t="str" cm="1">
        <f t="array" ref="E289">_xlfn.IFS(D289&lt;5.7,"Normal",D289&lt;=6.4,"Prediabetes",D289&gt;=6.5,"Diabetes")</f>
        <v>Diabetes</v>
      </c>
      <c r="F289" s="3" t="s">
        <v>2382</v>
      </c>
      <c r="G289" s="3" t="s">
        <v>2379</v>
      </c>
      <c r="H289" s="3" t="s">
        <v>2379</v>
      </c>
      <c r="I289" s="1">
        <v>1</v>
      </c>
      <c r="J289">
        <v>1</v>
      </c>
      <c r="K289" s="3" t="s">
        <v>2382</v>
      </c>
      <c r="P289" s="3"/>
    </row>
    <row r="290" spans="1:16" x14ac:dyDescent="0.25">
      <c r="A290" s="3" t="s">
        <v>2082</v>
      </c>
      <c r="B290">
        <v>24.43</v>
      </c>
      <c r="C290" t="str" cm="1">
        <f t="array" ref="C290">_xlfn.IFS(B290&lt;=18.5,  "Underweight",B290&lt;=24.9,"Normal weight",B290&lt;=29.9, "Over weight",B290&gt;=30,"Obesity")</f>
        <v>Normal weight</v>
      </c>
      <c r="D290">
        <v>7.59</v>
      </c>
      <c r="E290" t="str" cm="1">
        <f t="array" ref="E290">_xlfn.IFS(D290&lt;5.7,"Normal",D290&lt;=6.4,"Prediabetes",D290&gt;=6.5,"Diabetes")</f>
        <v>Diabetes</v>
      </c>
      <c r="F290" s="3" t="s">
        <v>2382</v>
      </c>
      <c r="G290" s="3" t="s">
        <v>2379</v>
      </c>
      <c r="H290" s="3" t="s">
        <v>2379</v>
      </c>
      <c r="I290" s="1">
        <v>1</v>
      </c>
      <c r="J290">
        <v>1</v>
      </c>
      <c r="K290" s="3" t="s">
        <v>2382</v>
      </c>
      <c r="P290" s="3"/>
    </row>
    <row r="291" spans="1:16" x14ac:dyDescent="0.25">
      <c r="A291" s="3" t="s">
        <v>2081</v>
      </c>
      <c r="B291">
        <v>41.9</v>
      </c>
      <c r="C291" t="str" cm="1">
        <f t="array" ref="C291">_xlfn.IFS(B291&lt;=18.5,  "Underweight",B291&lt;=24.9,"Normal weight",B291&lt;=29.9, "Over weight",B291&gt;=30,"Obesity")</f>
        <v>Obesity</v>
      </c>
      <c r="D291">
        <v>4.26</v>
      </c>
      <c r="E291" t="str" cm="1">
        <f t="array" ref="E291">_xlfn.IFS(D291&lt;5.7,"Normal",D291&lt;=6.4,"Prediabetes",D291&gt;=6.5,"Diabetes")</f>
        <v>Normal</v>
      </c>
      <c r="F291" s="3" t="s">
        <v>2379</v>
      </c>
      <c r="G291" s="3" t="s">
        <v>2379</v>
      </c>
      <c r="H291" s="3" t="s">
        <v>2379</v>
      </c>
      <c r="I291" s="1" t="s">
        <v>2380</v>
      </c>
      <c r="J291">
        <v>0</v>
      </c>
      <c r="K291" s="3" t="s">
        <v>2382</v>
      </c>
      <c r="P291" s="3"/>
    </row>
    <row r="292" spans="1:16" x14ac:dyDescent="0.25">
      <c r="A292" s="3" t="s">
        <v>2080</v>
      </c>
      <c r="B292">
        <v>22.88</v>
      </c>
      <c r="C292" t="str" cm="1">
        <f t="array" ref="C292">_xlfn.IFS(B292&lt;=18.5,  "Underweight",B292&lt;=24.9,"Normal weight",B292&lt;=29.9, "Over weight",B292&gt;=30,"Obesity")</f>
        <v>Normal weight</v>
      </c>
      <c r="D292">
        <v>5.9</v>
      </c>
      <c r="E292" t="str" cm="1">
        <f t="array" ref="E292">_xlfn.IFS(D292&lt;5.7,"Normal",D292&lt;=6.4,"Prediabetes",D292&gt;=6.5,"Diabetes")</f>
        <v>Prediabetes</v>
      </c>
      <c r="F292" s="3" t="s">
        <v>2382</v>
      </c>
      <c r="G292" s="3" t="s">
        <v>2379</v>
      </c>
      <c r="H292" s="3" t="s">
        <v>2382</v>
      </c>
      <c r="I292" s="1">
        <v>1</v>
      </c>
      <c r="J292">
        <v>1</v>
      </c>
      <c r="K292" s="3" t="s">
        <v>2382</v>
      </c>
      <c r="P292" s="3"/>
    </row>
    <row r="293" spans="1:16" x14ac:dyDescent="0.25">
      <c r="A293" s="3" t="s">
        <v>2079</v>
      </c>
      <c r="B293">
        <v>29.734999999999999</v>
      </c>
      <c r="C293" t="str" cm="1">
        <f t="array" ref="C293">_xlfn.IFS(B293&lt;=18.5,  "Underweight",B293&lt;=24.9,"Normal weight",B293&lt;=29.9, "Over weight",B293&gt;=30,"Obesity")</f>
        <v>Over weight</v>
      </c>
      <c r="D293">
        <v>7.79</v>
      </c>
      <c r="E293" t="str" cm="1">
        <f t="array" ref="E293">_xlfn.IFS(D293&lt;5.7,"Normal",D293&lt;=6.4,"Prediabetes",D293&gt;=6.5,"Diabetes")</f>
        <v>Diabetes</v>
      </c>
      <c r="F293" s="3" t="s">
        <v>2379</v>
      </c>
      <c r="G293" s="3" t="s">
        <v>2379</v>
      </c>
      <c r="H293" s="3" t="s">
        <v>2379</v>
      </c>
      <c r="I293" s="1" t="s">
        <v>2380</v>
      </c>
      <c r="J293">
        <v>0</v>
      </c>
      <c r="K293" s="3" t="s">
        <v>2379</v>
      </c>
      <c r="P293" s="3"/>
    </row>
    <row r="294" spans="1:16" x14ac:dyDescent="0.25">
      <c r="A294" s="3" t="s">
        <v>2078</v>
      </c>
      <c r="B294">
        <v>40.74</v>
      </c>
      <c r="C294" t="str" cm="1">
        <f t="array" ref="C294">_xlfn.IFS(B294&lt;=18.5,  "Underweight",B294&lt;=24.9,"Normal weight",B294&lt;=29.9, "Over weight",B294&gt;=30,"Obesity")</f>
        <v>Obesity</v>
      </c>
      <c r="D294">
        <v>5.28</v>
      </c>
      <c r="E294" t="str" cm="1">
        <f t="array" ref="E294">_xlfn.IFS(D294&lt;5.7,"Normal",D294&lt;=6.4,"Prediabetes",D294&gt;=6.5,"Diabetes")</f>
        <v>Normal</v>
      </c>
      <c r="F294" s="3" t="s">
        <v>2379</v>
      </c>
      <c r="G294" s="3" t="s">
        <v>2379</v>
      </c>
      <c r="H294" s="3" t="s">
        <v>2382</v>
      </c>
      <c r="I294" s="1">
        <v>1</v>
      </c>
      <c r="J294">
        <v>1</v>
      </c>
      <c r="K294" s="3" t="s">
        <v>2382</v>
      </c>
      <c r="P294" s="3"/>
    </row>
    <row r="295" spans="1:16" x14ac:dyDescent="0.25">
      <c r="A295" s="3" t="s">
        <v>2077</v>
      </c>
      <c r="B295">
        <v>24.14</v>
      </c>
      <c r="C295" t="str" cm="1">
        <f t="array" ref="C295">_xlfn.IFS(B295&lt;=18.5,  "Underweight",B295&lt;=24.9,"Normal weight",B295&lt;=29.9, "Over weight",B295&gt;=30,"Obesity")</f>
        <v>Normal weight</v>
      </c>
      <c r="D295">
        <v>5.87</v>
      </c>
      <c r="E295" t="str" cm="1">
        <f t="array" ref="E295">_xlfn.IFS(D295&lt;5.7,"Normal",D295&lt;=6.4,"Prediabetes",D295&gt;=6.5,"Diabetes")</f>
        <v>Prediabetes</v>
      </c>
      <c r="F295" s="3" t="s">
        <v>2379</v>
      </c>
      <c r="G295" s="3" t="s">
        <v>2379</v>
      </c>
      <c r="H295" s="3" t="s">
        <v>2379</v>
      </c>
      <c r="I295" s="1">
        <v>2</v>
      </c>
      <c r="J295">
        <v>2</v>
      </c>
      <c r="K295" s="3" t="s">
        <v>2382</v>
      </c>
      <c r="P295" s="3"/>
    </row>
    <row r="296" spans="1:16" x14ac:dyDescent="0.25">
      <c r="A296" s="3" t="s">
        <v>2076</v>
      </c>
      <c r="B296">
        <v>25.15</v>
      </c>
      <c r="C296" t="str" cm="1">
        <f t="array" ref="C296">_xlfn.IFS(B296&lt;=18.5,  "Underweight",B296&lt;=24.9,"Normal weight",B296&lt;=29.9, "Over weight",B296&gt;=30,"Obesity")</f>
        <v>Over weight</v>
      </c>
      <c r="D296">
        <v>9.08</v>
      </c>
      <c r="E296" t="str" cm="1">
        <f t="array" ref="E296">_xlfn.IFS(D296&lt;5.7,"Normal",D296&lt;=6.4,"Prediabetes",D296&gt;=6.5,"Diabetes")</f>
        <v>Diabetes</v>
      </c>
      <c r="F296" s="3" t="s">
        <v>2382</v>
      </c>
      <c r="G296" s="3" t="s">
        <v>2379</v>
      </c>
      <c r="H296" s="3" t="s">
        <v>2379</v>
      </c>
      <c r="I296" s="1">
        <v>1</v>
      </c>
      <c r="J296">
        <v>1</v>
      </c>
      <c r="K296" s="3" t="s">
        <v>2382</v>
      </c>
      <c r="P296" s="3"/>
    </row>
    <row r="297" spans="1:16" x14ac:dyDescent="0.25">
      <c r="A297" s="3" t="s">
        <v>2075</v>
      </c>
      <c r="B297">
        <v>28.71</v>
      </c>
      <c r="C297" t="str" cm="1">
        <f t="array" ref="C297">_xlfn.IFS(B297&lt;=18.5,  "Underweight",B297&lt;=24.9,"Normal weight",B297&lt;=29.9, "Over weight",B297&gt;=30,"Obesity")</f>
        <v>Over weight</v>
      </c>
      <c r="D297">
        <v>5.2</v>
      </c>
      <c r="E297" t="str" cm="1">
        <f t="array" ref="E297">_xlfn.IFS(D297&lt;5.7,"Normal",D297&lt;=6.4,"Prediabetes",D297&gt;=6.5,"Diabetes")</f>
        <v>Normal</v>
      </c>
      <c r="F297" s="3" t="s">
        <v>2379</v>
      </c>
      <c r="G297" s="3" t="s">
        <v>2379</v>
      </c>
      <c r="H297" s="3" t="s">
        <v>2379</v>
      </c>
      <c r="I297" s="1">
        <v>1</v>
      </c>
      <c r="J297">
        <v>1</v>
      </c>
      <c r="K297" s="3" t="s">
        <v>2382</v>
      </c>
      <c r="P297" s="3"/>
    </row>
    <row r="298" spans="1:16" x14ac:dyDescent="0.25">
      <c r="A298" s="3" t="s">
        <v>2074</v>
      </c>
      <c r="B298">
        <v>23</v>
      </c>
      <c r="C298" t="str" cm="1">
        <f t="array" ref="C298">_xlfn.IFS(B298&lt;=18.5,  "Underweight",B298&lt;=24.9,"Normal weight",B298&lt;=29.9, "Over weight",B298&gt;=30,"Obesity")</f>
        <v>Normal weight</v>
      </c>
      <c r="D298">
        <v>5.48</v>
      </c>
      <c r="E298" t="str" cm="1">
        <f t="array" ref="E298">_xlfn.IFS(D298&lt;5.7,"Normal",D298&lt;=6.4,"Prediabetes",D298&gt;=6.5,"Diabetes")</f>
        <v>Normal</v>
      </c>
      <c r="F298" s="3" t="s">
        <v>2379</v>
      </c>
      <c r="G298" s="3" t="s">
        <v>2379</v>
      </c>
      <c r="H298" s="3" t="s">
        <v>2379</v>
      </c>
      <c r="I298" s="1" t="s">
        <v>2380</v>
      </c>
      <c r="J298">
        <v>0</v>
      </c>
      <c r="K298" s="3" t="s">
        <v>2382</v>
      </c>
      <c r="P298" s="3"/>
    </row>
    <row r="299" spans="1:16" x14ac:dyDescent="0.25">
      <c r="A299" s="3" t="s">
        <v>2073</v>
      </c>
      <c r="B299">
        <v>36.86</v>
      </c>
      <c r="C299" t="str" cm="1">
        <f t="array" ref="C299">_xlfn.IFS(B299&lt;=18.5,  "Underweight",B299&lt;=24.9,"Normal weight",B299&lt;=29.9, "Over weight",B299&gt;=30,"Obesity")</f>
        <v>Obesity</v>
      </c>
      <c r="D299">
        <v>11.95</v>
      </c>
      <c r="E299" t="str" cm="1">
        <f t="array" ref="E299">_xlfn.IFS(D299&lt;5.7,"Normal",D299&lt;=6.4,"Prediabetes",D299&gt;=6.5,"Diabetes")</f>
        <v>Diabetes</v>
      </c>
      <c r="F299" s="3" t="s">
        <v>2379</v>
      </c>
      <c r="G299" s="3" t="s">
        <v>2379</v>
      </c>
      <c r="H299" s="3" t="s">
        <v>2379</v>
      </c>
      <c r="I299" s="1" t="s">
        <v>2380</v>
      </c>
      <c r="J299">
        <v>0</v>
      </c>
      <c r="K299" s="3" t="s">
        <v>2379</v>
      </c>
      <c r="P299" s="3"/>
    </row>
    <row r="300" spans="1:16" x14ac:dyDescent="0.25">
      <c r="A300" s="3" t="s">
        <v>2072</v>
      </c>
      <c r="B300">
        <v>24.25</v>
      </c>
      <c r="C300" t="str" cm="1">
        <f t="array" ref="C300">_xlfn.IFS(B300&lt;=18.5,  "Underweight",B300&lt;=24.9,"Normal weight",B300&lt;=29.9, "Over weight",B300&gt;=30,"Obesity")</f>
        <v>Normal weight</v>
      </c>
      <c r="D300">
        <v>8.6999999999999993</v>
      </c>
      <c r="E300" t="str" cm="1">
        <f t="array" ref="E300">_xlfn.IFS(D300&lt;5.7,"Normal",D300&lt;=6.4,"Prediabetes",D300&gt;=6.5,"Diabetes")</f>
        <v>Diabetes</v>
      </c>
      <c r="F300" s="3" t="s">
        <v>2382</v>
      </c>
      <c r="G300" s="3" t="s">
        <v>2379</v>
      </c>
      <c r="H300" s="3" t="s">
        <v>2379</v>
      </c>
      <c r="I300" s="1">
        <v>1</v>
      </c>
      <c r="J300">
        <v>1</v>
      </c>
      <c r="K300" s="3" t="s">
        <v>2382</v>
      </c>
      <c r="P300" s="3"/>
    </row>
    <row r="301" spans="1:16" x14ac:dyDescent="0.25">
      <c r="A301" s="3" t="s">
        <v>2071</v>
      </c>
      <c r="B301">
        <v>23.85</v>
      </c>
      <c r="C301" t="str" cm="1">
        <f t="array" ref="C301">_xlfn.IFS(B301&lt;=18.5,  "Underweight",B301&lt;=24.9,"Normal weight",B301&lt;=29.9, "Over weight",B301&gt;=30,"Obesity")</f>
        <v>Normal weight</v>
      </c>
      <c r="D301">
        <v>7.84</v>
      </c>
      <c r="E301" t="str" cm="1">
        <f t="array" ref="E301">_xlfn.IFS(D301&lt;5.7,"Normal",D301&lt;=6.4,"Prediabetes",D301&gt;=6.5,"Diabetes")</f>
        <v>Diabetes</v>
      </c>
      <c r="F301" s="3" t="s">
        <v>2379</v>
      </c>
      <c r="G301" s="3" t="s">
        <v>2379</v>
      </c>
      <c r="H301" s="3" t="s">
        <v>2379</v>
      </c>
      <c r="I301" s="1" t="s">
        <v>2380</v>
      </c>
      <c r="J301">
        <v>0</v>
      </c>
      <c r="K301" s="3" t="s">
        <v>2382</v>
      </c>
      <c r="P301" s="3"/>
    </row>
    <row r="302" spans="1:16" x14ac:dyDescent="0.25">
      <c r="A302" s="3" t="s">
        <v>2070</v>
      </c>
      <c r="B302">
        <v>40.020000000000003</v>
      </c>
      <c r="C302" t="str" cm="1">
        <f t="array" ref="C302">_xlfn.IFS(B302&lt;=18.5,  "Underweight",B302&lt;=24.9,"Normal weight",B302&lt;=29.9, "Over weight",B302&gt;=30,"Obesity")</f>
        <v>Obesity</v>
      </c>
      <c r="D302">
        <v>5.19</v>
      </c>
      <c r="E302" t="str" cm="1">
        <f t="array" ref="E302">_xlfn.IFS(D302&lt;5.7,"Normal",D302&lt;=6.4,"Prediabetes",D302&gt;=6.5,"Diabetes")</f>
        <v>Normal</v>
      </c>
      <c r="F302" s="3" t="s">
        <v>2382</v>
      </c>
      <c r="G302" s="3" t="s">
        <v>2379</v>
      </c>
      <c r="H302" s="3" t="s">
        <v>2379</v>
      </c>
      <c r="I302" s="1">
        <v>1</v>
      </c>
      <c r="J302">
        <v>1</v>
      </c>
      <c r="K302" s="3" t="s">
        <v>2382</v>
      </c>
      <c r="P302" s="3"/>
    </row>
    <row r="303" spans="1:16" x14ac:dyDescent="0.25">
      <c r="A303" s="3" t="s">
        <v>2069</v>
      </c>
      <c r="B303">
        <v>19.170000000000002</v>
      </c>
      <c r="C303" t="str" cm="1">
        <f t="array" ref="C303">_xlfn.IFS(B303&lt;=18.5,  "Underweight",B303&lt;=24.9,"Normal weight",B303&lt;=29.9, "Over weight",B303&gt;=30,"Obesity")</f>
        <v>Normal weight</v>
      </c>
      <c r="D303">
        <v>8.41</v>
      </c>
      <c r="E303" t="str" cm="1">
        <f t="array" ref="E303">_xlfn.IFS(D303&lt;5.7,"Normal",D303&lt;=6.4,"Prediabetes",D303&gt;=6.5,"Diabetes")</f>
        <v>Diabetes</v>
      </c>
      <c r="F303" s="3" t="s">
        <v>2379</v>
      </c>
      <c r="G303" s="3" t="s">
        <v>2379</v>
      </c>
      <c r="H303" s="3" t="s">
        <v>2379</v>
      </c>
      <c r="I303" s="1" t="s">
        <v>2380</v>
      </c>
      <c r="J303">
        <v>0</v>
      </c>
      <c r="K303" s="3" t="s">
        <v>2382</v>
      </c>
      <c r="P303" s="3"/>
    </row>
    <row r="304" spans="1:16" x14ac:dyDescent="0.25">
      <c r="A304" s="3" t="s">
        <v>2068</v>
      </c>
      <c r="B304">
        <v>43.53</v>
      </c>
      <c r="C304" t="str" cm="1">
        <f t="array" ref="C304">_xlfn.IFS(B304&lt;=18.5,  "Underweight",B304&lt;=24.9,"Normal weight",B304&lt;=29.9, "Over weight",B304&gt;=30,"Obesity")</f>
        <v>Obesity</v>
      </c>
      <c r="D304">
        <v>5.86</v>
      </c>
      <c r="E304" t="str" cm="1">
        <f t="array" ref="E304">_xlfn.IFS(D304&lt;5.7,"Normal",D304&lt;=6.4,"Prediabetes",D304&gt;=6.5,"Diabetes")</f>
        <v>Prediabetes</v>
      </c>
      <c r="F304" s="3" t="s">
        <v>2382</v>
      </c>
      <c r="G304" s="3" t="s">
        <v>2381</v>
      </c>
      <c r="H304" s="3" t="s">
        <v>2379</v>
      </c>
      <c r="I304" s="1">
        <v>2</v>
      </c>
      <c r="J304">
        <v>2</v>
      </c>
      <c r="K304" s="3" t="s">
        <v>2382</v>
      </c>
      <c r="P304" s="3"/>
    </row>
    <row r="305" spans="1:16" x14ac:dyDescent="0.25">
      <c r="A305" s="3" t="s">
        <v>2067</v>
      </c>
      <c r="B305">
        <v>46.06</v>
      </c>
      <c r="C305" t="str" cm="1">
        <f t="array" ref="C305">_xlfn.IFS(B305&lt;=18.5,  "Underweight",B305&lt;=24.9,"Normal weight",B305&lt;=29.9, "Over weight",B305&gt;=30,"Obesity")</f>
        <v>Obesity</v>
      </c>
      <c r="D305">
        <v>4.18</v>
      </c>
      <c r="E305" t="str" cm="1">
        <f t="array" ref="E305">_xlfn.IFS(D305&lt;5.7,"Normal",D305&lt;=6.4,"Prediabetes",D305&gt;=6.5,"Diabetes")</f>
        <v>Normal</v>
      </c>
      <c r="F305" s="3" t="s">
        <v>2379</v>
      </c>
      <c r="G305" s="3" t="s">
        <v>2381</v>
      </c>
      <c r="H305" s="3" t="s">
        <v>2379</v>
      </c>
      <c r="I305" s="1">
        <v>1</v>
      </c>
      <c r="J305">
        <v>1</v>
      </c>
      <c r="K305" s="3" t="s">
        <v>2382</v>
      </c>
      <c r="P305" s="3"/>
    </row>
    <row r="306" spans="1:16" x14ac:dyDescent="0.25">
      <c r="A306" s="3" t="s">
        <v>2066</v>
      </c>
      <c r="B306">
        <v>29.92</v>
      </c>
      <c r="C306" t="e" cm="1">
        <f t="array" ref="C306">_xlfn.IFS(B306&lt;=18.5,  "Underweight",B306&lt;=24.9,"Normal weight",B306&lt;=29.9, "Over weight",B306&gt;=30,"Obesity")</f>
        <v>#N/A</v>
      </c>
      <c r="D306">
        <v>11.99</v>
      </c>
      <c r="E306" t="str" cm="1">
        <f t="array" ref="E306">_xlfn.IFS(D306&lt;5.7,"Normal",D306&lt;=6.4,"Prediabetes",D306&gt;=6.5,"Diabetes")</f>
        <v>Diabetes</v>
      </c>
      <c r="F306" s="3" t="s">
        <v>2382</v>
      </c>
      <c r="G306" s="3" t="s">
        <v>2379</v>
      </c>
      <c r="H306" s="3" t="s">
        <v>2379</v>
      </c>
      <c r="I306" s="1">
        <v>2</v>
      </c>
      <c r="J306">
        <v>2</v>
      </c>
      <c r="K306" s="3" t="s">
        <v>2382</v>
      </c>
      <c r="P306" s="3"/>
    </row>
    <row r="307" spans="1:16" x14ac:dyDescent="0.25">
      <c r="A307" s="3" t="s">
        <v>2065</v>
      </c>
      <c r="B307">
        <v>28.46</v>
      </c>
      <c r="C307" t="str" cm="1">
        <f t="array" ref="C307">_xlfn.IFS(B307&lt;=18.5,  "Underweight",B307&lt;=24.9,"Normal weight",B307&lt;=29.9, "Over weight",B307&gt;=30,"Obesity")</f>
        <v>Over weight</v>
      </c>
      <c r="D307">
        <v>4.8499999999999996</v>
      </c>
      <c r="E307" t="str" cm="1">
        <f t="array" ref="E307">_xlfn.IFS(D307&lt;5.7,"Normal",D307&lt;=6.4,"Prediabetes",D307&gt;=6.5,"Diabetes")</f>
        <v>Normal</v>
      </c>
      <c r="F307" s="3" t="s">
        <v>2382</v>
      </c>
      <c r="G307" s="3" t="s">
        <v>2379</v>
      </c>
      <c r="H307" s="3" t="s">
        <v>2379</v>
      </c>
      <c r="I307" s="1">
        <v>1</v>
      </c>
      <c r="J307">
        <v>1</v>
      </c>
      <c r="K307" s="3" t="s">
        <v>2382</v>
      </c>
      <c r="P307" s="3"/>
    </row>
    <row r="308" spans="1:16" x14ac:dyDescent="0.25">
      <c r="A308" s="3" t="s">
        <v>2064</v>
      </c>
      <c r="B308">
        <v>24.56</v>
      </c>
      <c r="C308" t="str" cm="1">
        <f t="array" ref="C308">_xlfn.IFS(B308&lt;=18.5,  "Underweight",B308&lt;=24.9,"Normal weight",B308&lt;=29.9, "Over weight",B308&gt;=30,"Obesity")</f>
        <v>Normal weight</v>
      </c>
      <c r="D308">
        <v>6.18</v>
      </c>
      <c r="E308" t="str" cm="1">
        <f t="array" ref="E308">_xlfn.IFS(D308&lt;5.7,"Normal",D308&lt;=6.4,"Prediabetes",D308&gt;=6.5,"Diabetes")</f>
        <v>Prediabetes</v>
      </c>
      <c r="F308" s="3" t="s">
        <v>2382</v>
      </c>
      <c r="G308" s="3" t="s">
        <v>2379</v>
      </c>
      <c r="H308" s="3" t="s">
        <v>2382</v>
      </c>
      <c r="I308" s="1">
        <v>1</v>
      </c>
      <c r="J308">
        <v>1</v>
      </c>
      <c r="K308" s="3" t="s">
        <v>2382</v>
      </c>
      <c r="P308" s="3"/>
    </row>
    <row r="309" spans="1:16" x14ac:dyDescent="0.25">
      <c r="A309" s="3" t="s">
        <v>2063</v>
      </c>
      <c r="B309">
        <v>41.19</v>
      </c>
      <c r="C309" t="str" cm="1">
        <f t="array" ref="C309">_xlfn.IFS(B309&lt;=18.5,  "Underweight",B309&lt;=24.9,"Normal weight",B309&lt;=29.9, "Over weight",B309&gt;=30,"Obesity")</f>
        <v>Obesity</v>
      </c>
      <c r="D309">
        <v>6.37</v>
      </c>
      <c r="E309" t="str" cm="1">
        <f t="array" ref="E309">_xlfn.IFS(D309&lt;5.7,"Normal",D309&lt;=6.4,"Prediabetes",D309&gt;=6.5,"Diabetes")</f>
        <v>Prediabetes</v>
      </c>
      <c r="F309" s="3" t="s">
        <v>2379</v>
      </c>
      <c r="G309" s="3" t="s">
        <v>2379</v>
      </c>
      <c r="H309" s="3" t="s">
        <v>2379</v>
      </c>
      <c r="I309" s="1" t="s">
        <v>2380</v>
      </c>
      <c r="J309">
        <v>0</v>
      </c>
      <c r="K309" s="3" t="s">
        <v>2382</v>
      </c>
      <c r="P309" s="3"/>
    </row>
    <row r="310" spans="1:16" x14ac:dyDescent="0.25">
      <c r="A310" s="3" t="s">
        <v>2062</v>
      </c>
      <c r="B310">
        <v>18.63</v>
      </c>
      <c r="C310" t="str" cm="1">
        <f t="array" ref="C310">_xlfn.IFS(B310&lt;=18.5,  "Underweight",B310&lt;=24.9,"Normal weight",B310&lt;=29.9, "Over weight",B310&gt;=30,"Obesity")</f>
        <v>Normal weight</v>
      </c>
      <c r="D310">
        <v>9.81</v>
      </c>
      <c r="E310" t="str" cm="1">
        <f t="array" ref="E310">_xlfn.IFS(D310&lt;5.7,"Normal",D310&lt;=6.4,"Prediabetes",D310&gt;=6.5,"Diabetes")</f>
        <v>Diabetes</v>
      </c>
      <c r="F310" s="3" t="s">
        <v>2382</v>
      </c>
      <c r="G310" s="3" t="s">
        <v>2379</v>
      </c>
      <c r="H310" s="3" t="s">
        <v>2379</v>
      </c>
      <c r="I310" s="1">
        <v>2</v>
      </c>
      <c r="J310">
        <v>2</v>
      </c>
      <c r="K310" s="3" t="s">
        <v>2382</v>
      </c>
      <c r="P310" s="3"/>
    </row>
    <row r="311" spans="1:16" x14ac:dyDescent="0.25">
      <c r="A311" s="3" t="s">
        <v>2061</v>
      </c>
      <c r="B311">
        <v>26.26</v>
      </c>
      <c r="C311" t="str" cm="1">
        <f t="array" ref="C311">_xlfn.IFS(B311&lt;=18.5,  "Underweight",B311&lt;=24.9,"Normal weight",B311&lt;=29.9, "Over weight",B311&gt;=30,"Obesity")</f>
        <v>Over weight</v>
      </c>
      <c r="D311">
        <v>11.8</v>
      </c>
      <c r="E311" t="str" cm="1">
        <f t="array" ref="E311">_xlfn.IFS(D311&lt;5.7,"Normal",D311&lt;=6.4,"Prediabetes",D311&gt;=6.5,"Diabetes")</f>
        <v>Diabetes</v>
      </c>
      <c r="F311" s="3" t="s">
        <v>2382</v>
      </c>
      <c r="G311" s="3" t="s">
        <v>2379</v>
      </c>
      <c r="H311" s="3" t="s">
        <v>2379</v>
      </c>
      <c r="I311" s="1">
        <v>1</v>
      </c>
      <c r="J311">
        <v>1</v>
      </c>
      <c r="K311" s="3" t="s">
        <v>2382</v>
      </c>
      <c r="P311" s="3"/>
    </row>
    <row r="312" spans="1:16" x14ac:dyDescent="0.25">
      <c r="A312" s="3" t="s">
        <v>2060</v>
      </c>
      <c r="B312">
        <v>22.37</v>
      </c>
      <c r="C312" t="str" cm="1">
        <f t="array" ref="C312">_xlfn.IFS(B312&lt;=18.5,  "Underweight",B312&lt;=24.9,"Normal weight",B312&lt;=29.9, "Over weight",B312&gt;=30,"Obesity")</f>
        <v>Normal weight</v>
      </c>
      <c r="D312">
        <v>5.86</v>
      </c>
      <c r="E312" t="str" cm="1">
        <f t="array" ref="E312">_xlfn.IFS(D312&lt;5.7,"Normal",D312&lt;=6.4,"Prediabetes",D312&gt;=6.5,"Diabetes")</f>
        <v>Prediabetes</v>
      </c>
      <c r="F312" s="3" t="s">
        <v>2382</v>
      </c>
      <c r="G312" s="3" t="s">
        <v>2379</v>
      </c>
      <c r="H312" s="3" t="s">
        <v>2382</v>
      </c>
      <c r="I312" s="1">
        <v>1</v>
      </c>
      <c r="J312">
        <v>1</v>
      </c>
      <c r="K312" s="3" t="s">
        <v>2382</v>
      </c>
      <c r="P312" s="3"/>
    </row>
    <row r="313" spans="1:16" x14ac:dyDescent="0.25">
      <c r="A313" s="3" t="s">
        <v>2059</v>
      </c>
      <c r="B313">
        <v>39.619999999999997</v>
      </c>
      <c r="C313" t="str" cm="1">
        <f t="array" ref="C313">_xlfn.IFS(B313&lt;=18.5,  "Underweight",B313&lt;=24.9,"Normal weight",B313&lt;=29.9, "Over weight",B313&gt;=30,"Obesity")</f>
        <v>Obesity</v>
      </c>
      <c r="D313">
        <v>4.28</v>
      </c>
      <c r="E313" t="str" cm="1">
        <f t="array" ref="E313">_xlfn.IFS(D313&lt;5.7,"Normal",D313&lt;=6.4,"Prediabetes",D313&gt;=6.5,"Diabetes")</f>
        <v>Normal</v>
      </c>
      <c r="F313" s="3" t="s">
        <v>2379</v>
      </c>
      <c r="G313" s="3" t="s">
        <v>2379</v>
      </c>
      <c r="H313" s="3" t="s">
        <v>2379</v>
      </c>
      <c r="I313" s="1">
        <v>1</v>
      </c>
      <c r="J313">
        <v>1</v>
      </c>
      <c r="K313" s="3" t="s">
        <v>2382</v>
      </c>
      <c r="P313" s="3"/>
    </row>
    <row r="314" spans="1:16" x14ac:dyDescent="0.25">
      <c r="A314" s="3" t="s">
        <v>2058</v>
      </c>
      <c r="B314">
        <v>18.329999999999998</v>
      </c>
      <c r="C314" t="str" cm="1">
        <f t="array" ref="C314">_xlfn.IFS(B314&lt;=18.5,  "Underweight",B314&lt;=24.9,"Normal weight",B314&lt;=29.9, "Over weight",B314&gt;=30,"Obesity")</f>
        <v>Underweight</v>
      </c>
      <c r="D314">
        <v>4.16</v>
      </c>
      <c r="E314" t="str" cm="1">
        <f t="array" ref="E314">_xlfn.IFS(D314&lt;5.7,"Normal",D314&lt;=6.4,"Prediabetes",D314&gt;=6.5,"Diabetes")</f>
        <v>Normal</v>
      </c>
      <c r="F314" s="3" t="s">
        <v>2382</v>
      </c>
      <c r="G314" s="3" t="s">
        <v>2379</v>
      </c>
      <c r="H314" s="3" t="s">
        <v>2379</v>
      </c>
      <c r="I314" s="1" t="s">
        <v>2380</v>
      </c>
      <c r="J314">
        <v>0</v>
      </c>
      <c r="K314" s="3" t="s">
        <v>2382</v>
      </c>
      <c r="P314" s="3"/>
    </row>
    <row r="315" spans="1:16" x14ac:dyDescent="0.25">
      <c r="A315" s="3" t="s">
        <v>2057</v>
      </c>
      <c r="B315">
        <v>17.11</v>
      </c>
      <c r="C315" t="str" cm="1">
        <f t="array" ref="C315">_xlfn.IFS(B315&lt;=18.5,  "Underweight",B315&lt;=24.9,"Normal weight",B315&lt;=29.9, "Over weight",B315&gt;=30,"Obesity")</f>
        <v>Underweight</v>
      </c>
      <c r="D315">
        <v>4.9800000000000004</v>
      </c>
      <c r="E315" t="str" cm="1">
        <f t="array" ref="E315">_xlfn.IFS(D315&lt;5.7,"Normal",D315&lt;=6.4,"Prediabetes",D315&gt;=6.5,"Diabetes")</f>
        <v>Normal</v>
      </c>
      <c r="F315" s="3" t="s">
        <v>2382</v>
      </c>
      <c r="G315" s="3" t="s">
        <v>2379</v>
      </c>
      <c r="H315" s="3" t="s">
        <v>2382</v>
      </c>
      <c r="I315" s="1">
        <v>1</v>
      </c>
      <c r="J315">
        <v>1</v>
      </c>
      <c r="K315" s="3" t="s">
        <v>2382</v>
      </c>
      <c r="P315" s="3"/>
    </row>
    <row r="316" spans="1:16" x14ac:dyDescent="0.25">
      <c r="A316" s="3" t="s">
        <v>2056</v>
      </c>
      <c r="B316">
        <v>43.5</v>
      </c>
      <c r="C316" t="str" cm="1">
        <f t="array" ref="C316">_xlfn.IFS(B316&lt;=18.5,  "Underweight",B316&lt;=24.9,"Normal weight",B316&lt;=29.9, "Over weight",B316&gt;=30,"Obesity")</f>
        <v>Obesity</v>
      </c>
      <c r="D316">
        <v>6.38</v>
      </c>
      <c r="E316" t="str" cm="1">
        <f t="array" ref="E316">_xlfn.IFS(D316&lt;5.7,"Normal",D316&lt;=6.4,"Prediabetes",D316&gt;=6.5,"Diabetes")</f>
        <v>Prediabetes</v>
      </c>
      <c r="F316" s="3" t="s">
        <v>2379</v>
      </c>
      <c r="G316" s="3" t="s">
        <v>2381</v>
      </c>
      <c r="H316" s="3" t="s">
        <v>2379</v>
      </c>
      <c r="I316" s="1">
        <v>1</v>
      </c>
      <c r="J316">
        <v>1</v>
      </c>
      <c r="K316" s="3" t="s">
        <v>2382</v>
      </c>
      <c r="P316" s="3"/>
    </row>
    <row r="317" spans="1:16" x14ac:dyDescent="0.25">
      <c r="A317" s="3" t="s">
        <v>2055</v>
      </c>
      <c r="B317">
        <v>25.364999999999998</v>
      </c>
      <c r="C317" t="str" cm="1">
        <f t="array" ref="C317">_xlfn.IFS(B317&lt;=18.5,  "Underweight",B317&lt;=24.9,"Normal weight",B317&lt;=29.9, "Over weight",B317&gt;=30,"Obesity")</f>
        <v>Over weight</v>
      </c>
      <c r="D317">
        <v>5.19</v>
      </c>
      <c r="E317" t="str" cm="1">
        <f t="array" ref="E317">_xlfn.IFS(D317&lt;5.7,"Normal",D317&lt;=6.4,"Prediabetes",D317&gt;=6.5,"Diabetes")</f>
        <v>Normal</v>
      </c>
      <c r="F317" s="3" t="s">
        <v>2379</v>
      </c>
      <c r="G317" s="3" t="s">
        <v>2379</v>
      </c>
      <c r="H317" s="3" t="s">
        <v>2379</v>
      </c>
      <c r="I317" s="1">
        <v>2</v>
      </c>
      <c r="J317">
        <v>2</v>
      </c>
      <c r="K317" s="3" t="s">
        <v>2379</v>
      </c>
      <c r="P317" s="3"/>
    </row>
    <row r="318" spans="1:16" x14ac:dyDescent="0.25">
      <c r="A318" s="3" t="s">
        <v>2054</v>
      </c>
      <c r="B318">
        <v>28.594999999999999</v>
      </c>
      <c r="C318" t="str" cm="1">
        <f t="array" ref="C318">_xlfn.IFS(B318&lt;=18.5,  "Underweight",B318&lt;=24.9,"Normal weight",B318&lt;=29.9, "Over weight",B318&gt;=30,"Obesity")</f>
        <v>Over weight</v>
      </c>
      <c r="D318">
        <v>10.210000000000001</v>
      </c>
      <c r="E318" t="str" cm="1">
        <f t="array" ref="E318">_xlfn.IFS(D318&lt;5.7,"Normal",D318&lt;=6.4,"Prediabetes",D318&gt;=6.5,"Diabetes")</f>
        <v>Diabetes</v>
      </c>
      <c r="F318" s="3" t="s">
        <v>2379</v>
      </c>
      <c r="G318" s="3" t="s">
        <v>2379</v>
      </c>
      <c r="H318" s="3" t="s">
        <v>2379</v>
      </c>
      <c r="I318" s="1" t="s">
        <v>2380</v>
      </c>
      <c r="J318">
        <v>0</v>
      </c>
      <c r="K318" s="3" t="s">
        <v>2379</v>
      </c>
      <c r="P318" s="3"/>
    </row>
    <row r="319" spans="1:16" x14ac:dyDescent="0.25">
      <c r="A319" s="3" t="s">
        <v>2053</v>
      </c>
      <c r="B319">
        <v>29.83</v>
      </c>
      <c r="C319" t="str" cm="1">
        <f t="array" ref="C319">_xlfn.IFS(B319&lt;=18.5,  "Underweight",B319&lt;=24.9,"Normal weight",B319&lt;=29.9, "Over weight",B319&gt;=30,"Obesity")</f>
        <v>Over weight</v>
      </c>
      <c r="D319">
        <v>9.6999999999999993</v>
      </c>
      <c r="E319" t="str" cm="1">
        <f t="array" ref="E319">_xlfn.IFS(D319&lt;5.7,"Normal",D319&lt;=6.4,"Prediabetes",D319&gt;=6.5,"Diabetes")</f>
        <v>Diabetes</v>
      </c>
      <c r="F319" s="3" t="s">
        <v>2382</v>
      </c>
      <c r="G319" s="3" t="s">
        <v>2379</v>
      </c>
      <c r="H319" s="3" t="s">
        <v>2382</v>
      </c>
      <c r="I319" s="1">
        <v>1</v>
      </c>
      <c r="J319">
        <v>1</v>
      </c>
      <c r="K319" s="3" t="s">
        <v>2382</v>
      </c>
      <c r="P319" s="3"/>
    </row>
    <row r="320" spans="1:16" x14ac:dyDescent="0.25">
      <c r="A320" s="3" t="s">
        <v>2052</v>
      </c>
      <c r="B320">
        <v>24.7</v>
      </c>
      <c r="C320" t="str" cm="1">
        <f t="array" ref="C320">_xlfn.IFS(B320&lt;=18.5,  "Underweight",B320&lt;=24.9,"Normal weight",B320&lt;=29.9, "Over weight",B320&gt;=30,"Obesity")</f>
        <v>Normal weight</v>
      </c>
      <c r="D320">
        <v>10.25</v>
      </c>
      <c r="E320" t="str" cm="1">
        <f t="array" ref="E320">_xlfn.IFS(D320&lt;5.7,"Normal",D320&lt;=6.4,"Prediabetes",D320&gt;=6.5,"Diabetes")</f>
        <v>Diabetes</v>
      </c>
      <c r="F320" s="3" t="s">
        <v>2379</v>
      </c>
      <c r="G320" s="3" t="s">
        <v>2379</v>
      </c>
      <c r="H320" s="3" t="s">
        <v>2379</v>
      </c>
      <c r="I320" s="1">
        <v>3</v>
      </c>
      <c r="J320">
        <v>3</v>
      </c>
      <c r="K320" s="3" t="s">
        <v>2379</v>
      </c>
      <c r="P320" s="3"/>
    </row>
    <row r="321" spans="1:16" x14ac:dyDescent="0.25">
      <c r="A321" s="3" t="s">
        <v>2051</v>
      </c>
      <c r="B321">
        <v>17.940000000000001</v>
      </c>
      <c r="C321" t="str" cm="1">
        <f t="array" ref="C321">_xlfn.IFS(B321&lt;=18.5,  "Underweight",B321&lt;=24.9,"Normal weight",B321&lt;=29.9, "Over weight",B321&gt;=30,"Obesity")</f>
        <v>Underweight</v>
      </c>
      <c r="D321">
        <v>9.77</v>
      </c>
      <c r="E321" t="str" cm="1">
        <f t="array" ref="E321">_xlfn.IFS(D321&lt;5.7,"Normal",D321&lt;=6.4,"Prediabetes",D321&gt;=6.5,"Diabetes")</f>
        <v>Diabetes</v>
      </c>
      <c r="F321" s="3" t="s">
        <v>2379</v>
      </c>
      <c r="G321" s="3" t="s">
        <v>2379</v>
      </c>
      <c r="H321" s="3" t="s">
        <v>2379</v>
      </c>
      <c r="I321" s="1" t="s">
        <v>2380</v>
      </c>
      <c r="J321">
        <v>0</v>
      </c>
      <c r="K321" s="3" t="s">
        <v>2382</v>
      </c>
      <c r="P321" s="3"/>
    </row>
    <row r="322" spans="1:16" x14ac:dyDescent="0.25">
      <c r="A322" s="3" t="s">
        <v>2050</v>
      </c>
      <c r="B322">
        <v>21.08</v>
      </c>
      <c r="C322" t="str" cm="1">
        <f t="array" ref="C322">_xlfn.IFS(B322&lt;=18.5,  "Underweight",B322&lt;=24.9,"Normal weight",B322&lt;=29.9, "Over weight",B322&gt;=30,"Obesity")</f>
        <v>Normal weight</v>
      </c>
      <c r="D322">
        <v>4.83</v>
      </c>
      <c r="E322" t="str" cm="1">
        <f t="array" ref="E322">_xlfn.IFS(D322&lt;5.7,"Normal",D322&lt;=6.4,"Prediabetes",D322&gt;=6.5,"Diabetes")</f>
        <v>Normal</v>
      </c>
      <c r="F322" s="3" t="s">
        <v>2379</v>
      </c>
      <c r="G322" s="3" t="s">
        <v>2379</v>
      </c>
      <c r="H322" s="3" t="s">
        <v>2382</v>
      </c>
      <c r="I322" s="1">
        <v>1</v>
      </c>
      <c r="J322">
        <v>1</v>
      </c>
      <c r="K322" s="3" t="s">
        <v>2382</v>
      </c>
      <c r="P322" s="3"/>
    </row>
    <row r="323" spans="1:16" x14ac:dyDescent="0.25">
      <c r="A323" s="3" t="s">
        <v>2049</v>
      </c>
      <c r="B323">
        <v>37.715000000000003</v>
      </c>
      <c r="C323" t="str" cm="1">
        <f t="array" ref="C323">_xlfn.IFS(B323&lt;=18.5,  "Underweight",B323&lt;=24.9,"Normal weight",B323&lt;=29.9, "Over weight",B323&gt;=30,"Obesity")</f>
        <v>Obesity</v>
      </c>
      <c r="D323">
        <v>10.86</v>
      </c>
      <c r="E323" t="str" cm="1">
        <f t="array" ref="E323">_xlfn.IFS(D323&lt;5.7,"Normal",D323&lt;=6.4,"Prediabetes",D323&gt;=6.5,"Diabetes")</f>
        <v>Diabetes</v>
      </c>
      <c r="F323" s="3" t="s">
        <v>2382</v>
      </c>
      <c r="G323" s="3" t="s">
        <v>2379</v>
      </c>
      <c r="H323" s="3" t="s">
        <v>2379</v>
      </c>
      <c r="I323" s="1" t="s">
        <v>2380</v>
      </c>
      <c r="J323">
        <v>0</v>
      </c>
      <c r="K323" s="3" t="s">
        <v>2379</v>
      </c>
      <c r="P323" s="3"/>
    </row>
    <row r="324" spans="1:16" x14ac:dyDescent="0.25">
      <c r="A324" s="3" t="s">
        <v>2048</v>
      </c>
      <c r="B324">
        <v>22.39</v>
      </c>
      <c r="C324" t="str" cm="1">
        <f t="array" ref="C324">_xlfn.IFS(B324&lt;=18.5,  "Underweight",B324&lt;=24.9,"Normal weight",B324&lt;=29.9, "Over weight",B324&gt;=30,"Obesity")</f>
        <v>Normal weight</v>
      </c>
      <c r="D324">
        <v>9.5299999999999994</v>
      </c>
      <c r="E324" t="str" cm="1">
        <f t="array" ref="E324">_xlfn.IFS(D324&lt;5.7,"Normal",D324&lt;=6.4,"Prediabetes",D324&gt;=6.5,"Diabetes")</f>
        <v>Diabetes</v>
      </c>
      <c r="F324" s="3" t="s">
        <v>2382</v>
      </c>
      <c r="G324" s="3" t="s">
        <v>2379</v>
      </c>
      <c r="H324" s="3" t="s">
        <v>2379</v>
      </c>
      <c r="I324" s="1" t="s">
        <v>2380</v>
      </c>
      <c r="J324">
        <v>0</v>
      </c>
      <c r="K324" s="3" t="s">
        <v>2382</v>
      </c>
      <c r="P324" s="3"/>
    </row>
    <row r="325" spans="1:16" x14ac:dyDescent="0.25">
      <c r="A325" s="3" t="s">
        <v>2047</v>
      </c>
      <c r="B325">
        <v>28.78</v>
      </c>
      <c r="C325" t="str" cm="1">
        <f t="array" ref="C325">_xlfn.IFS(B325&lt;=18.5,  "Underweight",B325&lt;=24.9,"Normal weight",B325&lt;=29.9, "Over weight",B325&gt;=30,"Obesity")</f>
        <v>Over weight</v>
      </c>
      <c r="D325">
        <v>5.68</v>
      </c>
      <c r="E325" t="str" cm="1">
        <f t="array" ref="E325">_xlfn.IFS(D325&lt;5.7,"Normal",D325&lt;=6.4,"Prediabetes",D325&gt;=6.5,"Diabetes")</f>
        <v>Normal</v>
      </c>
      <c r="F325" s="3" t="s">
        <v>2379</v>
      </c>
      <c r="G325" s="3" t="s">
        <v>2379</v>
      </c>
      <c r="H325" s="3" t="s">
        <v>2379</v>
      </c>
      <c r="I325" s="1" t="s">
        <v>2380</v>
      </c>
      <c r="J325">
        <v>0</v>
      </c>
      <c r="K325" s="3" t="s">
        <v>2382</v>
      </c>
      <c r="P325" s="3"/>
    </row>
    <row r="326" spans="1:16" x14ac:dyDescent="0.25">
      <c r="A326" s="3" t="s">
        <v>2046</v>
      </c>
      <c r="B326">
        <v>18.329999999999998</v>
      </c>
      <c r="C326" t="str" cm="1">
        <f t="array" ref="C326">_xlfn.IFS(B326&lt;=18.5,  "Underweight",B326&lt;=24.9,"Normal weight",B326&lt;=29.9, "Over weight",B326&gt;=30,"Obesity")</f>
        <v>Underweight</v>
      </c>
      <c r="D326">
        <v>5.57</v>
      </c>
      <c r="E326" t="str" cm="1">
        <f t="array" ref="E326">_xlfn.IFS(D326&lt;5.7,"Normal",D326&lt;=6.4,"Prediabetes",D326&gt;=6.5,"Diabetes")</f>
        <v>Normal</v>
      </c>
      <c r="F326" s="3" t="s">
        <v>2382</v>
      </c>
      <c r="G326" s="3" t="s">
        <v>2379</v>
      </c>
      <c r="H326" s="3" t="s">
        <v>2379</v>
      </c>
      <c r="I326" s="1" t="s">
        <v>2380</v>
      </c>
      <c r="J326">
        <v>0</v>
      </c>
      <c r="K326" s="3" t="s">
        <v>2382</v>
      </c>
      <c r="P326" s="3"/>
    </row>
    <row r="327" spans="1:16" x14ac:dyDescent="0.25">
      <c r="A327" s="3" t="s">
        <v>2045</v>
      </c>
      <c r="B327">
        <v>26.39</v>
      </c>
      <c r="C327" t="str" cm="1">
        <f t="array" ref="C327">_xlfn.IFS(B327&lt;=18.5,  "Underweight",B327&lt;=24.9,"Normal weight",B327&lt;=29.9, "Over weight",B327&gt;=30,"Obesity")</f>
        <v>Over weight</v>
      </c>
      <c r="D327">
        <v>4.58</v>
      </c>
      <c r="E327" t="str" cm="1">
        <f t="array" ref="E327">_xlfn.IFS(D327&lt;5.7,"Normal",D327&lt;=6.4,"Prediabetes",D327&gt;=6.5,"Diabetes")</f>
        <v>Normal</v>
      </c>
      <c r="F327" s="3" t="s">
        <v>2382</v>
      </c>
      <c r="G327" s="3" t="s">
        <v>2379</v>
      </c>
      <c r="H327" s="3" t="s">
        <v>2379</v>
      </c>
      <c r="I327" s="1">
        <v>1</v>
      </c>
      <c r="J327">
        <v>1</v>
      </c>
      <c r="K327" s="3" t="s">
        <v>2382</v>
      </c>
      <c r="P327" s="3"/>
    </row>
    <row r="328" spans="1:16" x14ac:dyDescent="0.25">
      <c r="A328" s="3" t="s">
        <v>2044</v>
      </c>
      <c r="B328">
        <v>19.260000000000002</v>
      </c>
      <c r="C328" t="str" cm="1">
        <f t="array" ref="C328">_xlfn.IFS(B328&lt;=18.5,  "Underweight",B328&lt;=24.9,"Normal weight",B328&lt;=29.9, "Over weight",B328&gt;=30,"Obesity")</f>
        <v>Normal weight</v>
      </c>
      <c r="D328">
        <v>8.9600000000000009</v>
      </c>
      <c r="E328" t="str" cm="1">
        <f t="array" ref="E328">_xlfn.IFS(D328&lt;5.7,"Normal",D328&lt;=6.4,"Prediabetes",D328&gt;=6.5,"Diabetes")</f>
        <v>Diabetes</v>
      </c>
      <c r="F328" s="3" t="s">
        <v>2382</v>
      </c>
      <c r="G328" s="3" t="s">
        <v>2379</v>
      </c>
      <c r="H328" s="3" t="s">
        <v>2379</v>
      </c>
      <c r="I328" s="1">
        <v>1</v>
      </c>
      <c r="J328">
        <v>1</v>
      </c>
      <c r="K328" s="3" t="s">
        <v>2382</v>
      </c>
      <c r="P328" s="3"/>
    </row>
    <row r="329" spans="1:16" x14ac:dyDescent="0.25">
      <c r="A329" s="3" t="s">
        <v>2043</v>
      </c>
      <c r="B329">
        <v>26.92</v>
      </c>
      <c r="C329" t="str" cm="1">
        <f t="array" ref="C329">_xlfn.IFS(B329&lt;=18.5,  "Underweight",B329&lt;=24.9,"Normal weight",B329&lt;=29.9, "Over weight",B329&gt;=30,"Obesity")</f>
        <v>Over weight</v>
      </c>
      <c r="D329">
        <v>6.09</v>
      </c>
      <c r="E329" t="str" cm="1">
        <f t="array" ref="E329">_xlfn.IFS(D329&lt;5.7,"Normal",D329&lt;=6.4,"Prediabetes",D329&gt;=6.5,"Diabetes")</f>
        <v>Prediabetes</v>
      </c>
      <c r="F329" s="3" t="s">
        <v>2379</v>
      </c>
      <c r="G329" s="3" t="s">
        <v>2379</v>
      </c>
      <c r="H329" s="3" t="s">
        <v>2379</v>
      </c>
      <c r="I329" s="1" t="s">
        <v>2380</v>
      </c>
      <c r="J329">
        <v>0</v>
      </c>
      <c r="K329" s="3" t="s">
        <v>2382</v>
      </c>
      <c r="P329" s="3"/>
    </row>
    <row r="330" spans="1:16" x14ac:dyDescent="0.25">
      <c r="A330" s="3" t="s">
        <v>2042</v>
      </c>
      <c r="B330">
        <v>19.73</v>
      </c>
      <c r="C330" t="str" cm="1">
        <f t="array" ref="C330">_xlfn.IFS(B330&lt;=18.5,  "Underweight",B330&lt;=24.9,"Normal weight",B330&lt;=29.9, "Over weight",B330&gt;=30,"Obesity")</f>
        <v>Normal weight</v>
      </c>
      <c r="D330">
        <v>4.3600000000000003</v>
      </c>
      <c r="E330" t="str" cm="1">
        <f t="array" ref="E330">_xlfn.IFS(D330&lt;5.7,"Normal",D330&lt;=6.4,"Prediabetes",D330&gt;=6.5,"Diabetes")</f>
        <v>Normal</v>
      </c>
      <c r="F330" s="3" t="s">
        <v>2379</v>
      </c>
      <c r="G330" s="3" t="s">
        <v>2379</v>
      </c>
      <c r="H330" s="3" t="s">
        <v>2379</v>
      </c>
      <c r="I330" s="1" t="s">
        <v>2380</v>
      </c>
      <c r="J330">
        <v>0</v>
      </c>
      <c r="K330" s="3" t="s">
        <v>2382</v>
      </c>
      <c r="P330" s="3"/>
    </row>
    <row r="331" spans="1:16" x14ac:dyDescent="0.25">
      <c r="A331" s="3" t="s">
        <v>2041</v>
      </c>
      <c r="B331">
        <v>23.56</v>
      </c>
      <c r="C331" t="str" cm="1">
        <f t="array" ref="C331">_xlfn.IFS(B331&lt;=18.5,  "Underweight",B331&lt;=24.9,"Normal weight",B331&lt;=29.9, "Over weight",B331&gt;=30,"Obesity")</f>
        <v>Normal weight</v>
      </c>
      <c r="D331">
        <v>11.74</v>
      </c>
      <c r="E331" t="str" cm="1">
        <f t="array" ref="E331">_xlfn.IFS(D331&lt;5.7,"Normal",D331&lt;=6.4,"Prediabetes",D331&gt;=6.5,"Diabetes")</f>
        <v>Diabetes</v>
      </c>
      <c r="F331" s="3" t="s">
        <v>2382</v>
      </c>
      <c r="G331" s="3" t="s">
        <v>2379</v>
      </c>
      <c r="H331" s="3" t="s">
        <v>2379</v>
      </c>
      <c r="I331" s="1" t="s">
        <v>2380</v>
      </c>
      <c r="J331">
        <v>0</v>
      </c>
      <c r="K331" s="3" t="s">
        <v>2382</v>
      </c>
      <c r="P331" s="3"/>
    </row>
    <row r="332" spans="1:16" x14ac:dyDescent="0.25">
      <c r="A332" s="3" t="s">
        <v>2040</v>
      </c>
      <c r="B332">
        <v>37.67</v>
      </c>
      <c r="C332" t="str" cm="1">
        <f t="array" ref="C332">_xlfn.IFS(B332&lt;=18.5,  "Underweight",B332&lt;=24.9,"Normal weight",B332&lt;=29.9, "Over weight",B332&gt;=30,"Obesity")</f>
        <v>Obesity</v>
      </c>
      <c r="D332">
        <v>5.89</v>
      </c>
      <c r="E332" t="str" cm="1">
        <f t="array" ref="E332">_xlfn.IFS(D332&lt;5.7,"Normal",D332&lt;=6.4,"Prediabetes",D332&gt;=6.5,"Diabetes")</f>
        <v>Prediabetes</v>
      </c>
      <c r="F332" s="3" t="s">
        <v>2379</v>
      </c>
      <c r="G332" s="3" t="s">
        <v>2379</v>
      </c>
      <c r="H332" s="3" t="s">
        <v>2379</v>
      </c>
      <c r="I332" s="1">
        <v>1</v>
      </c>
      <c r="J332">
        <v>1</v>
      </c>
      <c r="K332" s="3" t="s">
        <v>2382</v>
      </c>
      <c r="P332" s="3"/>
    </row>
    <row r="333" spans="1:16" x14ac:dyDescent="0.25">
      <c r="A333" s="3" t="s">
        <v>2039</v>
      </c>
      <c r="B333">
        <v>18.73</v>
      </c>
      <c r="C333" t="str" cm="1">
        <f t="array" ref="C333">_xlfn.IFS(B333&lt;=18.5,  "Underweight",B333&lt;=24.9,"Normal weight",B333&lt;=29.9, "Over weight",B333&gt;=30,"Obesity")</f>
        <v>Normal weight</v>
      </c>
      <c r="D333">
        <v>10.64</v>
      </c>
      <c r="E333" t="str" cm="1">
        <f t="array" ref="E333">_xlfn.IFS(D333&lt;5.7,"Normal",D333&lt;=6.4,"Prediabetes",D333&gt;=6.5,"Diabetes")</f>
        <v>Diabetes</v>
      </c>
      <c r="F333" s="3" t="s">
        <v>2379</v>
      </c>
      <c r="G333" s="3" t="s">
        <v>2379</v>
      </c>
      <c r="H333" s="3" t="s">
        <v>2379</v>
      </c>
      <c r="I333" s="1">
        <v>2</v>
      </c>
      <c r="J333">
        <v>2</v>
      </c>
      <c r="K333" s="3" t="s">
        <v>2382</v>
      </c>
      <c r="P333" s="3"/>
    </row>
    <row r="334" spans="1:16" x14ac:dyDescent="0.25">
      <c r="A334" s="3" t="s">
        <v>2038</v>
      </c>
      <c r="B334">
        <v>33.090000000000003</v>
      </c>
      <c r="C334" t="str" cm="1">
        <f t="array" ref="C334">_xlfn.IFS(B334&lt;=18.5,  "Underweight",B334&lt;=24.9,"Normal weight",B334&lt;=29.9, "Over weight",B334&gt;=30,"Obesity")</f>
        <v>Obesity</v>
      </c>
      <c r="D334">
        <v>6.06</v>
      </c>
      <c r="E334" t="str" cm="1">
        <f t="array" ref="E334">_xlfn.IFS(D334&lt;5.7,"Normal",D334&lt;=6.4,"Prediabetes",D334&gt;=6.5,"Diabetes")</f>
        <v>Prediabetes</v>
      </c>
      <c r="F334" s="3" t="s">
        <v>2379</v>
      </c>
      <c r="G334" s="3" t="s">
        <v>2379</v>
      </c>
      <c r="H334" s="3" t="s">
        <v>2382</v>
      </c>
      <c r="I334" s="1">
        <v>1</v>
      </c>
      <c r="J334">
        <v>1</v>
      </c>
      <c r="K334" s="3" t="s">
        <v>2382</v>
      </c>
      <c r="P334" s="3"/>
    </row>
    <row r="335" spans="1:16" x14ac:dyDescent="0.25">
      <c r="A335" s="3" t="s">
        <v>2037</v>
      </c>
      <c r="B335">
        <v>18.329999999999998</v>
      </c>
      <c r="C335" t="str" cm="1">
        <f t="array" ref="C335">_xlfn.IFS(B335&lt;=18.5,  "Underweight",B335&lt;=24.9,"Normal weight",B335&lt;=29.9, "Over weight",B335&gt;=30,"Obesity")</f>
        <v>Underweight</v>
      </c>
      <c r="D335">
        <v>7.46</v>
      </c>
      <c r="E335" t="str" cm="1">
        <f t="array" ref="E335">_xlfn.IFS(D335&lt;5.7,"Normal",D335&lt;=6.4,"Prediabetes",D335&gt;=6.5,"Diabetes")</f>
        <v>Diabetes</v>
      </c>
      <c r="F335" s="3" t="s">
        <v>2382</v>
      </c>
      <c r="G335" s="3" t="s">
        <v>2379</v>
      </c>
      <c r="H335" s="3" t="s">
        <v>2379</v>
      </c>
      <c r="I335" s="1">
        <v>1</v>
      </c>
      <c r="J335">
        <v>1</v>
      </c>
      <c r="K335" s="3" t="s">
        <v>2382</v>
      </c>
      <c r="P335" s="3"/>
    </row>
    <row r="336" spans="1:16" x14ac:dyDescent="0.25">
      <c r="A336" s="3" t="s">
        <v>2036</v>
      </c>
      <c r="B336">
        <v>27.74</v>
      </c>
      <c r="C336" t="str" cm="1">
        <f t="array" ref="C336">_xlfn.IFS(B336&lt;=18.5,  "Underweight",B336&lt;=24.9,"Normal weight",B336&lt;=29.9, "Over weight",B336&gt;=30,"Obesity")</f>
        <v>Over weight</v>
      </c>
      <c r="D336">
        <v>4.68</v>
      </c>
      <c r="E336" t="str" cm="1">
        <f t="array" ref="E336">_xlfn.IFS(D336&lt;5.7,"Normal",D336&lt;=6.4,"Prediabetes",D336&gt;=6.5,"Diabetes")</f>
        <v>Normal</v>
      </c>
      <c r="F336" s="3" t="s">
        <v>2382</v>
      </c>
      <c r="G336" s="3" t="s">
        <v>2379</v>
      </c>
      <c r="H336" s="3" t="s">
        <v>2379</v>
      </c>
      <c r="I336" s="1">
        <v>2</v>
      </c>
      <c r="J336">
        <v>2</v>
      </c>
      <c r="K336" s="3" t="s">
        <v>2382</v>
      </c>
      <c r="P336" s="3"/>
    </row>
    <row r="337" spans="1:16" x14ac:dyDescent="0.25">
      <c r="A337" s="3" t="s">
        <v>2035</v>
      </c>
      <c r="B337">
        <v>24.2</v>
      </c>
      <c r="C337" t="str" cm="1">
        <f t="array" ref="C337">_xlfn.IFS(B337&lt;=18.5,  "Underweight",B337&lt;=24.9,"Normal weight",B337&lt;=29.9, "Over weight",B337&gt;=30,"Obesity")</f>
        <v>Normal weight</v>
      </c>
      <c r="D337">
        <v>6.15</v>
      </c>
      <c r="E337" t="str" cm="1">
        <f t="array" ref="E337">_xlfn.IFS(D337&lt;5.7,"Normal",D337&lt;=6.4,"Prediabetes",D337&gt;=6.5,"Diabetes")</f>
        <v>Prediabetes</v>
      </c>
      <c r="F337" s="3" t="s">
        <v>2379</v>
      </c>
      <c r="G337" s="3" t="s">
        <v>2379</v>
      </c>
      <c r="H337" s="3" t="s">
        <v>2379</v>
      </c>
      <c r="I337" s="1">
        <v>1</v>
      </c>
      <c r="J337">
        <v>1</v>
      </c>
      <c r="K337" s="3" t="s">
        <v>2382</v>
      </c>
      <c r="P337" s="3"/>
    </row>
    <row r="338" spans="1:16" x14ac:dyDescent="0.25">
      <c r="A338" s="3" t="s">
        <v>2034</v>
      </c>
      <c r="B338">
        <v>22.03</v>
      </c>
      <c r="C338" t="str" cm="1">
        <f t="array" ref="C338">_xlfn.IFS(B338&lt;=18.5,  "Underweight",B338&lt;=24.9,"Normal weight",B338&lt;=29.9, "Over weight",B338&gt;=30,"Obesity")</f>
        <v>Normal weight</v>
      </c>
      <c r="D338">
        <v>4.28</v>
      </c>
      <c r="E338" t="str" cm="1">
        <f t="array" ref="E338">_xlfn.IFS(D338&lt;5.7,"Normal",D338&lt;=6.4,"Prediabetes",D338&gt;=6.5,"Diabetes")</f>
        <v>Normal</v>
      </c>
      <c r="F338" s="3" t="s">
        <v>2382</v>
      </c>
      <c r="G338" s="3" t="s">
        <v>2379</v>
      </c>
      <c r="H338" s="3" t="s">
        <v>2379</v>
      </c>
      <c r="I338" s="1" t="s">
        <v>2380</v>
      </c>
      <c r="J338">
        <v>0</v>
      </c>
      <c r="K338" s="3" t="s">
        <v>2382</v>
      </c>
      <c r="P338" s="3"/>
    </row>
    <row r="339" spans="1:16" x14ac:dyDescent="0.25">
      <c r="A339" s="3" t="s">
        <v>2033</v>
      </c>
      <c r="B339">
        <v>26.885000000000002</v>
      </c>
      <c r="C339" t="str" cm="1">
        <f t="array" ref="C339">_xlfn.IFS(B339&lt;=18.5,  "Underweight",B339&lt;=24.9,"Normal weight",B339&lt;=29.9, "Over weight",B339&gt;=30,"Obesity")</f>
        <v>Over weight</v>
      </c>
      <c r="D339">
        <v>9.86</v>
      </c>
      <c r="E339" t="str" cm="1">
        <f t="array" ref="E339">_xlfn.IFS(D339&lt;5.7,"Normal",D339&lt;=6.4,"Prediabetes",D339&gt;=6.5,"Diabetes")</f>
        <v>Diabetes</v>
      </c>
      <c r="F339" s="3" t="s">
        <v>2379</v>
      </c>
      <c r="G339" s="3" t="s">
        <v>2379</v>
      </c>
      <c r="H339" s="3" t="s">
        <v>2379</v>
      </c>
      <c r="I339" s="1">
        <v>3</v>
      </c>
      <c r="J339">
        <v>3</v>
      </c>
      <c r="K339" s="3" t="s">
        <v>2382</v>
      </c>
      <c r="P339" s="3"/>
    </row>
    <row r="340" spans="1:16" x14ac:dyDescent="0.25">
      <c r="A340" s="3" t="s">
        <v>2032</v>
      </c>
      <c r="B340">
        <v>16.36</v>
      </c>
      <c r="C340" t="str" cm="1">
        <f t="array" ref="C340">_xlfn.IFS(B340&lt;=18.5,  "Underweight",B340&lt;=24.9,"Normal weight",B340&lt;=29.9, "Over weight",B340&gt;=30,"Obesity")</f>
        <v>Underweight</v>
      </c>
      <c r="D340">
        <v>11.19</v>
      </c>
      <c r="E340" t="str" cm="1">
        <f t="array" ref="E340">_xlfn.IFS(D340&lt;5.7,"Normal",D340&lt;=6.4,"Prediabetes",D340&gt;=6.5,"Diabetes")</f>
        <v>Diabetes</v>
      </c>
      <c r="F340" s="3" t="s">
        <v>2379</v>
      </c>
      <c r="G340" s="3" t="s">
        <v>2379</v>
      </c>
      <c r="H340" s="3" t="s">
        <v>2379</v>
      </c>
      <c r="I340" s="1" t="s">
        <v>2380</v>
      </c>
      <c r="J340">
        <v>0</v>
      </c>
      <c r="K340" s="3" t="s">
        <v>2382</v>
      </c>
      <c r="P340" s="3"/>
    </row>
    <row r="341" spans="1:16" x14ac:dyDescent="0.25">
      <c r="A341" s="3" t="s">
        <v>2031</v>
      </c>
      <c r="B341">
        <v>32.299999999999997</v>
      </c>
      <c r="C341" t="str" cm="1">
        <f t="array" ref="C341">_xlfn.IFS(B341&lt;=18.5,  "Underweight",B341&lt;=24.9,"Normal weight",B341&lt;=29.9, "Over weight",B341&gt;=30,"Obesity")</f>
        <v>Obesity</v>
      </c>
      <c r="D341">
        <v>4.8899999999999997</v>
      </c>
      <c r="E341" t="str" cm="1">
        <f t="array" ref="E341">_xlfn.IFS(D341&lt;5.7,"Normal",D341&lt;=6.4,"Prediabetes",D341&gt;=6.5,"Diabetes")</f>
        <v>Normal</v>
      </c>
      <c r="F341" s="3" t="s">
        <v>2382</v>
      </c>
      <c r="G341" s="3" t="s">
        <v>2379</v>
      </c>
      <c r="H341" s="3" t="s">
        <v>2382</v>
      </c>
      <c r="I341" s="1">
        <v>1</v>
      </c>
      <c r="J341">
        <v>1</v>
      </c>
      <c r="K341" s="3" t="s">
        <v>2379</v>
      </c>
      <c r="P341" s="3"/>
    </row>
    <row r="342" spans="1:16" x14ac:dyDescent="0.25">
      <c r="A342" s="3" t="s">
        <v>2030</v>
      </c>
      <c r="B342">
        <v>16.05</v>
      </c>
      <c r="C342" t="str" cm="1">
        <f t="array" ref="C342">_xlfn.IFS(B342&lt;=18.5,  "Underweight",B342&lt;=24.9,"Normal weight",B342&lt;=29.9, "Over weight",B342&gt;=30,"Obesity")</f>
        <v>Underweight</v>
      </c>
      <c r="D342">
        <v>4.3499999999999996</v>
      </c>
      <c r="E342" t="str" cm="1">
        <f t="array" ref="E342">_xlfn.IFS(D342&lt;5.7,"Normal",D342&lt;=6.4,"Prediabetes",D342&gt;=6.5,"Diabetes")</f>
        <v>Normal</v>
      </c>
      <c r="F342" s="3" t="s">
        <v>2382</v>
      </c>
      <c r="G342" s="3" t="s">
        <v>2379</v>
      </c>
      <c r="H342" s="3" t="s">
        <v>2379</v>
      </c>
      <c r="I342" s="1" t="s">
        <v>2380</v>
      </c>
      <c r="J342">
        <v>0</v>
      </c>
      <c r="K342" s="3" t="s">
        <v>2382</v>
      </c>
      <c r="P342" s="3"/>
    </row>
    <row r="343" spans="1:16" x14ac:dyDescent="0.25">
      <c r="A343" s="3" t="s">
        <v>2029</v>
      </c>
      <c r="B343">
        <v>29.07</v>
      </c>
      <c r="C343" t="str" cm="1">
        <f t="array" ref="C343">_xlfn.IFS(B343&lt;=18.5,  "Underweight",B343&lt;=24.9,"Normal weight",B343&lt;=29.9, "Over weight",B343&gt;=30,"Obesity")</f>
        <v>Over weight</v>
      </c>
      <c r="D343">
        <v>8.66</v>
      </c>
      <c r="E343" t="str" cm="1">
        <f t="array" ref="E343">_xlfn.IFS(D343&lt;5.7,"Normal",D343&lt;=6.4,"Prediabetes",D343&gt;=6.5,"Diabetes")</f>
        <v>Diabetes</v>
      </c>
      <c r="F343" s="3" t="s">
        <v>2382</v>
      </c>
      <c r="G343" s="3" t="s">
        <v>2379</v>
      </c>
      <c r="H343" s="3" t="s">
        <v>2379</v>
      </c>
      <c r="I343" s="1">
        <v>2</v>
      </c>
      <c r="J343">
        <v>2</v>
      </c>
      <c r="K343" s="3" t="s">
        <v>2382</v>
      </c>
      <c r="P343" s="3"/>
    </row>
    <row r="344" spans="1:16" x14ac:dyDescent="0.25">
      <c r="A344" s="3" t="s">
        <v>2028</v>
      </c>
      <c r="B344">
        <v>17.43</v>
      </c>
      <c r="C344" t="str" cm="1">
        <f t="array" ref="C344">_xlfn.IFS(B344&lt;=18.5,  "Underweight",B344&lt;=24.9,"Normal weight",B344&lt;=29.9, "Over weight",B344&gt;=30,"Obesity")</f>
        <v>Underweight</v>
      </c>
      <c r="D344">
        <v>8.64</v>
      </c>
      <c r="E344" t="str" cm="1">
        <f t="array" ref="E344">_xlfn.IFS(D344&lt;5.7,"Normal",D344&lt;=6.4,"Prediabetes",D344&gt;=6.5,"Diabetes")</f>
        <v>Diabetes</v>
      </c>
      <c r="F344" s="3" t="s">
        <v>2379</v>
      </c>
      <c r="G344" s="3" t="s">
        <v>2379</v>
      </c>
      <c r="H344" s="3" t="s">
        <v>2379</v>
      </c>
      <c r="I344" s="1" t="s">
        <v>2380</v>
      </c>
      <c r="J344">
        <v>0</v>
      </c>
      <c r="K344" s="3" t="s">
        <v>2382</v>
      </c>
      <c r="P344" s="3"/>
    </row>
    <row r="345" spans="1:16" x14ac:dyDescent="0.25">
      <c r="A345" s="3" t="s">
        <v>2027</v>
      </c>
      <c r="B345">
        <v>19.329999999999998</v>
      </c>
      <c r="C345" t="str" cm="1">
        <f t="array" ref="C345">_xlfn.IFS(B345&lt;=18.5,  "Underweight",B345&lt;=24.9,"Normal weight",B345&lt;=29.9, "Over weight",B345&gt;=30,"Obesity")</f>
        <v>Normal weight</v>
      </c>
      <c r="D345">
        <v>4.2699999999999996</v>
      </c>
      <c r="E345" t="str" cm="1">
        <f t="array" ref="E345">_xlfn.IFS(D345&lt;5.7,"Normal",D345&lt;=6.4,"Prediabetes",D345&gt;=6.5,"Diabetes")</f>
        <v>Normal</v>
      </c>
      <c r="F345" s="3" t="s">
        <v>2379</v>
      </c>
      <c r="G345" s="3" t="s">
        <v>2379</v>
      </c>
      <c r="H345" s="3" t="s">
        <v>2379</v>
      </c>
      <c r="I345" s="1" t="s">
        <v>2380</v>
      </c>
      <c r="J345">
        <v>0</v>
      </c>
      <c r="K345" s="3" t="s">
        <v>2382</v>
      </c>
      <c r="P345" s="3"/>
    </row>
    <row r="346" spans="1:16" x14ac:dyDescent="0.25">
      <c r="A346" s="3" t="s">
        <v>2026</v>
      </c>
      <c r="B346">
        <v>30.52</v>
      </c>
      <c r="C346" t="str" cm="1">
        <f t="array" ref="C346">_xlfn.IFS(B346&lt;=18.5,  "Underweight",B346&lt;=24.9,"Normal weight",B346&lt;=29.9, "Over weight",B346&gt;=30,"Obesity")</f>
        <v>Obesity</v>
      </c>
      <c r="D346">
        <v>4.21</v>
      </c>
      <c r="E346" t="str" cm="1">
        <f t="array" ref="E346">_xlfn.IFS(D346&lt;5.7,"Normal",D346&lt;=6.4,"Prediabetes",D346&gt;=6.5,"Diabetes")</f>
        <v>Normal</v>
      </c>
      <c r="F346" s="3" t="s">
        <v>2379</v>
      </c>
      <c r="G346" s="3" t="s">
        <v>2379</v>
      </c>
      <c r="H346" s="3" t="s">
        <v>2379</v>
      </c>
      <c r="I346" s="1">
        <v>1</v>
      </c>
      <c r="J346">
        <v>1</v>
      </c>
      <c r="K346" s="3" t="s">
        <v>2382</v>
      </c>
      <c r="P346" s="3"/>
    </row>
    <row r="347" spans="1:16" x14ac:dyDescent="0.25">
      <c r="A347" s="3" t="s">
        <v>2025</v>
      </c>
      <c r="B347">
        <v>39.21</v>
      </c>
      <c r="C347" t="str" cm="1">
        <f t="array" ref="C347">_xlfn.IFS(B347&lt;=18.5,  "Underweight",B347&lt;=24.9,"Normal weight",B347&lt;=29.9, "Over weight",B347&gt;=30,"Obesity")</f>
        <v>Obesity</v>
      </c>
      <c r="D347">
        <v>5.04</v>
      </c>
      <c r="E347" t="str" cm="1">
        <f t="array" ref="E347">_xlfn.IFS(D347&lt;5.7,"Normal",D347&lt;=6.4,"Prediabetes",D347&gt;=6.5,"Diabetes")</f>
        <v>Normal</v>
      </c>
      <c r="F347" s="3" t="s">
        <v>2379</v>
      </c>
      <c r="G347" s="3" t="s">
        <v>2379</v>
      </c>
      <c r="H347" s="3" t="s">
        <v>2382</v>
      </c>
      <c r="I347" s="1">
        <v>1</v>
      </c>
      <c r="J347">
        <v>1</v>
      </c>
      <c r="K347" s="3" t="s">
        <v>2382</v>
      </c>
      <c r="P347" s="3"/>
    </row>
    <row r="348" spans="1:16" x14ac:dyDescent="0.25">
      <c r="A348" s="3" t="s">
        <v>2024</v>
      </c>
      <c r="B348">
        <v>26.98</v>
      </c>
      <c r="C348" t="str" cm="1">
        <f t="array" ref="C348">_xlfn.IFS(B348&lt;=18.5,  "Underweight",B348&lt;=24.9,"Normal weight",B348&lt;=29.9, "Over weight",B348&gt;=30,"Obesity")</f>
        <v>Over weight</v>
      </c>
      <c r="D348">
        <v>5.21</v>
      </c>
      <c r="E348" t="str" cm="1">
        <f t="array" ref="E348">_xlfn.IFS(D348&lt;5.7,"Normal",D348&lt;=6.4,"Prediabetes",D348&gt;=6.5,"Diabetes")</f>
        <v>Normal</v>
      </c>
      <c r="F348" s="3" t="s">
        <v>2382</v>
      </c>
      <c r="G348" s="3" t="s">
        <v>2379</v>
      </c>
      <c r="H348" s="3" t="s">
        <v>2379</v>
      </c>
      <c r="I348" s="1">
        <v>2</v>
      </c>
      <c r="J348">
        <v>2</v>
      </c>
      <c r="K348" s="3" t="s">
        <v>2382</v>
      </c>
      <c r="P348" s="3"/>
    </row>
    <row r="349" spans="1:16" x14ac:dyDescent="0.25">
      <c r="A349" s="3" t="s">
        <v>2023</v>
      </c>
      <c r="B349">
        <v>25.84</v>
      </c>
      <c r="C349" t="str" cm="1">
        <f t="array" ref="C349">_xlfn.IFS(B349&lt;=18.5,  "Underweight",B349&lt;=24.9,"Normal weight",B349&lt;=29.9, "Over weight",B349&gt;=30,"Obesity")</f>
        <v>Over weight</v>
      </c>
      <c r="D349">
        <v>8.83</v>
      </c>
      <c r="E349" t="str" cm="1">
        <f t="array" ref="E349">_xlfn.IFS(D349&lt;5.7,"Normal",D349&lt;=6.4,"Prediabetes",D349&gt;=6.5,"Diabetes")</f>
        <v>Diabetes</v>
      </c>
      <c r="F349" s="3" t="s">
        <v>2379</v>
      </c>
      <c r="G349" s="3" t="s">
        <v>2379</v>
      </c>
      <c r="H349" s="3" t="s">
        <v>2379</v>
      </c>
      <c r="I349" s="1" t="s">
        <v>2380</v>
      </c>
      <c r="J349">
        <v>0</v>
      </c>
      <c r="K349" s="3" t="s">
        <v>2379</v>
      </c>
      <c r="P349" s="3"/>
    </row>
    <row r="350" spans="1:16" x14ac:dyDescent="0.25">
      <c r="A350" s="3" t="s">
        <v>2022</v>
      </c>
      <c r="B350">
        <v>28.31</v>
      </c>
      <c r="C350" t="str" cm="1">
        <f t="array" ref="C350">_xlfn.IFS(B350&lt;=18.5,  "Underweight",B350&lt;=24.9,"Normal weight",B350&lt;=29.9, "Over weight",B350&gt;=30,"Obesity")</f>
        <v>Over weight</v>
      </c>
      <c r="D350">
        <v>8.4700000000000006</v>
      </c>
      <c r="E350" t="str" cm="1">
        <f t="array" ref="E350">_xlfn.IFS(D350&lt;5.7,"Normal",D350&lt;=6.4,"Prediabetes",D350&gt;=6.5,"Diabetes")</f>
        <v>Diabetes</v>
      </c>
      <c r="F350" s="3" t="s">
        <v>2382</v>
      </c>
      <c r="G350" s="3" t="s">
        <v>2379</v>
      </c>
      <c r="H350" s="3" t="s">
        <v>2379</v>
      </c>
      <c r="I350" s="1">
        <v>2</v>
      </c>
      <c r="J350">
        <v>2</v>
      </c>
      <c r="K350" s="3" t="s">
        <v>2382</v>
      </c>
      <c r="P350" s="3"/>
    </row>
    <row r="351" spans="1:16" x14ac:dyDescent="0.25">
      <c r="A351" s="3" t="s">
        <v>2021</v>
      </c>
      <c r="B351">
        <v>23.94</v>
      </c>
      <c r="C351" t="str" cm="1">
        <f t="array" ref="C351">_xlfn.IFS(B351&lt;=18.5,  "Underweight",B351&lt;=24.9,"Normal weight",B351&lt;=29.9, "Over weight",B351&gt;=30,"Obesity")</f>
        <v>Normal weight</v>
      </c>
      <c r="D351">
        <v>4.2</v>
      </c>
      <c r="E351" t="str" cm="1">
        <f t="array" ref="E351">_xlfn.IFS(D351&lt;5.7,"Normal",D351&lt;=6.4,"Prediabetes",D351&gt;=6.5,"Diabetes")</f>
        <v>Normal</v>
      </c>
      <c r="F351" s="3" t="s">
        <v>2379</v>
      </c>
      <c r="G351" s="3" t="s">
        <v>2379</v>
      </c>
      <c r="H351" s="3" t="s">
        <v>2379</v>
      </c>
      <c r="I351" s="1" t="s">
        <v>2380</v>
      </c>
      <c r="J351">
        <v>0</v>
      </c>
      <c r="K351" s="3" t="s">
        <v>2382</v>
      </c>
      <c r="P351" s="3"/>
    </row>
    <row r="352" spans="1:16" x14ac:dyDescent="0.25">
      <c r="A352" s="3" t="s">
        <v>2020</v>
      </c>
      <c r="B352">
        <v>20.03</v>
      </c>
      <c r="C352" t="str" cm="1">
        <f t="array" ref="C352">_xlfn.IFS(B352&lt;=18.5,  "Underweight",B352&lt;=24.9,"Normal weight",B352&lt;=29.9, "Over weight",B352&gt;=30,"Obesity")</f>
        <v>Normal weight</v>
      </c>
      <c r="D352">
        <v>6.14</v>
      </c>
      <c r="E352" t="str" cm="1">
        <f t="array" ref="E352">_xlfn.IFS(D352&lt;5.7,"Normal",D352&lt;=6.4,"Prediabetes",D352&gt;=6.5,"Diabetes")</f>
        <v>Prediabetes</v>
      </c>
      <c r="F352" s="3" t="s">
        <v>2382</v>
      </c>
      <c r="G352" s="3" t="s">
        <v>2379</v>
      </c>
      <c r="H352" s="3" t="s">
        <v>2379</v>
      </c>
      <c r="I352" s="1" t="s">
        <v>2380</v>
      </c>
      <c r="J352">
        <v>0</v>
      </c>
      <c r="K352" s="3" t="s">
        <v>2382</v>
      </c>
      <c r="P352" s="3"/>
    </row>
    <row r="353" spans="1:16" x14ac:dyDescent="0.25">
      <c r="A353" s="3" t="s">
        <v>2019</v>
      </c>
      <c r="B353">
        <v>41.42</v>
      </c>
      <c r="C353" t="str" cm="1">
        <f t="array" ref="C353">_xlfn.IFS(B353&lt;=18.5,  "Underweight",B353&lt;=24.9,"Normal weight",B353&lt;=29.9, "Over weight",B353&gt;=30,"Obesity")</f>
        <v>Obesity</v>
      </c>
      <c r="D353">
        <v>6.07</v>
      </c>
      <c r="E353" t="str" cm="1">
        <f t="array" ref="E353">_xlfn.IFS(D353&lt;5.7,"Normal",D353&lt;=6.4,"Prediabetes",D353&gt;=6.5,"Diabetes")</f>
        <v>Prediabetes</v>
      </c>
      <c r="F353" s="3" t="s">
        <v>2379</v>
      </c>
      <c r="G353" s="3" t="s">
        <v>2379</v>
      </c>
      <c r="H353" s="3" t="s">
        <v>2379</v>
      </c>
      <c r="I353" s="1" t="s">
        <v>2380</v>
      </c>
      <c r="J353">
        <v>0</v>
      </c>
      <c r="K353" s="3" t="s">
        <v>2379</v>
      </c>
      <c r="P353" s="3"/>
    </row>
    <row r="354" spans="1:16" x14ac:dyDescent="0.25">
      <c r="A354" s="3" t="s">
        <v>2018</v>
      </c>
      <c r="B354">
        <v>36.67</v>
      </c>
      <c r="C354" t="str" cm="1">
        <f t="array" ref="C354">_xlfn.IFS(B354&lt;=18.5,  "Underweight",B354&lt;=24.9,"Normal weight",B354&lt;=29.9, "Over weight",B354&gt;=30,"Obesity")</f>
        <v>Obesity</v>
      </c>
      <c r="D354">
        <v>10.210000000000001</v>
      </c>
      <c r="E354" t="str" cm="1">
        <f t="array" ref="E354">_xlfn.IFS(D354&lt;5.7,"Normal",D354&lt;=6.4,"Prediabetes",D354&gt;=6.5,"Diabetes")</f>
        <v>Diabetes</v>
      </c>
      <c r="F354" s="3" t="s">
        <v>2379</v>
      </c>
      <c r="G354" s="3" t="s">
        <v>2379</v>
      </c>
      <c r="H354" s="3" t="s">
        <v>2379</v>
      </c>
      <c r="I354" s="1" t="s">
        <v>2380</v>
      </c>
      <c r="J354">
        <v>0</v>
      </c>
      <c r="K354" s="3" t="s">
        <v>2379</v>
      </c>
      <c r="P354" s="3"/>
    </row>
    <row r="355" spans="1:16" x14ac:dyDescent="0.25">
      <c r="A355" s="3" t="s">
        <v>2017</v>
      </c>
      <c r="B355">
        <v>27.645</v>
      </c>
      <c r="C355" t="str" cm="1">
        <f t="array" ref="C355">_xlfn.IFS(B355&lt;=18.5,  "Underweight",B355&lt;=24.9,"Normal weight",B355&lt;=29.9, "Over weight",B355&gt;=30,"Obesity")</f>
        <v>Over weight</v>
      </c>
      <c r="D355">
        <v>4.6900000000000004</v>
      </c>
      <c r="E355" t="str" cm="1">
        <f t="array" ref="E355">_xlfn.IFS(D355&lt;5.7,"Normal",D355&lt;=6.4,"Prediabetes",D355&gt;=6.5,"Diabetes")</f>
        <v>Normal</v>
      </c>
      <c r="F355" s="3" t="s">
        <v>2379</v>
      </c>
      <c r="G355" s="3" t="s">
        <v>2379</v>
      </c>
      <c r="H355" s="3" t="s">
        <v>2379</v>
      </c>
      <c r="I355" s="1" t="s">
        <v>2380</v>
      </c>
      <c r="J355">
        <v>0</v>
      </c>
      <c r="K355" s="3" t="s">
        <v>2379</v>
      </c>
      <c r="P355" s="3"/>
    </row>
    <row r="356" spans="1:16" x14ac:dyDescent="0.25">
      <c r="A356" s="3" t="s">
        <v>2016</v>
      </c>
      <c r="B356">
        <v>22.72</v>
      </c>
      <c r="C356" t="str" cm="1">
        <f t="array" ref="C356">_xlfn.IFS(B356&lt;=18.5,  "Underweight",B356&lt;=24.9,"Normal weight",B356&lt;=29.9, "Over weight",B356&gt;=30,"Obesity")</f>
        <v>Normal weight</v>
      </c>
      <c r="D356">
        <v>5.71</v>
      </c>
      <c r="E356" t="str" cm="1">
        <f t="array" ref="E356">_xlfn.IFS(D356&lt;5.7,"Normal",D356&lt;=6.4,"Prediabetes",D356&gt;=6.5,"Diabetes")</f>
        <v>Prediabetes</v>
      </c>
      <c r="F356" s="3" t="s">
        <v>2379</v>
      </c>
      <c r="G356" s="3" t="s">
        <v>2379</v>
      </c>
      <c r="H356" s="3" t="s">
        <v>2379</v>
      </c>
      <c r="I356" s="1" t="s">
        <v>2380</v>
      </c>
      <c r="J356">
        <v>0</v>
      </c>
      <c r="K356" s="3" t="s">
        <v>2382</v>
      </c>
      <c r="P356" s="3"/>
    </row>
    <row r="357" spans="1:16" x14ac:dyDescent="0.25">
      <c r="A357" s="3" t="s">
        <v>2015</v>
      </c>
      <c r="B357">
        <v>36.520000000000003</v>
      </c>
      <c r="C357" t="str" cm="1">
        <f t="array" ref="C357">_xlfn.IFS(B357&lt;=18.5,  "Underweight",B357&lt;=24.9,"Normal weight",B357&lt;=29.9, "Over weight",B357&gt;=30,"Obesity")</f>
        <v>Obesity</v>
      </c>
      <c r="D357">
        <v>9.07</v>
      </c>
      <c r="E357" t="str" cm="1">
        <f t="array" ref="E357">_xlfn.IFS(D357&lt;5.7,"Normal",D357&lt;=6.4,"Prediabetes",D357&gt;=6.5,"Diabetes")</f>
        <v>Diabetes</v>
      </c>
      <c r="F357" s="3" t="s">
        <v>2382</v>
      </c>
      <c r="G357" s="3" t="s">
        <v>2379</v>
      </c>
      <c r="H357" s="3" t="s">
        <v>2382</v>
      </c>
      <c r="I357" s="1">
        <v>1</v>
      </c>
      <c r="J357">
        <v>1</v>
      </c>
      <c r="K357" s="3" t="s">
        <v>2379</v>
      </c>
      <c r="P357" s="3"/>
    </row>
    <row r="358" spans="1:16" x14ac:dyDescent="0.25">
      <c r="A358" s="3" t="s">
        <v>2014</v>
      </c>
      <c r="B358">
        <v>33.96</v>
      </c>
      <c r="C358" t="str" cm="1">
        <f t="array" ref="C358">_xlfn.IFS(B358&lt;=18.5,  "Underweight",B358&lt;=24.9,"Normal weight",B358&lt;=29.9, "Over weight",B358&gt;=30,"Obesity")</f>
        <v>Obesity</v>
      </c>
      <c r="D358">
        <v>4.99</v>
      </c>
      <c r="E358" t="str" cm="1">
        <f t="array" ref="E358">_xlfn.IFS(D358&lt;5.7,"Normal",D358&lt;=6.4,"Prediabetes",D358&gt;=6.5,"Diabetes")</f>
        <v>Normal</v>
      </c>
      <c r="F358" s="3" t="s">
        <v>2379</v>
      </c>
      <c r="G358" s="3" t="s">
        <v>2379</v>
      </c>
      <c r="H358" s="3" t="s">
        <v>2379</v>
      </c>
      <c r="I358" s="1" t="s">
        <v>2380</v>
      </c>
      <c r="J358">
        <v>0</v>
      </c>
      <c r="K358" s="3" t="s">
        <v>2382</v>
      </c>
      <c r="P358" s="3"/>
    </row>
    <row r="359" spans="1:16" x14ac:dyDescent="0.25">
      <c r="A359" s="3" t="s">
        <v>2013</v>
      </c>
      <c r="B359">
        <v>26.695</v>
      </c>
      <c r="C359" t="str" cm="1">
        <f t="array" ref="C359">_xlfn.IFS(B359&lt;=18.5,  "Underweight",B359&lt;=24.9,"Normal weight",B359&lt;=29.9, "Over weight",B359&gt;=30,"Obesity")</f>
        <v>Over weight</v>
      </c>
      <c r="D359">
        <v>8.31</v>
      </c>
      <c r="E359" t="str" cm="1">
        <f t="array" ref="E359">_xlfn.IFS(D359&lt;5.7,"Normal",D359&lt;=6.4,"Prediabetes",D359&gt;=6.5,"Diabetes")</f>
        <v>Diabetes</v>
      </c>
      <c r="F359" s="3" t="s">
        <v>2379</v>
      </c>
      <c r="G359" s="3" t="s">
        <v>2379</v>
      </c>
      <c r="H359" s="3" t="s">
        <v>2379</v>
      </c>
      <c r="I359" s="1" t="s">
        <v>2380</v>
      </c>
      <c r="J359">
        <v>0</v>
      </c>
      <c r="K359" s="3" t="s">
        <v>2382</v>
      </c>
      <c r="P359" s="3"/>
    </row>
    <row r="360" spans="1:16" x14ac:dyDescent="0.25">
      <c r="A360" s="3" t="s">
        <v>2012</v>
      </c>
      <c r="B360">
        <v>18.45</v>
      </c>
      <c r="C360" t="str" cm="1">
        <f t="array" ref="C360">_xlfn.IFS(B360&lt;=18.5,  "Underweight",B360&lt;=24.9,"Normal weight",B360&lt;=29.9, "Over weight",B360&gt;=30,"Obesity")</f>
        <v>Underweight</v>
      </c>
      <c r="D360">
        <v>5.07</v>
      </c>
      <c r="E360" t="str" cm="1">
        <f t="array" ref="E360">_xlfn.IFS(D360&lt;5.7,"Normal",D360&lt;=6.4,"Prediabetes",D360&gt;=6.5,"Diabetes")</f>
        <v>Normal</v>
      </c>
      <c r="F360" s="3" t="s">
        <v>2382</v>
      </c>
      <c r="G360" s="3" t="s">
        <v>2379</v>
      </c>
      <c r="H360" s="3" t="s">
        <v>2379</v>
      </c>
      <c r="I360" s="1" t="s">
        <v>2380</v>
      </c>
      <c r="J360">
        <v>0</v>
      </c>
      <c r="K360" s="3" t="s">
        <v>2382</v>
      </c>
      <c r="P360" s="3"/>
    </row>
    <row r="361" spans="1:16" x14ac:dyDescent="0.25">
      <c r="A361" s="3" t="s">
        <v>2011</v>
      </c>
      <c r="B361">
        <v>33.18</v>
      </c>
      <c r="C361" t="str" cm="1">
        <f t="array" ref="C361">_xlfn.IFS(B361&lt;=18.5,  "Underweight",B361&lt;=24.9,"Normal weight",B361&lt;=29.9, "Over weight",B361&gt;=30,"Obesity")</f>
        <v>Obesity</v>
      </c>
      <c r="D361">
        <v>4.79</v>
      </c>
      <c r="E361" t="str" cm="1">
        <f t="array" ref="E361">_xlfn.IFS(D361&lt;5.7,"Normal",D361&lt;=6.4,"Prediabetes",D361&gt;=6.5,"Diabetes")</f>
        <v>Normal</v>
      </c>
      <c r="F361" s="3" t="s">
        <v>2379</v>
      </c>
      <c r="G361" s="3" t="s">
        <v>2379</v>
      </c>
      <c r="H361" s="3" t="s">
        <v>2379</v>
      </c>
      <c r="I361" s="1" t="s">
        <v>2380</v>
      </c>
      <c r="J361">
        <v>0</v>
      </c>
      <c r="K361" s="3" t="s">
        <v>2382</v>
      </c>
      <c r="P361" s="3"/>
    </row>
    <row r="362" spans="1:16" x14ac:dyDescent="0.25">
      <c r="A362" s="3" t="s">
        <v>2010</v>
      </c>
      <c r="B362">
        <v>36.1</v>
      </c>
      <c r="C362" t="str" cm="1">
        <f t="array" ref="C362">_xlfn.IFS(B362&lt;=18.5,  "Underweight",B362&lt;=24.9,"Normal weight",B362&lt;=29.9, "Over weight",B362&gt;=30,"Obesity")</f>
        <v>Obesity</v>
      </c>
      <c r="D362">
        <v>11.39</v>
      </c>
      <c r="E362" t="str" cm="1">
        <f t="array" ref="E362">_xlfn.IFS(D362&lt;5.7,"Normal",D362&lt;=6.4,"Prediabetes",D362&gt;=6.5,"Diabetes")</f>
        <v>Diabetes</v>
      </c>
      <c r="F362" s="3" t="s">
        <v>2382</v>
      </c>
      <c r="G362" s="3" t="s">
        <v>2379</v>
      </c>
      <c r="H362" s="3" t="s">
        <v>2379</v>
      </c>
      <c r="I362" s="1">
        <v>2</v>
      </c>
      <c r="J362">
        <v>2</v>
      </c>
      <c r="K362" s="3" t="s">
        <v>2379</v>
      </c>
      <c r="P362" s="3"/>
    </row>
    <row r="363" spans="1:16" x14ac:dyDescent="0.25">
      <c r="A363" s="3" t="s">
        <v>2009</v>
      </c>
      <c r="B363">
        <v>22.77</v>
      </c>
      <c r="C363" t="str" cm="1">
        <f t="array" ref="C363">_xlfn.IFS(B363&lt;=18.5,  "Underweight",B363&lt;=24.9,"Normal weight",B363&lt;=29.9, "Over weight",B363&gt;=30,"Obesity")</f>
        <v>Normal weight</v>
      </c>
      <c r="D363">
        <v>6</v>
      </c>
      <c r="E363" t="str" cm="1">
        <f t="array" ref="E363">_xlfn.IFS(D363&lt;5.7,"Normal",D363&lt;=6.4,"Prediabetes",D363&gt;=6.5,"Diabetes")</f>
        <v>Prediabetes</v>
      </c>
      <c r="F363" s="3" t="s">
        <v>2379</v>
      </c>
      <c r="G363" s="3" t="s">
        <v>2379</v>
      </c>
      <c r="H363" s="3" t="s">
        <v>2379</v>
      </c>
      <c r="I363" s="1" t="s">
        <v>2380</v>
      </c>
      <c r="J363">
        <v>0</v>
      </c>
      <c r="K363" s="3" t="s">
        <v>2382</v>
      </c>
      <c r="P363" s="3"/>
    </row>
    <row r="364" spans="1:16" x14ac:dyDescent="0.25">
      <c r="A364" s="3" t="s">
        <v>2008</v>
      </c>
      <c r="B364">
        <v>21.24</v>
      </c>
      <c r="C364" t="str" cm="1">
        <f t="array" ref="C364">_xlfn.IFS(B364&lt;=18.5,  "Underweight",B364&lt;=24.9,"Normal weight",B364&lt;=29.9, "Over weight",B364&gt;=30,"Obesity")</f>
        <v>Normal weight</v>
      </c>
      <c r="D364">
        <v>5.13</v>
      </c>
      <c r="E364" t="str" cm="1">
        <f t="array" ref="E364">_xlfn.IFS(D364&lt;5.7,"Normal",D364&lt;=6.4,"Prediabetes",D364&gt;=6.5,"Diabetes")</f>
        <v>Normal</v>
      </c>
      <c r="F364" s="3" t="s">
        <v>2379</v>
      </c>
      <c r="G364" s="3" t="s">
        <v>2379</v>
      </c>
      <c r="H364" s="3" t="s">
        <v>2379</v>
      </c>
      <c r="I364" s="1" t="s">
        <v>2380</v>
      </c>
      <c r="J364">
        <v>0</v>
      </c>
      <c r="K364" s="3" t="s">
        <v>2382</v>
      </c>
      <c r="P364" s="3"/>
    </row>
    <row r="365" spans="1:16" x14ac:dyDescent="0.25">
      <c r="A365" s="3" t="s">
        <v>2007</v>
      </c>
      <c r="B365">
        <v>17.600000000000001</v>
      </c>
      <c r="C365" t="str" cm="1">
        <f t="array" ref="C365">_xlfn.IFS(B365&lt;=18.5,  "Underweight",B365&lt;=24.9,"Normal weight",B365&lt;=29.9, "Over weight",B365&gt;=30,"Obesity")</f>
        <v>Underweight</v>
      </c>
      <c r="D365">
        <v>5.26</v>
      </c>
      <c r="E365" t="str" cm="1">
        <f t="array" ref="E365">_xlfn.IFS(D365&lt;5.7,"Normal",D365&lt;=6.4,"Prediabetes",D365&gt;=6.5,"Diabetes")</f>
        <v>Normal</v>
      </c>
      <c r="F365" s="3" t="s">
        <v>2382</v>
      </c>
      <c r="G365" s="3" t="s">
        <v>2379</v>
      </c>
      <c r="H365" s="3" t="s">
        <v>2379</v>
      </c>
      <c r="I365" s="1" t="s">
        <v>2380</v>
      </c>
      <c r="J365">
        <v>0</v>
      </c>
      <c r="K365" s="3" t="s">
        <v>2382</v>
      </c>
      <c r="P365" s="3"/>
    </row>
    <row r="366" spans="1:16" x14ac:dyDescent="0.25">
      <c r="A366" s="3" t="s">
        <v>2006</v>
      </c>
      <c r="B366">
        <v>26.29</v>
      </c>
      <c r="C366" t="str" cm="1">
        <f t="array" ref="C366">_xlfn.IFS(B366&lt;=18.5,  "Underweight",B366&lt;=24.9,"Normal weight",B366&lt;=29.9, "Over weight",B366&gt;=30,"Obesity")</f>
        <v>Over weight</v>
      </c>
      <c r="D366">
        <v>6.84</v>
      </c>
      <c r="E366" t="str" cm="1">
        <f t="array" ref="E366">_xlfn.IFS(D366&lt;5.7,"Normal",D366&lt;=6.4,"Prediabetes",D366&gt;=6.5,"Diabetes")</f>
        <v>Diabetes</v>
      </c>
      <c r="F366" s="3" t="s">
        <v>2379</v>
      </c>
      <c r="G366" s="3" t="s">
        <v>2379</v>
      </c>
      <c r="H366" s="3" t="s">
        <v>2379</v>
      </c>
      <c r="I366" s="1" t="s">
        <v>2380</v>
      </c>
      <c r="J366">
        <v>0</v>
      </c>
      <c r="K366" s="3" t="s">
        <v>2382</v>
      </c>
      <c r="P366" s="3"/>
    </row>
    <row r="367" spans="1:16" x14ac:dyDescent="0.25">
      <c r="A367" s="3" t="s">
        <v>2005</v>
      </c>
      <c r="B367">
        <v>35.31</v>
      </c>
      <c r="C367" t="str" cm="1">
        <f t="array" ref="C367">_xlfn.IFS(B367&lt;=18.5,  "Underweight",B367&lt;=24.9,"Normal weight",B367&lt;=29.9, "Over weight",B367&gt;=30,"Obesity")</f>
        <v>Obesity</v>
      </c>
      <c r="D367">
        <v>9.0399999999999991</v>
      </c>
      <c r="E367" t="str" cm="1">
        <f t="array" ref="E367">_xlfn.IFS(D367&lt;5.7,"Normal",D367&lt;=6.4,"Prediabetes",D367&gt;=6.5,"Diabetes")</f>
        <v>Diabetes</v>
      </c>
      <c r="F367" s="3" t="s">
        <v>2379</v>
      </c>
      <c r="G367" s="3" t="s">
        <v>2379</v>
      </c>
      <c r="H367" s="3" t="s">
        <v>2379</v>
      </c>
      <c r="I367" s="1" t="s">
        <v>2380</v>
      </c>
      <c r="J367">
        <v>0</v>
      </c>
      <c r="K367" s="3" t="s">
        <v>2379</v>
      </c>
      <c r="P367" s="3"/>
    </row>
    <row r="368" spans="1:16" x14ac:dyDescent="0.25">
      <c r="A368" s="3" t="s">
        <v>2004</v>
      </c>
      <c r="B368">
        <v>27.04</v>
      </c>
      <c r="C368" t="str" cm="1">
        <f t="array" ref="C368">_xlfn.IFS(B368&lt;=18.5,  "Underweight",B368&lt;=24.9,"Normal weight",B368&lt;=29.9, "Over weight",B368&gt;=30,"Obesity")</f>
        <v>Over weight</v>
      </c>
      <c r="D368">
        <v>4.0999999999999996</v>
      </c>
      <c r="E368" t="str" cm="1">
        <f t="array" ref="E368">_xlfn.IFS(D368&lt;5.7,"Normal",D368&lt;=6.4,"Prediabetes",D368&gt;=6.5,"Diabetes")</f>
        <v>Normal</v>
      </c>
      <c r="F368" s="3" t="s">
        <v>2379</v>
      </c>
      <c r="G368" s="3" t="s">
        <v>2379</v>
      </c>
      <c r="H368" s="3" t="s">
        <v>2379</v>
      </c>
      <c r="I368" s="1">
        <v>1</v>
      </c>
      <c r="J368">
        <v>1</v>
      </c>
      <c r="K368" s="3" t="s">
        <v>2382</v>
      </c>
      <c r="P368" s="3"/>
    </row>
    <row r="369" spans="1:16" x14ac:dyDescent="0.25">
      <c r="A369" s="3" t="s">
        <v>2003</v>
      </c>
      <c r="B369">
        <v>30.23</v>
      </c>
      <c r="C369" t="str" cm="1">
        <f t="array" ref="C369">_xlfn.IFS(B369&lt;=18.5,  "Underweight",B369&lt;=24.9,"Normal weight",B369&lt;=29.9, "Over weight",B369&gt;=30,"Obesity")</f>
        <v>Obesity</v>
      </c>
      <c r="D369">
        <v>4.2300000000000004</v>
      </c>
      <c r="E369" t="str" cm="1">
        <f t="array" ref="E369">_xlfn.IFS(D369&lt;5.7,"Normal",D369&lt;=6.4,"Prediabetes",D369&gt;=6.5,"Diabetes")</f>
        <v>Normal</v>
      </c>
      <c r="F369" s="3" t="s">
        <v>2382</v>
      </c>
      <c r="G369" s="3" t="s">
        <v>2379</v>
      </c>
      <c r="H369" s="3" t="s">
        <v>2382</v>
      </c>
      <c r="I369" s="1">
        <v>1</v>
      </c>
      <c r="J369">
        <v>1</v>
      </c>
      <c r="K369" s="3" t="s">
        <v>2382</v>
      </c>
      <c r="P369" s="3"/>
    </row>
    <row r="370" spans="1:16" x14ac:dyDescent="0.25">
      <c r="A370" s="3" t="s">
        <v>2002</v>
      </c>
      <c r="B370">
        <v>30.6</v>
      </c>
      <c r="C370" t="str" cm="1">
        <f t="array" ref="C370">_xlfn.IFS(B370&lt;=18.5,  "Underweight",B370&lt;=24.9,"Normal weight",B370&lt;=29.9, "Over weight",B370&gt;=30,"Obesity")</f>
        <v>Obesity</v>
      </c>
      <c r="D370">
        <v>6.48</v>
      </c>
      <c r="E370" t="e" cm="1">
        <f t="array" ref="E370">_xlfn.IFS(D370&lt;5.7,"Normal",D370&lt;=6.4,"Prediabetes",D370&gt;=6.5,"Diabetes")</f>
        <v>#N/A</v>
      </c>
      <c r="F370" s="3" t="s">
        <v>2382</v>
      </c>
      <c r="G370" s="3" t="s">
        <v>2379</v>
      </c>
      <c r="H370" s="3" t="s">
        <v>2382</v>
      </c>
      <c r="I370" s="1">
        <v>1</v>
      </c>
      <c r="J370">
        <v>1</v>
      </c>
      <c r="K370" s="3" t="s">
        <v>2382</v>
      </c>
      <c r="P370" s="3"/>
    </row>
    <row r="371" spans="1:16" x14ac:dyDescent="0.25">
      <c r="A371" s="3" t="s">
        <v>2001</v>
      </c>
      <c r="B371">
        <v>26.8</v>
      </c>
      <c r="C371" t="str" cm="1">
        <f t="array" ref="C371">_xlfn.IFS(B371&lt;=18.5,  "Underweight",B371&lt;=24.9,"Normal weight",B371&lt;=29.9, "Over weight",B371&gt;=30,"Obesity")</f>
        <v>Over weight</v>
      </c>
      <c r="D371">
        <v>5.53</v>
      </c>
      <c r="E371" t="str" cm="1">
        <f t="array" ref="E371">_xlfn.IFS(D371&lt;5.7,"Normal",D371&lt;=6.4,"Prediabetes",D371&gt;=6.5,"Diabetes")</f>
        <v>Normal</v>
      </c>
      <c r="F371" s="3" t="s">
        <v>2379</v>
      </c>
      <c r="G371" s="3" t="s">
        <v>2379</v>
      </c>
      <c r="H371" s="3" t="s">
        <v>2379</v>
      </c>
      <c r="I371" s="1">
        <v>1</v>
      </c>
      <c r="J371">
        <v>1</v>
      </c>
      <c r="K371" s="3" t="s">
        <v>2382</v>
      </c>
      <c r="P371" s="3"/>
    </row>
    <row r="372" spans="1:16" x14ac:dyDescent="0.25">
      <c r="A372" s="3" t="s">
        <v>2000</v>
      </c>
      <c r="B372">
        <v>16.86</v>
      </c>
      <c r="C372" t="str" cm="1">
        <f t="array" ref="C372">_xlfn.IFS(B372&lt;=18.5,  "Underweight",B372&lt;=24.9,"Normal weight",B372&lt;=29.9, "Over weight",B372&gt;=30,"Obesity")</f>
        <v>Underweight</v>
      </c>
      <c r="D372">
        <v>4.07</v>
      </c>
      <c r="E372" t="str" cm="1">
        <f t="array" ref="E372">_xlfn.IFS(D372&lt;5.7,"Normal",D372&lt;=6.4,"Prediabetes",D372&gt;=6.5,"Diabetes")</f>
        <v>Normal</v>
      </c>
      <c r="F372" s="3" t="s">
        <v>2382</v>
      </c>
      <c r="G372" s="3" t="s">
        <v>2379</v>
      </c>
      <c r="H372" s="3" t="s">
        <v>2379</v>
      </c>
      <c r="I372" s="1" t="s">
        <v>2380</v>
      </c>
      <c r="J372">
        <v>0</v>
      </c>
      <c r="K372" s="3" t="s">
        <v>2382</v>
      </c>
      <c r="P372" s="3"/>
    </row>
    <row r="373" spans="1:16" x14ac:dyDescent="0.25">
      <c r="A373" s="3" t="s">
        <v>1999</v>
      </c>
      <c r="B373">
        <v>16.3</v>
      </c>
      <c r="C373" t="str" cm="1">
        <f t="array" ref="C373">_xlfn.IFS(B373&lt;=18.5,  "Underweight",B373&lt;=24.9,"Normal weight",B373&lt;=29.9, "Over weight",B373&gt;=30,"Obesity")</f>
        <v>Underweight</v>
      </c>
      <c r="D373">
        <v>5.51</v>
      </c>
      <c r="E373" t="str" cm="1">
        <f t="array" ref="E373">_xlfn.IFS(D373&lt;5.7,"Normal",D373&lt;=6.4,"Prediabetes",D373&gt;=6.5,"Diabetes")</f>
        <v>Normal</v>
      </c>
      <c r="F373" s="3" t="s">
        <v>2379</v>
      </c>
      <c r="G373" s="3" t="s">
        <v>2379</v>
      </c>
      <c r="H373" s="3" t="s">
        <v>2379</v>
      </c>
      <c r="I373" s="1">
        <v>1</v>
      </c>
      <c r="J373">
        <v>1</v>
      </c>
      <c r="K373" s="3" t="s">
        <v>2382</v>
      </c>
      <c r="P373" s="3"/>
    </row>
    <row r="374" spans="1:16" x14ac:dyDescent="0.25">
      <c r="A374" s="3" t="s">
        <v>1998</v>
      </c>
      <c r="B374">
        <v>29.81</v>
      </c>
      <c r="C374" t="str" cm="1">
        <f t="array" ref="C374">_xlfn.IFS(B374&lt;=18.5,  "Underweight",B374&lt;=24.9,"Normal weight",B374&lt;=29.9, "Over weight",B374&gt;=30,"Obesity")</f>
        <v>Over weight</v>
      </c>
      <c r="D374">
        <v>11.66</v>
      </c>
      <c r="E374" t="str" cm="1">
        <f t="array" ref="E374">_xlfn.IFS(D374&lt;5.7,"Normal",D374&lt;=6.4,"Prediabetes",D374&gt;=6.5,"Diabetes")</f>
        <v>Diabetes</v>
      </c>
      <c r="F374" s="3" t="s">
        <v>2379</v>
      </c>
      <c r="G374" s="3" t="s">
        <v>2379</v>
      </c>
      <c r="H374" s="3" t="s">
        <v>2379</v>
      </c>
      <c r="I374" s="1" t="s">
        <v>2380</v>
      </c>
      <c r="J374">
        <v>0</v>
      </c>
      <c r="K374" s="3" t="s">
        <v>2382</v>
      </c>
      <c r="P374" s="3"/>
    </row>
    <row r="375" spans="1:16" x14ac:dyDescent="0.25">
      <c r="A375" s="3" t="s">
        <v>1997</v>
      </c>
      <c r="B375">
        <v>16.329999999999998</v>
      </c>
      <c r="C375" t="str" cm="1">
        <f t="array" ref="C375">_xlfn.IFS(B375&lt;=18.5,  "Underweight",B375&lt;=24.9,"Normal weight",B375&lt;=29.9, "Over weight",B375&gt;=30,"Obesity")</f>
        <v>Underweight</v>
      </c>
      <c r="D375">
        <v>7.26</v>
      </c>
      <c r="E375" t="str" cm="1">
        <f t="array" ref="E375">_xlfn.IFS(D375&lt;5.7,"Normal",D375&lt;=6.4,"Prediabetes",D375&gt;=6.5,"Diabetes")</f>
        <v>Diabetes</v>
      </c>
      <c r="F375" s="3" t="s">
        <v>2382</v>
      </c>
      <c r="G375" s="3" t="s">
        <v>2379</v>
      </c>
      <c r="H375" s="3" t="s">
        <v>2379</v>
      </c>
      <c r="I375" s="1" t="s">
        <v>2380</v>
      </c>
      <c r="J375">
        <v>0</v>
      </c>
      <c r="K375" s="3" t="s">
        <v>2382</v>
      </c>
      <c r="P375" s="3"/>
    </row>
    <row r="376" spans="1:16" x14ac:dyDescent="0.25">
      <c r="A376" s="3" t="s">
        <v>1996</v>
      </c>
      <c r="B376">
        <v>16.37</v>
      </c>
      <c r="C376" t="str" cm="1">
        <f t="array" ref="C376">_xlfn.IFS(B376&lt;=18.5,  "Underweight",B376&lt;=24.9,"Normal weight",B376&lt;=29.9, "Over weight",B376&gt;=30,"Obesity")</f>
        <v>Underweight</v>
      </c>
      <c r="D376">
        <v>4.79</v>
      </c>
      <c r="E376" t="str" cm="1">
        <f t="array" ref="E376">_xlfn.IFS(D376&lt;5.7,"Normal",D376&lt;=6.4,"Prediabetes",D376&gt;=6.5,"Diabetes")</f>
        <v>Normal</v>
      </c>
      <c r="F376" s="3" t="s">
        <v>2382</v>
      </c>
      <c r="G376" s="3" t="s">
        <v>2379</v>
      </c>
      <c r="H376" s="3" t="s">
        <v>2379</v>
      </c>
      <c r="I376" s="1" t="s">
        <v>2380</v>
      </c>
      <c r="J376">
        <v>0</v>
      </c>
      <c r="K376" s="3" t="s">
        <v>2382</v>
      </c>
      <c r="P376" s="3"/>
    </row>
    <row r="377" spans="1:16" x14ac:dyDescent="0.25">
      <c r="A377" s="3" t="s">
        <v>1995</v>
      </c>
      <c r="B377">
        <v>22.42</v>
      </c>
      <c r="C377" t="str" cm="1">
        <f t="array" ref="C377">_xlfn.IFS(B377&lt;=18.5,  "Underweight",B377&lt;=24.9,"Normal weight",B377&lt;=29.9, "Over weight",B377&gt;=30,"Obesity")</f>
        <v>Normal weight</v>
      </c>
      <c r="D377">
        <v>4.68</v>
      </c>
      <c r="E377" t="str" cm="1">
        <f t="array" ref="E377">_xlfn.IFS(D377&lt;5.7,"Normal",D377&lt;=6.4,"Prediabetes",D377&gt;=6.5,"Diabetes")</f>
        <v>Normal</v>
      </c>
      <c r="F377" s="3" t="s">
        <v>2382</v>
      </c>
      <c r="G377" s="3" t="s">
        <v>2379</v>
      </c>
      <c r="H377" s="3" t="s">
        <v>2379</v>
      </c>
      <c r="I377" s="1">
        <v>1</v>
      </c>
      <c r="J377">
        <v>1</v>
      </c>
      <c r="K377" s="3" t="s">
        <v>2379</v>
      </c>
      <c r="P377" s="3"/>
    </row>
    <row r="378" spans="1:16" x14ac:dyDescent="0.25">
      <c r="A378" s="3" t="s">
        <v>1994</v>
      </c>
      <c r="B378">
        <v>31.35</v>
      </c>
      <c r="C378" t="str" cm="1">
        <f t="array" ref="C378">_xlfn.IFS(B378&lt;=18.5,  "Underweight",B378&lt;=24.9,"Normal weight",B378&lt;=29.9, "Over weight",B378&gt;=30,"Obesity")</f>
        <v>Obesity</v>
      </c>
      <c r="D378">
        <v>4.33</v>
      </c>
      <c r="E378" t="str" cm="1">
        <f t="array" ref="E378">_xlfn.IFS(D378&lt;5.7,"Normal",D378&lt;=6.4,"Prediabetes",D378&gt;=6.5,"Diabetes")</f>
        <v>Normal</v>
      </c>
      <c r="F378" s="3" t="s">
        <v>2382</v>
      </c>
      <c r="G378" s="3" t="s">
        <v>2379</v>
      </c>
      <c r="H378" s="3" t="s">
        <v>2382</v>
      </c>
      <c r="I378" s="1">
        <v>1</v>
      </c>
      <c r="J378">
        <v>1</v>
      </c>
      <c r="K378" s="3" t="s">
        <v>2379</v>
      </c>
      <c r="P378" s="3"/>
    </row>
    <row r="379" spans="1:16" x14ac:dyDescent="0.25">
      <c r="A379" s="3" t="s">
        <v>1993</v>
      </c>
      <c r="B379">
        <v>31.9</v>
      </c>
      <c r="C379" t="str" cm="1">
        <f t="array" ref="C379">_xlfn.IFS(B379&lt;=18.5,  "Underweight",B379&lt;=24.9,"Normal weight",B379&lt;=29.9, "Over weight",B379&gt;=30,"Obesity")</f>
        <v>Obesity</v>
      </c>
      <c r="D379">
        <v>11.89</v>
      </c>
      <c r="E379" t="str" cm="1">
        <f t="array" ref="E379">_xlfn.IFS(D379&lt;5.7,"Normal",D379&lt;=6.4,"Prediabetes",D379&gt;=6.5,"Diabetes")</f>
        <v>Diabetes</v>
      </c>
      <c r="F379" s="3" t="s">
        <v>2379</v>
      </c>
      <c r="G379" s="3" t="s">
        <v>2379</v>
      </c>
      <c r="H379" s="3" t="s">
        <v>2379</v>
      </c>
      <c r="I379" s="1" t="s">
        <v>2380</v>
      </c>
      <c r="J379">
        <v>0</v>
      </c>
      <c r="K379" s="3" t="s">
        <v>2379</v>
      </c>
      <c r="P379" s="3"/>
    </row>
    <row r="380" spans="1:16" x14ac:dyDescent="0.25">
      <c r="A380" s="3" t="s">
        <v>1992</v>
      </c>
      <c r="B380">
        <v>30.6</v>
      </c>
      <c r="C380" t="str" cm="1">
        <f t="array" ref="C380">_xlfn.IFS(B380&lt;=18.5,  "Underweight",B380&lt;=24.9,"Normal weight",B380&lt;=29.9, "Over weight",B380&gt;=30,"Obesity")</f>
        <v>Obesity</v>
      </c>
      <c r="D380">
        <v>5.24</v>
      </c>
      <c r="E380" t="str" cm="1">
        <f t="array" ref="E380">_xlfn.IFS(D380&lt;5.7,"Normal",D380&lt;=6.4,"Prediabetes",D380&gt;=6.5,"Diabetes")</f>
        <v>Normal</v>
      </c>
      <c r="F380" s="3" t="s">
        <v>2379</v>
      </c>
      <c r="G380" s="3" t="s">
        <v>2379</v>
      </c>
      <c r="H380" s="3" t="s">
        <v>2379</v>
      </c>
      <c r="I380" s="1" t="s">
        <v>2380</v>
      </c>
      <c r="J380">
        <v>0</v>
      </c>
      <c r="K380" s="3" t="s">
        <v>2382</v>
      </c>
      <c r="P380" s="3"/>
    </row>
    <row r="381" spans="1:16" x14ac:dyDescent="0.25">
      <c r="A381" s="3" t="s">
        <v>1991</v>
      </c>
      <c r="B381">
        <v>28.975000000000001</v>
      </c>
      <c r="C381" t="str" cm="1">
        <f t="array" ref="C381">_xlfn.IFS(B381&lt;=18.5,  "Underweight",B381&lt;=24.9,"Normal weight",B381&lt;=29.9, "Over weight",B381&gt;=30,"Obesity")</f>
        <v>Over weight</v>
      </c>
      <c r="D381">
        <v>7.63</v>
      </c>
      <c r="E381" t="str" cm="1">
        <f t="array" ref="E381">_xlfn.IFS(D381&lt;5.7,"Normal",D381&lt;=6.4,"Prediabetes",D381&gt;=6.5,"Diabetes")</f>
        <v>Diabetes</v>
      </c>
      <c r="F381" s="3" t="s">
        <v>2379</v>
      </c>
      <c r="G381" s="3" t="s">
        <v>2379</v>
      </c>
      <c r="H381" s="3" t="s">
        <v>2379</v>
      </c>
      <c r="I381" s="1" t="s">
        <v>2380</v>
      </c>
      <c r="J381">
        <v>0</v>
      </c>
      <c r="K381" s="3" t="s">
        <v>2382</v>
      </c>
      <c r="P381" s="3"/>
    </row>
    <row r="382" spans="1:16" x14ac:dyDescent="0.25">
      <c r="A382" s="3" t="s">
        <v>1990</v>
      </c>
      <c r="B382">
        <v>24.86</v>
      </c>
      <c r="C382" t="str" cm="1">
        <f t="array" ref="C382">_xlfn.IFS(B382&lt;=18.5,  "Underweight",B382&lt;=24.9,"Normal weight",B382&lt;=29.9, "Over weight",B382&gt;=30,"Obesity")</f>
        <v>Normal weight</v>
      </c>
      <c r="D382">
        <v>8.92</v>
      </c>
      <c r="E382" t="str" cm="1">
        <f t="array" ref="E382">_xlfn.IFS(D382&lt;5.7,"Normal",D382&lt;=6.4,"Prediabetes",D382&gt;=6.5,"Diabetes")</f>
        <v>Diabetes</v>
      </c>
      <c r="F382" s="3" t="s">
        <v>2382</v>
      </c>
      <c r="G382" s="3" t="s">
        <v>2379</v>
      </c>
      <c r="H382" s="3" t="s">
        <v>2379</v>
      </c>
      <c r="I382" s="1">
        <v>2</v>
      </c>
      <c r="J382">
        <v>2</v>
      </c>
      <c r="K382" s="3" t="s">
        <v>2379</v>
      </c>
      <c r="P382" s="3"/>
    </row>
    <row r="383" spans="1:16" x14ac:dyDescent="0.25">
      <c r="A383" s="3" t="s">
        <v>1989</v>
      </c>
      <c r="B383">
        <v>19.54</v>
      </c>
      <c r="C383" t="str" cm="1">
        <f t="array" ref="C383">_xlfn.IFS(B383&lt;=18.5,  "Underweight",B383&lt;=24.9,"Normal weight",B383&lt;=29.9, "Over weight",B383&gt;=30,"Obesity")</f>
        <v>Normal weight</v>
      </c>
      <c r="D383">
        <v>5.37</v>
      </c>
      <c r="E383" t="str" cm="1">
        <f t="array" ref="E383">_xlfn.IFS(D383&lt;5.7,"Normal",D383&lt;=6.4,"Prediabetes",D383&gt;=6.5,"Diabetes")</f>
        <v>Normal</v>
      </c>
      <c r="F383" s="3" t="s">
        <v>2379</v>
      </c>
      <c r="G383" s="3" t="s">
        <v>2379</v>
      </c>
      <c r="H383" s="3" t="s">
        <v>2379</v>
      </c>
      <c r="I383" s="1" t="s">
        <v>2380</v>
      </c>
      <c r="J383">
        <v>0</v>
      </c>
      <c r="K383" s="3" t="s">
        <v>2382</v>
      </c>
      <c r="P383" s="3"/>
    </row>
    <row r="384" spans="1:16" x14ac:dyDescent="0.25">
      <c r="A384" s="3" t="s">
        <v>1988</v>
      </c>
      <c r="B384">
        <v>26.74</v>
      </c>
      <c r="C384" t="str" cm="1">
        <f t="array" ref="C384">_xlfn.IFS(B384&lt;=18.5,  "Underweight",B384&lt;=24.9,"Normal weight",B384&lt;=29.9, "Over weight",B384&gt;=30,"Obesity")</f>
        <v>Over weight</v>
      </c>
      <c r="D384">
        <v>4.3099999999999996</v>
      </c>
      <c r="E384" t="str" cm="1">
        <f t="array" ref="E384">_xlfn.IFS(D384&lt;5.7,"Normal",D384&lt;=6.4,"Prediabetes",D384&gt;=6.5,"Diabetes")</f>
        <v>Normal</v>
      </c>
      <c r="F384" s="3" t="s">
        <v>2379</v>
      </c>
      <c r="G384" s="3" t="s">
        <v>2379</v>
      </c>
      <c r="H384" s="3" t="s">
        <v>2379</v>
      </c>
      <c r="I384" s="1" t="s">
        <v>2380</v>
      </c>
      <c r="J384">
        <v>0</v>
      </c>
      <c r="K384" s="3" t="s">
        <v>2382</v>
      </c>
      <c r="P384" s="3"/>
    </row>
    <row r="385" spans="1:16" x14ac:dyDescent="0.25">
      <c r="A385" s="3" t="s">
        <v>1987</v>
      </c>
      <c r="B385">
        <v>22.99</v>
      </c>
      <c r="C385" t="str" cm="1">
        <f t="array" ref="C385">_xlfn.IFS(B385&lt;=18.5,  "Underweight",B385&lt;=24.9,"Normal weight",B385&lt;=29.9, "Over weight",B385&gt;=30,"Obesity")</f>
        <v>Normal weight</v>
      </c>
      <c r="D385">
        <v>10.46</v>
      </c>
      <c r="E385" t="str" cm="1">
        <f t="array" ref="E385">_xlfn.IFS(D385&lt;5.7,"Normal",D385&lt;=6.4,"Prediabetes",D385&gt;=6.5,"Diabetes")</f>
        <v>Diabetes</v>
      </c>
      <c r="F385" s="3" t="s">
        <v>2379</v>
      </c>
      <c r="G385" s="3" t="s">
        <v>2379</v>
      </c>
      <c r="H385" s="3" t="s">
        <v>2379</v>
      </c>
      <c r="I385" s="1">
        <v>3</v>
      </c>
      <c r="J385">
        <v>3</v>
      </c>
      <c r="K385" s="3" t="s">
        <v>2382</v>
      </c>
      <c r="P385" s="3"/>
    </row>
    <row r="386" spans="1:16" x14ac:dyDescent="0.25">
      <c r="A386" s="3" t="s">
        <v>1986</v>
      </c>
      <c r="B386">
        <v>31.46</v>
      </c>
      <c r="C386" t="str" cm="1">
        <f t="array" ref="C386">_xlfn.IFS(B386&lt;=18.5,  "Underweight",B386&lt;=24.9,"Normal weight",B386&lt;=29.9, "Over weight",B386&gt;=30,"Obesity")</f>
        <v>Obesity</v>
      </c>
      <c r="D386">
        <v>7.39</v>
      </c>
      <c r="E386" t="str" cm="1">
        <f t="array" ref="E386">_xlfn.IFS(D386&lt;5.7,"Normal",D386&lt;=6.4,"Prediabetes",D386&gt;=6.5,"Diabetes")</f>
        <v>Diabetes</v>
      </c>
      <c r="F386" s="3" t="s">
        <v>2379</v>
      </c>
      <c r="G386" s="3" t="s">
        <v>2379</v>
      </c>
      <c r="H386" s="3" t="s">
        <v>2379</v>
      </c>
      <c r="I386" s="1" t="s">
        <v>2380</v>
      </c>
      <c r="J386">
        <v>0</v>
      </c>
      <c r="K386" s="3" t="s">
        <v>2379</v>
      </c>
      <c r="P386" s="3"/>
    </row>
    <row r="387" spans="1:16" x14ac:dyDescent="0.25">
      <c r="A387" s="3" t="s">
        <v>1985</v>
      </c>
      <c r="B387">
        <v>30.86</v>
      </c>
      <c r="C387" t="str" cm="1">
        <f t="array" ref="C387">_xlfn.IFS(B387&lt;=18.5,  "Underweight",B387&lt;=24.9,"Normal weight",B387&lt;=29.9, "Over weight",B387&gt;=30,"Obesity")</f>
        <v>Obesity</v>
      </c>
      <c r="D387">
        <v>6.18</v>
      </c>
      <c r="E387" t="str" cm="1">
        <f t="array" ref="E387">_xlfn.IFS(D387&lt;5.7,"Normal",D387&lt;=6.4,"Prediabetes",D387&gt;=6.5,"Diabetes")</f>
        <v>Prediabetes</v>
      </c>
      <c r="F387" s="3" t="s">
        <v>2379</v>
      </c>
      <c r="G387" s="3" t="s">
        <v>2381</v>
      </c>
      <c r="H387" s="3" t="s">
        <v>2379</v>
      </c>
      <c r="I387" s="1">
        <v>2</v>
      </c>
      <c r="J387">
        <v>2</v>
      </c>
      <c r="K387" s="3" t="s">
        <v>2382</v>
      </c>
      <c r="P387" s="3"/>
    </row>
    <row r="388" spans="1:16" x14ac:dyDescent="0.25">
      <c r="A388" s="3" t="s">
        <v>1984</v>
      </c>
      <c r="B388">
        <v>31.96</v>
      </c>
      <c r="C388" t="str" cm="1">
        <f t="array" ref="C388">_xlfn.IFS(B388&lt;=18.5,  "Underweight",B388&lt;=24.9,"Normal weight",B388&lt;=29.9, "Over weight",B388&gt;=30,"Obesity")</f>
        <v>Obesity</v>
      </c>
      <c r="D388">
        <v>8.86</v>
      </c>
      <c r="E388" t="str" cm="1">
        <f t="array" ref="E388">_xlfn.IFS(D388&lt;5.7,"Normal",D388&lt;=6.4,"Prediabetes",D388&gt;=6.5,"Diabetes")</f>
        <v>Diabetes</v>
      </c>
      <c r="F388" s="3" t="s">
        <v>2379</v>
      </c>
      <c r="G388" s="3" t="s">
        <v>2379</v>
      </c>
      <c r="H388" s="3" t="s">
        <v>2379</v>
      </c>
      <c r="I388" s="1" t="s">
        <v>2380</v>
      </c>
      <c r="J388">
        <v>0</v>
      </c>
      <c r="K388" s="3" t="s">
        <v>2382</v>
      </c>
      <c r="P388" s="3"/>
    </row>
    <row r="389" spans="1:16" x14ac:dyDescent="0.25">
      <c r="A389" s="3" t="s">
        <v>1983</v>
      </c>
      <c r="B389">
        <v>23.76</v>
      </c>
      <c r="C389" t="str" cm="1">
        <f t="array" ref="C389">_xlfn.IFS(B389&lt;=18.5,  "Underweight",B389&lt;=24.9,"Normal weight",B389&lt;=29.9, "Over weight",B389&gt;=30,"Obesity")</f>
        <v>Normal weight</v>
      </c>
      <c r="D389">
        <v>10.96</v>
      </c>
      <c r="E389" t="str" cm="1">
        <f t="array" ref="E389">_xlfn.IFS(D389&lt;5.7,"Normal",D389&lt;=6.4,"Prediabetes",D389&gt;=6.5,"Diabetes")</f>
        <v>Diabetes</v>
      </c>
      <c r="F389" s="3" t="s">
        <v>2379</v>
      </c>
      <c r="G389" s="3" t="s">
        <v>2379</v>
      </c>
      <c r="H389" s="3" t="s">
        <v>2379</v>
      </c>
      <c r="I389" s="1">
        <v>3</v>
      </c>
      <c r="J389">
        <v>3</v>
      </c>
      <c r="K389" s="3" t="s">
        <v>2382</v>
      </c>
      <c r="P389" s="3"/>
    </row>
    <row r="390" spans="1:16" x14ac:dyDescent="0.25">
      <c r="A390" s="3" t="s">
        <v>1982</v>
      </c>
      <c r="B390">
        <v>19.38</v>
      </c>
      <c r="C390" t="str" cm="1">
        <f t="array" ref="C390">_xlfn.IFS(B390&lt;=18.5,  "Underweight",B390&lt;=24.9,"Normal weight",B390&lt;=29.9, "Over weight",B390&gt;=30,"Obesity")</f>
        <v>Normal weight</v>
      </c>
      <c r="D390">
        <v>6.28</v>
      </c>
      <c r="E390" t="str" cm="1">
        <f t="array" ref="E390">_xlfn.IFS(D390&lt;5.7,"Normal",D390&lt;=6.4,"Prediabetes",D390&gt;=6.5,"Diabetes")</f>
        <v>Prediabetes</v>
      </c>
      <c r="F390" s="3" t="s">
        <v>2379</v>
      </c>
      <c r="G390" s="3" t="s">
        <v>2379</v>
      </c>
      <c r="H390" s="3" t="s">
        <v>2379</v>
      </c>
      <c r="I390" s="1" t="s">
        <v>2380</v>
      </c>
      <c r="J390">
        <v>0</v>
      </c>
      <c r="K390" s="3" t="s">
        <v>2382</v>
      </c>
      <c r="P390" s="3"/>
    </row>
    <row r="391" spans="1:16" x14ac:dyDescent="0.25">
      <c r="A391" s="3" t="s">
        <v>1981</v>
      </c>
      <c r="B391">
        <v>16.21</v>
      </c>
      <c r="C391" t="str" cm="1">
        <f t="array" ref="C391">_xlfn.IFS(B391&lt;=18.5,  "Underweight",B391&lt;=24.9,"Normal weight",B391&lt;=29.9, "Over weight",B391&gt;=30,"Obesity")</f>
        <v>Underweight</v>
      </c>
      <c r="D391">
        <v>6.29</v>
      </c>
      <c r="E391" t="str" cm="1">
        <f t="array" ref="E391">_xlfn.IFS(D391&lt;5.7,"Normal",D391&lt;=6.4,"Prediabetes",D391&gt;=6.5,"Diabetes")</f>
        <v>Prediabetes</v>
      </c>
      <c r="F391" s="3" t="s">
        <v>2382</v>
      </c>
      <c r="G391" s="3" t="s">
        <v>2379</v>
      </c>
      <c r="H391" s="3" t="s">
        <v>2379</v>
      </c>
      <c r="I391" s="1">
        <v>1</v>
      </c>
      <c r="J391">
        <v>1</v>
      </c>
      <c r="K391" s="3" t="s">
        <v>2382</v>
      </c>
      <c r="P391" s="3"/>
    </row>
    <row r="392" spans="1:16" x14ac:dyDescent="0.25">
      <c r="A392" s="3" t="s">
        <v>1980</v>
      </c>
      <c r="B392">
        <v>32.54</v>
      </c>
      <c r="C392" t="str" cm="1">
        <f t="array" ref="C392">_xlfn.IFS(B392&lt;=18.5,  "Underweight",B392&lt;=24.9,"Normal weight",B392&lt;=29.9, "Over weight",B392&gt;=30,"Obesity")</f>
        <v>Obesity</v>
      </c>
      <c r="D392">
        <v>4.0199999999999996</v>
      </c>
      <c r="E392" t="str" cm="1">
        <f t="array" ref="E392">_xlfn.IFS(D392&lt;5.7,"Normal",D392&lt;=6.4,"Prediabetes",D392&gt;=6.5,"Diabetes")</f>
        <v>Normal</v>
      </c>
      <c r="F392" s="3" t="s">
        <v>2379</v>
      </c>
      <c r="G392" s="3" t="s">
        <v>2381</v>
      </c>
      <c r="H392" s="3" t="s">
        <v>2379</v>
      </c>
      <c r="I392" s="1">
        <v>1</v>
      </c>
      <c r="J392">
        <v>1</v>
      </c>
      <c r="K392" s="3" t="s">
        <v>2382</v>
      </c>
      <c r="P392" s="3"/>
    </row>
    <row r="393" spans="1:16" x14ac:dyDescent="0.25">
      <c r="A393" s="3" t="s">
        <v>1979</v>
      </c>
      <c r="B393">
        <v>36.765000000000001</v>
      </c>
      <c r="C393" t="str" cm="1">
        <f t="array" ref="C393">_xlfn.IFS(B393&lt;=18.5,  "Underweight",B393&lt;=24.9,"Normal weight",B393&lt;=29.9, "Over weight",B393&gt;=30,"Obesity")</f>
        <v>Obesity</v>
      </c>
      <c r="D393">
        <v>11.95</v>
      </c>
      <c r="E393" t="str" cm="1">
        <f t="array" ref="E393">_xlfn.IFS(D393&lt;5.7,"Normal",D393&lt;=6.4,"Prediabetes",D393&gt;=6.5,"Diabetes")</f>
        <v>Diabetes</v>
      </c>
      <c r="F393" s="3" t="s">
        <v>2382</v>
      </c>
      <c r="G393" s="3" t="s">
        <v>2379</v>
      </c>
      <c r="H393" s="3" t="s">
        <v>2379</v>
      </c>
      <c r="I393" s="1">
        <v>2</v>
      </c>
      <c r="J393">
        <v>2</v>
      </c>
      <c r="K393" s="3" t="s">
        <v>2379</v>
      </c>
      <c r="P393" s="3"/>
    </row>
    <row r="394" spans="1:16" x14ac:dyDescent="0.25">
      <c r="A394" s="3" t="s">
        <v>1978</v>
      </c>
      <c r="B394">
        <v>35.909999999999997</v>
      </c>
      <c r="C394" t="str" cm="1">
        <f t="array" ref="C394">_xlfn.IFS(B394&lt;=18.5,  "Underweight",B394&lt;=24.9,"Normal weight",B394&lt;=29.9, "Over weight",B394&gt;=30,"Obesity")</f>
        <v>Obesity</v>
      </c>
      <c r="D394">
        <v>8.7100000000000009</v>
      </c>
      <c r="E394" t="str" cm="1">
        <f t="array" ref="E394">_xlfn.IFS(D394&lt;5.7,"Normal",D394&lt;=6.4,"Prediabetes",D394&gt;=6.5,"Diabetes")</f>
        <v>Diabetes</v>
      </c>
      <c r="F394" s="3" t="s">
        <v>2379</v>
      </c>
      <c r="G394" s="3" t="s">
        <v>2379</v>
      </c>
      <c r="H394" s="3" t="s">
        <v>2379</v>
      </c>
      <c r="I394" s="1" t="s">
        <v>2380</v>
      </c>
      <c r="J394">
        <v>0</v>
      </c>
      <c r="K394" s="3" t="s">
        <v>2379</v>
      </c>
      <c r="P394" s="3"/>
    </row>
    <row r="395" spans="1:16" x14ac:dyDescent="0.25">
      <c r="A395" s="3" t="s">
        <v>1977</v>
      </c>
      <c r="B395">
        <v>32.06</v>
      </c>
      <c r="C395" t="str" cm="1">
        <f t="array" ref="C395">_xlfn.IFS(B395&lt;=18.5,  "Underweight",B395&lt;=24.9,"Normal weight",B395&lt;=29.9, "Over weight",B395&gt;=30,"Obesity")</f>
        <v>Obesity</v>
      </c>
      <c r="D395">
        <v>4.67</v>
      </c>
      <c r="E395" t="str" cm="1">
        <f t="array" ref="E395">_xlfn.IFS(D395&lt;5.7,"Normal",D395&lt;=6.4,"Prediabetes",D395&gt;=6.5,"Diabetes")</f>
        <v>Normal</v>
      </c>
      <c r="F395" s="3" t="s">
        <v>2379</v>
      </c>
      <c r="G395" s="3" t="s">
        <v>2381</v>
      </c>
      <c r="H395" s="3" t="s">
        <v>2379</v>
      </c>
      <c r="I395" s="1">
        <v>1</v>
      </c>
      <c r="J395">
        <v>1</v>
      </c>
      <c r="K395" s="3" t="s">
        <v>2382</v>
      </c>
      <c r="P395" s="3"/>
    </row>
    <row r="396" spans="1:16" x14ac:dyDescent="0.25">
      <c r="A396" s="3" t="s">
        <v>1976</v>
      </c>
      <c r="B396">
        <v>24.1</v>
      </c>
      <c r="C396" t="str" cm="1">
        <f t="array" ref="C396">_xlfn.IFS(B396&lt;=18.5,  "Underweight",B396&lt;=24.9,"Normal weight",B396&lt;=29.9, "Over weight",B396&gt;=30,"Obesity")</f>
        <v>Normal weight</v>
      </c>
      <c r="D396">
        <v>11.14</v>
      </c>
      <c r="E396" t="str" cm="1">
        <f t="array" ref="E396">_xlfn.IFS(D396&lt;5.7,"Normal",D396&lt;=6.4,"Prediabetes",D396&gt;=6.5,"Diabetes")</f>
        <v>Diabetes</v>
      </c>
      <c r="F396" s="3" t="s">
        <v>2382</v>
      </c>
      <c r="G396" s="3" t="s">
        <v>2379</v>
      </c>
      <c r="H396" s="3" t="s">
        <v>2379</v>
      </c>
      <c r="I396" s="1">
        <v>1</v>
      </c>
      <c r="J396">
        <v>1</v>
      </c>
      <c r="K396" s="3" t="s">
        <v>2379</v>
      </c>
      <c r="P396" s="3"/>
    </row>
    <row r="397" spans="1:16" x14ac:dyDescent="0.25">
      <c r="A397" s="3" t="s">
        <v>1975</v>
      </c>
      <c r="B397">
        <v>27.1</v>
      </c>
      <c r="C397" t="str" cm="1">
        <f t="array" ref="C397">_xlfn.IFS(B397&lt;=18.5,  "Underweight",B397&lt;=24.9,"Normal weight",B397&lt;=29.9, "Over weight",B397&gt;=30,"Obesity")</f>
        <v>Over weight</v>
      </c>
      <c r="D397">
        <v>9.0500000000000007</v>
      </c>
      <c r="E397" t="str" cm="1">
        <f t="array" ref="E397">_xlfn.IFS(D397&lt;5.7,"Normal",D397&lt;=6.4,"Prediabetes",D397&gt;=6.5,"Diabetes")</f>
        <v>Diabetes</v>
      </c>
      <c r="F397" s="3" t="s">
        <v>2379</v>
      </c>
      <c r="G397" s="3" t="s">
        <v>2379</v>
      </c>
      <c r="H397" s="3" t="s">
        <v>2379</v>
      </c>
      <c r="I397" s="1">
        <v>2</v>
      </c>
      <c r="J397">
        <v>2</v>
      </c>
      <c r="K397" s="3" t="s">
        <v>2379</v>
      </c>
      <c r="P397" s="3"/>
    </row>
    <row r="398" spans="1:16" x14ac:dyDescent="0.25">
      <c r="A398" s="3" t="s">
        <v>1974</v>
      </c>
      <c r="B398">
        <v>24.42</v>
      </c>
      <c r="C398" t="str" cm="1">
        <f t="array" ref="C398">_xlfn.IFS(B398&lt;=18.5,  "Underweight",B398&lt;=24.9,"Normal weight",B398&lt;=29.9, "Over weight",B398&gt;=30,"Obesity")</f>
        <v>Normal weight</v>
      </c>
      <c r="D398">
        <v>11.31</v>
      </c>
      <c r="E398" t="str" cm="1">
        <f t="array" ref="E398">_xlfn.IFS(D398&lt;5.7,"Normal",D398&lt;=6.4,"Prediabetes",D398&gt;=6.5,"Diabetes")</f>
        <v>Diabetes</v>
      </c>
      <c r="F398" s="3" t="s">
        <v>2379</v>
      </c>
      <c r="G398" s="3" t="s">
        <v>2379</v>
      </c>
      <c r="H398" s="3" t="s">
        <v>2379</v>
      </c>
      <c r="I398" s="1" t="s">
        <v>2380</v>
      </c>
      <c r="J398">
        <v>0</v>
      </c>
      <c r="K398" s="3" t="s">
        <v>2382</v>
      </c>
      <c r="P398" s="3"/>
    </row>
    <row r="399" spans="1:16" x14ac:dyDescent="0.25">
      <c r="A399" s="3" t="s">
        <v>1973</v>
      </c>
      <c r="B399">
        <v>26.695</v>
      </c>
      <c r="C399" t="str" cm="1">
        <f t="array" ref="C399">_xlfn.IFS(B399&lt;=18.5,  "Underweight",B399&lt;=24.9,"Normal weight",B399&lt;=29.9, "Over weight",B399&gt;=30,"Obesity")</f>
        <v>Over weight</v>
      </c>
      <c r="D399">
        <v>4.68</v>
      </c>
      <c r="E399" t="str" cm="1">
        <f t="array" ref="E399">_xlfn.IFS(D399&lt;5.7,"Normal",D399&lt;=6.4,"Prediabetes",D399&gt;=6.5,"Diabetes")</f>
        <v>Normal</v>
      </c>
      <c r="F399" s="3" t="s">
        <v>2382</v>
      </c>
      <c r="G399" s="3" t="s">
        <v>2379</v>
      </c>
      <c r="H399" s="3" t="s">
        <v>2379</v>
      </c>
      <c r="I399" s="1">
        <v>2</v>
      </c>
      <c r="J399">
        <v>2</v>
      </c>
      <c r="K399" s="3" t="s">
        <v>2382</v>
      </c>
      <c r="P399" s="3"/>
    </row>
    <row r="400" spans="1:16" x14ac:dyDescent="0.25">
      <c r="A400" s="3" t="s">
        <v>1972</v>
      </c>
      <c r="B400">
        <v>27.79</v>
      </c>
      <c r="C400" t="str" cm="1">
        <f t="array" ref="C400">_xlfn.IFS(B400&lt;=18.5,  "Underweight",B400&lt;=24.9,"Normal weight",B400&lt;=29.9, "Over weight",B400&gt;=30,"Obesity")</f>
        <v>Over weight</v>
      </c>
      <c r="D400">
        <v>6.05</v>
      </c>
      <c r="E400" t="str" cm="1">
        <f t="array" ref="E400">_xlfn.IFS(D400&lt;5.7,"Normal",D400&lt;=6.4,"Prediabetes",D400&gt;=6.5,"Diabetes")</f>
        <v>Prediabetes</v>
      </c>
      <c r="F400" s="3" t="s">
        <v>2382</v>
      </c>
      <c r="G400" s="3" t="s">
        <v>2381</v>
      </c>
      <c r="H400" s="3" t="s">
        <v>2379</v>
      </c>
      <c r="I400" s="1">
        <v>1</v>
      </c>
      <c r="J400">
        <v>1</v>
      </c>
      <c r="K400" s="3" t="s">
        <v>2382</v>
      </c>
      <c r="P400" s="3"/>
    </row>
    <row r="401" spans="1:16" x14ac:dyDescent="0.25">
      <c r="A401" s="3" t="s">
        <v>1971</v>
      </c>
      <c r="B401">
        <v>32.68</v>
      </c>
      <c r="C401" t="str" cm="1">
        <f t="array" ref="C401">_xlfn.IFS(B401&lt;=18.5,  "Underweight",B401&lt;=24.9,"Normal weight",B401&lt;=29.9, "Over weight",B401&gt;=30,"Obesity")</f>
        <v>Obesity</v>
      </c>
      <c r="D401">
        <v>4.68</v>
      </c>
      <c r="E401" t="str" cm="1">
        <f t="array" ref="E401">_xlfn.IFS(D401&lt;5.7,"Normal",D401&lt;=6.4,"Prediabetes",D401&gt;=6.5,"Diabetes")</f>
        <v>Normal</v>
      </c>
      <c r="F401" s="3" t="s">
        <v>2382</v>
      </c>
      <c r="G401" s="3" t="s">
        <v>2379</v>
      </c>
      <c r="H401" s="3" t="s">
        <v>2379</v>
      </c>
      <c r="I401" s="1" t="s">
        <v>2380</v>
      </c>
      <c r="J401">
        <v>0</v>
      </c>
      <c r="K401" s="3" t="s">
        <v>2379</v>
      </c>
      <c r="P401" s="3"/>
    </row>
    <row r="402" spans="1:16" x14ac:dyDescent="0.25">
      <c r="A402" s="3" t="s">
        <v>1970</v>
      </c>
      <c r="B402">
        <v>26.4</v>
      </c>
      <c r="C402" t="str" cm="1">
        <f t="array" ref="C402">_xlfn.IFS(B402&lt;=18.5,  "Underweight",B402&lt;=24.9,"Normal weight",B402&lt;=29.9, "Over weight",B402&gt;=30,"Obesity")</f>
        <v>Over weight</v>
      </c>
      <c r="D402">
        <v>9.5</v>
      </c>
      <c r="E402" t="str" cm="1">
        <f t="array" ref="E402">_xlfn.IFS(D402&lt;5.7,"Normal",D402&lt;=6.4,"Prediabetes",D402&gt;=6.5,"Diabetes")</f>
        <v>Diabetes</v>
      </c>
      <c r="F402" s="3" t="s">
        <v>2382</v>
      </c>
      <c r="G402" s="3" t="s">
        <v>2379</v>
      </c>
      <c r="H402" s="3" t="s">
        <v>2379</v>
      </c>
      <c r="I402" s="1">
        <v>2</v>
      </c>
      <c r="J402">
        <v>2</v>
      </c>
      <c r="K402" s="3" t="s">
        <v>2379</v>
      </c>
      <c r="P402" s="3"/>
    </row>
    <row r="403" spans="1:16" x14ac:dyDescent="0.25">
      <c r="A403" s="3" t="s">
        <v>1969</v>
      </c>
      <c r="B403">
        <v>23.655000000000001</v>
      </c>
      <c r="C403" t="str" cm="1">
        <f t="array" ref="C403">_xlfn.IFS(B403&lt;=18.5,  "Underweight",B403&lt;=24.9,"Normal weight",B403&lt;=29.9, "Over weight",B403&gt;=30,"Obesity")</f>
        <v>Normal weight</v>
      </c>
      <c r="D403">
        <v>10.84</v>
      </c>
      <c r="E403" t="str" cm="1">
        <f t="array" ref="E403">_xlfn.IFS(D403&lt;5.7,"Normal",D403&lt;=6.4,"Prediabetes",D403&gt;=6.5,"Diabetes")</f>
        <v>Diabetes</v>
      </c>
      <c r="F403" s="3" t="s">
        <v>2382</v>
      </c>
      <c r="G403" s="3" t="s">
        <v>2379</v>
      </c>
      <c r="H403" s="3" t="s">
        <v>2382</v>
      </c>
      <c r="I403" s="1">
        <v>1</v>
      </c>
      <c r="J403">
        <v>1</v>
      </c>
      <c r="K403" s="3" t="s">
        <v>2382</v>
      </c>
      <c r="P403" s="3"/>
    </row>
    <row r="404" spans="1:16" x14ac:dyDescent="0.25">
      <c r="A404" s="3" t="s">
        <v>1968</v>
      </c>
      <c r="B404">
        <v>27.36</v>
      </c>
      <c r="C404" t="str" cm="1">
        <f t="array" ref="C404">_xlfn.IFS(B404&lt;=18.5,  "Underweight",B404&lt;=24.9,"Normal weight",B404&lt;=29.9, "Over weight",B404&gt;=30,"Obesity")</f>
        <v>Over weight</v>
      </c>
      <c r="D404">
        <v>5.88</v>
      </c>
      <c r="E404" t="str" cm="1">
        <f t="array" ref="E404">_xlfn.IFS(D404&lt;5.7,"Normal",D404&lt;=6.4,"Prediabetes",D404&gt;=6.5,"Diabetes")</f>
        <v>Prediabetes</v>
      </c>
      <c r="F404" s="3" t="s">
        <v>2379</v>
      </c>
      <c r="G404" s="3" t="s">
        <v>2379</v>
      </c>
      <c r="H404" s="3" t="s">
        <v>2379</v>
      </c>
      <c r="I404" s="1">
        <v>2</v>
      </c>
      <c r="J404">
        <v>2</v>
      </c>
      <c r="K404" s="3" t="s">
        <v>2379</v>
      </c>
      <c r="P404" s="3"/>
    </row>
    <row r="405" spans="1:16" x14ac:dyDescent="0.25">
      <c r="A405" s="3" t="s">
        <v>1967</v>
      </c>
      <c r="B405">
        <v>27.82</v>
      </c>
      <c r="C405" t="str" cm="1">
        <f t="array" ref="C405">_xlfn.IFS(B405&lt;=18.5,  "Underweight",B405&lt;=24.9,"Normal weight",B405&lt;=29.9, "Over weight",B405&gt;=30,"Obesity")</f>
        <v>Over weight</v>
      </c>
      <c r="D405">
        <v>5.24</v>
      </c>
      <c r="E405" t="str" cm="1">
        <f t="array" ref="E405">_xlfn.IFS(D405&lt;5.7,"Normal",D405&lt;=6.4,"Prediabetes",D405&gt;=6.5,"Diabetes")</f>
        <v>Normal</v>
      </c>
      <c r="F405" s="3" t="s">
        <v>2382</v>
      </c>
      <c r="G405" s="3" t="s">
        <v>2379</v>
      </c>
      <c r="H405" s="3" t="s">
        <v>2379</v>
      </c>
      <c r="I405" s="1" t="s">
        <v>2380</v>
      </c>
      <c r="J405">
        <v>0</v>
      </c>
      <c r="K405" s="3" t="s">
        <v>2382</v>
      </c>
      <c r="P405" s="3"/>
    </row>
    <row r="406" spans="1:16" x14ac:dyDescent="0.25">
      <c r="A406" s="3" t="s">
        <v>1966</v>
      </c>
      <c r="B406">
        <v>25.46</v>
      </c>
      <c r="C406" t="str" cm="1">
        <f t="array" ref="C406">_xlfn.IFS(B406&lt;=18.5,  "Underweight",B406&lt;=24.9,"Normal weight",B406&lt;=29.9, "Over weight",B406&gt;=30,"Obesity")</f>
        <v>Over weight</v>
      </c>
      <c r="D406">
        <v>11.75</v>
      </c>
      <c r="E406" t="str" cm="1">
        <f t="array" ref="E406">_xlfn.IFS(D406&lt;5.7,"Normal",D406&lt;=6.4,"Prediabetes",D406&gt;=6.5,"Diabetes")</f>
        <v>Diabetes</v>
      </c>
      <c r="F406" s="3" t="s">
        <v>2379</v>
      </c>
      <c r="G406" s="3" t="s">
        <v>2379</v>
      </c>
      <c r="H406" s="3" t="s">
        <v>2379</v>
      </c>
      <c r="I406" s="1" t="s">
        <v>2380</v>
      </c>
      <c r="J406">
        <v>0</v>
      </c>
      <c r="K406" s="3" t="s">
        <v>2379</v>
      </c>
      <c r="P406" s="3"/>
    </row>
    <row r="407" spans="1:16" x14ac:dyDescent="0.25">
      <c r="A407" s="3" t="s">
        <v>1965</v>
      </c>
      <c r="B407">
        <v>25.1</v>
      </c>
      <c r="C407" t="str" cm="1">
        <f t="array" ref="C407">_xlfn.IFS(B407&lt;=18.5,  "Underweight",B407&lt;=24.9,"Normal weight",B407&lt;=29.9, "Over weight",B407&gt;=30,"Obesity")</f>
        <v>Over weight</v>
      </c>
      <c r="D407">
        <v>6.97</v>
      </c>
      <c r="E407" t="str" cm="1">
        <f t="array" ref="E407">_xlfn.IFS(D407&lt;5.7,"Normal",D407&lt;=6.4,"Prediabetes",D407&gt;=6.5,"Diabetes")</f>
        <v>Diabetes</v>
      </c>
      <c r="F407" s="3" t="s">
        <v>2379</v>
      </c>
      <c r="G407" s="3" t="s">
        <v>2379</v>
      </c>
      <c r="H407" s="3" t="s">
        <v>2379</v>
      </c>
      <c r="I407" s="1" t="s">
        <v>2380</v>
      </c>
      <c r="J407">
        <v>0</v>
      </c>
      <c r="K407" s="3" t="s">
        <v>2382</v>
      </c>
      <c r="P407" s="3"/>
    </row>
    <row r="408" spans="1:16" x14ac:dyDescent="0.25">
      <c r="A408" s="3" t="s">
        <v>1964</v>
      </c>
      <c r="B408">
        <v>32.11</v>
      </c>
      <c r="C408" t="str" cm="1">
        <f t="array" ref="C408">_xlfn.IFS(B408&lt;=18.5,  "Underweight",B408&lt;=24.9,"Normal weight",B408&lt;=29.9, "Over weight",B408&gt;=30,"Obesity")</f>
        <v>Obesity</v>
      </c>
      <c r="D408">
        <v>4.76</v>
      </c>
      <c r="E408" t="str" cm="1">
        <f t="array" ref="E408">_xlfn.IFS(D408&lt;5.7,"Normal",D408&lt;=6.4,"Prediabetes",D408&gt;=6.5,"Diabetes")</f>
        <v>Normal</v>
      </c>
      <c r="F408" s="3" t="s">
        <v>2379</v>
      </c>
      <c r="G408" s="3" t="s">
        <v>2379</v>
      </c>
      <c r="H408" s="3" t="s">
        <v>2379</v>
      </c>
      <c r="I408" s="1">
        <v>2</v>
      </c>
      <c r="J408">
        <v>2</v>
      </c>
      <c r="K408" s="3" t="s">
        <v>2379</v>
      </c>
      <c r="P408" s="3"/>
    </row>
    <row r="409" spans="1:16" x14ac:dyDescent="0.25">
      <c r="A409" s="3" t="s">
        <v>1963</v>
      </c>
      <c r="B409">
        <v>29.8</v>
      </c>
      <c r="C409" t="str" cm="1">
        <f t="array" ref="C409">_xlfn.IFS(B409&lt;=18.5,  "Underweight",B409&lt;=24.9,"Normal weight",B409&lt;=29.9, "Over weight",B409&gt;=30,"Obesity")</f>
        <v>Over weight</v>
      </c>
      <c r="D409">
        <v>8.24</v>
      </c>
      <c r="E409" t="str" cm="1">
        <f t="array" ref="E409">_xlfn.IFS(D409&lt;5.7,"Normal",D409&lt;=6.4,"Prediabetes",D409&gt;=6.5,"Diabetes")</f>
        <v>Diabetes</v>
      </c>
      <c r="F409" s="3" t="s">
        <v>2382</v>
      </c>
      <c r="G409" s="3" t="s">
        <v>2379</v>
      </c>
      <c r="H409" s="3" t="s">
        <v>2379</v>
      </c>
      <c r="I409" s="1">
        <v>1</v>
      </c>
      <c r="J409">
        <v>1</v>
      </c>
      <c r="K409" s="3" t="s">
        <v>2382</v>
      </c>
      <c r="P409" s="3"/>
    </row>
    <row r="410" spans="1:16" x14ac:dyDescent="0.25">
      <c r="A410" s="3" t="s">
        <v>1962</v>
      </c>
      <c r="B410">
        <v>24.01</v>
      </c>
      <c r="C410" t="str" cm="1">
        <f t="array" ref="C410">_xlfn.IFS(B410&lt;=18.5,  "Underweight",B410&lt;=24.9,"Normal weight",B410&lt;=29.9, "Over weight",B410&gt;=30,"Obesity")</f>
        <v>Normal weight</v>
      </c>
      <c r="D410">
        <v>4.76</v>
      </c>
      <c r="E410" t="str" cm="1">
        <f t="array" ref="E410">_xlfn.IFS(D410&lt;5.7,"Normal",D410&lt;=6.4,"Prediabetes",D410&gt;=6.5,"Diabetes")</f>
        <v>Normal</v>
      </c>
      <c r="F410" s="3" t="s">
        <v>2379</v>
      </c>
      <c r="G410" s="3" t="s">
        <v>2379</v>
      </c>
      <c r="H410" s="3" t="s">
        <v>2379</v>
      </c>
      <c r="I410" s="1">
        <v>1</v>
      </c>
      <c r="J410">
        <v>1</v>
      </c>
      <c r="K410" s="3" t="s">
        <v>2382</v>
      </c>
      <c r="P410" s="3"/>
    </row>
    <row r="411" spans="1:16" x14ac:dyDescent="0.25">
      <c r="A411" s="3" t="s">
        <v>1961</v>
      </c>
      <c r="B411">
        <v>23.21</v>
      </c>
      <c r="C411" t="str" cm="1">
        <f t="array" ref="C411">_xlfn.IFS(B411&lt;=18.5,  "Underweight",B411&lt;=24.9,"Normal weight",B411&lt;=29.9, "Over weight",B411&gt;=30,"Obesity")</f>
        <v>Normal weight</v>
      </c>
      <c r="D411">
        <v>6.03</v>
      </c>
      <c r="E411" t="str" cm="1">
        <f t="array" ref="E411">_xlfn.IFS(D411&lt;5.7,"Normal",D411&lt;=6.4,"Prediabetes",D411&gt;=6.5,"Diabetes")</f>
        <v>Prediabetes</v>
      </c>
      <c r="F411" s="3" t="s">
        <v>2379</v>
      </c>
      <c r="G411" s="3" t="s">
        <v>2379</v>
      </c>
      <c r="H411" s="3" t="s">
        <v>2379</v>
      </c>
      <c r="I411" s="1">
        <v>1</v>
      </c>
      <c r="J411">
        <v>1</v>
      </c>
      <c r="K411" s="3" t="s">
        <v>2379</v>
      </c>
      <c r="P411" s="3"/>
    </row>
    <row r="412" spans="1:16" x14ac:dyDescent="0.25">
      <c r="A412" s="3" t="s">
        <v>1960</v>
      </c>
      <c r="B412">
        <v>21.2</v>
      </c>
      <c r="C412" t="str" cm="1">
        <f t="array" ref="C412">_xlfn.IFS(B412&lt;=18.5,  "Underweight",B412&lt;=24.9,"Normal weight",B412&lt;=29.9, "Over weight",B412&gt;=30,"Obesity")</f>
        <v>Normal weight</v>
      </c>
      <c r="D412">
        <v>4.07</v>
      </c>
      <c r="E412" t="str" cm="1">
        <f t="array" ref="E412">_xlfn.IFS(D412&lt;5.7,"Normal",D412&lt;=6.4,"Prediabetes",D412&gt;=6.5,"Diabetes")</f>
        <v>Normal</v>
      </c>
      <c r="F412" s="3" t="s">
        <v>2382</v>
      </c>
      <c r="G412" s="3" t="s">
        <v>2379</v>
      </c>
      <c r="H412" s="3" t="s">
        <v>2379</v>
      </c>
      <c r="I412" s="1">
        <v>1</v>
      </c>
      <c r="J412">
        <v>1</v>
      </c>
      <c r="K412" s="3" t="s">
        <v>2382</v>
      </c>
      <c r="P412" s="3"/>
    </row>
    <row r="413" spans="1:16" x14ac:dyDescent="0.25">
      <c r="A413" s="3" t="s">
        <v>1959</v>
      </c>
      <c r="B413">
        <v>28.215</v>
      </c>
      <c r="C413" t="str" cm="1">
        <f t="array" ref="C413">_xlfn.IFS(B413&lt;=18.5,  "Underweight",B413&lt;=24.9,"Normal weight",B413&lt;=29.9, "Over weight",B413&gt;=30,"Obesity")</f>
        <v>Over weight</v>
      </c>
      <c r="D413">
        <v>8.26</v>
      </c>
      <c r="E413" t="str" cm="1">
        <f t="array" ref="E413">_xlfn.IFS(D413&lt;5.7,"Normal",D413&lt;=6.4,"Prediabetes",D413&gt;=6.5,"Diabetes")</f>
        <v>Diabetes</v>
      </c>
      <c r="F413" s="3" t="s">
        <v>2382</v>
      </c>
      <c r="G413" s="3" t="s">
        <v>2379</v>
      </c>
      <c r="H413" s="3" t="s">
        <v>2379</v>
      </c>
      <c r="I413" s="1">
        <v>1</v>
      </c>
      <c r="J413">
        <v>1</v>
      </c>
      <c r="K413" s="3" t="s">
        <v>2382</v>
      </c>
      <c r="P413" s="3"/>
    </row>
    <row r="414" spans="1:16" x14ac:dyDescent="0.25">
      <c r="A414" s="3" t="s">
        <v>1958</v>
      </c>
      <c r="B414">
        <v>38.094999999999999</v>
      </c>
      <c r="C414" t="str" cm="1">
        <f t="array" ref="C414">_xlfn.IFS(B414&lt;=18.5,  "Underweight",B414&lt;=24.9,"Normal weight",B414&lt;=29.9, "Over weight",B414&gt;=30,"Obesity")</f>
        <v>Obesity</v>
      </c>
      <c r="D414">
        <v>4.76</v>
      </c>
      <c r="E414" t="str" cm="1">
        <f t="array" ref="E414">_xlfn.IFS(D414&lt;5.7,"Normal",D414&lt;=6.4,"Prediabetes",D414&gt;=6.5,"Diabetes")</f>
        <v>Normal</v>
      </c>
      <c r="F414" s="3" t="s">
        <v>2379</v>
      </c>
      <c r="G414" s="3" t="s">
        <v>2379</v>
      </c>
      <c r="H414" s="3" t="s">
        <v>2379</v>
      </c>
      <c r="I414" s="1">
        <v>1</v>
      </c>
      <c r="J414">
        <v>1</v>
      </c>
      <c r="K414" s="3" t="s">
        <v>2379</v>
      </c>
      <c r="P414" s="3"/>
    </row>
    <row r="415" spans="1:16" x14ac:dyDescent="0.25">
      <c r="A415" s="3" t="s">
        <v>1957</v>
      </c>
      <c r="B415">
        <v>22.61</v>
      </c>
      <c r="C415" t="str" cm="1">
        <f t="array" ref="C415">_xlfn.IFS(B415&lt;=18.5,  "Underweight",B415&lt;=24.9,"Normal weight",B415&lt;=29.9, "Over weight",B415&gt;=30,"Obesity")</f>
        <v>Normal weight</v>
      </c>
      <c r="D415">
        <v>6.13</v>
      </c>
      <c r="E415" t="str" cm="1">
        <f t="array" ref="E415">_xlfn.IFS(D415&lt;5.7,"Normal",D415&lt;=6.4,"Prediabetes",D415&gt;=6.5,"Diabetes")</f>
        <v>Prediabetes</v>
      </c>
      <c r="F415" s="3" t="s">
        <v>2382</v>
      </c>
      <c r="G415" s="3" t="s">
        <v>2379</v>
      </c>
      <c r="H415" s="3" t="s">
        <v>2382</v>
      </c>
      <c r="I415" s="1">
        <v>1</v>
      </c>
      <c r="J415">
        <v>1</v>
      </c>
      <c r="K415" s="3" t="s">
        <v>2382</v>
      </c>
      <c r="P415" s="3"/>
    </row>
    <row r="416" spans="1:16" x14ac:dyDescent="0.25">
      <c r="A416" s="3" t="s">
        <v>1956</v>
      </c>
      <c r="B416">
        <v>24.32</v>
      </c>
      <c r="C416" t="str" cm="1">
        <f t="array" ref="C416">_xlfn.IFS(B416&lt;=18.5,  "Underweight",B416&lt;=24.9,"Normal weight",B416&lt;=29.9, "Over weight",B416&gt;=30,"Obesity")</f>
        <v>Normal weight</v>
      </c>
      <c r="D416">
        <v>10.47</v>
      </c>
      <c r="E416" t="str" cm="1">
        <f t="array" ref="E416">_xlfn.IFS(D416&lt;5.7,"Normal",D416&lt;=6.4,"Prediabetes",D416&gt;=6.5,"Diabetes")</f>
        <v>Diabetes</v>
      </c>
      <c r="F416" s="3" t="s">
        <v>2382</v>
      </c>
      <c r="G416" s="3" t="s">
        <v>2379</v>
      </c>
      <c r="H416" s="3" t="s">
        <v>2379</v>
      </c>
      <c r="I416" s="1">
        <v>2</v>
      </c>
      <c r="J416">
        <v>2</v>
      </c>
      <c r="K416" s="3" t="s">
        <v>2382</v>
      </c>
      <c r="P416" s="3"/>
    </row>
    <row r="417" spans="1:16" x14ac:dyDescent="0.25">
      <c r="A417" s="3" t="s">
        <v>1955</v>
      </c>
      <c r="B417">
        <v>20.96</v>
      </c>
      <c r="C417" t="str" cm="1">
        <f t="array" ref="C417">_xlfn.IFS(B417&lt;=18.5,  "Underweight",B417&lt;=24.9,"Normal weight",B417&lt;=29.9, "Over weight",B417&gt;=30,"Obesity")</f>
        <v>Normal weight</v>
      </c>
      <c r="D417">
        <v>4.04</v>
      </c>
      <c r="E417" t="str" cm="1">
        <f t="array" ref="E417">_xlfn.IFS(D417&lt;5.7,"Normal",D417&lt;=6.4,"Prediabetes",D417&gt;=6.5,"Diabetes")</f>
        <v>Normal</v>
      </c>
      <c r="F417" s="3" t="s">
        <v>2382</v>
      </c>
      <c r="G417" s="3" t="s">
        <v>2379</v>
      </c>
      <c r="H417" s="3" t="s">
        <v>2379</v>
      </c>
      <c r="I417" s="1">
        <v>1</v>
      </c>
      <c r="J417">
        <v>1</v>
      </c>
      <c r="K417" s="3" t="s">
        <v>2382</v>
      </c>
      <c r="P417" s="3"/>
    </row>
    <row r="418" spans="1:16" x14ac:dyDescent="0.25">
      <c r="A418" s="3" t="s">
        <v>1954</v>
      </c>
      <c r="B418">
        <v>19.68</v>
      </c>
      <c r="C418" t="str" cm="1">
        <f t="array" ref="C418">_xlfn.IFS(B418&lt;=18.5,  "Underweight",B418&lt;=24.9,"Normal weight",B418&lt;=29.9, "Over weight",B418&gt;=30,"Obesity")</f>
        <v>Normal weight</v>
      </c>
      <c r="D418">
        <v>5.74</v>
      </c>
      <c r="E418" t="str" cm="1">
        <f t="array" ref="E418">_xlfn.IFS(D418&lt;5.7,"Normal",D418&lt;=6.4,"Prediabetes",D418&gt;=6.5,"Diabetes")</f>
        <v>Prediabetes</v>
      </c>
      <c r="F418" s="3" t="s">
        <v>2379</v>
      </c>
      <c r="G418" s="3" t="s">
        <v>2379</v>
      </c>
      <c r="H418" s="3" t="s">
        <v>2379</v>
      </c>
      <c r="I418" s="1" t="s">
        <v>2380</v>
      </c>
      <c r="J418">
        <v>0</v>
      </c>
      <c r="K418" s="3" t="s">
        <v>2382</v>
      </c>
      <c r="P418" s="3"/>
    </row>
    <row r="419" spans="1:16" x14ac:dyDescent="0.25">
      <c r="A419" s="3" t="s">
        <v>1953</v>
      </c>
      <c r="B419">
        <v>18.100000000000001</v>
      </c>
      <c r="C419" t="str" cm="1">
        <f t="array" ref="C419">_xlfn.IFS(B419&lt;=18.5,  "Underweight",B419&lt;=24.9,"Normal weight",B419&lt;=29.9, "Over weight",B419&gt;=30,"Obesity")</f>
        <v>Underweight</v>
      </c>
      <c r="D419">
        <v>6.33</v>
      </c>
      <c r="E419" t="str" cm="1">
        <f t="array" ref="E419">_xlfn.IFS(D419&lt;5.7,"Normal",D419&lt;=6.4,"Prediabetes",D419&gt;=6.5,"Diabetes")</f>
        <v>Prediabetes</v>
      </c>
      <c r="F419" s="3" t="s">
        <v>2379</v>
      </c>
      <c r="G419" s="3" t="s">
        <v>2379</v>
      </c>
      <c r="H419" s="3" t="s">
        <v>2379</v>
      </c>
      <c r="I419" s="1">
        <v>1</v>
      </c>
      <c r="J419">
        <v>1</v>
      </c>
      <c r="K419" s="3" t="s">
        <v>2382</v>
      </c>
      <c r="P419" s="3"/>
    </row>
    <row r="420" spans="1:16" x14ac:dyDescent="0.25">
      <c r="A420" s="3" t="s">
        <v>1952</v>
      </c>
      <c r="B420">
        <v>29.64</v>
      </c>
      <c r="C420" t="str" cm="1">
        <f t="array" ref="C420">_xlfn.IFS(B420&lt;=18.5,  "Underweight",B420&lt;=24.9,"Normal weight",B420&lt;=29.9, "Over weight",B420&gt;=30,"Obesity")</f>
        <v>Over weight</v>
      </c>
      <c r="D420">
        <v>4.28</v>
      </c>
      <c r="E420" t="str" cm="1">
        <f t="array" ref="E420">_xlfn.IFS(D420&lt;5.7,"Normal",D420&lt;=6.4,"Prediabetes",D420&gt;=6.5,"Diabetes")</f>
        <v>Normal</v>
      </c>
      <c r="F420" s="3" t="s">
        <v>2382</v>
      </c>
      <c r="G420" s="3" t="s">
        <v>2379</v>
      </c>
      <c r="H420" s="3" t="s">
        <v>2379</v>
      </c>
      <c r="I420" s="1" t="s">
        <v>2380</v>
      </c>
      <c r="J420">
        <v>0</v>
      </c>
      <c r="K420" s="3" t="s">
        <v>2379</v>
      </c>
      <c r="P420" s="3"/>
    </row>
    <row r="421" spans="1:16" x14ac:dyDescent="0.25">
      <c r="A421" s="3" t="s">
        <v>1951</v>
      </c>
      <c r="B421">
        <v>25.3</v>
      </c>
      <c r="C421" t="str" cm="1">
        <f t="array" ref="C421">_xlfn.IFS(B421&lt;=18.5,  "Underweight",B421&lt;=24.9,"Normal weight",B421&lt;=29.9, "Over weight",B421&gt;=30,"Obesity")</f>
        <v>Over weight</v>
      </c>
      <c r="D421">
        <v>9.4700000000000006</v>
      </c>
      <c r="E421" t="str" cm="1">
        <f t="array" ref="E421">_xlfn.IFS(D421&lt;5.7,"Normal",D421&lt;=6.4,"Prediabetes",D421&gt;=6.5,"Diabetes")</f>
        <v>Diabetes</v>
      </c>
      <c r="F421" s="3" t="s">
        <v>2382</v>
      </c>
      <c r="G421" s="3" t="s">
        <v>2379</v>
      </c>
      <c r="H421" s="3" t="s">
        <v>2379</v>
      </c>
      <c r="I421" s="1">
        <v>2</v>
      </c>
      <c r="J421">
        <v>2</v>
      </c>
      <c r="K421" s="3" t="s">
        <v>2382</v>
      </c>
      <c r="P421" s="3"/>
    </row>
    <row r="422" spans="1:16" x14ac:dyDescent="0.25">
      <c r="A422" s="3" t="s">
        <v>1950</v>
      </c>
      <c r="B422">
        <v>27.6</v>
      </c>
      <c r="C422" t="str" cm="1">
        <f t="array" ref="C422">_xlfn.IFS(B422&lt;=18.5,  "Underweight",B422&lt;=24.9,"Normal weight",B422&lt;=29.9, "Over weight",B422&gt;=30,"Obesity")</f>
        <v>Over weight</v>
      </c>
      <c r="D422">
        <v>4.8499999999999996</v>
      </c>
      <c r="E422" t="str" cm="1">
        <f t="array" ref="E422">_xlfn.IFS(D422&lt;5.7,"Normal",D422&lt;=6.4,"Prediabetes",D422&gt;=6.5,"Diabetes")</f>
        <v>Normal</v>
      </c>
      <c r="F422" s="3" t="s">
        <v>2382</v>
      </c>
      <c r="G422" s="3" t="s">
        <v>2379</v>
      </c>
      <c r="H422" s="3" t="s">
        <v>2379</v>
      </c>
      <c r="I422" s="1" t="s">
        <v>2380</v>
      </c>
      <c r="J422">
        <v>0</v>
      </c>
      <c r="K422" s="3" t="s">
        <v>2379</v>
      </c>
      <c r="P422" s="3"/>
    </row>
    <row r="423" spans="1:16" x14ac:dyDescent="0.25">
      <c r="A423" s="3" t="s">
        <v>1949</v>
      </c>
      <c r="B423">
        <v>27.645</v>
      </c>
      <c r="C423" t="str" cm="1">
        <f t="array" ref="C423">_xlfn.IFS(B423&lt;=18.5,  "Underweight",B423&lt;=24.9,"Normal weight",B423&lt;=29.9, "Over weight",B423&gt;=30,"Obesity")</f>
        <v>Over weight</v>
      </c>
      <c r="D423">
        <v>11.03</v>
      </c>
      <c r="E423" t="str" cm="1">
        <f t="array" ref="E423">_xlfn.IFS(D423&lt;5.7,"Normal",D423&lt;=6.4,"Prediabetes",D423&gt;=6.5,"Diabetes")</f>
        <v>Diabetes</v>
      </c>
      <c r="F423" s="3" t="s">
        <v>2382</v>
      </c>
      <c r="G423" s="3" t="s">
        <v>2379</v>
      </c>
      <c r="H423" s="3" t="s">
        <v>2379</v>
      </c>
      <c r="I423" s="1">
        <v>1</v>
      </c>
      <c r="J423">
        <v>1</v>
      </c>
      <c r="K423" s="3" t="s">
        <v>2382</v>
      </c>
      <c r="P423" s="3"/>
    </row>
    <row r="424" spans="1:16" x14ac:dyDescent="0.25">
      <c r="A424" s="3" t="s">
        <v>1948</v>
      </c>
      <c r="B424">
        <v>27.6</v>
      </c>
      <c r="C424" t="str" cm="1">
        <f t="array" ref="C424">_xlfn.IFS(B424&lt;=18.5,  "Underweight",B424&lt;=24.9,"Normal weight",B424&lt;=29.9, "Over weight",B424&gt;=30,"Obesity")</f>
        <v>Over weight</v>
      </c>
      <c r="D424">
        <v>5.22</v>
      </c>
      <c r="E424" t="str" cm="1">
        <f t="array" ref="E424">_xlfn.IFS(D424&lt;5.7,"Normal",D424&lt;=6.4,"Prediabetes",D424&gt;=6.5,"Diabetes")</f>
        <v>Normal</v>
      </c>
      <c r="F424" s="3" t="s">
        <v>2379</v>
      </c>
      <c r="G424" s="3" t="s">
        <v>2379</v>
      </c>
      <c r="H424" s="3" t="s">
        <v>2379</v>
      </c>
      <c r="I424" s="1">
        <v>2</v>
      </c>
      <c r="J424">
        <v>2</v>
      </c>
      <c r="K424" s="3" t="s">
        <v>2382</v>
      </c>
      <c r="P424" s="3"/>
    </row>
    <row r="425" spans="1:16" x14ac:dyDescent="0.25">
      <c r="A425" s="3" t="s">
        <v>1947</v>
      </c>
      <c r="B425">
        <v>25.08</v>
      </c>
      <c r="C425" t="str" cm="1">
        <f t="array" ref="C425">_xlfn.IFS(B425&lt;=18.5,  "Underweight",B425&lt;=24.9,"Normal weight",B425&lt;=29.9, "Over weight",B425&gt;=30,"Obesity")</f>
        <v>Over weight</v>
      </c>
      <c r="D425">
        <v>9.52</v>
      </c>
      <c r="E425" t="str" cm="1">
        <f t="array" ref="E425">_xlfn.IFS(D425&lt;5.7,"Normal",D425&lt;=6.4,"Prediabetes",D425&gt;=6.5,"Diabetes")</f>
        <v>Diabetes</v>
      </c>
      <c r="F425" s="3" t="s">
        <v>2382</v>
      </c>
      <c r="G425" s="3" t="s">
        <v>2379</v>
      </c>
      <c r="H425" s="3" t="s">
        <v>2379</v>
      </c>
      <c r="I425" s="1">
        <v>2</v>
      </c>
      <c r="J425">
        <v>2</v>
      </c>
      <c r="K425" s="3" t="s">
        <v>2379</v>
      </c>
      <c r="P425" s="3"/>
    </row>
    <row r="426" spans="1:16" x14ac:dyDescent="0.25">
      <c r="A426" s="3" t="s">
        <v>1946</v>
      </c>
      <c r="B426">
        <v>30.02</v>
      </c>
      <c r="C426" t="str" cm="1">
        <f t="array" ref="C426">_xlfn.IFS(B426&lt;=18.5,  "Underweight",B426&lt;=24.9,"Normal weight",B426&lt;=29.9, "Over weight",B426&gt;=30,"Obesity")</f>
        <v>Obesity</v>
      </c>
      <c r="D426">
        <v>11.09</v>
      </c>
      <c r="E426" t="str" cm="1">
        <f t="array" ref="E426">_xlfn.IFS(D426&lt;5.7,"Normal",D426&lt;=6.4,"Prediabetes",D426&gt;=6.5,"Diabetes")</f>
        <v>Diabetes</v>
      </c>
      <c r="F426" s="3" t="s">
        <v>2379</v>
      </c>
      <c r="G426" s="3" t="s">
        <v>2379</v>
      </c>
      <c r="H426" s="3" t="s">
        <v>2379</v>
      </c>
      <c r="I426" s="1" t="s">
        <v>2380</v>
      </c>
      <c r="J426">
        <v>0</v>
      </c>
      <c r="K426" s="3" t="s">
        <v>2379</v>
      </c>
      <c r="P426" s="3"/>
    </row>
    <row r="427" spans="1:16" x14ac:dyDescent="0.25">
      <c r="A427" s="3" t="s">
        <v>1945</v>
      </c>
      <c r="B427">
        <v>27.36</v>
      </c>
      <c r="C427" t="str" cm="1">
        <f t="array" ref="C427">_xlfn.IFS(B427&lt;=18.5,  "Underweight",B427&lt;=24.9,"Normal weight",B427&lt;=29.9, "Over weight",B427&gt;=30,"Obesity")</f>
        <v>Over weight</v>
      </c>
      <c r="D427">
        <v>9.4499999999999993</v>
      </c>
      <c r="E427" t="str" cm="1">
        <f t="array" ref="E427">_xlfn.IFS(D427&lt;5.7,"Normal",D427&lt;=6.4,"Prediabetes",D427&gt;=6.5,"Diabetes")</f>
        <v>Diabetes</v>
      </c>
      <c r="F427" s="3" t="s">
        <v>2382</v>
      </c>
      <c r="G427" s="3" t="s">
        <v>2379</v>
      </c>
      <c r="H427" s="3" t="s">
        <v>2379</v>
      </c>
      <c r="I427" s="1">
        <v>2</v>
      </c>
      <c r="J427">
        <v>2</v>
      </c>
      <c r="K427" s="3" t="s">
        <v>2382</v>
      </c>
      <c r="P427" s="3"/>
    </row>
    <row r="428" spans="1:16" x14ac:dyDescent="0.25">
      <c r="A428" s="3" t="s">
        <v>1944</v>
      </c>
      <c r="B428">
        <v>22.2</v>
      </c>
      <c r="C428" t="str" cm="1">
        <f t="array" ref="C428">_xlfn.IFS(B428&lt;=18.5,  "Underweight",B428&lt;=24.9,"Normal weight",B428&lt;=29.9, "Over weight",B428&gt;=30,"Obesity")</f>
        <v>Normal weight</v>
      </c>
      <c r="D428">
        <v>5.51</v>
      </c>
      <c r="E428" t="str" cm="1">
        <f t="array" ref="E428">_xlfn.IFS(D428&lt;5.7,"Normal",D428&lt;=6.4,"Prediabetes",D428&gt;=6.5,"Diabetes")</f>
        <v>Normal</v>
      </c>
      <c r="F428" s="3" t="s">
        <v>2379</v>
      </c>
      <c r="G428" s="3" t="s">
        <v>2379</v>
      </c>
      <c r="H428" s="3" t="s">
        <v>2379</v>
      </c>
      <c r="I428" s="1" t="s">
        <v>2380</v>
      </c>
      <c r="J428">
        <v>0</v>
      </c>
      <c r="K428" s="3" t="s">
        <v>2382</v>
      </c>
      <c r="P428" s="3"/>
    </row>
    <row r="429" spans="1:16" x14ac:dyDescent="0.25">
      <c r="A429" s="3" t="s">
        <v>1943</v>
      </c>
      <c r="B429">
        <v>25.71</v>
      </c>
      <c r="C429" t="str" cm="1">
        <f t="array" ref="C429">_xlfn.IFS(B429&lt;=18.5,  "Underweight",B429&lt;=24.9,"Normal weight",B429&lt;=29.9, "Over weight",B429&gt;=30,"Obesity")</f>
        <v>Over weight</v>
      </c>
      <c r="D429">
        <v>4.18</v>
      </c>
      <c r="E429" t="str" cm="1">
        <f t="array" ref="E429">_xlfn.IFS(D429&lt;5.7,"Normal",D429&lt;=6.4,"Prediabetes",D429&gt;=6.5,"Diabetes")</f>
        <v>Normal</v>
      </c>
      <c r="F429" s="3" t="s">
        <v>2379</v>
      </c>
      <c r="G429" s="3" t="s">
        <v>2381</v>
      </c>
      <c r="H429" s="3" t="s">
        <v>2379</v>
      </c>
      <c r="I429" s="1">
        <v>1</v>
      </c>
      <c r="J429">
        <v>1</v>
      </c>
      <c r="K429" s="3" t="s">
        <v>2382</v>
      </c>
      <c r="P429" s="3"/>
    </row>
    <row r="430" spans="1:16" x14ac:dyDescent="0.25">
      <c r="A430" s="3" t="s">
        <v>1942</v>
      </c>
      <c r="B430">
        <v>41.91</v>
      </c>
      <c r="C430" t="str" cm="1">
        <f t="array" ref="C430">_xlfn.IFS(B430&lt;=18.5,  "Underweight",B430&lt;=24.9,"Normal weight",B430&lt;=29.9, "Over weight",B430&gt;=30,"Obesity")</f>
        <v>Obesity</v>
      </c>
      <c r="D430">
        <v>5.98</v>
      </c>
      <c r="E430" t="str" cm="1">
        <f t="array" ref="E430">_xlfn.IFS(D430&lt;5.7,"Normal",D430&lt;=6.4,"Prediabetes",D430&gt;=6.5,"Diabetes")</f>
        <v>Prediabetes</v>
      </c>
      <c r="F430" s="3" t="s">
        <v>2382</v>
      </c>
      <c r="G430" s="3" t="s">
        <v>2379</v>
      </c>
      <c r="H430" s="3" t="s">
        <v>2379</v>
      </c>
      <c r="I430" s="1">
        <v>1</v>
      </c>
      <c r="J430">
        <v>1</v>
      </c>
      <c r="K430" s="3" t="s">
        <v>2379</v>
      </c>
      <c r="P430" s="3"/>
    </row>
    <row r="431" spans="1:16" x14ac:dyDescent="0.25">
      <c r="A431" s="3" t="s">
        <v>1941</v>
      </c>
      <c r="B431">
        <v>25.85</v>
      </c>
      <c r="C431" t="str" cm="1">
        <f t="array" ref="C431">_xlfn.IFS(B431&lt;=18.5,  "Underweight",B431&lt;=24.9,"Normal weight",B431&lt;=29.9, "Over weight",B431&gt;=30,"Obesity")</f>
        <v>Over weight</v>
      </c>
      <c r="D431">
        <v>10.16</v>
      </c>
      <c r="E431" t="str" cm="1">
        <f t="array" ref="E431">_xlfn.IFS(D431&lt;5.7,"Normal",D431&lt;=6.4,"Prediabetes",D431&gt;=6.5,"Diabetes")</f>
        <v>Diabetes</v>
      </c>
      <c r="F431" s="3" t="s">
        <v>2379</v>
      </c>
      <c r="G431" s="3" t="s">
        <v>2379</v>
      </c>
      <c r="H431" s="3" t="s">
        <v>2379</v>
      </c>
      <c r="I431" s="1" t="s">
        <v>2380</v>
      </c>
      <c r="J431">
        <v>0</v>
      </c>
      <c r="K431" s="3" t="s">
        <v>2382</v>
      </c>
      <c r="P431" s="3"/>
    </row>
    <row r="432" spans="1:16" x14ac:dyDescent="0.25">
      <c r="A432" s="3" t="s">
        <v>1940</v>
      </c>
      <c r="B432">
        <v>23.844999999999999</v>
      </c>
      <c r="C432" t="str" cm="1">
        <f t="array" ref="C432">_xlfn.IFS(B432&lt;=18.5,  "Underweight",B432&lt;=24.9,"Normal weight",B432&lt;=29.9, "Over weight",B432&gt;=30,"Obesity")</f>
        <v>Normal weight</v>
      </c>
      <c r="D432">
        <v>11.71</v>
      </c>
      <c r="E432" t="str" cm="1">
        <f t="array" ref="E432">_xlfn.IFS(D432&lt;5.7,"Normal",D432&lt;=6.4,"Prediabetes",D432&gt;=6.5,"Diabetes")</f>
        <v>Diabetes</v>
      </c>
      <c r="F432" s="3" t="s">
        <v>2379</v>
      </c>
      <c r="G432" s="3" t="s">
        <v>2379</v>
      </c>
      <c r="H432" s="3" t="s">
        <v>2379</v>
      </c>
      <c r="I432" s="1">
        <v>2</v>
      </c>
      <c r="J432">
        <v>2</v>
      </c>
      <c r="K432" s="3" t="s">
        <v>2382</v>
      </c>
      <c r="P432" s="3"/>
    </row>
    <row r="433" spans="1:16" x14ac:dyDescent="0.25">
      <c r="A433" s="3" t="s">
        <v>1939</v>
      </c>
      <c r="B433">
        <v>30.59</v>
      </c>
      <c r="C433" t="str" cm="1">
        <f t="array" ref="C433">_xlfn.IFS(B433&lt;=18.5,  "Underweight",B433&lt;=24.9,"Normal weight",B433&lt;=29.9, "Over weight",B433&gt;=30,"Obesity")</f>
        <v>Obesity</v>
      </c>
      <c r="D433">
        <v>5.23</v>
      </c>
      <c r="E433" t="str" cm="1">
        <f t="array" ref="E433">_xlfn.IFS(D433&lt;5.7,"Normal",D433&lt;=6.4,"Prediabetes",D433&gt;=6.5,"Diabetes")</f>
        <v>Normal</v>
      </c>
      <c r="F433" s="3" t="s">
        <v>2379</v>
      </c>
      <c r="G433" s="3" t="s">
        <v>2379</v>
      </c>
      <c r="H433" s="3" t="s">
        <v>2382</v>
      </c>
      <c r="I433" s="1">
        <v>1</v>
      </c>
      <c r="J433">
        <v>1</v>
      </c>
      <c r="K433" s="3" t="s">
        <v>2379</v>
      </c>
      <c r="P433" s="3"/>
    </row>
    <row r="434" spans="1:16" x14ac:dyDescent="0.25">
      <c r="A434" s="3" t="s">
        <v>1938</v>
      </c>
      <c r="B434">
        <v>24.795000000000002</v>
      </c>
      <c r="C434" t="str" cm="1">
        <f t="array" ref="C434">_xlfn.IFS(B434&lt;=18.5,  "Underweight",B434&lt;=24.9,"Normal weight",B434&lt;=29.9, "Over weight",B434&gt;=30,"Obesity")</f>
        <v>Normal weight</v>
      </c>
      <c r="D434">
        <v>6.85</v>
      </c>
      <c r="E434" t="str" cm="1">
        <f t="array" ref="E434">_xlfn.IFS(D434&lt;5.7,"Normal",D434&lt;=6.4,"Prediabetes",D434&gt;=6.5,"Diabetes")</f>
        <v>Diabetes</v>
      </c>
      <c r="F434" s="3" t="s">
        <v>2379</v>
      </c>
      <c r="G434" s="3" t="s">
        <v>2379</v>
      </c>
      <c r="H434" s="3" t="s">
        <v>2379</v>
      </c>
      <c r="I434" s="1" t="s">
        <v>2380</v>
      </c>
      <c r="J434">
        <v>0</v>
      </c>
      <c r="K434" s="3" t="s">
        <v>2382</v>
      </c>
      <c r="P434" s="3"/>
    </row>
    <row r="435" spans="1:16" x14ac:dyDescent="0.25">
      <c r="A435" s="3" t="s">
        <v>1937</v>
      </c>
      <c r="B435">
        <v>24.13</v>
      </c>
      <c r="C435" t="str" cm="1">
        <f t="array" ref="C435">_xlfn.IFS(B435&lt;=18.5,  "Underweight",B435&lt;=24.9,"Normal weight",B435&lt;=29.9, "Over weight",B435&gt;=30,"Obesity")</f>
        <v>Normal weight</v>
      </c>
      <c r="D435">
        <v>7.05</v>
      </c>
      <c r="E435" t="str" cm="1">
        <f t="array" ref="E435">_xlfn.IFS(D435&lt;5.7,"Normal",D435&lt;=6.4,"Prediabetes",D435&gt;=6.5,"Diabetes")</f>
        <v>Diabetes</v>
      </c>
      <c r="F435" s="3" t="s">
        <v>2382</v>
      </c>
      <c r="G435" s="3" t="s">
        <v>2379</v>
      </c>
      <c r="H435" s="3" t="s">
        <v>2379</v>
      </c>
      <c r="I435" s="1">
        <v>2</v>
      </c>
      <c r="J435">
        <v>2</v>
      </c>
      <c r="K435" s="3" t="s">
        <v>2382</v>
      </c>
      <c r="P435" s="3"/>
    </row>
    <row r="436" spans="1:16" x14ac:dyDescent="0.25">
      <c r="A436" s="3" t="s">
        <v>1936</v>
      </c>
      <c r="B436">
        <v>25.84</v>
      </c>
      <c r="C436" t="str" cm="1">
        <f t="array" ref="C436">_xlfn.IFS(B436&lt;=18.5,  "Underweight",B436&lt;=24.9,"Normal weight",B436&lt;=29.9, "Over weight",B436&gt;=30,"Obesity")</f>
        <v>Over weight</v>
      </c>
      <c r="D436">
        <v>11.64</v>
      </c>
      <c r="E436" t="str" cm="1">
        <f t="array" ref="E436">_xlfn.IFS(D436&lt;5.7,"Normal",D436&lt;=6.4,"Prediabetes",D436&gt;=6.5,"Diabetes")</f>
        <v>Diabetes</v>
      </c>
      <c r="F436" s="3" t="s">
        <v>2379</v>
      </c>
      <c r="G436" s="3" t="s">
        <v>2379</v>
      </c>
      <c r="H436" s="3" t="s">
        <v>2379</v>
      </c>
      <c r="I436" s="1">
        <v>2</v>
      </c>
      <c r="J436">
        <v>2</v>
      </c>
      <c r="K436" s="3" t="s">
        <v>2382</v>
      </c>
      <c r="P436" s="3"/>
    </row>
    <row r="437" spans="1:16" x14ac:dyDescent="0.25">
      <c r="A437" s="3" t="s">
        <v>1935</v>
      </c>
      <c r="B437">
        <v>28</v>
      </c>
      <c r="C437" t="str" cm="1">
        <f t="array" ref="C437">_xlfn.IFS(B437&lt;=18.5,  "Underweight",B437&lt;=24.9,"Normal weight",B437&lt;=29.9, "Over weight",B437&gt;=30,"Obesity")</f>
        <v>Over weight</v>
      </c>
      <c r="D437">
        <v>10.52</v>
      </c>
      <c r="E437" t="str" cm="1">
        <f t="array" ref="E437">_xlfn.IFS(D437&lt;5.7,"Normal",D437&lt;=6.4,"Prediabetes",D437&gt;=6.5,"Diabetes")</f>
        <v>Diabetes</v>
      </c>
      <c r="F437" s="3" t="s">
        <v>2379</v>
      </c>
      <c r="G437" s="3" t="s">
        <v>2379</v>
      </c>
      <c r="H437" s="3" t="s">
        <v>2379</v>
      </c>
      <c r="I437" s="1" t="s">
        <v>2380</v>
      </c>
      <c r="J437">
        <v>0</v>
      </c>
      <c r="K437" s="3" t="s">
        <v>2382</v>
      </c>
      <c r="P437" s="3"/>
    </row>
    <row r="438" spans="1:16" x14ac:dyDescent="0.25">
      <c r="A438" s="3" t="s">
        <v>1934</v>
      </c>
      <c r="B438">
        <v>34.1</v>
      </c>
      <c r="C438" t="str" cm="1">
        <f t="array" ref="C438">_xlfn.IFS(B438&lt;=18.5,  "Underweight",B438&lt;=24.9,"Normal weight",B438&lt;=29.9, "Over weight",B438&gt;=30,"Obesity")</f>
        <v>Obesity</v>
      </c>
      <c r="D438">
        <v>4.01</v>
      </c>
      <c r="E438" t="str" cm="1">
        <f t="array" ref="E438">_xlfn.IFS(D438&lt;5.7,"Normal",D438&lt;=6.4,"Prediabetes",D438&gt;=6.5,"Diabetes")</f>
        <v>Normal</v>
      </c>
      <c r="F438" s="3" t="s">
        <v>2382</v>
      </c>
      <c r="G438" s="3" t="s">
        <v>2379</v>
      </c>
      <c r="H438" s="3" t="s">
        <v>2382</v>
      </c>
      <c r="I438" s="1">
        <v>1</v>
      </c>
      <c r="J438">
        <v>1</v>
      </c>
      <c r="K438" s="3" t="s">
        <v>2379</v>
      </c>
      <c r="P438" s="3"/>
    </row>
    <row r="439" spans="1:16" x14ac:dyDescent="0.25">
      <c r="A439" s="3" t="s">
        <v>1933</v>
      </c>
      <c r="B439">
        <v>26.125</v>
      </c>
      <c r="C439" t="str" cm="1">
        <f t="array" ref="C439">_xlfn.IFS(B439&lt;=18.5,  "Underweight",B439&lt;=24.9,"Normal weight",B439&lt;=29.9, "Over weight",B439&gt;=30,"Obesity")</f>
        <v>Over weight</v>
      </c>
      <c r="D439">
        <v>8.56</v>
      </c>
      <c r="E439" t="str" cm="1">
        <f t="array" ref="E439">_xlfn.IFS(D439&lt;5.7,"Normal",D439&lt;=6.4,"Prediabetes",D439&gt;=6.5,"Diabetes")</f>
        <v>Diabetes</v>
      </c>
      <c r="F439" s="3" t="s">
        <v>2382</v>
      </c>
      <c r="G439" s="3" t="s">
        <v>2379</v>
      </c>
      <c r="H439" s="3" t="s">
        <v>2379</v>
      </c>
      <c r="I439" s="1">
        <v>1</v>
      </c>
      <c r="J439">
        <v>1</v>
      </c>
      <c r="K439" s="3" t="s">
        <v>2382</v>
      </c>
      <c r="P439" s="3"/>
    </row>
    <row r="440" spans="1:16" x14ac:dyDescent="0.25">
      <c r="A440" s="3" t="s">
        <v>1932</v>
      </c>
      <c r="B440">
        <v>25.6</v>
      </c>
      <c r="C440" t="str" cm="1">
        <f t="array" ref="C440">_xlfn.IFS(B440&lt;=18.5,  "Underweight",B440&lt;=24.9,"Normal weight",B440&lt;=29.9, "Over weight",B440&gt;=30,"Obesity")</f>
        <v>Over weight</v>
      </c>
      <c r="D440">
        <v>10.5</v>
      </c>
      <c r="E440" t="str" cm="1">
        <f t="array" ref="E440">_xlfn.IFS(D440&lt;5.7,"Normal",D440&lt;=6.4,"Prediabetes",D440&gt;=6.5,"Diabetes")</f>
        <v>Diabetes</v>
      </c>
      <c r="F440" s="3" t="s">
        <v>2379</v>
      </c>
      <c r="G440" s="3" t="s">
        <v>2379</v>
      </c>
      <c r="H440" s="3" t="s">
        <v>2379</v>
      </c>
      <c r="I440" s="1">
        <v>2</v>
      </c>
      <c r="J440">
        <v>2</v>
      </c>
      <c r="K440" s="3" t="s">
        <v>2382</v>
      </c>
      <c r="P440" s="3"/>
    </row>
    <row r="441" spans="1:16" x14ac:dyDescent="0.25">
      <c r="A441" s="3" t="s">
        <v>1931</v>
      </c>
      <c r="B441">
        <v>24.32</v>
      </c>
      <c r="C441" t="str" cm="1">
        <f t="array" ref="C441">_xlfn.IFS(B441&lt;=18.5,  "Underweight",B441&lt;=24.9,"Normal weight",B441&lt;=29.9, "Over weight",B441&gt;=30,"Obesity")</f>
        <v>Normal weight</v>
      </c>
      <c r="D441">
        <v>6.39</v>
      </c>
      <c r="E441" t="str" cm="1">
        <f t="array" ref="E441">_xlfn.IFS(D441&lt;5.7,"Normal",D441&lt;=6.4,"Prediabetes",D441&gt;=6.5,"Diabetes")</f>
        <v>Prediabetes</v>
      </c>
      <c r="F441" s="3" t="s">
        <v>2379</v>
      </c>
      <c r="G441" s="3" t="s">
        <v>2379</v>
      </c>
      <c r="H441" s="3" t="s">
        <v>2379</v>
      </c>
      <c r="I441" s="1" t="s">
        <v>2380</v>
      </c>
      <c r="J441">
        <v>0</v>
      </c>
      <c r="K441" s="3" t="s">
        <v>2379</v>
      </c>
      <c r="P441" s="3"/>
    </row>
    <row r="442" spans="1:16" x14ac:dyDescent="0.25">
      <c r="A442" s="3" t="s">
        <v>1930</v>
      </c>
      <c r="B442">
        <v>22.88</v>
      </c>
      <c r="C442" t="str" cm="1">
        <f t="array" ref="C442">_xlfn.IFS(B442&lt;=18.5,  "Underweight",B442&lt;=24.9,"Normal weight",B442&lt;=29.9, "Over weight",B442&gt;=30,"Obesity")</f>
        <v>Normal weight</v>
      </c>
      <c r="D442">
        <v>5.71</v>
      </c>
      <c r="E442" t="str" cm="1">
        <f t="array" ref="E442">_xlfn.IFS(D442&lt;5.7,"Normal",D442&lt;=6.4,"Prediabetes",D442&gt;=6.5,"Diabetes")</f>
        <v>Prediabetes</v>
      </c>
      <c r="F442" s="3" t="s">
        <v>2382</v>
      </c>
      <c r="G442" s="3" t="s">
        <v>2379</v>
      </c>
      <c r="H442" s="3" t="s">
        <v>2382</v>
      </c>
      <c r="I442" s="1">
        <v>1</v>
      </c>
      <c r="J442">
        <v>1</v>
      </c>
      <c r="K442" s="3" t="s">
        <v>2382</v>
      </c>
      <c r="P442" s="3"/>
    </row>
    <row r="443" spans="1:16" x14ac:dyDescent="0.25">
      <c r="A443" s="3" t="s">
        <v>1929</v>
      </c>
      <c r="B443">
        <v>24.984999999999999</v>
      </c>
      <c r="C443" t="str" cm="1">
        <f t="array" ref="C443">_xlfn.IFS(B443&lt;=18.5,  "Underweight",B443&lt;=24.9,"Normal weight",B443&lt;=29.9, "Over weight",B443&gt;=30,"Obesity")</f>
        <v>Over weight</v>
      </c>
      <c r="D443">
        <v>4.43</v>
      </c>
      <c r="E443" t="str" cm="1">
        <f t="array" ref="E443">_xlfn.IFS(D443&lt;5.7,"Normal",D443&lt;=6.4,"Prediabetes",D443&gt;=6.5,"Diabetes")</f>
        <v>Normal</v>
      </c>
      <c r="F443" s="3" t="s">
        <v>2382</v>
      </c>
      <c r="G443" s="3" t="s">
        <v>2379</v>
      </c>
      <c r="H443" s="3" t="s">
        <v>2382</v>
      </c>
      <c r="I443" s="1">
        <v>1</v>
      </c>
      <c r="J443">
        <v>1</v>
      </c>
      <c r="K443" s="3" t="s">
        <v>2379</v>
      </c>
      <c r="P443" s="3"/>
    </row>
    <row r="444" spans="1:16" x14ac:dyDescent="0.25">
      <c r="A444" s="3" t="s">
        <v>1928</v>
      </c>
      <c r="B444">
        <v>33.1</v>
      </c>
      <c r="C444" t="str" cm="1">
        <f t="array" ref="C444">_xlfn.IFS(B444&lt;=18.5,  "Underweight",B444&lt;=24.9,"Normal weight",B444&lt;=29.9, "Over weight",B444&gt;=30,"Obesity")</f>
        <v>Obesity</v>
      </c>
      <c r="D444">
        <v>5.52</v>
      </c>
      <c r="E444" t="str" cm="1">
        <f t="array" ref="E444">_xlfn.IFS(D444&lt;5.7,"Normal",D444&lt;=6.4,"Prediabetes",D444&gt;=6.5,"Diabetes")</f>
        <v>Normal</v>
      </c>
      <c r="F444" s="3" t="s">
        <v>2379</v>
      </c>
      <c r="G444" s="3" t="s">
        <v>2379</v>
      </c>
      <c r="H444" s="3" t="s">
        <v>2382</v>
      </c>
      <c r="I444" s="1">
        <v>1</v>
      </c>
      <c r="J444">
        <v>1</v>
      </c>
      <c r="K444" s="3" t="s">
        <v>2379</v>
      </c>
      <c r="P444" s="3"/>
    </row>
    <row r="445" spans="1:16" x14ac:dyDescent="0.25">
      <c r="A445" s="3" t="s">
        <v>1927</v>
      </c>
      <c r="B445">
        <v>27.83</v>
      </c>
      <c r="C445" t="str" cm="1">
        <f t="array" ref="C445">_xlfn.IFS(B445&lt;=18.5,  "Underweight",B445&lt;=24.9,"Normal weight",B445&lt;=29.9, "Over weight",B445&gt;=30,"Obesity")</f>
        <v>Over weight</v>
      </c>
      <c r="D445">
        <v>9.1999999999999993</v>
      </c>
      <c r="E445" t="str" cm="1">
        <f t="array" ref="E445">_xlfn.IFS(D445&lt;5.7,"Normal",D445&lt;=6.4,"Prediabetes",D445&gt;=6.5,"Diabetes")</f>
        <v>Diabetes</v>
      </c>
      <c r="F445" s="3" t="s">
        <v>2382</v>
      </c>
      <c r="G445" s="3" t="s">
        <v>2379</v>
      </c>
      <c r="H445" s="3" t="s">
        <v>2379</v>
      </c>
      <c r="I445" s="1">
        <v>1</v>
      </c>
      <c r="J445">
        <v>1</v>
      </c>
      <c r="K445" s="3" t="s">
        <v>2382</v>
      </c>
      <c r="P445" s="3"/>
    </row>
    <row r="446" spans="1:16" x14ac:dyDescent="0.25">
      <c r="A446" s="3" t="s">
        <v>1926</v>
      </c>
      <c r="B446">
        <v>30.875</v>
      </c>
      <c r="C446" t="str" cm="1">
        <f t="array" ref="C446">_xlfn.IFS(B446&lt;=18.5,  "Underweight",B446&lt;=24.9,"Normal weight",B446&lt;=29.9, "Over weight",B446&gt;=30,"Obesity")</f>
        <v>Obesity</v>
      </c>
      <c r="D446">
        <v>10.97</v>
      </c>
      <c r="E446" t="str" cm="1">
        <f t="array" ref="E446">_xlfn.IFS(D446&lt;5.7,"Normal",D446&lt;=6.4,"Prediabetes",D446&gt;=6.5,"Diabetes")</f>
        <v>Diabetes</v>
      </c>
      <c r="F446" s="3" t="s">
        <v>2382</v>
      </c>
      <c r="G446" s="3" t="s">
        <v>2379</v>
      </c>
      <c r="H446" s="3" t="s">
        <v>2379</v>
      </c>
      <c r="I446" s="1">
        <v>2</v>
      </c>
      <c r="J446">
        <v>2</v>
      </c>
      <c r="K446" s="3" t="s">
        <v>2379</v>
      </c>
      <c r="P446" s="3"/>
    </row>
    <row r="447" spans="1:16" x14ac:dyDescent="0.25">
      <c r="A447" s="3" t="s">
        <v>1925</v>
      </c>
      <c r="B447">
        <v>27.265000000000001</v>
      </c>
      <c r="C447" t="str" cm="1">
        <f t="array" ref="C447">_xlfn.IFS(B447&lt;=18.5,  "Underweight",B447&lt;=24.9,"Normal weight",B447&lt;=29.9, "Over weight",B447&gt;=30,"Obesity")</f>
        <v>Over weight</v>
      </c>
      <c r="D447">
        <v>4.25</v>
      </c>
      <c r="E447" t="str" cm="1">
        <f t="array" ref="E447">_xlfn.IFS(D447&lt;5.7,"Normal",D447&lt;=6.4,"Prediabetes",D447&gt;=6.5,"Diabetes")</f>
        <v>Normal</v>
      </c>
      <c r="F447" s="3" t="s">
        <v>2379</v>
      </c>
      <c r="G447" s="3" t="s">
        <v>2379</v>
      </c>
      <c r="H447" s="3" t="s">
        <v>2382</v>
      </c>
      <c r="I447" s="1">
        <v>1</v>
      </c>
      <c r="J447">
        <v>1</v>
      </c>
      <c r="K447" s="3" t="s">
        <v>2379</v>
      </c>
      <c r="P447" s="3"/>
    </row>
    <row r="448" spans="1:16" x14ac:dyDescent="0.25">
      <c r="A448" s="3" t="s">
        <v>1924</v>
      </c>
      <c r="B448">
        <v>26.7</v>
      </c>
      <c r="C448" t="str" cm="1">
        <f t="array" ref="C448">_xlfn.IFS(B448&lt;=18.5,  "Underweight",B448&lt;=24.9,"Normal weight",B448&lt;=29.9, "Over weight",B448&gt;=30,"Obesity")</f>
        <v>Over weight</v>
      </c>
      <c r="D448">
        <v>5.23</v>
      </c>
      <c r="E448" t="str" cm="1">
        <f t="array" ref="E448">_xlfn.IFS(D448&lt;5.7,"Normal",D448&lt;=6.4,"Prediabetes",D448&gt;=6.5,"Diabetes")</f>
        <v>Normal</v>
      </c>
      <c r="F448" s="3" t="s">
        <v>2379</v>
      </c>
      <c r="G448" s="3" t="s">
        <v>2379</v>
      </c>
      <c r="H448" s="3" t="s">
        <v>2382</v>
      </c>
      <c r="I448" s="1">
        <v>1</v>
      </c>
      <c r="J448">
        <v>1</v>
      </c>
      <c r="K448" s="3" t="s">
        <v>2382</v>
      </c>
      <c r="P448" s="3"/>
    </row>
    <row r="449" spans="1:16" x14ac:dyDescent="0.25">
      <c r="A449" s="3" t="s">
        <v>1923</v>
      </c>
      <c r="B449">
        <v>29.925000000000001</v>
      </c>
      <c r="C449" t="e" cm="1">
        <f t="array" ref="C449">_xlfn.IFS(B449&lt;=18.5,  "Underweight",B449&lt;=24.9,"Normal weight",B449&lt;=29.9, "Over weight",B449&gt;=30,"Obesity")</f>
        <v>#N/A</v>
      </c>
      <c r="D449">
        <v>5.96</v>
      </c>
      <c r="E449" t="str" cm="1">
        <f t="array" ref="E449">_xlfn.IFS(D449&lt;5.7,"Normal",D449&lt;=6.4,"Prediabetes",D449&gt;=6.5,"Diabetes")</f>
        <v>Prediabetes</v>
      </c>
      <c r="F449" s="3" t="s">
        <v>2382</v>
      </c>
      <c r="G449" s="3" t="s">
        <v>2379</v>
      </c>
      <c r="H449" s="3" t="s">
        <v>2382</v>
      </c>
      <c r="I449" s="1">
        <v>1</v>
      </c>
      <c r="J449">
        <v>1</v>
      </c>
      <c r="K449" s="3" t="s">
        <v>2382</v>
      </c>
      <c r="P449" s="3"/>
    </row>
    <row r="450" spans="1:16" x14ac:dyDescent="0.25">
      <c r="A450" s="3" t="s">
        <v>1922</v>
      </c>
      <c r="B450">
        <v>19.95</v>
      </c>
      <c r="C450" t="str" cm="1">
        <f t="array" ref="C450">_xlfn.IFS(B450&lt;=18.5,  "Underweight",B450&lt;=24.9,"Normal weight",B450&lt;=29.9, "Over weight",B450&gt;=30,"Obesity")</f>
        <v>Normal weight</v>
      </c>
      <c r="D450">
        <v>4.29</v>
      </c>
      <c r="E450" t="str" cm="1">
        <f t="array" ref="E450">_xlfn.IFS(D450&lt;5.7,"Normal",D450&lt;=6.4,"Prediabetes",D450&gt;=6.5,"Diabetes")</f>
        <v>Normal</v>
      </c>
      <c r="F450" s="3" t="s">
        <v>2382</v>
      </c>
      <c r="G450" s="3" t="s">
        <v>2379</v>
      </c>
      <c r="H450" s="3" t="s">
        <v>2379</v>
      </c>
      <c r="I450" s="1">
        <v>2</v>
      </c>
      <c r="J450">
        <v>2</v>
      </c>
      <c r="K450" s="3" t="s">
        <v>2382</v>
      </c>
      <c r="P450" s="3"/>
    </row>
    <row r="451" spans="1:16" x14ac:dyDescent="0.25">
      <c r="A451" s="3" t="s">
        <v>1921</v>
      </c>
      <c r="B451">
        <v>24.225000000000001</v>
      </c>
      <c r="C451" t="str" cm="1">
        <f t="array" ref="C451">_xlfn.IFS(B451&lt;=18.5,  "Underweight",B451&lt;=24.9,"Normal weight",B451&lt;=29.9, "Over weight",B451&gt;=30,"Obesity")</f>
        <v>Normal weight</v>
      </c>
      <c r="D451">
        <v>4.09</v>
      </c>
      <c r="E451" t="str" cm="1">
        <f t="array" ref="E451">_xlfn.IFS(D451&lt;5.7,"Normal",D451&lt;=6.4,"Prediabetes",D451&gt;=6.5,"Diabetes")</f>
        <v>Normal</v>
      </c>
      <c r="F451" s="3" t="s">
        <v>2379</v>
      </c>
      <c r="G451" s="3" t="s">
        <v>2379</v>
      </c>
      <c r="H451" s="3" t="s">
        <v>2379</v>
      </c>
      <c r="I451" s="1" t="s">
        <v>2380</v>
      </c>
      <c r="J451">
        <v>0</v>
      </c>
      <c r="K451" s="3" t="s">
        <v>2379</v>
      </c>
      <c r="P451" s="3"/>
    </row>
    <row r="452" spans="1:16" x14ac:dyDescent="0.25">
      <c r="A452" s="3" t="s">
        <v>1920</v>
      </c>
      <c r="B452">
        <v>28.12</v>
      </c>
      <c r="C452" t="str" cm="1">
        <f t="array" ref="C452">_xlfn.IFS(B452&lt;=18.5,  "Underweight",B452&lt;=24.9,"Normal weight",B452&lt;=29.9, "Over weight",B452&gt;=30,"Obesity")</f>
        <v>Over weight</v>
      </c>
      <c r="D452">
        <v>4.88</v>
      </c>
      <c r="E452" t="str" cm="1">
        <f t="array" ref="E452">_xlfn.IFS(D452&lt;5.7,"Normal",D452&lt;=6.4,"Prediabetes",D452&gt;=6.5,"Diabetes")</f>
        <v>Normal</v>
      </c>
      <c r="F452" s="3" t="s">
        <v>2379</v>
      </c>
      <c r="G452" s="3" t="s">
        <v>2379</v>
      </c>
      <c r="H452" s="3" t="s">
        <v>2379</v>
      </c>
      <c r="I452" s="1" t="s">
        <v>2380</v>
      </c>
      <c r="J452">
        <v>0</v>
      </c>
      <c r="K452" s="3" t="s">
        <v>2382</v>
      </c>
      <c r="P452" s="3"/>
    </row>
    <row r="453" spans="1:16" x14ac:dyDescent="0.25">
      <c r="A453" s="3" t="s">
        <v>1919</v>
      </c>
      <c r="B453">
        <v>23.21</v>
      </c>
      <c r="C453" t="str" cm="1">
        <f t="array" ref="C453">_xlfn.IFS(B453&lt;=18.5,  "Underweight",B453&lt;=24.9,"Normal weight",B453&lt;=29.9, "Over weight",B453&gt;=30,"Obesity")</f>
        <v>Normal weight</v>
      </c>
      <c r="D453">
        <v>6.76</v>
      </c>
      <c r="E453" t="str" cm="1">
        <f t="array" ref="E453">_xlfn.IFS(D453&lt;5.7,"Normal",D453&lt;=6.4,"Prediabetes",D453&gt;=6.5,"Diabetes")</f>
        <v>Diabetes</v>
      </c>
      <c r="F453" s="3" t="s">
        <v>2379</v>
      </c>
      <c r="G453" s="3" t="s">
        <v>2379</v>
      </c>
      <c r="H453" s="3" t="s">
        <v>2379</v>
      </c>
      <c r="I453" s="1" t="s">
        <v>2380</v>
      </c>
      <c r="J453">
        <v>0</v>
      </c>
      <c r="K453" s="3" t="s">
        <v>2382</v>
      </c>
      <c r="P453" s="3"/>
    </row>
    <row r="454" spans="1:16" x14ac:dyDescent="0.25">
      <c r="A454" s="3" t="s">
        <v>1918</v>
      </c>
      <c r="B454">
        <v>23.98</v>
      </c>
      <c r="C454" t="str" cm="1">
        <f t="array" ref="C454">_xlfn.IFS(B454&lt;=18.5,  "Underweight",B454&lt;=24.9,"Normal weight",B454&lt;=29.9, "Over weight",B454&gt;=30,"Obesity")</f>
        <v>Normal weight</v>
      </c>
      <c r="D454">
        <v>10.67</v>
      </c>
      <c r="E454" t="str" cm="1">
        <f t="array" ref="E454">_xlfn.IFS(D454&lt;5.7,"Normal",D454&lt;=6.4,"Prediabetes",D454&gt;=6.5,"Diabetes")</f>
        <v>Diabetes</v>
      </c>
      <c r="F454" s="3" t="s">
        <v>2379</v>
      </c>
      <c r="G454" s="3" t="s">
        <v>2379</v>
      </c>
      <c r="H454" s="3" t="s">
        <v>2379</v>
      </c>
      <c r="I454" s="1" t="s">
        <v>2380</v>
      </c>
      <c r="J454">
        <v>0</v>
      </c>
      <c r="K454" s="3" t="s">
        <v>2379</v>
      </c>
      <c r="P454" s="3"/>
    </row>
    <row r="455" spans="1:16" x14ac:dyDescent="0.25">
      <c r="A455" s="3" t="s">
        <v>1917</v>
      </c>
      <c r="B455">
        <v>30</v>
      </c>
      <c r="C455" t="str" cm="1">
        <f t="array" ref="C455">_xlfn.IFS(B455&lt;=18.5,  "Underweight",B455&lt;=24.9,"Normal weight",B455&lt;=29.9, "Over weight",B455&gt;=30,"Obesity")</f>
        <v>Obesity</v>
      </c>
      <c r="D455">
        <v>6.21</v>
      </c>
      <c r="E455" t="str" cm="1">
        <f t="array" ref="E455">_xlfn.IFS(D455&lt;5.7,"Normal",D455&lt;=6.4,"Prediabetes",D455&gt;=6.5,"Diabetes")</f>
        <v>Prediabetes</v>
      </c>
      <c r="F455" s="3" t="s">
        <v>2379</v>
      </c>
      <c r="G455" s="3" t="s">
        <v>2379</v>
      </c>
      <c r="H455" s="3" t="s">
        <v>2379</v>
      </c>
      <c r="I455" s="1" t="s">
        <v>2380</v>
      </c>
      <c r="J455">
        <v>0</v>
      </c>
      <c r="K455" s="3" t="s">
        <v>2382</v>
      </c>
      <c r="P455" s="3"/>
    </row>
    <row r="456" spans="1:16" x14ac:dyDescent="0.25">
      <c r="A456" s="3" t="s">
        <v>1916</v>
      </c>
      <c r="B456">
        <v>17.350000000000001</v>
      </c>
      <c r="C456" t="str" cm="1">
        <f t="array" ref="C456">_xlfn.IFS(B456&lt;=18.5,  "Underweight",B456&lt;=24.9,"Normal weight",B456&lt;=29.9, "Over weight",B456&gt;=30,"Obesity")</f>
        <v>Underweight</v>
      </c>
      <c r="D456">
        <v>5.03</v>
      </c>
      <c r="E456" t="str" cm="1">
        <f t="array" ref="E456">_xlfn.IFS(D456&lt;5.7,"Normal",D456&lt;=6.4,"Prediabetes",D456&gt;=6.5,"Diabetes")</f>
        <v>Normal</v>
      </c>
      <c r="F456" s="3" t="s">
        <v>2382</v>
      </c>
      <c r="G456" s="3" t="s">
        <v>2379</v>
      </c>
      <c r="H456" s="3" t="s">
        <v>2379</v>
      </c>
      <c r="I456" s="1" t="s">
        <v>2380</v>
      </c>
      <c r="J456">
        <v>0</v>
      </c>
      <c r="K456" s="3" t="s">
        <v>2382</v>
      </c>
      <c r="P456" s="3"/>
    </row>
    <row r="457" spans="1:16" x14ac:dyDescent="0.25">
      <c r="A457" s="3" t="s">
        <v>1915</v>
      </c>
      <c r="B457">
        <v>22.704999999999998</v>
      </c>
      <c r="C457" t="str" cm="1">
        <f t="array" ref="C457">_xlfn.IFS(B457&lt;=18.5,  "Underweight",B457&lt;=24.9,"Normal weight",B457&lt;=29.9, "Over weight",B457&gt;=30,"Obesity")</f>
        <v>Normal weight</v>
      </c>
      <c r="D457">
        <v>5.27</v>
      </c>
      <c r="E457" t="str" cm="1">
        <f t="array" ref="E457">_xlfn.IFS(D457&lt;5.7,"Normal",D457&lt;=6.4,"Prediabetes",D457&gt;=6.5,"Diabetes")</f>
        <v>Normal</v>
      </c>
      <c r="F457" s="3" t="s">
        <v>2379</v>
      </c>
      <c r="G457" s="3" t="s">
        <v>2379</v>
      </c>
      <c r="H457" s="3" t="s">
        <v>2379</v>
      </c>
      <c r="I457" s="1" t="s">
        <v>2380</v>
      </c>
      <c r="J457">
        <v>0</v>
      </c>
      <c r="K457" s="3" t="s">
        <v>2379</v>
      </c>
      <c r="P457" s="3"/>
    </row>
    <row r="458" spans="1:16" x14ac:dyDescent="0.25">
      <c r="A458" s="3" t="s">
        <v>1914</v>
      </c>
      <c r="B458">
        <v>25.41</v>
      </c>
      <c r="C458" t="str" cm="1">
        <f t="array" ref="C458">_xlfn.IFS(B458&lt;=18.5,  "Underweight",B458&lt;=24.9,"Normal weight",B458&lt;=29.9, "Over weight",B458&gt;=30,"Obesity")</f>
        <v>Over weight</v>
      </c>
      <c r="D458">
        <v>10.53</v>
      </c>
      <c r="E458" t="str" cm="1">
        <f t="array" ref="E458">_xlfn.IFS(D458&lt;5.7,"Normal",D458&lt;=6.4,"Prediabetes",D458&gt;=6.5,"Diabetes")</f>
        <v>Diabetes</v>
      </c>
      <c r="F458" s="3" t="s">
        <v>2382</v>
      </c>
      <c r="G458" s="3" t="s">
        <v>2379</v>
      </c>
      <c r="H458" s="3" t="s">
        <v>2379</v>
      </c>
      <c r="I458" s="1">
        <v>1</v>
      </c>
      <c r="J458">
        <v>1</v>
      </c>
      <c r="K458" s="3" t="s">
        <v>2382</v>
      </c>
      <c r="P458" s="3"/>
    </row>
    <row r="459" spans="1:16" x14ac:dyDescent="0.25">
      <c r="A459" s="3" t="s">
        <v>1913</v>
      </c>
      <c r="B459">
        <v>18.23</v>
      </c>
      <c r="C459" t="str" cm="1">
        <f t="array" ref="C459">_xlfn.IFS(B459&lt;=18.5,  "Underweight",B459&lt;=24.9,"Normal weight",B459&lt;=29.9, "Over weight",B459&gt;=30,"Obesity")</f>
        <v>Underweight</v>
      </c>
      <c r="D459">
        <v>5.78</v>
      </c>
      <c r="E459" t="str" cm="1">
        <f t="array" ref="E459">_xlfn.IFS(D459&lt;5.7,"Normal",D459&lt;=6.4,"Prediabetes",D459&gt;=6.5,"Diabetes")</f>
        <v>Prediabetes</v>
      </c>
      <c r="F459" s="3" t="s">
        <v>2379</v>
      </c>
      <c r="G459" s="3" t="s">
        <v>2379</v>
      </c>
      <c r="H459" s="3" t="s">
        <v>2382</v>
      </c>
      <c r="I459" s="1">
        <v>1</v>
      </c>
      <c r="J459">
        <v>1</v>
      </c>
      <c r="K459" s="3" t="s">
        <v>2382</v>
      </c>
      <c r="P459" s="3"/>
    </row>
    <row r="460" spans="1:16" x14ac:dyDescent="0.25">
      <c r="A460" s="3" t="s">
        <v>1912</v>
      </c>
      <c r="B460">
        <v>24.7</v>
      </c>
      <c r="C460" t="str" cm="1">
        <f t="array" ref="C460">_xlfn.IFS(B460&lt;=18.5,  "Underweight",B460&lt;=24.9,"Normal weight",B460&lt;=29.9, "Over weight",B460&gt;=30,"Obesity")</f>
        <v>Normal weight</v>
      </c>
      <c r="D460">
        <v>4.3600000000000003</v>
      </c>
      <c r="E460" t="str" cm="1">
        <f t="array" ref="E460">_xlfn.IFS(D460&lt;5.7,"Normal",D460&lt;=6.4,"Prediabetes",D460&gt;=6.5,"Diabetes")</f>
        <v>Normal</v>
      </c>
      <c r="F460" s="3" t="s">
        <v>2379</v>
      </c>
      <c r="G460" s="3" t="s">
        <v>2379</v>
      </c>
      <c r="H460" s="3" t="s">
        <v>2382</v>
      </c>
      <c r="I460" s="1">
        <v>1</v>
      </c>
      <c r="J460">
        <v>1</v>
      </c>
      <c r="K460" s="3" t="s">
        <v>2382</v>
      </c>
      <c r="P460" s="3"/>
    </row>
    <row r="461" spans="1:16" x14ac:dyDescent="0.25">
      <c r="A461" s="3" t="s">
        <v>1911</v>
      </c>
      <c r="B461">
        <v>37.4</v>
      </c>
      <c r="C461" t="str" cm="1">
        <f t="array" ref="C461">_xlfn.IFS(B461&lt;=18.5,  "Underweight",B461&lt;=24.9,"Normal weight",B461&lt;=29.9, "Over weight",B461&gt;=30,"Obesity")</f>
        <v>Obesity</v>
      </c>
      <c r="D461">
        <v>9.7200000000000006</v>
      </c>
      <c r="E461" t="str" cm="1">
        <f t="array" ref="E461">_xlfn.IFS(D461&lt;5.7,"Normal",D461&lt;=6.4,"Prediabetes",D461&gt;=6.5,"Diabetes")</f>
        <v>Diabetes</v>
      </c>
      <c r="F461" s="3" t="s">
        <v>2382</v>
      </c>
      <c r="G461" s="3" t="s">
        <v>2379</v>
      </c>
      <c r="H461" s="3" t="s">
        <v>2382</v>
      </c>
      <c r="I461" s="1">
        <v>1</v>
      </c>
      <c r="J461">
        <v>1</v>
      </c>
      <c r="K461" s="3" t="s">
        <v>2379</v>
      </c>
      <c r="P461" s="3"/>
    </row>
    <row r="462" spans="1:16" x14ac:dyDescent="0.25">
      <c r="A462" s="3" t="s">
        <v>1910</v>
      </c>
      <c r="B462">
        <v>26.885000000000002</v>
      </c>
      <c r="C462" t="str" cm="1">
        <f t="array" ref="C462">_xlfn.IFS(B462&lt;=18.5,  "Underweight",B462&lt;=24.9,"Normal weight",B462&lt;=29.9, "Over weight",B462&gt;=30,"Obesity")</f>
        <v>Over weight</v>
      </c>
      <c r="D462">
        <v>5.18</v>
      </c>
      <c r="E462" t="str" cm="1">
        <f t="array" ref="E462">_xlfn.IFS(D462&lt;5.7,"Normal",D462&lt;=6.4,"Prediabetes",D462&gt;=6.5,"Diabetes")</f>
        <v>Normal</v>
      </c>
      <c r="F462" s="3" t="s">
        <v>2379</v>
      </c>
      <c r="G462" s="3" t="s">
        <v>2379</v>
      </c>
      <c r="H462" s="3" t="s">
        <v>2382</v>
      </c>
      <c r="I462" s="1">
        <v>1</v>
      </c>
      <c r="J462">
        <v>1</v>
      </c>
      <c r="K462" s="3" t="s">
        <v>2382</v>
      </c>
      <c r="P462" s="3"/>
    </row>
    <row r="463" spans="1:16" x14ac:dyDescent="0.25">
      <c r="A463" s="3" t="s">
        <v>1909</v>
      </c>
      <c r="B463">
        <v>25.27</v>
      </c>
      <c r="C463" t="str" cm="1">
        <f t="array" ref="C463">_xlfn.IFS(B463&lt;=18.5,  "Underweight",B463&lt;=24.9,"Normal weight",B463&lt;=29.9, "Over weight",B463&gt;=30,"Obesity")</f>
        <v>Over weight</v>
      </c>
      <c r="D463">
        <v>5.29</v>
      </c>
      <c r="E463" t="str" cm="1">
        <f t="array" ref="E463">_xlfn.IFS(D463&lt;5.7,"Normal",D463&lt;=6.4,"Prediabetes",D463&gt;=6.5,"Diabetes")</f>
        <v>Normal</v>
      </c>
      <c r="F463" s="3" t="s">
        <v>2379</v>
      </c>
      <c r="G463" s="3" t="s">
        <v>2379</v>
      </c>
      <c r="H463" s="3" t="s">
        <v>2382</v>
      </c>
      <c r="I463" s="1">
        <v>1</v>
      </c>
      <c r="J463">
        <v>1</v>
      </c>
      <c r="K463" s="3" t="s">
        <v>2382</v>
      </c>
      <c r="P463" s="3"/>
    </row>
    <row r="464" spans="1:16" x14ac:dyDescent="0.25">
      <c r="A464" s="3" t="s">
        <v>1908</v>
      </c>
      <c r="B464">
        <v>23.655000000000001</v>
      </c>
      <c r="C464" t="str" cm="1">
        <f t="array" ref="C464">_xlfn.IFS(B464&lt;=18.5,  "Underweight",B464&lt;=24.9,"Normal weight",B464&lt;=29.9, "Over weight",B464&gt;=30,"Obesity")</f>
        <v>Normal weight</v>
      </c>
      <c r="D464">
        <v>4.8600000000000003</v>
      </c>
      <c r="E464" t="str" cm="1">
        <f t="array" ref="E464">_xlfn.IFS(D464&lt;5.7,"Normal",D464&lt;=6.4,"Prediabetes",D464&gt;=6.5,"Diabetes")</f>
        <v>Normal</v>
      </c>
      <c r="F464" s="3" t="s">
        <v>2382</v>
      </c>
      <c r="G464" s="3" t="s">
        <v>2379</v>
      </c>
      <c r="H464" s="3" t="s">
        <v>2379</v>
      </c>
      <c r="I464" s="1" t="s">
        <v>2380</v>
      </c>
      <c r="J464">
        <v>0</v>
      </c>
      <c r="K464" s="3" t="s">
        <v>2382</v>
      </c>
      <c r="P464" s="3"/>
    </row>
    <row r="465" spans="1:16" x14ac:dyDescent="0.25">
      <c r="A465" s="3" t="s">
        <v>1907</v>
      </c>
      <c r="B465">
        <v>55.05</v>
      </c>
      <c r="C465" t="str" cm="1">
        <f t="array" ref="C465">_xlfn.IFS(B465&lt;=18.5,  "Underweight",B465&lt;=24.9,"Normal weight",B465&lt;=29.9, "Over weight",B465&gt;=30,"Obesity")</f>
        <v>Obesity</v>
      </c>
      <c r="D465">
        <v>7.66</v>
      </c>
      <c r="E465" t="str" cm="1">
        <f t="array" ref="E465">_xlfn.IFS(D465&lt;5.7,"Normal",D465&lt;=6.4,"Prediabetes",D465&gt;=6.5,"Diabetes")</f>
        <v>Diabetes</v>
      </c>
      <c r="F465" s="3" t="s">
        <v>2379</v>
      </c>
      <c r="G465" s="3" t="s">
        <v>2379</v>
      </c>
      <c r="H465" s="3" t="s">
        <v>2379</v>
      </c>
      <c r="I465" s="1" t="s">
        <v>2380</v>
      </c>
      <c r="J465">
        <v>0</v>
      </c>
      <c r="K465" s="3" t="s">
        <v>2379</v>
      </c>
      <c r="P465" s="3"/>
    </row>
    <row r="466" spans="1:16" x14ac:dyDescent="0.25">
      <c r="A466" s="3" t="s">
        <v>1906</v>
      </c>
      <c r="B466">
        <v>24.89</v>
      </c>
      <c r="C466" t="str" cm="1">
        <f t="array" ref="C466">_xlfn.IFS(B466&lt;=18.5,  "Underweight",B466&lt;=24.9,"Normal weight",B466&lt;=29.9, "Over weight",B466&gt;=30,"Obesity")</f>
        <v>Normal weight</v>
      </c>
      <c r="D466">
        <v>6.1</v>
      </c>
      <c r="E466" t="str" cm="1">
        <f t="array" ref="E466">_xlfn.IFS(D466&lt;5.7,"Normal",D466&lt;=6.4,"Prediabetes",D466&gt;=6.5,"Diabetes")</f>
        <v>Prediabetes</v>
      </c>
      <c r="F466" s="3" t="s">
        <v>2382</v>
      </c>
      <c r="G466" s="3" t="s">
        <v>2379</v>
      </c>
      <c r="H466" s="3" t="s">
        <v>2382</v>
      </c>
      <c r="I466" s="1">
        <v>1</v>
      </c>
      <c r="J466">
        <v>1</v>
      </c>
      <c r="K466" s="3" t="s">
        <v>2382</v>
      </c>
      <c r="P466" s="3"/>
    </row>
    <row r="467" spans="1:16" x14ac:dyDescent="0.25">
      <c r="A467" s="3" t="s">
        <v>1905</v>
      </c>
      <c r="B467">
        <v>18.715</v>
      </c>
      <c r="C467" t="str" cm="1">
        <f t="array" ref="C467">_xlfn.IFS(B467&lt;=18.5,  "Underweight",B467&lt;=24.9,"Normal weight",B467&lt;=29.9, "Over weight",B467&gt;=30,"Obesity")</f>
        <v>Normal weight</v>
      </c>
      <c r="D467">
        <v>4.4400000000000004</v>
      </c>
      <c r="E467" t="str" cm="1">
        <f t="array" ref="E467">_xlfn.IFS(D467&lt;5.7,"Normal",D467&lt;=6.4,"Prediabetes",D467&gt;=6.5,"Diabetes")</f>
        <v>Normal</v>
      </c>
      <c r="F467" s="3" t="s">
        <v>2379</v>
      </c>
      <c r="G467" s="3" t="s">
        <v>2379</v>
      </c>
      <c r="H467" s="3" t="s">
        <v>2379</v>
      </c>
      <c r="I467" s="1" t="s">
        <v>2380</v>
      </c>
      <c r="J467">
        <v>0</v>
      </c>
      <c r="K467" s="3" t="s">
        <v>2379</v>
      </c>
      <c r="P467" s="3"/>
    </row>
    <row r="468" spans="1:16" x14ac:dyDescent="0.25">
      <c r="A468" s="3" t="s">
        <v>1904</v>
      </c>
      <c r="B468">
        <v>28.12</v>
      </c>
      <c r="C468" t="str" cm="1">
        <f t="array" ref="C468">_xlfn.IFS(B468&lt;=18.5,  "Underweight",B468&lt;=24.9,"Normal weight",B468&lt;=29.9, "Over weight",B468&gt;=30,"Obesity")</f>
        <v>Over weight</v>
      </c>
      <c r="D468">
        <v>6.15</v>
      </c>
      <c r="E468" t="str" cm="1">
        <f t="array" ref="E468">_xlfn.IFS(D468&lt;5.7,"Normal",D468&lt;=6.4,"Prediabetes",D468&gt;=6.5,"Diabetes")</f>
        <v>Prediabetes</v>
      </c>
      <c r="F468" s="3" t="s">
        <v>2379</v>
      </c>
      <c r="G468" s="3" t="s">
        <v>2379</v>
      </c>
      <c r="H468" s="3" t="s">
        <v>2379</v>
      </c>
      <c r="I468" s="1" t="s">
        <v>2380</v>
      </c>
      <c r="J468">
        <v>0</v>
      </c>
      <c r="K468" s="3" t="s">
        <v>2382</v>
      </c>
      <c r="P468" s="3"/>
    </row>
    <row r="469" spans="1:16" x14ac:dyDescent="0.25">
      <c r="A469" s="3" t="s">
        <v>1903</v>
      </c>
      <c r="B469">
        <v>26.6</v>
      </c>
      <c r="C469" t="str" cm="1">
        <f t="array" ref="C469">_xlfn.IFS(B469&lt;=18.5,  "Underweight",B469&lt;=24.9,"Normal weight",B469&lt;=29.9, "Over weight",B469&gt;=30,"Obesity")</f>
        <v>Over weight</v>
      </c>
      <c r="D469">
        <v>4.53</v>
      </c>
      <c r="E469" t="str" cm="1">
        <f t="array" ref="E469">_xlfn.IFS(D469&lt;5.7,"Normal",D469&lt;=6.4,"Prediabetes",D469&gt;=6.5,"Diabetes")</f>
        <v>Normal</v>
      </c>
      <c r="F469" s="3" t="s">
        <v>2379</v>
      </c>
      <c r="G469" s="3" t="s">
        <v>2379</v>
      </c>
      <c r="H469" s="3" t="s">
        <v>2379</v>
      </c>
      <c r="I469" s="1" t="s">
        <v>2380</v>
      </c>
      <c r="J469">
        <v>0</v>
      </c>
      <c r="K469" s="3" t="s">
        <v>2382</v>
      </c>
      <c r="P469" s="3"/>
    </row>
    <row r="470" spans="1:16" x14ac:dyDescent="0.25">
      <c r="A470" s="3" t="s">
        <v>1902</v>
      </c>
      <c r="B470">
        <v>30.114999999999998</v>
      </c>
      <c r="C470" t="str" cm="1">
        <f t="array" ref="C470">_xlfn.IFS(B470&lt;=18.5,  "Underweight",B470&lt;=24.9,"Normal weight",B470&lt;=29.9, "Over weight",B470&gt;=30,"Obesity")</f>
        <v>Obesity</v>
      </c>
      <c r="D470">
        <v>5.48</v>
      </c>
      <c r="E470" t="str" cm="1">
        <f t="array" ref="E470">_xlfn.IFS(D470&lt;5.7,"Normal",D470&lt;=6.4,"Prediabetes",D470&gt;=6.5,"Diabetes")</f>
        <v>Normal</v>
      </c>
      <c r="F470" s="3" t="s">
        <v>2379</v>
      </c>
      <c r="G470" s="3" t="s">
        <v>2381</v>
      </c>
      <c r="H470" s="3" t="s">
        <v>2379</v>
      </c>
      <c r="I470" s="1">
        <v>1</v>
      </c>
      <c r="J470">
        <v>1</v>
      </c>
      <c r="K470" s="3" t="s">
        <v>2379</v>
      </c>
      <c r="P470" s="3"/>
    </row>
    <row r="471" spans="1:16" x14ac:dyDescent="0.25">
      <c r="A471" s="3" t="s">
        <v>1901</v>
      </c>
      <c r="B471">
        <v>24.605</v>
      </c>
      <c r="C471" t="str" cm="1">
        <f t="array" ref="C471">_xlfn.IFS(B471&lt;=18.5,  "Underweight",B471&lt;=24.9,"Normal weight",B471&lt;=29.9, "Over weight",B471&gt;=30,"Obesity")</f>
        <v>Normal weight</v>
      </c>
      <c r="D471">
        <v>5.48</v>
      </c>
      <c r="E471" t="str" cm="1">
        <f t="array" ref="E471">_xlfn.IFS(D471&lt;5.7,"Normal",D471&lt;=6.4,"Prediabetes",D471&gt;=6.5,"Diabetes")</f>
        <v>Normal</v>
      </c>
      <c r="F471" s="3" t="s">
        <v>2379</v>
      </c>
      <c r="G471" s="3" t="s">
        <v>2379</v>
      </c>
      <c r="H471" s="3" t="s">
        <v>2379</v>
      </c>
      <c r="I471" s="1" t="s">
        <v>2380</v>
      </c>
      <c r="J471">
        <v>0</v>
      </c>
      <c r="K471" s="3" t="s">
        <v>2382</v>
      </c>
      <c r="P471" s="3"/>
    </row>
    <row r="472" spans="1:16" x14ac:dyDescent="0.25">
      <c r="A472" s="3" t="s">
        <v>1900</v>
      </c>
      <c r="B472">
        <v>29.6</v>
      </c>
      <c r="C472" t="str" cm="1">
        <f t="array" ref="C472">_xlfn.IFS(B472&lt;=18.5,  "Underweight",B472&lt;=24.9,"Normal weight",B472&lt;=29.9, "Over weight",B472&gt;=30,"Obesity")</f>
        <v>Over weight</v>
      </c>
      <c r="D472">
        <v>8.1</v>
      </c>
      <c r="E472" t="str" cm="1">
        <f t="array" ref="E472">_xlfn.IFS(D472&lt;5.7,"Normal",D472&lt;=6.4,"Prediabetes",D472&gt;=6.5,"Diabetes")</f>
        <v>Diabetes</v>
      </c>
      <c r="F472" s="3" t="s">
        <v>2379</v>
      </c>
      <c r="G472" s="3" t="s">
        <v>2379</v>
      </c>
      <c r="H472" s="3" t="s">
        <v>2379</v>
      </c>
      <c r="I472" s="1" t="s">
        <v>2380</v>
      </c>
      <c r="J472">
        <v>0</v>
      </c>
      <c r="K472" s="3" t="s">
        <v>2379</v>
      </c>
      <c r="P472" s="3"/>
    </row>
    <row r="473" spans="1:16" x14ac:dyDescent="0.25">
      <c r="A473" s="3" t="s">
        <v>1899</v>
      </c>
      <c r="B473">
        <v>24.42</v>
      </c>
      <c r="C473" t="str" cm="1">
        <f t="array" ref="C473">_xlfn.IFS(B473&lt;=18.5,  "Underweight",B473&lt;=24.9,"Normal weight",B473&lt;=29.9, "Over weight",B473&gt;=30,"Obesity")</f>
        <v>Normal weight</v>
      </c>
      <c r="D473">
        <v>7.16</v>
      </c>
      <c r="E473" t="str" cm="1">
        <f t="array" ref="E473">_xlfn.IFS(D473&lt;5.7,"Normal",D473&lt;=6.4,"Prediabetes",D473&gt;=6.5,"Diabetes")</f>
        <v>Diabetes</v>
      </c>
      <c r="F473" s="3" t="s">
        <v>2379</v>
      </c>
      <c r="G473" s="3" t="s">
        <v>2379</v>
      </c>
      <c r="H473" s="3" t="s">
        <v>2379</v>
      </c>
      <c r="I473" s="1" t="s">
        <v>2380</v>
      </c>
      <c r="J473">
        <v>0</v>
      </c>
      <c r="K473" s="3" t="s">
        <v>2382</v>
      </c>
      <c r="P473" s="3"/>
    </row>
    <row r="474" spans="1:16" x14ac:dyDescent="0.25">
      <c r="A474" s="3" t="s">
        <v>1898</v>
      </c>
      <c r="B474">
        <v>20.9</v>
      </c>
      <c r="C474" t="str" cm="1">
        <f t="array" ref="C474">_xlfn.IFS(B474&lt;=18.5,  "Underweight",B474&lt;=24.9,"Normal weight",B474&lt;=29.9, "Over weight",B474&gt;=30,"Obesity")</f>
        <v>Normal weight</v>
      </c>
      <c r="D474">
        <v>4.55</v>
      </c>
      <c r="E474" t="str" cm="1">
        <f t="array" ref="E474">_xlfn.IFS(D474&lt;5.7,"Normal",D474&lt;=6.4,"Prediabetes",D474&gt;=6.5,"Diabetes")</f>
        <v>Normal</v>
      </c>
      <c r="F474" s="3" t="s">
        <v>2382</v>
      </c>
      <c r="G474" s="3" t="s">
        <v>2379</v>
      </c>
      <c r="H474" s="3" t="s">
        <v>2382</v>
      </c>
      <c r="I474" s="1">
        <v>1</v>
      </c>
      <c r="J474">
        <v>1</v>
      </c>
      <c r="K474" s="3" t="s">
        <v>2382</v>
      </c>
      <c r="P474" s="3"/>
    </row>
    <row r="475" spans="1:16" x14ac:dyDescent="0.25">
      <c r="A475" s="3" t="s">
        <v>1897</v>
      </c>
      <c r="B475">
        <v>22.895</v>
      </c>
      <c r="C475" t="str" cm="1">
        <f t="array" ref="C475">_xlfn.IFS(B475&lt;=18.5,  "Underweight",B475&lt;=24.9,"Normal weight",B475&lt;=29.9, "Over weight",B475&gt;=30,"Obesity")</f>
        <v>Normal weight</v>
      </c>
      <c r="D475">
        <v>6.03</v>
      </c>
      <c r="E475" t="str" cm="1">
        <f t="array" ref="E475">_xlfn.IFS(D475&lt;5.7,"Normal",D475&lt;=6.4,"Prediabetes",D475&gt;=6.5,"Diabetes")</f>
        <v>Prediabetes</v>
      </c>
      <c r="F475" s="3" t="s">
        <v>2379</v>
      </c>
      <c r="G475" s="3" t="s">
        <v>2379</v>
      </c>
      <c r="H475" s="3" t="s">
        <v>2379</v>
      </c>
      <c r="I475" s="1" t="s">
        <v>2380</v>
      </c>
      <c r="J475">
        <v>0</v>
      </c>
      <c r="K475" s="3" t="s">
        <v>2382</v>
      </c>
      <c r="P475" s="3"/>
    </row>
    <row r="476" spans="1:16" x14ac:dyDescent="0.25">
      <c r="A476" s="3" t="s">
        <v>1896</v>
      </c>
      <c r="B476">
        <v>28.3</v>
      </c>
      <c r="C476" t="str" cm="1">
        <f t="array" ref="C476">_xlfn.IFS(B476&lt;=18.5,  "Underweight",B476&lt;=24.9,"Normal weight",B476&lt;=29.9, "Over weight",B476&gt;=30,"Obesity")</f>
        <v>Over weight</v>
      </c>
      <c r="D476">
        <v>5.47</v>
      </c>
      <c r="E476" t="str" cm="1">
        <f t="array" ref="E476">_xlfn.IFS(D476&lt;5.7,"Normal",D476&lt;=6.4,"Prediabetes",D476&gt;=6.5,"Diabetes")</f>
        <v>Normal</v>
      </c>
      <c r="F476" s="3" t="s">
        <v>2382</v>
      </c>
      <c r="G476" s="3" t="s">
        <v>2379</v>
      </c>
      <c r="H476" s="3" t="s">
        <v>2382</v>
      </c>
      <c r="I476" s="1">
        <v>1</v>
      </c>
      <c r="J476">
        <v>1</v>
      </c>
      <c r="K476" s="3" t="s">
        <v>2382</v>
      </c>
      <c r="P476" s="3"/>
    </row>
    <row r="477" spans="1:16" x14ac:dyDescent="0.25">
      <c r="A477" s="3" t="s">
        <v>1894</v>
      </c>
      <c r="B477">
        <v>54.3</v>
      </c>
      <c r="C477" t="str" cm="1">
        <f t="array" ref="C477">_xlfn.IFS(B477&lt;=18.5,  "Underweight",B477&lt;=24.9,"Normal weight",B477&lt;=29.9, "Over weight",B477&gt;=30,"Obesity")</f>
        <v>Obesity</v>
      </c>
      <c r="D477">
        <v>4.1500000000000004</v>
      </c>
      <c r="E477" t="str" cm="1">
        <f t="array" ref="E477">_xlfn.IFS(D477&lt;5.7,"Normal",D477&lt;=6.4,"Prediabetes",D477&gt;=6.5,"Diabetes")</f>
        <v>Normal</v>
      </c>
      <c r="F477" s="3" t="s">
        <v>2382</v>
      </c>
      <c r="G477" s="3" t="s">
        <v>2379</v>
      </c>
      <c r="H477" s="3" t="s">
        <v>2379</v>
      </c>
      <c r="I477" s="1">
        <v>1</v>
      </c>
      <c r="J477">
        <v>1</v>
      </c>
      <c r="K477" s="3" t="s">
        <v>2379</v>
      </c>
      <c r="P477" s="3"/>
    </row>
    <row r="478" spans="1:16" x14ac:dyDescent="0.25">
      <c r="A478" s="3" t="s">
        <v>1893</v>
      </c>
      <c r="B478">
        <v>33.344999999999999</v>
      </c>
      <c r="C478" t="str" cm="1">
        <f t="array" ref="C478">_xlfn.IFS(B478&lt;=18.5,  "Underweight",B478&lt;=24.9,"Normal weight",B478&lt;=29.9, "Over weight",B478&gt;=30,"Obesity")</f>
        <v>Obesity</v>
      </c>
      <c r="D478">
        <v>11.32</v>
      </c>
      <c r="E478" t="str" cm="1">
        <f t="array" ref="E478">_xlfn.IFS(D478&lt;5.7,"Normal",D478&lt;=6.4,"Prediabetes",D478&gt;=6.5,"Diabetes")</f>
        <v>Diabetes</v>
      </c>
      <c r="F478" s="3" t="s">
        <v>2382</v>
      </c>
      <c r="G478" s="3" t="s">
        <v>2379</v>
      </c>
      <c r="H478" s="3" t="s">
        <v>2379</v>
      </c>
      <c r="I478" s="1">
        <v>1</v>
      </c>
      <c r="J478">
        <v>1</v>
      </c>
      <c r="K478" s="3" t="s">
        <v>2379</v>
      </c>
      <c r="P478" s="3"/>
    </row>
    <row r="479" spans="1:16" x14ac:dyDescent="0.25">
      <c r="A479" s="3" t="s">
        <v>1892</v>
      </c>
      <c r="B479">
        <v>33</v>
      </c>
      <c r="C479" t="str" cm="1">
        <f t="array" ref="C479">_xlfn.IFS(B479&lt;=18.5,  "Underweight",B479&lt;=24.9,"Normal weight",B479&lt;=29.9, "Over weight",B479&gt;=30,"Obesity")</f>
        <v>Obesity</v>
      </c>
      <c r="D479">
        <v>9.51</v>
      </c>
      <c r="E479" t="str" cm="1">
        <f t="array" ref="E479">_xlfn.IFS(D479&lt;5.7,"Normal",D479&lt;=6.4,"Prediabetes",D479&gt;=6.5,"Diabetes")</f>
        <v>Diabetes</v>
      </c>
      <c r="F479" s="3" t="s">
        <v>2382</v>
      </c>
      <c r="G479" s="3" t="s">
        <v>2379</v>
      </c>
      <c r="H479" s="3" t="s">
        <v>2379</v>
      </c>
      <c r="I479" s="1" t="s">
        <v>2380</v>
      </c>
      <c r="J479">
        <v>0</v>
      </c>
      <c r="K479" s="3" t="s">
        <v>2379</v>
      </c>
      <c r="P479" s="3"/>
    </row>
    <row r="480" spans="1:16" x14ac:dyDescent="0.25">
      <c r="A480" s="3" t="s">
        <v>1891</v>
      </c>
      <c r="B480">
        <v>28.024999999999999</v>
      </c>
      <c r="C480" t="str" cm="1">
        <f t="array" ref="C480">_xlfn.IFS(B480&lt;=18.5,  "Underweight",B480&lt;=24.9,"Normal weight",B480&lt;=29.9, "Over weight",B480&gt;=30,"Obesity")</f>
        <v>Over weight</v>
      </c>
      <c r="D480">
        <v>7.67</v>
      </c>
      <c r="E480" t="str" cm="1">
        <f t="array" ref="E480">_xlfn.IFS(D480&lt;5.7,"Normal",D480&lt;=6.4,"Prediabetes",D480&gt;=6.5,"Diabetes")</f>
        <v>Diabetes</v>
      </c>
      <c r="F480" s="3" t="s">
        <v>2382</v>
      </c>
      <c r="G480" s="3" t="s">
        <v>2379</v>
      </c>
      <c r="H480" s="3" t="s">
        <v>2379</v>
      </c>
      <c r="I480" s="1">
        <v>1</v>
      </c>
      <c r="J480">
        <v>1</v>
      </c>
      <c r="K480" s="3" t="s">
        <v>2382</v>
      </c>
      <c r="P480" s="3"/>
    </row>
    <row r="481" spans="1:16" x14ac:dyDescent="0.25">
      <c r="A481" s="3" t="s">
        <v>1890</v>
      </c>
      <c r="B481">
        <v>28.69</v>
      </c>
      <c r="C481" t="str" cm="1">
        <f t="array" ref="C481">_xlfn.IFS(B481&lt;=18.5,  "Underweight",B481&lt;=24.9,"Normal weight",B481&lt;=29.9, "Over weight",B481&gt;=30,"Obesity")</f>
        <v>Over weight</v>
      </c>
      <c r="D481">
        <v>6.23</v>
      </c>
      <c r="E481" t="str" cm="1">
        <f t="array" ref="E481">_xlfn.IFS(D481&lt;5.7,"Normal",D481&lt;=6.4,"Prediabetes",D481&gt;=6.5,"Diabetes")</f>
        <v>Prediabetes</v>
      </c>
      <c r="F481" s="3" t="s">
        <v>2379</v>
      </c>
      <c r="G481" s="3" t="s">
        <v>2379</v>
      </c>
      <c r="H481" s="3" t="s">
        <v>2379</v>
      </c>
      <c r="I481" s="1">
        <v>1</v>
      </c>
      <c r="J481">
        <v>1</v>
      </c>
      <c r="K481" s="3" t="s">
        <v>2382</v>
      </c>
      <c r="P481" s="3"/>
    </row>
    <row r="482" spans="1:16" x14ac:dyDescent="0.25">
      <c r="A482" s="3" t="s">
        <v>1889</v>
      </c>
      <c r="B482">
        <v>40.28</v>
      </c>
      <c r="C482" t="str" cm="1">
        <f t="array" ref="C482">_xlfn.IFS(B482&lt;=18.5,  "Underweight",B482&lt;=24.9,"Normal weight",B482&lt;=29.9, "Over weight",B482&gt;=30,"Obesity")</f>
        <v>Obesity</v>
      </c>
      <c r="D482">
        <v>8.9</v>
      </c>
      <c r="E482" t="str" cm="1">
        <f t="array" ref="E482">_xlfn.IFS(D482&lt;5.7,"Normal",D482&lt;=6.4,"Prediabetes",D482&gt;=6.5,"Diabetes")</f>
        <v>Diabetes</v>
      </c>
      <c r="F482" s="3" t="s">
        <v>2379</v>
      </c>
      <c r="G482" s="3" t="s">
        <v>2379</v>
      </c>
      <c r="H482" s="3" t="s">
        <v>2379</v>
      </c>
      <c r="I482" s="1" t="s">
        <v>2380</v>
      </c>
      <c r="J482">
        <v>0</v>
      </c>
      <c r="K482" s="3" t="s">
        <v>2379</v>
      </c>
      <c r="P482" s="3"/>
    </row>
    <row r="483" spans="1:16" x14ac:dyDescent="0.25">
      <c r="A483" s="3" t="s">
        <v>1888</v>
      </c>
      <c r="B483">
        <v>37.299999999999997</v>
      </c>
      <c r="C483" t="str" cm="1">
        <f t="array" ref="C483">_xlfn.IFS(B483&lt;=18.5,  "Underweight",B483&lt;=24.9,"Normal weight",B483&lt;=29.9, "Over weight",B483&gt;=30,"Obesity")</f>
        <v>Obesity</v>
      </c>
      <c r="D483">
        <v>7.79</v>
      </c>
      <c r="E483" t="str" cm="1">
        <f t="array" ref="E483">_xlfn.IFS(D483&lt;5.7,"Normal",D483&lt;=6.4,"Prediabetes",D483&gt;=6.5,"Diabetes")</f>
        <v>Diabetes</v>
      </c>
      <c r="F483" s="3" t="s">
        <v>2382</v>
      </c>
      <c r="G483" s="3" t="s">
        <v>2379</v>
      </c>
      <c r="H483" s="3" t="s">
        <v>2379</v>
      </c>
      <c r="I483" s="1" t="s">
        <v>2380</v>
      </c>
      <c r="J483">
        <v>0</v>
      </c>
      <c r="K483" s="3" t="s">
        <v>2379</v>
      </c>
      <c r="P483" s="3"/>
    </row>
    <row r="484" spans="1:16" x14ac:dyDescent="0.25">
      <c r="A484" s="3" t="s">
        <v>1887</v>
      </c>
      <c r="B484">
        <v>54.47</v>
      </c>
      <c r="C484" t="str" cm="1">
        <f t="array" ref="C484">_xlfn.IFS(B484&lt;=18.5,  "Underweight",B484&lt;=24.9,"Normal weight",B484&lt;=29.9, "Over weight",B484&gt;=30,"Obesity")</f>
        <v>Obesity</v>
      </c>
      <c r="D484">
        <v>4.49</v>
      </c>
      <c r="E484" t="str" cm="1">
        <f t="array" ref="E484">_xlfn.IFS(D484&lt;5.7,"Normal",D484&lt;=6.4,"Prediabetes",D484&gt;=6.5,"Diabetes")</f>
        <v>Normal</v>
      </c>
      <c r="F484" s="3" t="s">
        <v>2382</v>
      </c>
      <c r="G484" s="3" t="s">
        <v>2379</v>
      </c>
      <c r="H484" s="3" t="s">
        <v>2379</v>
      </c>
      <c r="I484" s="1">
        <v>2</v>
      </c>
      <c r="J484">
        <v>2</v>
      </c>
      <c r="K484" s="3" t="s">
        <v>2379</v>
      </c>
      <c r="P484" s="3"/>
    </row>
    <row r="485" spans="1:16" x14ac:dyDescent="0.25">
      <c r="A485" s="3" t="s">
        <v>1886</v>
      </c>
      <c r="B485">
        <v>38.06</v>
      </c>
      <c r="C485" t="str" cm="1">
        <f t="array" ref="C485">_xlfn.IFS(B485&lt;=18.5,  "Underweight",B485&lt;=24.9,"Normal weight",B485&lt;=29.9, "Over weight",B485&gt;=30,"Obesity")</f>
        <v>Obesity</v>
      </c>
      <c r="D485">
        <v>5.24</v>
      </c>
      <c r="E485" t="str" cm="1">
        <f t="array" ref="E485">_xlfn.IFS(D485&lt;5.7,"Normal",D485&lt;=6.4,"Prediabetes",D485&gt;=6.5,"Diabetes")</f>
        <v>Normal</v>
      </c>
      <c r="F485" s="3" t="s">
        <v>2382</v>
      </c>
      <c r="G485" s="3" t="s">
        <v>2379</v>
      </c>
      <c r="H485" s="3" t="s">
        <v>2382</v>
      </c>
      <c r="I485" s="1">
        <v>1</v>
      </c>
      <c r="J485">
        <v>1</v>
      </c>
      <c r="K485" s="3" t="s">
        <v>2379</v>
      </c>
      <c r="P485" s="3"/>
    </row>
    <row r="486" spans="1:16" x14ac:dyDescent="0.25">
      <c r="A486" s="3" t="s">
        <v>1885</v>
      </c>
      <c r="B486">
        <v>51.47</v>
      </c>
      <c r="C486" t="str" cm="1">
        <f t="array" ref="C486">_xlfn.IFS(B486&lt;=18.5,  "Underweight",B486&lt;=24.9,"Normal weight",B486&lt;=29.9, "Over weight",B486&gt;=30,"Obesity")</f>
        <v>Obesity</v>
      </c>
      <c r="D486">
        <v>9.6</v>
      </c>
      <c r="E486" t="str" cm="1">
        <f t="array" ref="E486">_xlfn.IFS(D486&lt;5.7,"Normal",D486&lt;=6.4,"Prediabetes",D486&gt;=6.5,"Diabetes")</f>
        <v>Diabetes</v>
      </c>
      <c r="F486" s="3" t="s">
        <v>2379</v>
      </c>
      <c r="G486" s="3" t="s">
        <v>2379</v>
      </c>
      <c r="H486" s="3" t="s">
        <v>2379</v>
      </c>
      <c r="I486" s="1" t="s">
        <v>2380</v>
      </c>
      <c r="J486">
        <v>0</v>
      </c>
      <c r="K486" s="3" t="s">
        <v>2379</v>
      </c>
      <c r="P486" s="3"/>
    </row>
    <row r="487" spans="1:16" x14ac:dyDescent="0.25">
      <c r="A487" s="3" t="s">
        <v>1884</v>
      </c>
      <c r="B487">
        <v>29.8</v>
      </c>
      <c r="C487" t="str" cm="1">
        <f t="array" ref="C487">_xlfn.IFS(B487&lt;=18.5,  "Underweight",B487&lt;=24.9,"Normal weight",B487&lt;=29.9, "Over weight",B487&gt;=30,"Obesity")</f>
        <v>Over weight</v>
      </c>
      <c r="D487">
        <v>5.78</v>
      </c>
      <c r="E487" t="str" cm="1">
        <f t="array" ref="E487">_xlfn.IFS(D487&lt;5.7,"Normal",D487&lt;=6.4,"Prediabetes",D487&gt;=6.5,"Diabetes")</f>
        <v>Prediabetes</v>
      </c>
      <c r="F487" s="3" t="s">
        <v>2382</v>
      </c>
      <c r="G487" s="3" t="s">
        <v>2379</v>
      </c>
      <c r="H487" s="3" t="s">
        <v>2379</v>
      </c>
      <c r="I487" s="1" t="s">
        <v>2380</v>
      </c>
      <c r="J487">
        <v>0</v>
      </c>
      <c r="K487" s="3" t="s">
        <v>2379</v>
      </c>
      <c r="P487" s="3"/>
    </row>
    <row r="488" spans="1:16" x14ac:dyDescent="0.25">
      <c r="A488" s="3" t="s">
        <v>1883</v>
      </c>
      <c r="B488">
        <v>49.77</v>
      </c>
      <c r="C488" t="str" cm="1">
        <f t="array" ref="C488">_xlfn.IFS(B488&lt;=18.5,  "Underweight",B488&lt;=24.9,"Normal weight",B488&lt;=29.9, "Over weight",B488&gt;=30,"Obesity")</f>
        <v>Obesity</v>
      </c>
      <c r="D488">
        <v>7.02</v>
      </c>
      <c r="E488" t="str" cm="1">
        <f t="array" ref="E488">_xlfn.IFS(D488&lt;5.7,"Normal",D488&lt;=6.4,"Prediabetes",D488&gt;=6.5,"Diabetes")</f>
        <v>Diabetes</v>
      </c>
      <c r="F488" s="3" t="s">
        <v>2379</v>
      </c>
      <c r="G488" s="3" t="s">
        <v>2379</v>
      </c>
      <c r="H488" s="3" t="s">
        <v>2379</v>
      </c>
      <c r="I488" s="1" t="s">
        <v>2380</v>
      </c>
      <c r="J488">
        <v>0</v>
      </c>
      <c r="K488" s="3" t="s">
        <v>2379</v>
      </c>
      <c r="P488" s="3"/>
    </row>
    <row r="489" spans="1:16" x14ac:dyDescent="0.25">
      <c r="A489" s="3" t="s">
        <v>1882</v>
      </c>
      <c r="B489">
        <v>25.555</v>
      </c>
      <c r="C489" t="str" cm="1">
        <f t="array" ref="C489">_xlfn.IFS(B489&lt;=18.5,  "Underweight",B489&lt;=24.9,"Normal weight",B489&lt;=29.9, "Over weight",B489&gt;=30,"Obesity")</f>
        <v>Over weight</v>
      </c>
      <c r="D489">
        <v>4.09</v>
      </c>
      <c r="E489" t="str" cm="1">
        <f t="array" ref="E489">_xlfn.IFS(D489&lt;5.7,"Normal",D489&lt;=6.4,"Prediabetes",D489&gt;=6.5,"Diabetes")</f>
        <v>Normal</v>
      </c>
      <c r="F489" s="3" t="s">
        <v>2382</v>
      </c>
      <c r="G489" s="3" t="s">
        <v>2379</v>
      </c>
      <c r="H489" s="3" t="s">
        <v>2379</v>
      </c>
      <c r="I489" s="1" t="s">
        <v>2380</v>
      </c>
      <c r="J489">
        <v>0</v>
      </c>
      <c r="K489" s="3" t="s">
        <v>2382</v>
      </c>
      <c r="P489" s="3"/>
    </row>
    <row r="490" spans="1:16" x14ac:dyDescent="0.25">
      <c r="A490" s="3" t="s">
        <v>1881</v>
      </c>
      <c r="B490">
        <v>29.64</v>
      </c>
      <c r="C490" t="str" cm="1">
        <f t="array" ref="C490">_xlfn.IFS(B490&lt;=18.5,  "Underweight",B490&lt;=24.9,"Normal weight",B490&lt;=29.9, "Over weight",B490&gt;=30,"Obesity")</f>
        <v>Over weight</v>
      </c>
      <c r="D490">
        <v>4.93</v>
      </c>
      <c r="E490" t="str" cm="1">
        <f t="array" ref="E490">_xlfn.IFS(D490&lt;5.7,"Normal",D490&lt;=6.4,"Prediabetes",D490&gt;=6.5,"Diabetes")</f>
        <v>Normal</v>
      </c>
      <c r="F490" s="3" t="s">
        <v>2379</v>
      </c>
      <c r="G490" s="3" t="s">
        <v>2379</v>
      </c>
      <c r="H490" s="3" t="s">
        <v>2382</v>
      </c>
      <c r="I490" s="1">
        <v>1</v>
      </c>
      <c r="J490">
        <v>1</v>
      </c>
      <c r="K490" s="3" t="s">
        <v>2379</v>
      </c>
      <c r="P490" s="3"/>
    </row>
    <row r="491" spans="1:16" x14ac:dyDescent="0.25">
      <c r="A491" s="3" t="s">
        <v>1880</v>
      </c>
      <c r="B491">
        <v>53.93</v>
      </c>
      <c r="C491" t="str" cm="1">
        <f t="array" ref="C491">_xlfn.IFS(B491&lt;=18.5,  "Underweight",B491&lt;=24.9,"Normal weight",B491&lt;=29.9, "Over weight",B491&gt;=30,"Obesity")</f>
        <v>Obesity</v>
      </c>
      <c r="D491">
        <v>5.34</v>
      </c>
      <c r="E491" t="str" cm="1">
        <f t="array" ref="E491">_xlfn.IFS(D491&lt;5.7,"Normal",D491&lt;=6.4,"Prediabetes",D491&gt;=6.5,"Diabetes")</f>
        <v>Normal</v>
      </c>
      <c r="F491" s="3" t="s">
        <v>2382</v>
      </c>
      <c r="G491" s="3" t="s">
        <v>2379</v>
      </c>
      <c r="H491" s="3" t="s">
        <v>2379</v>
      </c>
      <c r="I491" s="1">
        <v>2</v>
      </c>
      <c r="J491">
        <v>2</v>
      </c>
      <c r="K491" s="3" t="s">
        <v>2379</v>
      </c>
      <c r="P491" s="3"/>
    </row>
    <row r="492" spans="1:16" x14ac:dyDescent="0.25">
      <c r="A492" s="3" t="s">
        <v>1879</v>
      </c>
      <c r="B492">
        <v>28.024999999999999</v>
      </c>
      <c r="C492" t="str" cm="1">
        <f t="array" ref="C492">_xlfn.IFS(B492&lt;=18.5,  "Underweight",B492&lt;=24.9,"Normal weight",B492&lt;=29.9, "Over weight",B492&gt;=30,"Obesity")</f>
        <v>Over weight</v>
      </c>
      <c r="D492">
        <v>5.65</v>
      </c>
      <c r="E492" t="str" cm="1">
        <f t="array" ref="E492">_xlfn.IFS(D492&lt;5.7,"Normal",D492&lt;=6.4,"Prediabetes",D492&gt;=6.5,"Diabetes")</f>
        <v>Normal</v>
      </c>
      <c r="F492" s="3" t="s">
        <v>2379</v>
      </c>
      <c r="G492" s="3" t="s">
        <v>2379</v>
      </c>
      <c r="H492" s="3" t="s">
        <v>2379</v>
      </c>
      <c r="I492" s="1">
        <v>1</v>
      </c>
      <c r="J492">
        <v>1</v>
      </c>
      <c r="K492" s="3" t="s">
        <v>2382</v>
      </c>
      <c r="P492" s="3"/>
    </row>
    <row r="493" spans="1:16" x14ac:dyDescent="0.25">
      <c r="A493" s="3" t="s">
        <v>1878</v>
      </c>
      <c r="B493">
        <v>27.5</v>
      </c>
      <c r="C493" t="str" cm="1">
        <f t="array" ref="C493">_xlfn.IFS(B493&lt;=18.5,  "Underweight",B493&lt;=24.9,"Normal weight",B493&lt;=29.9, "Over weight",B493&gt;=30,"Obesity")</f>
        <v>Over weight</v>
      </c>
      <c r="D493">
        <v>4.49</v>
      </c>
      <c r="E493" t="str" cm="1">
        <f t="array" ref="E493">_xlfn.IFS(D493&lt;5.7,"Normal",D493&lt;=6.4,"Prediabetes",D493&gt;=6.5,"Diabetes")</f>
        <v>Normal</v>
      </c>
      <c r="F493" s="3" t="s">
        <v>2379</v>
      </c>
      <c r="G493" s="3" t="s">
        <v>2379</v>
      </c>
      <c r="H493" s="3" t="s">
        <v>2379</v>
      </c>
      <c r="I493" s="1" t="s">
        <v>2380</v>
      </c>
      <c r="J493">
        <v>0</v>
      </c>
      <c r="K493" s="3" t="s">
        <v>2379</v>
      </c>
      <c r="P493" s="3"/>
    </row>
    <row r="494" spans="1:16" x14ac:dyDescent="0.25">
      <c r="A494" s="3" t="s">
        <v>1877</v>
      </c>
      <c r="B494">
        <v>21.8</v>
      </c>
      <c r="C494" t="str" cm="1">
        <f t="array" ref="C494">_xlfn.IFS(B494&lt;=18.5,  "Underweight",B494&lt;=24.9,"Normal weight",B494&lt;=29.9, "Over weight",B494&gt;=30,"Obesity")</f>
        <v>Normal weight</v>
      </c>
      <c r="D494">
        <v>10.55</v>
      </c>
      <c r="E494" t="str" cm="1">
        <f t="array" ref="E494">_xlfn.IFS(D494&lt;5.7,"Normal",D494&lt;=6.4,"Prediabetes",D494&gt;=6.5,"Diabetes")</f>
        <v>Diabetes</v>
      </c>
      <c r="F494" s="3" t="s">
        <v>2379</v>
      </c>
      <c r="G494" s="3" t="s">
        <v>2379</v>
      </c>
      <c r="H494" s="3" t="s">
        <v>2379</v>
      </c>
      <c r="I494" s="1" t="s">
        <v>2380</v>
      </c>
      <c r="J494">
        <v>0</v>
      </c>
      <c r="K494" s="3" t="s">
        <v>2382</v>
      </c>
      <c r="P494" s="3"/>
    </row>
    <row r="495" spans="1:16" x14ac:dyDescent="0.25">
      <c r="A495" s="3" t="s">
        <v>1876</v>
      </c>
      <c r="B495">
        <v>26.41</v>
      </c>
      <c r="C495" t="str" cm="1">
        <f t="array" ref="C495">_xlfn.IFS(B495&lt;=18.5,  "Underweight",B495&lt;=24.9,"Normal weight",B495&lt;=29.9, "Over weight",B495&gt;=30,"Obesity")</f>
        <v>Over weight</v>
      </c>
      <c r="D495">
        <v>4.92</v>
      </c>
      <c r="E495" t="str" cm="1">
        <f t="array" ref="E495">_xlfn.IFS(D495&lt;5.7,"Normal",D495&lt;=6.4,"Prediabetes",D495&gt;=6.5,"Diabetes")</f>
        <v>Normal</v>
      </c>
      <c r="F495" s="3" t="s">
        <v>2382</v>
      </c>
      <c r="G495" s="3" t="s">
        <v>2379</v>
      </c>
      <c r="H495" s="3" t="s">
        <v>2382</v>
      </c>
      <c r="I495" s="1">
        <v>1</v>
      </c>
      <c r="J495">
        <v>1</v>
      </c>
      <c r="K495" s="3" t="s">
        <v>2382</v>
      </c>
      <c r="P495" s="3"/>
    </row>
    <row r="496" spans="1:16" x14ac:dyDescent="0.25">
      <c r="A496" s="3" t="s">
        <v>1875</v>
      </c>
      <c r="B496">
        <v>27.835000000000001</v>
      </c>
      <c r="C496" t="str" cm="1">
        <f t="array" ref="C496">_xlfn.IFS(B496&lt;=18.5,  "Underweight",B496&lt;=24.9,"Normal weight",B496&lt;=29.9, "Over weight",B496&gt;=30,"Obesity")</f>
        <v>Over weight</v>
      </c>
      <c r="D496">
        <v>5.9</v>
      </c>
      <c r="E496" t="str" cm="1">
        <f t="array" ref="E496">_xlfn.IFS(D496&lt;5.7,"Normal",D496&lt;=6.4,"Prediabetes",D496&gt;=6.5,"Diabetes")</f>
        <v>Prediabetes</v>
      </c>
      <c r="F496" s="3" t="s">
        <v>2382</v>
      </c>
      <c r="G496" s="3" t="s">
        <v>2379</v>
      </c>
      <c r="H496" s="3" t="s">
        <v>2379</v>
      </c>
      <c r="I496" s="1">
        <v>1</v>
      </c>
      <c r="J496">
        <v>1</v>
      </c>
      <c r="K496" s="3" t="s">
        <v>2382</v>
      </c>
      <c r="P496" s="3"/>
    </row>
    <row r="497" spans="1:16" x14ac:dyDescent="0.25">
      <c r="A497" s="3" t="s">
        <v>1874</v>
      </c>
      <c r="B497">
        <v>51.74</v>
      </c>
      <c r="C497" t="str" cm="1">
        <f t="array" ref="C497">_xlfn.IFS(B497&lt;=18.5,  "Underweight",B497&lt;=24.9,"Normal weight",B497&lt;=29.9, "Over weight",B497&gt;=30,"Obesity")</f>
        <v>Obesity</v>
      </c>
      <c r="D497">
        <v>4.9800000000000004</v>
      </c>
      <c r="E497" t="str" cm="1">
        <f t="array" ref="E497">_xlfn.IFS(D497&lt;5.7,"Normal",D497&lt;=6.4,"Prediabetes",D497&gt;=6.5,"Diabetes")</f>
        <v>Normal</v>
      </c>
      <c r="F497" s="3" t="s">
        <v>2382</v>
      </c>
      <c r="G497" s="3" t="s">
        <v>2379</v>
      </c>
      <c r="H497" s="3" t="s">
        <v>2379</v>
      </c>
      <c r="I497" s="1">
        <v>2</v>
      </c>
      <c r="J497">
        <v>2</v>
      </c>
      <c r="K497" s="3" t="s">
        <v>2379</v>
      </c>
      <c r="P497" s="3"/>
    </row>
    <row r="498" spans="1:16" x14ac:dyDescent="0.25">
      <c r="A498" s="3" t="s">
        <v>1873</v>
      </c>
      <c r="B498">
        <v>23.37</v>
      </c>
      <c r="C498" t="str" cm="1">
        <f t="array" ref="C498">_xlfn.IFS(B498&lt;=18.5,  "Underweight",B498&lt;=24.9,"Normal weight",B498&lt;=29.9, "Over weight",B498&gt;=30,"Obesity")</f>
        <v>Normal weight</v>
      </c>
      <c r="D498">
        <v>5.8</v>
      </c>
      <c r="E498" t="str" cm="1">
        <f t="array" ref="E498">_xlfn.IFS(D498&lt;5.7,"Normal",D498&lt;=6.4,"Prediabetes",D498&gt;=6.5,"Diabetes")</f>
        <v>Prediabetes</v>
      </c>
      <c r="F498" s="3" t="s">
        <v>2379</v>
      </c>
      <c r="G498" s="3" t="s">
        <v>2379</v>
      </c>
      <c r="H498" s="3" t="s">
        <v>2379</v>
      </c>
      <c r="I498" s="1" t="s">
        <v>2380</v>
      </c>
      <c r="J498">
        <v>0</v>
      </c>
      <c r="K498" s="3" t="s">
        <v>2382</v>
      </c>
      <c r="P498" s="3"/>
    </row>
    <row r="499" spans="1:16" x14ac:dyDescent="0.25">
      <c r="A499" s="3" t="s">
        <v>1872</v>
      </c>
      <c r="B499">
        <v>29.7</v>
      </c>
      <c r="C499" t="str" cm="1">
        <f t="array" ref="C499">_xlfn.IFS(B499&lt;=18.5,  "Underweight",B499&lt;=24.9,"Normal weight",B499&lt;=29.9, "Over weight",B499&gt;=30,"Obesity")</f>
        <v>Over weight</v>
      </c>
      <c r="D499">
        <v>6.21</v>
      </c>
      <c r="E499" t="str" cm="1">
        <f t="array" ref="E499">_xlfn.IFS(D499&lt;5.7,"Normal",D499&lt;=6.4,"Prediabetes",D499&gt;=6.5,"Diabetes")</f>
        <v>Prediabetes</v>
      </c>
      <c r="F499" s="3" t="s">
        <v>2382</v>
      </c>
      <c r="G499" s="3" t="s">
        <v>2379</v>
      </c>
      <c r="H499" s="3" t="s">
        <v>2382</v>
      </c>
      <c r="I499" s="1">
        <v>1</v>
      </c>
      <c r="J499">
        <v>1</v>
      </c>
      <c r="K499" s="3" t="s">
        <v>2382</v>
      </c>
      <c r="P499" s="3"/>
    </row>
    <row r="500" spans="1:16" x14ac:dyDescent="0.25">
      <c r="A500" s="3" t="s">
        <v>1871</v>
      </c>
      <c r="B500">
        <v>20.045000000000002</v>
      </c>
      <c r="C500" t="str" cm="1">
        <f t="array" ref="C500">_xlfn.IFS(B500&lt;=18.5,  "Underweight",B500&lt;=24.9,"Normal weight",B500&lt;=29.9, "Over weight",B500&gt;=30,"Obesity")</f>
        <v>Normal weight</v>
      </c>
      <c r="D500">
        <v>6.17</v>
      </c>
      <c r="E500" t="str" cm="1">
        <f t="array" ref="E500">_xlfn.IFS(D500&lt;5.7,"Normal",D500&lt;=6.4,"Prediabetes",D500&gt;=6.5,"Diabetes")</f>
        <v>Prediabetes</v>
      </c>
      <c r="F500" s="3" t="s">
        <v>2379</v>
      </c>
      <c r="G500" s="3" t="s">
        <v>2379</v>
      </c>
      <c r="H500" s="3" t="s">
        <v>2382</v>
      </c>
      <c r="I500" s="1">
        <v>1</v>
      </c>
      <c r="J500">
        <v>1</v>
      </c>
      <c r="K500" s="3" t="s">
        <v>2382</v>
      </c>
      <c r="P500" s="3"/>
    </row>
    <row r="501" spans="1:16" x14ac:dyDescent="0.25">
      <c r="A501" s="3" t="s">
        <v>1870</v>
      </c>
      <c r="B501">
        <v>27.83</v>
      </c>
      <c r="C501" t="str" cm="1">
        <f t="array" ref="C501">_xlfn.IFS(B501&lt;=18.5,  "Underweight",B501&lt;=24.9,"Normal weight",B501&lt;=29.9, "Over weight",B501&gt;=30,"Obesity")</f>
        <v>Over weight</v>
      </c>
      <c r="D501">
        <v>5.36</v>
      </c>
      <c r="E501" t="str" cm="1">
        <f t="array" ref="E501">_xlfn.IFS(D501&lt;5.7,"Normal",D501&lt;=6.4,"Prediabetes",D501&gt;=6.5,"Diabetes")</f>
        <v>Normal</v>
      </c>
      <c r="F501" s="3" t="s">
        <v>2379</v>
      </c>
      <c r="G501" s="3" t="s">
        <v>2379</v>
      </c>
      <c r="H501" s="3" t="s">
        <v>2379</v>
      </c>
      <c r="I501" s="1">
        <v>2</v>
      </c>
      <c r="J501">
        <v>2</v>
      </c>
      <c r="K501" s="3" t="s">
        <v>2379</v>
      </c>
      <c r="P501" s="3"/>
    </row>
    <row r="502" spans="1:16" x14ac:dyDescent="0.25">
      <c r="A502" s="3" t="s">
        <v>1869</v>
      </c>
      <c r="B502">
        <v>28.93</v>
      </c>
      <c r="C502" t="str" cm="1">
        <f t="array" ref="C502">_xlfn.IFS(B502&lt;=18.5,  "Underweight",B502&lt;=24.9,"Normal weight",B502&lt;=29.9, "Over weight",B502&gt;=30,"Obesity")</f>
        <v>Over weight</v>
      </c>
      <c r="D502">
        <v>5.2</v>
      </c>
      <c r="E502" t="str" cm="1">
        <f t="array" ref="E502">_xlfn.IFS(D502&lt;5.7,"Normal",D502&lt;=6.4,"Prediabetes",D502&gt;=6.5,"Diabetes")</f>
        <v>Normal</v>
      </c>
      <c r="F502" s="3" t="s">
        <v>2379</v>
      </c>
      <c r="G502" s="3" t="s">
        <v>2379</v>
      </c>
      <c r="H502" s="3" t="s">
        <v>2379</v>
      </c>
      <c r="I502" s="1" t="s">
        <v>2380</v>
      </c>
      <c r="J502">
        <v>0</v>
      </c>
      <c r="K502" s="3" t="s">
        <v>2382</v>
      </c>
      <c r="P502" s="3"/>
    </row>
    <row r="503" spans="1:16" x14ac:dyDescent="0.25">
      <c r="A503" s="3" t="s">
        <v>1868</v>
      </c>
      <c r="B503">
        <v>33.82</v>
      </c>
      <c r="C503" t="str" cm="1">
        <f t="array" ref="C503">_xlfn.IFS(B503&lt;=18.5,  "Underweight",B503&lt;=24.9,"Normal weight",B503&lt;=29.9, "Over weight",B503&gt;=30,"Obesity")</f>
        <v>Obesity</v>
      </c>
      <c r="D503">
        <v>5.42</v>
      </c>
      <c r="E503" t="str" cm="1">
        <f t="array" ref="E503">_xlfn.IFS(D503&lt;5.7,"Normal",D503&lt;=6.4,"Prediabetes",D503&gt;=6.5,"Diabetes")</f>
        <v>Normal</v>
      </c>
      <c r="F503" s="3" t="s">
        <v>2379</v>
      </c>
      <c r="G503" s="3" t="s">
        <v>2379</v>
      </c>
      <c r="H503" s="3" t="s">
        <v>2379</v>
      </c>
      <c r="I503" s="1" t="s">
        <v>2380</v>
      </c>
      <c r="J503">
        <v>0</v>
      </c>
      <c r="K503" s="3" t="s">
        <v>2379</v>
      </c>
      <c r="P503" s="3"/>
    </row>
    <row r="504" spans="1:16" x14ac:dyDescent="0.25">
      <c r="A504" s="3" t="s">
        <v>1867</v>
      </c>
      <c r="B504">
        <v>20.234999999999999</v>
      </c>
      <c r="C504" t="str" cm="1">
        <f t="array" ref="C504">_xlfn.IFS(B504&lt;=18.5,  "Underweight",B504&lt;=24.9,"Normal weight",B504&lt;=29.9, "Over weight",B504&gt;=30,"Obesity")</f>
        <v>Normal weight</v>
      </c>
      <c r="D504">
        <v>6.84</v>
      </c>
      <c r="E504" t="str" cm="1">
        <f t="array" ref="E504">_xlfn.IFS(D504&lt;5.7,"Normal",D504&lt;=6.4,"Prediabetes",D504&gt;=6.5,"Diabetes")</f>
        <v>Diabetes</v>
      </c>
      <c r="F504" s="3" t="s">
        <v>2379</v>
      </c>
      <c r="G504" s="3" t="s">
        <v>2379</v>
      </c>
      <c r="H504" s="3" t="s">
        <v>2379</v>
      </c>
      <c r="I504" s="1" t="s">
        <v>2380</v>
      </c>
      <c r="J504">
        <v>0</v>
      </c>
      <c r="K504" s="3" t="s">
        <v>2382</v>
      </c>
      <c r="P504" s="3"/>
    </row>
    <row r="505" spans="1:16" x14ac:dyDescent="0.25">
      <c r="A505" s="3" t="s">
        <v>1866</v>
      </c>
      <c r="B505">
        <v>49.2</v>
      </c>
      <c r="C505" t="str" cm="1">
        <f t="array" ref="C505">_xlfn.IFS(B505&lt;=18.5,  "Underweight",B505&lt;=24.9,"Normal weight",B505&lt;=29.9, "Over weight",B505&gt;=30,"Obesity")</f>
        <v>Obesity</v>
      </c>
      <c r="D505">
        <v>10.9</v>
      </c>
      <c r="E505" t="str" cm="1">
        <f t="array" ref="E505">_xlfn.IFS(D505&lt;5.7,"Normal",D505&lt;=6.4,"Prediabetes",D505&gt;=6.5,"Diabetes")</f>
        <v>Diabetes</v>
      </c>
      <c r="F505" s="3" t="s">
        <v>2382</v>
      </c>
      <c r="G505" s="3" t="s">
        <v>2379</v>
      </c>
      <c r="H505" s="3" t="s">
        <v>2382</v>
      </c>
      <c r="I505" s="1">
        <v>1</v>
      </c>
      <c r="J505">
        <v>1</v>
      </c>
      <c r="K505" s="3" t="s">
        <v>2379</v>
      </c>
      <c r="P505" s="3"/>
    </row>
    <row r="506" spans="1:16" x14ac:dyDescent="0.25">
      <c r="A506" s="3" t="s">
        <v>1865</v>
      </c>
      <c r="B506">
        <v>26.4</v>
      </c>
      <c r="C506" t="str" cm="1">
        <f t="array" ref="C506">_xlfn.IFS(B506&lt;=18.5,  "Underweight",B506&lt;=24.9,"Normal weight",B506&lt;=29.9, "Over weight",B506&gt;=30,"Obesity")</f>
        <v>Over weight</v>
      </c>
      <c r="D506">
        <v>4.87</v>
      </c>
      <c r="E506" t="str" cm="1">
        <f t="array" ref="E506">_xlfn.IFS(D506&lt;5.7,"Normal",D506&lt;=6.4,"Prediabetes",D506&gt;=6.5,"Diabetes")</f>
        <v>Normal</v>
      </c>
      <c r="F506" s="3" t="s">
        <v>2382</v>
      </c>
      <c r="G506" s="3" t="s">
        <v>2379</v>
      </c>
      <c r="H506" s="3" t="s">
        <v>2379</v>
      </c>
      <c r="I506" s="1" t="s">
        <v>2380</v>
      </c>
      <c r="J506">
        <v>0</v>
      </c>
      <c r="K506" s="3" t="s">
        <v>2382</v>
      </c>
      <c r="P506" s="3"/>
    </row>
    <row r="507" spans="1:16" x14ac:dyDescent="0.25">
      <c r="A507" s="3" t="s">
        <v>1864</v>
      </c>
      <c r="B507">
        <v>28.38</v>
      </c>
      <c r="C507" t="str" cm="1">
        <f t="array" ref="C507">_xlfn.IFS(B507&lt;=18.5,  "Underweight",B507&lt;=24.9,"Normal weight",B507&lt;=29.9, "Over weight",B507&gt;=30,"Obesity")</f>
        <v>Over weight</v>
      </c>
      <c r="D507">
        <v>6.07</v>
      </c>
      <c r="E507" t="str" cm="1">
        <f t="array" ref="E507">_xlfn.IFS(D507&lt;5.7,"Normal",D507&lt;=6.4,"Prediabetes",D507&gt;=6.5,"Diabetes")</f>
        <v>Prediabetes</v>
      </c>
      <c r="F507" s="3" t="s">
        <v>2379</v>
      </c>
      <c r="G507" s="3" t="s">
        <v>2379</v>
      </c>
      <c r="H507" s="3" t="s">
        <v>2379</v>
      </c>
      <c r="I507" s="1">
        <v>1</v>
      </c>
      <c r="J507">
        <v>1</v>
      </c>
      <c r="K507" s="3" t="s">
        <v>2382</v>
      </c>
      <c r="P507" s="3"/>
    </row>
    <row r="508" spans="1:16" x14ac:dyDescent="0.25">
      <c r="A508" s="3" t="s">
        <v>1863</v>
      </c>
      <c r="B508">
        <v>24.64</v>
      </c>
      <c r="C508" t="str" cm="1">
        <f t="array" ref="C508">_xlfn.IFS(B508&lt;=18.5,  "Underweight",B508&lt;=24.9,"Normal weight",B508&lt;=29.9, "Over weight",B508&gt;=30,"Obesity")</f>
        <v>Normal weight</v>
      </c>
      <c r="D508">
        <v>4.33</v>
      </c>
      <c r="E508" t="str" cm="1">
        <f t="array" ref="E508">_xlfn.IFS(D508&lt;5.7,"Normal",D508&lt;=6.4,"Prediabetes",D508&gt;=6.5,"Diabetes")</f>
        <v>Normal</v>
      </c>
      <c r="F508" s="3" t="s">
        <v>2379</v>
      </c>
      <c r="G508" s="3" t="s">
        <v>2379</v>
      </c>
      <c r="H508" s="3" t="s">
        <v>2379</v>
      </c>
      <c r="I508" s="1" t="s">
        <v>2380</v>
      </c>
      <c r="J508">
        <v>0</v>
      </c>
      <c r="K508" s="3" t="s">
        <v>2382</v>
      </c>
      <c r="P508" s="3"/>
    </row>
    <row r="509" spans="1:16" x14ac:dyDescent="0.25">
      <c r="A509" s="3" t="s">
        <v>1862</v>
      </c>
      <c r="B509">
        <v>39.71</v>
      </c>
      <c r="C509" t="str" cm="1">
        <f t="array" ref="C509">_xlfn.IFS(B509&lt;=18.5,  "Underweight",B509&lt;=24.9,"Normal weight",B509&lt;=29.9, "Over weight",B509&gt;=30,"Obesity")</f>
        <v>Obesity</v>
      </c>
      <c r="D509">
        <v>5.83</v>
      </c>
      <c r="E509" t="str" cm="1">
        <f t="array" ref="E509">_xlfn.IFS(D509&lt;5.7,"Normal",D509&lt;=6.4,"Prediabetes",D509&gt;=6.5,"Diabetes")</f>
        <v>Prediabetes</v>
      </c>
      <c r="F509" s="3" t="s">
        <v>2379</v>
      </c>
      <c r="G509" s="3" t="s">
        <v>2379</v>
      </c>
      <c r="H509" s="3" t="s">
        <v>2379</v>
      </c>
      <c r="I509" s="1">
        <v>1</v>
      </c>
      <c r="J509">
        <v>1</v>
      </c>
      <c r="K509" s="3" t="s">
        <v>2379</v>
      </c>
      <c r="P509" s="3"/>
    </row>
    <row r="510" spans="1:16" x14ac:dyDescent="0.25">
      <c r="A510" s="3" t="s">
        <v>1861</v>
      </c>
      <c r="B510">
        <v>22.22</v>
      </c>
      <c r="C510" t="str" cm="1">
        <f t="array" ref="C510">_xlfn.IFS(B510&lt;=18.5,  "Underweight",B510&lt;=24.9,"Normal weight",B510&lt;=29.9, "Over weight",B510&gt;=30,"Obesity")</f>
        <v>Normal weight</v>
      </c>
      <c r="D510">
        <v>5.5</v>
      </c>
      <c r="E510" t="str" cm="1">
        <f t="array" ref="E510">_xlfn.IFS(D510&lt;5.7,"Normal",D510&lt;=6.4,"Prediabetes",D510&gt;=6.5,"Diabetes")</f>
        <v>Normal</v>
      </c>
      <c r="F510" s="3" t="s">
        <v>2379</v>
      </c>
      <c r="G510" s="3" t="s">
        <v>2379</v>
      </c>
      <c r="H510" s="3" t="s">
        <v>2379</v>
      </c>
      <c r="I510" s="1" t="s">
        <v>2380</v>
      </c>
      <c r="J510">
        <v>0</v>
      </c>
      <c r="K510" s="3" t="s">
        <v>2382</v>
      </c>
      <c r="P510" s="3"/>
    </row>
    <row r="511" spans="1:16" x14ac:dyDescent="0.25">
      <c r="A511" s="3" t="s">
        <v>1860</v>
      </c>
      <c r="B511">
        <v>33.344999999999999</v>
      </c>
      <c r="C511" t="str" cm="1">
        <f t="array" ref="C511">_xlfn.IFS(B511&lt;=18.5,  "Underweight",B511&lt;=24.9,"Normal weight",B511&lt;=29.9, "Over weight",B511&gt;=30,"Obesity")</f>
        <v>Obesity</v>
      </c>
      <c r="D511">
        <v>4.79</v>
      </c>
      <c r="E511" t="str" cm="1">
        <f t="array" ref="E511">_xlfn.IFS(D511&lt;5.7,"Normal",D511&lt;=6.4,"Prediabetes",D511&gt;=6.5,"Diabetes")</f>
        <v>Normal</v>
      </c>
      <c r="F511" s="3" t="s">
        <v>2379</v>
      </c>
      <c r="G511" s="3" t="s">
        <v>2379</v>
      </c>
      <c r="H511" s="3" t="s">
        <v>2382</v>
      </c>
      <c r="I511" s="1">
        <v>1</v>
      </c>
      <c r="J511">
        <v>1</v>
      </c>
      <c r="K511" s="3" t="s">
        <v>2379</v>
      </c>
      <c r="P511" s="3"/>
    </row>
    <row r="512" spans="1:16" x14ac:dyDescent="0.25">
      <c r="A512" s="3" t="s">
        <v>1859</v>
      </c>
      <c r="B512">
        <v>24.42</v>
      </c>
      <c r="C512" t="str" cm="1">
        <f t="array" ref="C512">_xlfn.IFS(B512&lt;=18.5,  "Underweight",B512&lt;=24.9,"Normal weight",B512&lt;=29.9, "Over weight",B512&gt;=30,"Obesity")</f>
        <v>Normal weight</v>
      </c>
      <c r="D512">
        <v>5.81</v>
      </c>
      <c r="E512" t="str" cm="1">
        <f t="array" ref="E512">_xlfn.IFS(D512&lt;5.7,"Normal",D512&lt;=6.4,"Prediabetes",D512&gt;=6.5,"Diabetes")</f>
        <v>Prediabetes</v>
      </c>
      <c r="F512" s="3" t="s">
        <v>2379</v>
      </c>
      <c r="G512" s="3" t="s">
        <v>2379</v>
      </c>
      <c r="H512" s="3" t="s">
        <v>2379</v>
      </c>
      <c r="I512" s="1">
        <v>1</v>
      </c>
      <c r="J512">
        <v>1</v>
      </c>
      <c r="K512" s="3" t="s">
        <v>2382</v>
      </c>
      <c r="P512" s="3"/>
    </row>
    <row r="513" spans="1:16" x14ac:dyDescent="0.25">
      <c r="A513" s="3" t="s">
        <v>1858</v>
      </c>
      <c r="B513">
        <v>29.81</v>
      </c>
      <c r="C513" t="str" cm="1">
        <f t="array" ref="C513">_xlfn.IFS(B513&lt;=18.5,  "Underweight",B513&lt;=24.9,"Normal weight",B513&lt;=29.9, "Over weight",B513&gt;=30,"Obesity")</f>
        <v>Over weight</v>
      </c>
      <c r="D513">
        <v>5.58</v>
      </c>
      <c r="E513" t="str" cm="1">
        <f t="array" ref="E513">_xlfn.IFS(D513&lt;5.7,"Normal",D513&lt;=6.4,"Prediabetes",D513&gt;=6.5,"Diabetes")</f>
        <v>Normal</v>
      </c>
      <c r="F513" s="3" t="s">
        <v>2379</v>
      </c>
      <c r="G513" s="3" t="s">
        <v>2379</v>
      </c>
      <c r="H513" s="3" t="s">
        <v>2379</v>
      </c>
      <c r="I513" s="1" t="s">
        <v>2380</v>
      </c>
      <c r="J513">
        <v>0</v>
      </c>
      <c r="K513" s="3" t="s">
        <v>2382</v>
      </c>
      <c r="P513" s="3"/>
    </row>
    <row r="514" spans="1:16" x14ac:dyDescent="0.25">
      <c r="A514" s="3" t="s">
        <v>1857</v>
      </c>
      <c r="B514">
        <v>51.18</v>
      </c>
      <c r="C514" t="str" cm="1">
        <f t="array" ref="C514">_xlfn.IFS(B514&lt;=18.5,  "Underweight",B514&lt;=24.9,"Normal weight",B514&lt;=29.9, "Over weight",B514&gt;=30,"Obesity")</f>
        <v>Obesity</v>
      </c>
      <c r="D514">
        <v>4.4000000000000004</v>
      </c>
      <c r="E514" t="str" cm="1">
        <f t="array" ref="E514">_xlfn.IFS(D514&lt;5.7,"Normal",D514&lt;=6.4,"Prediabetes",D514&gt;=6.5,"Diabetes")</f>
        <v>Normal</v>
      </c>
      <c r="F514" s="3" t="s">
        <v>2382</v>
      </c>
      <c r="G514" s="3" t="s">
        <v>2379</v>
      </c>
      <c r="H514" s="3" t="s">
        <v>2379</v>
      </c>
      <c r="I514" s="1">
        <v>2</v>
      </c>
      <c r="J514">
        <v>2</v>
      </c>
      <c r="K514" s="3" t="s">
        <v>2379</v>
      </c>
      <c r="P514" s="3"/>
    </row>
    <row r="515" spans="1:16" x14ac:dyDescent="0.25">
      <c r="A515" s="3" t="s">
        <v>1856</v>
      </c>
      <c r="B515">
        <v>51.37</v>
      </c>
      <c r="C515" t="str" cm="1">
        <f t="array" ref="C515">_xlfn.IFS(B515&lt;=18.5,  "Underweight",B515&lt;=24.9,"Normal weight",B515&lt;=29.9, "Over weight",B515&gt;=30,"Obesity")</f>
        <v>Obesity</v>
      </c>
      <c r="D515">
        <v>8.18</v>
      </c>
      <c r="E515" t="str" cm="1">
        <f t="array" ref="E515">_xlfn.IFS(D515&lt;5.7,"Normal",D515&lt;=6.4,"Prediabetes",D515&gt;=6.5,"Diabetes")</f>
        <v>Diabetes</v>
      </c>
      <c r="F515" s="3" t="s">
        <v>2382</v>
      </c>
      <c r="G515" s="3" t="s">
        <v>2379</v>
      </c>
      <c r="H515" s="3" t="s">
        <v>2379</v>
      </c>
      <c r="I515" s="1" t="s">
        <v>2380</v>
      </c>
      <c r="J515">
        <v>0</v>
      </c>
      <c r="K515" s="3" t="s">
        <v>2379</v>
      </c>
      <c r="P515" s="3"/>
    </row>
    <row r="516" spans="1:16" x14ac:dyDescent="0.25">
      <c r="A516" s="3" t="s">
        <v>1855</v>
      </c>
      <c r="B516">
        <v>36.19</v>
      </c>
      <c r="C516" t="str" cm="1">
        <f t="array" ref="C516">_xlfn.IFS(B516&lt;=18.5,  "Underweight",B516&lt;=24.9,"Normal weight",B516&lt;=29.9, "Over weight",B516&gt;=30,"Obesity")</f>
        <v>Obesity</v>
      </c>
      <c r="D516">
        <v>5.52</v>
      </c>
      <c r="E516" t="str" cm="1">
        <f t="array" ref="E516">_xlfn.IFS(D516&lt;5.7,"Normal",D516&lt;=6.4,"Prediabetes",D516&gt;=6.5,"Diabetes")</f>
        <v>Normal</v>
      </c>
      <c r="F516" s="3" t="s">
        <v>2382</v>
      </c>
      <c r="G516" s="3" t="s">
        <v>2379</v>
      </c>
      <c r="H516" s="3" t="s">
        <v>2379</v>
      </c>
      <c r="I516" s="1" t="s">
        <v>2380</v>
      </c>
      <c r="J516">
        <v>0</v>
      </c>
      <c r="K516" s="3" t="s">
        <v>2379</v>
      </c>
      <c r="P516" s="3"/>
    </row>
    <row r="517" spans="1:16" x14ac:dyDescent="0.25">
      <c r="A517" s="3" t="s">
        <v>1854</v>
      </c>
      <c r="B517">
        <v>25.9</v>
      </c>
      <c r="C517" t="str" cm="1">
        <f t="array" ref="C517">_xlfn.IFS(B517&lt;=18.5,  "Underweight",B517&lt;=24.9,"Normal weight",B517&lt;=29.9, "Over weight",B517&gt;=30,"Obesity")</f>
        <v>Over weight</v>
      </c>
      <c r="D517">
        <v>4.84</v>
      </c>
      <c r="E517" t="str" cm="1">
        <f t="array" ref="E517">_xlfn.IFS(D517&lt;5.7,"Normal",D517&lt;=6.4,"Prediabetes",D517&gt;=6.5,"Diabetes")</f>
        <v>Normal</v>
      </c>
      <c r="F517" s="3" t="s">
        <v>2379</v>
      </c>
      <c r="G517" s="3" t="s">
        <v>2379</v>
      </c>
      <c r="H517" s="3" t="s">
        <v>2379</v>
      </c>
      <c r="I517" s="1" t="s">
        <v>2380</v>
      </c>
      <c r="J517">
        <v>0</v>
      </c>
      <c r="K517" s="3" t="s">
        <v>2382</v>
      </c>
      <c r="P517" s="3"/>
    </row>
    <row r="518" spans="1:16" x14ac:dyDescent="0.25">
      <c r="A518" s="3" t="s">
        <v>1853</v>
      </c>
      <c r="B518">
        <v>35.72</v>
      </c>
      <c r="C518" t="str" cm="1">
        <f t="array" ref="C518">_xlfn.IFS(B518&lt;=18.5,  "Underweight",B518&lt;=24.9,"Normal weight",B518&lt;=29.9, "Over weight",B518&gt;=30,"Obesity")</f>
        <v>Obesity</v>
      </c>
      <c r="D518">
        <v>4.08</v>
      </c>
      <c r="E518" t="str" cm="1">
        <f t="array" ref="E518">_xlfn.IFS(D518&lt;5.7,"Normal",D518&lt;=6.4,"Prediabetes",D518&gt;=6.5,"Diabetes")</f>
        <v>Normal</v>
      </c>
      <c r="F518" s="3" t="s">
        <v>2379</v>
      </c>
      <c r="G518" s="3" t="s">
        <v>2379</v>
      </c>
      <c r="H518" s="3" t="s">
        <v>2382</v>
      </c>
      <c r="I518" s="1">
        <v>1</v>
      </c>
      <c r="J518">
        <v>1</v>
      </c>
      <c r="K518" s="3" t="s">
        <v>2379</v>
      </c>
      <c r="P518" s="3"/>
    </row>
    <row r="519" spans="1:16" x14ac:dyDescent="0.25">
      <c r="A519" s="3" t="s">
        <v>1852</v>
      </c>
      <c r="B519">
        <v>27.94</v>
      </c>
      <c r="C519" t="str" cm="1">
        <f t="array" ref="C519">_xlfn.IFS(B519&lt;=18.5,  "Underweight",B519&lt;=24.9,"Normal weight",B519&lt;=29.9, "Over weight",B519&gt;=30,"Obesity")</f>
        <v>Over weight</v>
      </c>
      <c r="D519">
        <v>4.4800000000000004</v>
      </c>
      <c r="E519" t="str" cm="1">
        <f t="array" ref="E519">_xlfn.IFS(D519&lt;5.7,"Normal",D519&lt;=6.4,"Prediabetes",D519&gt;=6.5,"Diabetes")</f>
        <v>Normal</v>
      </c>
      <c r="F519" s="3" t="s">
        <v>2379</v>
      </c>
      <c r="G519" s="3" t="s">
        <v>2379</v>
      </c>
      <c r="H519" s="3" t="s">
        <v>2382</v>
      </c>
      <c r="I519" s="1">
        <v>1</v>
      </c>
      <c r="J519">
        <v>1</v>
      </c>
      <c r="K519" s="3" t="s">
        <v>2382</v>
      </c>
      <c r="P519" s="3"/>
    </row>
    <row r="520" spans="1:16" x14ac:dyDescent="0.25">
      <c r="A520" s="3" t="s">
        <v>1851</v>
      </c>
      <c r="B520">
        <v>27.1</v>
      </c>
      <c r="C520" t="str" cm="1">
        <f t="array" ref="C520">_xlfn.IFS(B520&lt;=18.5,  "Underweight",B520&lt;=24.9,"Normal weight",B520&lt;=29.9, "Over weight",B520&gt;=30,"Obesity")</f>
        <v>Over weight</v>
      </c>
      <c r="D520">
        <v>5.73</v>
      </c>
      <c r="E520" t="str" cm="1">
        <f t="array" ref="E520">_xlfn.IFS(D520&lt;5.7,"Normal",D520&lt;=6.4,"Prediabetes",D520&gt;=6.5,"Diabetes")</f>
        <v>Prediabetes</v>
      </c>
      <c r="F520" s="3" t="s">
        <v>2379</v>
      </c>
      <c r="G520" s="3" t="s">
        <v>2379</v>
      </c>
      <c r="H520" s="3" t="s">
        <v>2379</v>
      </c>
      <c r="I520" s="1" t="s">
        <v>2380</v>
      </c>
      <c r="J520">
        <v>0</v>
      </c>
      <c r="K520" s="3" t="s">
        <v>2382</v>
      </c>
      <c r="P520" s="3"/>
    </row>
    <row r="521" spans="1:16" x14ac:dyDescent="0.25">
      <c r="A521" s="3" t="s">
        <v>1850</v>
      </c>
      <c r="B521">
        <v>18.3</v>
      </c>
      <c r="C521" t="str" cm="1">
        <f t="array" ref="C521">_xlfn.IFS(B521&lt;=18.5,  "Underweight",B521&lt;=24.9,"Normal weight",B521&lt;=29.9, "Over weight",B521&gt;=30,"Obesity")</f>
        <v>Underweight</v>
      </c>
      <c r="D521">
        <v>5.46</v>
      </c>
      <c r="E521" t="str" cm="1">
        <f t="array" ref="E521">_xlfn.IFS(D521&lt;5.7,"Normal",D521&lt;=6.4,"Prediabetes",D521&gt;=6.5,"Diabetes")</f>
        <v>Normal</v>
      </c>
      <c r="F521" s="3" t="s">
        <v>2382</v>
      </c>
      <c r="G521" s="3" t="s">
        <v>2379</v>
      </c>
      <c r="H521" s="3" t="s">
        <v>2382</v>
      </c>
      <c r="I521" s="1">
        <v>1</v>
      </c>
      <c r="J521">
        <v>1</v>
      </c>
      <c r="K521" s="3" t="s">
        <v>2382</v>
      </c>
      <c r="P521" s="3"/>
    </row>
    <row r="522" spans="1:16" x14ac:dyDescent="0.25">
      <c r="A522" s="3" t="s">
        <v>1849</v>
      </c>
      <c r="B522">
        <v>25.3</v>
      </c>
      <c r="C522" t="str" cm="1">
        <f t="array" ref="C522">_xlfn.IFS(B522&lt;=18.5,  "Underweight",B522&lt;=24.9,"Normal weight",B522&lt;=29.9, "Over weight",B522&gt;=30,"Obesity")</f>
        <v>Over weight</v>
      </c>
      <c r="D522">
        <v>5.0199999999999996</v>
      </c>
      <c r="E522" t="str" cm="1">
        <f t="array" ref="E522">_xlfn.IFS(D522&lt;5.7,"Normal",D522&lt;=6.4,"Prediabetes",D522&gt;=6.5,"Diabetes")</f>
        <v>Normal</v>
      </c>
      <c r="F522" s="3" t="s">
        <v>2382</v>
      </c>
      <c r="G522" s="3" t="s">
        <v>2379</v>
      </c>
      <c r="H522" s="3" t="s">
        <v>2379</v>
      </c>
      <c r="I522" s="1">
        <v>1</v>
      </c>
      <c r="J522">
        <v>1</v>
      </c>
      <c r="K522" s="3" t="s">
        <v>2382</v>
      </c>
      <c r="P522" s="3"/>
    </row>
    <row r="523" spans="1:16" x14ac:dyDescent="0.25">
      <c r="A523" s="3" t="s">
        <v>1848</v>
      </c>
      <c r="B523">
        <v>38.83</v>
      </c>
      <c r="C523" t="str" cm="1">
        <f t="array" ref="C523">_xlfn.IFS(B523&lt;=18.5,  "Underweight",B523&lt;=24.9,"Normal weight",B523&lt;=29.9, "Over weight",B523&gt;=30,"Obesity")</f>
        <v>Obesity</v>
      </c>
      <c r="D523">
        <v>6.36</v>
      </c>
      <c r="E523" t="str" cm="1">
        <f t="array" ref="E523">_xlfn.IFS(D523&lt;5.7,"Normal",D523&lt;=6.4,"Prediabetes",D523&gt;=6.5,"Diabetes")</f>
        <v>Prediabetes</v>
      </c>
      <c r="F523" s="3" t="s">
        <v>2379</v>
      </c>
      <c r="G523" s="3" t="s">
        <v>2379</v>
      </c>
      <c r="H523" s="3" t="s">
        <v>2379</v>
      </c>
      <c r="I523" s="1">
        <v>1</v>
      </c>
      <c r="J523">
        <v>1</v>
      </c>
      <c r="K523" s="3" t="s">
        <v>2379</v>
      </c>
      <c r="P523" s="3"/>
    </row>
    <row r="524" spans="1:16" x14ac:dyDescent="0.25">
      <c r="A524" s="3" t="s">
        <v>1847</v>
      </c>
      <c r="B524">
        <v>27.6</v>
      </c>
      <c r="C524" t="str" cm="1">
        <f t="array" ref="C524">_xlfn.IFS(B524&lt;=18.5,  "Underweight",B524&lt;=24.9,"Normal weight",B524&lt;=29.9, "Over weight",B524&gt;=30,"Obesity")</f>
        <v>Over weight</v>
      </c>
      <c r="D524">
        <v>5.36</v>
      </c>
      <c r="E524" t="str" cm="1">
        <f t="array" ref="E524">_xlfn.IFS(D524&lt;5.7,"Normal",D524&lt;=6.4,"Prediabetes",D524&gt;=6.5,"Diabetes")</f>
        <v>Normal</v>
      </c>
      <c r="F524" s="3" t="s">
        <v>2379</v>
      </c>
      <c r="G524" s="3" t="s">
        <v>2379</v>
      </c>
      <c r="H524" s="3" t="s">
        <v>2379</v>
      </c>
      <c r="I524" s="1">
        <v>1</v>
      </c>
      <c r="J524">
        <v>1</v>
      </c>
      <c r="K524" s="3" t="s">
        <v>2379</v>
      </c>
      <c r="P524" s="3"/>
    </row>
    <row r="525" spans="1:16" x14ac:dyDescent="0.25">
      <c r="A525" s="3" t="s">
        <v>1846</v>
      </c>
      <c r="B525">
        <v>46.4</v>
      </c>
      <c r="C525" t="str" cm="1">
        <f t="array" ref="C525">_xlfn.IFS(B525&lt;=18.5,  "Underweight",B525&lt;=24.9,"Normal weight",B525&lt;=29.9, "Over weight",B525&gt;=30,"Obesity")</f>
        <v>Obesity</v>
      </c>
      <c r="D525">
        <v>8.3699999999999992</v>
      </c>
      <c r="E525" t="str" cm="1">
        <f t="array" ref="E525">_xlfn.IFS(D525&lt;5.7,"Normal",D525&lt;=6.4,"Prediabetes",D525&gt;=6.5,"Diabetes")</f>
        <v>Diabetes</v>
      </c>
      <c r="F525" s="3" t="s">
        <v>2382</v>
      </c>
      <c r="G525" s="3" t="s">
        <v>2379</v>
      </c>
      <c r="H525" s="3" t="s">
        <v>2382</v>
      </c>
      <c r="I525" s="1">
        <v>1</v>
      </c>
      <c r="J525">
        <v>1</v>
      </c>
      <c r="K525" s="3" t="s">
        <v>2379</v>
      </c>
      <c r="P525" s="3"/>
    </row>
    <row r="526" spans="1:16" x14ac:dyDescent="0.25">
      <c r="A526" s="3" t="s">
        <v>1845</v>
      </c>
      <c r="B526">
        <v>51.92</v>
      </c>
      <c r="C526" t="str" cm="1">
        <f t="array" ref="C526">_xlfn.IFS(B526&lt;=18.5,  "Underweight",B526&lt;=24.9,"Normal weight",B526&lt;=29.9, "Over weight",B526&gt;=30,"Obesity")</f>
        <v>Obesity</v>
      </c>
      <c r="D526">
        <v>5.18</v>
      </c>
      <c r="E526" t="str" cm="1">
        <f t="array" ref="E526">_xlfn.IFS(D526&lt;5.7,"Normal",D526&lt;=6.4,"Prediabetes",D526&gt;=6.5,"Diabetes")</f>
        <v>Normal</v>
      </c>
      <c r="F526" s="3" t="s">
        <v>2382</v>
      </c>
      <c r="G526" s="3" t="s">
        <v>2379</v>
      </c>
      <c r="H526" s="3" t="s">
        <v>2382</v>
      </c>
      <c r="I526" s="1">
        <v>1</v>
      </c>
      <c r="J526">
        <v>1</v>
      </c>
      <c r="K526" s="3" t="s">
        <v>2379</v>
      </c>
      <c r="P526" s="3"/>
    </row>
    <row r="527" spans="1:16" x14ac:dyDescent="0.25">
      <c r="A527" s="3" t="s">
        <v>1844</v>
      </c>
      <c r="B527">
        <v>32.395000000000003</v>
      </c>
      <c r="C527" t="str" cm="1">
        <f t="array" ref="C527">_xlfn.IFS(B527&lt;=18.5,  "Underweight",B527&lt;=24.9,"Normal weight",B527&lt;=29.9, "Over weight",B527&gt;=30,"Obesity")</f>
        <v>Obesity</v>
      </c>
      <c r="D527">
        <v>5.68</v>
      </c>
      <c r="E527" t="str" cm="1">
        <f t="array" ref="E527">_xlfn.IFS(D527&lt;5.7,"Normal",D527&lt;=6.4,"Prediabetes",D527&gt;=6.5,"Diabetes")</f>
        <v>Normal</v>
      </c>
      <c r="F527" s="3" t="s">
        <v>2382</v>
      </c>
      <c r="G527" s="3" t="s">
        <v>2379</v>
      </c>
      <c r="H527" s="3" t="s">
        <v>2379</v>
      </c>
      <c r="I527" s="1">
        <v>1</v>
      </c>
      <c r="J527">
        <v>1</v>
      </c>
      <c r="K527" s="3" t="s">
        <v>2379</v>
      </c>
      <c r="P527" s="3"/>
    </row>
    <row r="528" spans="1:16" x14ac:dyDescent="0.25">
      <c r="A528" s="3" t="s">
        <v>1843</v>
      </c>
      <c r="B528">
        <v>46.19</v>
      </c>
      <c r="C528" t="str" cm="1">
        <f t="array" ref="C528">_xlfn.IFS(B528&lt;=18.5,  "Underweight",B528&lt;=24.9,"Normal weight",B528&lt;=29.9, "Over weight",B528&gt;=30,"Obesity")</f>
        <v>Obesity</v>
      </c>
      <c r="D528">
        <v>7.31</v>
      </c>
      <c r="E528" t="str" cm="1">
        <f t="array" ref="E528">_xlfn.IFS(D528&lt;5.7,"Normal",D528&lt;=6.4,"Prediabetes",D528&gt;=6.5,"Diabetes")</f>
        <v>Diabetes</v>
      </c>
      <c r="F528" s="3" t="s">
        <v>2382</v>
      </c>
      <c r="G528" s="3" t="s">
        <v>2379</v>
      </c>
      <c r="H528" s="3" t="s">
        <v>2382</v>
      </c>
      <c r="I528" s="1">
        <v>1</v>
      </c>
      <c r="J528">
        <v>1</v>
      </c>
      <c r="K528" s="3" t="s">
        <v>2379</v>
      </c>
      <c r="P528" s="3"/>
    </row>
    <row r="529" spans="1:16" x14ac:dyDescent="0.25">
      <c r="A529" s="3" t="s">
        <v>1842</v>
      </c>
      <c r="B529">
        <v>27.93</v>
      </c>
      <c r="C529" t="str" cm="1">
        <f t="array" ref="C529">_xlfn.IFS(B529&lt;=18.5,  "Underweight",B529&lt;=24.9,"Normal weight",B529&lt;=29.9, "Over weight",B529&gt;=30,"Obesity")</f>
        <v>Over weight</v>
      </c>
      <c r="D529">
        <v>4.67</v>
      </c>
      <c r="E529" t="str" cm="1">
        <f t="array" ref="E529">_xlfn.IFS(D529&lt;5.7,"Normal",D529&lt;=6.4,"Prediabetes",D529&gt;=6.5,"Diabetes")</f>
        <v>Normal</v>
      </c>
      <c r="F529" s="3" t="s">
        <v>2379</v>
      </c>
      <c r="G529" s="3" t="s">
        <v>2379</v>
      </c>
      <c r="H529" s="3" t="s">
        <v>2382</v>
      </c>
      <c r="I529" s="1">
        <v>1</v>
      </c>
      <c r="J529">
        <v>1</v>
      </c>
      <c r="K529" s="3" t="s">
        <v>2379</v>
      </c>
      <c r="P529" s="3"/>
    </row>
    <row r="530" spans="1:16" x14ac:dyDescent="0.25">
      <c r="A530" s="3" t="s">
        <v>1841</v>
      </c>
      <c r="B530">
        <v>45.62</v>
      </c>
      <c r="C530" t="str" cm="1">
        <f t="array" ref="C530">_xlfn.IFS(B530&lt;=18.5,  "Underweight",B530&lt;=24.9,"Normal weight",B530&lt;=29.9, "Over weight",B530&gt;=30,"Obesity")</f>
        <v>Obesity</v>
      </c>
      <c r="D530">
        <v>6.87</v>
      </c>
      <c r="E530" t="str" cm="1">
        <f t="array" ref="E530">_xlfn.IFS(D530&lt;5.7,"Normal",D530&lt;=6.4,"Prediabetes",D530&gt;=6.5,"Diabetes")</f>
        <v>Diabetes</v>
      </c>
      <c r="F530" s="3" t="s">
        <v>2379</v>
      </c>
      <c r="G530" s="3" t="s">
        <v>2379</v>
      </c>
      <c r="H530" s="3" t="s">
        <v>2379</v>
      </c>
      <c r="I530" s="1" t="s">
        <v>2380</v>
      </c>
      <c r="J530">
        <v>0</v>
      </c>
      <c r="K530" s="3" t="s">
        <v>2379</v>
      </c>
      <c r="P530" s="3"/>
    </row>
    <row r="531" spans="1:16" x14ac:dyDescent="0.25">
      <c r="A531" s="3" t="s">
        <v>1840</v>
      </c>
      <c r="B531">
        <v>35.31</v>
      </c>
      <c r="C531" t="str" cm="1">
        <f t="array" ref="C531">_xlfn.IFS(B531&lt;=18.5,  "Underweight",B531&lt;=24.9,"Normal weight",B531&lt;=29.9, "Over weight",B531&gt;=30,"Obesity")</f>
        <v>Obesity</v>
      </c>
      <c r="D531">
        <v>5.87</v>
      </c>
      <c r="E531" t="str" cm="1">
        <f t="array" ref="E531">_xlfn.IFS(D531&lt;5.7,"Normal",D531&lt;=6.4,"Prediabetes",D531&gt;=6.5,"Diabetes")</f>
        <v>Prediabetes</v>
      </c>
      <c r="F531" s="3" t="s">
        <v>2379</v>
      </c>
      <c r="G531" s="3" t="s">
        <v>2379</v>
      </c>
      <c r="H531" s="3" t="s">
        <v>2382</v>
      </c>
      <c r="I531" s="1">
        <v>1</v>
      </c>
      <c r="J531">
        <v>1</v>
      </c>
      <c r="K531" s="3" t="s">
        <v>2379</v>
      </c>
      <c r="P531" s="3"/>
    </row>
    <row r="532" spans="1:16" x14ac:dyDescent="0.25">
      <c r="A532" s="3" t="s">
        <v>1839</v>
      </c>
      <c r="B532">
        <v>30.4</v>
      </c>
      <c r="C532" t="str" cm="1">
        <f t="array" ref="C532">_xlfn.IFS(B532&lt;=18.5,  "Underweight",B532&lt;=24.9,"Normal weight",B532&lt;=29.9, "Over weight",B532&gt;=30,"Obesity")</f>
        <v>Obesity</v>
      </c>
      <c r="D532">
        <v>4.07</v>
      </c>
      <c r="E532" t="str" cm="1">
        <f t="array" ref="E532">_xlfn.IFS(D532&lt;5.7,"Normal",D532&lt;=6.4,"Prediabetes",D532&gt;=6.5,"Diabetes")</f>
        <v>Normal</v>
      </c>
      <c r="F532" s="3" t="s">
        <v>2382</v>
      </c>
      <c r="G532" s="3" t="s">
        <v>2379</v>
      </c>
      <c r="H532" s="3" t="s">
        <v>2379</v>
      </c>
      <c r="I532" s="1">
        <v>1</v>
      </c>
      <c r="J532">
        <v>1</v>
      </c>
      <c r="K532" s="3" t="s">
        <v>2379</v>
      </c>
      <c r="P532" s="3"/>
    </row>
    <row r="533" spans="1:16" x14ac:dyDescent="0.25">
      <c r="A533" s="3" t="s">
        <v>1838</v>
      </c>
      <c r="B533">
        <v>20.13</v>
      </c>
      <c r="C533" t="str" cm="1">
        <f t="array" ref="C533">_xlfn.IFS(B533&lt;=18.5,  "Underweight",B533&lt;=24.9,"Normal weight",B533&lt;=29.9, "Over weight",B533&gt;=30,"Obesity")</f>
        <v>Normal weight</v>
      </c>
      <c r="D533">
        <v>6.47</v>
      </c>
      <c r="E533" t="e" cm="1">
        <f t="array" ref="E533">_xlfn.IFS(D533&lt;5.7,"Normal",D533&lt;=6.4,"Prediabetes",D533&gt;=6.5,"Diabetes")</f>
        <v>#N/A</v>
      </c>
      <c r="F533" s="3" t="s">
        <v>2379</v>
      </c>
      <c r="G533" s="3" t="s">
        <v>2379</v>
      </c>
      <c r="H533" s="3" t="s">
        <v>2382</v>
      </c>
      <c r="I533" s="1">
        <v>1</v>
      </c>
      <c r="J533">
        <v>1</v>
      </c>
      <c r="K533" s="3" t="s">
        <v>2382</v>
      </c>
      <c r="P533" s="3"/>
    </row>
    <row r="534" spans="1:16" x14ac:dyDescent="0.25">
      <c r="A534" s="3" t="s">
        <v>1837</v>
      </c>
      <c r="B534">
        <v>23.655000000000001</v>
      </c>
      <c r="C534" t="str" cm="1">
        <f t="array" ref="C534">_xlfn.IFS(B534&lt;=18.5,  "Underweight",B534&lt;=24.9,"Normal weight",B534&lt;=29.9, "Over weight",B534&gt;=30,"Obesity")</f>
        <v>Normal weight</v>
      </c>
      <c r="D534">
        <v>5.14</v>
      </c>
      <c r="E534" t="str" cm="1">
        <f t="array" ref="E534">_xlfn.IFS(D534&lt;5.7,"Normal",D534&lt;=6.4,"Prediabetes",D534&gt;=6.5,"Diabetes")</f>
        <v>Normal</v>
      </c>
      <c r="F534" s="3" t="s">
        <v>2379</v>
      </c>
      <c r="G534" s="3" t="s">
        <v>2379</v>
      </c>
      <c r="H534" s="3" t="s">
        <v>2379</v>
      </c>
      <c r="I534" s="1">
        <v>1</v>
      </c>
      <c r="J534">
        <v>1</v>
      </c>
      <c r="K534" s="3" t="s">
        <v>2382</v>
      </c>
      <c r="P534" s="3"/>
    </row>
    <row r="535" spans="1:16" x14ac:dyDescent="0.25">
      <c r="A535" s="3" t="s">
        <v>1836</v>
      </c>
      <c r="B535">
        <v>49.05</v>
      </c>
      <c r="C535" t="str" cm="1">
        <f t="array" ref="C535">_xlfn.IFS(B535&lt;=18.5,  "Underweight",B535&lt;=24.9,"Normal weight",B535&lt;=29.9, "Over weight",B535&gt;=30,"Obesity")</f>
        <v>Obesity</v>
      </c>
      <c r="D535">
        <v>9.77</v>
      </c>
      <c r="E535" t="str" cm="1">
        <f t="array" ref="E535">_xlfn.IFS(D535&lt;5.7,"Normal",D535&lt;=6.4,"Prediabetes",D535&gt;=6.5,"Diabetes")</f>
        <v>Diabetes</v>
      </c>
      <c r="F535" s="3" t="s">
        <v>2382</v>
      </c>
      <c r="G535" s="3" t="s">
        <v>2379</v>
      </c>
      <c r="H535" s="3" t="s">
        <v>2379</v>
      </c>
      <c r="I535" s="1" t="s">
        <v>2380</v>
      </c>
      <c r="J535">
        <v>0</v>
      </c>
      <c r="K535" s="3" t="s">
        <v>2379</v>
      </c>
      <c r="P535" s="3"/>
    </row>
    <row r="536" spans="1:16" x14ac:dyDescent="0.25">
      <c r="A536" s="3" t="s">
        <v>1835</v>
      </c>
      <c r="B536">
        <v>51.94</v>
      </c>
      <c r="C536" t="str" cm="1">
        <f t="array" ref="C536">_xlfn.IFS(B536&lt;=18.5,  "Underweight",B536&lt;=24.9,"Normal weight",B536&lt;=29.9, "Over weight",B536&gt;=30,"Obesity")</f>
        <v>Obesity</v>
      </c>
      <c r="D536">
        <v>8.8000000000000007</v>
      </c>
      <c r="E536" t="str" cm="1">
        <f t="array" ref="E536">_xlfn.IFS(D536&lt;5.7,"Normal",D536&lt;=6.4,"Prediabetes",D536&gt;=6.5,"Diabetes")</f>
        <v>Diabetes</v>
      </c>
      <c r="F536" s="3" t="s">
        <v>2382</v>
      </c>
      <c r="G536" s="3" t="s">
        <v>2379</v>
      </c>
      <c r="H536" s="3" t="s">
        <v>2379</v>
      </c>
      <c r="I536" s="1">
        <v>2</v>
      </c>
      <c r="J536">
        <v>2</v>
      </c>
      <c r="K536" s="3" t="s">
        <v>2379</v>
      </c>
      <c r="P536" s="3"/>
    </row>
    <row r="537" spans="1:16" x14ac:dyDescent="0.25">
      <c r="A537" s="3" t="s">
        <v>1834</v>
      </c>
      <c r="B537">
        <v>29.83</v>
      </c>
      <c r="C537" t="str" cm="1">
        <f t="array" ref="C537">_xlfn.IFS(B537&lt;=18.5,  "Underweight",B537&lt;=24.9,"Normal weight",B537&lt;=29.9, "Over weight",B537&gt;=30,"Obesity")</f>
        <v>Over weight</v>
      </c>
      <c r="D537">
        <v>5.84</v>
      </c>
      <c r="E537" t="str" cm="1">
        <f t="array" ref="E537">_xlfn.IFS(D537&lt;5.7,"Normal",D537&lt;=6.4,"Prediabetes",D537&gt;=6.5,"Diabetes")</f>
        <v>Prediabetes</v>
      </c>
      <c r="F537" s="3" t="s">
        <v>2379</v>
      </c>
      <c r="G537" s="3" t="s">
        <v>2379</v>
      </c>
      <c r="H537" s="3" t="s">
        <v>2379</v>
      </c>
      <c r="I537" s="1">
        <v>1</v>
      </c>
      <c r="J537">
        <v>1</v>
      </c>
      <c r="K537" s="3" t="s">
        <v>2382</v>
      </c>
      <c r="P537" s="3"/>
    </row>
    <row r="538" spans="1:16" x14ac:dyDescent="0.25">
      <c r="A538" s="3" t="s">
        <v>1833</v>
      </c>
      <c r="B538">
        <v>22.6</v>
      </c>
      <c r="C538" t="str" cm="1">
        <f t="array" ref="C538">_xlfn.IFS(B538&lt;=18.5,  "Underweight",B538&lt;=24.9,"Normal weight",B538&lt;=29.9, "Over weight",B538&gt;=30,"Obesity")</f>
        <v>Normal weight</v>
      </c>
      <c r="D538">
        <v>10.43</v>
      </c>
      <c r="E538" t="str" cm="1">
        <f t="array" ref="E538">_xlfn.IFS(D538&lt;5.7,"Normal",D538&lt;=6.4,"Prediabetes",D538&gt;=6.5,"Diabetes")</f>
        <v>Diabetes</v>
      </c>
      <c r="F538" s="3" t="s">
        <v>2382</v>
      </c>
      <c r="G538" s="3" t="s">
        <v>2379</v>
      </c>
      <c r="H538" s="3" t="s">
        <v>2379</v>
      </c>
      <c r="I538" s="1">
        <v>1</v>
      </c>
      <c r="J538">
        <v>1</v>
      </c>
      <c r="K538" s="3" t="s">
        <v>2382</v>
      </c>
      <c r="P538" s="3"/>
    </row>
    <row r="539" spans="1:16" x14ac:dyDescent="0.25">
      <c r="A539" s="3" t="s">
        <v>1832</v>
      </c>
      <c r="B539">
        <v>46.69</v>
      </c>
      <c r="C539" t="str" cm="1">
        <f t="array" ref="C539">_xlfn.IFS(B539&lt;=18.5,  "Underweight",B539&lt;=24.9,"Normal weight",B539&lt;=29.9, "Over weight",B539&gt;=30,"Obesity")</f>
        <v>Obesity</v>
      </c>
      <c r="D539">
        <v>4.25</v>
      </c>
      <c r="E539" t="str" cm="1">
        <f t="array" ref="E539">_xlfn.IFS(D539&lt;5.7,"Normal",D539&lt;=6.4,"Prediabetes",D539&gt;=6.5,"Diabetes")</f>
        <v>Normal</v>
      </c>
      <c r="F539" s="3" t="s">
        <v>2382</v>
      </c>
      <c r="G539" s="3" t="s">
        <v>2379</v>
      </c>
      <c r="H539" s="3" t="s">
        <v>2379</v>
      </c>
      <c r="I539" s="1">
        <v>1</v>
      </c>
      <c r="J539">
        <v>1</v>
      </c>
      <c r="K539" s="3" t="s">
        <v>2379</v>
      </c>
      <c r="P539" s="3"/>
    </row>
    <row r="540" spans="1:16" x14ac:dyDescent="0.25">
      <c r="A540" s="3" t="s">
        <v>1831</v>
      </c>
      <c r="B540">
        <v>28.49</v>
      </c>
      <c r="C540" t="str" cm="1">
        <f t="array" ref="C540">_xlfn.IFS(B540&lt;=18.5,  "Underweight",B540&lt;=24.9,"Normal weight",B540&lt;=29.9, "Over weight",B540&gt;=30,"Obesity")</f>
        <v>Over weight</v>
      </c>
      <c r="D540">
        <v>4.8899999999999997</v>
      </c>
      <c r="E540" t="str" cm="1">
        <f t="array" ref="E540">_xlfn.IFS(D540&lt;5.7,"Normal",D540&lt;=6.4,"Prediabetes",D540&gt;=6.5,"Diabetes")</f>
        <v>Normal</v>
      </c>
      <c r="F540" s="3" t="s">
        <v>2379</v>
      </c>
      <c r="G540" s="3" t="s">
        <v>2379</v>
      </c>
      <c r="H540" s="3" t="s">
        <v>2379</v>
      </c>
      <c r="I540" s="1" t="s">
        <v>2380</v>
      </c>
      <c r="J540">
        <v>0</v>
      </c>
      <c r="K540" s="3" t="s">
        <v>2382</v>
      </c>
      <c r="P540" s="3"/>
    </row>
    <row r="541" spans="1:16" x14ac:dyDescent="0.25">
      <c r="A541" s="3" t="s">
        <v>1830</v>
      </c>
      <c r="B541">
        <v>28.5</v>
      </c>
      <c r="C541" t="str" cm="1">
        <f t="array" ref="C541">_xlfn.IFS(B541&lt;=18.5,  "Underweight",B541&lt;=24.9,"Normal weight",B541&lt;=29.9, "Over weight",B541&gt;=30,"Obesity")</f>
        <v>Over weight</v>
      </c>
      <c r="D541">
        <v>5.55</v>
      </c>
      <c r="E541" t="str" cm="1">
        <f t="array" ref="E541">_xlfn.IFS(D541&lt;5.7,"Normal",D541&lt;=6.4,"Prediabetes",D541&gt;=6.5,"Diabetes")</f>
        <v>Normal</v>
      </c>
      <c r="F541" s="3" t="s">
        <v>2382</v>
      </c>
      <c r="G541" s="3" t="s">
        <v>2379</v>
      </c>
      <c r="H541" s="3" t="s">
        <v>2379</v>
      </c>
      <c r="I541" s="1">
        <v>1</v>
      </c>
      <c r="J541">
        <v>1</v>
      </c>
      <c r="K541" s="3" t="s">
        <v>2382</v>
      </c>
      <c r="P541" s="3"/>
    </row>
    <row r="542" spans="1:16" x14ac:dyDescent="0.25">
      <c r="A542" s="3" t="s">
        <v>1829</v>
      </c>
      <c r="B542">
        <v>24.4</v>
      </c>
      <c r="C542" t="str" cm="1">
        <f t="array" ref="C542">_xlfn.IFS(B542&lt;=18.5,  "Underweight",B542&lt;=24.9,"Normal weight",B542&lt;=29.9, "Over weight",B542&gt;=30,"Obesity")</f>
        <v>Normal weight</v>
      </c>
      <c r="D542">
        <v>4.5199999999999996</v>
      </c>
      <c r="E542" t="str" cm="1">
        <f t="array" ref="E542">_xlfn.IFS(D542&lt;5.7,"Normal",D542&lt;=6.4,"Prediabetes",D542&gt;=6.5,"Diabetes")</f>
        <v>Normal</v>
      </c>
      <c r="F542" s="3" t="s">
        <v>2379</v>
      </c>
      <c r="G542" s="3" t="s">
        <v>2379</v>
      </c>
      <c r="H542" s="3" t="s">
        <v>2379</v>
      </c>
      <c r="I542" s="1">
        <v>1</v>
      </c>
      <c r="J542">
        <v>1</v>
      </c>
      <c r="K542" s="3" t="s">
        <v>2382</v>
      </c>
      <c r="P542" s="3"/>
    </row>
    <row r="543" spans="1:16" x14ac:dyDescent="0.25">
      <c r="A543" s="3" t="s">
        <v>1828</v>
      </c>
      <c r="B543">
        <v>29.15</v>
      </c>
      <c r="C543" t="str" cm="1">
        <f t="array" ref="C543">_xlfn.IFS(B543&lt;=18.5,  "Underweight",B543&lt;=24.9,"Normal weight",B543&lt;=29.9, "Over weight",B543&gt;=30,"Obesity")</f>
        <v>Over weight</v>
      </c>
      <c r="D543">
        <v>4.45</v>
      </c>
      <c r="E543" t="str" cm="1">
        <f t="array" ref="E543">_xlfn.IFS(D543&lt;5.7,"Normal",D543&lt;=6.4,"Prediabetes",D543&gt;=6.5,"Diabetes")</f>
        <v>Normal</v>
      </c>
      <c r="F543" s="3" t="s">
        <v>2382</v>
      </c>
      <c r="G543" s="3" t="s">
        <v>2379</v>
      </c>
      <c r="H543" s="3" t="s">
        <v>2379</v>
      </c>
      <c r="I543" s="1">
        <v>1</v>
      </c>
      <c r="J543">
        <v>1</v>
      </c>
      <c r="K543" s="3" t="s">
        <v>2382</v>
      </c>
      <c r="P543" s="3"/>
    </row>
    <row r="544" spans="1:16" x14ac:dyDescent="0.25">
      <c r="A544" s="3" t="s">
        <v>1827</v>
      </c>
      <c r="B544">
        <v>27.28</v>
      </c>
      <c r="C544" t="str" cm="1">
        <f t="array" ref="C544">_xlfn.IFS(B544&lt;=18.5,  "Underweight",B544&lt;=24.9,"Normal weight",B544&lt;=29.9, "Over weight",B544&gt;=30,"Obesity")</f>
        <v>Over weight</v>
      </c>
      <c r="D544">
        <v>4.72</v>
      </c>
      <c r="E544" t="str" cm="1">
        <f t="array" ref="E544">_xlfn.IFS(D544&lt;5.7,"Normal",D544&lt;=6.4,"Prediabetes",D544&gt;=6.5,"Diabetes")</f>
        <v>Normal</v>
      </c>
      <c r="F544" s="3" t="s">
        <v>2379</v>
      </c>
      <c r="G544" s="3" t="s">
        <v>2381</v>
      </c>
      <c r="H544" s="3" t="s">
        <v>2379</v>
      </c>
      <c r="I544" s="1">
        <v>1</v>
      </c>
      <c r="J544">
        <v>1</v>
      </c>
      <c r="K544" s="3" t="s">
        <v>2382</v>
      </c>
      <c r="P544" s="3"/>
    </row>
    <row r="545" spans="1:16" x14ac:dyDescent="0.25">
      <c r="A545" s="3" t="s">
        <v>1826</v>
      </c>
      <c r="B545">
        <v>32.229999999999997</v>
      </c>
      <c r="C545" t="str" cm="1">
        <f t="array" ref="C545">_xlfn.IFS(B545&lt;=18.5,  "Underweight",B545&lt;=24.9,"Normal weight",B545&lt;=29.9, "Over weight",B545&gt;=30,"Obesity")</f>
        <v>Obesity</v>
      </c>
      <c r="D545">
        <v>4.6500000000000004</v>
      </c>
      <c r="E545" t="str" cm="1">
        <f t="array" ref="E545">_xlfn.IFS(D545&lt;5.7,"Normal",D545&lt;=6.4,"Prediabetes",D545&gt;=6.5,"Diabetes")</f>
        <v>Normal</v>
      </c>
      <c r="F545" s="3" t="s">
        <v>2382</v>
      </c>
      <c r="G545" s="3" t="s">
        <v>2379</v>
      </c>
      <c r="H545" s="3" t="s">
        <v>2382</v>
      </c>
      <c r="I545" s="1">
        <v>1</v>
      </c>
      <c r="J545">
        <v>1</v>
      </c>
      <c r="K545" s="3" t="s">
        <v>2379</v>
      </c>
      <c r="P545" s="3"/>
    </row>
    <row r="546" spans="1:16" x14ac:dyDescent="0.25">
      <c r="A546" s="3" t="s">
        <v>1825</v>
      </c>
      <c r="B546">
        <v>44.2</v>
      </c>
      <c r="C546" t="str" cm="1">
        <f t="array" ref="C546">_xlfn.IFS(B546&lt;=18.5,  "Underweight",B546&lt;=24.9,"Normal weight",B546&lt;=29.9, "Over weight",B546&gt;=30,"Obesity")</f>
        <v>Obesity</v>
      </c>
      <c r="D546">
        <v>11.34</v>
      </c>
      <c r="E546" t="str" cm="1">
        <f t="array" ref="E546">_xlfn.IFS(D546&lt;5.7,"Normal",D546&lt;=6.4,"Prediabetes",D546&gt;=6.5,"Diabetes")</f>
        <v>Diabetes</v>
      </c>
      <c r="F546" s="3" t="s">
        <v>2382</v>
      </c>
      <c r="G546" s="3" t="s">
        <v>2379</v>
      </c>
      <c r="H546" s="3" t="s">
        <v>2382</v>
      </c>
      <c r="I546" s="1">
        <v>1</v>
      </c>
      <c r="J546">
        <v>1</v>
      </c>
      <c r="K546" s="3" t="s">
        <v>2379</v>
      </c>
      <c r="P546" s="3"/>
    </row>
    <row r="547" spans="1:16" x14ac:dyDescent="0.25">
      <c r="A547" s="3" t="s">
        <v>1824</v>
      </c>
      <c r="B547">
        <v>29.734999999999999</v>
      </c>
      <c r="C547" t="str" cm="1">
        <f t="array" ref="C547">_xlfn.IFS(B547&lt;=18.5,  "Underweight",B547&lt;=24.9,"Normal weight",B547&lt;=29.9, "Over weight",B547&gt;=30,"Obesity")</f>
        <v>Over weight</v>
      </c>
      <c r="D547">
        <v>4.53</v>
      </c>
      <c r="E547" t="str" cm="1">
        <f t="array" ref="E547">_xlfn.IFS(D547&lt;5.7,"Normal",D547&lt;=6.4,"Prediabetes",D547&gt;=6.5,"Diabetes")</f>
        <v>Normal</v>
      </c>
      <c r="F547" s="3" t="s">
        <v>2379</v>
      </c>
      <c r="G547" s="3" t="s">
        <v>2379</v>
      </c>
      <c r="H547" s="3" t="s">
        <v>2382</v>
      </c>
      <c r="I547" s="1">
        <v>1</v>
      </c>
      <c r="J547">
        <v>1</v>
      </c>
      <c r="K547" s="3" t="s">
        <v>2379</v>
      </c>
      <c r="P547" s="3"/>
    </row>
    <row r="548" spans="1:16" x14ac:dyDescent="0.25">
      <c r="A548" s="3" t="s">
        <v>1823</v>
      </c>
      <c r="B548">
        <v>28.31</v>
      </c>
      <c r="C548" t="str" cm="1">
        <f t="array" ref="C548">_xlfn.IFS(B548&lt;=18.5,  "Underweight",B548&lt;=24.9,"Normal weight",B548&lt;=29.9, "Over weight",B548&gt;=30,"Obesity")</f>
        <v>Over weight</v>
      </c>
      <c r="D548">
        <v>6.35</v>
      </c>
      <c r="E548" t="str" cm="1">
        <f t="array" ref="E548">_xlfn.IFS(D548&lt;5.7,"Normal",D548&lt;=6.4,"Prediabetes",D548&gt;=6.5,"Diabetes")</f>
        <v>Prediabetes</v>
      </c>
      <c r="F548" s="3" t="s">
        <v>2379</v>
      </c>
      <c r="G548" s="3" t="s">
        <v>2379</v>
      </c>
      <c r="H548" s="3" t="s">
        <v>2379</v>
      </c>
      <c r="I548" s="1" t="s">
        <v>2380</v>
      </c>
      <c r="J548">
        <v>0</v>
      </c>
      <c r="K548" s="3" t="s">
        <v>2382</v>
      </c>
      <c r="P548" s="3"/>
    </row>
    <row r="549" spans="1:16" x14ac:dyDescent="0.25">
      <c r="A549" s="3" t="s">
        <v>1822</v>
      </c>
      <c r="B549">
        <v>46.62</v>
      </c>
      <c r="C549" t="str" cm="1">
        <f t="array" ref="C549">_xlfn.IFS(B549&lt;=18.5,  "Underweight",B549&lt;=24.9,"Normal weight",B549&lt;=29.9, "Over weight",B549&gt;=30,"Obesity")</f>
        <v>Obesity</v>
      </c>
      <c r="D549">
        <v>8.51</v>
      </c>
      <c r="E549" t="str" cm="1">
        <f t="array" ref="E549">_xlfn.IFS(D549&lt;5.7,"Normal",D549&lt;=6.4,"Prediabetes",D549&gt;=6.5,"Diabetes")</f>
        <v>Diabetes</v>
      </c>
      <c r="F549" s="3" t="s">
        <v>2379</v>
      </c>
      <c r="G549" s="3" t="s">
        <v>2379</v>
      </c>
      <c r="H549" s="3" t="s">
        <v>2379</v>
      </c>
      <c r="I549" s="1" t="s">
        <v>2380</v>
      </c>
      <c r="J549">
        <v>0</v>
      </c>
      <c r="K549" s="3" t="s">
        <v>2379</v>
      </c>
      <c r="P549" s="3"/>
    </row>
    <row r="550" spans="1:16" x14ac:dyDescent="0.25">
      <c r="A550" s="3" t="s">
        <v>1821</v>
      </c>
      <c r="B550">
        <v>51.75</v>
      </c>
      <c r="C550" t="str" cm="1">
        <f t="array" ref="C550">_xlfn.IFS(B550&lt;=18.5,  "Underweight",B550&lt;=24.9,"Normal weight",B550&lt;=29.9, "Over weight",B550&gt;=30,"Obesity")</f>
        <v>Obesity</v>
      </c>
      <c r="D550">
        <v>8.59</v>
      </c>
      <c r="E550" t="str" cm="1">
        <f t="array" ref="E550">_xlfn.IFS(D550&lt;5.7,"Normal",D550&lt;=6.4,"Prediabetes",D550&gt;=6.5,"Diabetes")</f>
        <v>Diabetes</v>
      </c>
      <c r="F550" s="3" t="s">
        <v>2382</v>
      </c>
      <c r="G550" s="3" t="s">
        <v>2379</v>
      </c>
      <c r="H550" s="3" t="s">
        <v>2379</v>
      </c>
      <c r="I550" s="1">
        <v>1</v>
      </c>
      <c r="J550">
        <v>1</v>
      </c>
      <c r="K550" s="3" t="s">
        <v>2379</v>
      </c>
      <c r="P550" s="3"/>
    </row>
    <row r="551" spans="1:16" x14ac:dyDescent="0.25">
      <c r="A551" s="3" t="s">
        <v>1820</v>
      </c>
      <c r="B551">
        <v>25.7</v>
      </c>
      <c r="C551" t="str" cm="1">
        <f t="array" ref="C551">_xlfn.IFS(B551&lt;=18.5,  "Underweight",B551&lt;=24.9,"Normal weight",B551&lt;=29.9, "Over weight",B551&gt;=30,"Obesity")</f>
        <v>Over weight</v>
      </c>
      <c r="D551">
        <v>4.13</v>
      </c>
      <c r="E551" t="str" cm="1">
        <f t="array" ref="E551">_xlfn.IFS(D551&lt;5.7,"Normal",D551&lt;=6.4,"Prediabetes",D551&gt;=6.5,"Diabetes")</f>
        <v>Normal</v>
      </c>
      <c r="F551" s="3" t="s">
        <v>2382</v>
      </c>
      <c r="G551" s="3" t="s">
        <v>2379</v>
      </c>
      <c r="H551" s="3" t="s">
        <v>2379</v>
      </c>
      <c r="I551" s="1" t="s">
        <v>2380</v>
      </c>
      <c r="J551">
        <v>0</v>
      </c>
      <c r="K551" s="3" t="s">
        <v>2382</v>
      </c>
      <c r="P551" s="3"/>
    </row>
    <row r="552" spans="1:16" x14ac:dyDescent="0.25">
      <c r="A552" s="3" t="s">
        <v>1819</v>
      </c>
      <c r="B552">
        <v>31.79</v>
      </c>
      <c r="C552" t="str" cm="1">
        <f t="array" ref="C552">_xlfn.IFS(B552&lt;=18.5,  "Underweight",B552&lt;=24.9,"Normal weight",B552&lt;=29.9, "Over weight",B552&gt;=30,"Obesity")</f>
        <v>Obesity</v>
      </c>
      <c r="D552">
        <v>4.55</v>
      </c>
      <c r="E552" t="str" cm="1">
        <f t="array" ref="E552">_xlfn.IFS(D552&lt;5.7,"Normal",D552&lt;=6.4,"Prediabetes",D552&gt;=6.5,"Diabetes")</f>
        <v>Normal</v>
      </c>
      <c r="F552" s="3" t="s">
        <v>2379</v>
      </c>
      <c r="G552" s="3" t="s">
        <v>2379</v>
      </c>
      <c r="H552" s="3" t="s">
        <v>2379</v>
      </c>
      <c r="I552" s="1" t="s">
        <v>2380</v>
      </c>
      <c r="J552">
        <v>0</v>
      </c>
      <c r="K552" s="3" t="s">
        <v>2379</v>
      </c>
      <c r="P552" s="3"/>
    </row>
    <row r="553" spans="1:16" x14ac:dyDescent="0.25">
      <c r="A553" s="3" t="s">
        <v>1818</v>
      </c>
      <c r="B553">
        <v>24.795000000000002</v>
      </c>
      <c r="C553" t="str" cm="1">
        <f t="array" ref="C553">_xlfn.IFS(B553&lt;=18.5,  "Underweight",B553&lt;=24.9,"Normal weight",B553&lt;=29.9, "Over weight",B553&gt;=30,"Obesity")</f>
        <v>Normal weight</v>
      </c>
      <c r="D553">
        <v>4.5199999999999996</v>
      </c>
      <c r="E553" t="str" cm="1">
        <f t="array" ref="E553">_xlfn.IFS(D553&lt;5.7,"Normal",D553&lt;=6.4,"Prediabetes",D553&gt;=6.5,"Diabetes")</f>
        <v>Normal</v>
      </c>
      <c r="F553" s="3" t="s">
        <v>2379</v>
      </c>
      <c r="G553" s="3" t="s">
        <v>2379</v>
      </c>
      <c r="H553" s="3" t="s">
        <v>2379</v>
      </c>
      <c r="I553" s="1" t="s">
        <v>2380</v>
      </c>
      <c r="J553">
        <v>0</v>
      </c>
      <c r="K553" s="3" t="s">
        <v>2382</v>
      </c>
      <c r="P553" s="3"/>
    </row>
    <row r="554" spans="1:16" x14ac:dyDescent="0.25">
      <c r="A554" s="3" t="s">
        <v>1817</v>
      </c>
      <c r="B554">
        <v>53.98</v>
      </c>
      <c r="C554" t="str" cm="1">
        <f t="array" ref="C554">_xlfn.IFS(B554&lt;=18.5,  "Underweight",B554&lt;=24.9,"Normal weight",B554&lt;=29.9, "Over weight",B554&gt;=30,"Obesity")</f>
        <v>Obesity</v>
      </c>
      <c r="D554">
        <v>5.07</v>
      </c>
      <c r="E554" t="str" cm="1">
        <f t="array" ref="E554">_xlfn.IFS(D554&lt;5.7,"Normal",D554&lt;=6.4,"Prediabetes",D554&gt;=6.5,"Diabetes")</f>
        <v>Normal</v>
      </c>
      <c r="F554" s="3" t="s">
        <v>2379</v>
      </c>
      <c r="G554" s="3" t="s">
        <v>2379</v>
      </c>
      <c r="H554" s="3" t="s">
        <v>2382</v>
      </c>
      <c r="I554" s="1">
        <v>1</v>
      </c>
      <c r="J554">
        <v>1</v>
      </c>
      <c r="K554" s="3" t="s">
        <v>2379</v>
      </c>
      <c r="P554" s="3"/>
    </row>
    <row r="555" spans="1:16" x14ac:dyDescent="0.25">
      <c r="A555" s="3" t="s">
        <v>1816</v>
      </c>
      <c r="B555">
        <v>41.325000000000003</v>
      </c>
      <c r="C555" t="str" cm="1">
        <f t="array" ref="C555">_xlfn.IFS(B555&lt;=18.5,  "Underweight",B555&lt;=24.9,"Normal weight",B555&lt;=29.9, "Over weight",B555&gt;=30,"Obesity")</f>
        <v>Obesity</v>
      </c>
      <c r="D555">
        <v>4.04</v>
      </c>
      <c r="E555" t="str" cm="1">
        <f t="array" ref="E555">_xlfn.IFS(D555&lt;5.7,"Normal",D555&lt;=6.4,"Prediabetes",D555&gt;=6.5,"Diabetes")</f>
        <v>Normal</v>
      </c>
      <c r="F555" s="3" t="s">
        <v>2382</v>
      </c>
      <c r="G555" s="3" t="s">
        <v>2379</v>
      </c>
      <c r="H555" s="3" t="s">
        <v>2382</v>
      </c>
      <c r="I555" s="1">
        <v>1</v>
      </c>
      <c r="J555">
        <v>1</v>
      </c>
      <c r="K555" s="3" t="s">
        <v>2379</v>
      </c>
      <c r="P555" s="3"/>
    </row>
    <row r="556" spans="1:16" x14ac:dyDescent="0.25">
      <c r="A556" s="3" t="s">
        <v>1815</v>
      </c>
      <c r="B556">
        <v>51.65</v>
      </c>
      <c r="C556" t="str" cm="1">
        <f t="array" ref="C556">_xlfn.IFS(B556&lt;=18.5,  "Underweight",B556&lt;=24.9,"Normal weight",B556&lt;=29.9, "Over weight",B556&gt;=30,"Obesity")</f>
        <v>Obesity</v>
      </c>
      <c r="D556">
        <v>5.3</v>
      </c>
      <c r="E556" t="str" cm="1">
        <f t="array" ref="E556">_xlfn.IFS(D556&lt;5.7,"Normal",D556&lt;=6.4,"Prediabetes",D556&gt;=6.5,"Diabetes")</f>
        <v>Normal</v>
      </c>
      <c r="F556" s="3" t="s">
        <v>2382</v>
      </c>
      <c r="G556" s="3" t="s">
        <v>2379</v>
      </c>
      <c r="H556" s="3" t="s">
        <v>2379</v>
      </c>
      <c r="I556" s="1" t="s">
        <v>2380</v>
      </c>
      <c r="J556">
        <v>0</v>
      </c>
      <c r="K556" s="3" t="s">
        <v>2379</v>
      </c>
      <c r="P556" s="3"/>
    </row>
    <row r="557" spans="1:16" x14ac:dyDescent="0.25">
      <c r="A557" s="3" t="s">
        <v>1814</v>
      </c>
      <c r="B557">
        <v>44.52</v>
      </c>
      <c r="C557" t="str" cm="1">
        <f t="array" ref="C557">_xlfn.IFS(B557&lt;=18.5,  "Underweight",B557&lt;=24.9,"Normal weight",B557&lt;=29.9, "Over weight",B557&gt;=30,"Obesity")</f>
        <v>Obesity</v>
      </c>
      <c r="D557">
        <v>8.64</v>
      </c>
      <c r="E557" t="str" cm="1">
        <f t="array" ref="E557">_xlfn.IFS(D557&lt;5.7,"Normal",D557&lt;=6.4,"Prediabetes",D557&gt;=6.5,"Diabetes")</f>
        <v>Diabetes</v>
      </c>
      <c r="F557" s="3" t="s">
        <v>2382</v>
      </c>
      <c r="G557" s="3" t="s">
        <v>2379</v>
      </c>
      <c r="H557" s="3" t="s">
        <v>2382</v>
      </c>
      <c r="I557" s="1">
        <v>1</v>
      </c>
      <c r="J557">
        <v>1</v>
      </c>
      <c r="K557" s="3" t="s">
        <v>2379</v>
      </c>
      <c r="P557" s="3"/>
    </row>
    <row r="558" spans="1:16" x14ac:dyDescent="0.25">
      <c r="A558" s="3" t="s">
        <v>1813</v>
      </c>
      <c r="B558">
        <v>53.29</v>
      </c>
      <c r="C558" t="str" cm="1">
        <f t="array" ref="C558">_xlfn.IFS(B558&lt;=18.5,  "Underweight",B558&lt;=24.9,"Normal weight",B558&lt;=29.9, "Over weight",B558&gt;=30,"Obesity")</f>
        <v>Obesity</v>
      </c>
      <c r="D558">
        <v>4.03</v>
      </c>
      <c r="E558" t="str" cm="1">
        <f t="array" ref="E558">_xlfn.IFS(D558&lt;5.7,"Normal",D558&lt;=6.4,"Prediabetes",D558&gt;=6.5,"Diabetes")</f>
        <v>Normal</v>
      </c>
      <c r="F558" s="3" t="s">
        <v>2379</v>
      </c>
      <c r="G558" s="3" t="s">
        <v>2379</v>
      </c>
      <c r="H558" s="3" t="s">
        <v>2382</v>
      </c>
      <c r="I558" s="1">
        <v>1</v>
      </c>
      <c r="J558">
        <v>1</v>
      </c>
      <c r="K558" s="3" t="s">
        <v>2379</v>
      </c>
      <c r="P558" s="3"/>
    </row>
    <row r="559" spans="1:16" x14ac:dyDescent="0.25">
      <c r="A559" s="3" t="s">
        <v>1812</v>
      </c>
      <c r="B559">
        <v>46.63</v>
      </c>
      <c r="C559" t="str" cm="1">
        <f t="array" ref="C559">_xlfn.IFS(B559&lt;=18.5,  "Underweight",B559&lt;=24.9,"Normal weight",B559&lt;=29.9, "Over weight",B559&gt;=30,"Obesity")</f>
        <v>Obesity</v>
      </c>
      <c r="D559">
        <v>4.26</v>
      </c>
      <c r="E559" t="str" cm="1">
        <f t="array" ref="E559">_xlfn.IFS(D559&lt;5.7,"Normal",D559&lt;=6.4,"Prediabetes",D559&gt;=6.5,"Diabetes")</f>
        <v>Normal</v>
      </c>
      <c r="F559" s="3" t="s">
        <v>2382</v>
      </c>
      <c r="G559" s="3" t="s">
        <v>2379</v>
      </c>
      <c r="H559" s="3" t="s">
        <v>2379</v>
      </c>
      <c r="I559" s="1">
        <v>2</v>
      </c>
      <c r="J559">
        <v>2</v>
      </c>
      <c r="K559" s="3" t="s">
        <v>2379</v>
      </c>
      <c r="P559" s="3"/>
    </row>
    <row r="560" spans="1:16" x14ac:dyDescent="0.25">
      <c r="A560" s="3" t="s">
        <v>1811</v>
      </c>
      <c r="B560">
        <v>28.88</v>
      </c>
      <c r="C560" t="str" cm="1">
        <f t="array" ref="C560">_xlfn.IFS(B560&lt;=18.5,  "Underweight",B560&lt;=24.9,"Normal weight",B560&lt;=29.9, "Over weight",B560&gt;=30,"Obesity")</f>
        <v>Over weight</v>
      </c>
      <c r="D560">
        <v>5.35</v>
      </c>
      <c r="E560" t="str" cm="1">
        <f t="array" ref="E560">_xlfn.IFS(D560&lt;5.7,"Normal",D560&lt;=6.4,"Prediabetes",D560&gt;=6.5,"Diabetes")</f>
        <v>Normal</v>
      </c>
      <c r="F560" s="3" t="s">
        <v>2379</v>
      </c>
      <c r="G560" s="3" t="s">
        <v>2379</v>
      </c>
      <c r="H560" s="3" t="s">
        <v>2382</v>
      </c>
      <c r="I560" s="1">
        <v>1</v>
      </c>
      <c r="J560">
        <v>1</v>
      </c>
      <c r="K560" s="3" t="s">
        <v>2382</v>
      </c>
      <c r="P560" s="3"/>
    </row>
    <row r="561" spans="1:16" x14ac:dyDescent="0.25">
      <c r="A561" s="3" t="s">
        <v>1810</v>
      </c>
      <c r="B561">
        <v>23.98</v>
      </c>
      <c r="C561" t="str" cm="1">
        <f t="array" ref="C561">_xlfn.IFS(B561&lt;=18.5,  "Underweight",B561&lt;=24.9,"Normal weight",B561&lt;=29.9, "Over weight",B561&gt;=30,"Obesity")</f>
        <v>Normal weight</v>
      </c>
      <c r="D561">
        <v>4.9000000000000004</v>
      </c>
      <c r="E561" t="str" cm="1">
        <f t="array" ref="E561">_xlfn.IFS(D561&lt;5.7,"Normal",D561&lt;=6.4,"Prediabetes",D561&gt;=6.5,"Diabetes")</f>
        <v>Normal</v>
      </c>
      <c r="F561" s="3" t="s">
        <v>2379</v>
      </c>
      <c r="G561" s="3" t="s">
        <v>2379</v>
      </c>
      <c r="H561" s="3" t="s">
        <v>2379</v>
      </c>
      <c r="I561" s="1" t="s">
        <v>2380</v>
      </c>
      <c r="J561">
        <v>0</v>
      </c>
      <c r="K561" s="3" t="s">
        <v>2379</v>
      </c>
      <c r="P561" s="3"/>
    </row>
    <row r="562" spans="1:16" x14ac:dyDescent="0.25">
      <c r="A562" s="3" t="s">
        <v>1809</v>
      </c>
      <c r="B562">
        <v>23.65</v>
      </c>
      <c r="C562" t="str" cm="1">
        <f t="array" ref="C562">_xlfn.IFS(B562&lt;=18.5,  "Underweight",B562&lt;=24.9,"Normal weight",B562&lt;=29.9, "Over weight",B562&gt;=30,"Obesity")</f>
        <v>Normal weight</v>
      </c>
      <c r="D562">
        <v>4.5</v>
      </c>
      <c r="E562" t="str" cm="1">
        <f t="array" ref="E562">_xlfn.IFS(D562&lt;5.7,"Normal",D562&lt;=6.4,"Prediabetes",D562&gt;=6.5,"Diabetes")</f>
        <v>Normal</v>
      </c>
      <c r="F562" s="3" t="s">
        <v>2379</v>
      </c>
      <c r="G562" s="3" t="s">
        <v>2379</v>
      </c>
      <c r="H562" s="3" t="s">
        <v>2379</v>
      </c>
      <c r="I562" s="1" t="s">
        <v>2380</v>
      </c>
      <c r="J562">
        <v>0</v>
      </c>
      <c r="K562" s="3" t="s">
        <v>2379</v>
      </c>
      <c r="P562" s="3"/>
    </row>
    <row r="563" spans="1:16" x14ac:dyDescent="0.25">
      <c r="A563" s="3" t="s">
        <v>1808</v>
      </c>
      <c r="B563">
        <v>49.09</v>
      </c>
      <c r="C563" t="str" cm="1">
        <f t="array" ref="C563">_xlfn.IFS(B563&lt;=18.5,  "Underweight",B563&lt;=24.9,"Normal weight",B563&lt;=29.9, "Over weight",B563&gt;=30,"Obesity")</f>
        <v>Obesity</v>
      </c>
      <c r="D563">
        <v>8.3800000000000008</v>
      </c>
      <c r="E563" t="str" cm="1">
        <f t="array" ref="E563">_xlfn.IFS(D563&lt;5.7,"Normal",D563&lt;=6.4,"Prediabetes",D563&gt;=6.5,"Diabetes")</f>
        <v>Diabetes</v>
      </c>
      <c r="F563" s="3" t="s">
        <v>2382</v>
      </c>
      <c r="G563" s="3" t="s">
        <v>2379</v>
      </c>
      <c r="H563" s="3" t="s">
        <v>2379</v>
      </c>
      <c r="I563" s="1">
        <v>2</v>
      </c>
      <c r="J563">
        <v>2</v>
      </c>
      <c r="K563" s="3" t="s">
        <v>2379</v>
      </c>
      <c r="P563" s="3"/>
    </row>
    <row r="564" spans="1:16" x14ac:dyDescent="0.25">
      <c r="A564" s="3" t="s">
        <v>1807</v>
      </c>
      <c r="B564">
        <v>28.024999999999999</v>
      </c>
      <c r="C564" t="str" cm="1">
        <f t="array" ref="C564">_xlfn.IFS(B564&lt;=18.5,  "Underweight",B564&lt;=24.9,"Normal weight",B564&lt;=29.9, "Over weight",B564&gt;=30,"Obesity")</f>
        <v>Over weight</v>
      </c>
      <c r="D564">
        <v>7.03</v>
      </c>
      <c r="E564" t="str" cm="1">
        <f t="array" ref="E564">_xlfn.IFS(D564&lt;5.7,"Normal",D564&lt;=6.4,"Prediabetes",D564&gt;=6.5,"Diabetes")</f>
        <v>Diabetes</v>
      </c>
      <c r="F564" s="3" t="s">
        <v>2379</v>
      </c>
      <c r="G564" s="3" t="s">
        <v>2379</v>
      </c>
      <c r="H564" s="3" t="s">
        <v>2379</v>
      </c>
      <c r="I564" s="1" t="s">
        <v>2380</v>
      </c>
      <c r="J564">
        <v>0</v>
      </c>
      <c r="K564" s="3" t="s">
        <v>2382</v>
      </c>
      <c r="P564" s="3"/>
    </row>
    <row r="565" spans="1:16" x14ac:dyDescent="0.25">
      <c r="A565" s="3" t="s">
        <v>1806</v>
      </c>
      <c r="B565">
        <v>43.32</v>
      </c>
      <c r="C565" t="str" cm="1">
        <f t="array" ref="C565">_xlfn.IFS(B565&lt;=18.5,  "Underweight",B565&lt;=24.9,"Normal weight",B565&lt;=29.9, "Over weight",B565&gt;=30,"Obesity")</f>
        <v>Obesity</v>
      </c>
      <c r="D565">
        <v>8.75</v>
      </c>
      <c r="E565" t="str" cm="1">
        <f t="array" ref="E565">_xlfn.IFS(D565&lt;5.7,"Normal",D565&lt;=6.4,"Prediabetes",D565&gt;=6.5,"Diabetes")</f>
        <v>Diabetes</v>
      </c>
      <c r="F565" s="3" t="s">
        <v>2382</v>
      </c>
      <c r="G565" s="3" t="s">
        <v>2379</v>
      </c>
      <c r="H565" s="3" t="s">
        <v>2382</v>
      </c>
      <c r="I565" s="1">
        <v>1</v>
      </c>
      <c r="J565">
        <v>1</v>
      </c>
      <c r="K565" s="3" t="s">
        <v>2379</v>
      </c>
      <c r="P565" s="3"/>
    </row>
    <row r="566" spans="1:16" x14ac:dyDescent="0.25">
      <c r="A566" s="3" t="s">
        <v>1805</v>
      </c>
      <c r="B566">
        <v>45.92</v>
      </c>
      <c r="C566" t="str" cm="1">
        <f t="array" ref="C566">_xlfn.IFS(B566&lt;=18.5,  "Underweight",B566&lt;=24.9,"Normal weight",B566&lt;=29.9, "Over weight",B566&gt;=30,"Obesity")</f>
        <v>Obesity</v>
      </c>
      <c r="D566">
        <v>9.51</v>
      </c>
      <c r="E566" t="str" cm="1">
        <f t="array" ref="E566">_xlfn.IFS(D566&lt;5.7,"Normal",D566&lt;=6.4,"Prediabetes",D566&gt;=6.5,"Diabetes")</f>
        <v>Diabetes</v>
      </c>
      <c r="F566" s="3" t="s">
        <v>2379</v>
      </c>
      <c r="G566" s="3" t="s">
        <v>2379</v>
      </c>
      <c r="H566" s="3" t="s">
        <v>2379</v>
      </c>
      <c r="I566" s="1" t="s">
        <v>2380</v>
      </c>
      <c r="J566">
        <v>0</v>
      </c>
      <c r="K566" s="3" t="s">
        <v>2379</v>
      </c>
      <c r="P566" s="3"/>
    </row>
    <row r="567" spans="1:16" x14ac:dyDescent="0.25">
      <c r="A567" s="3" t="s">
        <v>1804</v>
      </c>
      <c r="B567">
        <v>44.03</v>
      </c>
      <c r="C567" t="str" cm="1">
        <f t="array" ref="C567">_xlfn.IFS(B567&lt;=18.5,  "Underweight",B567&lt;=24.9,"Normal weight",B567&lt;=29.9, "Over weight",B567&gt;=30,"Obesity")</f>
        <v>Obesity</v>
      </c>
      <c r="D567">
        <v>9.36</v>
      </c>
      <c r="E567" t="str" cm="1">
        <f t="array" ref="E567">_xlfn.IFS(D567&lt;5.7,"Normal",D567&lt;=6.4,"Prediabetes",D567&gt;=6.5,"Diabetes")</f>
        <v>Diabetes</v>
      </c>
      <c r="F567" s="3" t="s">
        <v>2379</v>
      </c>
      <c r="G567" s="3" t="s">
        <v>2379</v>
      </c>
      <c r="H567" s="3" t="s">
        <v>2379</v>
      </c>
      <c r="I567" s="1" t="s">
        <v>2380</v>
      </c>
      <c r="J567">
        <v>0</v>
      </c>
      <c r="K567" s="3" t="s">
        <v>2379</v>
      </c>
      <c r="P567" s="3"/>
    </row>
    <row r="568" spans="1:16" x14ac:dyDescent="0.25">
      <c r="A568" s="3" t="s">
        <v>1803</v>
      </c>
      <c r="B568">
        <v>24.6</v>
      </c>
      <c r="C568" t="str" cm="1">
        <f t="array" ref="C568">_xlfn.IFS(B568&lt;=18.5,  "Underweight",B568&lt;=24.9,"Normal weight",B568&lt;=29.9, "Over weight",B568&gt;=30,"Obesity")</f>
        <v>Normal weight</v>
      </c>
      <c r="D568">
        <v>4.8099999999999996</v>
      </c>
      <c r="E568" t="str" cm="1">
        <f t="array" ref="E568">_xlfn.IFS(D568&lt;5.7,"Normal",D568&lt;=6.4,"Prediabetes",D568&gt;=6.5,"Diabetes")</f>
        <v>Normal</v>
      </c>
      <c r="F568" s="3" t="s">
        <v>2379</v>
      </c>
      <c r="G568" s="3" t="s">
        <v>2379</v>
      </c>
      <c r="H568" s="3" t="s">
        <v>2379</v>
      </c>
      <c r="I568" s="1" t="s">
        <v>2380</v>
      </c>
      <c r="J568">
        <v>0</v>
      </c>
      <c r="K568" s="3" t="s">
        <v>2382</v>
      </c>
      <c r="P568" s="3"/>
    </row>
    <row r="569" spans="1:16" x14ac:dyDescent="0.25">
      <c r="A569" s="3" t="s">
        <v>1802</v>
      </c>
      <c r="B569">
        <v>49.15</v>
      </c>
      <c r="C569" t="str" cm="1">
        <f t="array" ref="C569">_xlfn.IFS(B569&lt;=18.5,  "Underweight",B569&lt;=24.9,"Normal weight",B569&lt;=29.9, "Over weight",B569&gt;=30,"Obesity")</f>
        <v>Obesity</v>
      </c>
      <c r="D569">
        <v>8.08</v>
      </c>
      <c r="E569" t="str" cm="1">
        <f t="array" ref="E569">_xlfn.IFS(D569&lt;5.7,"Normal",D569&lt;=6.4,"Prediabetes",D569&gt;=6.5,"Diabetes")</f>
        <v>Diabetes</v>
      </c>
      <c r="F569" s="3" t="s">
        <v>2379</v>
      </c>
      <c r="G569" s="3" t="s">
        <v>2379</v>
      </c>
      <c r="H569" s="3" t="s">
        <v>2379</v>
      </c>
      <c r="I569" s="1" t="s">
        <v>2380</v>
      </c>
      <c r="J569">
        <v>0</v>
      </c>
      <c r="K569" s="3" t="s">
        <v>2379</v>
      </c>
      <c r="P569" s="3"/>
    </row>
    <row r="570" spans="1:16" x14ac:dyDescent="0.25">
      <c r="A570" s="3" t="s">
        <v>1801</v>
      </c>
      <c r="B570">
        <v>28.31</v>
      </c>
      <c r="C570" t="str" cm="1">
        <f t="array" ref="C570">_xlfn.IFS(B570&lt;=18.5,  "Underweight",B570&lt;=24.9,"Normal weight",B570&lt;=29.9, "Over weight",B570&gt;=30,"Obesity")</f>
        <v>Over weight</v>
      </c>
      <c r="D570">
        <v>6.29</v>
      </c>
      <c r="E570" t="str" cm="1">
        <f t="array" ref="E570">_xlfn.IFS(D570&lt;5.7,"Normal",D570&lt;=6.4,"Prediabetes",D570&gt;=6.5,"Diabetes")</f>
        <v>Prediabetes</v>
      </c>
      <c r="F570" s="3" t="s">
        <v>2379</v>
      </c>
      <c r="G570" s="3" t="s">
        <v>2379</v>
      </c>
      <c r="H570" s="3" t="s">
        <v>2382</v>
      </c>
      <c r="I570" s="1">
        <v>1</v>
      </c>
      <c r="J570">
        <v>1</v>
      </c>
      <c r="K570" s="3" t="s">
        <v>2382</v>
      </c>
      <c r="P570" s="3"/>
    </row>
    <row r="571" spans="1:16" x14ac:dyDescent="0.25">
      <c r="A571" s="3" t="s">
        <v>1800</v>
      </c>
      <c r="B571">
        <v>22.99</v>
      </c>
      <c r="C571" t="str" cm="1">
        <f t="array" ref="C571">_xlfn.IFS(B571&lt;=18.5,  "Underweight",B571&lt;=24.9,"Normal weight",B571&lt;=29.9, "Over weight",B571&gt;=30,"Obesity")</f>
        <v>Normal weight</v>
      </c>
      <c r="D571">
        <v>6.29</v>
      </c>
      <c r="E571" t="str" cm="1">
        <f t="array" ref="E571">_xlfn.IFS(D571&lt;5.7,"Normal",D571&lt;=6.4,"Prediabetes",D571&gt;=6.5,"Diabetes")</f>
        <v>Prediabetes</v>
      </c>
      <c r="F571" s="3" t="s">
        <v>2379</v>
      </c>
      <c r="G571" s="3" t="s">
        <v>2379</v>
      </c>
      <c r="H571" s="3" t="s">
        <v>2379</v>
      </c>
      <c r="I571" s="1">
        <v>1</v>
      </c>
      <c r="J571">
        <v>1</v>
      </c>
      <c r="K571" s="3" t="s">
        <v>2382</v>
      </c>
      <c r="P571" s="3"/>
    </row>
    <row r="572" spans="1:16" x14ac:dyDescent="0.25">
      <c r="A572" s="3" t="s">
        <v>1799</v>
      </c>
      <c r="B572">
        <v>29.07</v>
      </c>
      <c r="C572" t="str" cm="1">
        <f t="array" ref="C572">_xlfn.IFS(B572&lt;=18.5,  "Underweight",B572&lt;=24.9,"Normal weight",B572&lt;=29.9, "Over weight",B572&gt;=30,"Obesity")</f>
        <v>Over weight</v>
      </c>
      <c r="D572">
        <v>5.12</v>
      </c>
      <c r="E572" t="str" cm="1">
        <f t="array" ref="E572">_xlfn.IFS(D572&lt;5.7,"Normal",D572&lt;=6.4,"Prediabetes",D572&gt;=6.5,"Diabetes")</f>
        <v>Normal</v>
      </c>
      <c r="F572" s="3" t="s">
        <v>2379</v>
      </c>
      <c r="G572" s="3" t="s">
        <v>2379</v>
      </c>
      <c r="H572" s="3" t="s">
        <v>2382</v>
      </c>
      <c r="I572" s="1">
        <v>1</v>
      </c>
      <c r="J572">
        <v>1</v>
      </c>
      <c r="K572" s="3" t="s">
        <v>2382</v>
      </c>
      <c r="P572" s="3"/>
    </row>
    <row r="573" spans="1:16" x14ac:dyDescent="0.25">
      <c r="A573" s="3" t="s">
        <v>1798</v>
      </c>
      <c r="B573">
        <v>42.02</v>
      </c>
      <c r="C573" t="str" cm="1">
        <f t="array" ref="C573">_xlfn.IFS(B573&lt;=18.5,  "Underweight",B573&lt;=24.9,"Normal weight",B573&lt;=29.9, "Over weight",B573&gt;=30,"Obesity")</f>
        <v>Obesity</v>
      </c>
      <c r="D573">
        <v>9.9499999999999993</v>
      </c>
      <c r="E573" t="str" cm="1">
        <f t="array" ref="E573">_xlfn.IFS(D573&lt;5.7,"Normal",D573&lt;=6.4,"Prediabetes",D573&gt;=6.5,"Diabetes")</f>
        <v>Diabetes</v>
      </c>
      <c r="F573" s="3" t="s">
        <v>2382</v>
      </c>
      <c r="G573" s="3" t="s">
        <v>2379</v>
      </c>
      <c r="H573" s="3" t="s">
        <v>2382</v>
      </c>
      <c r="I573" s="1">
        <v>1</v>
      </c>
      <c r="J573">
        <v>1</v>
      </c>
      <c r="K573" s="3" t="s">
        <v>2379</v>
      </c>
      <c r="P573" s="3"/>
    </row>
    <row r="574" spans="1:16" x14ac:dyDescent="0.25">
      <c r="A574" s="3" t="s">
        <v>1797</v>
      </c>
      <c r="B574">
        <v>49.07</v>
      </c>
      <c r="C574" t="str" cm="1">
        <f t="array" ref="C574">_xlfn.IFS(B574&lt;=18.5,  "Underweight",B574&lt;=24.9,"Normal weight",B574&lt;=29.9, "Over weight",B574&gt;=30,"Obesity")</f>
        <v>Obesity</v>
      </c>
      <c r="D574">
        <v>9.08</v>
      </c>
      <c r="E574" t="str" cm="1">
        <f t="array" ref="E574">_xlfn.IFS(D574&lt;5.7,"Normal",D574&lt;=6.4,"Prediabetes",D574&gt;=6.5,"Diabetes")</f>
        <v>Diabetes</v>
      </c>
      <c r="F574" s="3" t="s">
        <v>2382</v>
      </c>
      <c r="G574" s="3" t="s">
        <v>2379</v>
      </c>
      <c r="H574" s="3" t="s">
        <v>2379</v>
      </c>
      <c r="I574" s="1">
        <v>1</v>
      </c>
      <c r="J574">
        <v>1</v>
      </c>
      <c r="K574" s="3" t="s">
        <v>2379</v>
      </c>
      <c r="P574" s="3"/>
    </row>
    <row r="575" spans="1:16" x14ac:dyDescent="0.25">
      <c r="A575" s="3" t="s">
        <v>1796</v>
      </c>
      <c r="B575">
        <v>19.8</v>
      </c>
      <c r="C575" t="str" cm="1">
        <f t="array" ref="C575">_xlfn.IFS(B575&lt;=18.5,  "Underweight",B575&lt;=24.9,"Normal weight",B575&lt;=29.9, "Over weight",B575&gt;=30,"Obesity")</f>
        <v>Normal weight</v>
      </c>
      <c r="D575">
        <v>4.82</v>
      </c>
      <c r="E575" t="str" cm="1">
        <f t="array" ref="E575">_xlfn.IFS(D575&lt;5.7,"Normal",D575&lt;=6.4,"Prediabetes",D575&gt;=6.5,"Diabetes")</f>
        <v>Normal</v>
      </c>
      <c r="F575" s="3" t="s">
        <v>2379</v>
      </c>
      <c r="G575" s="3" t="s">
        <v>2379</v>
      </c>
      <c r="H575" s="3" t="s">
        <v>2379</v>
      </c>
      <c r="I575" s="1" t="s">
        <v>2380</v>
      </c>
      <c r="J575">
        <v>0</v>
      </c>
      <c r="K575" s="3" t="s">
        <v>2382</v>
      </c>
      <c r="P575" s="3"/>
    </row>
    <row r="576" spans="1:16" x14ac:dyDescent="0.25">
      <c r="A576" s="3" t="s">
        <v>1795</v>
      </c>
      <c r="B576">
        <v>27.36</v>
      </c>
      <c r="C576" t="str" cm="1">
        <f t="array" ref="C576">_xlfn.IFS(B576&lt;=18.5,  "Underweight",B576&lt;=24.9,"Normal weight",B576&lt;=29.9, "Over weight",B576&gt;=30,"Obesity")</f>
        <v>Over weight</v>
      </c>
      <c r="D576">
        <v>4.6500000000000004</v>
      </c>
      <c r="E576" t="str" cm="1">
        <f t="array" ref="E576">_xlfn.IFS(D576&lt;5.7,"Normal",D576&lt;=6.4,"Prediabetes",D576&gt;=6.5,"Diabetes")</f>
        <v>Normal</v>
      </c>
      <c r="F576" s="3" t="s">
        <v>2379</v>
      </c>
      <c r="G576" s="3" t="s">
        <v>2381</v>
      </c>
      <c r="H576" s="3" t="s">
        <v>2379</v>
      </c>
      <c r="I576" s="1">
        <v>1</v>
      </c>
      <c r="J576">
        <v>1</v>
      </c>
      <c r="K576" s="3" t="s">
        <v>2382</v>
      </c>
      <c r="P576" s="3"/>
    </row>
    <row r="577" spans="1:16" x14ac:dyDescent="0.25">
      <c r="A577" s="3" t="s">
        <v>1794</v>
      </c>
      <c r="B577">
        <v>42.95</v>
      </c>
      <c r="C577" t="str" cm="1">
        <f t="array" ref="C577">_xlfn.IFS(B577&lt;=18.5,  "Underweight",B577&lt;=24.9,"Normal weight",B577&lt;=29.9, "Over weight",B577&gt;=30,"Obesity")</f>
        <v>Obesity</v>
      </c>
      <c r="D577">
        <v>5.16</v>
      </c>
      <c r="E577" t="str" cm="1">
        <f t="array" ref="E577">_xlfn.IFS(D577&lt;5.7,"Normal",D577&lt;=6.4,"Prediabetes",D577&gt;=6.5,"Diabetes")</f>
        <v>Normal</v>
      </c>
      <c r="F577" s="3" t="s">
        <v>2382</v>
      </c>
      <c r="G577" s="3" t="s">
        <v>2379</v>
      </c>
      <c r="H577" s="3" t="s">
        <v>2379</v>
      </c>
      <c r="I577" s="1">
        <v>1</v>
      </c>
      <c r="J577">
        <v>1</v>
      </c>
      <c r="K577" s="3" t="s">
        <v>2379</v>
      </c>
      <c r="P577" s="3"/>
    </row>
    <row r="578" spans="1:16" x14ac:dyDescent="0.25">
      <c r="A578" s="3" t="s">
        <v>1793</v>
      </c>
      <c r="B578">
        <v>42.66</v>
      </c>
      <c r="C578" t="str" cm="1">
        <f t="array" ref="C578">_xlfn.IFS(B578&lt;=18.5,  "Underweight",B578&lt;=24.9,"Normal weight",B578&lt;=29.9, "Over weight",B578&gt;=30,"Obesity")</f>
        <v>Obesity</v>
      </c>
      <c r="D578">
        <v>10.44</v>
      </c>
      <c r="E578" t="str" cm="1">
        <f t="array" ref="E578">_xlfn.IFS(D578&lt;5.7,"Normal",D578&lt;=6.4,"Prediabetes",D578&gt;=6.5,"Diabetes")</f>
        <v>Diabetes</v>
      </c>
      <c r="F578" s="3" t="s">
        <v>2379</v>
      </c>
      <c r="G578" s="3" t="s">
        <v>2379</v>
      </c>
      <c r="H578" s="3" t="s">
        <v>2379</v>
      </c>
      <c r="I578" s="1" t="s">
        <v>2380</v>
      </c>
      <c r="J578">
        <v>0</v>
      </c>
      <c r="K578" s="3" t="s">
        <v>2379</v>
      </c>
      <c r="P578" s="3"/>
    </row>
    <row r="579" spans="1:16" x14ac:dyDescent="0.25">
      <c r="A579" s="3" t="s">
        <v>1792</v>
      </c>
      <c r="B579">
        <v>33.630000000000003</v>
      </c>
      <c r="C579" t="str" cm="1">
        <f t="array" ref="C579">_xlfn.IFS(B579&lt;=18.5,  "Underweight",B579&lt;=24.9,"Normal weight",B579&lt;=29.9, "Over weight",B579&gt;=30,"Obesity")</f>
        <v>Obesity</v>
      </c>
      <c r="D579">
        <v>5.69</v>
      </c>
      <c r="E579" t="str" cm="1">
        <f t="array" ref="E579">_xlfn.IFS(D579&lt;5.7,"Normal",D579&lt;=6.4,"Prediabetes",D579&gt;=6.5,"Diabetes")</f>
        <v>Normal</v>
      </c>
      <c r="F579" s="3" t="s">
        <v>2379</v>
      </c>
      <c r="G579" s="3" t="s">
        <v>2379</v>
      </c>
      <c r="H579" s="3" t="s">
        <v>2379</v>
      </c>
      <c r="I579" s="1">
        <v>1</v>
      </c>
      <c r="J579">
        <v>1</v>
      </c>
      <c r="K579" s="3" t="s">
        <v>2379</v>
      </c>
      <c r="P579" s="3"/>
    </row>
    <row r="580" spans="1:16" x14ac:dyDescent="0.25">
      <c r="A580" s="3" t="s">
        <v>1791</v>
      </c>
      <c r="B580">
        <v>26.84</v>
      </c>
      <c r="C580" t="str" cm="1">
        <f t="array" ref="C580">_xlfn.IFS(B580&lt;=18.5,  "Underweight",B580&lt;=24.9,"Normal weight",B580&lt;=29.9, "Over weight",B580&gt;=30,"Obesity")</f>
        <v>Over weight</v>
      </c>
      <c r="D580">
        <v>6.5</v>
      </c>
      <c r="E580" t="str" cm="1">
        <f t="array" ref="E580">_xlfn.IFS(D580&lt;5.7,"Normal",D580&lt;=6.4,"Prediabetes",D580&gt;=6.5,"Diabetes")</f>
        <v>Diabetes</v>
      </c>
      <c r="F580" s="3" t="s">
        <v>2379</v>
      </c>
      <c r="G580" s="3" t="s">
        <v>2379</v>
      </c>
      <c r="H580" s="3" t="s">
        <v>2379</v>
      </c>
      <c r="I580" s="1" t="s">
        <v>2380</v>
      </c>
      <c r="J580">
        <v>0</v>
      </c>
      <c r="K580" s="3" t="s">
        <v>2382</v>
      </c>
      <c r="P580" s="3"/>
    </row>
    <row r="581" spans="1:16" x14ac:dyDescent="0.25">
      <c r="A581" s="3" t="s">
        <v>1790</v>
      </c>
      <c r="B581">
        <v>28.3</v>
      </c>
      <c r="C581" t="str" cm="1">
        <f t="array" ref="C581">_xlfn.IFS(B581&lt;=18.5,  "Underweight",B581&lt;=24.9,"Normal weight",B581&lt;=29.9, "Over weight",B581&gt;=30,"Obesity")</f>
        <v>Over weight</v>
      </c>
      <c r="D581">
        <v>5.73</v>
      </c>
      <c r="E581" t="str" cm="1">
        <f t="array" ref="E581">_xlfn.IFS(D581&lt;5.7,"Normal",D581&lt;=6.4,"Prediabetes",D581&gt;=6.5,"Diabetes")</f>
        <v>Prediabetes</v>
      </c>
      <c r="F581" s="3" t="s">
        <v>2379</v>
      </c>
      <c r="G581" s="3" t="s">
        <v>2379</v>
      </c>
      <c r="H581" s="3" t="s">
        <v>2382</v>
      </c>
      <c r="I581" s="1">
        <v>1</v>
      </c>
      <c r="J581">
        <v>1</v>
      </c>
      <c r="K581" s="3" t="s">
        <v>2382</v>
      </c>
      <c r="P581" s="3"/>
    </row>
    <row r="582" spans="1:16" x14ac:dyDescent="0.25">
      <c r="A582" s="3" t="s">
        <v>1789</v>
      </c>
      <c r="B582">
        <v>27.06</v>
      </c>
      <c r="C582" t="str" cm="1">
        <f t="array" ref="C582">_xlfn.IFS(B582&lt;=18.5,  "Underweight",B582&lt;=24.9,"Normal weight",B582&lt;=29.9, "Over weight",B582&gt;=30,"Obesity")</f>
        <v>Over weight</v>
      </c>
      <c r="D582">
        <v>5.74</v>
      </c>
      <c r="E582" t="str" cm="1">
        <f t="array" ref="E582">_xlfn.IFS(D582&lt;5.7,"Normal",D582&lt;=6.4,"Prediabetes",D582&gt;=6.5,"Diabetes")</f>
        <v>Prediabetes</v>
      </c>
      <c r="F582" s="3" t="s">
        <v>2382</v>
      </c>
      <c r="G582" s="3" t="s">
        <v>2379</v>
      </c>
      <c r="H582" s="3" t="s">
        <v>2379</v>
      </c>
      <c r="I582" s="1" t="s">
        <v>2380</v>
      </c>
      <c r="J582">
        <v>0</v>
      </c>
      <c r="K582" s="3" t="s">
        <v>2382</v>
      </c>
      <c r="P582" s="3"/>
    </row>
    <row r="583" spans="1:16" x14ac:dyDescent="0.25">
      <c r="A583" s="3" t="s">
        <v>1788</v>
      </c>
      <c r="B583">
        <v>47.13</v>
      </c>
      <c r="C583" t="str" cm="1">
        <f t="array" ref="C583">_xlfn.IFS(B583&lt;=18.5,  "Underweight",B583&lt;=24.9,"Normal weight",B583&lt;=29.9, "Over weight",B583&gt;=30,"Obesity")</f>
        <v>Obesity</v>
      </c>
      <c r="D583">
        <v>8.6999999999999993</v>
      </c>
      <c r="E583" t="str" cm="1">
        <f t="array" ref="E583">_xlfn.IFS(D583&lt;5.7,"Normal",D583&lt;=6.4,"Prediabetes",D583&gt;=6.5,"Diabetes")</f>
        <v>Diabetes</v>
      </c>
      <c r="F583" s="3" t="s">
        <v>2379</v>
      </c>
      <c r="G583" s="3" t="s">
        <v>2379</v>
      </c>
      <c r="H583" s="3" t="s">
        <v>2379</v>
      </c>
      <c r="I583" s="1" t="s">
        <v>2380</v>
      </c>
      <c r="J583">
        <v>0</v>
      </c>
      <c r="K583" s="3" t="s">
        <v>2379</v>
      </c>
      <c r="P583" s="3"/>
    </row>
    <row r="584" spans="1:16" x14ac:dyDescent="0.25">
      <c r="A584" s="3" t="s">
        <v>1787</v>
      </c>
      <c r="B584">
        <v>51.72</v>
      </c>
      <c r="C584" t="str" cm="1">
        <f t="array" ref="C584">_xlfn.IFS(B584&lt;=18.5,  "Underweight",B584&lt;=24.9,"Normal weight",B584&lt;=29.9, "Over weight",B584&gt;=30,"Obesity")</f>
        <v>Obesity</v>
      </c>
      <c r="D584">
        <v>5.09</v>
      </c>
      <c r="E584" t="str" cm="1">
        <f t="array" ref="E584">_xlfn.IFS(D584&lt;5.7,"Normal",D584&lt;=6.4,"Prediabetes",D584&gt;=6.5,"Diabetes")</f>
        <v>Normal</v>
      </c>
      <c r="F584" s="3" t="s">
        <v>2379</v>
      </c>
      <c r="G584" s="3" t="s">
        <v>2379</v>
      </c>
      <c r="H584" s="3" t="s">
        <v>2379</v>
      </c>
      <c r="I584" s="1" t="s">
        <v>2380</v>
      </c>
      <c r="J584">
        <v>0</v>
      </c>
      <c r="K584" s="3" t="s">
        <v>2379</v>
      </c>
      <c r="P584" s="3"/>
    </row>
    <row r="585" spans="1:16" x14ac:dyDescent="0.25">
      <c r="A585" s="3" t="s">
        <v>1786</v>
      </c>
      <c r="B585">
        <v>48.59</v>
      </c>
      <c r="C585" t="str" cm="1">
        <f t="array" ref="C585">_xlfn.IFS(B585&lt;=18.5,  "Underweight",B585&lt;=24.9,"Normal weight",B585&lt;=29.9, "Over weight",B585&gt;=30,"Obesity")</f>
        <v>Obesity</v>
      </c>
      <c r="D585">
        <v>5.57</v>
      </c>
      <c r="E585" t="str" cm="1">
        <f t="array" ref="E585">_xlfn.IFS(D585&lt;5.7,"Normal",D585&lt;=6.4,"Prediabetes",D585&gt;=6.5,"Diabetes")</f>
        <v>Normal</v>
      </c>
      <c r="F585" s="3" t="s">
        <v>2379</v>
      </c>
      <c r="G585" s="3" t="s">
        <v>2379</v>
      </c>
      <c r="H585" s="3" t="s">
        <v>2379</v>
      </c>
      <c r="I585" s="1" t="s">
        <v>2380</v>
      </c>
      <c r="J585">
        <v>0</v>
      </c>
      <c r="K585" s="3" t="s">
        <v>2379</v>
      </c>
      <c r="P585" s="3"/>
    </row>
    <row r="586" spans="1:16" x14ac:dyDescent="0.25">
      <c r="A586" s="3" t="s">
        <v>1785</v>
      </c>
      <c r="B586">
        <v>45.18</v>
      </c>
      <c r="C586" t="str" cm="1">
        <f t="array" ref="C586">_xlfn.IFS(B586&lt;=18.5,  "Underweight",B586&lt;=24.9,"Normal weight",B586&lt;=29.9, "Over weight",B586&gt;=30,"Obesity")</f>
        <v>Obesity</v>
      </c>
      <c r="D586">
        <v>10.87</v>
      </c>
      <c r="E586" t="str" cm="1">
        <f t="array" ref="E586">_xlfn.IFS(D586&lt;5.7,"Normal",D586&lt;=6.4,"Prediabetes",D586&gt;=6.5,"Diabetes")</f>
        <v>Diabetes</v>
      </c>
      <c r="F586" s="3" t="s">
        <v>2379</v>
      </c>
      <c r="G586" s="3" t="s">
        <v>2379</v>
      </c>
      <c r="H586" s="3" t="s">
        <v>2379</v>
      </c>
      <c r="I586" s="1" t="s">
        <v>2380</v>
      </c>
      <c r="J586">
        <v>0</v>
      </c>
      <c r="K586" s="3" t="s">
        <v>2379</v>
      </c>
      <c r="P586" s="3"/>
    </row>
    <row r="587" spans="1:16" x14ac:dyDescent="0.25">
      <c r="A587" s="3" t="s">
        <v>1784</v>
      </c>
      <c r="B587">
        <v>27.9</v>
      </c>
      <c r="C587" t="str" cm="1">
        <f t="array" ref="C587">_xlfn.IFS(B587&lt;=18.5,  "Underweight",B587&lt;=24.9,"Normal weight",B587&lt;=29.9, "Over weight",B587&gt;=30,"Obesity")</f>
        <v>Over weight</v>
      </c>
      <c r="D587">
        <v>6.02</v>
      </c>
      <c r="E587" t="str" cm="1">
        <f t="array" ref="E587">_xlfn.IFS(D587&lt;5.7,"Normal",D587&lt;=6.4,"Prediabetes",D587&gt;=6.5,"Diabetes")</f>
        <v>Prediabetes</v>
      </c>
      <c r="F587" s="3" t="s">
        <v>2379</v>
      </c>
      <c r="G587" s="3" t="s">
        <v>2379</v>
      </c>
      <c r="H587" s="3" t="s">
        <v>2382</v>
      </c>
      <c r="I587" s="1">
        <v>1</v>
      </c>
      <c r="J587">
        <v>1</v>
      </c>
      <c r="K587" s="3" t="s">
        <v>2382</v>
      </c>
      <c r="P587" s="3"/>
    </row>
    <row r="588" spans="1:16" x14ac:dyDescent="0.25">
      <c r="A588" s="3" t="s">
        <v>1783</v>
      </c>
      <c r="B588">
        <v>51.33</v>
      </c>
      <c r="C588" t="str" cm="1">
        <f t="array" ref="C588">_xlfn.IFS(B588&lt;=18.5,  "Underweight",B588&lt;=24.9,"Normal weight",B588&lt;=29.9, "Over weight",B588&gt;=30,"Obesity")</f>
        <v>Obesity</v>
      </c>
      <c r="D588">
        <v>7</v>
      </c>
      <c r="E588" t="str" cm="1">
        <f t="array" ref="E588">_xlfn.IFS(D588&lt;5.7,"Normal",D588&lt;=6.4,"Prediabetes",D588&gt;=6.5,"Diabetes")</f>
        <v>Diabetes</v>
      </c>
      <c r="F588" s="3" t="s">
        <v>2379</v>
      </c>
      <c r="G588" s="3" t="s">
        <v>2379</v>
      </c>
      <c r="H588" s="3" t="s">
        <v>2379</v>
      </c>
      <c r="I588" s="1" t="s">
        <v>2380</v>
      </c>
      <c r="J588">
        <v>0</v>
      </c>
      <c r="K588" s="3" t="s">
        <v>2379</v>
      </c>
      <c r="P588" s="3"/>
    </row>
    <row r="589" spans="1:16" x14ac:dyDescent="0.25">
      <c r="A589" s="3" t="s">
        <v>1782</v>
      </c>
      <c r="B589">
        <v>30.59</v>
      </c>
      <c r="C589" t="str" cm="1">
        <f t="array" ref="C589">_xlfn.IFS(B589&lt;=18.5,  "Underweight",B589&lt;=24.9,"Normal weight",B589&lt;=29.9, "Over weight",B589&gt;=30,"Obesity")</f>
        <v>Obesity</v>
      </c>
      <c r="D589">
        <v>5.56</v>
      </c>
      <c r="E589" t="str" cm="1">
        <f t="array" ref="E589">_xlfn.IFS(D589&lt;5.7,"Normal",D589&lt;=6.4,"Prediabetes",D589&gt;=6.5,"Diabetes")</f>
        <v>Normal</v>
      </c>
      <c r="F589" s="3" t="s">
        <v>2382</v>
      </c>
      <c r="G589" s="3" t="s">
        <v>2379</v>
      </c>
      <c r="H589" s="3" t="s">
        <v>2379</v>
      </c>
      <c r="I589" s="1">
        <v>1</v>
      </c>
      <c r="J589">
        <v>1</v>
      </c>
      <c r="K589" s="3" t="s">
        <v>2379</v>
      </c>
      <c r="P589" s="3"/>
    </row>
    <row r="590" spans="1:16" x14ac:dyDescent="0.25">
      <c r="A590" s="3" t="s">
        <v>1781</v>
      </c>
      <c r="B590">
        <v>39.229999999999997</v>
      </c>
      <c r="C590" t="str" cm="1">
        <f t="array" ref="C590">_xlfn.IFS(B590&lt;=18.5,  "Underweight",B590&lt;=24.9,"Normal weight",B590&lt;=29.9, "Over weight",B590&gt;=30,"Obesity")</f>
        <v>Obesity</v>
      </c>
      <c r="D590">
        <v>8.4499999999999993</v>
      </c>
      <c r="E590" t="str" cm="1">
        <f t="array" ref="E590">_xlfn.IFS(D590&lt;5.7,"Normal",D590&lt;=6.4,"Prediabetes",D590&gt;=6.5,"Diabetes")</f>
        <v>Diabetes</v>
      </c>
      <c r="F590" s="3" t="s">
        <v>2379</v>
      </c>
      <c r="G590" s="3" t="s">
        <v>2379</v>
      </c>
      <c r="H590" s="3" t="s">
        <v>2379</v>
      </c>
      <c r="I590" s="1" t="s">
        <v>2380</v>
      </c>
      <c r="J590">
        <v>0</v>
      </c>
      <c r="K590" s="3" t="s">
        <v>2379</v>
      </c>
      <c r="P590" s="3"/>
    </row>
    <row r="591" spans="1:16" x14ac:dyDescent="0.25">
      <c r="A591" s="3" t="s">
        <v>1780</v>
      </c>
      <c r="B591">
        <v>19.094999999999999</v>
      </c>
      <c r="C591" t="str" cm="1">
        <f t="array" ref="C591">_xlfn.IFS(B591&lt;=18.5,  "Underweight",B591&lt;=24.9,"Normal weight",B591&lt;=29.9, "Over weight",B591&gt;=30,"Obesity")</f>
        <v>Normal weight</v>
      </c>
      <c r="D591">
        <v>6.19</v>
      </c>
      <c r="E591" t="str" cm="1">
        <f t="array" ref="E591">_xlfn.IFS(D591&lt;5.7,"Normal",D591&lt;=6.4,"Prediabetes",D591&gt;=6.5,"Diabetes")</f>
        <v>Prediabetes</v>
      </c>
      <c r="F591" s="3" t="s">
        <v>2379</v>
      </c>
      <c r="G591" s="3" t="s">
        <v>2379</v>
      </c>
      <c r="H591" s="3" t="s">
        <v>2379</v>
      </c>
      <c r="I591" s="1" t="s">
        <v>2380</v>
      </c>
      <c r="J591">
        <v>0</v>
      </c>
      <c r="K591" s="3" t="s">
        <v>2382</v>
      </c>
      <c r="P591" s="3"/>
    </row>
    <row r="592" spans="1:16" x14ac:dyDescent="0.25">
      <c r="A592" s="3" t="s">
        <v>1779</v>
      </c>
      <c r="B592">
        <v>49.72</v>
      </c>
      <c r="C592" t="str" cm="1">
        <f t="array" ref="C592">_xlfn.IFS(B592&lt;=18.5,  "Underweight",B592&lt;=24.9,"Normal weight",B592&lt;=29.9, "Over weight",B592&gt;=30,"Obesity")</f>
        <v>Obesity</v>
      </c>
      <c r="D592">
        <v>7.71</v>
      </c>
      <c r="E592" t="str" cm="1">
        <f t="array" ref="E592">_xlfn.IFS(D592&lt;5.7,"Normal",D592&lt;=6.4,"Prediabetes",D592&gt;=6.5,"Diabetes")</f>
        <v>Diabetes</v>
      </c>
      <c r="F592" s="3" t="s">
        <v>2379</v>
      </c>
      <c r="G592" s="3" t="s">
        <v>2379</v>
      </c>
      <c r="H592" s="3" t="s">
        <v>2379</v>
      </c>
      <c r="I592" s="1" t="s">
        <v>2380</v>
      </c>
      <c r="J592">
        <v>0</v>
      </c>
      <c r="K592" s="3" t="s">
        <v>2379</v>
      </c>
      <c r="P592" s="3"/>
    </row>
    <row r="593" spans="1:16" x14ac:dyDescent="0.25">
      <c r="A593" s="3" t="s">
        <v>1778</v>
      </c>
      <c r="B593">
        <v>21.754999999999999</v>
      </c>
      <c r="C593" t="str" cm="1">
        <f t="array" ref="C593">_xlfn.IFS(B593&lt;=18.5,  "Underweight",B593&lt;=24.9,"Normal weight",B593&lt;=29.9, "Over weight",B593&gt;=30,"Obesity")</f>
        <v>Normal weight</v>
      </c>
      <c r="D593">
        <v>4.63</v>
      </c>
      <c r="E593" t="str" cm="1">
        <f t="array" ref="E593">_xlfn.IFS(D593&lt;5.7,"Normal",D593&lt;=6.4,"Prediabetes",D593&gt;=6.5,"Diabetes")</f>
        <v>Normal</v>
      </c>
      <c r="F593" s="3" t="s">
        <v>2379</v>
      </c>
      <c r="G593" s="3" t="s">
        <v>2379</v>
      </c>
      <c r="H593" s="3" t="s">
        <v>2382</v>
      </c>
      <c r="I593" s="1">
        <v>1</v>
      </c>
      <c r="J593">
        <v>1</v>
      </c>
      <c r="K593" s="3" t="s">
        <v>2382</v>
      </c>
      <c r="P593" s="3"/>
    </row>
    <row r="594" spans="1:16" x14ac:dyDescent="0.25">
      <c r="A594" s="3" t="s">
        <v>1777</v>
      </c>
      <c r="B594">
        <v>48.39</v>
      </c>
      <c r="C594" t="str" cm="1">
        <f t="array" ref="C594">_xlfn.IFS(B594&lt;=18.5,  "Underweight",B594&lt;=24.9,"Normal weight",B594&lt;=29.9, "Over weight",B594&gt;=30,"Obesity")</f>
        <v>Obesity</v>
      </c>
      <c r="D594">
        <v>4.6100000000000003</v>
      </c>
      <c r="E594" t="str" cm="1">
        <f t="array" ref="E594">_xlfn.IFS(D594&lt;5.7,"Normal",D594&lt;=6.4,"Prediabetes",D594&gt;=6.5,"Diabetes")</f>
        <v>Normal</v>
      </c>
      <c r="F594" s="3" t="s">
        <v>2379</v>
      </c>
      <c r="G594" s="3" t="s">
        <v>2379</v>
      </c>
      <c r="H594" s="3" t="s">
        <v>2379</v>
      </c>
      <c r="I594" s="1" t="s">
        <v>2380</v>
      </c>
      <c r="J594">
        <v>0</v>
      </c>
      <c r="K594" s="3" t="s">
        <v>2379</v>
      </c>
      <c r="P594" s="3"/>
    </row>
    <row r="595" spans="1:16" x14ac:dyDescent="0.25">
      <c r="A595" s="3" t="s">
        <v>1776</v>
      </c>
      <c r="B595">
        <v>47.15</v>
      </c>
      <c r="C595" t="str" cm="1">
        <f t="array" ref="C595">_xlfn.IFS(B595&lt;=18.5,  "Underweight",B595&lt;=24.9,"Normal weight",B595&lt;=29.9, "Over weight",B595&gt;=30,"Obesity")</f>
        <v>Obesity</v>
      </c>
      <c r="D595">
        <v>9.5299999999999994</v>
      </c>
      <c r="E595" t="str" cm="1">
        <f t="array" ref="E595">_xlfn.IFS(D595&lt;5.7,"Normal",D595&lt;=6.4,"Prediabetes",D595&gt;=6.5,"Diabetes")</f>
        <v>Diabetes</v>
      </c>
      <c r="F595" s="3" t="s">
        <v>2382</v>
      </c>
      <c r="G595" s="3" t="s">
        <v>2379</v>
      </c>
      <c r="H595" s="3" t="s">
        <v>2379</v>
      </c>
      <c r="I595" s="1">
        <v>1</v>
      </c>
      <c r="J595">
        <v>1</v>
      </c>
      <c r="K595" s="3" t="s">
        <v>2379</v>
      </c>
      <c r="P595" s="3"/>
    </row>
    <row r="596" spans="1:16" x14ac:dyDescent="0.25">
      <c r="A596" s="3" t="s">
        <v>1775</v>
      </c>
      <c r="B596">
        <v>47.59</v>
      </c>
      <c r="C596" t="str" cm="1">
        <f t="array" ref="C596">_xlfn.IFS(B596&lt;=18.5,  "Underweight",B596&lt;=24.9,"Normal weight",B596&lt;=29.9, "Over weight",B596&gt;=30,"Obesity")</f>
        <v>Obesity</v>
      </c>
      <c r="D596">
        <v>11.43</v>
      </c>
      <c r="E596" t="str" cm="1">
        <f t="array" ref="E596">_xlfn.IFS(D596&lt;5.7,"Normal",D596&lt;=6.4,"Prediabetes",D596&gt;=6.5,"Diabetes")</f>
        <v>Diabetes</v>
      </c>
      <c r="F596" s="3" t="s">
        <v>2382</v>
      </c>
      <c r="G596" s="3" t="s">
        <v>2379</v>
      </c>
      <c r="H596" s="3" t="s">
        <v>2379</v>
      </c>
      <c r="I596" s="1">
        <v>2</v>
      </c>
      <c r="J596">
        <v>2</v>
      </c>
      <c r="K596" s="3" t="s">
        <v>2379</v>
      </c>
      <c r="P596" s="3"/>
    </row>
    <row r="597" spans="1:16" x14ac:dyDescent="0.25">
      <c r="A597" s="3" t="s">
        <v>1774</v>
      </c>
      <c r="B597">
        <v>39.81</v>
      </c>
      <c r="C597" t="str" cm="1">
        <f t="array" ref="C597">_xlfn.IFS(B597&lt;=18.5,  "Underweight",B597&lt;=24.9,"Normal weight",B597&lt;=29.9, "Over weight",B597&gt;=30,"Obesity")</f>
        <v>Obesity</v>
      </c>
      <c r="D597">
        <v>7.65</v>
      </c>
      <c r="E597" t="str" cm="1">
        <f t="array" ref="E597">_xlfn.IFS(D597&lt;5.7,"Normal",D597&lt;=6.4,"Prediabetes",D597&gt;=6.5,"Diabetes")</f>
        <v>Diabetes</v>
      </c>
      <c r="F597" s="3" t="s">
        <v>2382</v>
      </c>
      <c r="G597" s="3" t="s">
        <v>2379</v>
      </c>
      <c r="H597" s="3" t="s">
        <v>2382</v>
      </c>
      <c r="I597" s="1">
        <v>1</v>
      </c>
      <c r="J597">
        <v>1</v>
      </c>
      <c r="K597" s="3" t="s">
        <v>2379</v>
      </c>
      <c r="P597" s="3"/>
    </row>
    <row r="598" spans="1:16" x14ac:dyDescent="0.25">
      <c r="A598" s="3" t="s">
        <v>1773</v>
      </c>
      <c r="B598">
        <v>31.02</v>
      </c>
      <c r="C598" t="str" cm="1">
        <f t="array" ref="C598">_xlfn.IFS(B598&lt;=18.5,  "Underweight",B598&lt;=24.9,"Normal weight",B598&lt;=29.9, "Over weight",B598&gt;=30,"Obesity")</f>
        <v>Obesity</v>
      </c>
      <c r="D598">
        <v>5.87</v>
      </c>
      <c r="E598" t="str" cm="1">
        <f t="array" ref="E598">_xlfn.IFS(D598&lt;5.7,"Normal",D598&lt;=6.4,"Prediabetes",D598&gt;=6.5,"Diabetes")</f>
        <v>Prediabetes</v>
      </c>
      <c r="F598" s="3" t="s">
        <v>2382</v>
      </c>
      <c r="G598" s="3" t="s">
        <v>2379</v>
      </c>
      <c r="H598" s="3" t="s">
        <v>2379</v>
      </c>
      <c r="I598" s="1" t="s">
        <v>2380</v>
      </c>
      <c r="J598">
        <v>0</v>
      </c>
      <c r="K598" s="3" t="s">
        <v>2379</v>
      </c>
      <c r="P598" s="3"/>
    </row>
    <row r="599" spans="1:16" x14ac:dyDescent="0.25">
      <c r="A599" s="3" t="s">
        <v>1772</v>
      </c>
      <c r="B599">
        <v>24.75</v>
      </c>
      <c r="C599" t="str" cm="1">
        <f t="array" ref="C599">_xlfn.IFS(B599&lt;=18.5,  "Underweight",B599&lt;=24.9,"Normal weight",B599&lt;=29.9, "Over weight",B599&gt;=30,"Obesity")</f>
        <v>Normal weight</v>
      </c>
      <c r="D599">
        <v>4.3600000000000003</v>
      </c>
      <c r="E599" t="str" cm="1">
        <f t="array" ref="E599">_xlfn.IFS(D599&lt;5.7,"Normal",D599&lt;=6.4,"Prediabetes",D599&gt;=6.5,"Diabetes")</f>
        <v>Normal</v>
      </c>
      <c r="F599" s="3" t="s">
        <v>2382</v>
      </c>
      <c r="G599" s="3" t="s">
        <v>2379</v>
      </c>
      <c r="H599" s="3" t="s">
        <v>2379</v>
      </c>
      <c r="I599" s="1">
        <v>1</v>
      </c>
      <c r="J599">
        <v>1</v>
      </c>
      <c r="K599" s="3" t="s">
        <v>2382</v>
      </c>
      <c r="P599" s="3"/>
    </row>
    <row r="600" spans="1:16" x14ac:dyDescent="0.25">
      <c r="A600" s="3" t="s">
        <v>1771</v>
      </c>
      <c r="B600">
        <v>30.114999999999998</v>
      </c>
      <c r="C600" t="str" cm="1">
        <f t="array" ref="C600">_xlfn.IFS(B600&lt;=18.5,  "Underweight",B600&lt;=24.9,"Normal weight",B600&lt;=29.9, "Over weight",B600&gt;=30,"Obesity")</f>
        <v>Obesity</v>
      </c>
      <c r="D600">
        <v>10.119999999999999</v>
      </c>
      <c r="E600" t="str" cm="1">
        <f t="array" ref="E600">_xlfn.IFS(D600&lt;5.7,"Normal",D600&lt;=6.4,"Prediabetes",D600&gt;=6.5,"Diabetes")</f>
        <v>Diabetes</v>
      </c>
      <c r="F600" s="3" t="s">
        <v>2379</v>
      </c>
      <c r="G600" s="3" t="s">
        <v>2379</v>
      </c>
      <c r="H600" s="3" t="s">
        <v>2379</v>
      </c>
      <c r="I600" s="1">
        <v>3</v>
      </c>
      <c r="J600">
        <v>3</v>
      </c>
      <c r="K600" s="3" t="s">
        <v>2379</v>
      </c>
      <c r="P600" s="3"/>
    </row>
    <row r="601" spans="1:16" x14ac:dyDescent="0.25">
      <c r="A601" s="3" t="s">
        <v>1770</v>
      </c>
      <c r="B601">
        <v>26.03</v>
      </c>
      <c r="C601" t="str" cm="1">
        <f t="array" ref="C601">_xlfn.IFS(B601&lt;=18.5,  "Underweight",B601&lt;=24.9,"Normal weight",B601&lt;=29.9, "Over weight",B601&gt;=30,"Obesity")</f>
        <v>Over weight</v>
      </c>
      <c r="D601">
        <v>4.01</v>
      </c>
      <c r="E601" t="str" cm="1">
        <f t="array" ref="E601">_xlfn.IFS(D601&lt;5.7,"Normal",D601&lt;=6.4,"Prediabetes",D601&gt;=6.5,"Diabetes")</f>
        <v>Normal</v>
      </c>
      <c r="F601" s="3" t="s">
        <v>2379</v>
      </c>
      <c r="G601" s="3" t="s">
        <v>2379</v>
      </c>
      <c r="H601" s="3" t="s">
        <v>2382</v>
      </c>
      <c r="I601" s="1">
        <v>1</v>
      </c>
      <c r="J601">
        <v>1</v>
      </c>
      <c r="K601" s="3" t="s">
        <v>2382</v>
      </c>
      <c r="P601" s="3"/>
    </row>
    <row r="602" spans="1:16" x14ac:dyDescent="0.25">
      <c r="A602" s="3" t="s">
        <v>1769</v>
      </c>
      <c r="B602">
        <v>20.045000000000002</v>
      </c>
      <c r="C602" t="str" cm="1">
        <f t="array" ref="C602">_xlfn.IFS(B602&lt;=18.5,  "Underweight",B602&lt;=24.9,"Normal weight",B602&lt;=29.9, "Over weight",B602&gt;=30,"Obesity")</f>
        <v>Normal weight</v>
      </c>
      <c r="D602">
        <v>4.7699999999999996</v>
      </c>
      <c r="E602" t="str" cm="1">
        <f t="array" ref="E602">_xlfn.IFS(D602&lt;5.7,"Normal",D602&lt;=6.4,"Prediabetes",D602&gt;=6.5,"Diabetes")</f>
        <v>Normal</v>
      </c>
      <c r="F602" s="3" t="s">
        <v>2382</v>
      </c>
      <c r="G602" s="3" t="s">
        <v>2379</v>
      </c>
      <c r="H602" s="3" t="s">
        <v>2379</v>
      </c>
      <c r="I602" s="1">
        <v>1</v>
      </c>
      <c r="J602">
        <v>1</v>
      </c>
      <c r="K602" s="3" t="s">
        <v>2382</v>
      </c>
      <c r="P602" s="3"/>
    </row>
    <row r="603" spans="1:16" x14ac:dyDescent="0.25">
      <c r="A603" s="3" t="s">
        <v>1768</v>
      </c>
      <c r="B603">
        <v>40.24</v>
      </c>
      <c r="C603" t="str" cm="1">
        <f t="array" ref="C603">_xlfn.IFS(B603&lt;=18.5,  "Underweight",B603&lt;=24.9,"Normal weight",B603&lt;=29.9, "Over weight",B603&gt;=30,"Obesity")</f>
        <v>Obesity</v>
      </c>
      <c r="D603">
        <v>6.83</v>
      </c>
      <c r="E603" t="str" cm="1">
        <f t="array" ref="E603">_xlfn.IFS(D603&lt;5.7,"Normal",D603&lt;=6.4,"Prediabetes",D603&gt;=6.5,"Diabetes")</f>
        <v>Diabetes</v>
      </c>
      <c r="F603" s="3" t="s">
        <v>2379</v>
      </c>
      <c r="G603" s="3" t="s">
        <v>2379</v>
      </c>
      <c r="H603" s="3" t="s">
        <v>2379</v>
      </c>
      <c r="I603" s="1" t="s">
        <v>2380</v>
      </c>
      <c r="J603">
        <v>0</v>
      </c>
      <c r="K603" s="3" t="s">
        <v>2379</v>
      </c>
      <c r="P603" s="3"/>
    </row>
    <row r="604" spans="1:16" x14ac:dyDescent="0.25">
      <c r="A604" s="3" t="s">
        <v>1767</v>
      </c>
      <c r="B604">
        <v>43.15</v>
      </c>
      <c r="C604" t="str" cm="1">
        <f t="array" ref="C604">_xlfn.IFS(B604&lt;=18.5,  "Underweight",B604&lt;=24.9,"Normal weight",B604&lt;=29.9, "Over weight",B604&gt;=30,"Obesity")</f>
        <v>Obesity</v>
      </c>
      <c r="D604">
        <v>6.14</v>
      </c>
      <c r="E604" t="str" cm="1">
        <f t="array" ref="E604">_xlfn.IFS(D604&lt;5.7,"Normal",D604&lt;=6.4,"Prediabetes",D604&gt;=6.5,"Diabetes")</f>
        <v>Prediabetes</v>
      </c>
      <c r="F604" s="3" t="s">
        <v>2382</v>
      </c>
      <c r="G604" s="3" t="s">
        <v>2379</v>
      </c>
      <c r="H604" s="3" t="s">
        <v>2382</v>
      </c>
      <c r="I604" s="1">
        <v>1</v>
      </c>
      <c r="J604">
        <v>1</v>
      </c>
      <c r="K604" s="3" t="s">
        <v>2379</v>
      </c>
      <c r="P604" s="3"/>
    </row>
    <row r="605" spans="1:16" x14ac:dyDescent="0.25">
      <c r="A605" s="3" t="s">
        <v>1766</v>
      </c>
      <c r="B605">
        <v>27.7</v>
      </c>
      <c r="C605" t="str" cm="1">
        <f t="array" ref="C605">_xlfn.IFS(B605&lt;=18.5,  "Underweight",B605&lt;=24.9,"Normal weight",B605&lt;=29.9, "Over weight",B605&gt;=30,"Obesity")</f>
        <v>Over weight</v>
      </c>
      <c r="D605">
        <v>5.6</v>
      </c>
      <c r="E605" t="str" cm="1">
        <f t="array" ref="E605">_xlfn.IFS(D605&lt;5.7,"Normal",D605&lt;=6.4,"Prediabetes",D605&gt;=6.5,"Diabetes")</f>
        <v>Normal</v>
      </c>
      <c r="F605" s="3" t="s">
        <v>2379</v>
      </c>
      <c r="G605" s="3" t="s">
        <v>2379</v>
      </c>
      <c r="H605" s="3" t="s">
        <v>2382</v>
      </c>
      <c r="I605" s="1">
        <v>1</v>
      </c>
      <c r="J605">
        <v>1</v>
      </c>
      <c r="K605" s="3" t="s">
        <v>2382</v>
      </c>
      <c r="P605" s="3"/>
    </row>
    <row r="606" spans="1:16" x14ac:dyDescent="0.25">
      <c r="A606" s="3" t="s">
        <v>1765</v>
      </c>
      <c r="B606">
        <v>45.68</v>
      </c>
      <c r="C606" t="str" cm="1">
        <f t="array" ref="C606">_xlfn.IFS(B606&lt;=18.5,  "Underweight",B606&lt;=24.9,"Normal weight",B606&lt;=29.9, "Over weight",B606&gt;=30,"Obesity")</f>
        <v>Obesity</v>
      </c>
      <c r="D606">
        <v>4.8</v>
      </c>
      <c r="E606" t="str" cm="1">
        <f t="array" ref="E606">_xlfn.IFS(D606&lt;5.7,"Normal",D606&lt;=6.4,"Prediabetes",D606&gt;=6.5,"Diabetes")</f>
        <v>Normal</v>
      </c>
      <c r="F606" s="3" t="s">
        <v>2379</v>
      </c>
      <c r="G606" s="3" t="s">
        <v>2379</v>
      </c>
      <c r="H606" s="3" t="s">
        <v>2379</v>
      </c>
      <c r="I606" s="1">
        <v>2</v>
      </c>
      <c r="J606">
        <v>2</v>
      </c>
      <c r="K606" s="3" t="s">
        <v>2379</v>
      </c>
      <c r="P606" s="3"/>
    </row>
    <row r="607" spans="1:16" x14ac:dyDescent="0.25">
      <c r="A607" s="3" t="s">
        <v>1764</v>
      </c>
      <c r="B607">
        <v>27.3</v>
      </c>
      <c r="C607" t="str" cm="1">
        <f t="array" ref="C607">_xlfn.IFS(B607&lt;=18.5,  "Underweight",B607&lt;=24.9,"Normal weight",B607&lt;=29.9, "Over weight",B607&gt;=30,"Obesity")</f>
        <v>Over weight</v>
      </c>
      <c r="D607">
        <v>11.89</v>
      </c>
      <c r="E607" t="str" cm="1">
        <f t="array" ref="E607">_xlfn.IFS(D607&lt;5.7,"Normal",D607&lt;=6.4,"Prediabetes",D607&gt;=6.5,"Diabetes")</f>
        <v>Diabetes</v>
      </c>
      <c r="F607" s="3" t="s">
        <v>2379</v>
      </c>
      <c r="G607" s="3" t="s">
        <v>2379</v>
      </c>
      <c r="H607" s="3" t="s">
        <v>2379</v>
      </c>
      <c r="I607" s="1" t="s">
        <v>2380</v>
      </c>
      <c r="J607">
        <v>0</v>
      </c>
      <c r="K607" s="3" t="s">
        <v>2382</v>
      </c>
      <c r="P607" s="3"/>
    </row>
    <row r="608" spans="1:16" x14ac:dyDescent="0.25">
      <c r="A608" s="3" t="s">
        <v>1763</v>
      </c>
      <c r="B608">
        <v>54.45</v>
      </c>
      <c r="C608" t="str" cm="1">
        <f t="array" ref="C608">_xlfn.IFS(B608&lt;=18.5,  "Underweight",B608&lt;=24.9,"Normal weight",B608&lt;=29.9, "Over weight",B608&gt;=30,"Obesity")</f>
        <v>Obesity</v>
      </c>
      <c r="D608">
        <v>4.7300000000000004</v>
      </c>
      <c r="E608" t="str" cm="1">
        <f t="array" ref="E608">_xlfn.IFS(D608&lt;5.7,"Normal",D608&lt;=6.4,"Prediabetes",D608&gt;=6.5,"Diabetes")</f>
        <v>Normal</v>
      </c>
      <c r="F608" s="3" t="s">
        <v>2382</v>
      </c>
      <c r="G608" s="3" t="s">
        <v>2379</v>
      </c>
      <c r="H608" s="3" t="s">
        <v>2379</v>
      </c>
      <c r="I608" s="1">
        <v>1</v>
      </c>
      <c r="J608">
        <v>1</v>
      </c>
      <c r="K608" s="3" t="s">
        <v>2379</v>
      </c>
      <c r="P608" s="3"/>
    </row>
    <row r="609" spans="1:16" x14ac:dyDescent="0.25">
      <c r="A609" s="3" t="s">
        <v>1762</v>
      </c>
      <c r="B609">
        <v>54.43</v>
      </c>
      <c r="C609" t="str" cm="1">
        <f t="array" ref="C609">_xlfn.IFS(B609&lt;=18.5,  "Underweight",B609&lt;=24.9,"Normal weight",B609&lt;=29.9, "Over weight",B609&gt;=30,"Obesity")</f>
        <v>Obesity</v>
      </c>
      <c r="D609">
        <v>4.6100000000000003</v>
      </c>
      <c r="E609" t="str" cm="1">
        <f t="array" ref="E609">_xlfn.IFS(D609&lt;5.7,"Normal",D609&lt;=6.4,"Prediabetes",D609&gt;=6.5,"Diabetes")</f>
        <v>Normal</v>
      </c>
      <c r="F609" s="3" t="s">
        <v>2382</v>
      </c>
      <c r="G609" s="3" t="s">
        <v>2379</v>
      </c>
      <c r="H609" s="3" t="s">
        <v>2379</v>
      </c>
      <c r="I609" s="1">
        <v>1</v>
      </c>
      <c r="J609">
        <v>1</v>
      </c>
      <c r="K609" s="3" t="s">
        <v>2379</v>
      </c>
      <c r="P609" s="3"/>
    </row>
    <row r="610" spans="1:16" x14ac:dyDescent="0.25">
      <c r="A610" s="3" t="s">
        <v>1761</v>
      </c>
      <c r="B610">
        <v>48.01</v>
      </c>
      <c r="C610" t="str" cm="1">
        <f t="array" ref="C610">_xlfn.IFS(B610&lt;=18.5,  "Underweight",B610&lt;=24.9,"Normal weight",B610&lt;=29.9, "Over weight",B610&gt;=30,"Obesity")</f>
        <v>Obesity</v>
      </c>
      <c r="D610">
        <v>7.3</v>
      </c>
      <c r="E610" t="str" cm="1">
        <f t="array" ref="E610">_xlfn.IFS(D610&lt;5.7,"Normal",D610&lt;=6.4,"Prediabetes",D610&gt;=6.5,"Diabetes")</f>
        <v>Diabetes</v>
      </c>
      <c r="F610" s="3" t="s">
        <v>2379</v>
      </c>
      <c r="G610" s="3" t="s">
        <v>2379</v>
      </c>
      <c r="H610" s="3" t="s">
        <v>2379</v>
      </c>
      <c r="I610" s="1" t="s">
        <v>2380</v>
      </c>
      <c r="J610">
        <v>0</v>
      </c>
      <c r="K610" s="3" t="s">
        <v>2379</v>
      </c>
      <c r="P610" s="3"/>
    </row>
    <row r="611" spans="1:16" x14ac:dyDescent="0.25">
      <c r="A611" s="3" t="s">
        <v>1760</v>
      </c>
      <c r="B611">
        <v>48.32</v>
      </c>
      <c r="C611" t="str" cm="1">
        <f t="array" ref="C611">_xlfn.IFS(B611&lt;=18.5,  "Underweight",B611&lt;=24.9,"Normal weight",B611&lt;=29.9, "Over weight",B611&gt;=30,"Obesity")</f>
        <v>Obesity</v>
      </c>
      <c r="D611">
        <v>5.88</v>
      </c>
      <c r="E611" t="str" cm="1">
        <f t="array" ref="E611">_xlfn.IFS(D611&lt;5.7,"Normal",D611&lt;=6.4,"Prediabetes",D611&gt;=6.5,"Diabetes")</f>
        <v>Prediabetes</v>
      </c>
      <c r="F611" s="3" t="s">
        <v>2379</v>
      </c>
      <c r="G611" s="3" t="s">
        <v>2379</v>
      </c>
      <c r="H611" s="3" t="s">
        <v>2379</v>
      </c>
      <c r="I611" s="1" t="s">
        <v>2380</v>
      </c>
      <c r="J611">
        <v>0</v>
      </c>
      <c r="K611" s="3" t="s">
        <v>2379</v>
      </c>
      <c r="P611" s="3"/>
    </row>
    <row r="612" spans="1:16" x14ac:dyDescent="0.25">
      <c r="A612" s="3" t="s">
        <v>1759</v>
      </c>
      <c r="B612">
        <v>22.895</v>
      </c>
      <c r="C612" t="str" cm="1">
        <f t="array" ref="C612">_xlfn.IFS(B612&lt;=18.5,  "Underweight",B612&lt;=24.9,"Normal weight",B612&lt;=29.9, "Over weight",B612&gt;=30,"Obesity")</f>
        <v>Normal weight</v>
      </c>
      <c r="D612">
        <v>4.0599999999999996</v>
      </c>
      <c r="E612" t="str" cm="1">
        <f t="array" ref="E612">_xlfn.IFS(D612&lt;5.7,"Normal",D612&lt;=6.4,"Prediabetes",D612&gt;=6.5,"Diabetes")</f>
        <v>Normal</v>
      </c>
      <c r="F612" s="3" t="s">
        <v>2379</v>
      </c>
      <c r="G612" s="3" t="s">
        <v>2379</v>
      </c>
      <c r="H612" s="3" t="s">
        <v>2382</v>
      </c>
      <c r="I612" s="1">
        <v>1</v>
      </c>
      <c r="J612">
        <v>1</v>
      </c>
      <c r="K612" s="3" t="s">
        <v>2382</v>
      </c>
      <c r="P612" s="3"/>
    </row>
    <row r="613" spans="1:16" x14ac:dyDescent="0.25">
      <c r="A613" s="3" t="s">
        <v>1758</v>
      </c>
      <c r="B613">
        <v>54.85</v>
      </c>
      <c r="C613" t="str" cm="1">
        <f t="array" ref="C613">_xlfn.IFS(B613&lt;=18.5,  "Underweight",B613&lt;=24.9,"Normal weight",B613&lt;=29.9, "Over weight",B613&gt;=30,"Obesity")</f>
        <v>Obesity</v>
      </c>
      <c r="D613">
        <v>4.9000000000000004</v>
      </c>
      <c r="E613" t="str" cm="1">
        <f t="array" ref="E613">_xlfn.IFS(D613&lt;5.7,"Normal",D613&lt;=6.4,"Prediabetes",D613&gt;=6.5,"Diabetes")</f>
        <v>Normal</v>
      </c>
      <c r="F613" s="3" t="s">
        <v>2379</v>
      </c>
      <c r="G613" s="3" t="s">
        <v>2379</v>
      </c>
      <c r="H613" s="3" t="s">
        <v>2379</v>
      </c>
      <c r="I613" s="1">
        <v>1</v>
      </c>
      <c r="J613">
        <v>1</v>
      </c>
      <c r="K613" s="3" t="s">
        <v>2379</v>
      </c>
      <c r="P613" s="3"/>
    </row>
    <row r="614" spans="1:16" x14ac:dyDescent="0.25">
      <c r="A614" s="3" t="s">
        <v>1757</v>
      </c>
      <c r="B614">
        <v>21.85</v>
      </c>
      <c r="C614" t="str" cm="1">
        <f t="array" ref="C614">_xlfn.IFS(B614&lt;=18.5,  "Underweight",B614&lt;=24.9,"Normal weight",B614&lt;=29.9, "Over weight",B614&gt;=30,"Obesity")</f>
        <v>Normal weight</v>
      </c>
      <c r="D614">
        <v>5.52</v>
      </c>
      <c r="E614" t="str" cm="1">
        <f t="array" ref="E614">_xlfn.IFS(D614&lt;5.7,"Normal",D614&lt;=6.4,"Prediabetes",D614&gt;=6.5,"Diabetes")</f>
        <v>Normal</v>
      </c>
      <c r="F614" s="3" t="s">
        <v>2379</v>
      </c>
      <c r="G614" s="3" t="s">
        <v>2379</v>
      </c>
      <c r="H614" s="3" t="s">
        <v>2382</v>
      </c>
      <c r="I614" s="1">
        <v>1</v>
      </c>
      <c r="J614">
        <v>1</v>
      </c>
      <c r="K614" s="3" t="s">
        <v>2382</v>
      </c>
      <c r="P614" s="3"/>
    </row>
    <row r="615" spans="1:16" x14ac:dyDescent="0.25">
      <c r="A615" s="3" t="s">
        <v>1756</v>
      </c>
      <c r="B615">
        <v>51.86</v>
      </c>
      <c r="C615" t="str" cm="1">
        <f t="array" ref="C615">_xlfn.IFS(B615&lt;=18.5,  "Underweight",B615&lt;=24.9,"Normal weight",B615&lt;=29.9, "Over weight",B615&gt;=30,"Obesity")</f>
        <v>Obesity</v>
      </c>
      <c r="D615">
        <v>5.2</v>
      </c>
      <c r="E615" t="str" cm="1">
        <f t="array" ref="E615">_xlfn.IFS(D615&lt;5.7,"Normal",D615&lt;=6.4,"Prediabetes",D615&gt;=6.5,"Diabetes")</f>
        <v>Normal</v>
      </c>
      <c r="F615" s="3" t="s">
        <v>2382</v>
      </c>
      <c r="G615" s="3" t="s">
        <v>2379</v>
      </c>
      <c r="H615" s="3" t="s">
        <v>2379</v>
      </c>
      <c r="I615" s="1" t="s">
        <v>2380</v>
      </c>
      <c r="J615">
        <v>0</v>
      </c>
      <c r="K615" s="3" t="s">
        <v>2379</v>
      </c>
      <c r="P615" s="3"/>
    </row>
    <row r="616" spans="1:16" x14ac:dyDescent="0.25">
      <c r="A616" s="3" t="s">
        <v>1755</v>
      </c>
      <c r="B616">
        <v>39.049999999999997</v>
      </c>
      <c r="C616" t="str" cm="1">
        <f t="array" ref="C616">_xlfn.IFS(B616&lt;=18.5,  "Underweight",B616&lt;=24.9,"Normal weight",B616&lt;=29.9, "Over weight",B616&gt;=30,"Obesity")</f>
        <v>Obesity</v>
      </c>
      <c r="D616">
        <v>7.59</v>
      </c>
      <c r="E616" t="str" cm="1">
        <f t="array" ref="E616">_xlfn.IFS(D616&lt;5.7,"Normal",D616&lt;=6.4,"Prediabetes",D616&gt;=6.5,"Diabetes")</f>
        <v>Diabetes</v>
      </c>
      <c r="F616" s="3" t="s">
        <v>2379</v>
      </c>
      <c r="G616" s="3" t="s">
        <v>2379</v>
      </c>
      <c r="H616" s="3" t="s">
        <v>2379</v>
      </c>
      <c r="I616" s="1">
        <v>3</v>
      </c>
      <c r="J616">
        <v>3</v>
      </c>
      <c r="K616" s="3" t="s">
        <v>2379</v>
      </c>
      <c r="P616" s="3"/>
    </row>
    <row r="617" spans="1:16" x14ac:dyDescent="0.25">
      <c r="A617" s="3" t="s">
        <v>1754</v>
      </c>
      <c r="B617">
        <v>31.824999999999999</v>
      </c>
      <c r="C617" t="str" cm="1">
        <f t="array" ref="C617">_xlfn.IFS(B617&lt;=18.5,  "Underweight",B617&lt;=24.9,"Normal weight",B617&lt;=29.9, "Over weight",B617&gt;=30,"Obesity")</f>
        <v>Obesity</v>
      </c>
      <c r="D617">
        <v>8.2799999999999994</v>
      </c>
      <c r="E617" t="str" cm="1">
        <f t="array" ref="E617">_xlfn.IFS(D617&lt;5.7,"Normal",D617&lt;=6.4,"Prediabetes",D617&gt;=6.5,"Diabetes")</f>
        <v>Diabetes</v>
      </c>
      <c r="F617" s="3" t="s">
        <v>2379</v>
      </c>
      <c r="G617" s="3" t="s">
        <v>2379</v>
      </c>
      <c r="H617" s="3" t="s">
        <v>2379</v>
      </c>
      <c r="I617" s="1">
        <v>3</v>
      </c>
      <c r="J617">
        <v>3</v>
      </c>
      <c r="K617" s="3" t="s">
        <v>2379</v>
      </c>
      <c r="P617" s="3"/>
    </row>
    <row r="618" spans="1:16" x14ac:dyDescent="0.25">
      <c r="A618" s="3" t="s">
        <v>1753</v>
      </c>
      <c r="B618">
        <v>46.43</v>
      </c>
      <c r="C618" t="str" cm="1">
        <f t="array" ref="C618">_xlfn.IFS(B618&lt;=18.5,  "Underweight",B618&lt;=24.9,"Normal weight",B618&lt;=29.9, "Over weight",B618&gt;=30,"Obesity")</f>
        <v>Obesity</v>
      </c>
      <c r="D618">
        <v>6.72</v>
      </c>
      <c r="E618" t="str" cm="1">
        <f t="array" ref="E618">_xlfn.IFS(D618&lt;5.7,"Normal",D618&lt;=6.4,"Prediabetes",D618&gt;=6.5,"Diabetes")</f>
        <v>Diabetes</v>
      </c>
      <c r="F618" s="3" t="s">
        <v>2379</v>
      </c>
      <c r="G618" s="3" t="s">
        <v>2379</v>
      </c>
      <c r="H618" s="3" t="s">
        <v>2379</v>
      </c>
      <c r="I618" s="1" t="s">
        <v>2380</v>
      </c>
      <c r="J618">
        <v>0</v>
      </c>
      <c r="K618" s="3" t="s">
        <v>2379</v>
      </c>
      <c r="P618" s="3"/>
    </row>
    <row r="619" spans="1:16" x14ac:dyDescent="0.25">
      <c r="A619" s="3" t="s">
        <v>1752</v>
      </c>
      <c r="B619">
        <v>53.63</v>
      </c>
      <c r="C619" t="str" cm="1">
        <f t="array" ref="C619">_xlfn.IFS(B619&lt;=18.5,  "Underweight",B619&lt;=24.9,"Normal weight",B619&lt;=29.9, "Over weight",B619&gt;=30,"Obesity")</f>
        <v>Obesity</v>
      </c>
      <c r="D619">
        <v>5.47</v>
      </c>
      <c r="E619" t="str" cm="1">
        <f t="array" ref="E619">_xlfn.IFS(D619&lt;5.7,"Normal",D619&lt;=6.4,"Prediabetes",D619&gt;=6.5,"Diabetes")</f>
        <v>Normal</v>
      </c>
      <c r="F619" s="3" t="s">
        <v>2382</v>
      </c>
      <c r="G619" s="3" t="s">
        <v>2379</v>
      </c>
      <c r="H619" s="3" t="s">
        <v>2379</v>
      </c>
      <c r="I619" s="1">
        <v>1</v>
      </c>
      <c r="J619">
        <v>1</v>
      </c>
      <c r="K619" s="3" t="s">
        <v>2379</v>
      </c>
      <c r="P619" s="3"/>
    </row>
    <row r="620" spans="1:16" x14ac:dyDescent="0.25">
      <c r="A620" s="3" t="s">
        <v>1751</v>
      </c>
      <c r="B620">
        <v>48.7</v>
      </c>
      <c r="C620" t="str" cm="1">
        <f t="array" ref="C620">_xlfn.IFS(B620&lt;=18.5,  "Underweight",B620&lt;=24.9,"Normal weight",B620&lt;=29.9, "Over weight",B620&gt;=30,"Obesity")</f>
        <v>Obesity</v>
      </c>
      <c r="D620">
        <v>4.71</v>
      </c>
      <c r="E620" t="str" cm="1">
        <f t="array" ref="E620">_xlfn.IFS(D620&lt;5.7,"Normal",D620&lt;=6.4,"Prediabetes",D620&gt;=6.5,"Diabetes")</f>
        <v>Normal</v>
      </c>
      <c r="F620" s="3" t="s">
        <v>2379</v>
      </c>
      <c r="G620" s="3" t="s">
        <v>2379</v>
      </c>
      <c r="H620" s="3" t="s">
        <v>2379</v>
      </c>
      <c r="I620" s="1" t="s">
        <v>2380</v>
      </c>
      <c r="J620">
        <v>0</v>
      </c>
      <c r="K620" s="3" t="s">
        <v>2379</v>
      </c>
      <c r="P620" s="3"/>
    </row>
    <row r="621" spans="1:16" x14ac:dyDescent="0.25">
      <c r="A621" s="3" t="s">
        <v>1750</v>
      </c>
      <c r="B621">
        <v>48.81</v>
      </c>
      <c r="C621" t="str" cm="1">
        <f t="array" ref="C621">_xlfn.IFS(B621&lt;=18.5,  "Underweight",B621&lt;=24.9,"Normal weight",B621&lt;=29.9, "Over weight",B621&gt;=30,"Obesity")</f>
        <v>Obesity</v>
      </c>
      <c r="D621">
        <v>5.49</v>
      </c>
      <c r="E621" t="str" cm="1">
        <f t="array" ref="E621">_xlfn.IFS(D621&lt;5.7,"Normal",D621&lt;=6.4,"Prediabetes",D621&gt;=6.5,"Diabetes")</f>
        <v>Normal</v>
      </c>
      <c r="F621" s="3" t="s">
        <v>2379</v>
      </c>
      <c r="G621" s="3" t="s">
        <v>2379</v>
      </c>
      <c r="H621" s="3" t="s">
        <v>2379</v>
      </c>
      <c r="I621" s="1" t="s">
        <v>2380</v>
      </c>
      <c r="J621">
        <v>0</v>
      </c>
      <c r="K621" s="3" t="s">
        <v>2379</v>
      </c>
      <c r="P621" s="3"/>
    </row>
    <row r="622" spans="1:16" x14ac:dyDescent="0.25">
      <c r="A622" s="3" t="s">
        <v>1749</v>
      </c>
      <c r="B622">
        <v>47.53</v>
      </c>
      <c r="C622" t="str" cm="1">
        <f t="array" ref="C622">_xlfn.IFS(B622&lt;=18.5,  "Underweight",B622&lt;=24.9,"Normal weight",B622&lt;=29.9, "Over weight",B622&gt;=30,"Obesity")</f>
        <v>Obesity</v>
      </c>
      <c r="D622">
        <v>4.72</v>
      </c>
      <c r="E622" t="str" cm="1">
        <f t="array" ref="E622">_xlfn.IFS(D622&lt;5.7,"Normal",D622&lt;=6.4,"Prediabetes",D622&gt;=6.5,"Diabetes")</f>
        <v>Normal</v>
      </c>
      <c r="F622" s="3" t="s">
        <v>2379</v>
      </c>
      <c r="G622" s="3" t="s">
        <v>2379</v>
      </c>
      <c r="H622" s="3" t="s">
        <v>2379</v>
      </c>
      <c r="I622" s="1" t="s">
        <v>2380</v>
      </c>
      <c r="J622">
        <v>0</v>
      </c>
      <c r="K622" s="3" t="s">
        <v>2379</v>
      </c>
      <c r="P622" s="3"/>
    </row>
    <row r="623" spans="1:16" x14ac:dyDescent="0.25">
      <c r="A623" s="3" t="s">
        <v>1748</v>
      </c>
      <c r="B623">
        <v>36.85</v>
      </c>
      <c r="C623" t="str" cm="1">
        <f t="array" ref="C623">_xlfn.IFS(B623&lt;=18.5,  "Underweight",B623&lt;=24.9,"Normal weight",B623&lt;=29.9, "Over weight",B623&gt;=30,"Obesity")</f>
        <v>Obesity</v>
      </c>
      <c r="D623">
        <v>6.7</v>
      </c>
      <c r="E623" t="str" cm="1">
        <f t="array" ref="E623">_xlfn.IFS(D623&lt;5.7,"Normal",D623&lt;=6.4,"Prediabetes",D623&gt;=6.5,"Diabetes")</f>
        <v>Diabetes</v>
      </c>
      <c r="F623" s="3" t="s">
        <v>2379</v>
      </c>
      <c r="G623" s="3" t="s">
        <v>2379</v>
      </c>
      <c r="H623" s="3" t="s">
        <v>2379</v>
      </c>
      <c r="I623" s="1" t="s">
        <v>2380</v>
      </c>
      <c r="J623">
        <v>0</v>
      </c>
      <c r="K623" s="3" t="s">
        <v>2379</v>
      </c>
      <c r="P623" s="3"/>
    </row>
    <row r="624" spans="1:16" x14ac:dyDescent="0.25">
      <c r="A624" s="3" t="s">
        <v>1747</v>
      </c>
      <c r="B624">
        <v>29.3</v>
      </c>
      <c r="C624" t="str" cm="1">
        <f t="array" ref="C624">_xlfn.IFS(B624&lt;=18.5,  "Underweight",B624&lt;=24.9,"Normal weight",B624&lt;=29.9, "Over weight",B624&gt;=30,"Obesity")</f>
        <v>Over weight</v>
      </c>
      <c r="D624">
        <v>5.5</v>
      </c>
      <c r="E624" t="str" cm="1">
        <f t="array" ref="E624">_xlfn.IFS(D624&lt;5.7,"Normal",D624&lt;=6.4,"Prediabetes",D624&gt;=6.5,"Diabetes")</f>
        <v>Normal</v>
      </c>
      <c r="F624" s="3" t="s">
        <v>2379</v>
      </c>
      <c r="G624" s="3" t="s">
        <v>2379</v>
      </c>
      <c r="H624" s="3" t="s">
        <v>2379</v>
      </c>
      <c r="I624" s="1" t="s">
        <v>2380</v>
      </c>
      <c r="J624">
        <v>0</v>
      </c>
      <c r="K624" s="3" t="s">
        <v>2379</v>
      </c>
      <c r="P624" s="3"/>
    </row>
    <row r="625" spans="1:16" x14ac:dyDescent="0.25">
      <c r="A625" s="3" t="s">
        <v>1746</v>
      </c>
      <c r="B625">
        <v>19.3</v>
      </c>
      <c r="C625" t="str" cm="1">
        <f t="array" ref="C625">_xlfn.IFS(B625&lt;=18.5,  "Underweight",B625&lt;=24.9,"Normal weight",B625&lt;=29.9, "Over weight",B625&gt;=30,"Obesity")</f>
        <v>Normal weight</v>
      </c>
      <c r="D625">
        <v>4.46</v>
      </c>
      <c r="E625" t="str" cm="1">
        <f t="array" ref="E625">_xlfn.IFS(D625&lt;5.7,"Normal",D625&lt;=6.4,"Prediabetes",D625&gt;=6.5,"Diabetes")</f>
        <v>Normal</v>
      </c>
      <c r="F625" s="3" t="s">
        <v>2379</v>
      </c>
      <c r="G625" s="3" t="s">
        <v>2379</v>
      </c>
      <c r="H625" s="3" t="s">
        <v>2379</v>
      </c>
      <c r="I625" s="1">
        <v>1</v>
      </c>
      <c r="J625">
        <v>1</v>
      </c>
      <c r="K625" s="3" t="s">
        <v>2382</v>
      </c>
      <c r="P625" s="3"/>
    </row>
    <row r="626" spans="1:16" x14ac:dyDescent="0.25">
      <c r="A626" s="3" t="s">
        <v>1745</v>
      </c>
      <c r="B626">
        <v>24.13</v>
      </c>
      <c r="C626" t="str" cm="1">
        <f t="array" ref="C626">_xlfn.IFS(B626&lt;=18.5,  "Underweight",B626&lt;=24.9,"Normal weight",B626&lt;=29.9, "Over weight",B626&gt;=30,"Obesity")</f>
        <v>Normal weight</v>
      </c>
      <c r="D626">
        <v>5.29</v>
      </c>
      <c r="E626" t="str" cm="1">
        <f t="array" ref="E626">_xlfn.IFS(D626&lt;5.7,"Normal",D626&lt;=6.4,"Prediabetes",D626&gt;=6.5,"Diabetes")</f>
        <v>Normal</v>
      </c>
      <c r="F626" s="3" t="s">
        <v>2382</v>
      </c>
      <c r="G626" s="3" t="s">
        <v>2379</v>
      </c>
      <c r="H626" s="3" t="s">
        <v>2382</v>
      </c>
      <c r="I626" s="1">
        <v>1</v>
      </c>
      <c r="J626">
        <v>1</v>
      </c>
      <c r="K626" s="3" t="s">
        <v>2382</v>
      </c>
      <c r="P626" s="3"/>
    </row>
    <row r="627" spans="1:16" x14ac:dyDescent="0.25">
      <c r="A627" s="3" t="s">
        <v>1744</v>
      </c>
      <c r="B627">
        <v>46.7</v>
      </c>
      <c r="C627" t="str" cm="1">
        <f t="array" ref="C627">_xlfn.IFS(B627&lt;=18.5,  "Underweight",B627&lt;=24.9,"Normal weight",B627&lt;=29.9, "Over weight",B627&gt;=30,"Obesity")</f>
        <v>Obesity</v>
      </c>
      <c r="D627">
        <v>10.99</v>
      </c>
      <c r="E627" t="str" cm="1">
        <f t="array" ref="E627">_xlfn.IFS(D627&lt;5.7,"Normal",D627&lt;=6.4,"Prediabetes",D627&gt;=6.5,"Diabetes")</f>
        <v>Diabetes</v>
      </c>
      <c r="F627" s="3" t="s">
        <v>2379</v>
      </c>
      <c r="G627" s="3" t="s">
        <v>2379</v>
      </c>
      <c r="H627" s="3" t="s">
        <v>2379</v>
      </c>
      <c r="I627" s="1" t="s">
        <v>2380</v>
      </c>
      <c r="J627">
        <v>0</v>
      </c>
      <c r="K627" s="3" t="s">
        <v>2379</v>
      </c>
      <c r="P627" s="3"/>
    </row>
    <row r="628" spans="1:16" x14ac:dyDescent="0.25">
      <c r="A628" s="3" t="s">
        <v>1743</v>
      </c>
      <c r="B628">
        <v>45.27</v>
      </c>
      <c r="C628" t="str" cm="1">
        <f t="array" ref="C628">_xlfn.IFS(B628&lt;=18.5,  "Underweight",B628&lt;=24.9,"Normal weight",B628&lt;=29.9, "Over weight",B628&gt;=30,"Obesity")</f>
        <v>Obesity</v>
      </c>
      <c r="D628">
        <v>5.2</v>
      </c>
      <c r="E628" t="str" cm="1">
        <f t="array" ref="E628">_xlfn.IFS(D628&lt;5.7,"Normal",D628&lt;=6.4,"Prediabetes",D628&gt;=6.5,"Diabetes")</f>
        <v>Normal</v>
      </c>
      <c r="F628" s="3" t="s">
        <v>2382</v>
      </c>
      <c r="G628" s="3" t="s">
        <v>2379</v>
      </c>
      <c r="H628" s="3" t="s">
        <v>2379</v>
      </c>
      <c r="I628" s="1" t="s">
        <v>2380</v>
      </c>
      <c r="J628">
        <v>0</v>
      </c>
      <c r="K628" s="3" t="s">
        <v>2379</v>
      </c>
      <c r="P628" s="3"/>
    </row>
    <row r="629" spans="1:16" x14ac:dyDescent="0.25">
      <c r="A629" s="3" t="s">
        <v>1742</v>
      </c>
      <c r="B629">
        <v>44.29</v>
      </c>
      <c r="C629" t="str" cm="1">
        <f t="array" ref="C629">_xlfn.IFS(B629&lt;=18.5,  "Underweight",B629&lt;=24.9,"Normal weight",B629&lt;=29.9, "Over weight",B629&gt;=30,"Obesity")</f>
        <v>Obesity</v>
      </c>
      <c r="D629">
        <v>9.66</v>
      </c>
      <c r="E629" t="str" cm="1">
        <f t="array" ref="E629">_xlfn.IFS(D629&lt;5.7,"Normal",D629&lt;=6.4,"Prediabetes",D629&gt;=6.5,"Diabetes")</f>
        <v>Diabetes</v>
      </c>
      <c r="F629" s="3" t="s">
        <v>2379</v>
      </c>
      <c r="G629" s="3" t="s">
        <v>2379</v>
      </c>
      <c r="H629" s="3" t="s">
        <v>2379</v>
      </c>
      <c r="I629" s="1">
        <v>2</v>
      </c>
      <c r="J629">
        <v>2</v>
      </c>
      <c r="K629" s="3" t="s">
        <v>2379</v>
      </c>
      <c r="P629" s="3"/>
    </row>
    <row r="630" spans="1:16" x14ac:dyDescent="0.25">
      <c r="A630" s="3" t="s">
        <v>1741</v>
      </c>
      <c r="B630">
        <v>54.59</v>
      </c>
      <c r="C630" t="str" cm="1">
        <f t="array" ref="C630">_xlfn.IFS(B630&lt;=18.5,  "Underweight",B630&lt;=24.9,"Normal weight",B630&lt;=29.9, "Over weight",B630&gt;=30,"Obesity")</f>
        <v>Obesity</v>
      </c>
      <c r="D630">
        <v>4.22</v>
      </c>
      <c r="E630" t="str" cm="1">
        <f t="array" ref="E630">_xlfn.IFS(D630&lt;5.7,"Normal",D630&lt;=6.4,"Prediabetes",D630&gt;=6.5,"Diabetes")</f>
        <v>Normal</v>
      </c>
      <c r="F630" s="3" t="s">
        <v>2382</v>
      </c>
      <c r="G630" s="3" t="s">
        <v>2379</v>
      </c>
      <c r="H630" s="3" t="s">
        <v>2379</v>
      </c>
      <c r="I630" s="1">
        <v>1</v>
      </c>
      <c r="J630">
        <v>1</v>
      </c>
      <c r="K630" s="3" t="s">
        <v>2379</v>
      </c>
      <c r="P630" s="3"/>
    </row>
    <row r="631" spans="1:16" x14ac:dyDescent="0.25">
      <c r="A631" s="3" t="s">
        <v>1740</v>
      </c>
      <c r="B631">
        <v>32.965000000000003</v>
      </c>
      <c r="C631" t="str" cm="1">
        <f t="array" ref="C631">_xlfn.IFS(B631&lt;=18.5,  "Underweight",B631&lt;=24.9,"Normal weight",B631&lt;=29.9, "Over weight",B631&gt;=30,"Obesity")</f>
        <v>Obesity</v>
      </c>
      <c r="D631">
        <v>11.78</v>
      </c>
      <c r="E631" t="str" cm="1">
        <f t="array" ref="E631">_xlfn.IFS(D631&lt;5.7,"Normal",D631&lt;=6.4,"Prediabetes",D631&gt;=6.5,"Diabetes")</f>
        <v>Diabetes</v>
      </c>
      <c r="F631" s="3" t="s">
        <v>2379</v>
      </c>
      <c r="G631" s="3" t="s">
        <v>2379</v>
      </c>
      <c r="H631" s="3" t="s">
        <v>2379</v>
      </c>
      <c r="I631" s="1" t="s">
        <v>2380</v>
      </c>
      <c r="J631">
        <v>0</v>
      </c>
      <c r="K631" s="3" t="s">
        <v>2379</v>
      </c>
      <c r="P631" s="3"/>
    </row>
    <row r="632" spans="1:16" x14ac:dyDescent="0.25">
      <c r="A632" s="3" t="s">
        <v>1739</v>
      </c>
      <c r="B632">
        <v>38.049999999999997</v>
      </c>
      <c r="C632" t="str" cm="1">
        <f t="array" ref="C632">_xlfn.IFS(B632&lt;=18.5,  "Underweight",B632&lt;=24.9,"Normal weight",B632&lt;=29.9, "Over weight",B632&gt;=30,"Obesity")</f>
        <v>Obesity</v>
      </c>
      <c r="D632">
        <v>9.6199999999999992</v>
      </c>
      <c r="E632" t="str" cm="1">
        <f t="array" ref="E632">_xlfn.IFS(D632&lt;5.7,"Normal",D632&lt;=6.4,"Prediabetes",D632&gt;=6.5,"Diabetes")</f>
        <v>Diabetes</v>
      </c>
      <c r="F632" s="3" t="s">
        <v>2379</v>
      </c>
      <c r="G632" s="3" t="s">
        <v>2379</v>
      </c>
      <c r="H632" s="3" t="s">
        <v>2379</v>
      </c>
      <c r="I632" s="1" t="s">
        <v>2380</v>
      </c>
      <c r="J632">
        <v>0</v>
      </c>
      <c r="K632" s="3" t="s">
        <v>2379</v>
      </c>
      <c r="P632" s="3"/>
    </row>
    <row r="633" spans="1:16" x14ac:dyDescent="0.25">
      <c r="A633" s="3" t="s">
        <v>1738</v>
      </c>
      <c r="B633">
        <v>46.14</v>
      </c>
      <c r="C633" t="str" cm="1">
        <f t="array" ref="C633">_xlfn.IFS(B633&lt;=18.5,  "Underweight",B633&lt;=24.9,"Normal weight",B633&lt;=29.9, "Over weight",B633&gt;=30,"Obesity")</f>
        <v>Obesity</v>
      </c>
      <c r="D633">
        <v>10.78</v>
      </c>
      <c r="E633" t="str" cm="1">
        <f t="array" ref="E633">_xlfn.IFS(D633&lt;5.7,"Normal",D633&lt;=6.4,"Prediabetes",D633&gt;=6.5,"Diabetes")</f>
        <v>Diabetes</v>
      </c>
      <c r="F633" s="3" t="s">
        <v>2379</v>
      </c>
      <c r="G633" s="3" t="s">
        <v>2379</v>
      </c>
      <c r="H633" s="3" t="s">
        <v>2379</v>
      </c>
      <c r="I633" s="1" t="s">
        <v>2380</v>
      </c>
      <c r="J633">
        <v>0</v>
      </c>
      <c r="K633" s="3" t="s">
        <v>2379</v>
      </c>
      <c r="P633" s="3"/>
    </row>
    <row r="634" spans="1:16" x14ac:dyDescent="0.25">
      <c r="A634" s="3" t="s">
        <v>1737</v>
      </c>
      <c r="B634">
        <v>41.325000000000003</v>
      </c>
      <c r="C634" t="str" cm="1">
        <f t="array" ref="C634">_xlfn.IFS(B634&lt;=18.5,  "Underweight",B634&lt;=24.9,"Normal weight",B634&lt;=29.9, "Over weight",B634&gt;=30,"Obesity")</f>
        <v>Obesity</v>
      </c>
      <c r="D634">
        <v>5.1100000000000003</v>
      </c>
      <c r="E634" t="str" cm="1">
        <f t="array" ref="E634">_xlfn.IFS(D634&lt;5.7,"Normal",D634&lt;=6.4,"Prediabetes",D634&gt;=6.5,"Diabetes")</f>
        <v>Normal</v>
      </c>
      <c r="F634" s="3" t="s">
        <v>2382</v>
      </c>
      <c r="G634" s="3" t="s">
        <v>2379</v>
      </c>
      <c r="H634" s="3" t="s">
        <v>2379</v>
      </c>
      <c r="I634" s="1">
        <v>2</v>
      </c>
      <c r="J634">
        <v>2</v>
      </c>
      <c r="K634" s="3" t="s">
        <v>2379</v>
      </c>
      <c r="P634" s="3"/>
    </row>
    <row r="635" spans="1:16" x14ac:dyDescent="0.25">
      <c r="A635" s="3" t="s">
        <v>1736</v>
      </c>
      <c r="B635">
        <v>44.64</v>
      </c>
      <c r="C635" t="str" cm="1">
        <f t="array" ref="C635">_xlfn.IFS(B635&lt;=18.5,  "Underweight",B635&lt;=24.9,"Normal weight",B635&lt;=29.9, "Over weight",B635&gt;=30,"Obesity")</f>
        <v>Obesity</v>
      </c>
      <c r="D635">
        <v>7.18</v>
      </c>
      <c r="E635" t="str" cm="1">
        <f t="array" ref="E635">_xlfn.IFS(D635&lt;5.7,"Normal",D635&lt;=6.4,"Prediabetes",D635&gt;=6.5,"Diabetes")</f>
        <v>Diabetes</v>
      </c>
      <c r="F635" s="3" t="s">
        <v>2379</v>
      </c>
      <c r="G635" s="3" t="s">
        <v>2379</v>
      </c>
      <c r="H635" s="3" t="s">
        <v>2379</v>
      </c>
      <c r="I635" s="1" t="s">
        <v>2380</v>
      </c>
      <c r="J635">
        <v>0</v>
      </c>
      <c r="K635" s="3" t="s">
        <v>2379</v>
      </c>
      <c r="P635" s="3"/>
    </row>
    <row r="636" spans="1:16" x14ac:dyDescent="0.25">
      <c r="A636" s="3" t="s">
        <v>1735</v>
      </c>
      <c r="B636">
        <v>25.175000000000001</v>
      </c>
      <c r="C636" t="str" cm="1">
        <f t="array" ref="C636">_xlfn.IFS(B636&lt;=18.5,  "Underweight",B636&lt;=24.9,"Normal weight",B636&lt;=29.9, "Over weight",B636&gt;=30,"Obesity")</f>
        <v>Over weight</v>
      </c>
      <c r="D636">
        <v>4.96</v>
      </c>
      <c r="E636" t="str" cm="1">
        <f t="array" ref="E636">_xlfn.IFS(D636&lt;5.7,"Normal",D636&lt;=6.4,"Prediabetes",D636&gt;=6.5,"Diabetes")</f>
        <v>Normal</v>
      </c>
      <c r="F636" s="3" t="s">
        <v>2379</v>
      </c>
      <c r="G636" s="3" t="s">
        <v>2381</v>
      </c>
      <c r="H636" s="3" t="s">
        <v>2379</v>
      </c>
      <c r="I636" s="1">
        <v>1</v>
      </c>
      <c r="J636">
        <v>1</v>
      </c>
      <c r="K636" s="3" t="s">
        <v>2379</v>
      </c>
      <c r="P636" s="3"/>
    </row>
    <row r="637" spans="1:16" x14ac:dyDescent="0.25">
      <c r="A637" s="3" t="s">
        <v>1734</v>
      </c>
      <c r="B637">
        <v>43.11</v>
      </c>
      <c r="C637" t="str" cm="1">
        <f t="array" ref="C637">_xlfn.IFS(B637&lt;=18.5,  "Underweight",B637&lt;=24.9,"Normal weight",B637&lt;=29.9, "Over weight",B637&gt;=30,"Obesity")</f>
        <v>Obesity</v>
      </c>
      <c r="D637">
        <v>4.67</v>
      </c>
      <c r="E637" t="str" cm="1">
        <f t="array" ref="E637">_xlfn.IFS(D637&lt;5.7,"Normal",D637&lt;=6.4,"Prediabetes",D637&gt;=6.5,"Diabetes")</f>
        <v>Normal</v>
      </c>
      <c r="F637" s="3" t="s">
        <v>2382</v>
      </c>
      <c r="G637" s="3" t="s">
        <v>2379</v>
      </c>
      <c r="H637" s="3" t="s">
        <v>2379</v>
      </c>
      <c r="I637" s="1" t="s">
        <v>2380</v>
      </c>
      <c r="J637">
        <v>0</v>
      </c>
      <c r="K637" s="3" t="s">
        <v>2379</v>
      </c>
      <c r="P637" s="3"/>
    </row>
    <row r="638" spans="1:16" x14ac:dyDescent="0.25">
      <c r="A638" s="3" t="s">
        <v>1733</v>
      </c>
      <c r="B638">
        <v>53.32</v>
      </c>
      <c r="C638" t="str" cm="1">
        <f t="array" ref="C638">_xlfn.IFS(B638&lt;=18.5,  "Underweight",B638&lt;=24.9,"Normal weight",B638&lt;=29.9, "Over weight",B638&gt;=30,"Obesity")</f>
        <v>Obesity</v>
      </c>
      <c r="D638">
        <v>5.0599999999999996</v>
      </c>
      <c r="E638" t="str" cm="1">
        <f t="array" ref="E638">_xlfn.IFS(D638&lt;5.7,"Normal",D638&lt;=6.4,"Prediabetes",D638&gt;=6.5,"Diabetes")</f>
        <v>Normal</v>
      </c>
      <c r="F638" s="3" t="s">
        <v>2379</v>
      </c>
      <c r="G638" s="3" t="s">
        <v>2379</v>
      </c>
      <c r="H638" s="3" t="s">
        <v>2379</v>
      </c>
      <c r="I638" s="1" t="s">
        <v>2380</v>
      </c>
      <c r="J638">
        <v>0</v>
      </c>
      <c r="K638" s="3" t="s">
        <v>2379</v>
      </c>
      <c r="P638" s="3"/>
    </row>
    <row r="639" spans="1:16" x14ac:dyDescent="0.25">
      <c r="A639" s="3" t="s">
        <v>1732</v>
      </c>
      <c r="B639">
        <v>38.04</v>
      </c>
      <c r="C639" t="str" cm="1">
        <f t="array" ref="C639">_xlfn.IFS(B639&lt;=18.5,  "Underweight",B639&lt;=24.9,"Normal weight",B639&lt;=29.9, "Over weight",B639&gt;=30,"Obesity")</f>
        <v>Obesity</v>
      </c>
      <c r="D639">
        <v>5.0199999999999996</v>
      </c>
      <c r="E639" t="str" cm="1">
        <f t="array" ref="E639">_xlfn.IFS(D639&lt;5.7,"Normal",D639&lt;=6.4,"Prediabetes",D639&gt;=6.5,"Diabetes")</f>
        <v>Normal</v>
      </c>
      <c r="F639" s="3" t="s">
        <v>2382</v>
      </c>
      <c r="G639" s="3" t="s">
        <v>2379</v>
      </c>
      <c r="H639" s="3" t="s">
        <v>2379</v>
      </c>
      <c r="I639" s="1">
        <v>1</v>
      </c>
      <c r="J639">
        <v>1</v>
      </c>
      <c r="K639" s="3" t="s">
        <v>2379</v>
      </c>
      <c r="P639" s="3"/>
    </row>
    <row r="640" spans="1:16" x14ac:dyDescent="0.25">
      <c r="A640" s="3" t="s">
        <v>1731</v>
      </c>
      <c r="B640">
        <v>37.9</v>
      </c>
      <c r="C640" t="str" cm="1">
        <f t="array" ref="C640">_xlfn.IFS(B640&lt;=18.5,  "Underweight",B640&lt;=24.9,"Normal weight",B640&lt;=29.9, "Over weight",B640&gt;=30,"Obesity")</f>
        <v>Obesity</v>
      </c>
      <c r="D640">
        <v>7.76</v>
      </c>
      <c r="E640" t="str" cm="1">
        <f t="array" ref="E640">_xlfn.IFS(D640&lt;5.7,"Normal",D640&lt;=6.4,"Prediabetes",D640&gt;=6.5,"Diabetes")</f>
        <v>Diabetes</v>
      </c>
      <c r="F640" s="3" t="s">
        <v>2379</v>
      </c>
      <c r="G640" s="3" t="s">
        <v>2379</v>
      </c>
      <c r="H640" s="3" t="s">
        <v>2379</v>
      </c>
      <c r="I640" s="1" t="s">
        <v>2380</v>
      </c>
      <c r="J640">
        <v>0</v>
      </c>
      <c r="K640" s="3" t="s">
        <v>2379</v>
      </c>
      <c r="P640" s="3"/>
    </row>
    <row r="641" spans="1:16" x14ac:dyDescent="0.25">
      <c r="A641" s="3" t="s">
        <v>1730</v>
      </c>
      <c r="B641">
        <v>39.6</v>
      </c>
      <c r="C641" t="str" cm="1">
        <f t="array" ref="C641">_xlfn.IFS(B641&lt;=18.5,  "Underweight",B641&lt;=24.9,"Normal weight",B641&lt;=29.9, "Over weight",B641&gt;=30,"Obesity")</f>
        <v>Obesity</v>
      </c>
      <c r="D641">
        <v>9.32</v>
      </c>
      <c r="E641" t="str" cm="1">
        <f t="array" ref="E641">_xlfn.IFS(D641&lt;5.7,"Normal",D641&lt;=6.4,"Prediabetes",D641&gt;=6.5,"Diabetes")</f>
        <v>Diabetes</v>
      </c>
      <c r="F641" s="3" t="s">
        <v>2379</v>
      </c>
      <c r="G641" s="3" t="s">
        <v>2379</v>
      </c>
      <c r="H641" s="3" t="s">
        <v>2379</v>
      </c>
      <c r="I641" s="1" t="s">
        <v>2380</v>
      </c>
      <c r="J641">
        <v>0</v>
      </c>
      <c r="K641" s="3" t="s">
        <v>2379</v>
      </c>
      <c r="P641" s="3"/>
    </row>
    <row r="642" spans="1:16" x14ac:dyDescent="0.25">
      <c r="A642" s="3" t="s">
        <v>1729</v>
      </c>
      <c r="B642">
        <v>50.92</v>
      </c>
      <c r="C642" t="str" cm="1">
        <f t="array" ref="C642">_xlfn.IFS(B642&lt;=18.5,  "Underweight",B642&lt;=24.9,"Normal weight",B642&lt;=29.9, "Over weight",B642&gt;=30,"Obesity")</f>
        <v>Obesity</v>
      </c>
      <c r="D642">
        <v>5.31</v>
      </c>
      <c r="E642" t="str" cm="1">
        <f t="array" ref="E642">_xlfn.IFS(D642&lt;5.7,"Normal",D642&lt;=6.4,"Prediabetes",D642&gt;=6.5,"Diabetes")</f>
        <v>Normal</v>
      </c>
      <c r="F642" s="3" t="s">
        <v>2382</v>
      </c>
      <c r="G642" s="3" t="s">
        <v>2379</v>
      </c>
      <c r="H642" s="3" t="s">
        <v>2379</v>
      </c>
      <c r="I642" s="1">
        <v>1</v>
      </c>
      <c r="J642">
        <v>1</v>
      </c>
      <c r="K642" s="3" t="s">
        <v>2379</v>
      </c>
      <c r="P642" s="3"/>
    </row>
    <row r="643" spans="1:16" x14ac:dyDescent="0.25">
      <c r="A643" s="3" t="s">
        <v>1728</v>
      </c>
      <c r="B643">
        <v>21.85</v>
      </c>
      <c r="C643" t="str" cm="1">
        <f t="array" ref="C643">_xlfn.IFS(B643&lt;=18.5,  "Underweight",B643&lt;=24.9,"Normal weight",B643&lt;=29.9, "Over weight",B643&gt;=30,"Obesity")</f>
        <v>Normal weight</v>
      </c>
      <c r="D643">
        <v>5.56</v>
      </c>
      <c r="E643" t="str" cm="1">
        <f t="array" ref="E643">_xlfn.IFS(D643&lt;5.7,"Normal",D643&lt;=6.4,"Prediabetes",D643&gt;=6.5,"Diabetes")</f>
        <v>Normal</v>
      </c>
      <c r="F643" s="3" t="s">
        <v>2382</v>
      </c>
      <c r="G643" s="3" t="s">
        <v>2379</v>
      </c>
      <c r="H643" s="3" t="s">
        <v>2379</v>
      </c>
      <c r="I643" s="1" t="s">
        <v>2380</v>
      </c>
      <c r="J643">
        <v>0</v>
      </c>
      <c r="K643" s="3" t="s">
        <v>2382</v>
      </c>
      <c r="P643" s="3"/>
    </row>
    <row r="644" spans="1:16" x14ac:dyDescent="0.25">
      <c r="A644" s="3" t="s">
        <v>1727</v>
      </c>
      <c r="B644">
        <v>36.08</v>
      </c>
      <c r="C644" t="str" cm="1">
        <f t="array" ref="C644">_xlfn.IFS(B644&lt;=18.5,  "Underweight",B644&lt;=24.9,"Normal weight",B644&lt;=29.9, "Over weight",B644&gt;=30,"Obesity")</f>
        <v>Obesity</v>
      </c>
      <c r="D644">
        <v>7.11</v>
      </c>
      <c r="E644" t="str" cm="1">
        <f t="array" ref="E644">_xlfn.IFS(D644&lt;5.7,"Normal",D644&lt;=6.4,"Prediabetes",D644&gt;=6.5,"Diabetes")</f>
        <v>Diabetes</v>
      </c>
      <c r="F644" s="3" t="s">
        <v>2382</v>
      </c>
      <c r="G644" s="3" t="s">
        <v>2379</v>
      </c>
      <c r="H644" s="3" t="s">
        <v>2382</v>
      </c>
      <c r="I644" s="1">
        <v>1</v>
      </c>
      <c r="J644">
        <v>1</v>
      </c>
      <c r="K644" s="3" t="s">
        <v>2379</v>
      </c>
      <c r="P644" s="3"/>
    </row>
    <row r="645" spans="1:16" x14ac:dyDescent="0.25">
      <c r="A645" s="3" t="s">
        <v>1726</v>
      </c>
      <c r="B645">
        <v>40.44</v>
      </c>
      <c r="C645" t="str" cm="1">
        <f t="array" ref="C645">_xlfn.IFS(B645&lt;=18.5,  "Underweight",B645&lt;=24.9,"Normal weight",B645&lt;=29.9, "Over weight",B645&gt;=30,"Obesity")</f>
        <v>Obesity</v>
      </c>
      <c r="D645">
        <v>5.13</v>
      </c>
      <c r="E645" t="str" cm="1">
        <f t="array" ref="E645">_xlfn.IFS(D645&lt;5.7,"Normal",D645&lt;=6.4,"Prediabetes",D645&gt;=6.5,"Diabetes")</f>
        <v>Normal</v>
      </c>
      <c r="F645" s="3" t="s">
        <v>2382</v>
      </c>
      <c r="G645" s="3" t="s">
        <v>2379</v>
      </c>
      <c r="H645" s="3" t="s">
        <v>2382</v>
      </c>
      <c r="I645" s="1">
        <v>1</v>
      </c>
      <c r="J645">
        <v>1</v>
      </c>
      <c r="K645" s="3" t="s">
        <v>2379</v>
      </c>
      <c r="P645" s="3"/>
    </row>
    <row r="646" spans="1:16" x14ac:dyDescent="0.25">
      <c r="A646" s="3" t="s">
        <v>1725</v>
      </c>
      <c r="B646">
        <v>38.094999999999999</v>
      </c>
      <c r="C646" t="str" cm="1">
        <f t="array" ref="C646">_xlfn.IFS(B646&lt;=18.5,  "Underweight",B646&lt;=24.9,"Normal weight",B646&lt;=29.9, "Over weight",B646&gt;=30,"Obesity")</f>
        <v>Obesity</v>
      </c>
      <c r="D646">
        <v>10.199999999999999</v>
      </c>
      <c r="E646" t="str" cm="1">
        <f t="array" ref="E646">_xlfn.IFS(D646&lt;5.7,"Normal",D646&lt;=6.4,"Prediabetes",D646&gt;=6.5,"Diabetes")</f>
        <v>Diabetes</v>
      </c>
      <c r="F646" s="3" t="s">
        <v>2379</v>
      </c>
      <c r="G646" s="3" t="s">
        <v>2379</v>
      </c>
      <c r="H646" s="3" t="s">
        <v>2379</v>
      </c>
      <c r="I646" s="1" t="s">
        <v>2380</v>
      </c>
      <c r="J646">
        <v>0</v>
      </c>
      <c r="K646" s="3" t="s">
        <v>2379</v>
      </c>
      <c r="P646" s="3"/>
    </row>
    <row r="647" spans="1:16" x14ac:dyDescent="0.25">
      <c r="A647" s="3" t="s">
        <v>1724</v>
      </c>
      <c r="B647">
        <v>44.95</v>
      </c>
      <c r="C647" t="str" cm="1">
        <f t="array" ref="C647">_xlfn.IFS(B647&lt;=18.5,  "Underweight",B647&lt;=24.9,"Normal weight",B647&lt;=29.9, "Over weight",B647&gt;=30,"Obesity")</f>
        <v>Obesity</v>
      </c>
      <c r="D647">
        <v>10.4</v>
      </c>
      <c r="E647" t="str" cm="1">
        <f t="array" ref="E647">_xlfn.IFS(D647&lt;5.7,"Normal",D647&lt;=6.4,"Prediabetes",D647&gt;=6.5,"Diabetes")</f>
        <v>Diabetes</v>
      </c>
      <c r="F647" s="3" t="s">
        <v>2379</v>
      </c>
      <c r="G647" s="3" t="s">
        <v>2379</v>
      </c>
      <c r="H647" s="3" t="s">
        <v>2379</v>
      </c>
      <c r="I647" s="1" t="s">
        <v>2380</v>
      </c>
      <c r="J647">
        <v>0</v>
      </c>
      <c r="K647" s="3" t="s">
        <v>2379</v>
      </c>
      <c r="P647" s="3"/>
    </row>
    <row r="648" spans="1:16" x14ac:dyDescent="0.25">
      <c r="A648" s="3" t="s">
        <v>1723</v>
      </c>
      <c r="B648">
        <v>35.54</v>
      </c>
      <c r="C648" t="str" cm="1">
        <f t="array" ref="C648">_xlfn.IFS(B648&lt;=18.5,  "Underweight",B648&lt;=24.9,"Normal weight",B648&lt;=29.9, "Over weight",B648&gt;=30,"Obesity")</f>
        <v>Obesity</v>
      </c>
      <c r="D648">
        <v>10.67</v>
      </c>
      <c r="E648" t="str" cm="1">
        <f t="array" ref="E648">_xlfn.IFS(D648&lt;5.7,"Normal",D648&lt;=6.4,"Prediabetes",D648&gt;=6.5,"Diabetes")</f>
        <v>Diabetes</v>
      </c>
      <c r="F648" s="3" t="s">
        <v>2379</v>
      </c>
      <c r="G648" s="3" t="s">
        <v>2379</v>
      </c>
      <c r="H648" s="3" t="s">
        <v>2379</v>
      </c>
      <c r="I648" s="1" t="s">
        <v>2380</v>
      </c>
      <c r="J648">
        <v>0</v>
      </c>
      <c r="K648" s="3" t="s">
        <v>2379</v>
      </c>
      <c r="P648" s="3"/>
    </row>
    <row r="649" spans="1:16" x14ac:dyDescent="0.25">
      <c r="A649" s="3" t="s">
        <v>1722</v>
      </c>
      <c r="B649">
        <v>39.799999999999997</v>
      </c>
      <c r="C649" t="str" cm="1">
        <f t="array" ref="C649">_xlfn.IFS(B649&lt;=18.5,  "Underweight",B649&lt;=24.9,"Normal weight",B649&lt;=29.9, "Over weight",B649&gt;=30,"Obesity")</f>
        <v>Obesity</v>
      </c>
      <c r="D649">
        <v>4.6500000000000004</v>
      </c>
      <c r="E649" t="str" cm="1">
        <f t="array" ref="E649">_xlfn.IFS(D649&lt;5.7,"Normal",D649&lt;=6.4,"Prediabetes",D649&gt;=6.5,"Diabetes")</f>
        <v>Normal</v>
      </c>
      <c r="F649" s="3" t="s">
        <v>2382</v>
      </c>
      <c r="G649" s="3" t="s">
        <v>2379</v>
      </c>
      <c r="H649" s="3" t="s">
        <v>2379</v>
      </c>
      <c r="I649" s="1">
        <v>2</v>
      </c>
      <c r="J649">
        <v>2</v>
      </c>
      <c r="K649" s="3" t="s">
        <v>2379</v>
      </c>
      <c r="P649" s="3"/>
    </row>
    <row r="650" spans="1:16" x14ac:dyDescent="0.25">
      <c r="A650" s="3" t="s">
        <v>1721</v>
      </c>
      <c r="B650">
        <v>33.659999999999997</v>
      </c>
      <c r="C650" t="str" cm="1">
        <f t="array" ref="C650">_xlfn.IFS(B650&lt;=18.5,  "Underweight",B650&lt;=24.9,"Normal weight",B650&lt;=29.9, "Over weight",B650&gt;=30,"Obesity")</f>
        <v>Obesity</v>
      </c>
      <c r="D650">
        <v>5.65</v>
      </c>
      <c r="E650" t="str" cm="1">
        <f t="array" ref="E650">_xlfn.IFS(D650&lt;5.7,"Normal",D650&lt;=6.4,"Prediabetes",D650&gt;=6.5,"Diabetes")</f>
        <v>Normal</v>
      </c>
      <c r="F650" s="3" t="s">
        <v>2382</v>
      </c>
      <c r="G650" s="3" t="s">
        <v>2379</v>
      </c>
      <c r="H650" s="3" t="s">
        <v>2379</v>
      </c>
      <c r="I650" s="1">
        <v>2</v>
      </c>
      <c r="J650">
        <v>2</v>
      </c>
      <c r="K650" s="3" t="s">
        <v>2379</v>
      </c>
      <c r="P650" s="3"/>
    </row>
    <row r="651" spans="1:16" x14ac:dyDescent="0.25">
      <c r="A651" s="3" t="s">
        <v>1720</v>
      </c>
      <c r="B651">
        <v>35.5</v>
      </c>
      <c r="C651" t="str" cm="1">
        <f t="array" ref="C651">_xlfn.IFS(B651&lt;=18.5,  "Underweight",B651&lt;=24.9,"Normal weight",B651&lt;=29.9, "Over weight",B651&gt;=30,"Obesity")</f>
        <v>Obesity</v>
      </c>
      <c r="D651">
        <v>11.97</v>
      </c>
      <c r="E651" t="str" cm="1">
        <f t="array" ref="E651">_xlfn.IFS(D651&lt;5.7,"Normal",D651&lt;=6.4,"Prediabetes",D651&gt;=6.5,"Diabetes")</f>
        <v>Diabetes</v>
      </c>
      <c r="F651" s="3" t="s">
        <v>2379</v>
      </c>
      <c r="G651" s="3" t="s">
        <v>2379</v>
      </c>
      <c r="H651" s="3" t="s">
        <v>2379</v>
      </c>
      <c r="I651" s="1" t="s">
        <v>2380</v>
      </c>
      <c r="J651">
        <v>0</v>
      </c>
      <c r="K651" s="3" t="s">
        <v>2379</v>
      </c>
      <c r="P651" s="3"/>
    </row>
    <row r="652" spans="1:16" x14ac:dyDescent="0.25">
      <c r="A652" s="3" t="s">
        <v>1719</v>
      </c>
      <c r="B652">
        <v>41.63</v>
      </c>
      <c r="C652" t="str" cm="1">
        <f t="array" ref="C652">_xlfn.IFS(B652&lt;=18.5,  "Underweight",B652&lt;=24.9,"Normal weight",B652&lt;=29.9, "Over weight",B652&gt;=30,"Obesity")</f>
        <v>Obesity</v>
      </c>
      <c r="D652">
        <v>6.71</v>
      </c>
      <c r="E652" t="str" cm="1">
        <f t="array" ref="E652">_xlfn.IFS(D652&lt;5.7,"Normal",D652&lt;=6.4,"Prediabetes",D652&gt;=6.5,"Diabetes")</f>
        <v>Diabetes</v>
      </c>
      <c r="F652" s="3" t="s">
        <v>2379</v>
      </c>
      <c r="G652" s="3" t="s">
        <v>2379</v>
      </c>
      <c r="H652" s="3" t="s">
        <v>2379</v>
      </c>
      <c r="I652" s="1" t="s">
        <v>2380</v>
      </c>
      <c r="J652">
        <v>0</v>
      </c>
      <c r="K652" s="3" t="s">
        <v>2379</v>
      </c>
      <c r="P652" s="3"/>
    </row>
    <row r="653" spans="1:16" x14ac:dyDescent="0.25">
      <c r="A653" s="3" t="s">
        <v>1718</v>
      </c>
      <c r="B653">
        <v>46.49</v>
      </c>
      <c r="C653" t="str" cm="1">
        <f t="array" ref="C653">_xlfn.IFS(B653&lt;=18.5,  "Underweight",B653&lt;=24.9,"Normal weight",B653&lt;=29.9, "Over weight",B653&gt;=30,"Obesity")</f>
        <v>Obesity</v>
      </c>
      <c r="D653">
        <v>11.92</v>
      </c>
      <c r="E653" t="str" cm="1">
        <f t="array" ref="E653">_xlfn.IFS(D653&lt;5.7,"Normal",D653&lt;=6.4,"Prediabetes",D653&gt;=6.5,"Diabetes")</f>
        <v>Diabetes</v>
      </c>
      <c r="F653" s="3" t="s">
        <v>2379</v>
      </c>
      <c r="G653" s="3" t="s">
        <v>2379</v>
      </c>
      <c r="H653" s="3" t="s">
        <v>2379</v>
      </c>
      <c r="I653" s="1" t="s">
        <v>2380</v>
      </c>
      <c r="J653">
        <v>0</v>
      </c>
      <c r="K653" s="3" t="s">
        <v>2379</v>
      </c>
      <c r="P653" s="3"/>
    </row>
    <row r="654" spans="1:16" x14ac:dyDescent="0.25">
      <c r="A654" s="3" t="s">
        <v>1717</v>
      </c>
      <c r="B654">
        <v>43.29</v>
      </c>
      <c r="C654" t="str" cm="1">
        <f t="array" ref="C654">_xlfn.IFS(B654&lt;=18.5,  "Underweight",B654&lt;=24.9,"Normal weight",B654&lt;=29.9, "Over weight",B654&gt;=30,"Obesity")</f>
        <v>Obesity</v>
      </c>
      <c r="D654">
        <v>5.35</v>
      </c>
      <c r="E654" t="str" cm="1">
        <f t="array" ref="E654">_xlfn.IFS(D654&lt;5.7,"Normal",D654&lt;=6.4,"Prediabetes",D654&gt;=6.5,"Diabetes")</f>
        <v>Normal</v>
      </c>
      <c r="F654" s="3" t="s">
        <v>2379</v>
      </c>
      <c r="G654" s="3" t="s">
        <v>2379</v>
      </c>
      <c r="H654" s="3" t="s">
        <v>2379</v>
      </c>
      <c r="I654" s="1">
        <v>2</v>
      </c>
      <c r="J654">
        <v>2</v>
      </c>
      <c r="K654" s="3" t="s">
        <v>2379</v>
      </c>
      <c r="P654" s="3"/>
    </row>
    <row r="655" spans="1:16" x14ac:dyDescent="0.25">
      <c r="A655" s="3" t="s">
        <v>1716</v>
      </c>
      <c r="B655">
        <v>43.08</v>
      </c>
      <c r="C655" t="str" cm="1">
        <f t="array" ref="C655">_xlfn.IFS(B655&lt;=18.5,  "Underweight",B655&lt;=24.9,"Normal weight",B655&lt;=29.9, "Over weight",B655&gt;=30,"Obesity")</f>
        <v>Obesity</v>
      </c>
      <c r="D655">
        <v>8.9600000000000009</v>
      </c>
      <c r="E655" t="str" cm="1">
        <f t="array" ref="E655">_xlfn.IFS(D655&lt;5.7,"Normal",D655&lt;=6.4,"Prediabetes",D655&gt;=6.5,"Diabetes")</f>
        <v>Diabetes</v>
      </c>
      <c r="F655" s="3" t="s">
        <v>2382</v>
      </c>
      <c r="G655" s="3" t="s">
        <v>2379</v>
      </c>
      <c r="H655" s="3" t="s">
        <v>2379</v>
      </c>
      <c r="I655" s="1">
        <v>1</v>
      </c>
      <c r="J655">
        <v>1</v>
      </c>
      <c r="K655" s="3" t="s">
        <v>2379</v>
      </c>
      <c r="P655" s="3"/>
    </row>
    <row r="656" spans="1:16" x14ac:dyDescent="0.25">
      <c r="A656" s="3" t="s">
        <v>1715</v>
      </c>
      <c r="B656">
        <v>39.07</v>
      </c>
      <c r="C656" t="str" cm="1">
        <f t="array" ref="C656">_xlfn.IFS(B656&lt;=18.5,  "Underweight",B656&lt;=24.9,"Normal weight",B656&lt;=29.9, "Over weight",B656&gt;=30,"Obesity")</f>
        <v>Obesity</v>
      </c>
      <c r="D656">
        <v>11.93</v>
      </c>
      <c r="E656" t="str" cm="1">
        <f t="array" ref="E656">_xlfn.IFS(D656&lt;5.7,"Normal",D656&lt;=6.4,"Prediabetes",D656&gt;=6.5,"Diabetes")</f>
        <v>Diabetes</v>
      </c>
      <c r="F656" s="3" t="s">
        <v>2379</v>
      </c>
      <c r="G656" s="3" t="s">
        <v>2379</v>
      </c>
      <c r="H656" s="3" t="s">
        <v>2379</v>
      </c>
      <c r="I656" s="1" t="s">
        <v>2380</v>
      </c>
      <c r="J656">
        <v>0</v>
      </c>
      <c r="K656" s="3" t="s">
        <v>2379</v>
      </c>
      <c r="P656" s="3"/>
    </row>
    <row r="657" spans="1:16" x14ac:dyDescent="0.25">
      <c r="A657" s="3" t="s">
        <v>1714</v>
      </c>
      <c r="B657">
        <v>41.3</v>
      </c>
      <c r="C657" t="str" cm="1">
        <f t="array" ref="C657">_xlfn.IFS(B657&lt;=18.5,  "Underweight",B657&lt;=24.9,"Normal weight",B657&lt;=29.9, "Over weight",B657&gt;=30,"Obesity")</f>
        <v>Obesity</v>
      </c>
      <c r="D657">
        <v>9.59</v>
      </c>
      <c r="E657" t="str" cm="1">
        <f t="array" ref="E657">_xlfn.IFS(D657&lt;5.7,"Normal",D657&lt;=6.4,"Prediabetes",D657&gt;=6.5,"Diabetes")</f>
        <v>Diabetes</v>
      </c>
      <c r="F657" s="3" t="s">
        <v>2379</v>
      </c>
      <c r="G657" s="3" t="s">
        <v>2379</v>
      </c>
      <c r="H657" s="3" t="s">
        <v>2379</v>
      </c>
      <c r="I657" s="1" t="s">
        <v>2380</v>
      </c>
      <c r="J657">
        <v>0</v>
      </c>
      <c r="K657" s="3" t="s">
        <v>2379</v>
      </c>
      <c r="P657" s="3"/>
    </row>
    <row r="658" spans="1:16" x14ac:dyDescent="0.25">
      <c r="A658" s="3" t="s">
        <v>1713</v>
      </c>
      <c r="B658">
        <v>42.95</v>
      </c>
      <c r="C658" t="str" cm="1">
        <f t="array" ref="C658">_xlfn.IFS(B658&lt;=18.5,  "Underweight",B658&lt;=24.9,"Normal weight",B658&lt;=29.9, "Over weight",B658&gt;=30,"Obesity")</f>
        <v>Obesity</v>
      </c>
      <c r="D658">
        <v>11.88</v>
      </c>
      <c r="E658" t="str" cm="1">
        <f t="array" ref="E658">_xlfn.IFS(D658&lt;5.7,"Normal",D658&lt;=6.4,"Prediabetes",D658&gt;=6.5,"Diabetes")</f>
        <v>Diabetes</v>
      </c>
      <c r="F658" s="3" t="s">
        <v>2382</v>
      </c>
      <c r="G658" s="3" t="s">
        <v>2379</v>
      </c>
      <c r="H658" s="3" t="s">
        <v>2379</v>
      </c>
      <c r="I658" s="1">
        <v>2</v>
      </c>
      <c r="J658">
        <v>2</v>
      </c>
      <c r="K658" s="3" t="s">
        <v>2379</v>
      </c>
      <c r="P658" s="3"/>
    </row>
    <row r="659" spans="1:16" x14ac:dyDescent="0.25">
      <c r="A659" s="3" t="s">
        <v>1712</v>
      </c>
      <c r="B659">
        <v>46.96</v>
      </c>
      <c r="C659" t="str" cm="1">
        <f t="array" ref="C659">_xlfn.IFS(B659&lt;=18.5,  "Underweight",B659&lt;=24.9,"Normal weight",B659&lt;=29.9, "Over weight",B659&gt;=30,"Obesity")</f>
        <v>Obesity</v>
      </c>
      <c r="D659">
        <v>4.6399999999999997</v>
      </c>
      <c r="E659" t="str" cm="1">
        <f t="array" ref="E659">_xlfn.IFS(D659&lt;5.7,"Normal",D659&lt;=6.4,"Prediabetes",D659&gt;=6.5,"Diabetes")</f>
        <v>Normal</v>
      </c>
      <c r="F659" s="3" t="s">
        <v>2379</v>
      </c>
      <c r="G659" s="3" t="s">
        <v>2379</v>
      </c>
      <c r="H659" s="3" t="s">
        <v>2382</v>
      </c>
      <c r="I659" s="1">
        <v>1</v>
      </c>
      <c r="J659">
        <v>1</v>
      </c>
      <c r="K659" s="3" t="s">
        <v>2379</v>
      </c>
      <c r="P659" s="3"/>
    </row>
    <row r="660" spans="1:16" x14ac:dyDescent="0.25">
      <c r="A660" s="3" t="s">
        <v>1711</v>
      </c>
      <c r="B660">
        <v>30.495000000000001</v>
      </c>
      <c r="C660" t="str" cm="1">
        <f t="array" ref="C660">_xlfn.IFS(B660&lt;=18.5,  "Underweight",B660&lt;=24.9,"Normal weight",B660&lt;=29.9, "Over weight",B660&gt;=30,"Obesity")</f>
        <v>Obesity</v>
      </c>
      <c r="D660">
        <v>9.5299999999999994</v>
      </c>
      <c r="E660" t="str" cm="1">
        <f t="array" ref="E660">_xlfn.IFS(D660&lt;5.7,"Normal",D660&lt;=6.4,"Prediabetes",D660&gt;=6.5,"Diabetes")</f>
        <v>Diabetes</v>
      </c>
      <c r="F660" s="3" t="s">
        <v>2379</v>
      </c>
      <c r="G660" s="3" t="s">
        <v>2379</v>
      </c>
      <c r="H660" s="3" t="s">
        <v>2379</v>
      </c>
      <c r="I660" s="1" t="s">
        <v>2380</v>
      </c>
      <c r="J660">
        <v>0</v>
      </c>
      <c r="K660" s="3" t="s">
        <v>2379</v>
      </c>
      <c r="P660" s="3"/>
    </row>
    <row r="661" spans="1:16" x14ac:dyDescent="0.25">
      <c r="A661" s="3" t="s">
        <v>1710</v>
      </c>
      <c r="B661">
        <v>17.954999999999998</v>
      </c>
      <c r="C661" t="str" cm="1">
        <f t="array" ref="C661">_xlfn.IFS(B661&lt;=18.5,  "Underweight",B661&lt;=24.9,"Normal weight",B661&lt;=29.9, "Over weight",B661&gt;=30,"Obesity")</f>
        <v>Underweight</v>
      </c>
      <c r="D661">
        <v>5.29</v>
      </c>
      <c r="E661" t="str" cm="1">
        <f t="array" ref="E661">_xlfn.IFS(D661&lt;5.7,"Normal",D661&lt;=6.4,"Prediabetes",D661&gt;=6.5,"Diabetes")</f>
        <v>Normal</v>
      </c>
      <c r="F661" s="3" t="s">
        <v>2382</v>
      </c>
      <c r="G661" s="3" t="s">
        <v>2379</v>
      </c>
      <c r="H661" s="3" t="s">
        <v>2379</v>
      </c>
      <c r="I661" s="1">
        <v>1</v>
      </c>
      <c r="J661">
        <v>1</v>
      </c>
      <c r="K661" s="3" t="s">
        <v>2382</v>
      </c>
      <c r="P661" s="3"/>
    </row>
    <row r="662" spans="1:16" x14ac:dyDescent="0.25">
      <c r="A662" s="3" t="s">
        <v>1709</v>
      </c>
      <c r="B662">
        <v>25.6</v>
      </c>
      <c r="C662" t="str" cm="1">
        <f t="array" ref="C662">_xlfn.IFS(B662&lt;=18.5,  "Underweight",B662&lt;=24.9,"Normal weight",B662&lt;=29.9, "Over weight",B662&gt;=30,"Obesity")</f>
        <v>Over weight</v>
      </c>
      <c r="D662">
        <v>10.95</v>
      </c>
      <c r="E662" t="str" cm="1">
        <f t="array" ref="E662">_xlfn.IFS(D662&lt;5.7,"Normal",D662&lt;=6.4,"Prediabetes",D662&gt;=6.5,"Diabetes")</f>
        <v>Diabetes</v>
      </c>
      <c r="F662" s="3" t="s">
        <v>2379</v>
      </c>
      <c r="G662" s="3" t="s">
        <v>2379</v>
      </c>
      <c r="H662" s="3" t="s">
        <v>2379</v>
      </c>
      <c r="I662" s="1">
        <v>3</v>
      </c>
      <c r="J662">
        <v>3</v>
      </c>
      <c r="K662" s="3" t="s">
        <v>2379</v>
      </c>
      <c r="P662" s="3"/>
    </row>
    <row r="663" spans="1:16" x14ac:dyDescent="0.25">
      <c r="A663" s="3" t="s">
        <v>1708</v>
      </c>
      <c r="B663">
        <v>34.21</v>
      </c>
      <c r="C663" t="str" cm="1">
        <f t="array" ref="C663">_xlfn.IFS(B663&lt;=18.5,  "Underweight",B663&lt;=24.9,"Normal weight",B663&lt;=29.9, "Over weight",B663&gt;=30,"Obesity")</f>
        <v>Obesity</v>
      </c>
      <c r="D663">
        <v>9.17</v>
      </c>
      <c r="E663" t="str" cm="1">
        <f t="array" ref="E663">_xlfn.IFS(D663&lt;5.7,"Normal",D663&lt;=6.4,"Prediabetes",D663&gt;=6.5,"Diabetes")</f>
        <v>Diabetes</v>
      </c>
      <c r="F663" s="3" t="s">
        <v>2379</v>
      </c>
      <c r="G663" s="3" t="s">
        <v>2379</v>
      </c>
      <c r="H663" s="3" t="s">
        <v>2379</v>
      </c>
      <c r="I663" s="1" t="s">
        <v>2380</v>
      </c>
      <c r="J663">
        <v>0</v>
      </c>
      <c r="K663" s="3" t="s">
        <v>2379</v>
      </c>
      <c r="P663" s="3"/>
    </row>
    <row r="664" spans="1:16" x14ac:dyDescent="0.25">
      <c r="A664" s="3" t="s">
        <v>1707</v>
      </c>
      <c r="B664">
        <v>39.74</v>
      </c>
      <c r="C664" t="str" cm="1">
        <f t="array" ref="C664">_xlfn.IFS(B664&lt;=18.5,  "Underweight",B664&lt;=24.9,"Normal weight",B664&lt;=29.9, "Over weight",B664&gt;=30,"Obesity")</f>
        <v>Obesity</v>
      </c>
      <c r="D664">
        <v>7.39</v>
      </c>
      <c r="E664" t="str" cm="1">
        <f t="array" ref="E664">_xlfn.IFS(D664&lt;5.7,"Normal",D664&lt;=6.4,"Prediabetes",D664&gt;=6.5,"Diabetes")</f>
        <v>Diabetes</v>
      </c>
      <c r="F664" s="3" t="s">
        <v>2379</v>
      </c>
      <c r="G664" s="3" t="s">
        <v>2379</v>
      </c>
      <c r="H664" s="3" t="s">
        <v>2379</v>
      </c>
      <c r="I664" s="1" t="s">
        <v>2380</v>
      </c>
      <c r="J664">
        <v>0</v>
      </c>
      <c r="K664" s="3" t="s">
        <v>2379</v>
      </c>
      <c r="P664" s="3"/>
    </row>
    <row r="665" spans="1:16" x14ac:dyDescent="0.25">
      <c r="A665" s="3" t="s">
        <v>1706</v>
      </c>
      <c r="B665">
        <v>49.53</v>
      </c>
      <c r="C665" t="str" cm="1">
        <f t="array" ref="C665">_xlfn.IFS(B665&lt;=18.5,  "Underweight",B665&lt;=24.9,"Normal weight",B665&lt;=29.9, "Over weight",B665&gt;=30,"Obesity")</f>
        <v>Obesity</v>
      </c>
      <c r="D665">
        <v>9.1300000000000008</v>
      </c>
      <c r="E665" t="str" cm="1">
        <f t="array" ref="E665">_xlfn.IFS(D665&lt;5.7,"Normal",D665&lt;=6.4,"Prediabetes",D665&gt;=6.5,"Diabetes")</f>
        <v>Diabetes</v>
      </c>
      <c r="F665" s="3" t="s">
        <v>2382</v>
      </c>
      <c r="G665" s="3" t="s">
        <v>2379</v>
      </c>
      <c r="H665" s="3" t="s">
        <v>2379</v>
      </c>
      <c r="I665" s="1" t="s">
        <v>2380</v>
      </c>
      <c r="J665">
        <v>0</v>
      </c>
      <c r="K665" s="3" t="s">
        <v>2379</v>
      </c>
      <c r="P665" s="3"/>
    </row>
    <row r="666" spans="1:16" x14ac:dyDescent="0.25">
      <c r="A666" s="3" t="s">
        <v>1705</v>
      </c>
      <c r="B666">
        <v>39.33</v>
      </c>
      <c r="C666" t="str" cm="1">
        <f t="array" ref="C666">_xlfn.IFS(B666&lt;=18.5,  "Underweight",B666&lt;=24.9,"Normal weight",B666&lt;=29.9, "Over weight",B666&gt;=30,"Obesity")</f>
        <v>Obesity</v>
      </c>
      <c r="D666">
        <v>10.4</v>
      </c>
      <c r="E666" t="str" cm="1">
        <f t="array" ref="E666">_xlfn.IFS(D666&lt;5.7,"Normal",D666&lt;=6.4,"Prediabetes",D666&gt;=6.5,"Diabetes")</f>
        <v>Diabetes</v>
      </c>
      <c r="F666" s="3" t="s">
        <v>2379</v>
      </c>
      <c r="G666" s="3" t="s">
        <v>2379</v>
      </c>
      <c r="H666" s="3" t="s">
        <v>2379</v>
      </c>
      <c r="I666" s="1">
        <v>3</v>
      </c>
      <c r="J666">
        <v>3</v>
      </c>
      <c r="K666" s="3" t="s">
        <v>2379</v>
      </c>
      <c r="P666" s="3"/>
    </row>
    <row r="667" spans="1:16" x14ac:dyDescent="0.25">
      <c r="A667" s="3" t="s">
        <v>1704</v>
      </c>
      <c r="B667">
        <v>39.979999999999997</v>
      </c>
      <c r="C667" t="str" cm="1">
        <f t="array" ref="C667">_xlfn.IFS(B667&lt;=18.5,  "Underweight",B667&lt;=24.9,"Normal weight",B667&lt;=29.9, "Over weight",B667&gt;=30,"Obesity")</f>
        <v>Obesity</v>
      </c>
      <c r="D667">
        <v>9.4600000000000009</v>
      </c>
      <c r="E667" t="str" cm="1">
        <f t="array" ref="E667">_xlfn.IFS(D667&lt;5.7,"Normal",D667&lt;=6.4,"Prediabetes",D667&gt;=6.5,"Diabetes")</f>
        <v>Diabetes</v>
      </c>
      <c r="F667" s="3" t="s">
        <v>2382</v>
      </c>
      <c r="G667" s="3" t="s">
        <v>2379</v>
      </c>
      <c r="H667" s="3" t="s">
        <v>2379</v>
      </c>
      <c r="I667" s="1">
        <v>2</v>
      </c>
      <c r="J667">
        <v>2</v>
      </c>
      <c r="K667" s="3" t="s">
        <v>2379</v>
      </c>
      <c r="P667" s="3"/>
    </row>
    <row r="668" spans="1:16" x14ac:dyDescent="0.25">
      <c r="A668" s="3" t="s">
        <v>1703</v>
      </c>
      <c r="B668">
        <v>46.51</v>
      </c>
      <c r="C668" t="str" cm="1">
        <f t="array" ref="C668">_xlfn.IFS(B668&lt;=18.5,  "Underweight",B668&lt;=24.9,"Normal weight",B668&lt;=29.9, "Over weight",B668&gt;=30,"Obesity")</f>
        <v>Obesity</v>
      </c>
      <c r="D668">
        <v>8.69</v>
      </c>
      <c r="E668" t="str" cm="1">
        <f t="array" ref="E668">_xlfn.IFS(D668&lt;5.7,"Normal",D668&lt;=6.4,"Prediabetes",D668&gt;=6.5,"Diabetes")</f>
        <v>Diabetes</v>
      </c>
      <c r="F668" s="3" t="s">
        <v>2382</v>
      </c>
      <c r="G668" s="3" t="s">
        <v>2379</v>
      </c>
      <c r="H668" s="3" t="s">
        <v>2379</v>
      </c>
      <c r="I668" s="1" t="s">
        <v>2380</v>
      </c>
      <c r="J668">
        <v>0</v>
      </c>
      <c r="K668" s="3" t="s">
        <v>2379</v>
      </c>
      <c r="P668" s="3"/>
    </row>
    <row r="669" spans="1:16" x14ac:dyDescent="0.25">
      <c r="A669" s="3" t="s">
        <v>1702</v>
      </c>
      <c r="B669">
        <v>43.58</v>
      </c>
      <c r="C669" t="str" cm="1">
        <f t="array" ref="C669">_xlfn.IFS(B669&lt;=18.5,  "Underweight",B669&lt;=24.9,"Normal weight",B669&lt;=29.9, "Over weight",B669&gt;=30,"Obesity")</f>
        <v>Obesity</v>
      </c>
      <c r="D669">
        <v>4.2300000000000004</v>
      </c>
      <c r="E669" t="str" cm="1">
        <f t="array" ref="E669">_xlfn.IFS(D669&lt;5.7,"Normal",D669&lt;=6.4,"Prediabetes",D669&gt;=6.5,"Diabetes")</f>
        <v>Normal</v>
      </c>
      <c r="F669" s="3" t="s">
        <v>2379</v>
      </c>
      <c r="G669" s="3" t="s">
        <v>2379</v>
      </c>
      <c r="H669" s="3" t="s">
        <v>2382</v>
      </c>
      <c r="I669" s="1">
        <v>1</v>
      </c>
      <c r="J669">
        <v>1</v>
      </c>
      <c r="K669" s="3" t="s">
        <v>2379</v>
      </c>
      <c r="P669" s="3"/>
    </row>
    <row r="670" spans="1:16" x14ac:dyDescent="0.25">
      <c r="A670" s="3" t="s">
        <v>1701</v>
      </c>
      <c r="B670">
        <v>42.28</v>
      </c>
      <c r="C670" t="str" cm="1">
        <f t="array" ref="C670">_xlfn.IFS(B670&lt;=18.5,  "Underweight",B670&lt;=24.9,"Normal weight",B670&lt;=29.9, "Over weight",B670&gt;=30,"Obesity")</f>
        <v>Obesity</v>
      </c>
      <c r="D670">
        <v>9.16</v>
      </c>
      <c r="E670" t="str" cm="1">
        <f t="array" ref="E670">_xlfn.IFS(D670&lt;5.7,"Normal",D670&lt;=6.4,"Prediabetes",D670&gt;=6.5,"Diabetes")</f>
        <v>Diabetes</v>
      </c>
      <c r="F670" s="3" t="s">
        <v>2382</v>
      </c>
      <c r="G670" s="3" t="s">
        <v>2379</v>
      </c>
      <c r="H670" s="3" t="s">
        <v>2379</v>
      </c>
      <c r="I670" s="1">
        <v>1</v>
      </c>
      <c r="J670">
        <v>1</v>
      </c>
      <c r="K670" s="3" t="s">
        <v>2379</v>
      </c>
      <c r="P670" s="3"/>
    </row>
    <row r="671" spans="1:16" x14ac:dyDescent="0.25">
      <c r="A671" s="3" t="s">
        <v>1700</v>
      </c>
      <c r="B671">
        <v>35.520000000000003</v>
      </c>
      <c r="C671" t="str" cm="1">
        <f t="array" ref="C671">_xlfn.IFS(B671&lt;=18.5,  "Underweight",B671&lt;=24.9,"Normal weight",B671&lt;=29.9, "Over weight",B671&gt;=30,"Obesity")</f>
        <v>Obesity</v>
      </c>
      <c r="D671">
        <v>8.26</v>
      </c>
      <c r="E671" t="str" cm="1">
        <f t="array" ref="E671">_xlfn.IFS(D671&lt;5.7,"Normal",D671&lt;=6.4,"Prediabetes",D671&gt;=6.5,"Diabetes")</f>
        <v>Diabetes</v>
      </c>
      <c r="F671" s="3" t="s">
        <v>2379</v>
      </c>
      <c r="G671" s="3" t="s">
        <v>2379</v>
      </c>
      <c r="H671" s="3" t="s">
        <v>2379</v>
      </c>
      <c r="I671" s="1" t="s">
        <v>2380</v>
      </c>
      <c r="J671">
        <v>0</v>
      </c>
      <c r="K671" s="3" t="s">
        <v>2379</v>
      </c>
      <c r="P671" s="3"/>
    </row>
    <row r="672" spans="1:16" x14ac:dyDescent="0.25">
      <c r="A672" s="3" t="s">
        <v>1699</v>
      </c>
      <c r="B672">
        <v>33.6</v>
      </c>
      <c r="C672" t="str" cm="1">
        <f t="array" ref="C672">_xlfn.IFS(B672&lt;=18.5,  "Underweight",B672&lt;=24.9,"Normal weight",B672&lt;=29.9, "Over weight",B672&gt;=30,"Obesity")</f>
        <v>Obesity</v>
      </c>
      <c r="D672">
        <v>11.25</v>
      </c>
      <c r="E672" t="str" cm="1">
        <f t="array" ref="E672">_xlfn.IFS(D672&lt;5.7,"Normal",D672&lt;=6.4,"Prediabetes",D672&gt;=6.5,"Diabetes")</f>
        <v>Diabetes</v>
      </c>
      <c r="F672" s="3" t="s">
        <v>2379</v>
      </c>
      <c r="G672" s="3" t="s">
        <v>2379</v>
      </c>
      <c r="H672" s="3" t="s">
        <v>2379</v>
      </c>
      <c r="I672" s="1" t="s">
        <v>2380</v>
      </c>
      <c r="J672">
        <v>0</v>
      </c>
      <c r="K672" s="3" t="s">
        <v>2379</v>
      </c>
      <c r="P672" s="3"/>
    </row>
    <row r="673" spans="1:16" x14ac:dyDescent="0.25">
      <c r="A673" s="3" t="s">
        <v>1698</v>
      </c>
      <c r="B673">
        <v>22.42</v>
      </c>
      <c r="C673" t="str" cm="1">
        <f t="array" ref="C673">_xlfn.IFS(B673&lt;=18.5,  "Underweight",B673&lt;=24.9,"Normal weight",B673&lt;=29.9, "Over weight",B673&gt;=30,"Obesity")</f>
        <v>Normal weight</v>
      </c>
      <c r="D673">
        <v>6.74</v>
      </c>
      <c r="E673" t="str" cm="1">
        <f t="array" ref="E673">_xlfn.IFS(D673&lt;5.7,"Normal",D673&lt;=6.4,"Prediabetes",D673&gt;=6.5,"Diabetes")</f>
        <v>Diabetes</v>
      </c>
      <c r="F673" s="3" t="s">
        <v>2379</v>
      </c>
      <c r="G673" s="3" t="s">
        <v>2379</v>
      </c>
      <c r="H673" s="3" t="s">
        <v>2379</v>
      </c>
      <c r="I673" s="1" t="s">
        <v>2380</v>
      </c>
      <c r="J673">
        <v>0</v>
      </c>
      <c r="K673" s="3" t="s">
        <v>2382</v>
      </c>
      <c r="P673" s="3"/>
    </row>
    <row r="674" spans="1:16" x14ac:dyDescent="0.25">
      <c r="A674" s="3" t="s">
        <v>1697</v>
      </c>
      <c r="B674">
        <v>46.86</v>
      </c>
      <c r="C674" t="str" cm="1">
        <f t="array" ref="C674">_xlfn.IFS(B674&lt;=18.5,  "Underweight",B674&lt;=24.9,"Normal weight",B674&lt;=29.9, "Over weight",B674&gt;=30,"Obesity")</f>
        <v>Obesity</v>
      </c>
      <c r="D674">
        <v>4.87</v>
      </c>
      <c r="E674" t="str" cm="1">
        <f t="array" ref="E674">_xlfn.IFS(D674&lt;5.7,"Normal",D674&lt;=6.4,"Prediabetes",D674&gt;=6.5,"Diabetes")</f>
        <v>Normal</v>
      </c>
      <c r="F674" s="3" t="s">
        <v>2379</v>
      </c>
      <c r="G674" s="3" t="s">
        <v>2379</v>
      </c>
      <c r="H674" s="3" t="s">
        <v>2379</v>
      </c>
      <c r="I674" s="1" t="s">
        <v>2380</v>
      </c>
      <c r="J674">
        <v>0</v>
      </c>
      <c r="K674" s="3" t="s">
        <v>2379</v>
      </c>
      <c r="P674" s="3"/>
    </row>
    <row r="675" spans="1:16" x14ac:dyDescent="0.25">
      <c r="A675" s="3" t="s">
        <v>1696</v>
      </c>
      <c r="B675">
        <v>32.965000000000003</v>
      </c>
      <c r="C675" t="str" cm="1">
        <f t="array" ref="C675">_xlfn.IFS(B675&lt;=18.5,  "Underweight",B675&lt;=24.9,"Normal weight",B675&lt;=29.9, "Over weight",B675&gt;=30,"Obesity")</f>
        <v>Obesity</v>
      </c>
      <c r="D675">
        <v>6.68</v>
      </c>
      <c r="E675" t="str" cm="1">
        <f t="array" ref="E675">_xlfn.IFS(D675&lt;5.7,"Normal",D675&lt;=6.4,"Prediabetes",D675&gt;=6.5,"Diabetes")</f>
        <v>Diabetes</v>
      </c>
      <c r="F675" s="3" t="s">
        <v>2379</v>
      </c>
      <c r="G675" s="3" t="s">
        <v>2379</v>
      </c>
      <c r="H675" s="3" t="s">
        <v>2379</v>
      </c>
      <c r="I675" s="1">
        <v>3</v>
      </c>
      <c r="J675">
        <v>3</v>
      </c>
      <c r="K675" s="3" t="s">
        <v>2379</v>
      </c>
      <c r="P675" s="3"/>
    </row>
    <row r="676" spans="1:16" x14ac:dyDescent="0.25">
      <c r="A676" s="3" t="s">
        <v>1695</v>
      </c>
      <c r="B676">
        <v>39.340000000000003</v>
      </c>
      <c r="C676" t="str" cm="1">
        <f t="array" ref="C676">_xlfn.IFS(B676&lt;=18.5,  "Underweight",B676&lt;=24.9,"Normal weight",B676&lt;=29.9, "Over weight",B676&gt;=30,"Obesity")</f>
        <v>Obesity</v>
      </c>
      <c r="D676">
        <v>5.0199999999999996</v>
      </c>
      <c r="E676" t="str" cm="1">
        <f t="array" ref="E676">_xlfn.IFS(D676&lt;5.7,"Normal",D676&lt;=6.4,"Prediabetes",D676&gt;=6.5,"Diabetes")</f>
        <v>Normal</v>
      </c>
      <c r="F676" s="3" t="s">
        <v>2382</v>
      </c>
      <c r="G676" s="3" t="s">
        <v>2379</v>
      </c>
      <c r="H676" s="3" t="s">
        <v>2382</v>
      </c>
      <c r="I676" s="1">
        <v>1</v>
      </c>
      <c r="J676">
        <v>1</v>
      </c>
      <c r="K676" s="3" t="s">
        <v>2379</v>
      </c>
      <c r="P676" s="3"/>
    </row>
    <row r="677" spans="1:16" x14ac:dyDescent="0.25">
      <c r="A677" s="3" t="s">
        <v>1694</v>
      </c>
      <c r="B677">
        <v>47</v>
      </c>
      <c r="C677" t="str" cm="1">
        <f t="array" ref="C677">_xlfn.IFS(B677&lt;=18.5,  "Underweight",B677&lt;=24.9,"Normal weight",B677&lt;=29.9, "Over weight",B677&gt;=30,"Obesity")</f>
        <v>Obesity</v>
      </c>
      <c r="D677">
        <v>10.64</v>
      </c>
      <c r="E677" t="str" cm="1">
        <f t="array" ref="E677">_xlfn.IFS(D677&lt;5.7,"Normal",D677&lt;=6.4,"Prediabetes",D677&gt;=6.5,"Diabetes")</f>
        <v>Diabetes</v>
      </c>
      <c r="F677" s="3" t="s">
        <v>2382</v>
      </c>
      <c r="G677" s="3" t="s">
        <v>2379</v>
      </c>
      <c r="H677" s="3" t="s">
        <v>2379</v>
      </c>
      <c r="I677" s="1" t="s">
        <v>2380</v>
      </c>
      <c r="J677">
        <v>0</v>
      </c>
      <c r="K677" s="3" t="s">
        <v>2379</v>
      </c>
      <c r="P677" s="3"/>
    </row>
    <row r="678" spans="1:16" x14ac:dyDescent="0.25">
      <c r="A678" s="3" t="s">
        <v>1693</v>
      </c>
      <c r="B678">
        <v>36.71</v>
      </c>
      <c r="C678" t="str" cm="1">
        <f t="array" ref="C678">_xlfn.IFS(B678&lt;=18.5,  "Underweight",B678&lt;=24.9,"Normal weight",B678&lt;=29.9, "Over weight",B678&gt;=30,"Obesity")</f>
        <v>Obesity</v>
      </c>
      <c r="D678">
        <v>8.74</v>
      </c>
      <c r="E678" t="str" cm="1">
        <f t="array" ref="E678">_xlfn.IFS(D678&lt;5.7,"Normal",D678&lt;=6.4,"Prediabetes",D678&gt;=6.5,"Diabetes")</f>
        <v>Diabetes</v>
      </c>
      <c r="F678" s="3" t="s">
        <v>2382</v>
      </c>
      <c r="G678" s="3" t="s">
        <v>2379</v>
      </c>
      <c r="H678" s="3" t="s">
        <v>2379</v>
      </c>
      <c r="I678" s="1" t="s">
        <v>2380</v>
      </c>
      <c r="J678">
        <v>0</v>
      </c>
      <c r="K678" s="3" t="s">
        <v>2379</v>
      </c>
      <c r="P678" s="3"/>
    </row>
    <row r="679" spans="1:16" x14ac:dyDescent="0.25">
      <c r="A679" s="3" t="s">
        <v>1692</v>
      </c>
      <c r="B679">
        <v>53.48</v>
      </c>
      <c r="C679" t="str" cm="1">
        <f t="array" ref="C679">_xlfn.IFS(B679&lt;=18.5,  "Underweight",B679&lt;=24.9,"Normal weight",B679&lt;=29.9, "Over weight",B679&gt;=30,"Obesity")</f>
        <v>Obesity</v>
      </c>
      <c r="D679">
        <v>5.64</v>
      </c>
      <c r="E679" t="str" cm="1">
        <f t="array" ref="E679">_xlfn.IFS(D679&lt;5.7,"Normal",D679&lt;=6.4,"Prediabetes",D679&gt;=6.5,"Diabetes")</f>
        <v>Normal</v>
      </c>
      <c r="F679" s="3" t="s">
        <v>2379</v>
      </c>
      <c r="G679" s="3" t="s">
        <v>2379</v>
      </c>
      <c r="H679" s="3" t="s">
        <v>2379</v>
      </c>
      <c r="I679" s="1" t="s">
        <v>2380</v>
      </c>
      <c r="J679">
        <v>0</v>
      </c>
      <c r="K679" s="3" t="s">
        <v>2379</v>
      </c>
      <c r="P679" s="3"/>
    </row>
    <row r="680" spans="1:16" x14ac:dyDescent="0.25">
      <c r="A680" s="3" t="s">
        <v>1691</v>
      </c>
      <c r="B680">
        <v>35.5</v>
      </c>
      <c r="C680" t="str" cm="1">
        <f t="array" ref="C680">_xlfn.IFS(B680&lt;=18.5,  "Underweight",B680&lt;=24.9,"Normal weight",B680&lt;=29.9, "Over weight",B680&gt;=30,"Obesity")</f>
        <v>Obesity</v>
      </c>
      <c r="D680">
        <v>10.37</v>
      </c>
      <c r="E680" t="str" cm="1">
        <f t="array" ref="E680">_xlfn.IFS(D680&lt;5.7,"Normal",D680&lt;=6.4,"Prediabetes",D680&gt;=6.5,"Diabetes")</f>
        <v>Diabetes</v>
      </c>
      <c r="F680" s="3" t="s">
        <v>2379</v>
      </c>
      <c r="G680" s="3" t="s">
        <v>2379</v>
      </c>
      <c r="H680" s="3" t="s">
        <v>2379</v>
      </c>
      <c r="I680" s="1" t="s">
        <v>2380</v>
      </c>
      <c r="J680">
        <v>0</v>
      </c>
      <c r="K680" s="3" t="s">
        <v>2379</v>
      </c>
      <c r="P680" s="3"/>
    </row>
    <row r="681" spans="1:16" x14ac:dyDescent="0.25">
      <c r="A681" s="3" t="s">
        <v>1690</v>
      </c>
      <c r="B681">
        <v>36.979999999999997</v>
      </c>
      <c r="C681" t="str" cm="1">
        <f t="array" ref="C681">_xlfn.IFS(B681&lt;=18.5,  "Underweight",B681&lt;=24.9,"Normal weight",B681&lt;=29.9, "Over weight",B681&gt;=30,"Obesity")</f>
        <v>Obesity</v>
      </c>
      <c r="D681">
        <v>9.56</v>
      </c>
      <c r="E681" t="str" cm="1">
        <f t="array" ref="E681">_xlfn.IFS(D681&lt;5.7,"Normal",D681&lt;=6.4,"Prediabetes",D681&gt;=6.5,"Diabetes")</f>
        <v>Diabetes</v>
      </c>
      <c r="F681" s="3" t="s">
        <v>2382</v>
      </c>
      <c r="G681" s="3" t="s">
        <v>2379</v>
      </c>
      <c r="H681" s="3" t="s">
        <v>2379</v>
      </c>
      <c r="I681" s="1" t="s">
        <v>2380</v>
      </c>
      <c r="J681">
        <v>0</v>
      </c>
      <c r="K681" s="3" t="s">
        <v>2379</v>
      </c>
      <c r="P681" s="3"/>
    </row>
    <row r="682" spans="1:16" x14ac:dyDescent="0.25">
      <c r="A682" s="3" t="s">
        <v>1689</v>
      </c>
      <c r="B682">
        <v>32.395000000000003</v>
      </c>
      <c r="C682" t="str" cm="1">
        <f t="array" ref="C682">_xlfn.IFS(B682&lt;=18.5,  "Underweight",B682&lt;=24.9,"Normal weight",B682&lt;=29.9, "Over weight",B682&gt;=30,"Obesity")</f>
        <v>Obesity</v>
      </c>
      <c r="D682">
        <v>8.23</v>
      </c>
      <c r="E682" t="str" cm="1">
        <f t="array" ref="E682">_xlfn.IFS(D682&lt;5.7,"Normal",D682&lt;=6.4,"Prediabetes",D682&gt;=6.5,"Diabetes")</f>
        <v>Diabetes</v>
      </c>
      <c r="F682" s="3" t="s">
        <v>2382</v>
      </c>
      <c r="G682" s="3" t="s">
        <v>2379</v>
      </c>
      <c r="H682" s="3" t="s">
        <v>2382</v>
      </c>
      <c r="I682" s="1">
        <v>1</v>
      </c>
      <c r="J682">
        <v>1</v>
      </c>
      <c r="K682" s="3" t="s">
        <v>2379</v>
      </c>
      <c r="P682" s="3"/>
    </row>
    <row r="683" spans="1:16" x14ac:dyDescent="0.25">
      <c r="A683" s="3" t="s">
        <v>1688</v>
      </c>
      <c r="B683">
        <v>32.729999999999997</v>
      </c>
      <c r="C683" t="str" cm="1">
        <f t="array" ref="C683">_xlfn.IFS(B683&lt;=18.5,  "Underweight",B683&lt;=24.9,"Normal weight",B683&lt;=29.9, "Over weight",B683&gt;=30,"Obesity")</f>
        <v>Obesity</v>
      </c>
      <c r="D683">
        <v>7.03</v>
      </c>
      <c r="E683" t="str" cm="1">
        <f t="array" ref="E683">_xlfn.IFS(D683&lt;5.7,"Normal",D683&lt;=6.4,"Prediabetes",D683&gt;=6.5,"Diabetes")</f>
        <v>Diabetes</v>
      </c>
      <c r="F683" s="3" t="s">
        <v>2379</v>
      </c>
      <c r="G683" s="3" t="s">
        <v>2379</v>
      </c>
      <c r="H683" s="3" t="s">
        <v>2379</v>
      </c>
      <c r="I683" s="1" t="s">
        <v>2380</v>
      </c>
      <c r="J683">
        <v>0</v>
      </c>
      <c r="K683" s="3" t="s">
        <v>2379</v>
      </c>
      <c r="P683" s="3"/>
    </row>
    <row r="684" spans="1:16" x14ac:dyDescent="0.25">
      <c r="A684" s="3" t="s">
        <v>1687</v>
      </c>
      <c r="B684">
        <v>20.52</v>
      </c>
      <c r="C684" t="str" cm="1">
        <f t="array" ref="C684">_xlfn.IFS(B684&lt;=18.5,  "Underweight",B684&lt;=24.9,"Normal weight",B684&lt;=29.9, "Over weight",B684&gt;=30,"Obesity")</f>
        <v>Normal weight</v>
      </c>
      <c r="D684">
        <v>5.45</v>
      </c>
      <c r="E684" t="str" cm="1">
        <f t="array" ref="E684">_xlfn.IFS(D684&lt;5.7,"Normal",D684&lt;=6.4,"Prediabetes",D684&gt;=6.5,"Diabetes")</f>
        <v>Normal</v>
      </c>
      <c r="F684" s="3" t="s">
        <v>2379</v>
      </c>
      <c r="G684" s="3" t="s">
        <v>2379</v>
      </c>
      <c r="H684" s="3" t="s">
        <v>2379</v>
      </c>
      <c r="I684" s="1">
        <v>1</v>
      </c>
      <c r="J684">
        <v>1</v>
      </c>
      <c r="K684" s="3" t="s">
        <v>2382</v>
      </c>
      <c r="P684" s="3"/>
    </row>
    <row r="685" spans="1:16" x14ac:dyDescent="0.25">
      <c r="A685" s="3" t="s">
        <v>1686</v>
      </c>
      <c r="B685">
        <v>51.72</v>
      </c>
      <c r="C685" t="str" cm="1">
        <f t="array" ref="C685">_xlfn.IFS(B685&lt;=18.5,  "Underweight",B685&lt;=24.9,"Normal weight",B685&lt;=29.9, "Over weight",B685&gt;=30,"Obesity")</f>
        <v>Obesity</v>
      </c>
      <c r="D685">
        <v>5.76</v>
      </c>
      <c r="E685" t="str" cm="1">
        <f t="array" ref="E685">_xlfn.IFS(D685&lt;5.7,"Normal",D685&lt;=6.4,"Prediabetes",D685&gt;=6.5,"Diabetes")</f>
        <v>Prediabetes</v>
      </c>
      <c r="F685" s="3" t="s">
        <v>2379</v>
      </c>
      <c r="G685" s="3" t="s">
        <v>2379</v>
      </c>
      <c r="H685" s="3" t="s">
        <v>2379</v>
      </c>
      <c r="I685" s="1" t="s">
        <v>2380</v>
      </c>
      <c r="J685">
        <v>0</v>
      </c>
      <c r="K685" s="3" t="s">
        <v>2379</v>
      </c>
      <c r="P685" s="3"/>
    </row>
    <row r="686" spans="1:16" x14ac:dyDescent="0.25">
      <c r="A686" s="3" t="s">
        <v>1685</v>
      </c>
      <c r="B686">
        <v>50.2</v>
      </c>
      <c r="C686" t="str" cm="1">
        <f t="array" ref="C686">_xlfn.IFS(B686&lt;=18.5,  "Underweight",B686&lt;=24.9,"Normal weight",B686&lt;=29.9, "Over weight",B686&gt;=30,"Obesity")</f>
        <v>Obesity</v>
      </c>
      <c r="D686">
        <v>5.4</v>
      </c>
      <c r="E686" t="str" cm="1">
        <f t="array" ref="E686">_xlfn.IFS(D686&lt;5.7,"Normal",D686&lt;=6.4,"Prediabetes",D686&gt;=6.5,"Diabetes")</f>
        <v>Normal</v>
      </c>
      <c r="F686" s="3" t="s">
        <v>2379</v>
      </c>
      <c r="G686" s="3" t="s">
        <v>2379</v>
      </c>
      <c r="H686" s="3" t="s">
        <v>2379</v>
      </c>
      <c r="I686" s="1" t="s">
        <v>2380</v>
      </c>
      <c r="J686">
        <v>0</v>
      </c>
      <c r="K686" s="3" t="s">
        <v>2379</v>
      </c>
      <c r="P686" s="3"/>
    </row>
    <row r="687" spans="1:16" x14ac:dyDescent="0.25">
      <c r="A687" s="3" t="s">
        <v>1684</v>
      </c>
      <c r="B687">
        <v>25.52</v>
      </c>
      <c r="C687" t="str" cm="1">
        <f t="array" ref="C687">_xlfn.IFS(B687&lt;=18.5,  "Underweight",B687&lt;=24.9,"Normal weight",B687&lt;=29.9, "Over weight",B687&gt;=30,"Obesity")</f>
        <v>Over weight</v>
      </c>
      <c r="D687">
        <v>6.35</v>
      </c>
      <c r="E687" t="str" cm="1">
        <f t="array" ref="E687">_xlfn.IFS(D687&lt;5.7,"Normal",D687&lt;=6.4,"Prediabetes",D687&gt;=6.5,"Diabetes")</f>
        <v>Prediabetes</v>
      </c>
      <c r="F687" s="3" t="s">
        <v>2379</v>
      </c>
      <c r="G687" s="3" t="s">
        <v>2379</v>
      </c>
      <c r="H687" s="3" t="s">
        <v>2382</v>
      </c>
      <c r="I687" s="1">
        <v>1</v>
      </c>
      <c r="J687">
        <v>1</v>
      </c>
      <c r="K687" s="3" t="s">
        <v>2379</v>
      </c>
      <c r="P687" s="3"/>
    </row>
    <row r="688" spans="1:16" x14ac:dyDescent="0.25">
      <c r="A688" s="3" t="s">
        <v>1683</v>
      </c>
      <c r="B688">
        <v>35.200000000000003</v>
      </c>
      <c r="C688" t="str" cm="1">
        <f t="array" ref="C688">_xlfn.IFS(B688&lt;=18.5,  "Underweight",B688&lt;=24.9,"Normal weight",B688&lt;=29.9, "Over weight",B688&gt;=30,"Obesity")</f>
        <v>Obesity</v>
      </c>
      <c r="D688">
        <v>6.26</v>
      </c>
      <c r="E688" t="str" cm="1">
        <f t="array" ref="E688">_xlfn.IFS(D688&lt;5.7,"Normal",D688&lt;=6.4,"Prediabetes",D688&gt;=6.5,"Diabetes")</f>
        <v>Prediabetes</v>
      </c>
      <c r="F688" s="3" t="s">
        <v>2382</v>
      </c>
      <c r="G688" s="3" t="s">
        <v>2379</v>
      </c>
      <c r="H688" s="3" t="s">
        <v>2379</v>
      </c>
      <c r="I688" s="1">
        <v>2</v>
      </c>
      <c r="J688">
        <v>2</v>
      </c>
      <c r="K688" s="3" t="s">
        <v>2379</v>
      </c>
      <c r="P688" s="3"/>
    </row>
    <row r="689" spans="1:16" x14ac:dyDescent="0.25">
      <c r="A689" s="3" t="s">
        <v>1682</v>
      </c>
      <c r="B689">
        <v>41.26</v>
      </c>
      <c r="C689" t="str" cm="1">
        <f t="array" ref="C689">_xlfn.IFS(B689&lt;=18.5,  "Underweight",B689&lt;=24.9,"Normal weight",B689&lt;=29.9, "Over weight",B689&gt;=30,"Obesity")</f>
        <v>Obesity</v>
      </c>
      <c r="D689">
        <v>5.97</v>
      </c>
      <c r="E689" t="str" cm="1">
        <f t="array" ref="E689">_xlfn.IFS(D689&lt;5.7,"Normal",D689&lt;=6.4,"Prediabetes",D689&gt;=6.5,"Diabetes")</f>
        <v>Prediabetes</v>
      </c>
      <c r="F689" s="3" t="s">
        <v>2382</v>
      </c>
      <c r="G689" s="3" t="s">
        <v>2379</v>
      </c>
      <c r="H689" s="3" t="s">
        <v>2379</v>
      </c>
      <c r="I689" s="1" t="s">
        <v>2380</v>
      </c>
      <c r="J689">
        <v>0</v>
      </c>
      <c r="K689" s="3" t="s">
        <v>2379</v>
      </c>
      <c r="P689" s="3"/>
    </row>
    <row r="690" spans="1:16" x14ac:dyDescent="0.25">
      <c r="A690" s="3" t="s">
        <v>1681</v>
      </c>
      <c r="B690">
        <v>17.195</v>
      </c>
      <c r="C690" t="str" cm="1">
        <f t="array" ref="C690">_xlfn.IFS(B690&lt;=18.5,  "Underweight",B690&lt;=24.9,"Normal weight",B690&lt;=29.9, "Over weight",B690&gt;=30,"Obesity")</f>
        <v>Underweight</v>
      </c>
      <c r="D690">
        <v>5.29</v>
      </c>
      <c r="E690" t="str" cm="1">
        <f t="array" ref="E690">_xlfn.IFS(D690&lt;5.7,"Normal",D690&lt;=6.4,"Prediabetes",D690&gt;=6.5,"Diabetes")</f>
        <v>Normal</v>
      </c>
      <c r="F690" s="3" t="s">
        <v>2382</v>
      </c>
      <c r="G690" s="3" t="s">
        <v>2379</v>
      </c>
      <c r="H690" s="3" t="s">
        <v>2379</v>
      </c>
      <c r="I690" s="1" t="s">
        <v>2380</v>
      </c>
      <c r="J690">
        <v>0</v>
      </c>
      <c r="K690" s="3" t="s">
        <v>2382</v>
      </c>
      <c r="P690" s="3"/>
    </row>
    <row r="691" spans="1:16" x14ac:dyDescent="0.25">
      <c r="A691" s="3" t="s">
        <v>1680</v>
      </c>
      <c r="B691">
        <v>23.085000000000001</v>
      </c>
      <c r="C691" t="str" cm="1">
        <f t="array" ref="C691">_xlfn.IFS(B691&lt;=18.5,  "Underweight",B691&lt;=24.9,"Normal weight",B691&lt;=29.9, "Over weight",B691&gt;=30,"Obesity")</f>
        <v>Normal weight</v>
      </c>
      <c r="D691">
        <v>4.2699999999999996</v>
      </c>
      <c r="E691" t="str" cm="1">
        <f t="array" ref="E691">_xlfn.IFS(D691&lt;5.7,"Normal",D691&lt;=6.4,"Prediabetes",D691&gt;=6.5,"Diabetes")</f>
        <v>Normal</v>
      </c>
      <c r="F691" s="3" t="s">
        <v>2382</v>
      </c>
      <c r="G691" s="3" t="s">
        <v>2379</v>
      </c>
      <c r="H691" s="3" t="s">
        <v>2379</v>
      </c>
      <c r="I691" s="1">
        <v>2</v>
      </c>
      <c r="J691">
        <v>2</v>
      </c>
      <c r="K691" s="3" t="s">
        <v>2379</v>
      </c>
      <c r="P691" s="3"/>
    </row>
    <row r="692" spans="1:16" x14ac:dyDescent="0.25">
      <c r="A692" s="3" t="s">
        <v>1679</v>
      </c>
      <c r="B692">
        <v>21.66</v>
      </c>
      <c r="C692" t="str" cm="1">
        <f t="array" ref="C692">_xlfn.IFS(B692&lt;=18.5,  "Underweight",B692&lt;=24.9,"Normal weight",B692&lt;=29.9, "Over weight",B692&gt;=30,"Obesity")</f>
        <v>Normal weight</v>
      </c>
      <c r="D692">
        <v>5.2</v>
      </c>
      <c r="E692" t="str" cm="1">
        <f t="array" ref="E692">_xlfn.IFS(D692&lt;5.7,"Normal",D692&lt;=6.4,"Prediabetes",D692&gt;=6.5,"Diabetes")</f>
        <v>Normal</v>
      </c>
      <c r="F692" s="3" t="s">
        <v>2382</v>
      </c>
      <c r="G692" s="3" t="s">
        <v>2379</v>
      </c>
      <c r="H692" s="3" t="s">
        <v>2379</v>
      </c>
      <c r="I692" s="1">
        <v>2</v>
      </c>
      <c r="J692">
        <v>2</v>
      </c>
      <c r="K692" s="3" t="s">
        <v>2379</v>
      </c>
      <c r="P692" s="3"/>
    </row>
    <row r="693" spans="1:16" x14ac:dyDescent="0.25">
      <c r="A693" s="3" t="s">
        <v>1678</v>
      </c>
      <c r="B693">
        <v>36.47</v>
      </c>
      <c r="C693" t="str" cm="1">
        <f t="array" ref="C693">_xlfn.IFS(B693&lt;=18.5,  "Underweight",B693&lt;=24.9,"Normal weight",B693&lt;=29.9, "Over weight",B693&gt;=30,"Obesity")</f>
        <v>Obesity</v>
      </c>
      <c r="D693">
        <v>8.23</v>
      </c>
      <c r="E693" t="str" cm="1">
        <f t="array" ref="E693">_xlfn.IFS(D693&lt;5.7,"Normal",D693&lt;=6.4,"Prediabetes",D693&gt;=6.5,"Diabetes")</f>
        <v>Diabetes</v>
      </c>
      <c r="F693" s="3" t="s">
        <v>2382</v>
      </c>
      <c r="G693" s="3" t="s">
        <v>2379</v>
      </c>
      <c r="H693" s="3" t="s">
        <v>2379</v>
      </c>
      <c r="I693" s="1" t="s">
        <v>2380</v>
      </c>
      <c r="J693">
        <v>0</v>
      </c>
      <c r="K693" s="3" t="s">
        <v>2379</v>
      </c>
      <c r="P693" s="3"/>
    </row>
    <row r="694" spans="1:16" x14ac:dyDescent="0.25">
      <c r="A694" s="3" t="s">
        <v>1677</v>
      </c>
      <c r="B694">
        <v>36.08</v>
      </c>
      <c r="C694" t="str" cm="1">
        <f t="array" ref="C694">_xlfn.IFS(B694&lt;=18.5,  "Underweight",B694&lt;=24.9,"Normal weight",B694&lt;=29.9, "Over weight",B694&gt;=30,"Obesity")</f>
        <v>Obesity</v>
      </c>
      <c r="D694">
        <v>10.33</v>
      </c>
      <c r="E694" t="str" cm="1">
        <f t="array" ref="E694">_xlfn.IFS(D694&lt;5.7,"Normal",D694&lt;=6.4,"Prediabetes",D694&gt;=6.5,"Diabetes")</f>
        <v>Diabetes</v>
      </c>
      <c r="F694" s="3" t="s">
        <v>2382</v>
      </c>
      <c r="G694" s="3" t="s">
        <v>2379</v>
      </c>
      <c r="H694" s="3" t="s">
        <v>2379</v>
      </c>
      <c r="I694" s="1" t="s">
        <v>2380</v>
      </c>
      <c r="J694">
        <v>0</v>
      </c>
      <c r="K694" s="3" t="s">
        <v>2379</v>
      </c>
      <c r="P694" s="3"/>
    </row>
    <row r="695" spans="1:16" x14ac:dyDescent="0.25">
      <c r="A695" s="3" t="s">
        <v>1676</v>
      </c>
      <c r="B695">
        <v>23.18</v>
      </c>
      <c r="C695" t="str" cm="1">
        <f t="array" ref="C695">_xlfn.IFS(B695&lt;=18.5,  "Underweight",B695&lt;=24.9,"Normal weight",B695&lt;=29.9, "Over weight",B695&gt;=30,"Obesity")</f>
        <v>Normal weight</v>
      </c>
      <c r="D695">
        <v>6.13</v>
      </c>
      <c r="E695" t="str" cm="1">
        <f t="array" ref="E695">_xlfn.IFS(D695&lt;5.7,"Normal",D695&lt;=6.4,"Prediabetes",D695&gt;=6.5,"Diabetes")</f>
        <v>Prediabetes</v>
      </c>
      <c r="F695" s="3" t="s">
        <v>2379</v>
      </c>
      <c r="G695" s="3" t="s">
        <v>2379</v>
      </c>
      <c r="H695" s="3" t="s">
        <v>2379</v>
      </c>
      <c r="I695" s="1" t="s">
        <v>2380</v>
      </c>
      <c r="J695">
        <v>0</v>
      </c>
      <c r="K695" s="3" t="s">
        <v>2379</v>
      </c>
      <c r="P695" s="3"/>
    </row>
    <row r="696" spans="1:16" x14ac:dyDescent="0.25">
      <c r="A696" s="3" t="s">
        <v>1675</v>
      </c>
      <c r="B696">
        <v>39.159999999999997</v>
      </c>
      <c r="C696" t="str" cm="1">
        <f t="array" ref="C696">_xlfn.IFS(B696&lt;=18.5,  "Underweight",B696&lt;=24.9,"Normal weight",B696&lt;=29.9, "Over weight",B696&gt;=30,"Obesity")</f>
        <v>Obesity</v>
      </c>
      <c r="D696">
        <v>8.08</v>
      </c>
      <c r="E696" t="str" cm="1">
        <f t="array" ref="E696">_xlfn.IFS(D696&lt;5.7,"Normal",D696&lt;=6.4,"Prediabetes",D696&gt;=6.5,"Diabetes")</f>
        <v>Diabetes</v>
      </c>
      <c r="F696" s="3" t="s">
        <v>2379</v>
      </c>
      <c r="G696" s="3" t="s">
        <v>2379</v>
      </c>
      <c r="H696" s="3" t="s">
        <v>2379</v>
      </c>
      <c r="I696" s="1">
        <v>3</v>
      </c>
      <c r="J696">
        <v>3</v>
      </c>
      <c r="K696" s="3" t="s">
        <v>2379</v>
      </c>
      <c r="P696" s="3"/>
    </row>
    <row r="697" spans="1:16" x14ac:dyDescent="0.25">
      <c r="A697" s="3" t="s">
        <v>1674</v>
      </c>
      <c r="B697">
        <v>38.19</v>
      </c>
      <c r="C697" t="str" cm="1">
        <f t="array" ref="C697">_xlfn.IFS(B697&lt;=18.5,  "Underweight",B697&lt;=24.9,"Normal weight",B697&lt;=29.9, "Over weight",B697&gt;=30,"Obesity")</f>
        <v>Obesity</v>
      </c>
      <c r="D697">
        <v>10.49</v>
      </c>
      <c r="E697" t="str" cm="1">
        <f t="array" ref="E697">_xlfn.IFS(D697&lt;5.7,"Normal",D697&lt;=6.4,"Prediabetes",D697&gt;=6.5,"Diabetes")</f>
        <v>Diabetes</v>
      </c>
      <c r="F697" s="3" t="s">
        <v>2379</v>
      </c>
      <c r="G697" s="3" t="s">
        <v>2379</v>
      </c>
      <c r="H697" s="3" t="s">
        <v>2379</v>
      </c>
      <c r="I697" s="1">
        <v>3</v>
      </c>
      <c r="J697">
        <v>3</v>
      </c>
      <c r="K697" s="3" t="s">
        <v>2379</v>
      </c>
      <c r="P697" s="3"/>
    </row>
    <row r="698" spans="1:16" x14ac:dyDescent="0.25">
      <c r="A698" s="3" t="s">
        <v>1673</v>
      </c>
      <c r="B698">
        <v>26.41</v>
      </c>
      <c r="C698" t="str" cm="1">
        <f t="array" ref="C698">_xlfn.IFS(B698&lt;=18.5,  "Underweight",B698&lt;=24.9,"Normal weight",B698&lt;=29.9, "Over weight",B698&gt;=30,"Obesity")</f>
        <v>Over weight</v>
      </c>
      <c r="D698">
        <v>8.11</v>
      </c>
      <c r="E698" t="str" cm="1">
        <f t="array" ref="E698">_xlfn.IFS(D698&lt;5.7,"Normal",D698&lt;=6.4,"Prediabetes",D698&gt;=6.5,"Diabetes")</f>
        <v>Diabetes</v>
      </c>
      <c r="F698" s="3" t="s">
        <v>2379</v>
      </c>
      <c r="G698" s="3" t="s">
        <v>2379</v>
      </c>
      <c r="H698" s="3" t="s">
        <v>2379</v>
      </c>
      <c r="I698" s="1">
        <v>3</v>
      </c>
      <c r="J698">
        <v>3</v>
      </c>
      <c r="K698" s="3" t="s">
        <v>2379</v>
      </c>
      <c r="P698" s="3"/>
    </row>
    <row r="699" spans="1:16" x14ac:dyDescent="0.25">
      <c r="A699" s="3" t="s">
        <v>1672</v>
      </c>
      <c r="B699">
        <v>28.785</v>
      </c>
      <c r="C699" t="str" cm="1">
        <f t="array" ref="C699">_xlfn.IFS(B699&lt;=18.5,  "Underweight",B699&lt;=24.9,"Normal weight",B699&lt;=29.9, "Over weight",B699&gt;=30,"Obesity")</f>
        <v>Over weight</v>
      </c>
      <c r="D699">
        <v>6.6</v>
      </c>
      <c r="E699" t="str" cm="1">
        <f t="array" ref="E699">_xlfn.IFS(D699&lt;5.7,"Normal",D699&lt;=6.4,"Prediabetes",D699&gt;=6.5,"Diabetes")</f>
        <v>Diabetes</v>
      </c>
      <c r="F699" s="3" t="s">
        <v>2379</v>
      </c>
      <c r="G699" s="3" t="s">
        <v>2379</v>
      </c>
      <c r="H699" s="3" t="s">
        <v>2379</v>
      </c>
      <c r="I699" s="1" t="s">
        <v>2380</v>
      </c>
      <c r="J699">
        <v>0</v>
      </c>
      <c r="K699" s="3" t="s">
        <v>2379</v>
      </c>
      <c r="P699" s="3"/>
    </row>
    <row r="700" spans="1:16" x14ac:dyDescent="0.25">
      <c r="A700" s="3" t="s">
        <v>1671</v>
      </c>
      <c r="B700">
        <v>26.695</v>
      </c>
      <c r="C700" t="str" cm="1">
        <f t="array" ref="C700">_xlfn.IFS(B700&lt;=18.5,  "Underweight",B700&lt;=24.9,"Normal weight",B700&lt;=29.9, "Over weight",B700&gt;=30,"Obesity")</f>
        <v>Over weight</v>
      </c>
      <c r="D700">
        <v>10.14</v>
      </c>
      <c r="E700" t="str" cm="1">
        <f t="array" ref="E700">_xlfn.IFS(D700&lt;5.7,"Normal",D700&lt;=6.4,"Prediabetes",D700&gt;=6.5,"Diabetes")</f>
        <v>Diabetes</v>
      </c>
      <c r="F700" s="3" t="s">
        <v>2382</v>
      </c>
      <c r="G700" s="3" t="s">
        <v>2379</v>
      </c>
      <c r="H700" s="3" t="s">
        <v>2382</v>
      </c>
      <c r="I700" s="1">
        <v>1</v>
      </c>
      <c r="J700">
        <v>1</v>
      </c>
      <c r="K700" s="3" t="s">
        <v>2379</v>
      </c>
      <c r="P700" s="3"/>
    </row>
    <row r="701" spans="1:16" x14ac:dyDescent="0.25">
      <c r="A701" s="3" t="s">
        <v>1670</v>
      </c>
      <c r="B701">
        <v>32.799999999999997</v>
      </c>
      <c r="C701" t="str" cm="1">
        <f t="array" ref="C701">_xlfn.IFS(B701&lt;=18.5,  "Underweight",B701&lt;=24.9,"Normal weight",B701&lt;=29.9, "Over weight",B701&gt;=30,"Obesity")</f>
        <v>Obesity</v>
      </c>
      <c r="D701">
        <v>6.06</v>
      </c>
      <c r="E701" t="str" cm="1">
        <f t="array" ref="E701">_xlfn.IFS(D701&lt;5.7,"Normal",D701&lt;=6.4,"Prediabetes",D701&gt;=6.5,"Diabetes")</f>
        <v>Prediabetes</v>
      </c>
      <c r="F701" s="3" t="s">
        <v>2382</v>
      </c>
      <c r="G701" s="3" t="s">
        <v>2379</v>
      </c>
      <c r="H701" s="3" t="s">
        <v>2379</v>
      </c>
      <c r="I701" s="1">
        <v>1</v>
      </c>
      <c r="J701">
        <v>1</v>
      </c>
      <c r="K701" s="3" t="s">
        <v>2379</v>
      </c>
      <c r="P701" s="3"/>
    </row>
    <row r="702" spans="1:16" x14ac:dyDescent="0.25">
      <c r="A702" s="3" t="s">
        <v>1669</v>
      </c>
      <c r="B702">
        <v>35.869999999999997</v>
      </c>
      <c r="C702" t="str" cm="1">
        <f t="array" ref="C702">_xlfn.IFS(B702&lt;=18.5,  "Underweight",B702&lt;=24.9,"Normal weight",B702&lt;=29.9, "Over weight",B702&gt;=30,"Obesity")</f>
        <v>Obesity</v>
      </c>
      <c r="D702">
        <v>9.91</v>
      </c>
      <c r="E702" t="str" cm="1">
        <f t="array" ref="E702">_xlfn.IFS(D702&lt;5.7,"Normal",D702&lt;=6.4,"Prediabetes",D702&gt;=6.5,"Diabetes")</f>
        <v>Diabetes</v>
      </c>
      <c r="F702" s="3" t="s">
        <v>2382</v>
      </c>
      <c r="G702" s="3" t="s">
        <v>2379</v>
      </c>
      <c r="H702" s="3" t="s">
        <v>2379</v>
      </c>
      <c r="I702" s="1" t="s">
        <v>2380</v>
      </c>
      <c r="J702">
        <v>0</v>
      </c>
      <c r="K702" s="3" t="s">
        <v>2379</v>
      </c>
      <c r="P702" s="3"/>
    </row>
    <row r="703" spans="1:16" x14ac:dyDescent="0.25">
      <c r="A703" s="3" t="s">
        <v>1668</v>
      </c>
      <c r="B703">
        <v>21.66</v>
      </c>
      <c r="C703" t="str" cm="1">
        <f t="array" ref="C703">_xlfn.IFS(B703&lt;=18.5,  "Underweight",B703&lt;=24.9,"Normal weight",B703&lt;=29.9, "Over weight",B703&gt;=30,"Obesity")</f>
        <v>Normal weight</v>
      </c>
      <c r="D703">
        <v>4.1399999999999997</v>
      </c>
      <c r="E703" t="str" cm="1">
        <f t="array" ref="E703">_xlfn.IFS(D703&lt;5.7,"Normal",D703&lt;=6.4,"Prediabetes",D703&gt;=6.5,"Diabetes")</f>
        <v>Normal</v>
      </c>
      <c r="F703" s="3" t="s">
        <v>2382</v>
      </c>
      <c r="G703" s="3" t="s">
        <v>2379</v>
      </c>
      <c r="H703" s="3" t="s">
        <v>2379</v>
      </c>
      <c r="I703" s="1">
        <v>2</v>
      </c>
      <c r="J703">
        <v>2</v>
      </c>
      <c r="K703" s="3" t="s">
        <v>2379</v>
      </c>
      <c r="P703" s="3"/>
    </row>
    <row r="704" spans="1:16" x14ac:dyDescent="0.25">
      <c r="A704" s="3" t="s">
        <v>1667</v>
      </c>
      <c r="B704">
        <v>37.72</v>
      </c>
      <c r="C704" t="str" cm="1">
        <f t="array" ref="C704">_xlfn.IFS(B704&lt;=18.5,  "Underweight",B704&lt;=24.9,"Normal weight",B704&lt;=29.9, "Over weight",B704&gt;=30,"Obesity")</f>
        <v>Obesity</v>
      </c>
      <c r="D704">
        <v>4.38</v>
      </c>
      <c r="E704" t="str" cm="1">
        <f t="array" ref="E704">_xlfn.IFS(D704&lt;5.7,"Normal",D704&lt;=6.4,"Prediabetes",D704&gt;=6.5,"Diabetes")</f>
        <v>Normal</v>
      </c>
      <c r="F704" s="3" t="s">
        <v>2382</v>
      </c>
      <c r="G704" s="3" t="s">
        <v>2379</v>
      </c>
      <c r="H704" s="3" t="s">
        <v>2382</v>
      </c>
      <c r="I704" s="1">
        <v>1</v>
      </c>
      <c r="J704">
        <v>1</v>
      </c>
      <c r="K704" s="3" t="s">
        <v>2379</v>
      </c>
      <c r="P704" s="3"/>
    </row>
    <row r="705" spans="1:16" x14ac:dyDescent="0.25">
      <c r="A705" s="3" t="s">
        <v>1666</v>
      </c>
      <c r="B705">
        <v>39.700000000000003</v>
      </c>
      <c r="C705" t="str" cm="1">
        <f t="array" ref="C705">_xlfn.IFS(B705&lt;=18.5,  "Underweight",B705&lt;=24.9,"Normal weight",B705&lt;=29.9, "Over weight",B705&gt;=30,"Obesity")</f>
        <v>Obesity</v>
      </c>
      <c r="D705">
        <v>9.83</v>
      </c>
      <c r="E705" t="str" cm="1">
        <f t="array" ref="E705">_xlfn.IFS(D705&lt;5.7,"Normal",D705&lt;=6.4,"Prediabetes",D705&gt;=6.5,"Diabetes")</f>
        <v>Diabetes</v>
      </c>
      <c r="F705" s="3" t="s">
        <v>2379</v>
      </c>
      <c r="G705" s="3" t="s">
        <v>2379</v>
      </c>
      <c r="H705" s="3" t="s">
        <v>2379</v>
      </c>
      <c r="I705" s="1">
        <v>3</v>
      </c>
      <c r="J705">
        <v>3</v>
      </c>
      <c r="K705" s="3" t="s">
        <v>2379</v>
      </c>
      <c r="P705" s="3"/>
    </row>
    <row r="706" spans="1:16" x14ac:dyDescent="0.25">
      <c r="A706" s="3" t="s">
        <v>1665</v>
      </c>
      <c r="B706">
        <v>35.97</v>
      </c>
      <c r="C706" t="str" cm="1">
        <f t="array" ref="C706">_xlfn.IFS(B706&lt;=18.5,  "Underweight",B706&lt;=24.9,"Normal weight",B706&lt;=29.9, "Over weight",B706&gt;=30,"Obesity")</f>
        <v>Obesity</v>
      </c>
      <c r="D706">
        <v>11.08</v>
      </c>
      <c r="E706" t="str" cm="1">
        <f t="array" ref="E706">_xlfn.IFS(D706&lt;5.7,"Normal",D706&lt;=6.4,"Prediabetes",D706&gt;=6.5,"Diabetes")</f>
        <v>Diabetes</v>
      </c>
      <c r="F706" s="3" t="s">
        <v>2379</v>
      </c>
      <c r="G706" s="3" t="s">
        <v>2379</v>
      </c>
      <c r="H706" s="3" t="s">
        <v>2379</v>
      </c>
      <c r="I706" s="1">
        <v>3</v>
      </c>
      <c r="J706">
        <v>3</v>
      </c>
      <c r="K706" s="3" t="s">
        <v>2379</v>
      </c>
      <c r="P706" s="3"/>
    </row>
    <row r="707" spans="1:16" x14ac:dyDescent="0.25">
      <c r="A707" s="3" t="s">
        <v>1664</v>
      </c>
      <c r="B707">
        <v>37.85</v>
      </c>
      <c r="C707" t="str" cm="1">
        <f t="array" ref="C707">_xlfn.IFS(B707&lt;=18.5,  "Underweight",B707&lt;=24.9,"Normal weight",B707&lt;=29.9, "Over weight",B707&gt;=30,"Obesity")</f>
        <v>Obesity</v>
      </c>
      <c r="D707">
        <v>11.01</v>
      </c>
      <c r="E707" t="str" cm="1">
        <f t="array" ref="E707">_xlfn.IFS(D707&lt;5.7,"Normal",D707&lt;=6.4,"Prediabetes",D707&gt;=6.5,"Diabetes")</f>
        <v>Diabetes</v>
      </c>
      <c r="F707" s="3" t="s">
        <v>2379</v>
      </c>
      <c r="G707" s="3" t="s">
        <v>2379</v>
      </c>
      <c r="H707" s="3" t="s">
        <v>2379</v>
      </c>
      <c r="I707" s="1" t="s">
        <v>2380</v>
      </c>
      <c r="J707">
        <v>0</v>
      </c>
      <c r="K707" s="3" t="s">
        <v>2379</v>
      </c>
      <c r="P707" s="3"/>
    </row>
    <row r="708" spans="1:16" x14ac:dyDescent="0.25">
      <c r="A708" s="3" t="s">
        <v>1663</v>
      </c>
      <c r="B708">
        <v>21.66</v>
      </c>
      <c r="C708" t="str" cm="1">
        <f t="array" ref="C708">_xlfn.IFS(B708&lt;=18.5,  "Underweight",B708&lt;=24.9,"Normal weight",B708&lt;=29.9, "Over weight",B708&gt;=30,"Obesity")</f>
        <v>Normal weight</v>
      </c>
      <c r="D708">
        <v>4.37</v>
      </c>
      <c r="E708" t="str" cm="1">
        <f t="array" ref="E708">_xlfn.IFS(D708&lt;5.7,"Normal",D708&lt;=6.4,"Prediabetes",D708&gt;=6.5,"Diabetes")</f>
        <v>Normal</v>
      </c>
      <c r="F708" s="3" t="s">
        <v>2379</v>
      </c>
      <c r="G708" s="3" t="s">
        <v>2381</v>
      </c>
      <c r="H708" s="3" t="s">
        <v>2379</v>
      </c>
      <c r="I708" s="1">
        <v>1</v>
      </c>
      <c r="J708">
        <v>1</v>
      </c>
      <c r="K708" s="3" t="s">
        <v>2382</v>
      </c>
      <c r="P708" s="3"/>
    </row>
    <row r="709" spans="1:16" x14ac:dyDescent="0.25">
      <c r="A709" s="3" t="s">
        <v>1662</v>
      </c>
      <c r="B709">
        <v>39.369999999999997</v>
      </c>
      <c r="C709" t="str" cm="1">
        <f t="array" ref="C709">_xlfn.IFS(B709&lt;=18.5,  "Underweight",B709&lt;=24.9,"Normal weight",B709&lt;=29.9, "Over weight",B709&gt;=30,"Obesity")</f>
        <v>Obesity</v>
      </c>
      <c r="D709">
        <v>5.91</v>
      </c>
      <c r="E709" t="str" cm="1">
        <f t="array" ref="E709">_xlfn.IFS(D709&lt;5.7,"Normal",D709&lt;=6.4,"Prediabetes",D709&gt;=6.5,"Diabetes")</f>
        <v>Prediabetes</v>
      </c>
      <c r="F709" s="3" t="s">
        <v>2379</v>
      </c>
      <c r="G709" s="3" t="s">
        <v>2379</v>
      </c>
      <c r="H709" s="3" t="s">
        <v>2379</v>
      </c>
      <c r="I709" s="1">
        <v>2</v>
      </c>
      <c r="J709">
        <v>2</v>
      </c>
      <c r="K709" s="3" t="s">
        <v>2379</v>
      </c>
      <c r="P709" s="3"/>
    </row>
    <row r="710" spans="1:16" x14ac:dyDescent="0.25">
      <c r="A710" s="3" t="s">
        <v>1661</v>
      </c>
      <c r="B710">
        <v>40.880000000000003</v>
      </c>
      <c r="C710" t="str" cm="1">
        <f t="array" ref="C710">_xlfn.IFS(B710&lt;=18.5,  "Underweight",B710&lt;=24.9,"Normal weight",B710&lt;=29.9, "Over weight",B710&gt;=30,"Obesity")</f>
        <v>Obesity</v>
      </c>
      <c r="D710">
        <v>7.65</v>
      </c>
      <c r="E710" t="str" cm="1">
        <f t="array" ref="E710">_xlfn.IFS(D710&lt;5.7,"Normal",D710&lt;=6.4,"Prediabetes",D710&gt;=6.5,"Diabetes")</f>
        <v>Diabetes</v>
      </c>
      <c r="F710" s="3" t="s">
        <v>2379</v>
      </c>
      <c r="G710" s="3" t="s">
        <v>2379</v>
      </c>
      <c r="H710" s="3" t="s">
        <v>2379</v>
      </c>
      <c r="I710" s="1" t="s">
        <v>2380</v>
      </c>
      <c r="J710">
        <v>0</v>
      </c>
      <c r="K710" s="3" t="s">
        <v>2379</v>
      </c>
      <c r="P710" s="3"/>
    </row>
    <row r="711" spans="1:16" x14ac:dyDescent="0.25">
      <c r="A711" s="3" t="s">
        <v>1660</v>
      </c>
      <c r="B711">
        <v>26.22</v>
      </c>
      <c r="C711" t="str" cm="1">
        <f t="array" ref="C711">_xlfn.IFS(B711&lt;=18.5,  "Underweight",B711&lt;=24.9,"Normal weight",B711&lt;=29.9, "Over weight",B711&gt;=30,"Obesity")</f>
        <v>Over weight</v>
      </c>
      <c r="D711">
        <v>5.37</v>
      </c>
      <c r="E711" t="str" cm="1">
        <f t="array" ref="E711">_xlfn.IFS(D711&lt;5.7,"Normal",D711&lt;=6.4,"Prediabetes",D711&gt;=6.5,"Diabetes")</f>
        <v>Normal</v>
      </c>
      <c r="F711" s="3" t="s">
        <v>2382</v>
      </c>
      <c r="G711" s="3" t="s">
        <v>2379</v>
      </c>
      <c r="H711" s="3" t="s">
        <v>2379</v>
      </c>
      <c r="I711" s="1">
        <v>2</v>
      </c>
      <c r="J711">
        <v>2</v>
      </c>
      <c r="K711" s="3" t="s">
        <v>2379</v>
      </c>
      <c r="P711" s="3"/>
    </row>
    <row r="712" spans="1:16" x14ac:dyDescent="0.25">
      <c r="A712" s="3" t="s">
        <v>1659</v>
      </c>
      <c r="B712">
        <v>25.08</v>
      </c>
      <c r="C712" t="str" cm="1">
        <f t="array" ref="C712">_xlfn.IFS(B712&lt;=18.5,  "Underweight",B712&lt;=24.9,"Normal weight",B712&lt;=29.9, "Over weight",B712&gt;=30,"Obesity")</f>
        <v>Over weight</v>
      </c>
      <c r="D712">
        <v>5.75</v>
      </c>
      <c r="E712" t="str" cm="1">
        <f t="array" ref="E712">_xlfn.IFS(D712&lt;5.7,"Normal",D712&lt;=6.4,"Prediabetes",D712&gt;=6.5,"Diabetes")</f>
        <v>Prediabetes</v>
      </c>
      <c r="F712" s="3" t="s">
        <v>2382</v>
      </c>
      <c r="G712" s="3" t="s">
        <v>2379</v>
      </c>
      <c r="H712" s="3" t="s">
        <v>2379</v>
      </c>
      <c r="I712" s="1">
        <v>2</v>
      </c>
      <c r="J712">
        <v>2</v>
      </c>
      <c r="K712" s="3" t="s">
        <v>2379</v>
      </c>
      <c r="P712" s="3"/>
    </row>
    <row r="713" spans="1:16" x14ac:dyDescent="0.25">
      <c r="A713" s="3" t="s">
        <v>1658</v>
      </c>
      <c r="B713">
        <v>39.1</v>
      </c>
      <c r="C713" t="str" cm="1">
        <f t="array" ref="C713">_xlfn.IFS(B713&lt;=18.5,  "Underweight",B713&lt;=24.9,"Normal weight",B713&lt;=29.9, "Over weight",B713&gt;=30,"Obesity")</f>
        <v>Obesity</v>
      </c>
      <c r="D713">
        <v>6.79</v>
      </c>
      <c r="E713" t="str" cm="1">
        <f t="array" ref="E713">_xlfn.IFS(D713&lt;5.7,"Normal",D713&lt;=6.4,"Prediabetes",D713&gt;=6.5,"Diabetes")</f>
        <v>Diabetes</v>
      </c>
      <c r="F713" s="3" t="s">
        <v>2382</v>
      </c>
      <c r="G713" s="3" t="s">
        <v>2379</v>
      </c>
      <c r="H713" s="3" t="s">
        <v>2379</v>
      </c>
      <c r="I713" s="1">
        <v>2</v>
      </c>
      <c r="J713">
        <v>2</v>
      </c>
      <c r="K713" s="3" t="s">
        <v>2379</v>
      </c>
      <c r="P713" s="3"/>
    </row>
    <row r="714" spans="1:16" x14ac:dyDescent="0.25">
      <c r="A714" s="3" t="s">
        <v>1657</v>
      </c>
      <c r="B714">
        <v>37.905000000000001</v>
      </c>
      <c r="C714" t="str" cm="1">
        <f t="array" ref="C714">_xlfn.IFS(B714&lt;=18.5,  "Underweight",B714&lt;=24.9,"Normal weight",B714&lt;=29.9, "Over weight",B714&gt;=30,"Obesity")</f>
        <v>Obesity</v>
      </c>
      <c r="D714">
        <v>7.03</v>
      </c>
      <c r="E714" t="str" cm="1">
        <f t="array" ref="E714">_xlfn.IFS(D714&lt;5.7,"Normal",D714&lt;=6.4,"Prediabetes",D714&gt;=6.5,"Diabetes")</f>
        <v>Diabetes</v>
      </c>
      <c r="F714" s="3" t="s">
        <v>2379</v>
      </c>
      <c r="G714" s="3" t="s">
        <v>2379</v>
      </c>
      <c r="H714" s="3" t="s">
        <v>2379</v>
      </c>
      <c r="I714" s="1">
        <v>3</v>
      </c>
      <c r="J714">
        <v>3</v>
      </c>
      <c r="K714" s="3" t="s">
        <v>2379</v>
      </c>
      <c r="P714" s="3"/>
    </row>
    <row r="715" spans="1:16" x14ac:dyDescent="0.25">
      <c r="A715" s="3" t="s">
        <v>1656</v>
      </c>
      <c r="B715">
        <v>43.35</v>
      </c>
      <c r="C715" t="str" cm="1">
        <f t="array" ref="C715">_xlfn.IFS(B715&lt;=18.5,  "Underweight",B715&lt;=24.9,"Normal weight",B715&lt;=29.9, "Over weight",B715&gt;=30,"Obesity")</f>
        <v>Obesity</v>
      </c>
      <c r="D715">
        <v>5.41</v>
      </c>
      <c r="E715" t="str" cm="1">
        <f t="array" ref="E715">_xlfn.IFS(D715&lt;5.7,"Normal",D715&lt;=6.4,"Prediabetes",D715&gt;=6.5,"Diabetes")</f>
        <v>Normal</v>
      </c>
      <c r="F715" s="3" t="s">
        <v>2382</v>
      </c>
      <c r="G715" s="3" t="s">
        <v>2379</v>
      </c>
      <c r="H715" s="3" t="s">
        <v>2382</v>
      </c>
      <c r="I715" s="1">
        <v>1</v>
      </c>
      <c r="J715">
        <v>1</v>
      </c>
      <c r="K715" s="3" t="s">
        <v>2379</v>
      </c>
      <c r="P715" s="3"/>
    </row>
    <row r="716" spans="1:16" x14ac:dyDescent="0.25">
      <c r="A716" s="3" t="s">
        <v>1655</v>
      </c>
      <c r="B716">
        <v>36.15</v>
      </c>
      <c r="C716" t="str" cm="1">
        <f t="array" ref="C716">_xlfn.IFS(B716&lt;=18.5,  "Underweight",B716&lt;=24.9,"Normal weight",B716&lt;=29.9, "Over weight",B716&gt;=30,"Obesity")</f>
        <v>Obesity</v>
      </c>
      <c r="D716">
        <v>8.0500000000000007</v>
      </c>
      <c r="E716" t="str" cm="1">
        <f t="array" ref="E716">_xlfn.IFS(D716&lt;5.7,"Normal",D716&lt;=6.4,"Prediabetes",D716&gt;=6.5,"Diabetes")</f>
        <v>Diabetes</v>
      </c>
      <c r="F716" s="3" t="s">
        <v>2379</v>
      </c>
      <c r="G716" s="3" t="s">
        <v>2379</v>
      </c>
      <c r="H716" s="3" t="s">
        <v>2379</v>
      </c>
      <c r="I716" s="1" t="s">
        <v>2380</v>
      </c>
      <c r="J716">
        <v>0</v>
      </c>
      <c r="K716" s="3" t="s">
        <v>2379</v>
      </c>
      <c r="P716" s="3"/>
    </row>
    <row r="717" spans="1:16" x14ac:dyDescent="0.25">
      <c r="A717" s="3" t="s">
        <v>1654</v>
      </c>
      <c r="B717">
        <v>44.98</v>
      </c>
      <c r="C717" t="str" cm="1">
        <f t="array" ref="C717">_xlfn.IFS(B717&lt;=18.5,  "Underweight",B717&lt;=24.9,"Normal weight",B717&lt;=29.9, "Over weight",B717&gt;=30,"Obesity")</f>
        <v>Obesity</v>
      </c>
      <c r="D717">
        <v>5.94</v>
      </c>
      <c r="E717" t="str" cm="1">
        <f t="array" ref="E717">_xlfn.IFS(D717&lt;5.7,"Normal",D717&lt;=6.4,"Prediabetes",D717&gt;=6.5,"Diabetes")</f>
        <v>Prediabetes</v>
      </c>
      <c r="F717" s="3" t="s">
        <v>2379</v>
      </c>
      <c r="G717" s="3" t="s">
        <v>2379</v>
      </c>
      <c r="H717" s="3" t="s">
        <v>2379</v>
      </c>
      <c r="I717" s="1">
        <v>1</v>
      </c>
      <c r="J717">
        <v>1</v>
      </c>
      <c r="K717" s="3" t="s">
        <v>2379</v>
      </c>
      <c r="P717" s="3"/>
    </row>
    <row r="718" spans="1:16" x14ac:dyDescent="0.25">
      <c r="A718" s="3" t="s">
        <v>1653</v>
      </c>
      <c r="B718">
        <v>38.28</v>
      </c>
      <c r="C718" t="str" cm="1">
        <f t="array" ref="C718">_xlfn.IFS(B718&lt;=18.5,  "Underweight",B718&lt;=24.9,"Normal weight",B718&lt;=29.9, "Over weight",B718&gt;=30,"Obesity")</f>
        <v>Obesity</v>
      </c>
      <c r="D718">
        <v>5.51</v>
      </c>
      <c r="E718" t="str" cm="1">
        <f t="array" ref="E718">_xlfn.IFS(D718&lt;5.7,"Normal",D718&lt;=6.4,"Prediabetes",D718&gt;=6.5,"Diabetes")</f>
        <v>Normal</v>
      </c>
      <c r="F718" s="3" t="s">
        <v>2379</v>
      </c>
      <c r="G718" s="3" t="s">
        <v>2381</v>
      </c>
      <c r="H718" s="3" t="s">
        <v>2379</v>
      </c>
      <c r="I718" s="1">
        <v>1</v>
      </c>
      <c r="J718">
        <v>1</v>
      </c>
      <c r="K718" s="3" t="s">
        <v>2379</v>
      </c>
      <c r="P718" s="3"/>
    </row>
    <row r="719" spans="1:16" x14ac:dyDescent="0.25">
      <c r="A719" s="3" t="s">
        <v>1652</v>
      </c>
      <c r="B719">
        <v>32.299999999999997</v>
      </c>
      <c r="C719" t="str" cm="1">
        <f t="array" ref="C719">_xlfn.IFS(B719&lt;=18.5,  "Underweight",B719&lt;=24.9,"Normal weight",B719&lt;=29.9, "Over weight",B719&gt;=30,"Obesity")</f>
        <v>Obesity</v>
      </c>
      <c r="D719">
        <v>6.55</v>
      </c>
      <c r="E719" t="str" cm="1">
        <f t="array" ref="E719">_xlfn.IFS(D719&lt;5.7,"Normal",D719&lt;=6.4,"Prediabetes",D719&gt;=6.5,"Diabetes")</f>
        <v>Diabetes</v>
      </c>
      <c r="F719" s="3" t="s">
        <v>2382</v>
      </c>
      <c r="G719" s="3" t="s">
        <v>2379</v>
      </c>
      <c r="H719" s="3" t="s">
        <v>2379</v>
      </c>
      <c r="I719" s="1">
        <v>2</v>
      </c>
      <c r="J719">
        <v>2</v>
      </c>
      <c r="K719" s="3" t="s">
        <v>2379</v>
      </c>
      <c r="P719" s="3"/>
    </row>
    <row r="720" spans="1:16" x14ac:dyDescent="0.25">
      <c r="A720" s="3" t="s">
        <v>1651</v>
      </c>
      <c r="B720">
        <v>39.51</v>
      </c>
      <c r="C720" t="str" cm="1">
        <f t="array" ref="C720">_xlfn.IFS(B720&lt;=18.5,  "Underweight",B720&lt;=24.9,"Normal weight",B720&lt;=29.9, "Over weight",B720&gt;=30,"Obesity")</f>
        <v>Obesity</v>
      </c>
      <c r="D720">
        <v>5.79</v>
      </c>
      <c r="E720" t="str" cm="1">
        <f t="array" ref="E720">_xlfn.IFS(D720&lt;5.7,"Normal",D720&lt;=6.4,"Prediabetes",D720&gt;=6.5,"Diabetes")</f>
        <v>Prediabetes</v>
      </c>
      <c r="F720" s="3" t="s">
        <v>2382</v>
      </c>
      <c r="G720" s="3" t="s">
        <v>2379</v>
      </c>
      <c r="H720" s="3" t="s">
        <v>2379</v>
      </c>
      <c r="I720" s="1" t="s">
        <v>2380</v>
      </c>
      <c r="J720">
        <v>0</v>
      </c>
      <c r="K720" s="3" t="s">
        <v>2379</v>
      </c>
      <c r="P720" s="3"/>
    </row>
    <row r="721" spans="1:16" x14ac:dyDescent="0.25">
      <c r="A721" s="3" t="s">
        <v>1650</v>
      </c>
      <c r="B721">
        <v>50.46</v>
      </c>
      <c r="C721" t="str" cm="1">
        <f t="array" ref="C721">_xlfn.IFS(B721&lt;=18.5,  "Underweight",B721&lt;=24.9,"Normal weight",B721&lt;=29.9, "Over weight",B721&gt;=30,"Obesity")</f>
        <v>Obesity</v>
      </c>
      <c r="D721">
        <v>4.5599999999999996</v>
      </c>
      <c r="E721" t="str" cm="1">
        <f t="array" ref="E721">_xlfn.IFS(D721&lt;5.7,"Normal",D721&lt;=6.4,"Prediabetes",D721&gt;=6.5,"Diabetes")</f>
        <v>Normal</v>
      </c>
      <c r="F721" s="3" t="s">
        <v>2379</v>
      </c>
      <c r="G721" s="3" t="s">
        <v>2379</v>
      </c>
      <c r="H721" s="3" t="s">
        <v>2379</v>
      </c>
      <c r="I721" s="1" t="s">
        <v>2380</v>
      </c>
      <c r="J721">
        <v>0</v>
      </c>
      <c r="K721" s="3" t="s">
        <v>2379</v>
      </c>
      <c r="P721" s="3"/>
    </row>
    <row r="722" spans="1:16" x14ac:dyDescent="0.25">
      <c r="A722" s="3" t="s">
        <v>1649</v>
      </c>
      <c r="B722">
        <v>31.73</v>
      </c>
      <c r="C722" t="str" cm="1">
        <f t="array" ref="C722">_xlfn.IFS(B722&lt;=18.5,  "Underweight",B722&lt;=24.9,"Normal weight",B722&lt;=29.9, "Over weight",B722&gt;=30,"Obesity")</f>
        <v>Obesity</v>
      </c>
      <c r="D722">
        <v>7</v>
      </c>
      <c r="E722" t="str" cm="1">
        <f t="array" ref="E722">_xlfn.IFS(D722&lt;5.7,"Normal",D722&lt;=6.4,"Prediabetes",D722&gt;=6.5,"Diabetes")</f>
        <v>Diabetes</v>
      </c>
      <c r="F722" s="3" t="s">
        <v>2379</v>
      </c>
      <c r="G722" s="3" t="s">
        <v>2379</v>
      </c>
      <c r="H722" s="3" t="s">
        <v>2379</v>
      </c>
      <c r="I722" s="1" t="s">
        <v>2380</v>
      </c>
      <c r="J722">
        <v>0</v>
      </c>
      <c r="K722" s="3" t="s">
        <v>2379</v>
      </c>
      <c r="P722" s="3"/>
    </row>
    <row r="723" spans="1:16" x14ac:dyDescent="0.25">
      <c r="A723" s="3" t="s">
        <v>1648</v>
      </c>
      <c r="B723">
        <v>32.1</v>
      </c>
      <c r="C723" t="str" cm="1">
        <f t="array" ref="C723">_xlfn.IFS(B723&lt;=18.5,  "Underweight",B723&lt;=24.9,"Normal weight",B723&lt;=29.9, "Over weight",B723&gt;=30,"Obesity")</f>
        <v>Obesity</v>
      </c>
      <c r="D723">
        <v>6.57</v>
      </c>
      <c r="E723" t="str" cm="1">
        <f t="array" ref="E723">_xlfn.IFS(D723&lt;5.7,"Normal",D723&lt;=6.4,"Prediabetes",D723&gt;=6.5,"Diabetes")</f>
        <v>Diabetes</v>
      </c>
      <c r="F723" s="3" t="s">
        <v>2382</v>
      </c>
      <c r="G723" s="3" t="s">
        <v>2379</v>
      </c>
      <c r="H723" s="3" t="s">
        <v>2382</v>
      </c>
      <c r="I723" s="1">
        <v>1</v>
      </c>
      <c r="J723">
        <v>1</v>
      </c>
      <c r="K723" s="3" t="s">
        <v>2379</v>
      </c>
      <c r="P723" s="3"/>
    </row>
    <row r="724" spans="1:16" x14ac:dyDescent="0.25">
      <c r="A724" s="3" t="s">
        <v>1647</v>
      </c>
      <c r="B724">
        <v>27.83</v>
      </c>
      <c r="C724" t="str" cm="1">
        <f t="array" ref="C724">_xlfn.IFS(B724&lt;=18.5,  "Underweight",B724&lt;=24.9,"Normal weight",B724&lt;=29.9, "Over weight",B724&gt;=30,"Obesity")</f>
        <v>Over weight</v>
      </c>
      <c r="D724">
        <v>11.61</v>
      </c>
      <c r="E724" t="str" cm="1">
        <f t="array" ref="E724">_xlfn.IFS(D724&lt;5.7,"Normal",D724&lt;=6.4,"Prediabetes",D724&gt;=6.5,"Diabetes")</f>
        <v>Diabetes</v>
      </c>
      <c r="F724" s="3" t="s">
        <v>2382</v>
      </c>
      <c r="G724" s="3" t="s">
        <v>2379</v>
      </c>
      <c r="H724" s="3" t="s">
        <v>2382</v>
      </c>
      <c r="I724" s="1">
        <v>1</v>
      </c>
      <c r="J724">
        <v>1</v>
      </c>
      <c r="K724" s="3" t="s">
        <v>2379</v>
      </c>
      <c r="P724" s="3"/>
    </row>
    <row r="725" spans="1:16" x14ac:dyDescent="0.25">
      <c r="A725" s="3" t="s">
        <v>1646</v>
      </c>
      <c r="B725">
        <v>27.72</v>
      </c>
      <c r="C725" t="str" cm="1">
        <f t="array" ref="C725">_xlfn.IFS(B725&lt;=18.5,  "Underweight",B725&lt;=24.9,"Normal weight",B725&lt;=29.9, "Over weight",B725&gt;=30,"Obesity")</f>
        <v>Over weight</v>
      </c>
      <c r="D725">
        <v>8.16</v>
      </c>
      <c r="E725" t="str" cm="1">
        <f t="array" ref="E725">_xlfn.IFS(D725&lt;5.7,"Normal",D725&lt;=6.4,"Prediabetes",D725&gt;=6.5,"Diabetes")</f>
        <v>Diabetes</v>
      </c>
      <c r="F725" s="3" t="s">
        <v>2382</v>
      </c>
      <c r="G725" s="3" t="s">
        <v>2379</v>
      </c>
      <c r="H725" s="3" t="s">
        <v>2382</v>
      </c>
      <c r="I725" s="1">
        <v>1</v>
      </c>
      <c r="J725">
        <v>1</v>
      </c>
      <c r="K725" s="3" t="s">
        <v>2379</v>
      </c>
      <c r="P725" s="3"/>
    </row>
    <row r="726" spans="1:16" x14ac:dyDescent="0.25">
      <c r="A726" s="3" t="s">
        <v>1645</v>
      </c>
      <c r="B726">
        <v>36.765000000000001</v>
      </c>
      <c r="C726" t="str" cm="1">
        <f t="array" ref="C726">_xlfn.IFS(B726&lt;=18.5,  "Underweight",B726&lt;=24.9,"Normal weight",B726&lt;=29.9, "Over weight",B726&gt;=30,"Obesity")</f>
        <v>Obesity</v>
      </c>
      <c r="D726">
        <v>4.4800000000000004</v>
      </c>
      <c r="E726" t="str" cm="1">
        <f t="array" ref="E726">_xlfn.IFS(D726&lt;5.7,"Normal",D726&lt;=6.4,"Prediabetes",D726&gt;=6.5,"Diabetes")</f>
        <v>Normal</v>
      </c>
      <c r="F726" s="3" t="s">
        <v>2382</v>
      </c>
      <c r="G726" s="3" t="s">
        <v>2379</v>
      </c>
      <c r="H726" s="3" t="s">
        <v>2379</v>
      </c>
      <c r="I726" s="1">
        <v>2</v>
      </c>
      <c r="J726">
        <v>2</v>
      </c>
      <c r="K726" s="3" t="s">
        <v>2379</v>
      </c>
      <c r="P726" s="3"/>
    </row>
    <row r="727" spans="1:16" x14ac:dyDescent="0.25">
      <c r="A727" s="3" t="s">
        <v>1644</v>
      </c>
      <c r="B727">
        <v>48.36</v>
      </c>
      <c r="C727" t="str" cm="1">
        <f t="array" ref="C727">_xlfn.IFS(B727&lt;=18.5,  "Underweight",B727&lt;=24.9,"Normal weight",B727&lt;=29.9, "Over weight",B727&gt;=30,"Obesity")</f>
        <v>Obesity</v>
      </c>
      <c r="D727">
        <v>4.08</v>
      </c>
      <c r="E727" t="str" cm="1">
        <f t="array" ref="E727">_xlfn.IFS(D727&lt;5.7,"Normal",D727&lt;=6.4,"Prediabetes",D727&gt;=6.5,"Diabetes")</f>
        <v>Normal</v>
      </c>
      <c r="F727" s="3" t="s">
        <v>2379</v>
      </c>
      <c r="G727" s="3" t="s">
        <v>2379</v>
      </c>
      <c r="H727" s="3" t="s">
        <v>2379</v>
      </c>
      <c r="I727" s="1" t="s">
        <v>2380</v>
      </c>
      <c r="J727">
        <v>0</v>
      </c>
      <c r="K727" s="3" t="s">
        <v>2379</v>
      </c>
      <c r="P727" s="3"/>
    </row>
    <row r="728" spans="1:16" x14ac:dyDescent="0.25">
      <c r="A728" s="3" t="s">
        <v>1643</v>
      </c>
      <c r="B728">
        <v>31.445</v>
      </c>
      <c r="C728" t="str" cm="1">
        <f t="array" ref="C728">_xlfn.IFS(B728&lt;=18.5,  "Underweight",B728&lt;=24.9,"Normal weight",B728&lt;=29.9, "Over weight",B728&gt;=30,"Obesity")</f>
        <v>Obesity</v>
      </c>
      <c r="D728">
        <v>4.4000000000000004</v>
      </c>
      <c r="E728" t="str" cm="1">
        <f t="array" ref="E728">_xlfn.IFS(D728&lt;5.7,"Normal",D728&lt;=6.4,"Prediabetes",D728&gt;=6.5,"Diabetes")</f>
        <v>Normal</v>
      </c>
      <c r="F728" s="3" t="s">
        <v>2382</v>
      </c>
      <c r="G728" s="3" t="s">
        <v>2379</v>
      </c>
      <c r="H728" s="3" t="s">
        <v>2379</v>
      </c>
      <c r="I728" s="1">
        <v>2</v>
      </c>
      <c r="J728">
        <v>2</v>
      </c>
      <c r="K728" s="3" t="s">
        <v>2379</v>
      </c>
      <c r="P728" s="3"/>
    </row>
    <row r="729" spans="1:16" x14ac:dyDescent="0.25">
      <c r="A729" s="3" t="s">
        <v>1642</v>
      </c>
      <c r="B729">
        <v>27.55</v>
      </c>
      <c r="C729" t="str" cm="1">
        <f t="array" ref="C729">_xlfn.IFS(B729&lt;=18.5,  "Underweight",B729&lt;=24.9,"Normal weight",B729&lt;=29.9, "Over weight",B729&gt;=30,"Obesity")</f>
        <v>Over weight</v>
      </c>
      <c r="D729">
        <v>9.02</v>
      </c>
      <c r="E729" t="str" cm="1">
        <f t="array" ref="E729">_xlfn.IFS(D729&lt;5.7,"Normal",D729&lt;=6.4,"Prediabetes",D729&gt;=6.5,"Diabetes")</f>
        <v>Diabetes</v>
      </c>
      <c r="F729" s="3" t="s">
        <v>2379</v>
      </c>
      <c r="G729" s="3" t="s">
        <v>2379</v>
      </c>
      <c r="H729" s="3" t="s">
        <v>2379</v>
      </c>
      <c r="I729" s="1" t="s">
        <v>2380</v>
      </c>
      <c r="J729">
        <v>0</v>
      </c>
      <c r="K729" s="3" t="s">
        <v>2379</v>
      </c>
      <c r="P729" s="3"/>
    </row>
    <row r="730" spans="1:16" x14ac:dyDescent="0.25">
      <c r="A730" s="3" t="s">
        <v>1641</v>
      </c>
      <c r="B730">
        <v>33.11</v>
      </c>
      <c r="C730" t="str" cm="1">
        <f t="array" ref="C730">_xlfn.IFS(B730&lt;=18.5,  "Underweight",B730&lt;=24.9,"Normal weight",B730&lt;=29.9, "Over weight",B730&gt;=30,"Obesity")</f>
        <v>Obesity</v>
      </c>
      <c r="D730">
        <v>8.06</v>
      </c>
      <c r="E730" t="str" cm="1">
        <f t="array" ref="E730">_xlfn.IFS(D730&lt;5.7,"Normal",D730&lt;=6.4,"Prediabetes",D730&gt;=6.5,"Diabetes")</f>
        <v>Diabetes</v>
      </c>
      <c r="F730" s="3" t="s">
        <v>2379</v>
      </c>
      <c r="G730" s="3" t="s">
        <v>2379</v>
      </c>
      <c r="H730" s="3" t="s">
        <v>2379</v>
      </c>
      <c r="I730" s="1" t="s">
        <v>2380</v>
      </c>
      <c r="J730">
        <v>0</v>
      </c>
      <c r="K730" s="3" t="s">
        <v>2379</v>
      </c>
      <c r="P730" s="3"/>
    </row>
    <row r="731" spans="1:16" x14ac:dyDescent="0.25">
      <c r="A731" s="3" t="s">
        <v>1640</v>
      </c>
      <c r="B731">
        <v>36.85</v>
      </c>
      <c r="C731" t="str" cm="1">
        <f t="array" ref="C731">_xlfn.IFS(B731&lt;=18.5,  "Underweight",B731&lt;=24.9,"Normal weight",B731&lt;=29.9, "Over weight",B731&gt;=30,"Obesity")</f>
        <v>Obesity</v>
      </c>
      <c r="D731">
        <v>6.21</v>
      </c>
      <c r="E731" t="str" cm="1">
        <f t="array" ref="E731">_xlfn.IFS(D731&lt;5.7,"Normal",D731&lt;=6.4,"Prediabetes",D731&gt;=6.5,"Diabetes")</f>
        <v>Prediabetes</v>
      </c>
      <c r="F731" s="3" t="s">
        <v>2382</v>
      </c>
      <c r="G731" s="3" t="s">
        <v>2379</v>
      </c>
      <c r="H731" s="3" t="s">
        <v>2379</v>
      </c>
      <c r="I731" s="1">
        <v>2</v>
      </c>
      <c r="J731">
        <v>2</v>
      </c>
      <c r="K731" s="3" t="s">
        <v>2379</v>
      </c>
      <c r="P731" s="3"/>
    </row>
    <row r="732" spans="1:16" x14ac:dyDescent="0.25">
      <c r="A732" s="3" t="s">
        <v>1639</v>
      </c>
      <c r="B732">
        <v>36.299999999999997</v>
      </c>
      <c r="C732" t="str" cm="1">
        <f t="array" ref="C732">_xlfn.IFS(B732&lt;=18.5,  "Underweight",B732&lt;=24.9,"Normal weight",B732&lt;=29.9, "Over weight",B732&gt;=30,"Obesity")</f>
        <v>Obesity</v>
      </c>
      <c r="D732">
        <v>5.79</v>
      </c>
      <c r="E732" t="str" cm="1">
        <f t="array" ref="E732">_xlfn.IFS(D732&lt;5.7,"Normal",D732&lt;=6.4,"Prediabetes",D732&gt;=6.5,"Diabetes")</f>
        <v>Prediabetes</v>
      </c>
      <c r="F732" s="3" t="s">
        <v>2382</v>
      </c>
      <c r="G732" s="3" t="s">
        <v>2379</v>
      </c>
      <c r="H732" s="3" t="s">
        <v>2379</v>
      </c>
      <c r="I732" s="1">
        <v>2</v>
      </c>
      <c r="J732">
        <v>2</v>
      </c>
      <c r="K732" s="3" t="s">
        <v>2379</v>
      </c>
      <c r="P732" s="3"/>
    </row>
    <row r="733" spans="1:16" x14ac:dyDescent="0.25">
      <c r="A733" s="3" t="s">
        <v>1638</v>
      </c>
      <c r="B733">
        <v>45.34</v>
      </c>
      <c r="C733" t="str" cm="1">
        <f t="array" ref="C733">_xlfn.IFS(B733&lt;=18.5,  "Underweight",B733&lt;=24.9,"Normal weight",B733&lt;=29.9, "Over weight",B733&gt;=30,"Obesity")</f>
        <v>Obesity</v>
      </c>
      <c r="D733">
        <v>5.69</v>
      </c>
      <c r="E733" t="str" cm="1">
        <f t="array" ref="E733">_xlfn.IFS(D733&lt;5.7,"Normal",D733&lt;=6.4,"Prediabetes",D733&gt;=6.5,"Diabetes")</f>
        <v>Normal</v>
      </c>
      <c r="F733" s="3" t="s">
        <v>2382</v>
      </c>
      <c r="G733" s="3" t="s">
        <v>2379</v>
      </c>
      <c r="H733" s="3" t="s">
        <v>2379</v>
      </c>
      <c r="I733" s="1" t="s">
        <v>2380</v>
      </c>
      <c r="J733">
        <v>0</v>
      </c>
      <c r="K733" s="3" t="s">
        <v>2379</v>
      </c>
      <c r="P733" s="3"/>
    </row>
    <row r="734" spans="1:16" x14ac:dyDescent="0.25">
      <c r="A734" s="3" t="s">
        <v>1637</v>
      </c>
      <c r="B734">
        <v>31.8</v>
      </c>
      <c r="C734" t="str" cm="1">
        <f t="array" ref="C734">_xlfn.IFS(B734&lt;=18.5,  "Underweight",B734&lt;=24.9,"Normal weight",B734&lt;=29.9, "Over weight",B734&gt;=30,"Obesity")</f>
        <v>Obesity</v>
      </c>
      <c r="D734">
        <v>5.36</v>
      </c>
      <c r="E734" t="str" cm="1">
        <f t="array" ref="E734">_xlfn.IFS(D734&lt;5.7,"Normal",D734&lt;=6.4,"Prediabetes",D734&gt;=6.5,"Diabetes")</f>
        <v>Normal</v>
      </c>
      <c r="F734" s="3" t="s">
        <v>2382</v>
      </c>
      <c r="G734" s="3" t="s">
        <v>2379</v>
      </c>
      <c r="H734" s="3" t="s">
        <v>2379</v>
      </c>
      <c r="I734" s="1">
        <v>2</v>
      </c>
      <c r="J734">
        <v>2</v>
      </c>
      <c r="K734" s="3" t="s">
        <v>2379</v>
      </c>
      <c r="P734" s="3"/>
    </row>
    <row r="735" spans="1:16" x14ac:dyDescent="0.25">
      <c r="A735" s="3" t="s">
        <v>1636</v>
      </c>
      <c r="B735">
        <v>41.02</v>
      </c>
      <c r="C735" t="str" cm="1">
        <f t="array" ref="C735">_xlfn.IFS(B735&lt;=18.5,  "Underweight",B735&lt;=24.9,"Normal weight",B735&lt;=29.9, "Over weight",B735&gt;=30,"Obesity")</f>
        <v>Obesity</v>
      </c>
      <c r="D735">
        <v>11.37</v>
      </c>
      <c r="E735" t="str" cm="1">
        <f t="array" ref="E735">_xlfn.IFS(D735&lt;5.7,"Normal",D735&lt;=6.4,"Prediabetes",D735&gt;=6.5,"Diabetes")</f>
        <v>Diabetes</v>
      </c>
      <c r="F735" s="3" t="s">
        <v>2379</v>
      </c>
      <c r="G735" s="3" t="s">
        <v>2379</v>
      </c>
      <c r="H735" s="3" t="s">
        <v>2379</v>
      </c>
      <c r="I735" s="1" t="s">
        <v>2380</v>
      </c>
      <c r="J735">
        <v>0</v>
      </c>
      <c r="K735" s="3" t="s">
        <v>2379</v>
      </c>
      <c r="P735" s="3"/>
    </row>
    <row r="736" spans="1:16" x14ac:dyDescent="0.25">
      <c r="A736" s="3" t="s">
        <v>1635</v>
      </c>
      <c r="B736">
        <v>32.68</v>
      </c>
      <c r="C736" t="str" cm="1">
        <f t="array" ref="C736">_xlfn.IFS(B736&lt;=18.5,  "Underweight",B736&lt;=24.9,"Normal weight",B736&lt;=29.9, "Over weight",B736&gt;=30,"Obesity")</f>
        <v>Obesity</v>
      </c>
      <c r="D736">
        <v>11.87</v>
      </c>
      <c r="E736" t="str" cm="1">
        <f t="array" ref="E736">_xlfn.IFS(D736&lt;5.7,"Normal",D736&lt;=6.4,"Prediabetes",D736&gt;=6.5,"Diabetes")</f>
        <v>Diabetes</v>
      </c>
      <c r="F736" s="3" t="s">
        <v>2379</v>
      </c>
      <c r="G736" s="3" t="s">
        <v>2379</v>
      </c>
      <c r="H736" s="3" t="s">
        <v>2379</v>
      </c>
      <c r="I736" s="1" t="s">
        <v>2380</v>
      </c>
      <c r="J736">
        <v>0</v>
      </c>
      <c r="K736" s="3" t="s">
        <v>2379</v>
      </c>
      <c r="P736" s="3"/>
    </row>
    <row r="737" spans="1:16" x14ac:dyDescent="0.25">
      <c r="A737" s="3" t="s">
        <v>1634</v>
      </c>
      <c r="B737">
        <v>21.7</v>
      </c>
      <c r="C737" t="str" cm="1">
        <f t="array" ref="C737">_xlfn.IFS(B737&lt;=18.5,  "Underweight",B737&lt;=24.9,"Normal weight",B737&lt;=29.9, "Over weight",B737&gt;=30,"Obesity")</f>
        <v>Normal weight</v>
      </c>
      <c r="D737">
        <v>4.9000000000000004</v>
      </c>
      <c r="E737" t="str" cm="1">
        <f t="array" ref="E737">_xlfn.IFS(D737&lt;5.7,"Normal",D737&lt;=6.4,"Prediabetes",D737&gt;=6.5,"Diabetes")</f>
        <v>Normal</v>
      </c>
      <c r="F737" s="3" t="s">
        <v>2379</v>
      </c>
      <c r="G737" s="3" t="s">
        <v>2379</v>
      </c>
      <c r="H737" s="3" t="s">
        <v>2382</v>
      </c>
      <c r="I737" s="1">
        <v>1</v>
      </c>
      <c r="J737">
        <v>1</v>
      </c>
      <c r="K737" s="3" t="s">
        <v>2382</v>
      </c>
      <c r="P737" s="3"/>
    </row>
    <row r="738" spans="1:16" x14ac:dyDescent="0.25">
      <c r="A738" s="3" t="s">
        <v>1633</v>
      </c>
      <c r="B738">
        <v>40.479999999999997</v>
      </c>
      <c r="C738" t="str" cm="1">
        <f t="array" ref="C738">_xlfn.IFS(B738&lt;=18.5,  "Underweight",B738&lt;=24.9,"Normal weight",B738&lt;=29.9, "Over weight",B738&gt;=30,"Obesity")</f>
        <v>Obesity</v>
      </c>
      <c r="D738">
        <v>6.7</v>
      </c>
      <c r="E738" t="str" cm="1">
        <f t="array" ref="E738">_xlfn.IFS(D738&lt;5.7,"Normal",D738&lt;=6.4,"Prediabetes",D738&gt;=6.5,"Diabetes")</f>
        <v>Diabetes</v>
      </c>
      <c r="F738" s="3" t="s">
        <v>2379</v>
      </c>
      <c r="G738" s="3" t="s">
        <v>2379</v>
      </c>
      <c r="H738" s="3" t="s">
        <v>2379</v>
      </c>
      <c r="I738" s="1">
        <v>3</v>
      </c>
      <c r="J738">
        <v>3</v>
      </c>
      <c r="K738" s="3" t="s">
        <v>2379</v>
      </c>
      <c r="P738" s="3"/>
    </row>
    <row r="739" spans="1:16" x14ac:dyDescent="0.25">
      <c r="A739" s="3" t="s">
        <v>1632</v>
      </c>
      <c r="B739">
        <v>34.5</v>
      </c>
      <c r="C739" t="str" cm="1">
        <f t="array" ref="C739">_xlfn.IFS(B739&lt;=18.5,  "Underweight",B739&lt;=24.9,"Normal weight",B739&lt;=29.9, "Over weight",B739&gt;=30,"Obesity")</f>
        <v>Obesity</v>
      </c>
      <c r="D739">
        <v>10.3</v>
      </c>
      <c r="E739" t="str" cm="1">
        <f t="array" ref="E739">_xlfn.IFS(D739&lt;5.7,"Normal",D739&lt;=6.4,"Prediabetes",D739&gt;=6.5,"Diabetes")</f>
        <v>Diabetes</v>
      </c>
      <c r="F739" s="3" t="s">
        <v>2379</v>
      </c>
      <c r="G739" s="3" t="s">
        <v>2379</v>
      </c>
      <c r="H739" s="3" t="s">
        <v>2379</v>
      </c>
      <c r="I739" s="1">
        <v>3</v>
      </c>
      <c r="J739">
        <v>3</v>
      </c>
      <c r="K739" s="3" t="s">
        <v>2379</v>
      </c>
      <c r="P739" s="3"/>
    </row>
    <row r="740" spans="1:16" x14ac:dyDescent="0.25">
      <c r="A740" s="3" t="s">
        <v>1631</v>
      </c>
      <c r="B740">
        <v>45.9</v>
      </c>
      <c r="C740" t="str" cm="1">
        <f t="array" ref="C740">_xlfn.IFS(B740&lt;=18.5,  "Underweight",B740&lt;=24.9,"Normal weight",B740&lt;=29.9, "Over weight",B740&gt;=30,"Obesity")</f>
        <v>Obesity</v>
      </c>
      <c r="D740">
        <v>11.14</v>
      </c>
      <c r="E740" t="str" cm="1">
        <f t="array" ref="E740">_xlfn.IFS(D740&lt;5.7,"Normal",D740&lt;=6.4,"Prediabetes",D740&gt;=6.5,"Diabetes")</f>
        <v>Diabetes</v>
      </c>
      <c r="F740" s="3" t="s">
        <v>2382</v>
      </c>
      <c r="G740" s="3" t="s">
        <v>2379</v>
      </c>
      <c r="H740" s="3" t="s">
        <v>2379</v>
      </c>
      <c r="I740" s="1">
        <v>1</v>
      </c>
      <c r="J740">
        <v>1</v>
      </c>
      <c r="K740" s="3" t="s">
        <v>2379</v>
      </c>
      <c r="P740" s="3"/>
    </row>
    <row r="741" spans="1:16" x14ac:dyDescent="0.25">
      <c r="A741" s="3" t="s">
        <v>1630</v>
      </c>
      <c r="B741">
        <v>33.479999999999997</v>
      </c>
      <c r="C741" t="str" cm="1">
        <f t="array" ref="C741">_xlfn.IFS(B741&lt;=18.5,  "Underweight",B741&lt;=24.9,"Normal weight",B741&lt;=29.9, "Over weight",B741&gt;=30,"Obesity")</f>
        <v>Obesity</v>
      </c>
      <c r="D741">
        <v>4.74</v>
      </c>
      <c r="E741" t="str" cm="1">
        <f t="array" ref="E741">_xlfn.IFS(D741&lt;5.7,"Normal",D741&lt;=6.4,"Prediabetes",D741&gt;=6.5,"Diabetes")</f>
        <v>Normal</v>
      </c>
      <c r="F741" s="3" t="s">
        <v>2382</v>
      </c>
      <c r="G741" s="3" t="s">
        <v>2379</v>
      </c>
      <c r="H741" s="3" t="s">
        <v>2379</v>
      </c>
      <c r="I741" s="1">
        <v>2</v>
      </c>
      <c r="J741">
        <v>2</v>
      </c>
      <c r="K741" s="3" t="s">
        <v>2379</v>
      </c>
      <c r="P741" s="3"/>
    </row>
    <row r="742" spans="1:16" x14ac:dyDescent="0.25">
      <c r="A742" s="3" t="s">
        <v>1629</v>
      </c>
      <c r="B742">
        <v>28.31</v>
      </c>
      <c r="C742" t="str" cm="1">
        <f t="array" ref="C742">_xlfn.IFS(B742&lt;=18.5,  "Underweight",B742&lt;=24.9,"Normal weight",B742&lt;=29.9, "Over weight",B742&gt;=30,"Obesity")</f>
        <v>Over weight</v>
      </c>
      <c r="D742">
        <v>5.96</v>
      </c>
      <c r="E742" t="str" cm="1">
        <f t="array" ref="E742">_xlfn.IFS(D742&lt;5.7,"Normal",D742&lt;=6.4,"Prediabetes",D742&gt;=6.5,"Diabetes")</f>
        <v>Prediabetes</v>
      </c>
      <c r="F742" s="3" t="s">
        <v>2382</v>
      </c>
      <c r="G742" s="3" t="s">
        <v>2379</v>
      </c>
      <c r="H742" s="3" t="s">
        <v>2379</v>
      </c>
      <c r="I742" s="1">
        <v>2</v>
      </c>
      <c r="J742">
        <v>2</v>
      </c>
      <c r="K742" s="3" t="s">
        <v>2379</v>
      </c>
      <c r="P742" s="3"/>
    </row>
    <row r="743" spans="1:16" x14ac:dyDescent="0.25">
      <c r="A743" s="3" t="s">
        <v>1628</v>
      </c>
      <c r="B743">
        <v>21.565000000000001</v>
      </c>
      <c r="C743" t="str" cm="1">
        <f t="array" ref="C743">_xlfn.IFS(B743&lt;=18.5,  "Underweight",B743&lt;=24.9,"Normal weight",B743&lt;=29.9, "Over weight",B743&gt;=30,"Obesity")</f>
        <v>Normal weight</v>
      </c>
      <c r="D743">
        <v>4.95</v>
      </c>
      <c r="E743" t="str" cm="1">
        <f t="array" ref="E743">_xlfn.IFS(D743&lt;5.7,"Normal",D743&lt;=6.4,"Prediabetes",D743&gt;=6.5,"Diabetes")</f>
        <v>Normal</v>
      </c>
      <c r="F743" s="3" t="s">
        <v>2379</v>
      </c>
      <c r="G743" s="3" t="s">
        <v>2381</v>
      </c>
      <c r="H743" s="3" t="s">
        <v>2379</v>
      </c>
      <c r="I743" s="1">
        <v>1</v>
      </c>
      <c r="J743">
        <v>1</v>
      </c>
      <c r="K743" s="3" t="s">
        <v>2382</v>
      </c>
      <c r="P743" s="3"/>
    </row>
    <row r="744" spans="1:16" x14ac:dyDescent="0.25">
      <c r="A744" s="3" t="s">
        <v>1627</v>
      </c>
      <c r="B744">
        <v>35.590000000000003</v>
      </c>
      <c r="C744" t="str" cm="1">
        <f t="array" ref="C744">_xlfn.IFS(B744&lt;=18.5,  "Underweight",B744&lt;=24.9,"Normal weight",B744&lt;=29.9, "Over weight",B744&gt;=30,"Obesity")</f>
        <v>Obesity</v>
      </c>
      <c r="D744">
        <v>5.21</v>
      </c>
      <c r="E744" t="str" cm="1">
        <f t="array" ref="E744">_xlfn.IFS(D744&lt;5.7,"Normal",D744&lt;=6.4,"Prediabetes",D744&gt;=6.5,"Diabetes")</f>
        <v>Normal</v>
      </c>
      <c r="F744" s="3" t="s">
        <v>2382</v>
      </c>
      <c r="G744" s="3" t="s">
        <v>2379</v>
      </c>
      <c r="H744" s="3" t="s">
        <v>2382</v>
      </c>
      <c r="I744" s="1">
        <v>1</v>
      </c>
      <c r="J744">
        <v>1</v>
      </c>
      <c r="K744" s="3" t="s">
        <v>2379</v>
      </c>
      <c r="P744" s="3"/>
    </row>
    <row r="745" spans="1:16" x14ac:dyDescent="0.25">
      <c r="A745" s="3" t="s">
        <v>1626</v>
      </c>
      <c r="B745">
        <v>43.44</v>
      </c>
      <c r="C745" t="str" cm="1">
        <f t="array" ref="C745">_xlfn.IFS(B745&lt;=18.5,  "Underweight",B745&lt;=24.9,"Normal weight",B745&lt;=29.9, "Over weight",B745&gt;=30,"Obesity")</f>
        <v>Obesity</v>
      </c>
      <c r="D745">
        <v>4.8600000000000003</v>
      </c>
      <c r="E745" t="str" cm="1">
        <f t="array" ref="E745">_xlfn.IFS(D745&lt;5.7,"Normal",D745&lt;=6.4,"Prediabetes",D745&gt;=6.5,"Diabetes")</f>
        <v>Normal</v>
      </c>
      <c r="F745" s="3" t="s">
        <v>2382</v>
      </c>
      <c r="G745" s="3" t="s">
        <v>2379</v>
      </c>
      <c r="H745" s="3" t="s">
        <v>2379</v>
      </c>
      <c r="I745" s="1" t="s">
        <v>2380</v>
      </c>
      <c r="J745">
        <v>0</v>
      </c>
      <c r="K745" s="3" t="s">
        <v>2379</v>
      </c>
      <c r="P745" s="3"/>
    </row>
    <row r="746" spans="1:16" x14ac:dyDescent="0.25">
      <c r="A746" s="3" t="s">
        <v>1625</v>
      </c>
      <c r="B746">
        <v>21.754999999999999</v>
      </c>
      <c r="C746" t="str" cm="1">
        <f t="array" ref="C746">_xlfn.IFS(B746&lt;=18.5,  "Underweight",B746&lt;=24.9,"Normal weight",B746&lt;=29.9, "Over weight",B746&gt;=30,"Obesity")</f>
        <v>Normal weight</v>
      </c>
      <c r="D746">
        <v>7.79</v>
      </c>
      <c r="E746" t="str" cm="1">
        <f t="array" ref="E746">_xlfn.IFS(D746&lt;5.7,"Normal",D746&lt;=6.4,"Prediabetes",D746&gt;=6.5,"Diabetes")</f>
        <v>Diabetes</v>
      </c>
      <c r="F746" s="3" t="s">
        <v>2382</v>
      </c>
      <c r="G746" s="3" t="s">
        <v>2379</v>
      </c>
      <c r="H746" s="3" t="s">
        <v>2379</v>
      </c>
      <c r="I746" s="1" t="s">
        <v>2380</v>
      </c>
      <c r="J746">
        <v>0</v>
      </c>
      <c r="K746" s="3" t="s">
        <v>2379</v>
      </c>
      <c r="P746" s="3"/>
    </row>
    <row r="747" spans="1:16" x14ac:dyDescent="0.25">
      <c r="A747" s="3" t="s">
        <v>1624</v>
      </c>
      <c r="B747">
        <v>44.55</v>
      </c>
      <c r="C747" t="str" cm="1">
        <f t="array" ref="C747">_xlfn.IFS(B747&lt;=18.5,  "Underweight",B747&lt;=24.9,"Normal weight",B747&lt;=29.9, "Over weight",B747&gt;=30,"Obesity")</f>
        <v>Obesity</v>
      </c>
      <c r="D747">
        <v>7.12</v>
      </c>
      <c r="E747" t="str" cm="1">
        <f t="array" ref="E747">_xlfn.IFS(D747&lt;5.7,"Normal",D747&lt;=6.4,"Prediabetes",D747&gt;=6.5,"Diabetes")</f>
        <v>Diabetes</v>
      </c>
      <c r="F747" s="3" t="s">
        <v>2382</v>
      </c>
      <c r="G747" s="3" t="s">
        <v>2379</v>
      </c>
      <c r="H747" s="3" t="s">
        <v>2379</v>
      </c>
      <c r="I747" s="1">
        <v>1</v>
      </c>
      <c r="J747">
        <v>1</v>
      </c>
      <c r="K747" s="3" t="s">
        <v>2379</v>
      </c>
      <c r="P747" s="3"/>
    </row>
    <row r="748" spans="1:16" x14ac:dyDescent="0.25">
      <c r="A748" s="3" t="s">
        <v>1623</v>
      </c>
      <c r="B748">
        <v>43.32</v>
      </c>
      <c r="C748" t="str" cm="1">
        <f t="array" ref="C748">_xlfn.IFS(B748&lt;=18.5,  "Underweight",B748&lt;=24.9,"Normal weight",B748&lt;=29.9, "Over weight",B748&gt;=30,"Obesity")</f>
        <v>Obesity</v>
      </c>
      <c r="D748">
        <v>4.67</v>
      </c>
      <c r="E748" t="str" cm="1">
        <f t="array" ref="E748">_xlfn.IFS(D748&lt;5.7,"Normal",D748&lt;=6.4,"Prediabetes",D748&gt;=6.5,"Diabetes")</f>
        <v>Normal</v>
      </c>
      <c r="F748" s="3" t="s">
        <v>2382</v>
      </c>
      <c r="G748" s="3" t="s">
        <v>2379</v>
      </c>
      <c r="H748" s="3" t="s">
        <v>2379</v>
      </c>
      <c r="I748" s="1" t="s">
        <v>2380</v>
      </c>
      <c r="J748">
        <v>0</v>
      </c>
      <c r="K748" s="3" t="s">
        <v>2379</v>
      </c>
      <c r="P748" s="3"/>
    </row>
    <row r="749" spans="1:16" x14ac:dyDescent="0.25">
      <c r="A749" s="3" t="s">
        <v>1622</v>
      </c>
      <c r="B749">
        <v>31.23</v>
      </c>
      <c r="C749" t="str" cm="1">
        <f t="array" ref="C749">_xlfn.IFS(B749&lt;=18.5,  "Underweight",B749&lt;=24.9,"Normal weight",B749&lt;=29.9, "Over weight",B749&gt;=30,"Obesity")</f>
        <v>Obesity</v>
      </c>
      <c r="D749">
        <v>9.1199999999999992</v>
      </c>
      <c r="E749" t="str" cm="1">
        <f t="array" ref="E749">_xlfn.IFS(D749&lt;5.7,"Normal",D749&lt;=6.4,"Prediabetes",D749&gt;=6.5,"Diabetes")</f>
        <v>Diabetes</v>
      </c>
      <c r="F749" s="3" t="s">
        <v>2382</v>
      </c>
      <c r="G749" s="3" t="s">
        <v>2379</v>
      </c>
      <c r="H749" s="3" t="s">
        <v>2382</v>
      </c>
      <c r="I749" s="1">
        <v>1</v>
      </c>
      <c r="J749">
        <v>1</v>
      </c>
      <c r="K749" s="3" t="s">
        <v>2379</v>
      </c>
      <c r="P749" s="3"/>
    </row>
    <row r="750" spans="1:16" x14ac:dyDescent="0.25">
      <c r="A750" s="3" t="s">
        <v>1621</v>
      </c>
      <c r="B750">
        <v>42.81</v>
      </c>
      <c r="C750" t="str" cm="1">
        <f t="array" ref="C750">_xlfn.IFS(B750&lt;=18.5,  "Underweight",B750&lt;=24.9,"Normal weight",B750&lt;=29.9, "Over weight",B750&gt;=30,"Obesity")</f>
        <v>Obesity</v>
      </c>
      <c r="D750">
        <v>4.1500000000000004</v>
      </c>
      <c r="E750" t="str" cm="1">
        <f t="array" ref="E750">_xlfn.IFS(D750&lt;5.7,"Normal",D750&lt;=6.4,"Prediabetes",D750&gt;=6.5,"Diabetes")</f>
        <v>Normal</v>
      </c>
      <c r="F750" s="3" t="s">
        <v>2379</v>
      </c>
      <c r="G750" s="3" t="s">
        <v>2379</v>
      </c>
      <c r="H750" s="3" t="s">
        <v>2379</v>
      </c>
      <c r="I750" s="1">
        <v>1</v>
      </c>
      <c r="J750">
        <v>1</v>
      </c>
      <c r="K750" s="3" t="s">
        <v>2379</v>
      </c>
      <c r="P750" s="3"/>
    </row>
    <row r="751" spans="1:16" x14ac:dyDescent="0.25">
      <c r="A751" s="3" t="s">
        <v>1620</v>
      </c>
      <c r="B751">
        <v>35.909999999999997</v>
      </c>
      <c r="C751" t="str" cm="1">
        <f t="array" ref="C751">_xlfn.IFS(B751&lt;=18.5,  "Underweight",B751&lt;=24.9,"Normal weight",B751&lt;=29.9, "Over weight",B751&gt;=30,"Obesity")</f>
        <v>Obesity</v>
      </c>
      <c r="D751">
        <v>6.72</v>
      </c>
      <c r="E751" t="str" cm="1">
        <f t="array" ref="E751">_xlfn.IFS(D751&lt;5.7,"Normal",D751&lt;=6.4,"Prediabetes",D751&gt;=6.5,"Diabetes")</f>
        <v>Diabetes</v>
      </c>
      <c r="F751" s="3" t="s">
        <v>2382</v>
      </c>
      <c r="G751" s="3" t="s">
        <v>2379</v>
      </c>
      <c r="H751" s="3" t="s">
        <v>2379</v>
      </c>
      <c r="I751" s="1">
        <v>2</v>
      </c>
      <c r="J751">
        <v>2</v>
      </c>
      <c r="K751" s="3" t="s">
        <v>2379</v>
      </c>
      <c r="P751" s="3"/>
    </row>
    <row r="752" spans="1:16" x14ac:dyDescent="0.25">
      <c r="A752" s="3" t="s">
        <v>1619</v>
      </c>
      <c r="B752">
        <v>36.65</v>
      </c>
      <c r="C752" t="str" cm="1">
        <f t="array" ref="C752">_xlfn.IFS(B752&lt;=18.5,  "Underweight",B752&lt;=24.9,"Normal weight",B752&lt;=29.9, "Over weight",B752&gt;=30,"Obesity")</f>
        <v>Obesity</v>
      </c>
      <c r="D752">
        <v>5.01</v>
      </c>
      <c r="E752" t="str" cm="1">
        <f t="array" ref="E752">_xlfn.IFS(D752&lt;5.7,"Normal",D752&lt;=6.4,"Prediabetes",D752&gt;=6.5,"Diabetes")</f>
        <v>Normal</v>
      </c>
      <c r="F752" s="3" t="s">
        <v>2382</v>
      </c>
      <c r="G752" s="3" t="s">
        <v>2379</v>
      </c>
      <c r="H752" s="3" t="s">
        <v>2382</v>
      </c>
      <c r="I752" s="1">
        <v>1</v>
      </c>
      <c r="J752">
        <v>1</v>
      </c>
      <c r="K752" s="3" t="s">
        <v>2379</v>
      </c>
      <c r="P752" s="3"/>
    </row>
    <row r="753" spans="1:16" x14ac:dyDescent="0.25">
      <c r="A753" s="3" t="s">
        <v>1618</v>
      </c>
      <c r="B753">
        <v>22.04</v>
      </c>
      <c r="C753" t="str" cm="1">
        <f t="array" ref="C753">_xlfn.IFS(B753&lt;=18.5,  "Underweight",B753&lt;=24.9,"Normal weight",B753&lt;=29.9, "Over weight",B753&gt;=30,"Obesity")</f>
        <v>Normal weight</v>
      </c>
      <c r="D753">
        <v>10.9</v>
      </c>
      <c r="E753" t="str" cm="1">
        <f t="array" ref="E753">_xlfn.IFS(D753&lt;5.7,"Normal",D753&lt;=6.4,"Prediabetes",D753&gt;=6.5,"Diabetes")</f>
        <v>Diabetes</v>
      </c>
      <c r="F753" s="3" t="s">
        <v>2382</v>
      </c>
      <c r="G753" s="3" t="s">
        <v>2379</v>
      </c>
      <c r="H753" s="3" t="s">
        <v>2379</v>
      </c>
      <c r="I753" s="1">
        <v>2</v>
      </c>
      <c r="J753">
        <v>2</v>
      </c>
      <c r="K753" s="3" t="s">
        <v>2379</v>
      </c>
      <c r="P753" s="3"/>
    </row>
    <row r="754" spans="1:16" x14ac:dyDescent="0.25">
      <c r="A754" s="3" t="s">
        <v>1617</v>
      </c>
      <c r="B754">
        <v>31.824999999999999</v>
      </c>
      <c r="C754" t="str" cm="1">
        <f t="array" ref="C754">_xlfn.IFS(B754&lt;=18.5,  "Underweight",B754&lt;=24.9,"Normal weight",B754&lt;=29.9, "Over weight",B754&gt;=30,"Obesity")</f>
        <v>Obesity</v>
      </c>
      <c r="D754">
        <v>5.52</v>
      </c>
      <c r="E754" t="str" cm="1">
        <f t="array" ref="E754">_xlfn.IFS(D754&lt;5.7,"Normal",D754&lt;=6.4,"Prediabetes",D754&gt;=6.5,"Diabetes")</f>
        <v>Normal</v>
      </c>
      <c r="F754" s="3" t="s">
        <v>2382</v>
      </c>
      <c r="G754" s="3" t="s">
        <v>2379</v>
      </c>
      <c r="H754" s="3" t="s">
        <v>2379</v>
      </c>
      <c r="I754" s="1">
        <v>1</v>
      </c>
      <c r="J754">
        <v>1</v>
      </c>
      <c r="K754" s="3" t="s">
        <v>2379</v>
      </c>
      <c r="P754" s="3"/>
    </row>
    <row r="755" spans="1:16" x14ac:dyDescent="0.25">
      <c r="A755" s="3" t="s">
        <v>1616</v>
      </c>
      <c r="B755">
        <v>53.58</v>
      </c>
      <c r="C755" t="str" cm="1">
        <f t="array" ref="C755">_xlfn.IFS(B755&lt;=18.5,  "Underweight",B755&lt;=24.9,"Normal weight",B755&lt;=29.9, "Over weight",B755&gt;=30,"Obesity")</f>
        <v>Obesity</v>
      </c>
      <c r="D755">
        <v>4.55</v>
      </c>
      <c r="E755" t="str" cm="1">
        <f t="array" ref="E755">_xlfn.IFS(D755&lt;5.7,"Normal",D755&lt;=6.4,"Prediabetes",D755&gt;=6.5,"Diabetes")</f>
        <v>Normal</v>
      </c>
      <c r="F755" s="3" t="s">
        <v>2379</v>
      </c>
      <c r="G755" s="3" t="s">
        <v>2379</v>
      </c>
      <c r="H755" s="3" t="s">
        <v>2379</v>
      </c>
      <c r="I755" s="1">
        <v>1</v>
      </c>
      <c r="J755">
        <v>1</v>
      </c>
      <c r="K755" s="3" t="s">
        <v>2379</v>
      </c>
      <c r="P755" s="3"/>
    </row>
    <row r="756" spans="1:16" x14ac:dyDescent="0.25">
      <c r="A756" s="3" t="s">
        <v>1615</v>
      </c>
      <c r="B756">
        <v>34.299999999999997</v>
      </c>
      <c r="C756" t="str" cm="1">
        <f t="array" ref="C756">_xlfn.IFS(B756&lt;=18.5,  "Underweight",B756&lt;=24.9,"Normal weight",B756&lt;=29.9, "Over weight",B756&gt;=30,"Obesity")</f>
        <v>Obesity</v>
      </c>
      <c r="D756">
        <v>11.76</v>
      </c>
      <c r="E756" t="str" cm="1">
        <f t="array" ref="E756">_xlfn.IFS(D756&lt;5.7,"Normal",D756&lt;=6.4,"Prediabetes",D756&gt;=6.5,"Diabetes")</f>
        <v>Diabetes</v>
      </c>
      <c r="F756" s="3" t="s">
        <v>2379</v>
      </c>
      <c r="G756" s="3" t="s">
        <v>2379</v>
      </c>
      <c r="H756" s="3" t="s">
        <v>2379</v>
      </c>
      <c r="I756" s="1" t="s">
        <v>2380</v>
      </c>
      <c r="J756">
        <v>0</v>
      </c>
      <c r="K756" s="3" t="s">
        <v>2379</v>
      </c>
      <c r="P756" s="3"/>
    </row>
    <row r="757" spans="1:16" x14ac:dyDescent="0.25">
      <c r="A757" s="3" t="s">
        <v>1614</v>
      </c>
      <c r="B757">
        <v>32.11</v>
      </c>
      <c r="C757" t="str" cm="1">
        <f t="array" ref="C757">_xlfn.IFS(B757&lt;=18.5,  "Underweight",B757&lt;=24.9,"Normal weight",B757&lt;=29.9, "Over weight",B757&gt;=30,"Obesity")</f>
        <v>Obesity</v>
      </c>
      <c r="D757">
        <v>7.06</v>
      </c>
      <c r="E757" t="str" cm="1">
        <f t="array" ref="E757">_xlfn.IFS(D757&lt;5.7,"Normal",D757&lt;=6.4,"Prediabetes",D757&gt;=6.5,"Diabetes")</f>
        <v>Diabetes</v>
      </c>
      <c r="F757" s="3" t="s">
        <v>2379</v>
      </c>
      <c r="G757" s="3" t="s">
        <v>2379</v>
      </c>
      <c r="H757" s="3" t="s">
        <v>2379</v>
      </c>
      <c r="I757" s="1" t="s">
        <v>2380</v>
      </c>
      <c r="J757">
        <v>0</v>
      </c>
      <c r="K757" s="3" t="s">
        <v>2379</v>
      </c>
      <c r="P757" s="3"/>
    </row>
    <row r="758" spans="1:16" x14ac:dyDescent="0.25">
      <c r="A758" s="3" t="s">
        <v>1613</v>
      </c>
      <c r="B758">
        <v>31.78</v>
      </c>
      <c r="C758" t="str" cm="1">
        <f t="array" ref="C758">_xlfn.IFS(B758&lt;=18.5,  "Underweight",B758&lt;=24.9,"Normal weight",B758&lt;=29.9, "Over weight",B758&gt;=30,"Obesity")</f>
        <v>Obesity</v>
      </c>
      <c r="D758">
        <v>11.35</v>
      </c>
      <c r="E758" t="str" cm="1">
        <f t="array" ref="E758">_xlfn.IFS(D758&lt;5.7,"Normal",D758&lt;=6.4,"Prediabetes",D758&gt;=6.5,"Diabetes")</f>
        <v>Diabetes</v>
      </c>
      <c r="F758" s="3" t="s">
        <v>2382</v>
      </c>
      <c r="G758" s="3" t="s">
        <v>2379</v>
      </c>
      <c r="H758" s="3" t="s">
        <v>2382</v>
      </c>
      <c r="I758" s="1">
        <v>1</v>
      </c>
      <c r="J758">
        <v>1</v>
      </c>
      <c r="K758" s="3" t="s">
        <v>2379</v>
      </c>
      <c r="P758" s="3"/>
    </row>
    <row r="759" spans="1:16" x14ac:dyDescent="0.25">
      <c r="A759" s="3" t="s">
        <v>1612</v>
      </c>
      <c r="B759">
        <v>46.89</v>
      </c>
      <c r="C759" t="str" cm="1">
        <f t="array" ref="C759">_xlfn.IFS(B759&lt;=18.5,  "Underweight",B759&lt;=24.9,"Normal weight",B759&lt;=29.9, "Over weight",B759&gt;=30,"Obesity")</f>
        <v>Obesity</v>
      </c>
      <c r="D759">
        <v>5.52</v>
      </c>
      <c r="E759" t="str" cm="1">
        <f t="array" ref="E759">_xlfn.IFS(D759&lt;5.7,"Normal",D759&lt;=6.4,"Prediabetes",D759&gt;=6.5,"Diabetes")</f>
        <v>Normal</v>
      </c>
      <c r="F759" s="3" t="s">
        <v>2379</v>
      </c>
      <c r="G759" s="3" t="s">
        <v>2379</v>
      </c>
      <c r="H759" s="3" t="s">
        <v>2379</v>
      </c>
      <c r="I759" s="1" t="s">
        <v>2380</v>
      </c>
      <c r="J759">
        <v>0</v>
      </c>
      <c r="K759" s="3" t="s">
        <v>2379</v>
      </c>
      <c r="P759" s="3"/>
    </row>
    <row r="760" spans="1:16" x14ac:dyDescent="0.25">
      <c r="A760" s="3" t="s">
        <v>1611</v>
      </c>
      <c r="B760">
        <v>39.35</v>
      </c>
      <c r="C760" t="str" cm="1">
        <f t="array" ref="C760">_xlfn.IFS(B760&lt;=18.5,  "Underweight",B760&lt;=24.9,"Normal weight",B760&lt;=29.9, "Over weight",B760&gt;=30,"Obesity")</f>
        <v>Obesity</v>
      </c>
      <c r="D760">
        <v>7.86</v>
      </c>
      <c r="E760" t="str" cm="1">
        <f t="array" ref="E760">_xlfn.IFS(D760&lt;5.7,"Normal",D760&lt;=6.4,"Prediabetes",D760&gt;=6.5,"Diabetes")</f>
        <v>Diabetes</v>
      </c>
      <c r="F760" s="3" t="s">
        <v>2382</v>
      </c>
      <c r="G760" s="3" t="s">
        <v>2379</v>
      </c>
      <c r="H760" s="3" t="s">
        <v>2379</v>
      </c>
      <c r="I760" s="1">
        <v>1</v>
      </c>
      <c r="J760">
        <v>1</v>
      </c>
      <c r="K760" s="3" t="s">
        <v>2379</v>
      </c>
      <c r="P760" s="3"/>
    </row>
    <row r="761" spans="1:16" x14ac:dyDescent="0.25">
      <c r="A761" s="3" t="s">
        <v>1610</v>
      </c>
      <c r="B761">
        <v>39.200000000000003</v>
      </c>
      <c r="C761" t="str" cm="1">
        <f t="array" ref="C761">_xlfn.IFS(B761&lt;=18.5,  "Underweight",B761&lt;=24.9,"Normal weight",B761&lt;=29.9, "Over weight",B761&gt;=30,"Obesity")</f>
        <v>Obesity</v>
      </c>
      <c r="D761">
        <v>11.38</v>
      </c>
      <c r="E761" t="str" cm="1">
        <f t="array" ref="E761">_xlfn.IFS(D761&lt;5.7,"Normal",D761&lt;=6.4,"Prediabetes",D761&gt;=6.5,"Diabetes")</f>
        <v>Diabetes</v>
      </c>
      <c r="F761" s="3" t="s">
        <v>2379</v>
      </c>
      <c r="G761" s="3" t="s">
        <v>2379</v>
      </c>
      <c r="H761" s="3" t="s">
        <v>2379</v>
      </c>
      <c r="I761" s="1" t="s">
        <v>2380</v>
      </c>
      <c r="J761">
        <v>0</v>
      </c>
      <c r="K761" s="3" t="s">
        <v>2379</v>
      </c>
      <c r="P761" s="3"/>
    </row>
    <row r="762" spans="1:16" x14ac:dyDescent="0.25">
      <c r="A762" s="3" t="s">
        <v>1609</v>
      </c>
      <c r="B762">
        <v>39.159999999999997</v>
      </c>
      <c r="C762" t="str" cm="1">
        <f t="array" ref="C762">_xlfn.IFS(B762&lt;=18.5,  "Underweight",B762&lt;=24.9,"Normal weight",B762&lt;=29.9, "Over weight",B762&gt;=30,"Obesity")</f>
        <v>Obesity</v>
      </c>
      <c r="D762">
        <v>10.48</v>
      </c>
      <c r="E762" t="str" cm="1">
        <f t="array" ref="E762">_xlfn.IFS(D762&lt;5.7,"Normal",D762&lt;=6.4,"Prediabetes",D762&gt;=6.5,"Diabetes")</f>
        <v>Diabetes</v>
      </c>
      <c r="F762" s="3" t="s">
        <v>2379</v>
      </c>
      <c r="G762" s="3" t="s">
        <v>2379</v>
      </c>
      <c r="H762" s="3" t="s">
        <v>2379</v>
      </c>
      <c r="I762" s="1" t="s">
        <v>2380</v>
      </c>
      <c r="J762">
        <v>0</v>
      </c>
      <c r="K762" s="3" t="s">
        <v>2379</v>
      </c>
      <c r="P762" s="3"/>
    </row>
    <row r="763" spans="1:16" x14ac:dyDescent="0.25">
      <c r="A763" s="3" t="s">
        <v>1608</v>
      </c>
      <c r="B763">
        <v>44.1</v>
      </c>
      <c r="C763" t="str" cm="1">
        <f t="array" ref="C763">_xlfn.IFS(B763&lt;=18.5,  "Underweight",B763&lt;=24.9,"Normal weight",B763&lt;=29.9, "Over weight",B763&gt;=30,"Obesity")</f>
        <v>Obesity</v>
      </c>
      <c r="D763">
        <v>5.04</v>
      </c>
      <c r="E763" t="str" cm="1">
        <f t="array" ref="E763">_xlfn.IFS(D763&lt;5.7,"Normal",D763&lt;=6.4,"Prediabetes",D763&gt;=6.5,"Diabetes")</f>
        <v>Normal</v>
      </c>
      <c r="F763" s="3" t="s">
        <v>2382</v>
      </c>
      <c r="G763" s="3" t="s">
        <v>2379</v>
      </c>
      <c r="H763" s="3" t="s">
        <v>2379</v>
      </c>
      <c r="I763" s="1" t="s">
        <v>2380</v>
      </c>
      <c r="J763">
        <v>0</v>
      </c>
      <c r="K763" s="3" t="s">
        <v>2379</v>
      </c>
      <c r="P763" s="3"/>
    </row>
    <row r="764" spans="1:16" x14ac:dyDescent="0.25">
      <c r="A764" s="3" t="s">
        <v>1607</v>
      </c>
      <c r="B764">
        <v>33.200000000000003</v>
      </c>
      <c r="C764" t="str" cm="1">
        <f t="array" ref="C764">_xlfn.IFS(B764&lt;=18.5,  "Underweight",B764&lt;=24.9,"Normal weight",B764&lt;=29.9, "Over weight",B764&gt;=30,"Obesity")</f>
        <v>Obesity</v>
      </c>
      <c r="D764">
        <v>9.06</v>
      </c>
      <c r="E764" t="str" cm="1">
        <f t="array" ref="E764">_xlfn.IFS(D764&lt;5.7,"Normal",D764&lt;=6.4,"Prediabetes",D764&gt;=6.5,"Diabetes")</f>
        <v>Diabetes</v>
      </c>
      <c r="F764" s="3" t="s">
        <v>2379</v>
      </c>
      <c r="G764" s="3" t="s">
        <v>2379</v>
      </c>
      <c r="H764" s="3" t="s">
        <v>2379</v>
      </c>
      <c r="I764" s="1" t="s">
        <v>2380</v>
      </c>
      <c r="J764">
        <v>0</v>
      </c>
      <c r="K764" s="3" t="s">
        <v>2379</v>
      </c>
      <c r="P764" s="3"/>
    </row>
    <row r="765" spans="1:16" x14ac:dyDescent="0.25">
      <c r="A765" s="3" t="s">
        <v>1606</v>
      </c>
      <c r="B765">
        <v>29.92</v>
      </c>
      <c r="C765" t="str" cm="1">
        <f t="array" ref="C765">_xlfn.IFS(B766&lt;=18.5,  "Underweight",B766&lt;=24.9,"Normal weight",B766&lt;=29.9, "Over weight",B766&gt;=30,"Obesity")</f>
        <v>Over weight</v>
      </c>
      <c r="D765">
        <v>11.07</v>
      </c>
      <c r="E765" t="str" cm="1">
        <f t="array" ref="E765">_xlfn.IFS(D765&lt;5.7,"Normal",D765&lt;=6.4,"Prediabetes",D765&gt;=6.5,"Diabetes")</f>
        <v>Diabetes</v>
      </c>
      <c r="F765" s="3" t="s">
        <v>2379</v>
      </c>
      <c r="G765" s="3" t="s">
        <v>2379</v>
      </c>
      <c r="H765" s="3" t="s">
        <v>2379</v>
      </c>
      <c r="I765" s="1" t="s">
        <v>2380</v>
      </c>
      <c r="J765">
        <v>0</v>
      </c>
      <c r="K765" s="3" t="s">
        <v>2379</v>
      </c>
      <c r="P765" s="3"/>
    </row>
    <row r="766" spans="1:16" x14ac:dyDescent="0.25">
      <c r="A766" s="3" t="s">
        <v>1605</v>
      </c>
      <c r="B766">
        <v>25</v>
      </c>
      <c r="C766" t="s">
        <v>10716</v>
      </c>
      <c r="D766">
        <v>10.45</v>
      </c>
      <c r="E766" t="str" cm="1">
        <f t="array" ref="E766">_xlfn.IFS(D766&lt;5.7,"Normal",D766&lt;=6.4,"Prediabetes",D766&gt;=6.5,"Diabetes")</f>
        <v>Diabetes</v>
      </c>
      <c r="F766" s="3" t="s">
        <v>2379</v>
      </c>
      <c r="G766" s="3" t="s">
        <v>2379</v>
      </c>
      <c r="H766" s="3" t="s">
        <v>2379</v>
      </c>
      <c r="I766" s="1" t="s">
        <v>2380</v>
      </c>
      <c r="J766">
        <v>0</v>
      </c>
      <c r="K766" s="3" t="s">
        <v>2379</v>
      </c>
      <c r="P766" s="3"/>
    </row>
    <row r="767" spans="1:16" x14ac:dyDescent="0.25">
      <c r="A767" s="3" t="s">
        <v>1604</v>
      </c>
      <c r="B767">
        <v>38.869999999999997</v>
      </c>
      <c r="C767" t="str" cm="1">
        <f t="array" ref="C767">_xlfn.IFS(B767&lt;=18.5,  "Underweight",B767&lt;=24.9,"Normal weight",B767&lt;=29.9, "Over weight",B767&gt;=30,"Obesity")</f>
        <v>Obesity</v>
      </c>
      <c r="D767">
        <v>8.6300000000000008</v>
      </c>
      <c r="E767" t="str" cm="1">
        <f t="array" ref="E767">_xlfn.IFS(D767&lt;5.7,"Normal",D767&lt;=6.4,"Prediabetes",D767&gt;=6.5,"Diabetes")</f>
        <v>Diabetes</v>
      </c>
      <c r="F767" s="3" t="s">
        <v>2382</v>
      </c>
      <c r="G767" s="3" t="s">
        <v>2379</v>
      </c>
      <c r="H767" s="3" t="s">
        <v>2379</v>
      </c>
      <c r="I767" s="1">
        <v>1</v>
      </c>
      <c r="J767">
        <v>1</v>
      </c>
      <c r="K767" s="3" t="s">
        <v>2379</v>
      </c>
      <c r="P767" s="3"/>
    </row>
    <row r="768" spans="1:16" x14ac:dyDescent="0.25">
      <c r="A768" s="3" t="s">
        <v>1603</v>
      </c>
      <c r="B768">
        <v>32.299999999999997</v>
      </c>
      <c r="C768" t="str" cm="1">
        <f t="array" ref="C768">_xlfn.IFS(B768&lt;=18.5,  "Under weight",B768&lt;=24.9,"Normal weight",B768&lt;=29.9, "Over weight",B768&gt;=30,"Obesity")</f>
        <v>Obesity</v>
      </c>
      <c r="D768">
        <v>5.28</v>
      </c>
      <c r="E768" t="str" cm="1">
        <f t="array" ref="E768">_xlfn.IFS(D768&lt;5.7,"Normal",D768&lt;=6.4,"Prediabetes",D768&gt;=6.5,"Diabetes")</f>
        <v>Normal</v>
      </c>
      <c r="F768" s="3" t="s">
        <v>2382</v>
      </c>
      <c r="G768" s="3" t="s">
        <v>2379</v>
      </c>
      <c r="H768" s="3" t="s">
        <v>2379</v>
      </c>
      <c r="I768" s="1">
        <v>2</v>
      </c>
      <c r="J768">
        <v>2</v>
      </c>
      <c r="K768" s="3" t="s">
        <v>2379</v>
      </c>
      <c r="P768" s="3"/>
    </row>
    <row r="769" spans="1:16" x14ac:dyDescent="0.25">
      <c r="A769" s="3" t="s">
        <v>1602</v>
      </c>
      <c r="B769">
        <v>31.16</v>
      </c>
      <c r="C769" t="str" cm="1">
        <f t="array" ref="C769">_xlfn.IFS(B769&lt;=18.5,  "Underweight",B769&lt;=24.9,"Normal weight",B769&lt;=29.9, "Over weight",B769&gt;=30,"Obesity")</f>
        <v>Obesity</v>
      </c>
      <c r="D769">
        <v>7.49</v>
      </c>
      <c r="E769" t="str" cm="1">
        <f t="array" ref="E769">_xlfn.IFS(D769&lt;5.7,"Normal",D769&lt;=6.4,"Prediabetes",D769&gt;=6.5,"Diabetes")</f>
        <v>Diabetes</v>
      </c>
      <c r="F769" s="3" t="s">
        <v>2382</v>
      </c>
      <c r="G769" s="3" t="s">
        <v>2379</v>
      </c>
      <c r="H769" s="3" t="s">
        <v>2379</v>
      </c>
      <c r="I769" s="1">
        <v>2</v>
      </c>
      <c r="J769">
        <v>2</v>
      </c>
      <c r="K769" s="3" t="s">
        <v>2379</v>
      </c>
      <c r="P769" s="3"/>
    </row>
    <row r="770" spans="1:16" x14ac:dyDescent="0.25">
      <c r="A770" s="3" t="s">
        <v>1601</v>
      </c>
      <c r="B770">
        <v>54.59</v>
      </c>
      <c r="C770" t="str" cm="1">
        <f t="array" ref="C770">_xlfn.IFS(B770&lt;=18.5,  "Underweight",B770&lt;=24.9,"Normal weight",B770&lt;=29.9, "Over weight",B770&gt;=30,"Obesity")</f>
        <v>Obesity</v>
      </c>
      <c r="D770">
        <v>4.2699999999999996</v>
      </c>
      <c r="E770" t="str" cm="1">
        <f t="array" ref="E770">_xlfn.IFS(D770&lt;5.7,"Normal",D770&lt;=6.4,"Prediabetes",D770&gt;=6.5,"Diabetes")</f>
        <v>Normal</v>
      </c>
      <c r="F770" s="3" t="s">
        <v>2379</v>
      </c>
      <c r="G770" s="3" t="s">
        <v>2379</v>
      </c>
      <c r="H770" s="3" t="s">
        <v>2379</v>
      </c>
      <c r="I770" s="1" t="s">
        <v>2380</v>
      </c>
      <c r="J770">
        <v>0</v>
      </c>
      <c r="K770" s="3" t="s">
        <v>2379</v>
      </c>
      <c r="P770" s="3"/>
    </row>
    <row r="771" spans="1:16" x14ac:dyDescent="0.25">
      <c r="A771" s="3" t="s">
        <v>1600</v>
      </c>
      <c r="B771">
        <v>21.09</v>
      </c>
      <c r="C771" t="str" cm="1">
        <f t="array" ref="C771">_xlfn.IFS(B771&lt;=18.5,  "Underweight",B771&lt;=24.9,"Normal weight",B771&lt;=29.9, "Over weight",B771&gt;=30,"Obesity")</f>
        <v>Normal weight</v>
      </c>
      <c r="D771">
        <v>9.2200000000000006</v>
      </c>
      <c r="E771" t="str" cm="1">
        <f t="array" ref="E771">_xlfn.IFS(D771&lt;5.7,"Normal",D771&lt;=6.4,"Prediabetes",D771&gt;=6.5,"Diabetes")</f>
        <v>Diabetes</v>
      </c>
      <c r="F771" s="3" t="s">
        <v>2382</v>
      </c>
      <c r="G771" s="3" t="s">
        <v>2379</v>
      </c>
      <c r="H771" s="3" t="s">
        <v>2379</v>
      </c>
      <c r="I771" s="1">
        <v>2</v>
      </c>
      <c r="J771">
        <v>2</v>
      </c>
      <c r="K771" s="3" t="s">
        <v>2379</v>
      </c>
      <c r="P771" s="3"/>
    </row>
    <row r="772" spans="1:16" x14ac:dyDescent="0.25">
      <c r="A772" s="3" t="s">
        <v>1599</v>
      </c>
      <c r="B772">
        <v>52.41</v>
      </c>
      <c r="C772" t="str" cm="1">
        <f t="array" ref="C772">_xlfn.IFS(B772&lt;=18.5,  "Underweight",B772&lt;=24.9,"Normal weight",B772&lt;=29.9, "Over weight",B772&gt;=30,"Obesity")</f>
        <v>Obesity</v>
      </c>
      <c r="D772">
        <v>5.99</v>
      </c>
      <c r="E772" t="str" cm="1">
        <f t="array" ref="E772">_xlfn.IFS(D772&lt;5.7,"Normal",D772&lt;=6.4,"Prediabetes",D772&gt;=6.5,"Diabetes")</f>
        <v>Prediabetes</v>
      </c>
      <c r="F772" s="3" t="s">
        <v>2379</v>
      </c>
      <c r="G772" s="3" t="s">
        <v>2379</v>
      </c>
      <c r="H772" s="3" t="s">
        <v>2379</v>
      </c>
      <c r="I772" s="1">
        <v>1</v>
      </c>
      <c r="J772">
        <v>1</v>
      </c>
      <c r="K772" s="3" t="s">
        <v>2379</v>
      </c>
      <c r="P772" s="3"/>
    </row>
    <row r="773" spans="1:16" x14ac:dyDescent="0.25">
      <c r="A773" s="3" t="s">
        <v>1598</v>
      </c>
      <c r="B773">
        <v>41.47</v>
      </c>
      <c r="C773" t="str" cm="1">
        <f t="array" ref="C773">_xlfn.IFS(B773&lt;=18.5,  "Underweight",B773&lt;=24.9,"Normal weight",B773&lt;=29.9, "Over weight",B773&gt;=30,"Obesity")</f>
        <v>Obesity</v>
      </c>
      <c r="D773">
        <v>5.86</v>
      </c>
      <c r="E773" t="str" cm="1">
        <f t="array" ref="E773">_xlfn.IFS(D773&lt;5.7,"Normal",D773&lt;=6.4,"Prediabetes",D773&gt;=6.5,"Diabetes")</f>
        <v>Prediabetes</v>
      </c>
      <c r="F773" s="3" t="s">
        <v>2382</v>
      </c>
      <c r="G773" s="3" t="s">
        <v>2379</v>
      </c>
      <c r="H773" s="3" t="s">
        <v>2379</v>
      </c>
      <c r="I773" s="1">
        <v>2</v>
      </c>
      <c r="J773">
        <v>2</v>
      </c>
      <c r="K773" s="3" t="s">
        <v>2379</v>
      </c>
      <c r="P773" s="3"/>
    </row>
    <row r="774" spans="1:16" x14ac:dyDescent="0.25">
      <c r="A774" s="3" t="s">
        <v>1597</v>
      </c>
      <c r="B774">
        <v>33.1</v>
      </c>
      <c r="C774" t="str" cm="1">
        <f t="array" ref="C774">_xlfn.IFS(B774&lt;=18.5,  "Underweight",B774&lt;=24.9,"Normal weight",B774&lt;=29.9, "Over weight",B774&gt;=30,"Obesity")</f>
        <v>Obesity</v>
      </c>
      <c r="D774">
        <v>5.19</v>
      </c>
      <c r="E774" t="str" cm="1">
        <f t="array" ref="E774">_xlfn.IFS(D774&lt;5.7,"Normal",D774&lt;=6.4,"Prediabetes",D774&gt;=6.5,"Diabetes")</f>
        <v>Normal</v>
      </c>
      <c r="F774" s="3" t="s">
        <v>2382</v>
      </c>
      <c r="G774" s="3" t="s">
        <v>2379</v>
      </c>
      <c r="H774" s="3" t="s">
        <v>2379</v>
      </c>
      <c r="I774" s="1">
        <v>2</v>
      </c>
      <c r="J774">
        <v>2</v>
      </c>
      <c r="K774" s="3" t="s">
        <v>2379</v>
      </c>
      <c r="P774" s="3"/>
    </row>
    <row r="775" spans="1:16" x14ac:dyDescent="0.25">
      <c r="A775" s="3" t="s">
        <v>1596</v>
      </c>
      <c r="B775">
        <v>30.8</v>
      </c>
      <c r="C775" t="str" cm="1">
        <f t="array" ref="C775">_xlfn.IFS(B775&lt;=18.5,  "Underweight",B775&lt;=24.9,"Normal weight",B775&lt;=29.9, "Over weight",B775&gt;=30,"Obesity")</f>
        <v>Obesity</v>
      </c>
      <c r="D775">
        <v>4.37</v>
      </c>
      <c r="E775" t="str" cm="1">
        <f t="array" ref="E775">_xlfn.IFS(D775&lt;5.7,"Normal",D775&lt;=6.4,"Prediabetes",D775&gt;=6.5,"Diabetes")</f>
        <v>Normal</v>
      </c>
      <c r="F775" s="3" t="s">
        <v>2382</v>
      </c>
      <c r="G775" s="3" t="s">
        <v>2379</v>
      </c>
      <c r="H775" s="3" t="s">
        <v>2379</v>
      </c>
      <c r="I775" s="1">
        <v>2</v>
      </c>
      <c r="J775">
        <v>2</v>
      </c>
      <c r="K775" s="3" t="s">
        <v>2379</v>
      </c>
      <c r="P775" s="3"/>
    </row>
    <row r="776" spans="1:16" x14ac:dyDescent="0.25">
      <c r="A776" s="3" t="s">
        <v>1595</v>
      </c>
      <c r="B776">
        <v>42.06</v>
      </c>
      <c r="C776" t="str" cm="1">
        <f t="array" ref="C776">_xlfn.IFS(B776&lt;=18.5,  "Underweight",B776&lt;=24.9,"Normal weight",B776&lt;=29.9, "Over weight",B776&gt;=30,"Obesity")</f>
        <v>Obesity</v>
      </c>
      <c r="D776">
        <v>5.32</v>
      </c>
      <c r="E776" t="str" cm="1">
        <f t="array" ref="E776">_xlfn.IFS(D776&lt;5.7,"Normal",D776&lt;=6.4,"Prediabetes",D776&gt;=6.5,"Diabetes")</f>
        <v>Normal</v>
      </c>
      <c r="F776" s="3" t="s">
        <v>2379</v>
      </c>
      <c r="G776" s="3" t="s">
        <v>2379</v>
      </c>
      <c r="H776" s="3" t="s">
        <v>2379</v>
      </c>
      <c r="I776" s="1">
        <v>1</v>
      </c>
      <c r="J776">
        <v>1</v>
      </c>
      <c r="K776" s="3" t="s">
        <v>2379</v>
      </c>
      <c r="P776" s="3"/>
    </row>
    <row r="777" spans="1:16" x14ac:dyDescent="0.25">
      <c r="A777" s="3" t="s">
        <v>1594</v>
      </c>
      <c r="B777">
        <v>39.270000000000003</v>
      </c>
      <c r="C777" t="str" cm="1">
        <f t="array" ref="C777">_xlfn.IFS(B777&lt;=18.5,  "Underweight",B777&lt;=24.9,"Normal weight",B777&lt;=29.9, "Over weight",B777&gt;=30,"Obesity")</f>
        <v>Obesity</v>
      </c>
      <c r="D777">
        <v>5.64</v>
      </c>
      <c r="E777" t="str" cm="1">
        <f t="array" ref="E777">_xlfn.IFS(D777&lt;5.7,"Normal",D777&lt;=6.4,"Prediabetes",D777&gt;=6.5,"Diabetes")</f>
        <v>Normal</v>
      </c>
      <c r="F777" s="3" t="s">
        <v>2379</v>
      </c>
      <c r="G777" s="3" t="s">
        <v>2379</v>
      </c>
      <c r="H777" s="3" t="s">
        <v>2382</v>
      </c>
      <c r="I777" s="1">
        <v>1</v>
      </c>
      <c r="J777">
        <v>1</v>
      </c>
      <c r="K777" s="3" t="s">
        <v>2379</v>
      </c>
      <c r="P777" s="3"/>
    </row>
    <row r="778" spans="1:16" x14ac:dyDescent="0.25">
      <c r="A778" s="3" t="s">
        <v>1593</v>
      </c>
      <c r="B778">
        <v>30.71</v>
      </c>
      <c r="C778" t="str" cm="1">
        <f t="array" ref="C778">_xlfn.IFS(B778&lt;=18.5,  "Underweight",B778&lt;=24.9,"Normal weight",B778&lt;=29.9, "Over weight",B778&gt;=30,"Obesity")</f>
        <v>Obesity</v>
      </c>
      <c r="D778">
        <v>5.59</v>
      </c>
      <c r="E778" t="str" cm="1">
        <f t="array" ref="E778">_xlfn.IFS(D778&lt;5.7,"Normal",D778&lt;=6.4,"Prediabetes",D778&gt;=6.5,"Diabetes")</f>
        <v>Normal</v>
      </c>
      <c r="F778" s="3" t="s">
        <v>2382</v>
      </c>
      <c r="G778" s="3" t="s">
        <v>2379</v>
      </c>
      <c r="H778" s="3" t="s">
        <v>2379</v>
      </c>
      <c r="I778" s="1">
        <v>1</v>
      </c>
      <c r="J778">
        <v>1</v>
      </c>
      <c r="K778" s="3" t="s">
        <v>2379</v>
      </c>
      <c r="P778" s="3"/>
    </row>
    <row r="779" spans="1:16" x14ac:dyDescent="0.25">
      <c r="A779" s="3" t="s">
        <v>1592</v>
      </c>
      <c r="B779">
        <v>47.19</v>
      </c>
      <c r="C779" t="str" cm="1">
        <f t="array" ref="C779">_xlfn.IFS(B779&lt;=18.5,  "Underweight",B779&lt;=24.9,"Normal weight",B779&lt;=29.9, "Over weight",B779&gt;=30,"Obesity")</f>
        <v>Obesity</v>
      </c>
      <c r="D779">
        <v>5.29</v>
      </c>
      <c r="E779" t="str" cm="1">
        <f t="array" ref="E779">_xlfn.IFS(D779&lt;5.7,"Normal",D779&lt;=6.4,"Prediabetes",D779&gt;=6.5,"Diabetes")</f>
        <v>Normal</v>
      </c>
      <c r="F779" s="3" t="s">
        <v>2379</v>
      </c>
      <c r="G779" s="3" t="s">
        <v>2379</v>
      </c>
      <c r="H779" s="3" t="s">
        <v>2379</v>
      </c>
      <c r="I779" s="1" t="s">
        <v>2380</v>
      </c>
      <c r="J779">
        <v>0</v>
      </c>
      <c r="K779" s="3" t="s">
        <v>2379</v>
      </c>
      <c r="P779" s="3"/>
    </row>
    <row r="780" spans="1:16" x14ac:dyDescent="0.25">
      <c r="A780" s="3" t="s">
        <v>1591</v>
      </c>
      <c r="B780">
        <v>30.02</v>
      </c>
      <c r="C780" t="str" cm="1">
        <f t="array" ref="C780">_xlfn.IFS(B780&lt;=18.5,  "Underweight",B780&lt;=24.9,"Normal weight",B780&lt;=29.9, "Over weight",B780&gt;=30,"Obesity")</f>
        <v>Obesity</v>
      </c>
      <c r="D780">
        <v>6.65</v>
      </c>
      <c r="E780" t="str" cm="1">
        <f t="array" ref="E780">_xlfn.IFS(D780&lt;5.7,"Normal",D780&lt;=6.4,"Prediabetes",D780&gt;=6.5,"Diabetes")</f>
        <v>Diabetes</v>
      </c>
      <c r="F780" s="3" t="s">
        <v>2379</v>
      </c>
      <c r="G780" s="3" t="s">
        <v>2379</v>
      </c>
      <c r="H780" s="3" t="s">
        <v>2379</v>
      </c>
      <c r="I780" s="1" t="s">
        <v>2380</v>
      </c>
      <c r="J780">
        <v>0</v>
      </c>
      <c r="K780" s="3" t="s">
        <v>2379</v>
      </c>
      <c r="P780" s="3"/>
    </row>
    <row r="781" spans="1:16" x14ac:dyDescent="0.25">
      <c r="A781" s="3" t="s">
        <v>1590</v>
      </c>
      <c r="B781">
        <v>37.909999999999997</v>
      </c>
      <c r="C781" t="str" cm="1">
        <f t="array" ref="C781">_xlfn.IFS(B781&lt;=18.5,  "Underweight",B781&lt;=24.9,"Normal weight",B781&lt;=29.9, "Over weight",B781&gt;=30,"Obesity")</f>
        <v>Obesity</v>
      </c>
      <c r="D781">
        <v>5.68</v>
      </c>
      <c r="E781" t="str" cm="1">
        <f t="array" ref="E781">_xlfn.IFS(D781&lt;5.7,"Normal",D781&lt;=6.4,"Prediabetes",D781&gt;=6.5,"Diabetes")</f>
        <v>Normal</v>
      </c>
      <c r="F781" s="3" t="s">
        <v>2382</v>
      </c>
      <c r="G781" s="3" t="s">
        <v>2379</v>
      </c>
      <c r="H781" s="3" t="s">
        <v>2379</v>
      </c>
      <c r="I781" s="1" t="s">
        <v>2380</v>
      </c>
      <c r="J781">
        <v>0</v>
      </c>
      <c r="K781" s="3" t="s">
        <v>2379</v>
      </c>
      <c r="P781" s="3"/>
    </row>
    <row r="782" spans="1:16" x14ac:dyDescent="0.25">
      <c r="A782" s="3" t="s">
        <v>1589</v>
      </c>
      <c r="B782">
        <v>54.61</v>
      </c>
      <c r="C782" t="str" cm="1">
        <f t="array" ref="C782">_xlfn.IFS(B782&lt;=18.5,  "Underweight",B782&lt;=24.9,"Normal weight",B782&lt;=29.9, "Over weight",B782&gt;=30,"Obesity")</f>
        <v>Obesity</v>
      </c>
      <c r="D782">
        <v>4.49</v>
      </c>
      <c r="E782" t="str" cm="1">
        <f t="array" ref="E782">_xlfn.IFS(D782&lt;5.7,"Normal",D782&lt;=6.4,"Prediabetes",D782&gt;=6.5,"Diabetes")</f>
        <v>Normal</v>
      </c>
      <c r="F782" s="3" t="s">
        <v>2379</v>
      </c>
      <c r="G782" s="3" t="s">
        <v>2379</v>
      </c>
      <c r="H782" s="3" t="s">
        <v>2379</v>
      </c>
      <c r="I782" s="1" t="s">
        <v>2380</v>
      </c>
      <c r="J782">
        <v>0</v>
      </c>
      <c r="K782" s="3" t="s">
        <v>2379</v>
      </c>
      <c r="P782" s="3"/>
    </row>
    <row r="783" spans="1:16" x14ac:dyDescent="0.25">
      <c r="A783" s="3" t="s">
        <v>1588</v>
      </c>
      <c r="B783">
        <v>36.005000000000003</v>
      </c>
      <c r="C783" t="str" cm="1">
        <f t="array" ref="C783">_xlfn.IFS(B783&lt;=18.5,  "Underweight",B783&lt;=24.9,"Normal weight",B783&lt;=29.9, "Over weight",B783&gt;=30,"Obesity")</f>
        <v>Obesity</v>
      </c>
      <c r="D783">
        <v>6.9</v>
      </c>
      <c r="E783" t="str" cm="1">
        <f t="array" ref="E783">_xlfn.IFS(D783&lt;5.7,"Normal",D783&lt;=6.4,"Prediabetes",D783&gt;=6.5,"Diabetes")</f>
        <v>Diabetes</v>
      </c>
      <c r="F783" s="3" t="s">
        <v>2379</v>
      </c>
      <c r="G783" s="3" t="s">
        <v>2379</v>
      </c>
      <c r="H783" s="3" t="s">
        <v>2379</v>
      </c>
      <c r="I783" s="1" t="s">
        <v>2380</v>
      </c>
      <c r="J783">
        <v>0</v>
      </c>
      <c r="K783" s="3" t="s">
        <v>2379</v>
      </c>
      <c r="P783" s="3"/>
    </row>
    <row r="784" spans="1:16" x14ac:dyDescent="0.25">
      <c r="A784" s="3" t="s">
        <v>1587</v>
      </c>
      <c r="B784">
        <v>28.7</v>
      </c>
      <c r="C784" t="str" cm="1">
        <f t="array" ref="C784">_xlfn.IFS(B784&lt;=18.5,  "Underweight",B784&lt;=24.9,"Normal weight",B784&lt;=29.9, "Over weight",B784&gt;=30,"Obesity")</f>
        <v>Over weight</v>
      </c>
      <c r="D784">
        <v>11.52</v>
      </c>
      <c r="E784" t="str" cm="1">
        <f t="array" ref="E784">_xlfn.IFS(D784&lt;5.7,"Normal",D784&lt;=6.4,"Prediabetes",D784&gt;=6.5,"Diabetes")</f>
        <v>Diabetes</v>
      </c>
      <c r="F784" s="3" t="s">
        <v>2379</v>
      </c>
      <c r="G784" s="3" t="s">
        <v>2379</v>
      </c>
      <c r="H784" s="3" t="s">
        <v>2379</v>
      </c>
      <c r="I784" s="1" t="s">
        <v>2380</v>
      </c>
      <c r="J784">
        <v>0</v>
      </c>
      <c r="K784" s="3" t="s">
        <v>2379</v>
      </c>
      <c r="P784" s="3"/>
    </row>
    <row r="785" spans="1:16" x14ac:dyDescent="0.25">
      <c r="A785" s="3" t="s">
        <v>1586</v>
      </c>
      <c r="B785">
        <v>34.295000000000002</v>
      </c>
      <c r="C785" t="str" cm="1">
        <f t="array" ref="C785">_xlfn.IFS(B785&lt;=18.5,  "Underweight",B785&lt;=24.9,"Normal weight",B785&lt;=29.9, "Over weight",B785&gt;=30,"Obesity")</f>
        <v>Obesity</v>
      </c>
      <c r="D785">
        <v>11.24</v>
      </c>
      <c r="E785" t="str" cm="1">
        <f t="array" ref="E785">_xlfn.IFS(D785&lt;5.7,"Normal",D785&lt;=6.4,"Prediabetes",D785&gt;=6.5,"Diabetes")</f>
        <v>Diabetes</v>
      </c>
      <c r="F785" s="3" t="s">
        <v>2379</v>
      </c>
      <c r="G785" s="3" t="s">
        <v>2379</v>
      </c>
      <c r="H785" s="3" t="s">
        <v>2379</v>
      </c>
      <c r="I785" s="1" t="s">
        <v>2380</v>
      </c>
      <c r="J785">
        <v>0</v>
      </c>
      <c r="K785" s="3" t="s">
        <v>2379</v>
      </c>
      <c r="P785" s="3"/>
    </row>
    <row r="786" spans="1:16" x14ac:dyDescent="0.25">
      <c r="A786" s="3" t="s">
        <v>1585</v>
      </c>
      <c r="B786">
        <v>27.55</v>
      </c>
      <c r="C786" t="str" cm="1">
        <f t="array" ref="C786">_xlfn.IFS(B786&lt;=18.5,  "Underweight",B786&lt;=24.9,"Normal weight",B786&lt;=29.9, "Over weight",B786&gt;=30,"Obesity")</f>
        <v>Over weight</v>
      </c>
      <c r="D786">
        <v>10.98</v>
      </c>
      <c r="E786" t="str" cm="1">
        <f t="array" ref="E786">_xlfn.IFS(D786&lt;5.7,"Normal",D786&lt;=6.4,"Prediabetes",D786&gt;=6.5,"Diabetes")</f>
        <v>Diabetes</v>
      </c>
      <c r="F786" s="3" t="s">
        <v>2379</v>
      </c>
      <c r="G786" s="3" t="s">
        <v>2379</v>
      </c>
      <c r="H786" s="3" t="s">
        <v>2379</v>
      </c>
      <c r="I786" s="1" t="s">
        <v>2380</v>
      </c>
      <c r="J786">
        <v>0</v>
      </c>
      <c r="K786" s="3" t="s">
        <v>2379</v>
      </c>
      <c r="P786" s="3"/>
    </row>
    <row r="787" spans="1:16" x14ac:dyDescent="0.25">
      <c r="A787" s="3" t="s">
        <v>1584</v>
      </c>
      <c r="B787">
        <v>40.700000000000003</v>
      </c>
      <c r="C787" t="str" cm="1">
        <f t="array" ref="C787">_xlfn.IFS(B787&lt;=18.5,  "Underweight",B787&lt;=24.9,"Normal weight",B787&lt;=29.9, "Over weight",B787&gt;=30,"Obesity")</f>
        <v>Obesity</v>
      </c>
      <c r="D787">
        <v>5.42</v>
      </c>
      <c r="E787" t="str" cm="1">
        <f t="array" ref="E787">_xlfn.IFS(D787&lt;5.7,"Normal",D787&lt;=6.4,"Prediabetes",D787&gt;=6.5,"Diabetes")</f>
        <v>Normal</v>
      </c>
      <c r="F787" s="3" t="s">
        <v>2379</v>
      </c>
      <c r="G787" s="3" t="s">
        <v>2379</v>
      </c>
      <c r="H787" s="3" t="s">
        <v>2379</v>
      </c>
      <c r="I787" s="1" t="s">
        <v>2380</v>
      </c>
      <c r="J787">
        <v>0</v>
      </c>
      <c r="K787" s="3" t="s">
        <v>2379</v>
      </c>
      <c r="P787" s="3"/>
    </row>
    <row r="788" spans="1:16" x14ac:dyDescent="0.25">
      <c r="A788" s="3" t="s">
        <v>1583</v>
      </c>
      <c r="B788">
        <v>18.335000000000001</v>
      </c>
      <c r="C788" t="str" cm="1">
        <f t="array" ref="C788">_xlfn.IFS(B788&lt;=18.5,  "Underweight",B788&lt;=24.9,"Normal weight",B788&lt;=29.9, "Over weight",B788&gt;=30,"Obesity")</f>
        <v>Underweight</v>
      </c>
      <c r="D788">
        <v>10.97</v>
      </c>
      <c r="E788" t="str" cm="1">
        <f t="array" ref="E788">_xlfn.IFS(D788&lt;5.7,"Normal",D788&lt;=6.4,"Prediabetes",D788&gt;=6.5,"Diabetes")</f>
        <v>Diabetes</v>
      </c>
      <c r="F788" s="3" t="s">
        <v>2379</v>
      </c>
      <c r="G788" s="3" t="s">
        <v>2379</v>
      </c>
      <c r="H788" s="3" t="s">
        <v>2379</v>
      </c>
      <c r="I788" s="1" t="s">
        <v>2380</v>
      </c>
      <c r="J788">
        <v>0</v>
      </c>
      <c r="K788" s="3" t="s">
        <v>2379</v>
      </c>
      <c r="P788" s="3"/>
    </row>
    <row r="789" spans="1:16" x14ac:dyDescent="0.25">
      <c r="A789" s="3" t="s">
        <v>1582</v>
      </c>
      <c r="B789">
        <v>33.914999999999999</v>
      </c>
      <c r="C789" t="str" cm="1">
        <f t="array" ref="C789">_xlfn.IFS(B789&lt;=18.5,  "Underweight",B789&lt;=24.9,"Normal weight",B789&lt;=29.9, "Over weight",B789&gt;=30,"Obesity")</f>
        <v>Obesity</v>
      </c>
      <c r="D789">
        <v>9.56</v>
      </c>
      <c r="E789" t="str" cm="1">
        <f t="array" ref="E789">_xlfn.IFS(D789&lt;5.7,"Normal",D789&lt;=6.4,"Prediabetes",D789&gt;=6.5,"Diabetes")</f>
        <v>Diabetes</v>
      </c>
      <c r="F789" s="3" t="s">
        <v>2382</v>
      </c>
      <c r="G789" s="3" t="s">
        <v>2379</v>
      </c>
      <c r="H789" s="3" t="s">
        <v>2379</v>
      </c>
      <c r="I789" s="1">
        <v>2</v>
      </c>
      <c r="J789">
        <v>2</v>
      </c>
      <c r="K789" s="3" t="s">
        <v>2379</v>
      </c>
      <c r="P789" s="3"/>
    </row>
    <row r="790" spans="1:16" x14ac:dyDescent="0.25">
      <c r="A790" s="3" t="s">
        <v>1581</v>
      </c>
      <c r="B790">
        <v>33.534999999999997</v>
      </c>
      <c r="C790" t="str" cm="1">
        <f t="array" ref="C790">_xlfn.IFS(B790&lt;=18.5,  "Underweight",B790&lt;=24.9,"Normal weight",B790&lt;=29.9, "Over weight",B790&gt;=30,"Obesity")</f>
        <v>Obesity</v>
      </c>
      <c r="D790">
        <v>9.4</v>
      </c>
      <c r="E790" t="str" cm="1">
        <f t="array" ref="E790">_xlfn.IFS(D790&lt;5.7,"Normal",D790&lt;=6.4,"Prediabetes",D790&gt;=6.5,"Diabetes")</f>
        <v>Diabetes</v>
      </c>
      <c r="F790" s="3" t="s">
        <v>2382</v>
      </c>
      <c r="G790" s="3" t="s">
        <v>2379</v>
      </c>
      <c r="H790" s="3" t="s">
        <v>2379</v>
      </c>
      <c r="I790" s="1">
        <v>2</v>
      </c>
      <c r="J790">
        <v>2</v>
      </c>
      <c r="K790" s="3" t="s">
        <v>2379</v>
      </c>
      <c r="P790" s="3"/>
    </row>
    <row r="791" spans="1:16" x14ac:dyDescent="0.25">
      <c r="A791" s="3" t="s">
        <v>1580</v>
      </c>
      <c r="B791">
        <v>23.655000000000001</v>
      </c>
      <c r="C791" t="str" cm="1">
        <f t="array" ref="C791">_xlfn.IFS(B791&lt;=18.5,  "Underweight",B791&lt;=24.9,"Normal weight",B791&lt;=29.9, "Over weight",B791&gt;=30,"Obesity")</f>
        <v>Normal weight</v>
      </c>
      <c r="D791">
        <v>8.48</v>
      </c>
      <c r="E791" t="str" cm="1">
        <f t="array" ref="E791">_xlfn.IFS(D791&lt;5.7,"Normal",D791&lt;=6.4,"Prediabetes",D791&gt;=6.5,"Diabetes")</f>
        <v>Diabetes</v>
      </c>
      <c r="F791" s="3" t="s">
        <v>2382</v>
      </c>
      <c r="G791" s="3" t="s">
        <v>2379</v>
      </c>
      <c r="H791" s="3" t="s">
        <v>2379</v>
      </c>
      <c r="I791" s="1">
        <v>2</v>
      </c>
      <c r="J791">
        <v>2</v>
      </c>
      <c r="K791" s="3" t="s">
        <v>2379</v>
      </c>
      <c r="P791" s="3"/>
    </row>
    <row r="792" spans="1:16" x14ac:dyDescent="0.25">
      <c r="A792" s="3" t="s">
        <v>1579</v>
      </c>
      <c r="B792">
        <v>28</v>
      </c>
      <c r="C792" t="str" cm="1">
        <f t="array" ref="C792">_xlfn.IFS(B792&lt;=18.5,  "Underweight",B792&lt;=24.9,"Normal weight",B792&lt;=29.9, "Over weight",B792&gt;=30,"Obesity")</f>
        <v>Over weight</v>
      </c>
      <c r="D792">
        <v>5.57</v>
      </c>
      <c r="E792" t="str" cm="1">
        <f t="array" ref="E792">_xlfn.IFS(D792&lt;5.7,"Normal",D792&lt;=6.4,"Prediabetes",D792&gt;=6.5,"Diabetes")</f>
        <v>Normal</v>
      </c>
      <c r="F792" s="3" t="s">
        <v>2379</v>
      </c>
      <c r="G792" s="3" t="s">
        <v>2379</v>
      </c>
      <c r="H792" s="3" t="s">
        <v>2379</v>
      </c>
      <c r="I792" s="1" t="s">
        <v>2380</v>
      </c>
      <c r="J792">
        <v>0</v>
      </c>
      <c r="K792" s="3" t="s">
        <v>2379</v>
      </c>
      <c r="P792" s="3"/>
    </row>
    <row r="793" spans="1:16" x14ac:dyDescent="0.25">
      <c r="A793" s="3" t="s">
        <v>1578</v>
      </c>
      <c r="B793">
        <v>30.23</v>
      </c>
      <c r="C793" t="str" cm="1">
        <f t="array" ref="C793">_xlfn.IFS(B793&lt;=18.5,  "Underweight",B793&lt;=24.9,"Normal weight",B793&lt;=29.9, "Over weight",B793&gt;=30,"Obesity")</f>
        <v>Obesity</v>
      </c>
      <c r="D793">
        <v>6.94</v>
      </c>
      <c r="E793" t="str" cm="1">
        <f t="array" ref="E793">_xlfn.IFS(D793&lt;5.7,"Normal",D793&lt;=6.4,"Prediabetes",D793&gt;=6.5,"Diabetes")</f>
        <v>Diabetes</v>
      </c>
      <c r="F793" s="3" t="s">
        <v>2382</v>
      </c>
      <c r="G793" s="3" t="s">
        <v>2379</v>
      </c>
      <c r="H793" s="3" t="s">
        <v>2382</v>
      </c>
      <c r="I793" s="1">
        <v>1</v>
      </c>
      <c r="J793">
        <v>1</v>
      </c>
      <c r="K793" s="3" t="s">
        <v>2379</v>
      </c>
      <c r="P793" s="3"/>
    </row>
    <row r="794" spans="1:16" x14ac:dyDescent="0.25">
      <c r="A794" s="3" t="s">
        <v>1577</v>
      </c>
      <c r="B794">
        <v>51.14</v>
      </c>
      <c r="C794" t="str" cm="1">
        <f t="array" ref="C794">_xlfn.IFS(B794&lt;=18.5,  "Underweight",B794&lt;=24.9,"Normal weight",B794&lt;=29.9, "Over weight",B794&gt;=30,"Obesity")</f>
        <v>Obesity</v>
      </c>
      <c r="D794">
        <v>4.05</v>
      </c>
      <c r="E794" t="str" cm="1">
        <f t="array" ref="E794">_xlfn.IFS(D794&lt;5.7,"Normal",D794&lt;=6.4,"Prediabetes",D794&gt;=6.5,"Diabetes")</f>
        <v>Normal</v>
      </c>
      <c r="F794" s="3" t="s">
        <v>2379</v>
      </c>
      <c r="G794" s="3" t="s">
        <v>2379</v>
      </c>
      <c r="H794" s="3" t="s">
        <v>2379</v>
      </c>
      <c r="I794" s="1">
        <v>1</v>
      </c>
      <c r="J794">
        <v>1</v>
      </c>
      <c r="K794" s="3" t="s">
        <v>2379</v>
      </c>
      <c r="P794" s="3"/>
    </row>
    <row r="795" spans="1:16" x14ac:dyDescent="0.25">
      <c r="A795" s="3" t="s">
        <v>1576</v>
      </c>
      <c r="B795">
        <v>24.32</v>
      </c>
      <c r="C795" t="str" cm="1">
        <f t="array" ref="C795">_xlfn.IFS(B795&lt;=18.5,  "Underweight",B795&lt;=24.9,"Normal weight",B795&lt;=29.9, "Over weight",B795&gt;=30,"Obesity")</f>
        <v>Normal weight</v>
      </c>
      <c r="D795">
        <v>10.220000000000001</v>
      </c>
      <c r="E795" t="str" cm="1">
        <f t="array" ref="E795">_xlfn.IFS(D795&lt;5.7,"Normal",D795&lt;=6.4,"Prediabetes",D795&gt;=6.5,"Diabetes")</f>
        <v>Diabetes</v>
      </c>
      <c r="F795" s="3" t="s">
        <v>2379</v>
      </c>
      <c r="G795" s="3" t="s">
        <v>2379</v>
      </c>
      <c r="H795" s="3" t="s">
        <v>2379</v>
      </c>
      <c r="I795" s="1" t="s">
        <v>2380</v>
      </c>
      <c r="J795">
        <v>0</v>
      </c>
      <c r="K795" s="3" t="s">
        <v>2379</v>
      </c>
      <c r="P795" s="3"/>
    </row>
    <row r="796" spans="1:16" x14ac:dyDescent="0.25">
      <c r="A796" s="3" t="s">
        <v>1575</v>
      </c>
      <c r="B796">
        <v>38.06</v>
      </c>
      <c r="C796" t="str" cm="1">
        <f t="array" ref="C796">_xlfn.IFS(B796&lt;=18.5,  "Underweight",B796&lt;=24.9,"Normal weight",B796&lt;=29.9, "Over weight",B796&gt;=30,"Obesity")</f>
        <v>Obesity</v>
      </c>
      <c r="D796">
        <v>9.24</v>
      </c>
      <c r="E796" t="str" cm="1">
        <f t="array" ref="E796">_xlfn.IFS(D796&lt;5.7,"Normal",D796&lt;=6.4,"Prediabetes",D796&gt;=6.5,"Diabetes")</f>
        <v>Diabetes</v>
      </c>
      <c r="F796" s="3" t="s">
        <v>2379</v>
      </c>
      <c r="G796" s="3" t="s">
        <v>2379</v>
      </c>
      <c r="H796" s="3" t="s">
        <v>2379</v>
      </c>
      <c r="I796" s="1" t="s">
        <v>2380</v>
      </c>
      <c r="J796">
        <v>0</v>
      </c>
      <c r="K796" s="3" t="s">
        <v>2379</v>
      </c>
      <c r="P796" s="3"/>
    </row>
    <row r="797" spans="1:16" x14ac:dyDescent="0.25">
      <c r="A797" s="3" t="s">
        <v>1574</v>
      </c>
      <c r="B797">
        <v>37.700000000000003</v>
      </c>
      <c r="C797" t="str" cm="1">
        <f t="array" ref="C797">_xlfn.IFS(B797&lt;=18.5,  "Underweight",B797&lt;=24.9,"Normal weight",B797&lt;=29.9, "Over weight",B797&gt;=30,"Obesity")</f>
        <v>Obesity</v>
      </c>
      <c r="D797">
        <v>8.6</v>
      </c>
      <c r="E797" t="str" cm="1">
        <f t="array" ref="E797">_xlfn.IFS(D797&lt;5.7,"Normal",D797&lt;=6.4,"Prediabetes",D797&gt;=6.5,"Diabetes")</f>
        <v>Diabetes</v>
      </c>
      <c r="F797" s="3" t="s">
        <v>2379</v>
      </c>
      <c r="G797" s="3" t="s">
        <v>2379</v>
      </c>
      <c r="H797" s="3" t="s">
        <v>2379</v>
      </c>
      <c r="I797" s="1" t="s">
        <v>2380</v>
      </c>
      <c r="J797">
        <v>0</v>
      </c>
      <c r="K797" s="3" t="s">
        <v>2379</v>
      </c>
      <c r="P797" s="3"/>
    </row>
    <row r="798" spans="1:16" x14ac:dyDescent="0.25">
      <c r="A798" s="3" t="s">
        <v>1573</v>
      </c>
      <c r="B798">
        <v>44</v>
      </c>
      <c r="C798" t="str" cm="1">
        <f t="array" ref="C798">_xlfn.IFS(B798&lt;=18.5,  "Underweight",B798&lt;=24.9,"Normal weight",B798&lt;=29.9, "Over weight",B798&gt;=30,"Obesity")</f>
        <v>Obesity</v>
      </c>
      <c r="D798">
        <v>9.32</v>
      </c>
      <c r="E798" t="str" cm="1">
        <f t="array" ref="E798">_xlfn.IFS(D798&lt;5.7,"Normal",D798&lt;=6.4,"Prediabetes",D798&gt;=6.5,"Diabetes")</f>
        <v>Diabetes</v>
      </c>
      <c r="F798" s="3" t="s">
        <v>2382</v>
      </c>
      <c r="G798" s="3" t="s">
        <v>2379</v>
      </c>
      <c r="H798" s="3" t="s">
        <v>2379</v>
      </c>
      <c r="I798" s="1">
        <v>2</v>
      </c>
      <c r="J798">
        <v>2</v>
      </c>
      <c r="K798" s="3" t="s">
        <v>2379</v>
      </c>
      <c r="P798" s="3"/>
    </row>
    <row r="799" spans="1:16" x14ac:dyDescent="0.25">
      <c r="A799" s="3" t="s">
        <v>1572</v>
      </c>
      <c r="B799">
        <v>41.45</v>
      </c>
      <c r="C799" t="str" cm="1">
        <f t="array" ref="C799">_xlfn.IFS(B799&lt;=18.5,  "Underweight",B799&lt;=24.9,"Normal weight",B799&lt;=29.9, "Over weight",B799&gt;=30,"Obesity")</f>
        <v>Obesity</v>
      </c>
      <c r="D799">
        <v>6.12</v>
      </c>
      <c r="E799" t="str" cm="1">
        <f t="array" ref="E799">_xlfn.IFS(D799&lt;5.7,"Normal",D799&lt;=6.4,"Prediabetes",D799&gt;=6.5,"Diabetes")</f>
        <v>Prediabetes</v>
      </c>
      <c r="F799" s="3" t="s">
        <v>2382</v>
      </c>
      <c r="G799" s="3" t="s">
        <v>2379</v>
      </c>
      <c r="H799" s="3" t="s">
        <v>2379</v>
      </c>
      <c r="I799" s="1" t="s">
        <v>2380</v>
      </c>
      <c r="J799">
        <v>0</v>
      </c>
      <c r="K799" s="3" t="s">
        <v>2379</v>
      </c>
      <c r="P799" s="3"/>
    </row>
    <row r="800" spans="1:16" x14ac:dyDescent="0.25">
      <c r="A800" s="3" t="s">
        <v>1571</v>
      </c>
      <c r="B800">
        <v>25.364999999999998</v>
      </c>
      <c r="C800" t="str" cm="1">
        <f t="array" ref="C800">_xlfn.IFS(B800&lt;=18.5,  "Underweight",B800&lt;=24.9,"Normal weight",B800&lt;=29.9, "Over weight",B800&gt;=30,"Obesity")</f>
        <v>Over weight</v>
      </c>
      <c r="D800">
        <v>9.19</v>
      </c>
      <c r="E800" t="str" cm="1">
        <f t="array" ref="E800">_xlfn.IFS(D800&lt;5.7,"Normal",D800&lt;=6.4,"Prediabetes",D800&gt;=6.5,"Diabetes")</f>
        <v>Diabetes</v>
      </c>
      <c r="F800" s="3" t="s">
        <v>2382</v>
      </c>
      <c r="G800" s="3" t="s">
        <v>2379</v>
      </c>
      <c r="H800" s="3" t="s">
        <v>2379</v>
      </c>
      <c r="I800" s="1" t="s">
        <v>2380</v>
      </c>
      <c r="J800">
        <v>0</v>
      </c>
      <c r="K800" s="3" t="s">
        <v>2379</v>
      </c>
      <c r="P800" s="3"/>
    </row>
    <row r="801" spans="1:16" x14ac:dyDescent="0.25">
      <c r="A801" s="3" t="s">
        <v>1570</v>
      </c>
      <c r="B801">
        <v>34.56</v>
      </c>
      <c r="C801" t="str" cm="1">
        <f t="array" ref="C801">_xlfn.IFS(B801&lt;=18.5,  "Underweight",B801&lt;=24.9,"Normal weight",B801&lt;=29.9, "Over weight",B801&gt;=30,"Obesity")</f>
        <v>Obesity</v>
      </c>
      <c r="D801">
        <v>5.84</v>
      </c>
      <c r="E801" t="str" cm="1">
        <f t="array" ref="E801">_xlfn.IFS(D801&lt;5.7,"Normal",D801&lt;=6.4,"Prediabetes",D801&gt;=6.5,"Diabetes")</f>
        <v>Prediabetes</v>
      </c>
      <c r="F801" s="3" t="s">
        <v>2382</v>
      </c>
      <c r="G801" s="3" t="s">
        <v>2379</v>
      </c>
      <c r="H801" s="3" t="s">
        <v>2382</v>
      </c>
      <c r="I801" s="1">
        <v>1</v>
      </c>
      <c r="J801">
        <v>1</v>
      </c>
      <c r="K801" s="3" t="s">
        <v>2379</v>
      </c>
      <c r="P801" s="3"/>
    </row>
    <row r="802" spans="1:16" x14ac:dyDescent="0.25">
      <c r="A802" s="3" t="s">
        <v>1569</v>
      </c>
      <c r="B802">
        <v>28.2</v>
      </c>
      <c r="C802" t="str" cm="1">
        <f t="array" ref="C802">_xlfn.IFS(B802&lt;=18.5,  "Underweight",B802&lt;=24.9,"Normal weight",B802&lt;=29.9, "Over weight",B802&gt;=30,"Obesity")</f>
        <v>Over weight</v>
      </c>
      <c r="D802">
        <v>7.19</v>
      </c>
      <c r="E802" t="str" cm="1">
        <f t="array" ref="E802">_xlfn.IFS(D802&lt;5.7,"Normal",D802&lt;=6.4,"Prediabetes",D802&gt;=6.5,"Diabetes")</f>
        <v>Diabetes</v>
      </c>
      <c r="F802" s="3" t="s">
        <v>2382</v>
      </c>
      <c r="G802" s="3" t="s">
        <v>2379</v>
      </c>
      <c r="H802" s="3" t="s">
        <v>2379</v>
      </c>
      <c r="I802" s="1">
        <v>2</v>
      </c>
      <c r="J802">
        <v>2</v>
      </c>
      <c r="K802" s="3" t="s">
        <v>2379</v>
      </c>
      <c r="P802" s="3"/>
    </row>
    <row r="803" spans="1:16" x14ac:dyDescent="0.25">
      <c r="A803" s="3" t="s">
        <v>1568</v>
      </c>
      <c r="B803">
        <v>30.43</v>
      </c>
      <c r="C803" t="str" cm="1">
        <f t="array" ref="C803">_xlfn.IFS(B803&lt;=18.5,  "Underweight",B803&lt;=24.9,"Normal weight",B803&lt;=29.9, "Over weight",B803&gt;=30,"Obesity")</f>
        <v>Obesity</v>
      </c>
      <c r="D803">
        <v>9.39</v>
      </c>
      <c r="E803" t="str" cm="1">
        <f t="array" ref="E803">_xlfn.IFS(D803&lt;5.7,"Normal",D803&lt;=6.4,"Prediabetes",D803&gt;=6.5,"Diabetes")</f>
        <v>Diabetes</v>
      </c>
      <c r="F803" s="3" t="s">
        <v>2379</v>
      </c>
      <c r="G803" s="3" t="s">
        <v>2379</v>
      </c>
      <c r="H803" s="3" t="s">
        <v>2379</v>
      </c>
      <c r="I803" s="1" t="s">
        <v>2380</v>
      </c>
      <c r="J803">
        <v>0</v>
      </c>
      <c r="K803" s="3" t="s">
        <v>2379</v>
      </c>
      <c r="P803" s="3"/>
    </row>
    <row r="804" spans="1:16" x14ac:dyDescent="0.25">
      <c r="A804" s="3" t="s">
        <v>1567</v>
      </c>
      <c r="B804">
        <v>32.395000000000003</v>
      </c>
      <c r="C804" t="str" cm="1">
        <f t="array" ref="C804">_xlfn.IFS(B804&lt;=18.5,  "Underweight",B804&lt;=24.9,"Normal weight",B804&lt;=29.9, "Over weight",B804&gt;=30,"Obesity")</f>
        <v>Obesity</v>
      </c>
      <c r="D804">
        <v>4.2699999999999996</v>
      </c>
      <c r="E804" t="str" cm="1">
        <f t="array" ref="E804">_xlfn.IFS(D804&lt;5.7,"Normal",D804&lt;=6.4,"Prediabetes",D804&gt;=6.5,"Diabetes")</f>
        <v>Normal</v>
      </c>
      <c r="F804" s="3" t="s">
        <v>2382</v>
      </c>
      <c r="G804" s="3" t="s">
        <v>2379</v>
      </c>
      <c r="H804" s="3" t="s">
        <v>2379</v>
      </c>
      <c r="I804" s="1">
        <v>1</v>
      </c>
      <c r="J804">
        <v>1</v>
      </c>
      <c r="K804" s="3" t="s">
        <v>2379</v>
      </c>
      <c r="P804" s="3"/>
    </row>
    <row r="805" spans="1:16" x14ac:dyDescent="0.25">
      <c r="A805" s="3" t="s">
        <v>1566</v>
      </c>
      <c r="B805">
        <v>24.035</v>
      </c>
      <c r="C805" t="str" cm="1">
        <f t="array" ref="C805">_xlfn.IFS(B805&lt;=18.5,  "Underweight",B805&lt;=24.9,"Normal weight",B805&lt;=29.9, "Over weight",B805&gt;=30,"Obesity")</f>
        <v>Normal weight</v>
      </c>
      <c r="D805">
        <v>11.71</v>
      </c>
      <c r="E805" t="str" cm="1">
        <f t="array" ref="E805">_xlfn.IFS(D805&lt;5.7,"Normal",D805&lt;=6.4,"Prediabetes",D805&gt;=6.5,"Diabetes")</f>
        <v>Diabetes</v>
      </c>
      <c r="F805" s="3" t="s">
        <v>2379</v>
      </c>
      <c r="G805" s="3" t="s">
        <v>2379</v>
      </c>
      <c r="H805" s="3" t="s">
        <v>2379</v>
      </c>
      <c r="I805" s="1" t="s">
        <v>2380</v>
      </c>
      <c r="J805">
        <v>0</v>
      </c>
      <c r="K805" s="3" t="s">
        <v>2379</v>
      </c>
      <c r="P805" s="3"/>
    </row>
    <row r="806" spans="1:16" x14ac:dyDescent="0.25">
      <c r="A806" s="3" t="s">
        <v>1565</v>
      </c>
      <c r="B806">
        <v>37.119999999999997</v>
      </c>
      <c r="C806" t="str" cm="1">
        <f t="array" ref="C806">_xlfn.IFS(B806&lt;=18.5,  "Underweight",B806&lt;=24.9,"Normal weight",B806&lt;=29.9, "Over weight",B806&gt;=30,"Obesity")</f>
        <v>Obesity</v>
      </c>
      <c r="D806">
        <v>5.29</v>
      </c>
      <c r="E806" t="str" cm="1">
        <f t="array" ref="E806">_xlfn.IFS(D806&lt;5.7,"Normal",D806&lt;=6.4,"Prediabetes",D806&gt;=6.5,"Diabetes")</f>
        <v>Normal</v>
      </c>
      <c r="F806" s="3" t="s">
        <v>2379</v>
      </c>
      <c r="G806" s="3" t="s">
        <v>2379</v>
      </c>
      <c r="H806" s="3" t="s">
        <v>2379</v>
      </c>
      <c r="I806" s="1">
        <v>2</v>
      </c>
      <c r="J806">
        <v>2</v>
      </c>
      <c r="K806" s="3" t="s">
        <v>2379</v>
      </c>
      <c r="P806" s="3"/>
    </row>
    <row r="807" spans="1:16" x14ac:dyDescent="0.25">
      <c r="A807" s="3" t="s">
        <v>1564</v>
      </c>
      <c r="B807">
        <v>34.840000000000003</v>
      </c>
      <c r="C807" t="str" cm="1">
        <f t="array" ref="C807">_xlfn.IFS(B807&lt;=18.5,  "Underweight",B807&lt;=24.9,"Normal weight",B807&lt;=29.9, "Over weight",B807&gt;=30,"Obesity")</f>
        <v>Obesity</v>
      </c>
      <c r="D807">
        <v>6</v>
      </c>
      <c r="E807" t="str" cm="1">
        <f t="array" ref="E807">_xlfn.IFS(D807&lt;5.7,"Normal",D807&lt;=6.4,"Prediabetes",D807&gt;=6.5,"Diabetes")</f>
        <v>Prediabetes</v>
      </c>
      <c r="F807" s="3" t="s">
        <v>2382</v>
      </c>
      <c r="G807" s="3" t="s">
        <v>2379</v>
      </c>
      <c r="H807" s="3" t="s">
        <v>2382</v>
      </c>
      <c r="I807" s="1">
        <v>1</v>
      </c>
      <c r="J807">
        <v>1</v>
      </c>
      <c r="K807" s="3" t="s">
        <v>2379</v>
      </c>
      <c r="P807" s="3"/>
    </row>
    <row r="808" spans="1:16" x14ac:dyDescent="0.25">
      <c r="A808" s="3" t="s">
        <v>1563</v>
      </c>
      <c r="B808">
        <v>29.53</v>
      </c>
      <c r="C808" t="str" cm="1">
        <f t="array" ref="C808">_xlfn.IFS(B808&lt;=18.5,  "Underweight",B808&lt;=24.9,"Normal weight",B808&lt;=29.9, "Over weight",B808&gt;=30,"Obesity")</f>
        <v>Over weight</v>
      </c>
      <c r="D808">
        <v>10.64</v>
      </c>
      <c r="E808" t="str" cm="1">
        <f t="array" ref="E808">_xlfn.IFS(D808&lt;5.7,"Normal",D808&lt;=6.4,"Prediabetes",D808&gt;=6.5,"Diabetes")</f>
        <v>Diabetes</v>
      </c>
      <c r="F808" s="3" t="s">
        <v>2379</v>
      </c>
      <c r="G808" s="3" t="s">
        <v>2379</v>
      </c>
      <c r="H808" s="3" t="s">
        <v>2379</v>
      </c>
      <c r="I808" s="1" t="s">
        <v>2380</v>
      </c>
      <c r="J808">
        <v>0</v>
      </c>
      <c r="K808" s="3" t="s">
        <v>2379</v>
      </c>
      <c r="P808" s="3"/>
    </row>
    <row r="809" spans="1:16" x14ac:dyDescent="0.25">
      <c r="A809" s="3" t="s">
        <v>1562</v>
      </c>
      <c r="B809">
        <v>42.51</v>
      </c>
      <c r="C809" t="str" cm="1">
        <f t="array" ref="C809">_xlfn.IFS(B809&lt;=18.5,  "Underweight",B809&lt;=24.9,"Normal weight",B809&lt;=29.9, "Over weight",B809&gt;=30,"Obesity")</f>
        <v>Obesity</v>
      </c>
      <c r="D809">
        <v>8.2100000000000009</v>
      </c>
      <c r="E809" t="str" cm="1">
        <f t="array" ref="E809">_xlfn.IFS(D809&lt;5.7,"Normal",D809&lt;=6.4,"Prediabetes",D809&gt;=6.5,"Diabetes")</f>
        <v>Diabetes</v>
      </c>
      <c r="F809" s="3" t="s">
        <v>2382</v>
      </c>
      <c r="G809" s="3" t="s">
        <v>2379</v>
      </c>
      <c r="H809" s="3" t="s">
        <v>2379</v>
      </c>
      <c r="I809" s="1" t="s">
        <v>2380</v>
      </c>
      <c r="J809">
        <v>0</v>
      </c>
      <c r="K809" s="3" t="s">
        <v>2379</v>
      </c>
      <c r="P809" s="3"/>
    </row>
    <row r="810" spans="1:16" x14ac:dyDescent="0.25">
      <c r="A810" s="3" t="s">
        <v>1561</v>
      </c>
      <c r="B810">
        <v>38.14</v>
      </c>
      <c r="C810" t="str" cm="1">
        <f t="array" ref="C810">_xlfn.IFS(B810&lt;=18.5,  "Underweight",B810&lt;=24.9,"Normal weight",B810&lt;=29.9, "Over weight",B810&gt;=30,"Obesity")</f>
        <v>Obesity</v>
      </c>
      <c r="D810">
        <v>5.58</v>
      </c>
      <c r="E810" t="str" cm="1">
        <f t="array" ref="E810">_xlfn.IFS(D810&lt;5.7,"Normal",D810&lt;=6.4,"Prediabetes",D810&gt;=6.5,"Diabetes")</f>
        <v>Normal</v>
      </c>
      <c r="F810" s="3" t="s">
        <v>2379</v>
      </c>
      <c r="G810" s="3" t="s">
        <v>2379</v>
      </c>
      <c r="H810" s="3" t="s">
        <v>2382</v>
      </c>
      <c r="I810" s="1">
        <v>1</v>
      </c>
      <c r="J810">
        <v>1</v>
      </c>
      <c r="K810" s="3" t="s">
        <v>2379</v>
      </c>
      <c r="P810" s="3"/>
    </row>
    <row r="811" spans="1:16" x14ac:dyDescent="0.25">
      <c r="A811" s="3" t="s">
        <v>1560</v>
      </c>
      <c r="B811">
        <v>39.93</v>
      </c>
      <c r="C811" t="str" cm="1">
        <f t="array" ref="C811">_xlfn.IFS(B811&lt;=18.5,  "Underweight",B811&lt;=24.9,"Normal weight",B811&lt;=29.9, "Over weight",B811&gt;=30,"Obesity")</f>
        <v>Obesity</v>
      </c>
      <c r="D811">
        <v>8.75</v>
      </c>
      <c r="E811" t="str" cm="1">
        <f t="array" ref="E811">_xlfn.IFS(D811&lt;5.7,"Normal",D811&lt;=6.4,"Prediabetes",D811&gt;=6.5,"Diabetes")</f>
        <v>Diabetes</v>
      </c>
      <c r="F811" s="3" t="s">
        <v>2379</v>
      </c>
      <c r="G811" s="3" t="s">
        <v>2379</v>
      </c>
      <c r="H811" s="3" t="s">
        <v>2379</v>
      </c>
      <c r="I811" s="1" t="s">
        <v>2380</v>
      </c>
      <c r="J811">
        <v>0</v>
      </c>
      <c r="K811" s="3" t="s">
        <v>2379</v>
      </c>
      <c r="P811" s="3"/>
    </row>
    <row r="812" spans="1:16" x14ac:dyDescent="0.25">
      <c r="A812" s="3" t="s">
        <v>1559</v>
      </c>
      <c r="B812">
        <v>38.83</v>
      </c>
      <c r="C812" t="str" cm="1">
        <f t="array" ref="C812">_xlfn.IFS(B812&lt;=18.5,  "Underweight",B812&lt;=24.9,"Normal weight",B812&lt;=29.9, "Over weight",B812&gt;=30,"Obesity")</f>
        <v>Obesity</v>
      </c>
      <c r="D812">
        <v>11.86</v>
      </c>
      <c r="E812" t="str" cm="1">
        <f t="array" ref="E812">_xlfn.IFS(D812&lt;5.7,"Normal",D812&lt;=6.4,"Prediabetes",D812&gt;=6.5,"Diabetes")</f>
        <v>Diabetes</v>
      </c>
      <c r="F812" s="3" t="s">
        <v>2379</v>
      </c>
      <c r="G812" s="3" t="s">
        <v>2379</v>
      </c>
      <c r="H812" s="3" t="s">
        <v>2379</v>
      </c>
      <c r="I812" s="1" t="s">
        <v>2380</v>
      </c>
      <c r="J812">
        <v>0</v>
      </c>
      <c r="K812" s="3" t="s">
        <v>2379</v>
      </c>
      <c r="P812" s="3"/>
    </row>
    <row r="813" spans="1:16" x14ac:dyDescent="0.25">
      <c r="A813" s="3" t="s">
        <v>1558</v>
      </c>
      <c r="B813">
        <v>37.4</v>
      </c>
      <c r="C813" t="str" cm="1">
        <f t="array" ref="C813">_xlfn.IFS(B813&lt;=18.5,  "Underweight",B813&lt;=24.9,"Normal weight",B813&lt;=29.9, "Over weight",B813&gt;=30,"Obesity")</f>
        <v>Obesity</v>
      </c>
      <c r="D813">
        <v>11.46</v>
      </c>
      <c r="E813" t="str" cm="1">
        <f t="array" ref="E813">_xlfn.IFS(D813&lt;5.7,"Normal",D813&lt;=6.4,"Prediabetes",D813&gt;=6.5,"Diabetes")</f>
        <v>Diabetes</v>
      </c>
      <c r="F813" s="3" t="s">
        <v>2379</v>
      </c>
      <c r="G813" s="3" t="s">
        <v>2379</v>
      </c>
      <c r="H813" s="3" t="s">
        <v>2379</v>
      </c>
      <c r="I813" s="1" t="s">
        <v>2380</v>
      </c>
      <c r="J813">
        <v>0</v>
      </c>
      <c r="K813" s="3" t="s">
        <v>2379</v>
      </c>
      <c r="P813" s="3"/>
    </row>
    <row r="814" spans="1:16" x14ac:dyDescent="0.25">
      <c r="A814" s="3" t="s">
        <v>1557</v>
      </c>
      <c r="B814">
        <v>21.4</v>
      </c>
      <c r="C814" t="str" cm="1">
        <f t="array" ref="C814">_xlfn.IFS(B814&lt;=18.5,  "Underweight",B814&lt;=24.9,"Normal weight",B814&lt;=29.9, "Over weight",B814&gt;=30,"Obesity")</f>
        <v>Normal weight</v>
      </c>
      <c r="D814">
        <v>9.0299999999999994</v>
      </c>
      <c r="E814" t="str" cm="1">
        <f t="array" ref="E814">_xlfn.IFS(D814&lt;5.7,"Normal",D814&lt;=6.4,"Prediabetes",D814&gt;=6.5,"Diabetes")</f>
        <v>Diabetes</v>
      </c>
      <c r="F814" s="3" t="s">
        <v>2379</v>
      </c>
      <c r="G814" s="3" t="s">
        <v>2379</v>
      </c>
      <c r="H814" s="3" t="s">
        <v>2379</v>
      </c>
      <c r="I814" s="1" t="s">
        <v>2380</v>
      </c>
      <c r="J814">
        <v>0</v>
      </c>
      <c r="K814" s="3" t="s">
        <v>2379</v>
      </c>
      <c r="P814" s="3"/>
    </row>
    <row r="815" spans="1:16" x14ac:dyDescent="0.25">
      <c r="A815" s="3" t="s">
        <v>1556</v>
      </c>
      <c r="B815">
        <v>38.380000000000003</v>
      </c>
      <c r="C815" t="str" cm="1">
        <f t="array" ref="C815">_xlfn.IFS(B815&lt;=18.5,  "Underweight",B815&lt;=24.9,"Normal weight",B815&lt;=29.9, "Over weight",B815&gt;=30,"Obesity")</f>
        <v>Obesity</v>
      </c>
      <c r="D815">
        <v>8.26</v>
      </c>
      <c r="E815" t="str" cm="1">
        <f t="array" ref="E815">_xlfn.IFS(D815&lt;5.7,"Normal",D815&lt;=6.4,"Prediabetes",D815&gt;=6.5,"Diabetes")</f>
        <v>Diabetes</v>
      </c>
      <c r="F815" s="3" t="s">
        <v>2382</v>
      </c>
      <c r="G815" s="3" t="s">
        <v>2379</v>
      </c>
      <c r="H815" s="3" t="s">
        <v>2379</v>
      </c>
      <c r="I815" s="1">
        <v>2</v>
      </c>
      <c r="J815">
        <v>2</v>
      </c>
      <c r="K815" s="3" t="s">
        <v>2379</v>
      </c>
      <c r="P815" s="3"/>
    </row>
    <row r="816" spans="1:16" x14ac:dyDescent="0.25">
      <c r="A816" s="3" t="s">
        <v>1555</v>
      </c>
      <c r="B816">
        <v>33.659999999999997</v>
      </c>
      <c r="C816" t="str" cm="1">
        <f t="array" ref="C816">_xlfn.IFS(B816&lt;=18.5,  "Underweight",B816&lt;=24.9,"Normal weight",B816&lt;=29.9, "Over weight",B816&gt;=30,"Obesity")</f>
        <v>Obesity</v>
      </c>
      <c r="D816">
        <v>5.42</v>
      </c>
      <c r="E816" t="str" cm="1">
        <f t="array" ref="E816">_xlfn.IFS(D816&lt;5.7,"Normal",D816&lt;=6.4,"Prediabetes",D816&gt;=6.5,"Diabetes")</f>
        <v>Normal</v>
      </c>
      <c r="F816" s="3" t="s">
        <v>2382</v>
      </c>
      <c r="G816" s="3" t="s">
        <v>2379</v>
      </c>
      <c r="H816" s="3" t="s">
        <v>2379</v>
      </c>
      <c r="I816" s="1">
        <v>2</v>
      </c>
      <c r="J816">
        <v>2</v>
      </c>
      <c r="K816" s="3" t="s">
        <v>2379</v>
      </c>
      <c r="P816" s="3"/>
    </row>
    <row r="817" spans="1:16" x14ac:dyDescent="0.25">
      <c r="A817" s="3" t="s">
        <v>1554</v>
      </c>
      <c r="B817">
        <v>31.79</v>
      </c>
      <c r="C817" t="str" cm="1">
        <f t="array" ref="C817">_xlfn.IFS(B817&lt;=18.5,  "Underweight",B817&lt;=24.9,"Normal weight",B817&lt;=29.9, "Over weight",B817&gt;=30,"Obesity")</f>
        <v>Obesity</v>
      </c>
      <c r="D817">
        <v>11.33</v>
      </c>
      <c r="E817" t="str" cm="1">
        <f t="array" ref="E817">_xlfn.IFS(D817&lt;5.7,"Normal",D817&lt;=6.4,"Prediabetes",D817&gt;=6.5,"Diabetes")</f>
        <v>Diabetes</v>
      </c>
      <c r="F817" s="3" t="s">
        <v>2382</v>
      </c>
      <c r="G817" s="3" t="s">
        <v>2379</v>
      </c>
      <c r="H817" s="3" t="s">
        <v>2382</v>
      </c>
      <c r="I817" s="1">
        <v>1</v>
      </c>
      <c r="J817">
        <v>1</v>
      </c>
      <c r="K817" s="3" t="s">
        <v>2379</v>
      </c>
      <c r="P817" s="3"/>
    </row>
    <row r="818" spans="1:16" x14ac:dyDescent="0.25">
      <c r="A818" s="3" t="s">
        <v>1553</v>
      </c>
      <c r="B818">
        <v>29.7</v>
      </c>
      <c r="C818" t="str" cm="1">
        <f t="array" ref="C818">_xlfn.IFS(B818&lt;=18.5,  "Underweight",B818&lt;=24.9,"Normal weight",B818&lt;=29.9, "Over weight",B818&gt;=30,"Obesity")</f>
        <v>Over weight</v>
      </c>
      <c r="D818">
        <v>7.69</v>
      </c>
      <c r="E818" t="str" cm="1">
        <f t="array" ref="E818">_xlfn.IFS(D818&lt;5.7,"Normal",D818&lt;=6.4,"Prediabetes",D818&gt;=6.5,"Diabetes")</f>
        <v>Diabetes</v>
      </c>
      <c r="F818" s="3" t="s">
        <v>2382</v>
      </c>
      <c r="G818" s="3" t="s">
        <v>2379</v>
      </c>
      <c r="H818" s="3" t="s">
        <v>2382</v>
      </c>
      <c r="I818" s="1">
        <v>1</v>
      </c>
      <c r="J818">
        <v>1</v>
      </c>
      <c r="K818" s="3" t="s">
        <v>2379</v>
      </c>
      <c r="P818" s="3"/>
    </row>
    <row r="819" spans="1:16" x14ac:dyDescent="0.25">
      <c r="A819" s="3" t="s">
        <v>1552</v>
      </c>
      <c r="B819">
        <v>25.46</v>
      </c>
      <c r="C819" t="str" cm="1">
        <f t="array" ref="C819">_xlfn.IFS(B819&lt;=18.5,  "Underweight",B819&lt;=24.9,"Normal weight",B819&lt;=29.9, "Over weight",B819&gt;=30,"Obesity")</f>
        <v>Over weight</v>
      </c>
      <c r="D819">
        <v>8.77</v>
      </c>
      <c r="E819" t="str" cm="1">
        <f t="array" ref="E819">_xlfn.IFS(D819&lt;5.7,"Normal",D819&lt;=6.4,"Prediabetes",D819&gt;=6.5,"Diabetes")</f>
        <v>Diabetes</v>
      </c>
      <c r="F819" s="3" t="s">
        <v>2382</v>
      </c>
      <c r="G819" s="3" t="s">
        <v>2379</v>
      </c>
      <c r="H819" s="3" t="s">
        <v>2382</v>
      </c>
      <c r="I819" s="1">
        <v>1</v>
      </c>
      <c r="J819">
        <v>1</v>
      </c>
      <c r="K819" s="3" t="s">
        <v>2379</v>
      </c>
      <c r="P819" s="3"/>
    </row>
    <row r="820" spans="1:16" x14ac:dyDescent="0.25">
      <c r="A820" s="3" t="s">
        <v>1551</v>
      </c>
      <c r="B820">
        <v>39.14</v>
      </c>
      <c r="C820" t="str" cm="1">
        <f t="array" ref="C820">_xlfn.IFS(B820&lt;=18.5,  "Underweight",B820&lt;=24.9,"Normal weight",B820&lt;=29.9, "Over weight",B820&gt;=30,"Obesity")</f>
        <v>Obesity</v>
      </c>
      <c r="D820">
        <v>4.91</v>
      </c>
      <c r="E820" t="str" cm="1">
        <f t="array" ref="E820">_xlfn.IFS(D820&lt;5.7,"Normal",D820&lt;=6.4,"Prediabetes",D820&gt;=6.5,"Diabetes")</f>
        <v>Normal</v>
      </c>
      <c r="F820" s="3" t="s">
        <v>2379</v>
      </c>
      <c r="G820" s="3" t="s">
        <v>2381</v>
      </c>
      <c r="H820" s="3" t="s">
        <v>2379</v>
      </c>
      <c r="I820" s="1">
        <v>1</v>
      </c>
      <c r="J820">
        <v>1</v>
      </c>
      <c r="K820" s="3" t="s">
        <v>2379</v>
      </c>
      <c r="P820" s="3"/>
    </row>
    <row r="821" spans="1:16" x14ac:dyDescent="0.25">
      <c r="A821" s="3" t="s">
        <v>1550</v>
      </c>
      <c r="B821">
        <v>41.2</v>
      </c>
      <c r="C821" t="str" cm="1">
        <f t="array" ref="C821">_xlfn.IFS(B821&lt;=18.5,  "Underweight",B821&lt;=24.9,"Normal weight",B821&lt;=29.9, "Over weight",B821&gt;=30,"Obesity")</f>
        <v>Obesity</v>
      </c>
      <c r="D821">
        <v>4.95</v>
      </c>
      <c r="E821" t="str" cm="1">
        <f t="array" ref="E821">_xlfn.IFS(D821&lt;5.7,"Normal",D821&lt;=6.4,"Prediabetes",D821&gt;=6.5,"Diabetes")</f>
        <v>Normal</v>
      </c>
      <c r="F821" s="3" t="s">
        <v>2379</v>
      </c>
      <c r="G821" s="3" t="s">
        <v>2379</v>
      </c>
      <c r="H821" s="3" t="s">
        <v>2379</v>
      </c>
      <c r="I821" s="1">
        <v>1</v>
      </c>
      <c r="J821">
        <v>1</v>
      </c>
      <c r="K821" s="3" t="s">
        <v>2379</v>
      </c>
      <c r="P821" s="3"/>
    </row>
    <row r="822" spans="1:16" x14ac:dyDescent="0.25">
      <c r="A822" s="3" t="s">
        <v>1549</v>
      </c>
      <c r="B822">
        <v>28.81</v>
      </c>
      <c r="C822" t="str" cm="1">
        <f t="array" ref="C822">_xlfn.IFS(B822&lt;=18.5,  "Underweight",B822&lt;=24.9,"Normal weight",B822&lt;=29.9, "Over weight",B822&gt;=30,"Obesity")</f>
        <v>Over weight</v>
      </c>
      <c r="D822">
        <v>10.8</v>
      </c>
      <c r="E822" t="str" cm="1">
        <f t="array" ref="E822">_xlfn.IFS(D822&lt;5.7,"Normal",D822&lt;=6.4,"Prediabetes",D822&gt;=6.5,"Diabetes")</f>
        <v>Diabetes</v>
      </c>
      <c r="F822" s="3" t="s">
        <v>2382</v>
      </c>
      <c r="G822" s="3" t="s">
        <v>2379</v>
      </c>
      <c r="H822" s="3" t="s">
        <v>2382</v>
      </c>
      <c r="I822" s="1">
        <v>1</v>
      </c>
      <c r="J822">
        <v>1</v>
      </c>
      <c r="K822" s="3" t="s">
        <v>2379</v>
      </c>
      <c r="P822" s="3"/>
    </row>
    <row r="823" spans="1:16" x14ac:dyDescent="0.25">
      <c r="A823" s="3" t="s">
        <v>1548</v>
      </c>
      <c r="B823">
        <v>37.409999999999997</v>
      </c>
      <c r="C823" t="str" cm="1">
        <f t="array" ref="C823">_xlfn.IFS(B823&lt;=18.5,  "Underweight",B823&lt;=24.9,"Normal weight",B823&lt;=29.9, "Over weight",B823&gt;=30,"Obesity")</f>
        <v>Obesity</v>
      </c>
      <c r="D823">
        <v>7.21</v>
      </c>
      <c r="E823" t="str" cm="1">
        <f t="array" ref="E823">_xlfn.IFS(D823&lt;5.7,"Normal",D823&lt;=6.4,"Prediabetes",D823&gt;=6.5,"Diabetes")</f>
        <v>Diabetes</v>
      </c>
      <c r="F823" s="3" t="s">
        <v>2379</v>
      </c>
      <c r="G823" s="3" t="s">
        <v>2379</v>
      </c>
      <c r="H823" s="3" t="s">
        <v>2379</v>
      </c>
      <c r="I823" s="1">
        <v>2</v>
      </c>
      <c r="J823">
        <v>2</v>
      </c>
      <c r="K823" s="3" t="s">
        <v>2379</v>
      </c>
      <c r="P823" s="3"/>
    </row>
    <row r="824" spans="1:16" x14ac:dyDescent="0.25">
      <c r="A824" s="3" t="s">
        <v>1547</v>
      </c>
      <c r="B824">
        <v>52.54</v>
      </c>
      <c r="C824" t="str" cm="1">
        <f t="array" ref="C824">_xlfn.IFS(B824&lt;=18.5,  "Underweight",B824&lt;=24.9,"Normal weight",B824&lt;=29.9, "Over weight",B824&gt;=30,"Obesity")</f>
        <v>Obesity</v>
      </c>
      <c r="D824">
        <v>5.12</v>
      </c>
      <c r="E824" t="str" cm="1">
        <f t="array" ref="E824">_xlfn.IFS(D824&lt;5.7,"Normal",D824&lt;=6.4,"Prediabetes",D824&gt;=6.5,"Diabetes")</f>
        <v>Normal</v>
      </c>
      <c r="F824" s="3" t="s">
        <v>2379</v>
      </c>
      <c r="G824" s="3" t="s">
        <v>2379</v>
      </c>
      <c r="H824" s="3" t="s">
        <v>2382</v>
      </c>
      <c r="I824" s="1">
        <v>1</v>
      </c>
      <c r="J824">
        <v>1</v>
      </c>
      <c r="K824" s="3" t="s">
        <v>2379</v>
      </c>
      <c r="P824" s="3"/>
    </row>
    <row r="825" spans="1:16" x14ac:dyDescent="0.25">
      <c r="A825" s="3" t="s">
        <v>1546</v>
      </c>
      <c r="B825">
        <v>17.29</v>
      </c>
      <c r="C825" t="str" cm="1">
        <f t="array" ref="C825">_xlfn.IFS(B825&lt;=18.5,  "Underweight",B825&lt;=24.9,"Normal weight",B825&lt;=29.9, "Over weight",B825&gt;=30,"Obesity")</f>
        <v>Underweight</v>
      </c>
      <c r="D825">
        <v>4.62</v>
      </c>
      <c r="E825" t="str" cm="1">
        <f t="array" ref="E825">_xlfn.IFS(D825&lt;5.7,"Normal",D825&lt;=6.4,"Prediabetes",D825&gt;=6.5,"Diabetes")</f>
        <v>Normal</v>
      </c>
      <c r="F825" s="3" t="s">
        <v>2379</v>
      </c>
      <c r="G825" s="3" t="s">
        <v>2381</v>
      </c>
      <c r="H825" s="3" t="s">
        <v>2379</v>
      </c>
      <c r="I825" s="1">
        <v>1</v>
      </c>
      <c r="J825">
        <v>1</v>
      </c>
      <c r="K825" s="3" t="s">
        <v>2382</v>
      </c>
      <c r="P825" s="3"/>
    </row>
    <row r="826" spans="1:16" x14ac:dyDescent="0.25">
      <c r="A826" s="3" t="s">
        <v>1545</v>
      </c>
      <c r="B826">
        <v>31.74</v>
      </c>
      <c r="C826" t="str" cm="1">
        <f t="array" ref="C826">_xlfn.IFS(B826&lt;=18.5,  "Underweight",B826&lt;=24.9,"Normal weight",B826&lt;=29.9, "Over weight",B826&gt;=30,"Obesity")</f>
        <v>Obesity</v>
      </c>
      <c r="D826">
        <v>7.68</v>
      </c>
      <c r="E826" t="str" cm="1">
        <f t="array" ref="E826">_xlfn.IFS(D826&lt;5.7,"Normal",D826&lt;=6.4,"Prediabetes",D826&gt;=6.5,"Diabetes")</f>
        <v>Diabetes</v>
      </c>
      <c r="F826" s="3" t="s">
        <v>2382</v>
      </c>
      <c r="G826" s="3" t="s">
        <v>2379</v>
      </c>
      <c r="H826" s="3" t="s">
        <v>2379</v>
      </c>
      <c r="I826" s="1" t="s">
        <v>2380</v>
      </c>
      <c r="J826">
        <v>0</v>
      </c>
      <c r="K826" s="3" t="s">
        <v>2379</v>
      </c>
      <c r="P826" s="3"/>
    </row>
    <row r="827" spans="1:16" x14ac:dyDescent="0.25">
      <c r="A827" s="3" t="s">
        <v>1544</v>
      </c>
      <c r="B827">
        <v>26.504999999999999</v>
      </c>
      <c r="C827" t="str" cm="1">
        <f t="array" ref="C827">_xlfn.IFS(B827&lt;=18.5,  "Underweight",B827&lt;=24.9,"Normal weight",B827&lt;=29.9, "Over weight",B827&gt;=30,"Obesity")</f>
        <v>Over weight</v>
      </c>
      <c r="D827">
        <v>6.79</v>
      </c>
      <c r="E827" t="str" cm="1">
        <f t="array" ref="E827">_xlfn.IFS(D827&lt;5.7,"Normal",D827&lt;=6.4,"Prediabetes",D827&gt;=6.5,"Diabetes")</f>
        <v>Diabetes</v>
      </c>
      <c r="F827" s="3" t="s">
        <v>2382</v>
      </c>
      <c r="G827" s="3" t="s">
        <v>2379</v>
      </c>
      <c r="H827" s="3" t="s">
        <v>2382</v>
      </c>
      <c r="I827" s="1">
        <v>1</v>
      </c>
      <c r="J827">
        <v>1</v>
      </c>
      <c r="K827" s="3" t="s">
        <v>2379</v>
      </c>
      <c r="P827" s="3"/>
    </row>
    <row r="828" spans="1:16" x14ac:dyDescent="0.25">
      <c r="A828" s="3" t="s">
        <v>1543</v>
      </c>
      <c r="B828">
        <v>36.479999999999997</v>
      </c>
      <c r="C828" t="str" cm="1">
        <f t="array" ref="C828">_xlfn.IFS(B828&lt;=18.5,  "Underweight",B828&lt;=24.9,"Normal weight",B828&lt;=29.9, "Over weight",B828&gt;=30,"Obesity")</f>
        <v>Obesity</v>
      </c>
      <c r="D828">
        <v>11.09</v>
      </c>
      <c r="E828" t="str" cm="1">
        <f t="array" ref="E828">_xlfn.IFS(D828&lt;5.7,"Normal",D828&lt;=6.4,"Prediabetes",D828&gt;=6.5,"Diabetes")</f>
        <v>Diabetes</v>
      </c>
      <c r="F828" s="3" t="s">
        <v>2379</v>
      </c>
      <c r="G828" s="3" t="s">
        <v>2379</v>
      </c>
      <c r="H828" s="3" t="s">
        <v>2379</v>
      </c>
      <c r="I828" s="1" t="s">
        <v>2380</v>
      </c>
      <c r="J828">
        <v>0</v>
      </c>
      <c r="K828" s="3" t="s">
        <v>2379</v>
      </c>
      <c r="P828" s="3"/>
    </row>
    <row r="829" spans="1:16" x14ac:dyDescent="0.25">
      <c r="A829" s="3" t="s">
        <v>1542</v>
      </c>
      <c r="B829">
        <v>39.159999999999997</v>
      </c>
      <c r="C829" t="str" cm="1">
        <f t="array" ref="C829">_xlfn.IFS(B829&lt;=18.5,  "Underweight",B829&lt;=24.9,"Normal weight",B829&lt;=29.9, "Over weight",B829&gt;=30,"Obesity")</f>
        <v>Obesity</v>
      </c>
      <c r="D829">
        <v>5.24</v>
      </c>
      <c r="E829" t="str" cm="1">
        <f t="array" ref="E829">_xlfn.IFS(D829&lt;5.7,"Normal",D829&lt;=6.4,"Prediabetes",D829&gt;=6.5,"Diabetes")</f>
        <v>Normal</v>
      </c>
      <c r="F829" s="3" t="s">
        <v>2382</v>
      </c>
      <c r="G829" s="3" t="s">
        <v>2379</v>
      </c>
      <c r="H829" s="3" t="s">
        <v>2382</v>
      </c>
      <c r="I829" s="1">
        <v>1</v>
      </c>
      <c r="J829">
        <v>1</v>
      </c>
      <c r="K829" s="3" t="s">
        <v>2379</v>
      </c>
      <c r="P829" s="3"/>
    </row>
    <row r="830" spans="1:16" x14ac:dyDescent="0.25">
      <c r="A830" s="3" t="s">
        <v>1541</v>
      </c>
      <c r="B830">
        <v>28.22</v>
      </c>
      <c r="C830" t="str" cm="1">
        <f t="array" ref="C830">_xlfn.IFS(B830&lt;=18.5,  "Underweight",B830&lt;=24.9,"Normal weight",B830&lt;=29.9, "Over weight",B830&gt;=30,"Obesity")</f>
        <v>Over weight</v>
      </c>
      <c r="D830">
        <v>7.51</v>
      </c>
      <c r="E830" t="str" cm="1">
        <f t="array" ref="E830">_xlfn.IFS(D830&lt;5.7,"Normal",D830&lt;=6.4,"Prediabetes",D830&gt;=6.5,"Diabetes")</f>
        <v>Diabetes</v>
      </c>
      <c r="F830" s="3" t="s">
        <v>2382</v>
      </c>
      <c r="G830" s="3" t="s">
        <v>2379</v>
      </c>
      <c r="H830" s="3" t="s">
        <v>2382</v>
      </c>
      <c r="I830" s="1">
        <v>1</v>
      </c>
      <c r="J830">
        <v>1</v>
      </c>
      <c r="K830" s="3" t="s">
        <v>2379</v>
      </c>
      <c r="P830" s="3"/>
    </row>
    <row r="831" spans="1:16" x14ac:dyDescent="0.25">
      <c r="A831" s="3" t="s">
        <v>1540</v>
      </c>
      <c r="B831">
        <v>35</v>
      </c>
      <c r="C831" t="str" cm="1">
        <f t="array" ref="C831">_xlfn.IFS(B831&lt;=18.5,  "Underweight",B831&lt;=24.9,"Normal weight",B831&lt;=29.9, "Over weight",B831&gt;=30,"Obesity")</f>
        <v>Obesity</v>
      </c>
      <c r="D831">
        <v>4.13</v>
      </c>
      <c r="E831" t="str" cm="1">
        <f t="array" ref="E831">_xlfn.IFS(D831&lt;5.7,"Normal",D831&lt;=6.4,"Prediabetes",D831&gt;=6.5,"Diabetes")</f>
        <v>Normal</v>
      </c>
      <c r="F831" s="3" t="s">
        <v>2379</v>
      </c>
      <c r="G831" s="3" t="s">
        <v>2379</v>
      </c>
      <c r="H831" s="3" t="s">
        <v>2379</v>
      </c>
      <c r="I831" s="1">
        <v>2</v>
      </c>
      <c r="J831">
        <v>2</v>
      </c>
      <c r="K831" s="3" t="s">
        <v>2379</v>
      </c>
      <c r="P831" s="3"/>
    </row>
    <row r="832" spans="1:16" x14ac:dyDescent="0.25">
      <c r="A832" s="3" t="s">
        <v>1539</v>
      </c>
      <c r="B832">
        <v>36.24</v>
      </c>
      <c r="C832" t="str" cm="1">
        <f t="array" ref="C832">_xlfn.IFS(B832&lt;=18.5,  "Underweight",B832&lt;=24.9,"Normal weight",B832&lt;=29.9, "Over weight",B832&gt;=30,"Obesity")</f>
        <v>Obesity</v>
      </c>
      <c r="D832">
        <v>8.3800000000000008</v>
      </c>
      <c r="E832" t="str" cm="1">
        <f t="array" ref="E832">_xlfn.IFS(D832&lt;5.7,"Normal",D832&lt;=6.4,"Prediabetes",D832&gt;=6.5,"Diabetes")</f>
        <v>Diabetes</v>
      </c>
      <c r="F832" s="3" t="s">
        <v>2382</v>
      </c>
      <c r="G832" s="3" t="s">
        <v>2379</v>
      </c>
      <c r="H832" s="3" t="s">
        <v>2379</v>
      </c>
      <c r="I832" s="1">
        <v>1</v>
      </c>
      <c r="J832">
        <v>1</v>
      </c>
      <c r="K832" s="3" t="s">
        <v>2379</v>
      </c>
      <c r="P832" s="3"/>
    </row>
    <row r="833" spans="1:16" x14ac:dyDescent="0.25">
      <c r="A833" s="3" t="s">
        <v>1538</v>
      </c>
      <c r="B833">
        <v>36.954999999999998</v>
      </c>
      <c r="C833" t="str" cm="1">
        <f t="array" ref="C833">_xlfn.IFS(B833&lt;=18.5,  "Underweight",B833&lt;=24.9,"Normal weight",B833&lt;=29.9, "Over weight",B833&gt;=30,"Obesity")</f>
        <v>Obesity</v>
      </c>
      <c r="D833">
        <v>8.07</v>
      </c>
      <c r="E833" t="str" cm="1">
        <f t="array" ref="E833">_xlfn.IFS(D833&lt;5.7,"Normal",D833&lt;=6.4,"Prediabetes",D833&gt;=6.5,"Diabetes")</f>
        <v>Diabetes</v>
      </c>
      <c r="F833" s="3" t="s">
        <v>2379</v>
      </c>
      <c r="G833" s="3" t="s">
        <v>2379</v>
      </c>
      <c r="H833" s="3" t="s">
        <v>2379</v>
      </c>
      <c r="I833" s="1" t="s">
        <v>2380</v>
      </c>
      <c r="J833">
        <v>0</v>
      </c>
      <c r="K833" s="3" t="s">
        <v>2379</v>
      </c>
      <c r="P833" s="3"/>
    </row>
    <row r="834" spans="1:16" x14ac:dyDescent="0.25">
      <c r="A834" s="3" t="s">
        <v>1537</v>
      </c>
      <c r="B834">
        <v>29.64</v>
      </c>
      <c r="C834" t="str" cm="1">
        <f t="array" ref="C834">_xlfn.IFS(B834&lt;=18.5,  "Underweight",B834&lt;=24.9,"Normal weight",B834&lt;=29.9, "Over weight",B834&gt;=30,"Obesity")</f>
        <v>Over weight</v>
      </c>
      <c r="D834">
        <v>8.9499999999999993</v>
      </c>
      <c r="E834" t="str" cm="1">
        <f t="array" ref="E834">_xlfn.IFS(D834&lt;5.7,"Normal",D834&lt;=6.4,"Prediabetes",D834&gt;=6.5,"Diabetes")</f>
        <v>Diabetes</v>
      </c>
      <c r="F834" s="3" t="s">
        <v>2379</v>
      </c>
      <c r="G834" s="3" t="s">
        <v>2379</v>
      </c>
      <c r="H834" s="3" t="s">
        <v>2379</v>
      </c>
      <c r="I834" s="1" t="s">
        <v>2380</v>
      </c>
      <c r="J834">
        <v>0</v>
      </c>
      <c r="K834" s="3" t="s">
        <v>2379</v>
      </c>
      <c r="P834" s="3"/>
    </row>
    <row r="835" spans="1:16" x14ac:dyDescent="0.25">
      <c r="A835" s="3" t="s">
        <v>1536</v>
      </c>
      <c r="B835">
        <v>42.74</v>
      </c>
      <c r="C835" t="str" cm="1">
        <f t="array" ref="C835">_xlfn.IFS(B835&lt;=18.5,  "Underweight",B835&lt;=24.9,"Normal weight",B835&lt;=29.9, "Over weight",B835&gt;=30,"Obesity")</f>
        <v>Obesity</v>
      </c>
      <c r="D835">
        <v>6.31</v>
      </c>
      <c r="E835" t="str" cm="1">
        <f t="array" ref="E835">_xlfn.IFS(D835&lt;5.7,"Normal",D835&lt;=6.4,"Prediabetes",D835&gt;=6.5,"Diabetes")</f>
        <v>Prediabetes</v>
      </c>
      <c r="F835" s="3" t="s">
        <v>2382</v>
      </c>
      <c r="G835" s="3" t="s">
        <v>2379</v>
      </c>
      <c r="H835" s="3" t="s">
        <v>2379</v>
      </c>
      <c r="I835" s="1">
        <v>1</v>
      </c>
      <c r="J835">
        <v>1</v>
      </c>
      <c r="K835" s="3" t="s">
        <v>2379</v>
      </c>
      <c r="P835" s="3"/>
    </row>
    <row r="836" spans="1:16" x14ac:dyDescent="0.25">
      <c r="A836" s="3" t="s">
        <v>1535</v>
      </c>
      <c r="B836">
        <v>36.130000000000003</v>
      </c>
      <c r="C836" t="str" cm="1">
        <f t="array" ref="C836">_xlfn.IFS(B836&lt;=18.5,  "Underweight",B836&lt;=24.9,"Normal weight",B836&lt;=29.9, "Over weight",B836&gt;=30,"Obesity")</f>
        <v>Obesity</v>
      </c>
      <c r="D836">
        <v>7.19</v>
      </c>
      <c r="E836" t="str" cm="1">
        <f t="array" ref="E836">_xlfn.IFS(D836&lt;5.7,"Normal",D836&lt;=6.4,"Prediabetes",D836&gt;=6.5,"Diabetes")</f>
        <v>Diabetes</v>
      </c>
      <c r="F836" s="3" t="s">
        <v>2382</v>
      </c>
      <c r="G836" s="3" t="s">
        <v>2379</v>
      </c>
      <c r="H836" s="3" t="s">
        <v>2379</v>
      </c>
      <c r="I836" s="1">
        <v>2</v>
      </c>
      <c r="J836">
        <v>2</v>
      </c>
      <c r="K836" s="3" t="s">
        <v>2379</v>
      </c>
      <c r="P836" s="3"/>
    </row>
    <row r="837" spans="1:16" x14ac:dyDescent="0.25">
      <c r="A837" s="3" t="s">
        <v>1534</v>
      </c>
      <c r="B837">
        <v>31.55</v>
      </c>
      <c r="C837" t="str" cm="1">
        <f t="array" ref="C837">_xlfn.IFS(B837&lt;=18.5,  "Underweight",B837&lt;=24.9,"Normal weight",B837&lt;=29.9, "Over weight",B837&gt;=30,"Obesity")</f>
        <v>Obesity</v>
      </c>
      <c r="D837">
        <v>6.11</v>
      </c>
      <c r="E837" t="str" cm="1">
        <f t="array" ref="E837">_xlfn.IFS(D837&lt;5.7,"Normal",D837&lt;=6.4,"Prediabetes",D837&gt;=6.5,"Diabetes")</f>
        <v>Prediabetes</v>
      </c>
      <c r="F837" s="3" t="s">
        <v>2382</v>
      </c>
      <c r="G837" s="3" t="s">
        <v>2379</v>
      </c>
      <c r="H837" s="3" t="s">
        <v>2379</v>
      </c>
      <c r="I837" s="1">
        <v>1</v>
      </c>
      <c r="J837">
        <v>1</v>
      </c>
      <c r="K837" s="3" t="s">
        <v>2379</v>
      </c>
      <c r="P837" s="3"/>
    </row>
    <row r="838" spans="1:16" x14ac:dyDescent="0.25">
      <c r="A838" s="3" t="s">
        <v>1533</v>
      </c>
      <c r="B838">
        <v>52.75</v>
      </c>
      <c r="C838" t="str" cm="1">
        <f t="array" ref="C838">_xlfn.IFS(B838&lt;=18.5,  "Underweight",B838&lt;=24.9,"Normal weight",B838&lt;=29.9, "Over weight",B838&gt;=30,"Obesity")</f>
        <v>Obesity</v>
      </c>
      <c r="D838">
        <v>6.02</v>
      </c>
      <c r="E838" t="str" cm="1">
        <f t="array" ref="E838">_xlfn.IFS(D838&lt;5.7,"Normal",D838&lt;=6.4,"Prediabetes",D838&gt;=6.5,"Diabetes")</f>
        <v>Prediabetes</v>
      </c>
      <c r="F838" s="3" t="s">
        <v>2379</v>
      </c>
      <c r="G838" s="3" t="s">
        <v>2379</v>
      </c>
      <c r="H838" s="3" t="s">
        <v>2379</v>
      </c>
      <c r="I838" s="1">
        <v>1</v>
      </c>
      <c r="J838">
        <v>1</v>
      </c>
      <c r="K838" s="3" t="s">
        <v>2379</v>
      </c>
      <c r="P838" s="3"/>
    </row>
    <row r="839" spans="1:16" x14ac:dyDescent="0.25">
      <c r="A839" s="3" t="s">
        <v>1532</v>
      </c>
      <c r="B839">
        <v>36.67</v>
      </c>
      <c r="C839" t="str" cm="1">
        <f t="array" ref="C839">_xlfn.IFS(B839&lt;=18.5,  "Underweight",B839&lt;=24.9,"Normal weight",B839&lt;=29.9, "Over weight",B839&gt;=30,"Obesity")</f>
        <v>Obesity</v>
      </c>
      <c r="D839">
        <v>11.86</v>
      </c>
      <c r="E839" t="str" cm="1">
        <f t="array" ref="E839">_xlfn.IFS(D839&lt;5.7,"Normal",D839&lt;=6.4,"Prediabetes",D839&gt;=6.5,"Diabetes")</f>
        <v>Diabetes</v>
      </c>
      <c r="F839" s="3" t="s">
        <v>2379</v>
      </c>
      <c r="G839" s="3" t="s">
        <v>2379</v>
      </c>
      <c r="H839" s="3" t="s">
        <v>2379</v>
      </c>
      <c r="I839" s="1" t="s">
        <v>2380</v>
      </c>
      <c r="J839">
        <v>0</v>
      </c>
      <c r="K839" s="3" t="s">
        <v>2379</v>
      </c>
      <c r="P839" s="3"/>
    </row>
    <row r="840" spans="1:16" x14ac:dyDescent="0.25">
      <c r="A840" s="3" t="s">
        <v>1531</v>
      </c>
      <c r="B840">
        <v>38.06</v>
      </c>
      <c r="C840" t="str" cm="1">
        <f t="array" ref="C840">_xlfn.IFS(B840&lt;=18.5,  "Underweight",B840&lt;=24.9,"Normal weight",B840&lt;=29.9, "Over weight",B840&gt;=30,"Obesity")</f>
        <v>Obesity</v>
      </c>
      <c r="D840">
        <v>8.25</v>
      </c>
      <c r="E840" t="str" cm="1">
        <f t="array" ref="E840">_xlfn.IFS(D840&lt;5.7,"Normal",D840&lt;=6.4,"Prediabetes",D840&gt;=6.5,"Diabetes")</f>
        <v>Diabetes</v>
      </c>
      <c r="F840" s="3" t="s">
        <v>2379</v>
      </c>
      <c r="G840" s="3" t="s">
        <v>2379</v>
      </c>
      <c r="H840" s="3" t="s">
        <v>2379</v>
      </c>
      <c r="I840" s="1" t="s">
        <v>2380</v>
      </c>
      <c r="J840">
        <v>0</v>
      </c>
      <c r="K840" s="3" t="s">
        <v>2379</v>
      </c>
      <c r="P840" s="3"/>
    </row>
    <row r="841" spans="1:16" x14ac:dyDescent="0.25">
      <c r="A841" s="3" t="s">
        <v>1530</v>
      </c>
      <c r="B841">
        <v>38</v>
      </c>
      <c r="C841" t="str" cm="1">
        <f t="array" ref="C841">_xlfn.IFS(B841&lt;=18.5,  "Underweight",B841&lt;=24.9,"Normal weight",B841&lt;=29.9, "Over weight",B841&gt;=30,"Obesity")</f>
        <v>Obesity</v>
      </c>
      <c r="D841">
        <v>8.1300000000000008</v>
      </c>
      <c r="E841" t="str" cm="1">
        <f t="array" ref="E841">_xlfn.IFS(D841&lt;5.7,"Normal",D841&lt;=6.4,"Prediabetes",D841&gt;=6.5,"Diabetes")</f>
        <v>Diabetes</v>
      </c>
      <c r="F841" s="3" t="s">
        <v>2379</v>
      </c>
      <c r="G841" s="3" t="s">
        <v>2379</v>
      </c>
      <c r="H841" s="3" t="s">
        <v>2379</v>
      </c>
      <c r="I841" s="1" t="s">
        <v>2380</v>
      </c>
      <c r="J841">
        <v>0</v>
      </c>
      <c r="K841" s="3" t="s">
        <v>2379</v>
      </c>
      <c r="P841" s="3"/>
    </row>
    <row r="842" spans="1:16" x14ac:dyDescent="0.25">
      <c r="A842" s="3" t="s">
        <v>1529</v>
      </c>
      <c r="B842">
        <v>35.1</v>
      </c>
      <c r="C842" t="str" cm="1">
        <f t="array" ref="C842">_xlfn.IFS(B842&lt;=18.5,  "Underweight",B842&lt;=24.9,"Normal weight",B842&lt;=29.9, "Over weight",B842&gt;=30,"Obesity")</f>
        <v>Obesity</v>
      </c>
      <c r="D842">
        <v>10.1</v>
      </c>
      <c r="E842" t="str" cm="1">
        <f t="array" ref="E842">_xlfn.IFS(D842&lt;5.7,"Normal",D842&lt;=6.4,"Prediabetes",D842&gt;=6.5,"Diabetes")</f>
        <v>Diabetes</v>
      </c>
      <c r="F842" s="3" t="s">
        <v>2379</v>
      </c>
      <c r="G842" s="3" t="s">
        <v>2379</v>
      </c>
      <c r="H842" s="3" t="s">
        <v>2379</v>
      </c>
      <c r="I842" s="1" t="s">
        <v>2380</v>
      </c>
      <c r="J842">
        <v>0</v>
      </c>
      <c r="K842" s="3" t="s">
        <v>2379</v>
      </c>
      <c r="P842" s="3"/>
    </row>
    <row r="843" spans="1:16" x14ac:dyDescent="0.25">
      <c r="A843" s="3" t="s">
        <v>1528</v>
      </c>
      <c r="B843">
        <v>33.82</v>
      </c>
      <c r="C843" t="str" cm="1">
        <f t="array" ref="C843">_xlfn.IFS(B843&lt;=18.5,  "Underweight",B843&lt;=24.9,"Normal weight",B843&lt;=29.9, "Over weight",B843&gt;=30,"Obesity")</f>
        <v>Obesity</v>
      </c>
      <c r="D843">
        <v>5.89</v>
      </c>
      <c r="E843" t="str" cm="1">
        <f t="array" ref="E843">_xlfn.IFS(D843&lt;5.7,"Normal",D843&lt;=6.4,"Prediabetes",D843&gt;=6.5,"Diabetes")</f>
        <v>Prediabetes</v>
      </c>
      <c r="F843" s="3" t="s">
        <v>2382</v>
      </c>
      <c r="G843" s="3" t="s">
        <v>2379</v>
      </c>
      <c r="H843" s="3" t="s">
        <v>2379</v>
      </c>
      <c r="I843" s="1">
        <v>2</v>
      </c>
      <c r="J843">
        <v>2</v>
      </c>
      <c r="K843" s="3" t="s">
        <v>2379</v>
      </c>
      <c r="P843" s="3"/>
    </row>
    <row r="844" spans="1:16" x14ac:dyDescent="0.25">
      <c r="A844" s="3" t="s">
        <v>1527</v>
      </c>
      <c r="B844">
        <v>37.43</v>
      </c>
      <c r="C844" t="str" cm="1">
        <f t="array" ref="C844">_xlfn.IFS(B844&lt;=18.5,  "Underweight",B844&lt;=24.9,"Normal weight",B844&lt;=29.9, "Over weight",B844&gt;=30,"Obesity")</f>
        <v>Obesity</v>
      </c>
      <c r="D844">
        <v>4.97</v>
      </c>
      <c r="E844" t="str" cm="1">
        <f t="array" ref="E844">_xlfn.IFS(D844&lt;5.7,"Normal",D844&lt;=6.4,"Prediabetes",D844&gt;=6.5,"Diabetes")</f>
        <v>Normal</v>
      </c>
      <c r="F844" s="3" t="s">
        <v>2379</v>
      </c>
      <c r="G844" s="3" t="s">
        <v>2379</v>
      </c>
      <c r="H844" s="3" t="s">
        <v>2379</v>
      </c>
      <c r="I844" s="1">
        <v>2</v>
      </c>
      <c r="J844">
        <v>2</v>
      </c>
      <c r="K844" s="3" t="s">
        <v>2379</v>
      </c>
      <c r="P844" s="3"/>
    </row>
    <row r="845" spans="1:16" x14ac:dyDescent="0.25">
      <c r="A845" s="3" t="s">
        <v>1526</v>
      </c>
      <c r="B845">
        <v>30.5</v>
      </c>
      <c r="C845" t="str" cm="1">
        <f t="array" ref="C845">_xlfn.IFS(B845&lt;=18.5,  "Underweight",B845&lt;=24.9,"Normal weight",B845&lt;=29.9, "Over weight",B845&gt;=30,"Obesity")</f>
        <v>Obesity</v>
      </c>
      <c r="D845">
        <v>9.9</v>
      </c>
      <c r="E845" t="str" cm="1">
        <f t="array" ref="E845">_xlfn.IFS(D845&lt;5.7,"Normal",D845&lt;=6.4,"Prediabetes",D845&gt;=6.5,"Diabetes")</f>
        <v>Diabetes</v>
      </c>
      <c r="F845" s="3" t="s">
        <v>2379</v>
      </c>
      <c r="G845" s="3" t="s">
        <v>2379</v>
      </c>
      <c r="H845" s="3" t="s">
        <v>2379</v>
      </c>
      <c r="I845" s="1" t="s">
        <v>2380</v>
      </c>
      <c r="J845">
        <v>0</v>
      </c>
      <c r="K845" s="3" t="s">
        <v>2379</v>
      </c>
      <c r="P845" s="3"/>
    </row>
    <row r="846" spans="1:16" x14ac:dyDescent="0.25">
      <c r="A846" s="3" t="s">
        <v>1525</v>
      </c>
      <c r="B846">
        <v>24.53</v>
      </c>
      <c r="C846" t="str" cm="1">
        <f t="array" ref="C846">_xlfn.IFS(B846&lt;=18.5,  "Underweight",B846&lt;=24.9,"Normal weight",B846&lt;=29.9, "Over weight",B846&gt;=30,"Obesity")</f>
        <v>Normal weight</v>
      </c>
      <c r="D846">
        <v>9.0500000000000007</v>
      </c>
      <c r="E846" t="str" cm="1">
        <f t="array" ref="E846">_xlfn.IFS(D846&lt;5.7,"Normal",D846&lt;=6.4,"Prediabetes",D846&gt;=6.5,"Diabetes")</f>
        <v>Diabetes</v>
      </c>
      <c r="F846" s="3" t="s">
        <v>2379</v>
      </c>
      <c r="G846" s="3" t="s">
        <v>2379</v>
      </c>
      <c r="H846" s="3" t="s">
        <v>2379</v>
      </c>
      <c r="I846" s="1" t="s">
        <v>2380</v>
      </c>
      <c r="J846">
        <v>0</v>
      </c>
      <c r="K846" s="3" t="s">
        <v>2379</v>
      </c>
      <c r="P846" s="3"/>
    </row>
    <row r="847" spans="1:16" x14ac:dyDescent="0.25">
      <c r="A847" s="3" t="s">
        <v>1524</v>
      </c>
      <c r="B847">
        <v>25.74</v>
      </c>
      <c r="C847" t="str" cm="1">
        <f t="array" ref="C847">_xlfn.IFS(B847&lt;=18.5,  "Underweight",B847&lt;=24.9,"Normal weight",B847&lt;=29.9, "Over weight",B847&gt;=30,"Obesity")</f>
        <v>Over weight</v>
      </c>
      <c r="D847">
        <v>10.93</v>
      </c>
      <c r="E847" t="str" cm="1">
        <f t="array" ref="E847">_xlfn.IFS(D847&lt;5.7,"Normal",D847&lt;=6.4,"Prediabetes",D847&gt;=6.5,"Diabetes")</f>
        <v>Diabetes</v>
      </c>
      <c r="F847" s="3" t="s">
        <v>2379</v>
      </c>
      <c r="G847" s="3" t="s">
        <v>2379</v>
      </c>
      <c r="H847" s="3" t="s">
        <v>2379</v>
      </c>
      <c r="I847" s="1" t="s">
        <v>2380</v>
      </c>
      <c r="J847">
        <v>0</v>
      </c>
      <c r="K847" s="3" t="s">
        <v>2379</v>
      </c>
      <c r="P847" s="3"/>
    </row>
    <row r="848" spans="1:16" x14ac:dyDescent="0.25">
      <c r="A848" s="3" t="s">
        <v>1523</v>
      </c>
      <c r="B848">
        <v>34.08</v>
      </c>
      <c r="C848" t="str" cm="1">
        <f t="array" ref="C848">_xlfn.IFS(B848&lt;=18.5,  "Underweight",B848&lt;=24.9,"Normal weight",B848&lt;=29.9, "Over weight",B848&gt;=30,"Obesity")</f>
        <v>Obesity</v>
      </c>
      <c r="D848">
        <v>7.58</v>
      </c>
      <c r="E848" t="str" cm="1">
        <f t="array" ref="E848">_xlfn.IFS(D848&lt;5.7,"Normal",D848&lt;=6.4,"Prediabetes",D848&gt;=6.5,"Diabetes")</f>
        <v>Diabetes</v>
      </c>
      <c r="F848" s="3" t="s">
        <v>2382</v>
      </c>
      <c r="G848" s="3" t="s">
        <v>2379</v>
      </c>
      <c r="H848" s="3" t="s">
        <v>2379</v>
      </c>
      <c r="I848" s="1">
        <v>2</v>
      </c>
      <c r="J848">
        <v>2</v>
      </c>
      <c r="K848" s="3" t="s">
        <v>2379</v>
      </c>
      <c r="P848" s="3"/>
    </row>
    <row r="849" spans="1:16" x14ac:dyDescent="0.25">
      <c r="A849" s="3" t="s">
        <v>1522</v>
      </c>
      <c r="B849">
        <v>31.35</v>
      </c>
      <c r="C849" t="str" cm="1">
        <f t="array" ref="C849">_xlfn.IFS(B849&lt;=18.5,  "Underweight",B849&lt;=24.9,"Normal weight",B849&lt;=29.9, "Over weight",B849&gt;=30,"Obesity")</f>
        <v>Obesity</v>
      </c>
      <c r="D849">
        <v>11</v>
      </c>
      <c r="E849" t="str" cm="1">
        <f t="array" ref="E849">_xlfn.IFS(D849&lt;5.7,"Normal",D849&lt;=6.4,"Prediabetes",D849&gt;=6.5,"Diabetes")</f>
        <v>Diabetes</v>
      </c>
      <c r="F849" s="3" t="s">
        <v>2382</v>
      </c>
      <c r="G849" s="3" t="s">
        <v>2379</v>
      </c>
      <c r="H849" s="3" t="s">
        <v>2382</v>
      </c>
      <c r="I849" s="1">
        <v>1</v>
      </c>
      <c r="J849">
        <v>1</v>
      </c>
      <c r="K849" s="3" t="s">
        <v>2379</v>
      </c>
      <c r="P849" s="3"/>
    </row>
    <row r="850" spans="1:16" x14ac:dyDescent="0.25">
      <c r="A850" s="3" t="s">
        <v>1521</v>
      </c>
      <c r="B850">
        <v>26.79</v>
      </c>
      <c r="C850" t="str" cm="1">
        <f t="array" ref="C850">_xlfn.IFS(B850&lt;=18.5,  "Underweight",B850&lt;=24.9,"Normal weight",B850&lt;=29.9, "Over weight",B850&gt;=30,"Obesity")</f>
        <v>Over weight</v>
      </c>
      <c r="D850">
        <v>5.0599999999999996</v>
      </c>
      <c r="E850" t="str" cm="1">
        <f t="array" ref="E850">_xlfn.IFS(D850&lt;5.7,"Normal",D850&lt;=6.4,"Prediabetes",D850&gt;=6.5,"Diabetes")</f>
        <v>Normal</v>
      </c>
      <c r="F850" s="3" t="s">
        <v>2379</v>
      </c>
      <c r="G850" s="3" t="s">
        <v>2379</v>
      </c>
      <c r="H850" s="3" t="s">
        <v>2379</v>
      </c>
      <c r="I850" s="1">
        <v>1</v>
      </c>
      <c r="J850">
        <v>1</v>
      </c>
      <c r="K850" s="3" t="s">
        <v>2379</v>
      </c>
      <c r="P850" s="3"/>
    </row>
    <row r="851" spans="1:16" x14ac:dyDescent="0.25">
      <c r="A851" s="3" t="s">
        <v>1520</v>
      </c>
      <c r="B851">
        <v>42.78</v>
      </c>
      <c r="C851" t="str" cm="1">
        <f t="array" ref="C851">_xlfn.IFS(B851&lt;=18.5,  "Underweight",B851&lt;=24.9,"Normal weight",B851&lt;=29.9, "Over weight",B851&gt;=30,"Obesity")</f>
        <v>Obesity</v>
      </c>
      <c r="D851">
        <v>6.11</v>
      </c>
      <c r="E851" t="str" cm="1">
        <f t="array" ref="E851">_xlfn.IFS(D851&lt;5.7,"Normal",D851&lt;=6.4,"Prediabetes",D851&gt;=6.5,"Diabetes")</f>
        <v>Prediabetes</v>
      </c>
      <c r="F851" s="3" t="s">
        <v>2382</v>
      </c>
      <c r="G851" s="3" t="s">
        <v>2379</v>
      </c>
      <c r="H851" s="3" t="s">
        <v>2379</v>
      </c>
      <c r="I851" s="1">
        <v>1</v>
      </c>
      <c r="J851">
        <v>1</v>
      </c>
      <c r="K851" s="3" t="s">
        <v>2379</v>
      </c>
      <c r="P851" s="3"/>
    </row>
    <row r="852" spans="1:16" x14ac:dyDescent="0.25">
      <c r="A852" s="3" t="s">
        <v>1519</v>
      </c>
      <c r="B852">
        <v>46.75</v>
      </c>
      <c r="C852" t="str" cm="1">
        <f t="array" ref="C852">_xlfn.IFS(B852&lt;=18.5,  "Underweight",B852&lt;=24.9,"Normal weight",B852&lt;=29.9, "Over weight",B852&gt;=30,"Obesity")</f>
        <v>Obesity</v>
      </c>
      <c r="D852">
        <v>6.66</v>
      </c>
      <c r="E852" t="str" cm="1">
        <f t="array" ref="E852">_xlfn.IFS(D852&lt;5.7,"Normal",D852&lt;=6.4,"Prediabetes",D852&gt;=6.5,"Diabetes")</f>
        <v>Diabetes</v>
      </c>
      <c r="F852" s="3" t="s">
        <v>2382</v>
      </c>
      <c r="G852" s="3" t="s">
        <v>2379</v>
      </c>
      <c r="H852" s="3" t="s">
        <v>2379</v>
      </c>
      <c r="I852" s="1">
        <v>2</v>
      </c>
      <c r="J852">
        <v>2</v>
      </c>
      <c r="K852" s="3" t="s">
        <v>2379</v>
      </c>
      <c r="P852" s="3"/>
    </row>
    <row r="853" spans="1:16" x14ac:dyDescent="0.25">
      <c r="A853" s="3" t="s">
        <v>1518</v>
      </c>
      <c r="B853">
        <v>32.15</v>
      </c>
      <c r="C853" t="str" cm="1">
        <f t="array" ref="C853">_xlfn.IFS(B853&lt;=18.5,  "Underweight",B853&lt;=24.9,"Normal weight",B853&lt;=29.9, "Over weight",B853&gt;=30,"Obesity")</f>
        <v>Obesity</v>
      </c>
      <c r="D853">
        <v>4.0199999999999996</v>
      </c>
      <c r="E853" t="str" cm="1">
        <f t="array" ref="E853">_xlfn.IFS(D853&lt;5.7,"Normal",D853&lt;=6.4,"Prediabetes",D853&gt;=6.5,"Diabetes")</f>
        <v>Normal</v>
      </c>
      <c r="F853" s="3" t="s">
        <v>2382</v>
      </c>
      <c r="G853" s="3" t="s">
        <v>2379</v>
      </c>
      <c r="H853" s="3" t="s">
        <v>2382</v>
      </c>
      <c r="I853" s="1">
        <v>1</v>
      </c>
      <c r="J853">
        <v>1</v>
      </c>
      <c r="K853" s="3" t="s">
        <v>2379</v>
      </c>
      <c r="P853" s="3"/>
    </row>
    <row r="854" spans="1:16" x14ac:dyDescent="0.25">
      <c r="A854" s="3" t="s">
        <v>1517</v>
      </c>
      <c r="B854">
        <v>43.4</v>
      </c>
      <c r="C854" t="str" cm="1">
        <f t="array" ref="C854">_xlfn.IFS(B854&lt;=18.5,  "Underweight",B854&lt;=24.9,"Normal weight",B854&lt;=29.9, "Over weight",B854&gt;=30,"Obesity")</f>
        <v>Obesity</v>
      </c>
      <c r="D854">
        <v>8.81</v>
      </c>
      <c r="E854" t="str" cm="1">
        <f t="array" ref="E854">_xlfn.IFS(D854&lt;5.7,"Normal",D854&lt;=6.4,"Prediabetes",D854&gt;=6.5,"Diabetes")</f>
        <v>Diabetes</v>
      </c>
      <c r="F854" s="3" t="s">
        <v>2382</v>
      </c>
      <c r="G854" s="3" t="s">
        <v>2379</v>
      </c>
      <c r="H854" s="3" t="s">
        <v>2379</v>
      </c>
      <c r="I854" s="1">
        <v>2</v>
      </c>
      <c r="J854">
        <v>2</v>
      </c>
      <c r="K854" s="3" t="s">
        <v>2379</v>
      </c>
      <c r="P854" s="3"/>
    </row>
    <row r="855" spans="1:16" x14ac:dyDescent="0.25">
      <c r="A855" s="3" t="s">
        <v>1516</v>
      </c>
      <c r="B855">
        <v>31.57</v>
      </c>
      <c r="C855" t="str" cm="1">
        <f t="array" ref="C855">_xlfn.IFS(B855&lt;=18.5,  "Underweight",B855&lt;=24.9,"Normal weight",B855&lt;=29.9, "Over weight",B855&gt;=30,"Obesity")</f>
        <v>Obesity</v>
      </c>
      <c r="D855">
        <v>7.92</v>
      </c>
      <c r="E855" t="str" cm="1">
        <f t="array" ref="E855">_xlfn.IFS(D855&lt;5.7,"Normal",D855&lt;=6.4,"Prediabetes",D855&gt;=6.5,"Diabetes")</f>
        <v>Diabetes</v>
      </c>
      <c r="F855" s="3" t="s">
        <v>2382</v>
      </c>
      <c r="G855" s="3" t="s">
        <v>2379</v>
      </c>
      <c r="H855" s="3" t="s">
        <v>2379</v>
      </c>
      <c r="I855" s="1">
        <v>2</v>
      </c>
      <c r="J855">
        <v>2</v>
      </c>
      <c r="K855" s="3" t="s">
        <v>2379</v>
      </c>
      <c r="P855" s="3"/>
    </row>
    <row r="856" spans="1:16" x14ac:dyDescent="0.25">
      <c r="A856" s="3" t="s">
        <v>1515</v>
      </c>
      <c r="B856">
        <v>24.32</v>
      </c>
      <c r="C856" t="str" cm="1">
        <f t="array" ref="C856">_xlfn.IFS(B856&lt;=18.5,  "Underweight",B856&lt;=24.9,"Normal weight",B856&lt;=29.9, "Over weight",B856&gt;=30,"Obesity")</f>
        <v>Normal weight</v>
      </c>
      <c r="D856">
        <v>7.48</v>
      </c>
      <c r="E856" t="str" cm="1">
        <f t="array" ref="E856">_xlfn.IFS(D856&lt;5.7,"Normal",D856&lt;=6.4,"Prediabetes",D856&gt;=6.5,"Diabetes")</f>
        <v>Diabetes</v>
      </c>
      <c r="F856" s="3" t="s">
        <v>2379</v>
      </c>
      <c r="G856" s="3" t="s">
        <v>2379</v>
      </c>
      <c r="H856" s="3" t="s">
        <v>2379</v>
      </c>
      <c r="I856" s="1" t="s">
        <v>2380</v>
      </c>
      <c r="J856">
        <v>0</v>
      </c>
      <c r="K856" s="3" t="s">
        <v>2379</v>
      </c>
      <c r="P856" s="3"/>
    </row>
    <row r="857" spans="1:16" x14ac:dyDescent="0.25">
      <c r="A857" s="3" t="s">
        <v>1514</v>
      </c>
      <c r="B857">
        <v>31.07</v>
      </c>
      <c r="C857" t="str" cm="1">
        <f t="array" ref="C857">_xlfn.IFS(B857&lt;=18.5,  "Underweight",B857&lt;=24.9,"Normal weight",B857&lt;=29.9, "Over weight",B857&gt;=30,"Obesity")</f>
        <v>Obesity</v>
      </c>
      <c r="D857">
        <v>4.62</v>
      </c>
      <c r="E857" t="str" cm="1">
        <f t="array" ref="E857">_xlfn.IFS(D857&lt;5.7,"Normal",D857&lt;=6.4,"Prediabetes",D857&gt;=6.5,"Diabetes")</f>
        <v>Normal</v>
      </c>
      <c r="F857" s="3" t="s">
        <v>2382</v>
      </c>
      <c r="G857" s="3" t="s">
        <v>2379</v>
      </c>
      <c r="H857" s="3" t="s">
        <v>2379</v>
      </c>
      <c r="I857" s="1">
        <v>2</v>
      </c>
      <c r="J857">
        <v>2</v>
      </c>
      <c r="K857" s="3" t="s">
        <v>2379</v>
      </c>
      <c r="P857" s="3"/>
    </row>
    <row r="858" spans="1:16" x14ac:dyDescent="0.25">
      <c r="A858" s="3" t="s">
        <v>1513</v>
      </c>
      <c r="B858">
        <v>35.814999999999998</v>
      </c>
      <c r="C858" t="str" cm="1">
        <f t="array" ref="C858">_xlfn.IFS(B858&lt;=18.5,  "Underweight",B858&lt;=24.9,"Normal weight",B858&lt;=29.9, "Over weight",B858&gt;=30,"Obesity")</f>
        <v>Obesity</v>
      </c>
      <c r="D858">
        <v>8.4700000000000006</v>
      </c>
      <c r="E858" t="str" cm="1">
        <f t="array" ref="E858">_xlfn.IFS(D858&lt;5.7,"Normal",D858&lt;=6.4,"Prediabetes",D858&gt;=6.5,"Diabetes")</f>
        <v>Diabetes</v>
      </c>
      <c r="F858" s="3" t="s">
        <v>2379</v>
      </c>
      <c r="G858" s="3" t="s">
        <v>2379</v>
      </c>
      <c r="H858" s="3" t="s">
        <v>2379</v>
      </c>
      <c r="I858" s="1" t="s">
        <v>2380</v>
      </c>
      <c r="J858">
        <v>0</v>
      </c>
      <c r="K858" s="3" t="s">
        <v>2379</v>
      </c>
      <c r="P858" s="3"/>
    </row>
    <row r="859" spans="1:16" x14ac:dyDescent="0.25">
      <c r="A859" s="3" t="s">
        <v>1512</v>
      </c>
      <c r="B859">
        <v>40.81</v>
      </c>
      <c r="C859" t="str" cm="1">
        <f t="array" ref="C859">_xlfn.IFS(B859&lt;=18.5,  "Underweight",B859&lt;=24.9,"Normal weight",B859&lt;=29.9, "Over weight",B859&gt;=30,"Obesity")</f>
        <v>Obesity</v>
      </c>
      <c r="D859">
        <v>10.58</v>
      </c>
      <c r="E859" t="str" cm="1">
        <f t="array" ref="E859">_xlfn.IFS(D859&lt;5.7,"Normal",D859&lt;=6.4,"Prediabetes",D859&gt;=6.5,"Diabetes")</f>
        <v>Diabetes</v>
      </c>
      <c r="F859" s="3" t="s">
        <v>2382</v>
      </c>
      <c r="G859" s="3" t="s">
        <v>2379</v>
      </c>
      <c r="H859" s="3" t="s">
        <v>2379</v>
      </c>
      <c r="I859" s="1" t="s">
        <v>2380</v>
      </c>
      <c r="J859">
        <v>0</v>
      </c>
      <c r="K859" s="3" t="s">
        <v>2379</v>
      </c>
      <c r="P859" s="3"/>
    </row>
    <row r="860" spans="1:16" x14ac:dyDescent="0.25">
      <c r="A860" s="3" t="s">
        <v>1511</v>
      </c>
      <c r="B860">
        <v>24.605</v>
      </c>
      <c r="C860" t="str" cm="1">
        <f t="array" ref="C860">_xlfn.IFS(B860&lt;=18.5,  "Underweight",B860&lt;=24.9,"Normal weight",B860&lt;=29.9, "Over weight",B860&gt;=30,"Obesity")</f>
        <v>Normal weight</v>
      </c>
      <c r="D860">
        <v>7.48</v>
      </c>
      <c r="E860" t="str" cm="1">
        <f t="array" ref="E860">_xlfn.IFS(D860&lt;5.7,"Normal",D860&lt;=6.4,"Prediabetes",D860&gt;=6.5,"Diabetes")</f>
        <v>Diabetes</v>
      </c>
      <c r="F860" s="3" t="s">
        <v>2379</v>
      </c>
      <c r="G860" s="3" t="s">
        <v>2379</v>
      </c>
      <c r="H860" s="3" t="s">
        <v>2379</v>
      </c>
      <c r="I860" s="1" t="s">
        <v>2380</v>
      </c>
      <c r="J860">
        <v>0</v>
      </c>
      <c r="K860" s="3" t="s">
        <v>2379</v>
      </c>
      <c r="P860" s="3"/>
    </row>
    <row r="861" spans="1:16" x14ac:dyDescent="0.25">
      <c r="A861" s="3" t="s">
        <v>1510</v>
      </c>
      <c r="B861">
        <v>21.47</v>
      </c>
      <c r="C861" t="str" cm="1">
        <f t="array" ref="C861">_xlfn.IFS(B861&lt;=18.5,  "Underweight",B861&lt;=24.9,"Normal weight",B861&lt;=29.9, "Over weight",B861&gt;=30,"Obesity")</f>
        <v>Normal weight</v>
      </c>
      <c r="D861">
        <v>7.82</v>
      </c>
      <c r="E861" t="str" cm="1">
        <f t="array" ref="E861">_xlfn.IFS(D861&lt;5.7,"Normal",D861&lt;=6.4,"Prediabetes",D861&gt;=6.5,"Diabetes")</f>
        <v>Diabetes</v>
      </c>
      <c r="F861" s="3" t="s">
        <v>2379</v>
      </c>
      <c r="G861" s="3" t="s">
        <v>2379</v>
      </c>
      <c r="H861" s="3" t="s">
        <v>2379</v>
      </c>
      <c r="I861" s="1" t="s">
        <v>2380</v>
      </c>
      <c r="J861">
        <v>0</v>
      </c>
      <c r="K861" s="3" t="s">
        <v>2379</v>
      </c>
      <c r="P861" s="3"/>
    </row>
    <row r="862" spans="1:16" x14ac:dyDescent="0.25">
      <c r="A862" s="3" t="s">
        <v>1509</v>
      </c>
      <c r="B862">
        <v>52.89</v>
      </c>
      <c r="C862" t="str" cm="1">
        <f t="array" ref="C862">_xlfn.IFS(B862&lt;=18.5,  "Underweight",B862&lt;=24.9,"Normal weight",B862&lt;=29.9, "Over weight",B862&gt;=30,"Obesity")</f>
        <v>Obesity</v>
      </c>
      <c r="D862">
        <v>4.96</v>
      </c>
      <c r="E862" t="str" cm="1">
        <f t="array" ref="E862">_xlfn.IFS(D862&lt;5.7,"Normal",D862&lt;=6.4,"Prediabetes",D862&gt;=6.5,"Diabetes")</f>
        <v>Normal</v>
      </c>
      <c r="F862" s="3" t="s">
        <v>2382</v>
      </c>
      <c r="G862" s="3" t="s">
        <v>2379</v>
      </c>
      <c r="H862" s="3" t="s">
        <v>2379</v>
      </c>
      <c r="I862" s="1">
        <v>1</v>
      </c>
      <c r="J862">
        <v>1</v>
      </c>
      <c r="K862" s="3" t="s">
        <v>2379</v>
      </c>
      <c r="P862" s="3"/>
    </row>
    <row r="863" spans="1:16" x14ac:dyDescent="0.25">
      <c r="A863" s="3" t="s">
        <v>1508</v>
      </c>
      <c r="B863">
        <v>32.965000000000003</v>
      </c>
      <c r="C863" t="str" cm="1">
        <f t="array" ref="C863">_xlfn.IFS(B863&lt;=18.5,  "Underweight",B863&lt;=24.9,"Normal weight",B863&lt;=29.9, "Over weight",B863&gt;=30,"Obesity")</f>
        <v>Obesity</v>
      </c>
      <c r="D863">
        <v>6.15</v>
      </c>
      <c r="E863" t="str" cm="1">
        <f t="array" ref="E863">_xlfn.IFS(D863&lt;5.7,"Normal",D863&lt;=6.4,"Prediabetes",D863&gt;=6.5,"Diabetes")</f>
        <v>Prediabetes</v>
      </c>
      <c r="F863" s="3" t="s">
        <v>2382</v>
      </c>
      <c r="G863" s="3" t="s">
        <v>2379</v>
      </c>
      <c r="H863" s="3" t="s">
        <v>2379</v>
      </c>
      <c r="I863" s="1">
        <v>1</v>
      </c>
      <c r="J863">
        <v>1</v>
      </c>
      <c r="K863" s="3" t="s">
        <v>2379</v>
      </c>
      <c r="P863" s="3"/>
    </row>
    <row r="864" spans="1:16" x14ac:dyDescent="0.25">
      <c r="A864" s="3" t="s">
        <v>1507</v>
      </c>
      <c r="B864">
        <v>36.799999999999997</v>
      </c>
      <c r="C864" t="str" cm="1">
        <f t="array" ref="C864">_xlfn.IFS(B864&lt;=18.5,  "Underweight",B864&lt;=24.9,"Normal weight",B864&lt;=29.9, "Over weight",B864&gt;=30,"Obesity")</f>
        <v>Obesity</v>
      </c>
      <c r="D864">
        <v>4.62</v>
      </c>
      <c r="E864" t="str" cm="1">
        <f t="array" ref="E864">_xlfn.IFS(D864&lt;5.7,"Normal",D864&lt;=6.4,"Prediabetes",D864&gt;=6.5,"Diabetes")</f>
        <v>Normal</v>
      </c>
      <c r="F864" s="3" t="s">
        <v>2379</v>
      </c>
      <c r="G864" s="3" t="s">
        <v>2379</v>
      </c>
      <c r="H864" s="3" t="s">
        <v>2382</v>
      </c>
      <c r="I864" s="1">
        <v>1</v>
      </c>
      <c r="J864">
        <v>1</v>
      </c>
      <c r="K864" s="3" t="s">
        <v>2379</v>
      </c>
      <c r="P864" s="3"/>
    </row>
    <row r="865" spans="1:16" x14ac:dyDescent="0.25">
      <c r="A865" s="3" t="s">
        <v>1506</v>
      </c>
      <c r="B865">
        <v>34.299999999999997</v>
      </c>
      <c r="C865" t="str" cm="1">
        <f t="array" ref="C865">_xlfn.IFS(B865&lt;=18.5,  "Underweight",B865&lt;=24.9,"Normal weight",B865&lt;=29.9, "Over weight",B865&gt;=30,"Obesity")</f>
        <v>Obesity</v>
      </c>
      <c r="D865">
        <v>4.87</v>
      </c>
      <c r="E865" t="str" cm="1">
        <f t="array" ref="E865">_xlfn.IFS(D865&lt;5.7,"Normal",D865&lt;=6.4,"Prediabetes",D865&gt;=6.5,"Diabetes")</f>
        <v>Normal</v>
      </c>
      <c r="F865" s="3" t="s">
        <v>2379</v>
      </c>
      <c r="G865" s="3" t="s">
        <v>2379</v>
      </c>
      <c r="H865" s="3" t="s">
        <v>2379</v>
      </c>
      <c r="I865" s="1">
        <v>2</v>
      </c>
      <c r="J865">
        <v>2</v>
      </c>
      <c r="K865" s="3" t="s">
        <v>2379</v>
      </c>
      <c r="P865" s="3"/>
    </row>
    <row r="866" spans="1:16" x14ac:dyDescent="0.25">
      <c r="A866" s="3" t="s">
        <v>1505</v>
      </c>
      <c r="B866">
        <v>35.244999999999997</v>
      </c>
      <c r="C866" t="str" cm="1">
        <f t="array" ref="C866">_xlfn.IFS(B866&lt;=18.5,  "Underweight",B866&lt;=24.9,"Normal weight",B866&lt;=29.9, "Over weight",B866&gt;=30,"Obesity")</f>
        <v>Obesity</v>
      </c>
      <c r="D866">
        <v>4.63</v>
      </c>
      <c r="E866" t="str" cm="1">
        <f t="array" ref="E866">_xlfn.IFS(D866&lt;5.7,"Normal",D866&lt;=6.4,"Prediabetes",D866&gt;=6.5,"Diabetes")</f>
        <v>Normal</v>
      </c>
      <c r="F866" s="3" t="s">
        <v>2379</v>
      </c>
      <c r="G866" s="3" t="s">
        <v>2379</v>
      </c>
      <c r="H866" s="3" t="s">
        <v>2379</v>
      </c>
      <c r="I866" s="1" t="s">
        <v>2380</v>
      </c>
      <c r="J866">
        <v>0</v>
      </c>
      <c r="K866" s="3" t="s">
        <v>2379</v>
      </c>
      <c r="P866" s="3"/>
    </row>
    <row r="867" spans="1:16" x14ac:dyDescent="0.25">
      <c r="A867" s="3" t="s">
        <v>1504</v>
      </c>
      <c r="B867">
        <v>26.23</v>
      </c>
      <c r="C867" t="str" cm="1">
        <f t="array" ref="C867">_xlfn.IFS(B867&lt;=18.5,  "Underweight",B867&lt;=24.9,"Normal weight",B867&lt;=29.9, "Over weight",B867&gt;=30,"Obesity")</f>
        <v>Over weight</v>
      </c>
      <c r="D867">
        <v>11.93</v>
      </c>
      <c r="E867" t="str" cm="1">
        <f t="array" ref="E867">_xlfn.IFS(D867&lt;5.7,"Normal",D867&lt;=6.4,"Prediabetes",D867&gt;=6.5,"Diabetes")</f>
        <v>Diabetes</v>
      </c>
      <c r="F867" s="3" t="s">
        <v>2379</v>
      </c>
      <c r="G867" s="3" t="s">
        <v>2379</v>
      </c>
      <c r="H867" s="3" t="s">
        <v>2379</v>
      </c>
      <c r="I867" s="1" t="s">
        <v>2380</v>
      </c>
      <c r="J867">
        <v>0</v>
      </c>
      <c r="K867" s="3" t="s">
        <v>2379</v>
      </c>
      <c r="P867" s="3"/>
    </row>
    <row r="868" spans="1:16" x14ac:dyDescent="0.25">
      <c r="A868" s="3" t="s">
        <v>1503</v>
      </c>
      <c r="B868">
        <v>36.1</v>
      </c>
      <c r="C868" t="str" cm="1">
        <f t="array" ref="C868">_xlfn.IFS(B868&lt;=18.5,  "Underweight",B868&lt;=24.9,"Normal weight",B868&lt;=29.9, "Over weight",B868&gt;=30,"Obesity")</f>
        <v>Obesity</v>
      </c>
      <c r="D868">
        <v>5.65</v>
      </c>
      <c r="E868" t="str" cm="1">
        <f t="array" ref="E868">_xlfn.IFS(D868&lt;5.7,"Normal",D868&lt;=6.4,"Prediabetes",D868&gt;=6.5,"Diabetes")</f>
        <v>Normal</v>
      </c>
      <c r="F868" s="3" t="s">
        <v>2382</v>
      </c>
      <c r="G868" s="3" t="s">
        <v>2379</v>
      </c>
      <c r="H868" s="3" t="s">
        <v>2379</v>
      </c>
      <c r="I868" s="1">
        <v>2</v>
      </c>
      <c r="J868">
        <v>2</v>
      </c>
      <c r="K868" s="3" t="s">
        <v>2379</v>
      </c>
      <c r="P868" s="3"/>
    </row>
    <row r="869" spans="1:16" x14ac:dyDescent="0.25">
      <c r="A869" s="3" t="s">
        <v>1502</v>
      </c>
      <c r="B869">
        <v>37.1</v>
      </c>
      <c r="C869" t="str" cm="1">
        <f t="array" ref="C869">_xlfn.IFS(B869&lt;=18.5,  "Underweight",B869&lt;=24.9,"Normal weight",B869&lt;=29.9, "Over weight",B869&gt;=30,"Obesity")</f>
        <v>Obesity</v>
      </c>
      <c r="D869">
        <v>11.21</v>
      </c>
      <c r="E869" t="str" cm="1">
        <f t="array" ref="E869">_xlfn.IFS(D869&lt;5.7,"Normal",D869&lt;=6.4,"Prediabetes",D869&gt;=6.5,"Diabetes")</f>
        <v>Diabetes</v>
      </c>
      <c r="F869" s="3" t="s">
        <v>2382</v>
      </c>
      <c r="G869" s="3" t="s">
        <v>2379</v>
      </c>
      <c r="H869" s="3" t="s">
        <v>2382</v>
      </c>
      <c r="I869" s="1">
        <v>1</v>
      </c>
      <c r="J869">
        <v>1</v>
      </c>
      <c r="K869" s="3" t="s">
        <v>2379</v>
      </c>
      <c r="P869" s="3"/>
    </row>
    <row r="870" spans="1:16" x14ac:dyDescent="0.25">
      <c r="A870" s="3" t="s">
        <v>1501</v>
      </c>
      <c r="B870">
        <v>27.5</v>
      </c>
      <c r="C870" t="str" cm="1">
        <f t="array" ref="C870">_xlfn.IFS(B870&lt;=18.5,  "Underweight",B870&lt;=24.9,"Normal weight",B870&lt;=29.9, "Over weight",B870&gt;=30,"Obesity")</f>
        <v>Over weight</v>
      </c>
      <c r="D870">
        <v>10.62</v>
      </c>
      <c r="E870" t="str" cm="1">
        <f t="array" ref="E870">_xlfn.IFS(D870&lt;5.7,"Normal",D870&lt;=6.4,"Prediabetes",D870&gt;=6.5,"Diabetes")</f>
        <v>Diabetes</v>
      </c>
      <c r="F870" s="3" t="s">
        <v>2382</v>
      </c>
      <c r="G870" s="3" t="s">
        <v>2379</v>
      </c>
      <c r="H870" s="3" t="s">
        <v>2382</v>
      </c>
      <c r="I870" s="1">
        <v>1</v>
      </c>
      <c r="J870">
        <v>1</v>
      </c>
      <c r="K870" s="3" t="s">
        <v>2379</v>
      </c>
      <c r="P870" s="3"/>
    </row>
    <row r="871" spans="1:16" x14ac:dyDescent="0.25">
      <c r="A871" s="3" t="s">
        <v>1500</v>
      </c>
      <c r="B871">
        <v>24.7</v>
      </c>
      <c r="C871" t="str" cm="1">
        <f t="array" ref="C871">_xlfn.IFS(B871&lt;=18.5,  "Underweight",B871&lt;=24.9,"Normal weight",B871&lt;=29.9, "Over weight",B871&gt;=30,"Obesity")</f>
        <v>Normal weight</v>
      </c>
      <c r="D871">
        <v>10.7</v>
      </c>
      <c r="E871" t="str" cm="1">
        <f t="array" ref="E871">_xlfn.IFS(D871&lt;5.7,"Normal",D871&lt;=6.4,"Prediabetes",D871&gt;=6.5,"Diabetes")</f>
        <v>Diabetes</v>
      </c>
      <c r="F871" s="3" t="s">
        <v>2382</v>
      </c>
      <c r="G871" s="3" t="s">
        <v>2379</v>
      </c>
      <c r="H871" s="3" t="s">
        <v>2382</v>
      </c>
      <c r="I871" s="1">
        <v>1</v>
      </c>
      <c r="J871">
        <v>1</v>
      </c>
      <c r="K871" s="3" t="s">
        <v>2379</v>
      </c>
      <c r="P871" s="3"/>
    </row>
    <row r="872" spans="1:16" x14ac:dyDescent="0.25">
      <c r="A872" s="3" t="s">
        <v>1499</v>
      </c>
      <c r="B872">
        <v>26.78</v>
      </c>
      <c r="C872" t="str" cm="1">
        <f t="array" ref="C872">_xlfn.IFS(B872&lt;=18.5,  "Underweight",B872&lt;=24.9,"Normal weight",B872&lt;=29.9, "Over weight",B872&gt;=30,"Obesity")</f>
        <v>Over weight</v>
      </c>
      <c r="D872">
        <v>10.02</v>
      </c>
      <c r="E872" t="str" cm="1">
        <f t="array" ref="E872">_xlfn.IFS(D872&lt;5.7,"Normal",D872&lt;=6.4,"Prediabetes",D872&gt;=6.5,"Diabetes")</f>
        <v>Diabetes</v>
      </c>
      <c r="F872" s="3" t="s">
        <v>2382</v>
      </c>
      <c r="G872" s="3" t="s">
        <v>2379</v>
      </c>
      <c r="H872" s="3" t="s">
        <v>2382</v>
      </c>
      <c r="I872" s="1">
        <v>1</v>
      </c>
      <c r="J872">
        <v>1</v>
      </c>
      <c r="K872" s="3" t="s">
        <v>2379</v>
      </c>
      <c r="P872" s="3"/>
    </row>
    <row r="873" spans="1:16" x14ac:dyDescent="0.25">
      <c r="A873" s="3" t="s">
        <v>1498</v>
      </c>
      <c r="B873">
        <v>45.8</v>
      </c>
      <c r="C873" t="str" cm="1">
        <f t="array" ref="C873">_xlfn.IFS(B873&lt;=18.5,  "Underweight",B873&lt;=24.9,"Normal weight",B873&lt;=29.9, "Over weight",B873&gt;=30,"Obesity")</f>
        <v>Obesity</v>
      </c>
      <c r="D873">
        <v>4.8499999999999996</v>
      </c>
      <c r="E873" t="str" cm="1">
        <f t="array" ref="E873">_xlfn.IFS(D873&lt;5.7,"Normal",D873&lt;=6.4,"Prediabetes",D873&gt;=6.5,"Diabetes")</f>
        <v>Normal</v>
      </c>
      <c r="F873" s="3" t="s">
        <v>2379</v>
      </c>
      <c r="G873" s="3" t="s">
        <v>2379</v>
      </c>
      <c r="H873" s="3" t="s">
        <v>2379</v>
      </c>
      <c r="I873" s="1" t="s">
        <v>2380</v>
      </c>
      <c r="J873">
        <v>0</v>
      </c>
      <c r="K873" s="3" t="s">
        <v>2379</v>
      </c>
      <c r="P873" s="3"/>
    </row>
    <row r="874" spans="1:16" x14ac:dyDescent="0.25">
      <c r="A874" s="3" t="s">
        <v>1497</v>
      </c>
      <c r="B874">
        <v>29</v>
      </c>
      <c r="C874" t="str" cm="1">
        <f t="array" ref="C874">_xlfn.IFS(B874&lt;=18.5,  "Underweight",B874&lt;=24.9,"Normal weight",B874&lt;=29.9, "Over weight",B874&gt;=30,"Obesity")</f>
        <v>Over weight</v>
      </c>
      <c r="D874">
        <v>4.3899999999999997</v>
      </c>
      <c r="E874" t="str" cm="1">
        <f t="array" ref="E874">_xlfn.IFS(D874&lt;5.7,"Normal",D874&lt;=6.4,"Prediabetes",D874&gt;=6.5,"Diabetes")</f>
        <v>Normal</v>
      </c>
      <c r="F874" s="3" t="s">
        <v>2382</v>
      </c>
      <c r="G874" s="3" t="s">
        <v>2379</v>
      </c>
      <c r="H874" s="3" t="s">
        <v>2379</v>
      </c>
      <c r="I874" s="1">
        <v>2</v>
      </c>
      <c r="J874">
        <v>2</v>
      </c>
      <c r="K874" s="3" t="s">
        <v>2379</v>
      </c>
      <c r="P874" s="3"/>
    </row>
    <row r="875" spans="1:16" x14ac:dyDescent="0.25">
      <c r="A875" s="3" t="s">
        <v>1496</v>
      </c>
      <c r="B875">
        <v>33.534999999999997</v>
      </c>
      <c r="C875" t="str" cm="1">
        <f t="array" ref="C875">_xlfn.IFS(B875&lt;=18.5,  "Underweight",B875&lt;=24.9,"Normal weight",B875&lt;=29.9, "Over weight",B875&gt;=30,"Obesity")</f>
        <v>Obesity</v>
      </c>
      <c r="D875">
        <v>8.24</v>
      </c>
      <c r="E875" t="str" cm="1">
        <f t="array" ref="E875">_xlfn.IFS(D875&lt;5.7,"Normal",D875&lt;=6.4,"Prediabetes",D875&gt;=6.5,"Diabetes")</f>
        <v>Diabetes</v>
      </c>
      <c r="F875" s="3" t="s">
        <v>2382</v>
      </c>
      <c r="G875" s="3" t="s">
        <v>2379</v>
      </c>
      <c r="H875" s="3" t="s">
        <v>2379</v>
      </c>
      <c r="I875" s="1" t="s">
        <v>2380</v>
      </c>
      <c r="J875">
        <v>0</v>
      </c>
      <c r="K875" s="3" t="s">
        <v>2379</v>
      </c>
      <c r="P875" s="3"/>
    </row>
    <row r="876" spans="1:16" x14ac:dyDescent="0.25">
      <c r="A876" s="3" t="s">
        <v>1495</v>
      </c>
      <c r="B876">
        <v>32.774999999999999</v>
      </c>
      <c r="C876" t="str" cm="1">
        <f t="array" ref="C876">_xlfn.IFS(B876&lt;=18.5,  "Underweight",B876&lt;=24.9,"Normal weight",B876&lt;=29.9, "Over weight",B876&gt;=30,"Obesity")</f>
        <v>Obesity</v>
      </c>
      <c r="D876">
        <v>9.77</v>
      </c>
      <c r="E876" t="str" cm="1">
        <f t="array" ref="E876">_xlfn.IFS(D876&lt;5.7,"Normal",D876&lt;=6.4,"Prediabetes",D876&gt;=6.5,"Diabetes")</f>
        <v>Diabetes</v>
      </c>
      <c r="F876" s="3" t="s">
        <v>2382</v>
      </c>
      <c r="G876" s="3" t="s">
        <v>2379</v>
      </c>
      <c r="H876" s="3" t="s">
        <v>2379</v>
      </c>
      <c r="I876" s="1" t="s">
        <v>2380</v>
      </c>
      <c r="J876">
        <v>0</v>
      </c>
      <c r="K876" s="3" t="s">
        <v>2379</v>
      </c>
      <c r="P876" s="3"/>
    </row>
    <row r="877" spans="1:16" x14ac:dyDescent="0.25">
      <c r="A877" s="3" t="s">
        <v>1494</v>
      </c>
      <c r="B877">
        <v>37.51</v>
      </c>
      <c r="C877" t="str" cm="1">
        <f t="array" ref="C877">_xlfn.IFS(B877&lt;=18.5,  "Underweight",B877&lt;=24.9,"Normal weight",B877&lt;=29.9, "Over weight",B877&gt;=30,"Obesity")</f>
        <v>Obesity</v>
      </c>
      <c r="D877">
        <v>5.5</v>
      </c>
      <c r="E877" t="str" cm="1">
        <f t="array" ref="E877">_xlfn.IFS(D877&lt;5.7,"Normal",D877&lt;=6.4,"Prediabetes",D877&gt;=6.5,"Diabetes")</f>
        <v>Normal</v>
      </c>
      <c r="F877" s="3" t="s">
        <v>2382</v>
      </c>
      <c r="G877" s="3" t="s">
        <v>2379</v>
      </c>
      <c r="H877" s="3" t="s">
        <v>2379</v>
      </c>
      <c r="I877" s="1">
        <v>2</v>
      </c>
      <c r="J877">
        <v>2</v>
      </c>
      <c r="K877" s="3" t="s">
        <v>2379</v>
      </c>
      <c r="P877" s="3"/>
    </row>
    <row r="878" spans="1:16" x14ac:dyDescent="0.25">
      <c r="A878" s="3" t="s">
        <v>1493</v>
      </c>
      <c r="B878">
        <v>39.86</v>
      </c>
      <c r="C878" t="str" cm="1">
        <f t="array" ref="C878">_xlfn.IFS(B878&lt;=18.5,  "Underweight",B878&lt;=24.9,"Normal weight",B878&lt;=29.9, "Over weight",B878&gt;=30,"Obesity")</f>
        <v>Obesity</v>
      </c>
      <c r="D878">
        <v>11.84</v>
      </c>
      <c r="E878" t="str" cm="1">
        <f t="array" ref="E878">_xlfn.IFS(D878&lt;5.7,"Normal",D878&lt;=6.4,"Prediabetes",D878&gt;=6.5,"Diabetes")</f>
        <v>Diabetes</v>
      </c>
      <c r="F878" s="3" t="s">
        <v>2382</v>
      </c>
      <c r="G878" s="3" t="s">
        <v>2379</v>
      </c>
      <c r="H878" s="3" t="s">
        <v>2379</v>
      </c>
      <c r="I878" s="1">
        <v>1</v>
      </c>
      <c r="J878">
        <v>1</v>
      </c>
      <c r="K878" s="3" t="s">
        <v>2379</v>
      </c>
      <c r="P878" s="3"/>
    </row>
    <row r="879" spans="1:16" x14ac:dyDescent="0.25">
      <c r="A879" s="3" t="s">
        <v>1492</v>
      </c>
      <c r="B879">
        <v>42.13</v>
      </c>
      <c r="C879" t="str" cm="1">
        <f t="array" ref="C879">_xlfn.IFS(B879&lt;=18.5,  "Underweight",B879&lt;=24.9,"Normal weight",B879&lt;=29.9, "Over weight",B879&gt;=30,"Obesity")</f>
        <v>Obesity</v>
      </c>
      <c r="D879">
        <v>4.66</v>
      </c>
      <c r="E879" t="str" cm="1">
        <f t="array" ref="E879">_xlfn.IFS(D879&lt;5.7,"Normal",D879&lt;=6.4,"Prediabetes",D879&gt;=6.5,"Diabetes")</f>
        <v>Normal</v>
      </c>
      <c r="F879" s="3" t="s">
        <v>2379</v>
      </c>
      <c r="G879" s="3" t="s">
        <v>2379</v>
      </c>
      <c r="H879" s="3" t="s">
        <v>2379</v>
      </c>
      <c r="I879" s="1" t="s">
        <v>2380</v>
      </c>
      <c r="J879">
        <v>0</v>
      </c>
      <c r="K879" s="3" t="s">
        <v>2379</v>
      </c>
      <c r="P879" s="3"/>
    </row>
    <row r="880" spans="1:16" x14ac:dyDescent="0.25">
      <c r="A880" s="3" t="s">
        <v>1491</v>
      </c>
      <c r="B880">
        <v>35.99</v>
      </c>
      <c r="C880" t="str" cm="1">
        <f t="array" ref="C880">_xlfn.IFS(B880&lt;=18.5,  "Underweight",B880&lt;=24.9,"Normal weight",B880&lt;=29.9, "Over weight",B880&gt;=30,"Obesity")</f>
        <v>Obesity</v>
      </c>
      <c r="D880">
        <v>11.11</v>
      </c>
      <c r="E880" t="str" cm="1">
        <f t="array" ref="E880">_xlfn.IFS(D880&lt;5.7,"Normal",D880&lt;=6.4,"Prediabetes",D880&gt;=6.5,"Diabetes")</f>
        <v>Diabetes</v>
      </c>
      <c r="F880" s="3" t="s">
        <v>2379</v>
      </c>
      <c r="G880" s="3" t="s">
        <v>2379</v>
      </c>
      <c r="H880" s="3" t="s">
        <v>2379</v>
      </c>
      <c r="I880" s="1" t="s">
        <v>2380</v>
      </c>
      <c r="J880">
        <v>0</v>
      </c>
      <c r="K880" s="3" t="s">
        <v>2379</v>
      </c>
      <c r="P880" s="3"/>
    </row>
    <row r="881" spans="1:16" x14ac:dyDescent="0.25">
      <c r="A881" s="3" t="s">
        <v>1490</v>
      </c>
      <c r="B881">
        <v>35.200000000000003</v>
      </c>
      <c r="C881" t="str" cm="1">
        <f t="array" ref="C881">_xlfn.IFS(B881&lt;=18.5,  "Underweight",B881&lt;=24.9,"Normal weight",B881&lt;=29.9, "Over weight",B881&gt;=30,"Obesity")</f>
        <v>Obesity</v>
      </c>
      <c r="D881">
        <v>7.72</v>
      </c>
      <c r="E881" t="str" cm="1">
        <f t="array" ref="E881">_xlfn.IFS(D881&lt;5.7,"Normal",D881&lt;=6.4,"Prediabetes",D881&gt;=6.5,"Diabetes")</f>
        <v>Diabetes</v>
      </c>
      <c r="F881" s="3" t="s">
        <v>2382</v>
      </c>
      <c r="G881" s="3" t="s">
        <v>2379</v>
      </c>
      <c r="H881" s="3" t="s">
        <v>2382</v>
      </c>
      <c r="I881" s="1">
        <v>1</v>
      </c>
      <c r="J881">
        <v>1</v>
      </c>
      <c r="K881" s="3" t="s">
        <v>2379</v>
      </c>
      <c r="P881" s="3"/>
    </row>
    <row r="882" spans="1:16" x14ac:dyDescent="0.25">
      <c r="A882" s="3" t="s">
        <v>1489</v>
      </c>
      <c r="B882">
        <v>29.91</v>
      </c>
      <c r="C882" t="e" cm="1">
        <f t="array" ref="C882">_xlfn.IFS(B882&lt;=18.5,  "Underweight",B882&lt;=24.9,"Normal weight",B882&lt;=29.9, "Over weight",B882&gt;=30,"Obesity")</f>
        <v>#N/A</v>
      </c>
      <c r="D882">
        <v>5.55</v>
      </c>
      <c r="E882" t="str" cm="1">
        <f t="array" ref="E882">_xlfn.IFS(D882&lt;5.7,"Normal",D882&lt;=6.4,"Prediabetes",D882&gt;=6.5,"Diabetes")</f>
        <v>Normal</v>
      </c>
      <c r="F882" s="3" t="s">
        <v>2382</v>
      </c>
      <c r="G882" s="3" t="s">
        <v>2379</v>
      </c>
      <c r="H882" s="3" t="s">
        <v>2379</v>
      </c>
      <c r="I882" s="1">
        <v>2</v>
      </c>
      <c r="J882">
        <v>2</v>
      </c>
      <c r="K882" s="3" t="s">
        <v>2379</v>
      </c>
      <c r="P882" s="3"/>
    </row>
    <row r="883" spans="1:16" x14ac:dyDescent="0.25">
      <c r="A883" s="3" t="s">
        <v>1488</v>
      </c>
      <c r="B883">
        <v>36.479999999999997</v>
      </c>
      <c r="C883" t="str" cm="1">
        <f t="array" ref="C883">_xlfn.IFS(B883&lt;=18.5,  "Underweight",B883&lt;=24.9,"Normal weight",B883&lt;=29.9, "Over weight",B883&gt;=30,"Obesity")</f>
        <v>Obesity</v>
      </c>
      <c r="D883">
        <v>5.05</v>
      </c>
      <c r="E883" t="str" cm="1">
        <f t="array" ref="E883">_xlfn.IFS(D883&lt;5.7,"Normal",D883&lt;=6.4,"Prediabetes",D883&gt;=6.5,"Diabetes")</f>
        <v>Normal</v>
      </c>
      <c r="F883" s="3" t="s">
        <v>2382</v>
      </c>
      <c r="G883" s="3" t="s">
        <v>2379</v>
      </c>
      <c r="H883" s="3" t="s">
        <v>2379</v>
      </c>
      <c r="I883" s="1">
        <v>1</v>
      </c>
      <c r="J883">
        <v>1</v>
      </c>
      <c r="K883" s="3" t="s">
        <v>2379</v>
      </c>
      <c r="P883" s="3"/>
    </row>
    <row r="884" spans="1:16" x14ac:dyDescent="0.25">
      <c r="A884" s="3" t="s">
        <v>1487</v>
      </c>
      <c r="B884">
        <v>27.5</v>
      </c>
      <c r="C884" t="str" cm="1">
        <f t="array" ref="C884">_xlfn.IFS(B884&lt;=18.5,  "Underweight",B884&lt;=24.9,"Normal weight",B884&lt;=29.9, "Over weight",B884&gt;=30,"Obesity")</f>
        <v>Over weight</v>
      </c>
      <c r="D884">
        <v>8.69</v>
      </c>
      <c r="E884" t="str" cm="1">
        <f t="array" ref="E884">_xlfn.IFS(D884&lt;5.7,"Normal",D884&lt;=6.4,"Prediabetes",D884&gt;=6.5,"Diabetes")</f>
        <v>Diabetes</v>
      </c>
      <c r="F884" s="3" t="s">
        <v>2382</v>
      </c>
      <c r="G884" s="3" t="s">
        <v>2379</v>
      </c>
      <c r="H884" s="3" t="s">
        <v>2382</v>
      </c>
      <c r="I884" s="1">
        <v>1</v>
      </c>
      <c r="J884">
        <v>1</v>
      </c>
      <c r="K884" s="3" t="s">
        <v>2379</v>
      </c>
      <c r="P884" s="3"/>
    </row>
    <row r="885" spans="1:16" x14ac:dyDescent="0.25">
      <c r="A885" s="3" t="s">
        <v>1486</v>
      </c>
      <c r="B885">
        <v>33.44</v>
      </c>
      <c r="C885" t="str" cm="1">
        <f t="array" ref="C885">_xlfn.IFS(B885&lt;=18.5,  "Underweight",B885&lt;=24.9,"Normal weight",B885&lt;=29.9, "Over weight",B885&gt;=30,"Obesity")</f>
        <v>Obesity</v>
      </c>
      <c r="D885">
        <v>5.9</v>
      </c>
      <c r="E885" t="str" cm="1">
        <f t="array" ref="E885">_xlfn.IFS(D885&lt;5.7,"Normal",D885&lt;=6.4,"Prediabetes",D885&gt;=6.5,"Diabetes")</f>
        <v>Prediabetes</v>
      </c>
      <c r="F885" s="3" t="s">
        <v>2382</v>
      </c>
      <c r="G885" s="3" t="s">
        <v>2379</v>
      </c>
      <c r="H885" s="3" t="s">
        <v>2379</v>
      </c>
      <c r="I885" s="1">
        <v>1</v>
      </c>
      <c r="J885">
        <v>1</v>
      </c>
      <c r="K885" s="3" t="s">
        <v>2379</v>
      </c>
      <c r="P885" s="3"/>
    </row>
    <row r="886" spans="1:16" x14ac:dyDescent="0.25">
      <c r="A886" s="3" t="s">
        <v>1485</v>
      </c>
      <c r="B886">
        <v>28.215</v>
      </c>
      <c r="C886" t="str" cm="1">
        <f t="array" ref="C886">_xlfn.IFS(B886&lt;=18.5,  "Underweight",B886&lt;=24.9,"Normal weight",B886&lt;=29.9, "Over weight",B886&gt;=30,"Obesity")</f>
        <v>Over weight</v>
      </c>
      <c r="D886">
        <v>6.29</v>
      </c>
      <c r="E886" t="str" cm="1">
        <f t="array" ref="E886">_xlfn.IFS(D886&lt;5.7,"Normal",D886&lt;=6.4,"Prediabetes",D886&gt;=6.5,"Diabetes")</f>
        <v>Prediabetes</v>
      </c>
      <c r="F886" s="3" t="s">
        <v>2382</v>
      </c>
      <c r="G886" s="3" t="s">
        <v>2379</v>
      </c>
      <c r="H886" s="3" t="s">
        <v>2379</v>
      </c>
      <c r="I886" s="1">
        <v>1</v>
      </c>
      <c r="J886">
        <v>1</v>
      </c>
      <c r="K886" s="3" t="s">
        <v>2379</v>
      </c>
      <c r="P886" s="3"/>
    </row>
    <row r="887" spans="1:16" x14ac:dyDescent="0.25">
      <c r="A887" s="3" t="s">
        <v>1484</v>
      </c>
      <c r="B887">
        <v>27.17</v>
      </c>
      <c r="C887" t="str" cm="1">
        <f t="array" ref="C887">_xlfn.IFS(B887&lt;=18.5,  "Underweight",B887&lt;=24.9,"Normal weight",B887&lt;=29.9, "Over weight",B887&gt;=30,"Obesity")</f>
        <v>Over weight</v>
      </c>
      <c r="D887">
        <v>5.84</v>
      </c>
      <c r="E887" t="str" cm="1">
        <f t="array" ref="E887">_xlfn.IFS(D887&lt;5.7,"Normal",D887&lt;=6.4,"Prediabetes",D887&gt;=6.5,"Diabetes")</f>
        <v>Prediabetes</v>
      </c>
      <c r="F887" s="3" t="s">
        <v>2382</v>
      </c>
      <c r="G887" s="3" t="s">
        <v>2379</v>
      </c>
      <c r="H887" s="3" t="s">
        <v>2379</v>
      </c>
      <c r="I887" s="1">
        <v>1</v>
      </c>
      <c r="J887">
        <v>1</v>
      </c>
      <c r="K887" s="3" t="s">
        <v>2379</v>
      </c>
      <c r="P887" s="3"/>
    </row>
    <row r="888" spans="1:16" x14ac:dyDescent="0.25">
      <c r="A888" s="3" t="s">
        <v>1483</v>
      </c>
      <c r="B888">
        <v>35.380000000000003</v>
      </c>
      <c r="C888" t="str" cm="1">
        <f t="array" ref="C888">_xlfn.IFS(B888&lt;=18.5,  "Underweight",B888&lt;=24.9,"Normal weight",B888&lt;=29.9, "Over weight",B888&gt;=30,"Obesity")</f>
        <v>Obesity</v>
      </c>
      <c r="D888">
        <v>6.12</v>
      </c>
      <c r="E888" t="str" cm="1">
        <f t="array" ref="E888">_xlfn.IFS(D888&lt;5.7,"Normal",D888&lt;=6.4,"Prediabetes",D888&gt;=6.5,"Diabetes")</f>
        <v>Prediabetes</v>
      </c>
      <c r="F888" s="3" t="s">
        <v>2379</v>
      </c>
      <c r="G888" s="3" t="s">
        <v>2379</v>
      </c>
      <c r="H888" s="3" t="s">
        <v>2379</v>
      </c>
      <c r="I888" s="1" t="s">
        <v>2380</v>
      </c>
      <c r="J888">
        <v>0</v>
      </c>
      <c r="K888" s="3" t="s">
        <v>2379</v>
      </c>
      <c r="P888" s="3"/>
    </row>
    <row r="889" spans="1:16" x14ac:dyDescent="0.25">
      <c r="A889" s="3" t="s">
        <v>1482</v>
      </c>
      <c r="B889">
        <v>43.48</v>
      </c>
      <c r="C889" t="str" cm="1">
        <f t="array" ref="C889">_xlfn.IFS(B889&lt;=18.5,  "Underweight",B889&lt;=24.9,"Normal weight",B889&lt;=29.9, "Over weight",B889&gt;=30,"Obesity")</f>
        <v>Obesity</v>
      </c>
      <c r="D889">
        <v>6.24</v>
      </c>
      <c r="E889" t="str" cm="1">
        <f t="array" ref="E889">_xlfn.IFS(D889&lt;5.7,"Normal",D889&lt;=6.4,"Prediabetes",D889&gt;=6.5,"Diabetes")</f>
        <v>Prediabetes</v>
      </c>
      <c r="F889" s="3" t="s">
        <v>2379</v>
      </c>
      <c r="G889" s="3" t="s">
        <v>2379</v>
      </c>
      <c r="H889" s="3" t="s">
        <v>2379</v>
      </c>
      <c r="I889" s="1" t="s">
        <v>2380</v>
      </c>
      <c r="J889">
        <v>0</v>
      </c>
      <c r="K889" s="3" t="s">
        <v>2379</v>
      </c>
      <c r="P889" s="3"/>
    </row>
    <row r="890" spans="1:16" x14ac:dyDescent="0.25">
      <c r="A890" s="3" t="s">
        <v>1481</v>
      </c>
      <c r="B890">
        <v>41.73</v>
      </c>
      <c r="C890" t="str" cm="1">
        <f t="array" ref="C890">_xlfn.IFS(B890&lt;=18.5,  "Underweight",B890&lt;=24.9,"Normal weight",B890&lt;=29.9, "Over weight",B890&gt;=30,"Obesity")</f>
        <v>Obesity</v>
      </c>
      <c r="D890">
        <v>6.25</v>
      </c>
      <c r="E890" t="str" cm="1">
        <f t="array" ref="E890">_xlfn.IFS(D890&lt;5.7,"Normal",D890&lt;=6.4,"Prediabetes",D890&gt;=6.5,"Diabetes")</f>
        <v>Prediabetes</v>
      </c>
      <c r="F890" s="3" t="s">
        <v>2379</v>
      </c>
      <c r="G890" s="3" t="s">
        <v>2379</v>
      </c>
      <c r="H890" s="3" t="s">
        <v>2379</v>
      </c>
      <c r="I890" s="1">
        <v>1</v>
      </c>
      <c r="J890">
        <v>1</v>
      </c>
      <c r="K890" s="3" t="s">
        <v>2379</v>
      </c>
      <c r="P890" s="3"/>
    </row>
    <row r="891" spans="1:16" x14ac:dyDescent="0.25">
      <c r="A891" s="3" t="s">
        <v>1480</v>
      </c>
      <c r="B891">
        <v>28.9</v>
      </c>
      <c r="C891" t="str" cm="1">
        <f t="array" ref="C891">_xlfn.IFS(B891&lt;=18.5,  "Underweight",B891&lt;=24.9,"Normal weight",B891&lt;=29.9, "Over weight",B891&gt;=30,"Obesity")</f>
        <v>Over weight</v>
      </c>
      <c r="D891">
        <v>11.96</v>
      </c>
      <c r="E891" t="str" cm="1">
        <f t="array" ref="E891">_xlfn.IFS(D891&lt;5.7,"Normal",D891&lt;=6.4,"Prediabetes",D891&gt;=6.5,"Diabetes")</f>
        <v>Diabetes</v>
      </c>
      <c r="F891" s="3" t="s">
        <v>2379</v>
      </c>
      <c r="G891" s="3" t="s">
        <v>2379</v>
      </c>
      <c r="H891" s="3" t="s">
        <v>2379</v>
      </c>
      <c r="I891" s="1" t="s">
        <v>2380</v>
      </c>
      <c r="J891">
        <v>0</v>
      </c>
      <c r="K891" s="3" t="s">
        <v>2379</v>
      </c>
      <c r="P891" s="3"/>
    </row>
    <row r="892" spans="1:16" x14ac:dyDescent="0.25">
      <c r="A892" s="3" t="s">
        <v>1479</v>
      </c>
      <c r="B892">
        <v>25.74</v>
      </c>
      <c r="C892" t="str" cm="1">
        <f t="array" ref="C892">_xlfn.IFS(B892&lt;=18.5,  "Underweight",B892&lt;=24.9,"Normal weight",B892&lt;=29.9, "Over weight",B892&gt;=30,"Obesity")</f>
        <v>Over weight</v>
      </c>
      <c r="D892">
        <v>7.69</v>
      </c>
      <c r="E892" t="str" cm="1">
        <f t="array" ref="E892">_xlfn.IFS(D892&lt;5.7,"Normal",D892&lt;=6.4,"Prediabetes",D892&gt;=6.5,"Diabetes")</f>
        <v>Diabetes</v>
      </c>
      <c r="F892" s="3" t="s">
        <v>2379</v>
      </c>
      <c r="G892" s="3" t="s">
        <v>2379</v>
      </c>
      <c r="H892" s="3" t="s">
        <v>2379</v>
      </c>
      <c r="I892" s="1" t="s">
        <v>2380</v>
      </c>
      <c r="J892">
        <v>0</v>
      </c>
      <c r="K892" s="3" t="s">
        <v>2379</v>
      </c>
      <c r="P892" s="3"/>
    </row>
    <row r="893" spans="1:16" x14ac:dyDescent="0.25">
      <c r="A893" s="3" t="s">
        <v>1478</v>
      </c>
      <c r="B893">
        <v>36.06</v>
      </c>
      <c r="C893" t="str" cm="1">
        <f t="array" ref="C893">_xlfn.IFS(B893&lt;=18.5,  "Underweight",B893&lt;=24.9,"Normal weight",B893&lt;=29.9, "Over weight",B893&gt;=30,"Obesity")</f>
        <v>Obesity</v>
      </c>
      <c r="D893">
        <v>8.83</v>
      </c>
      <c r="E893" t="str" cm="1">
        <f t="array" ref="E893">_xlfn.IFS(D893&lt;5.7,"Normal",D893&lt;=6.4,"Prediabetes",D893&gt;=6.5,"Diabetes")</f>
        <v>Diabetes</v>
      </c>
      <c r="F893" s="3" t="s">
        <v>2379</v>
      </c>
      <c r="G893" s="3" t="s">
        <v>2379</v>
      </c>
      <c r="H893" s="3" t="s">
        <v>2379</v>
      </c>
      <c r="I893" s="1" t="s">
        <v>2380</v>
      </c>
      <c r="J893">
        <v>0</v>
      </c>
      <c r="K893" s="3" t="s">
        <v>2379</v>
      </c>
      <c r="P893" s="3"/>
    </row>
    <row r="894" spans="1:16" x14ac:dyDescent="0.25">
      <c r="A894" s="3" t="s">
        <v>1477</v>
      </c>
      <c r="B894">
        <v>43.28</v>
      </c>
      <c r="C894" t="str" cm="1">
        <f t="array" ref="C894">_xlfn.IFS(B894&lt;=18.5,  "Underweight",B894&lt;=24.9,"Normal weight",B894&lt;=29.9, "Over weight",B894&gt;=30,"Obesity")</f>
        <v>Obesity</v>
      </c>
      <c r="D894">
        <v>4.41</v>
      </c>
      <c r="E894" t="str" cm="1">
        <f t="array" ref="E894">_xlfn.IFS(D894&lt;5.7,"Normal",D894&lt;=6.4,"Prediabetes",D894&gt;=6.5,"Diabetes")</f>
        <v>Normal</v>
      </c>
      <c r="F894" s="3" t="s">
        <v>2379</v>
      </c>
      <c r="G894" s="3" t="s">
        <v>2379</v>
      </c>
      <c r="H894" s="3" t="s">
        <v>2379</v>
      </c>
      <c r="I894" s="1" t="s">
        <v>2380</v>
      </c>
      <c r="J894">
        <v>0</v>
      </c>
      <c r="K894" s="3" t="s">
        <v>2379</v>
      </c>
      <c r="P894" s="3"/>
    </row>
    <row r="895" spans="1:16" x14ac:dyDescent="0.25">
      <c r="A895" s="3" t="s">
        <v>1476</v>
      </c>
      <c r="B895">
        <v>28.785</v>
      </c>
      <c r="C895" t="str" cm="1">
        <f t="array" ref="C895">_xlfn.IFS(B895&lt;=18.5,  "Underweight",B895&lt;=24.9,"Normal weight",B895&lt;=29.9, "Over weight",B895&gt;=30,"Obesity")</f>
        <v>Over weight</v>
      </c>
      <c r="D895">
        <v>9.1</v>
      </c>
      <c r="E895" t="str" cm="1">
        <f t="array" ref="E895">_xlfn.IFS(D895&lt;5.7,"Normal",D895&lt;=6.4,"Prediabetes",D895&gt;=6.5,"Diabetes")</f>
        <v>Diabetes</v>
      </c>
      <c r="F895" s="3" t="s">
        <v>2382</v>
      </c>
      <c r="G895" s="3" t="s">
        <v>2379</v>
      </c>
      <c r="H895" s="3" t="s">
        <v>2382</v>
      </c>
      <c r="I895" s="1">
        <v>1</v>
      </c>
      <c r="J895">
        <v>1</v>
      </c>
      <c r="K895" s="3" t="s">
        <v>2379</v>
      </c>
      <c r="P895" s="3"/>
    </row>
    <row r="896" spans="1:16" x14ac:dyDescent="0.25">
      <c r="A896" s="3" t="s">
        <v>1475</v>
      </c>
      <c r="B896">
        <v>25.46</v>
      </c>
      <c r="C896" t="str" cm="1">
        <f t="array" ref="C896">_xlfn.IFS(B896&lt;=18.5,  "Underweight",B896&lt;=24.9,"Normal weight",B896&lt;=29.9, "Over weight",B896&gt;=30,"Obesity")</f>
        <v>Over weight</v>
      </c>
      <c r="D896">
        <v>11.52</v>
      </c>
      <c r="E896" t="str" cm="1">
        <f t="array" ref="E896">_xlfn.IFS(D896&lt;5.7,"Normal",D896&lt;=6.4,"Prediabetes",D896&gt;=6.5,"Diabetes")</f>
        <v>Diabetes</v>
      </c>
      <c r="F896" s="3" t="s">
        <v>2382</v>
      </c>
      <c r="G896" s="3" t="s">
        <v>2379</v>
      </c>
      <c r="H896" s="3" t="s">
        <v>2382</v>
      </c>
      <c r="I896" s="1">
        <v>1</v>
      </c>
      <c r="J896">
        <v>1</v>
      </c>
      <c r="K896" s="3" t="s">
        <v>2379</v>
      </c>
      <c r="P896" s="3"/>
    </row>
    <row r="897" spans="1:16" x14ac:dyDescent="0.25">
      <c r="A897" s="3" t="s">
        <v>1474</v>
      </c>
      <c r="B897">
        <v>30.8</v>
      </c>
      <c r="C897" t="str" cm="1">
        <f t="array" ref="C897">_xlfn.IFS(B897&lt;=18.5,  "Underweight",B897&lt;=24.9,"Normal weight",B897&lt;=29.9, "Over weight",B897&gt;=30,"Obesity")</f>
        <v>Obesity</v>
      </c>
      <c r="D897">
        <v>10.95</v>
      </c>
      <c r="E897" t="str" cm="1">
        <f t="array" ref="E897">_xlfn.IFS(D897&lt;5.7,"Normal",D897&lt;=6.4,"Prediabetes",D897&gt;=6.5,"Diabetes")</f>
        <v>Diabetes</v>
      </c>
      <c r="F897" s="3" t="s">
        <v>2379</v>
      </c>
      <c r="G897" s="3" t="s">
        <v>2379</v>
      </c>
      <c r="H897" s="3" t="s">
        <v>2379</v>
      </c>
      <c r="I897" s="1" t="s">
        <v>2380</v>
      </c>
      <c r="J897">
        <v>0</v>
      </c>
      <c r="K897" s="3" t="s">
        <v>2379</v>
      </c>
      <c r="P897" s="3"/>
    </row>
    <row r="898" spans="1:16" x14ac:dyDescent="0.25">
      <c r="A898" s="3" t="s">
        <v>1473</v>
      </c>
      <c r="B898">
        <v>28.88</v>
      </c>
      <c r="C898" t="str" cm="1">
        <f t="array" ref="C898">_xlfn.IFS(B898&lt;=18.5,  "Underweight",B898&lt;=24.9,"Normal weight",B898&lt;=29.9, "Over weight",B898&gt;=30,"Obesity")</f>
        <v>Over weight</v>
      </c>
      <c r="D898">
        <v>11.5</v>
      </c>
      <c r="E898" t="str" cm="1">
        <f t="array" ref="E898">_xlfn.IFS(D898&lt;5.7,"Normal",D898&lt;=6.4,"Prediabetes",D898&gt;=6.5,"Diabetes")</f>
        <v>Diabetes</v>
      </c>
      <c r="F898" s="3" t="s">
        <v>2379</v>
      </c>
      <c r="G898" s="3" t="s">
        <v>2379</v>
      </c>
      <c r="H898" s="3" t="s">
        <v>2379</v>
      </c>
      <c r="I898" s="1" t="s">
        <v>2380</v>
      </c>
      <c r="J898">
        <v>0</v>
      </c>
      <c r="K898" s="3" t="s">
        <v>2379</v>
      </c>
      <c r="P898" s="3"/>
    </row>
    <row r="899" spans="1:16" x14ac:dyDescent="0.25">
      <c r="A899" s="3" t="s">
        <v>1472</v>
      </c>
      <c r="B899">
        <v>23</v>
      </c>
      <c r="C899" t="str" cm="1">
        <f t="array" ref="C899">_xlfn.IFS(B899&lt;=18.5,  "Underweight",B899&lt;=24.9,"Normal weight",B899&lt;=29.9, "Over weight",B899&gt;=30,"Obesity")</f>
        <v>Normal weight</v>
      </c>
      <c r="D899">
        <v>9.8800000000000008</v>
      </c>
      <c r="E899" t="str" cm="1">
        <f t="array" ref="E899">_xlfn.IFS(D899&lt;5.7,"Normal",D899&lt;=6.4,"Prediabetes",D899&gt;=6.5,"Diabetes")</f>
        <v>Diabetes</v>
      </c>
      <c r="F899" s="3" t="s">
        <v>2379</v>
      </c>
      <c r="G899" s="3" t="s">
        <v>2379</v>
      </c>
      <c r="H899" s="3" t="s">
        <v>2379</v>
      </c>
      <c r="I899" s="1" t="s">
        <v>2380</v>
      </c>
      <c r="J899">
        <v>0</v>
      </c>
      <c r="K899" s="3" t="s">
        <v>2379</v>
      </c>
      <c r="P899" s="3"/>
    </row>
    <row r="900" spans="1:16" x14ac:dyDescent="0.25">
      <c r="A900" s="3" t="s">
        <v>1471</v>
      </c>
      <c r="B900">
        <v>38.25</v>
      </c>
      <c r="C900" t="str" cm="1">
        <f t="array" ref="C900">_xlfn.IFS(B900&lt;=18.5,  "Underweight",B900&lt;=24.9,"Normal weight",B900&lt;=29.9, "Over weight",B900&gt;=30,"Obesity")</f>
        <v>Obesity</v>
      </c>
      <c r="D900">
        <v>6.2</v>
      </c>
      <c r="E900" t="str" cm="1">
        <f t="array" ref="E900">_xlfn.IFS(D900&lt;5.7,"Normal",D900&lt;=6.4,"Prediabetes",D900&gt;=6.5,"Diabetes")</f>
        <v>Prediabetes</v>
      </c>
      <c r="F900" s="3" t="s">
        <v>2379</v>
      </c>
      <c r="G900" s="3" t="s">
        <v>2379</v>
      </c>
      <c r="H900" s="3" t="s">
        <v>2379</v>
      </c>
      <c r="I900" s="1">
        <v>1</v>
      </c>
      <c r="J900">
        <v>1</v>
      </c>
      <c r="K900" s="3" t="s">
        <v>2379</v>
      </c>
      <c r="P900" s="3"/>
    </row>
    <row r="901" spans="1:16" x14ac:dyDescent="0.25">
      <c r="A901" s="3" t="s">
        <v>1470</v>
      </c>
      <c r="B901">
        <v>39.25</v>
      </c>
      <c r="C901" t="str" cm="1">
        <f t="array" ref="C901">_xlfn.IFS(B901&lt;=18.5,  "Underweight",B901&lt;=24.9,"Normal weight",B901&lt;=29.9, "Over weight",B901&gt;=30,"Obesity")</f>
        <v>Obesity</v>
      </c>
      <c r="D901">
        <v>8.41</v>
      </c>
      <c r="E901" t="str" cm="1">
        <f t="array" ref="E901">_xlfn.IFS(D901&lt;5.7,"Normal",D901&lt;=6.4,"Prediabetes",D901&gt;=6.5,"Diabetes")</f>
        <v>Diabetes</v>
      </c>
      <c r="F901" s="3" t="s">
        <v>2382</v>
      </c>
      <c r="G901" s="3" t="s">
        <v>2379</v>
      </c>
      <c r="H901" s="3" t="s">
        <v>2379</v>
      </c>
      <c r="I901" s="1">
        <v>1</v>
      </c>
      <c r="J901">
        <v>1</v>
      </c>
      <c r="K901" s="3" t="s">
        <v>2379</v>
      </c>
      <c r="P901" s="3"/>
    </row>
    <row r="902" spans="1:16" x14ac:dyDescent="0.25">
      <c r="A902" s="3" t="s">
        <v>1469</v>
      </c>
      <c r="B902">
        <v>26.6</v>
      </c>
      <c r="C902" t="str" cm="1">
        <f t="array" ref="C902">_xlfn.IFS(B902&lt;=18.5,  "Underweight",B902&lt;=24.9,"Normal weight",B902&lt;=29.9, "Over weight",B902&gt;=30,"Obesity")</f>
        <v>Over weight</v>
      </c>
      <c r="D902">
        <v>5.07</v>
      </c>
      <c r="E902" t="str" cm="1">
        <f t="array" ref="E902">_xlfn.IFS(D902&lt;5.7,"Normal",D902&lt;=6.4,"Prediabetes",D902&gt;=6.5,"Diabetes")</f>
        <v>Normal</v>
      </c>
      <c r="F902" s="3" t="s">
        <v>2382</v>
      </c>
      <c r="G902" s="3" t="s">
        <v>2379</v>
      </c>
      <c r="H902" s="3" t="s">
        <v>2379</v>
      </c>
      <c r="I902" s="1">
        <v>2</v>
      </c>
      <c r="J902">
        <v>2</v>
      </c>
      <c r="K902" s="3" t="s">
        <v>2379</v>
      </c>
      <c r="P902" s="3"/>
    </row>
    <row r="903" spans="1:16" x14ac:dyDescent="0.25">
      <c r="A903" s="3" t="s">
        <v>1468</v>
      </c>
      <c r="B903">
        <v>35.700000000000003</v>
      </c>
      <c r="C903" t="str" cm="1">
        <f t="array" ref="C903">_xlfn.IFS(B903&lt;=18.5,  "Underweight",B903&lt;=24.9,"Normal weight",B903&lt;=29.9, "Over weight",B903&gt;=30,"Obesity")</f>
        <v>Obesity</v>
      </c>
      <c r="D903">
        <v>4.0599999999999996</v>
      </c>
      <c r="E903" t="str" cm="1">
        <f t="array" ref="E903">_xlfn.IFS(D903&lt;5.7,"Normal",D903&lt;=6.4,"Prediabetes",D903&gt;=6.5,"Diabetes")</f>
        <v>Normal</v>
      </c>
      <c r="F903" s="3" t="s">
        <v>2379</v>
      </c>
      <c r="G903" s="3" t="s">
        <v>2379</v>
      </c>
      <c r="H903" s="3" t="s">
        <v>2382</v>
      </c>
      <c r="I903" s="1">
        <v>1</v>
      </c>
      <c r="J903">
        <v>1</v>
      </c>
      <c r="K903" s="3" t="s">
        <v>2379</v>
      </c>
      <c r="P903" s="3"/>
    </row>
    <row r="904" spans="1:16" x14ac:dyDescent="0.25">
      <c r="A904" s="3" t="s">
        <v>1467</v>
      </c>
      <c r="B904">
        <v>20.100000000000001</v>
      </c>
      <c r="C904" t="str" cm="1">
        <f t="array" ref="C904">_xlfn.IFS(B904&lt;=18.5,  "Underweight",B904&lt;=24.9,"Normal weight",B904&lt;=29.9, "Over weight",B904&gt;=30,"Obesity")</f>
        <v>Normal weight</v>
      </c>
      <c r="D904">
        <v>10.52</v>
      </c>
      <c r="E904" t="str" cm="1">
        <f t="array" ref="E904">_xlfn.IFS(D904&lt;5.7,"Normal",D904&lt;=6.4,"Prediabetes",D904&gt;=6.5,"Diabetes")</f>
        <v>Diabetes</v>
      </c>
      <c r="F904" s="3" t="s">
        <v>2379</v>
      </c>
      <c r="G904" s="3" t="s">
        <v>2379</v>
      </c>
      <c r="H904" s="3" t="s">
        <v>2379</v>
      </c>
      <c r="I904" s="1" t="s">
        <v>2380</v>
      </c>
      <c r="J904">
        <v>0</v>
      </c>
      <c r="K904" s="3" t="s">
        <v>2379</v>
      </c>
      <c r="P904" s="3"/>
    </row>
    <row r="905" spans="1:16" x14ac:dyDescent="0.25">
      <c r="A905" s="3" t="s">
        <v>1466</v>
      </c>
      <c r="B905">
        <v>22.23</v>
      </c>
      <c r="C905" t="str" cm="1">
        <f t="array" ref="C905">_xlfn.IFS(B905&lt;=18.5,  "Underweight",B905&lt;=24.9,"Normal weight",B905&lt;=29.9, "Over weight",B905&gt;=30,"Obesity")</f>
        <v>Normal weight</v>
      </c>
      <c r="D905">
        <v>9.65</v>
      </c>
      <c r="E905" t="str" cm="1">
        <f t="array" ref="E905">_xlfn.IFS(D905&lt;5.7,"Normal",D905&lt;=6.4,"Prediabetes",D905&gt;=6.5,"Diabetes")</f>
        <v>Diabetes</v>
      </c>
      <c r="F905" s="3" t="s">
        <v>2379</v>
      </c>
      <c r="G905" s="3" t="s">
        <v>2379</v>
      </c>
      <c r="H905" s="3" t="s">
        <v>2379</v>
      </c>
      <c r="I905" s="1" t="s">
        <v>2380</v>
      </c>
      <c r="J905">
        <v>0</v>
      </c>
      <c r="K905" s="3" t="s">
        <v>2379</v>
      </c>
      <c r="P905" s="3"/>
    </row>
    <row r="906" spans="1:16" x14ac:dyDescent="0.25">
      <c r="A906" s="3" t="s">
        <v>1465</v>
      </c>
      <c r="B906">
        <v>36.47</v>
      </c>
      <c r="C906" t="str" cm="1">
        <f t="array" ref="C906">_xlfn.IFS(B906&lt;=18.5,  "Underweight",B906&lt;=24.9,"Normal weight",B906&lt;=29.9, "Over weight",B906&gt;=30,"Obesity")</f>
        <v>Obesity</v>
      </c>
      <c r="D906">
        <v>6.21</v>
      </c>
      <c r="E906" t="str" cm="1">
        <f t="array" ref="E906">_xlfn.IFS(D906&lt;5.7,"Normal",D906&lt;=6.4,"Prediabetes",D906&gt;=6.5,"Diabetes")</f>
        <v>Prediabetes</v>
      </c>
      <c r="F906" s="3" t="s">
        <v>2379</v>
      </c>
      <c r="G906" s="3" t="s">
        <v>2379</v>
      </c>
      <c r="H906" s="3" t="s">
        <v>2379</v>
      </c>
      <c r="I906" s="1" t="s">
        <v>2380</v>
      </c>
      <c r="J906">
        <v>0</v>
      </c>
      <c r="K906" s="3" t="s">
        <v>2379</v>
      </c>
      <c r="P906" s="3"/>
    </row>
    <row r="907" spans="1:16" x14ac:dyDescent="0.25">
      <c r="A907" s="3" t="s">
        <v>1464</v>
      </c>
      <c r="B907">
        <v>49.64</v>
      </c>
      <c r="C907" t="str" cm="1">
        <f t="array" ref="C907">_xlfn.IFS(B907&lt;=18.5,  "Underweight",B907&lt;=24.9,"Normal weight",B907&lt;=29.9, "Over weight",B907&gt;=30,"Obesity")</f>
        <v>Obesity</v>
      </c>
      <c r="D907">
        <v>4.76</v>
      </c>
      <c r="E907" t="str" cm="1">
        <f t="array" ref="E907">_xlfn.IFS(D907&lt;5.7,"Normal",D907&lt;=6.4,"Prediabetes",D907&gt;=6.5,"Diabetes")</f>
        <v>Normal</v>
      </c>
      <c r="F907" s="3" t="s">
        <v>2379</v>
      </c>
      <c r="G907" s="3" t="s">
        <v>2379</v>
      </c>
      <c r="H907" s="3" t="s">
        <v>2382</v>
      </c>
      <c r="I907" s="1">
        <v>1</v>
      </c>
      <c r="J907">
        <v>1</v>
      </c>
      <c r="K907" s="3" t="s">
        <v>2379</v>
      </c>
      <c r="P907" s="3"/>
    </row>
    <row r="908" spans="1:16" x14ac:dyDescent="0.25">
      <c r="A908" s="3" t="s">
        <v>1463</v>
      </c>
      <c r="B908">
        <v>36.799999999999997</v>
      </c>
      <c r="C908" t="str" cm="1">
        <f t="array" ref="C908">_xlfn.IFS(B908&lt;=18.5,  "Underweight",B908&lt;=24.9,"Normal weight",B908&lt;=29.9, "Over weight",B908&gt;=30,"Obesity")</f>
        <v>Obesity</v>
      </c>
      <c r="D908">
        <v>5.73</v>
      </c>
      <c r="E908" t="str" cm="1">
        <f t="array" ref="E908">_xlfn.IFS(D908&lt;5.7,"Normal",D908&lt;=6.4,"Prediabetes",D908&gt;=6.5,"Diabetes")</f>
        <v>Prediabetes</v>
      </c>
      <c r="F908" s="3" t="s">
        <v>2382</v>
      </c>
      <c r="G908" s="3" t="s">
        <v>2379</v>
      </c>
      <c r="H908" s="3" t="s">
        <v>2382</v>
      </c>
      <c r="I908" s="1">
        <v>1</v>
      </c>
      <c r="J908">
        <v>1</v>
      </c>
      <c r="K908" s="3" t="s">
        <v>2379</v>
      </c>
      <c r="P908" s="3"/>
    </row>
    <row r="909" spans="1:16" x14ac:dyDescent="0.25">
      <c r="A909" s="3" t="s">
        <v>1462</v>
      </c>
      <c r="B909">
        <v>33.880000000000003</v>
      </c>
      <c r="C909" t="str" cm="1">
        <f t="array" ref="C909">_xlfn.IFS(B909&lt;=18.5,  "Underweight",B909&lt;=24.9,"Normal weight",B909&lt;=29.9, "Over weight",B909&gt;=30,"Obesity")</f>
        <v>Obesity</v>
      </c>
      <c r="D909">
        <v>10.78</v>
      </c>
      <c r="E909" t="str" cm="1">
        <f t="array" ref="E909">_xlfn.IFS(D909&lt;5.7,"Normal",D909&lt;=6.4,"Prediabetes",D909&gt;=6.5,"Diabetes")</f>
        <v>Diabetes</v>
      </c>
      <c r="F909" s="3" t="s">
        <v>2382</v>
      </c>
      <c r="G909" s="3" t="s">
        <v>2379</v>
      </c>
      <c r="H909" s="3" t="s">
        <v>2379</v>
      </c>
      <c r="I909" s="1" t="s">
        <v>2380</v>
      </c>
      <c r="J909">
        <v>0</v>
      </c>
      <c r="K909" s="3" t="s">
        <v>2379</v>
      </c>
      <c r="P909" s="3"/>
    </row>
    <row r="910" spans="1:16" x14ac:dyDescent="0.25">
      <c r="A910" s="3" t="s">
        <v>1461</v>
      </c>
      <c r="B910">
        <v>32.01</v>
      </c>
      <c r="C910" t="str" cm="1">
        <f t="array" ref="C910">_xlfn.IFS(B910&lt;=18.5,  "Underweight",B910&lt;=24.9,"Normal weight",B910&lt;=29.9, "Over weight",B910&gt;=30,"Obesity")</f>
        <v>Obesity</v>
      </c>
      <c r="D910">
        <v>5.08</v>
      </c>
      <c r="E910" t="str" cm="1">
        <f t="array" ref="E910">_xlfn.IFS(D910&lt;5.7,"Normal",D910&lt;=6.4,"Prediabetes",D910&gt;=6.5,"Diabetes")</f>
        <v>Normal</v>
      </c>
      <c r="F910" s="3" t="s">
        <v>2382</v>
      </c>
      <c r="G910" s="3" t="s">
        <v>2379</v>
      </c>
      <c r="H910" s="3" t="s">
        <v>2379</v>
      </c>
      <c r="I910" s="1">
        <v>1</v>
      </c>
      <c r="J910">
        <v>1</v>
      </c>
      <c r="K910" s="3" t="s">
        <v>2379</v>
      </c>
      <c r="P910" s="3"/>
    </row>
    <row r="911" spans="1:16" x14ac:dyDescent="0.25">
      <c r="A911" s="3" t="s">
        <v>1460</v>
      </c>
      <c r="B911">
        <v>33.630000000000003</v>
      </c>
      <c r="C911" t="str" cm="1">
        <f t="array" ref="C911">_xlfn.IFS(B911&lt;=18.5,  "Underweight",B911&lt;=24.9,"Normal weight",B911&lt;=29.9, "Over weight",B911&gt;=30,"Obesity")</f>
        <v>Obesity</v>
      </c>
      <c r="D911">
        <v>11.39</v>
      </c>
      <c r="E911" t="str" cm="1">
        <f t="array" ref="E911">_xlfn.IFS(D911&lt;5.7,"Normal",D911&lt;=6.4,"Prediabetes",D911&gt;=6.5,"Diabetes")</f>
        <v>Diabetes</v>
      </c>
      <c r="F911" s="3" t="s">
        <v>2379</v>
      </c>
      <c r="G911" s="3" t="s">
        <v>2379</v>
      </c>
      <c r="H911" s="3" t="s">
        <v>2379</v>
      </c>
      <c r="I911" s="1" t="s">
        <v>2380</v>
      </c>
      <c r="J911">
        <v>0</v>
      </c>
      <c r="K911" s="3" t="s">
        <v>2379</v>
      </c>
      <c r="P911" s="3"/>
    </row>
    <row r="912" spans="1:16" x14ac:dyDescent="0.25">
      <c r="A912" s="3" t="s">
        <v>1459</v>
      </c>
      <c r="B912">
        <v>34.865000000000002</v>
      </c>
      <c r="C912" t="str" cm="1">
        <f t="array" ref="C912">_xlfn.IFS(B912&lt;=18.5,  "Underweight",B912&lt;=24.9,"Normal weight",B912&lt;=29.9, "Over weight",B912&gt;=30,"Obesity")</f>
        <v>Obesity</v>
      </c>
      <c r="D912">
        <v>5.35</v>
      </c>
      <c r="E912" t="str" cm="1">
        <f t="array" ref="E912">_xlfn.IFS(D912&lt;5.7,"Normal",D912&lt;=6.4,"Prediabetes",D912&gt;=6.5,"Diabetes")</f>
        <v>Normal</v>
      </c>
      <c r="F912" s="3" t="s">
        <v>2382</v>
      </c>
      <c r="G912" s="3" t="s">
        <v>2379</v>
      </c>
      <c r="H912" s="3" t="s">
        <v>2379</v>
      </c>
      <c r="I912" s="1">
        <v>1</v>
      </c>
      <c r="J912">
        <v>1</v>
      </c>
      <c r="K912" s="3" t="s">
        <v>2379</v>
      </c>
      <c r="P912" s="3"/>
    </row>
    <row r="913" spans="1:16" x14ac:dyDescent="0.25">
      <c r="A913" s="3" t="s">
        <v>1458</v>
      </c>
      <c r="B913">
        <v>43.11</v>
      </c>
      <c r="C913" t="str" cm="1">
        <f t="array" ref="C913">_xlfn.IFS(B913&lt;=18.5,  "Underweight",B913&lt;=24.9,"Normal weight",B913&lt;=29.9, "Over weight",B913&gt;=30,"Obesity")</f>
        <v>Obesity</v>
      </c>
      <c r="D913">
        <v>5.6</v>
      </c>
      <c r="E913" t="str" cm="1">
        <f t="array" ref="E913">_xlfn.IFS(D913&lt;5.7,"Normal",D913&lt;=6.4,"Prediabetes",D913&gt;=6.5,"Diabetes")</f>
        <v>Normal</v>
      </c>
      <c r="F913" s="3" t="s">
        <v>2379</v>
      </c>
      <c r="G913" s="3" t="s">
        <v>2379</v>
      </c>
      <c r="H913" s="3" t="s">
        <v>2379</v>
      </c>
      <c r="I913" s="1" t="s">
        <v>2380</v>
      </c>
      <c r="J913">
        <v>0</v>
      </c>
      <c r="K913" s="3" t="s">
        <v>2379</v>
      </c>
      <c r="P913" s="3"/>
    </row>
    <row r="914" spans="1:16" x14ac:dyDescent="0.25">
      <c r="A914" s="3" t="s">
        <v>1457</v>
      </c>
      <c r="B914">
        <v>30.305</v>
      </c>
      <c r="C914" t="str" cm="1">
        <f t="array" ref="C914">_xlfn.IFS(B914&lt;=18.5,  "Underweight",B914&lt;=24.9,"Normal weight",B914&lt;=29.9, "Over weight",B914&gt;=30,"Obesity")</f>
        <v>Obesity</v>
      </c>
      <c r="D914">
        <v>4.2699999999999996</v>
      </c>
      <c r="E914" t="str" cm="1">
        <f t="array" ref="E914">_xlfn.IFS(D914&lt;5.7,"Normal",D914&lt;=6.4,"Prediabetes",D914&gt;=6.5,"Diabetes")</f>
        <v>Normal</v>
      </c>
      <c r="F914" s="3" t="s">
        <v>2382</v>
      </c>
      <c r="G914" s="3" t="s">
        <v>2379</v>
      </c>
      <c r="H914" s="3" t="s">
        <v>2379</v>
      </c>
      <c r="I914" s="1">
        <v>1</v>
      </c>
      <c r="J914">
        <v>1</v>
      </c>
      <c r="K914" s="3" t="s">
        <v>2379</v>
      </c>
      <c r="P914" s="3"/>
    </row>
    <row r="915" spans="1:16" x14ac:dyDescent="0.25">
      <c r="A915" s="3" t="s">
        <v>1456</v>
      </c>
      <c r="B915">
        <v>25.175000000000001</v>
      </c>
      <c r="C915" t="str" cm="1">
        <f t="array" ref="C915">_xlfn.IFS(B915&lt;=18.5,  "Underweight",B915&lt;=24.9,"Normal weight",B915&lt;=29.9, "Over weight",B915&gt;=30,"Obesity")</f>
        <v>Over weight</v>
      </c>
      <c r="D915">
        <v>5.57</v>
      </c>
      <c r="E915" t="str" cm="1">
        <f t="array" ref="E915">_xlfn.IFS(D915&lt;5.7,"Normal",D915&lt;=6.4,"Prediabetes",D915&gt;=6.5,"Diabetes")</f>
        <v>Normal</v>
      </c>
      <c r="F915" s="3" t="s">
        <v>2382</v>
      </c>
      <c r="G915" s="3" t="s">
        <v>2379</v>
      </c>
      <c r="H915" s="3" t="s">
        <v>2379</v>
      </c>
      <c r="I915" s="1">
        <v>1</v>
      </c>
      <c r="J915">
        <v>1</v>
      </c>
      <c r="K915" s="3" t="s">
        <v>2379</v>
      </c>
      <c r="P915" s="3"/>
    </row>
    <row r="916" spans="1:16" x14ac:dyDescent="0.25">
      <c r="A916" s="3" t="s">
        <v>1455</v>
      </c>
      <c r="B916">
        <v>26.8</v>
      </c>
      <c r="C916" t="str" cm="1">
        <f t="array" ref="C916">_xlfn.IFS(B916&lt;=18.5,  "Underweight",B916&lt;=24.9,"Normal weight",B916&lt;=29.9, "Over weight",B916&gt;=30,"Obesity")</f>
        <v>Over weight</v>
      </c>
      <c r="D916">
        <v>5.68</v>
      </c>
      <c r="E916" t="str" cm="1">
        <f t="array" ref="E916">_xlfn.IFS(D916&lt;5.7,"Normal",D916&lt;=6.4,"Prediabetes",D916&gt;=6.5,"Diabetes")</f>
        <v>Normal</v>
      </c>
      <c r="F916" s="3" t="s">
        <v>2382</v>
      </c>
      <c r="G916" s="3" t="s">
        <v>2379</v>
      </c>
      <c r="H916" s="3" t="s">
        <v>2379</v>
      </c>
      <c r="I916" s="1">
        <v>1</v>
      </c>
      <c r="J916">
        <v>1</v>
      </c>
      <c r="K916" s="3" t="s">
        <v>2379</v>
      </c>
      <c r="P916" s="3"/>
    </row>
    <row r="917" spans="1:16" x14ac:dyDescent="0.25">
      <c r="A917" s="3" t="s">
        <v>1454</v>
      </c>
      <c r="B917">
        <v>21.78</v>
      </c>
      <c r="C917" t="str" cm="1">
        <f t="array" ref="C917">_xlfn.IFS(B917&lt;=18.5,  "Underweight",B917&lt;=24.9,"Normal weight",B917&lt;=29.9, "Over weight",B917&gt;=30,"Obesity")</f>
        <v>Normal weight</v>
      </c>
      <c r="D917">
        <v>5.3</v>
      </c>
      <c r="E917" t="str" cm="1">
        <f t="array" ref="E917">_xlfn.IFS(D917&lt;5.7,"Normal",D917&lt;=6.4,"Prediabetes",D917&gt;=6.5,"Diabetes")</f>
        <v>Normal</v>
      </c>
      <c r="F917" s="3" t="s">
        <v>2379</v>
      </c>
      <c r="G917" s="3" t="s">
        <v>2381</v>
      </c>
      <c r="H917" s="3" t="s">
        <v>2379</v>
      </c>
      <c r="I917" s="1">
        <v>1</v>
      </c>
      <c r="J917">
        <v>1</v>
      </c>
      <c r="K917" s="3" t="s">
        <v>2379</v>
      </c>
      <c r="P917" s="3"/>
    </row>
    <row r="918" spans="1:16" x14ac:dyDescent="0.25">
      <c r="A918" s="3" t="s">
        <v>1453</v>
      </c>
      <c r="B918">
        <v>30.14</v>
      </c>
      <c r="C918" t="str" cm="1">
        <f t="array" ref="C918">_xlfn.IFS(B918&lt;=18.5,  "Underweight",B918&lt;=24.9,"Normal weight",B918&lt;=29.9, "Over weight",B918&gt;=30,"Obesity")</f>
        <v>Obesity</v>
      </c>
      <c r="D918">
        <v>9.4499999999999993</v>
      </c>
      <c r="E918" t="str" cm="1">
        <f t="array" ref="E918">_xlfn.IFS(D918&lt;5.7,"Normal",D918&lt;=6.4,"Prediabetes",D918&gt;=6.5,"Diabetes")</f>
        <v>Diabetes</v>
      </c>
      <c r="F918" s="3" t="s">
        <v>2382</v>
      </c>
      <c r="G918" s="3" t="s">
        <v>2379</v>
      </c>
      <c r="H918" s="3" t="s">
        <v>2379</v>
      </c>
      <c r="I918" s="1" t="s">
        <v>2380</v>
      </c>
      <c r="J918">
        <v>0</v>
      </c>
      <c r="K918" s="3" t="s">
        <v>2379</v>
      </c>
      <c r="P918" s="3"/>
    </row>
    <row r="919" spans="1:16" x14ac:dyDescent="0.25">
      <c r="A919" s="3" t="s">
        <v>1452</v>
      </c>
      <c r="B919">
        <v>29.7</v>
      </c>
      <c r="C919" t="str" cm="1">
        <f t="array" ref="C919">_xlfn.IFS(B919&lt;=18.5,  "Underweight",B919&lt;=24.9,"Normal weight",B919&lt;=29.9, "Over weight",B919&gt;=30,"Obesity")</f>
        <v>Over weight</v>
      </c>
      <c r="D919">
        <v>6.79</v>
      </c>
      <c r="E919" t="str" cm="1">
        <f t="array" ref="E919">_xlfn.IFS(D919&lt;5.7,"Normal",D919&lt;=6.4,"Prediabetes",D919&gt;=6.5,"Diabetes")</f>
        <v>Diabetes</v>
      </c>
      <c r="F919" s="3" t="s">
        <v>2382</v>
      </c>
      <c r="G919" s="3" t="s">
        <v>2379</v>
      </c>
      <c r="H919" s="3" t="s">
        <v>2379</v>
      </c>
      <c r="I919" s="1" t="s">
        <v>2380</v>
      </c>
      <c r="J919">
        <v>0</v>
      </c>
      <c r="K919" s="3" t="s">
        <v>2379</v>
      </c>
      <c r="P919" s="3"/>
    </row>
    <row r="920" spans="1:16" x14ac:dyDescent="0.25">
      <c r="A920" s="3" t="s">
        <v>1451</v>
      </c>
      <c r="B920">
        <v>32.395000000000003</v>
      </c>
      <c r="C920" t="str" cm="1">
        <f t="array" ref="C920">_xlfn.IFS(B920&lt;=18.5,  "Underweight",B920&lt;=24.9,"Normal weight",B920&lt;=29.9, "Over weight",B920&gt;=30,"Obesity")</f>
        <v>Obesity</v>
      </c>
      <c r="D920">
        <v>11.1</v>
      </c>
      <c r="E920" t="str" cm="1">
        <f t="array" ref="E920">_xlfn.IFS(D920&lt;5.7,"Normal",D920&lt;=6.4,"Prediabetes",D920&gt;=6.5,"Diabetes")</f>
        <v>Diabetes</v>
      </c>
      <c r="F920" s="3" t="s">
        <v>2382</v>
      </c>
      <c r="G920" s="3" t="s">
        <v>2379</v>
      </c>
      <c r="H920" s="3" t="s">
        <v>2379</v>
      </c>
      <c r="I920" s="1" t="s">
        <v>2380</v>
      </c>
      <c r="J920">
        <v>0</v>
      </c>
      <c r="K920" s="3" t="s">
        <v>2379</v>
      </c>
      <c r="P920" s="3"/>
    </row>
    <row r="921" spans="1:16" x14ac:dyDescent="0.25">
      <c r="A921" s="3" t="s">
        <v>1450</v>
      </c>
      <c r="B921">
        <v>36.64</v>
      </c>
      <c r="C921" t="str" cm="1">
        <f t="array" ref="C921">_xlfn.IFS(B921&lt;=18.5,  "Underweight",B921&lt;=24.9,"Normal weight",B921&lt;=29.9, "Over weight",B921&gt;=30,"Obesity")</f>
        <v>Obesity</v>
      </c>
      <c r="D921">
        <v>7.26</v>
      </c>
      <c r="E921" t="str" cm="1">
        <f t="array" ref="E921">_xlfn.IFS(D921&lt;5.7,"Normal",D921&lt;=6.4,"Prediabetes",D921&gt;=6.5,"Diabetes")</f>
        <v>Diabetes</v>
      </c>
      <c r="F921" s="3" t="s">
        <v>2379</v>
      </c>
      <c r="G921" s="3" t="s">
        <v>2379</v>
      </c>
      <c r="H921" s="3" t="s">
        <v>2379</v>
      </c>
      <c r="I921" s="1" t="s">
        <v>2380</v>
      </c>
      <c r="J921">
        <v>0</v>
      </c>
      <c r="K921" s="3" t="s">
        <v>2379</v>
      </c>
      <c r="P921" s="3"/>
    </row>
    <row r="922" spans="1:16" x14ac:dyDescent="0.25">
      <c r="A922" s="3" t="s">
        <v>1449</v>
      </c>
      <c r="B922">
        <v>39.049999999999997</v>
      </c>
      <c r="C922" t="str" cm="1">
        <f t="array" ref="C922">_xlfn.IFS(B922&lt;=18.5,  "Underweight",B922&lt;=24.9,"Normal weight",B922&lt;=29.9, "Over weight",B922&gt;=30,"Obesity")</f>
        <v>Obesity</v>
      </c>
      <c r="D922">
        <v>5.27</v>
      </c>
      <c r="E922" t="str" cm="1">
        <f t="array" ref="E922">_xlfn.IFS(D922&lt;5.7,"Normal",D922&lt;=6.4,"Prediabetes",D922&gt;=6.5,"Diabetes")</f>
        <v>Normal</v>
      </c>
      <c r="F922" s="3" t="s">
        <v>2382</v>
      </c>
      <c r="G922" s="3" t="s">
        <v>2379</v>
      </c>
      <c r="H922" s="3" t="s">
        <v>2379</v>
      </c>
      <c r="I922" s="1">
        <v>1</v>
      </c>
      <c r="J922">
        <v>1</v>
      </c>
      <c r="K922" s="3" t="s">
        <v>2379</v>
      </c>
      <c r="P922" s="3"/>
    </row>
    <row r="923" spans="1:16" x14ac:dyDescent="0.25">
      <c r="A923" s="3" t="s">
        <v>1448</v>
      </c>
      <c r="B923">
        <v>33.1</v>
      </c>
      <c r="C923" t="str" cm="1">
        <f t="array" ref="C923">_xlfn.IFS(B923&lt;=18.5,  "Underweight",B923&lt;=24.9,"Normal weight",B923&lt;=29.9, "Over weight",B923&gt;=30,"Obesity")</f>
        <v>Obesity</v>
      </c>
      <c r="D923">
        <v>5.46</v>
      </c>
      <c r="E923" t="str" cm="1">
        <f t="array" ref="E923">_xlfn.IFS(D923&lt;5.7,"Normal",D923&lt;=6.4,"Prediabetes",D923&gt;=6.5,"Diabetes")</f>
        <v>Normal</v>
      </c>
      <c r="F923" s="3" t="s">
        <v>2382</v>
      </c>
      <c r="G923" s="3" t="s">
        <v>2379</v>
      </c>
      <c r="H923" s="3" t="s">
        <v>2379</v>
      </c>
      <c r="I923" s="1">
        <v>1</v>
      </c>
      <c r="J923">
        <v>1</v>
      </c>
      <c r="K923" s="3" t="s">
        <v>2379</v>
      </c>
      <c r="P923" s="3"/>
    </row>
    <row r="924" spans="1:16" x14ac:dyDescent="0.25">
      <c r="A924" s="3" t="s">
        <v>1447</v>
      </c>
      <c r="B924">
        <v>31.824999999999999</v>
      </c>
      <c r="C924" t="str" cm="1">
        <f t="array" ref="C924">_xlfn.IFS(B924&lt;=18.5,  "Underweight",B924&lt;=24.9,"Normal weight",B924&lt;=29.9, "Over weight",B924&gt;=30,"Obesity")</f>
        <v>Obesity</v>
      </c>
      <c r="D924">
        <v>8.1300000000000008</v>
      </c>
      <c r="E924" t="str" cm="1">
        <f t="array" ref="E924">_xlfn.IFS(D924&lt;5.7,"Normal",D924&lt;=6.4,"Prediabetes",D924&gt;=6.5,"Diabetes")</f>
        <v>Diabetes</v>
      </c>
      <c r="F924" s="3" t="s">
        <v>2379</v>
      </c>
      <c r="G924" s="3" t="s">
        <v>2379</v>
      </c>
      <c r="H924" s="3" t="s">
        <v>2379</v>
      </c>
      <c r="I924" s="1" t="s">
        <v>2380</v>
      </c>
      <c r="J924">
        <v>0</v>
      </c>
      <c r="K924" s="3" t="s">
        <v>2379</v>
      </c>
      <c r="P924" s="3"/>
    </row>
    <row r="925" spans="1:16" x14ac:dyDescent="0.25">
      <c r="A925" s="3" t="s">
        <v>1446</v>
      </c>
      <c r="B925">
        <v>29</v>
      </c>
      <c r="C925" t="str" cm="1">
        <f t="array" ref="C925">_xlfn.IFS(B925&lt;=18.5,  "Underweight",B925&lt;=24.9,"Normal weight",B925&lt;=29.9, "Over weight",B925&gt;=30,"Obesity")</f>
        <v>Over weight</v>
      </c>
      <c r="D925">
        <v>4.25</v>
      </c>
      <c r="E925" t="str" cm="1">
        <f t="array" ref="E925">_xlfn.IFS(D925&lt;5.7,"Normal",D925&lt;=6.4,"Prediabetes",D925&gt;=6.5,"Diabetes")</f>
        <v>Normal</v>
      </c>
      <c r="F925" s="3" t="s">
        <v>2382</v>
      </c>
      <c r="G925" s="3" t="s">
        <v>2379</v>
      </c>
      <c r="H925" s="3" t="s">
        <v>2379</v>
      </c>
      <c r="I925" s="1">
        <v>1</v>
      </c>
      <c r="J925">
        <v>1</v>
      </c>
      <c r="K925" s="3" t="s">
        <v>2379</v>
      </c>
      <c r="P925" s="3"/>
    </row>
    <row r="926" spans="1:16" x14ac:dyDescent="0.25">
      <c r="A926" s="3" t="s">
        <v>1445</v>
      </c>
      <c r="B926">
        <v>30.495000000000001</v>
      </c>
      <c r="C926" t="str" cm="1">
        <f t="array" ref="C926">_xlfn.IFS(B926&lt;=18.5,  "Underweight",B926&lt;=24.9,"Normal weight",B926&lt;=29.9, "Over weight",B926&gt;=30,"Obesity")</f>
        <v>Obesity</v>
      </c>
      <c r="D926">
        <v>8.68</v>
      </c>
      <c r="E926" t="str" cm="1">
        <f t="array" ref="E926">_xlfn.IFS(D926&lt;5.7,"Normal",D926&lt;=6.4,"Prediabetes",D926&gt;=6.5,"Diabetes")</f>
        <v>Diabetes</v>
      </c>
      <c r="F926" s="3" t="s">
        <v>2379</v>
      </c>
      <c r="G926" s="3" t="s">
        <v>2379</v>
      </c>
      <c r="H926" s="3" t="s">
        <v>2379</v>
      </c>
      <c r="I926" s="1" t="s">
        <v>2380</v>
      </c>
      <c r="J926">
        <v>0</v>
      </c>
      <c r="K926" s="3" t="s">
        <v>2379</v>
      </c>
      <c r="P926" s="3"/>
    </row>
    <row r="927" spans="1:16" x14ac:dyDescent="0.25">
      <c r="A927" s="3" t="s">
        <v>1444</v>
      </c>
      <c r="B927">
        <v>25.2</v>
      </c>
      <c r="C927" t="str" cm="1">
        <f t="array" ref="C927">_xlfn.IFS(B927&lt;=18.5,  "Underweight",B927&lt;=24.9,"Normal weight",B927&lt;=29.9, "Over weight",B927&gt;=30,"Obesity")</f>
        <v>Over weight</v>
      </c>
      <c r="D927">
        <v>6.25</v>
      </c>
      <c r="E927" t="str" cm="1">
        <f t="array" ref="E927">_xlfn.IFS(D927&lt;5.7,"Normal",D927&lt;=6.4,"Prediabetes",D927&gt;=6.5,"Diabetes")</f>
        <v>Prediabetes</v>
      </c>
      <c r="F927" s="3" t="s">
        <v>2382</v>
      </c>
      <c r="G927" s="3" t="s">
        <v>2379</v>
      </c>
      <c r="H927" s="3" t="s">
        <v>2379</v>
      </c>
      <c r="I927" s="1">
        <v>1</v>
      </c>
      <c r="J927">
        <v>1</v>
      </c>
      <c r="K927" s="3" t="s">
        <v>2379</v>
      </c>
      <c r="P927" s="3"/>
    </row>
    <row r="928" spans="1:16" x14ac:dyDescent="0.25">
      <c r="A928" s="3" t="s">
        <v>1443</v>
      </c>
      <c r="B928">
        <v>22.77</v>
      </c>
      <c r="C928" t="str" cm="1">
        <f t="array" ref="C928">_xlfn.IFS(B928&lt;=18.5,  "Underweight",B928&lt;=24.9,"Normal weight",B928&lt;=29.9, "Over weight",B928&gt;=30,"Obesity")</f>
        <v>Normal weight</v>
      </c>
      <c r="D928">
        <v>4.47</v>
      </c>
      <c r="E928" t="str" cm="1">
        <f t="array" ref="E928">_xlfn.IFS(D928&lt;5.7,"Normal",D928&lt;=6.4,"Prediabetes",D928&gt;=6.5,"Diabetes")</f>
        <v>Normal</v>
      </c>
      <c r="F928" s="3" t="s">
        <v>2382</v>
      </c>
      <c r="G928" s="3" t="s">
        <v>2379</v>
      </c>
      <c r="H928" s="3" t="s">
        <v>2379</v>
      </c>
      <c r="I928" s="1">
        <v>1</v>
      </c>
      <c r="J928">
        <v>1</v>
      </c>
      <c r="K928" s="3" t="s">
        <v>2379</v>
      </c>
      <c r="P928" s="3"/>
    </row>
    <row r="929" spans="1:16" x14ac:dyDescent="0.25">
      <c r="A929" s="3" t="s">
        <v>1442</v>
      </c>
      <c r="B929">
        <v>23.18</v>
      </c>
      <c r="C929" t="str" cm="1">
        <f t="array" ref="C929">_xlfn.IFS(B929&lt;=18.5,  "Underweight",B929&lt;=24.9,"Normal weight",B929&lt;=29.9, "Over weight",B929&gt;=30,"Obesity")</f>
        <v>Normal weight</v>
      </c>
      <c r="D929">
        <v>8.31</v>
      </c>
      <c r="E929" t="str" cm="1">
        <f t="array" ref="E929">_xlfn.IFS(D929&lt;5.7,"Normal",D929&lt;=6.4,"Prediabetes",D929&gt;=6.5,"Diabetes")</f>
        <v>Diabetes</v>
      </c>
      <c r="F929" s="3" t="s">
        <v>2379</v>
      </c>
      <c r="G929" s="3" t="s">
        <v>2379</v>
      </c>
      <c r="H929" s="3" t="s">
        <v>2379</v>
      </c>
      <c r="I929" s="1" t="s">
        <v>2380</v>
      </c>
      <c r="J929">
        <v>0</v>
      </c>
      <c r="K929" s="3" t="s">
        <v>2379</v>
      </c>
      <c r="P929" s="3"/>
    </row>
    <row r="930" spans="1:16" x14ac:dyDescent="0.25">
      <c r="A930" s="3" t="s">
        <v>1441</v>
      </c>
      <c r="B930">
        <v>35.409999999999997</v>
      </c>
      <c r="C930" t="str" cm="1">
        <f t="array" ref="C930">_xlfn.IFS(B930&lt;=18.5,  "Underweight",B930&lt;=24.9,"Normal weight",B930&lt;=29.9, "Over weight",B930&gt;=30,"Obesity")</f>
        <v>Obesity</v>
      </c>
      <c r="D930">
        <v>5.68</v>
      </c>
      <c r="E930" t="str" cm="1">
        <f t="array" ref="E930">_xlfn.IFS(D930&lt;5.7,"Normal",D930&lt;=6.4,"Prediabetes",D930&gt;=6.5,"Diabetes")</f>
        <v>Normal</v>
      </c>
      <c r="F930" s="3" t="s">
        <v>2379</v>
      </c>
      <c r="G930" s="3" t="s">
        <v>2379</v>
      </c>
      <c r="H930" s="3" t="s">
        <v>2379</v>
      </c>
      <c r="I930" s="1" t="s">
        <v>2380</v>
      </c>
      <c r="J930">
        <v>0</v>
      </c>
      <c r="K930" s="3" t="s">
        <v>2379</v>
      </c>
      <c r="P930" s="3"/>
    </row>
    <row r="931" spans="1:16" x14ac:dyDescent="0.25">
      <c r="A931" s="3" t="s">
        <v>1440</v>
      </c>
      <c r="B931">
        <v>32.11</v>
      </c>
      <c r="C931" t="str" cm="1">
        <f t="array" ref="C931">_xlfn.IFS(B931&lt;=18.5,  "Underweight",B931&lt;=24.9,"Normal weight",B931&lt;=29.9, "Over weight",B931&gt;=30,"Obesity")</f>
        <v>Obesity</v>
      </c>
      <c r="D931">
        <v>4.75</v>
      </c>
      <c r="E931" t="str" cm="1">
        <f t="array" ref="E931">_xlfn.IFS(D931&lt;5.7,"Normal",D931&lt;=6.4,"Prediabetes",D931&gt;=6.5,"Diabetes")</f>
        <v>Normal</v>
      </c>
      <c r="F931" s="3" t="s">
        <v>2382</v>
      </c>
      <c r="G931" s="3" t="s">
        <v>2379</v>
      </c>
      <c r="H931" s="3" t="s">
        <v>2379</v>
      </c>
      <c r="I931" s="1">
        <v>2</v>
      </c>
      <c r="J931">
        <v>2</v>
      </c>
      <c r="K931" s="3" t="s">
        <v>2379</v>
      </c>
      <c r="P931" s="3"/>
    </row>
    <row r="932" spans="1:16" x14ac:dyDescent="0.25">
      <c r="A932" s="3" t="s">
        <v>1439</v>
      </c>
      <c r="B932">
        <v>34.479999999999997</v>
      </c>
      <c r="C932" t="str" cm="1">
        <f t="array" ref="C932">_xlfn.IFS(B932&lt;=18.5,  "Underweight",B932&lt;=24.9,"Normal weight",B932&lt;=29.9, "Over weight",B932&gt;=30,"Obesity")</f>
        <v>Obesity</v>
      </c>
      <c r="D932">
        <v>6.31</v>
      </c>
      <c r="E932" t="str" cm="1">
        <f t="array" ref="E932">_xlfn.IFS(D932&lt;5.7,"Normal",D932&lt;=6.4,"Prediabetes",D932&gt;=6.5,"Diabetes")</f>
        <v>Prediabetes</v>
      </c>
      <c r="F932" s="3" t="s">
        <v>2379</v>
      </c>
      <c r="G932" s="3" t="s">
        <v>2379</v>
      </c>
      <c r="H932" s="3" t="s">
        <v>2382</v>
      </c>
      <c r="I932" s="1">
        <v>1</v>
      </c>
      <c r="J932">
        <v>1</v>
      </c>
      <c r="K932" s="3" t="s">
        <v>2379</v>
      </c>
      <c r="P932" s="3"/>
    </row>
    <row r="933" spans="1:16" x14ac:dyDescent="0.25">
      <c r="A933" s="3" t="s">
        <v>1438</v>
      </c>
      <c r="B933">
        <v>34.39</v>
      </c>
      <c r="C933" t="str" cm="1">
        <f t="array" ref="C933">_xlfn.IFS(B933&lt;=18.5,  "Underweight",B933&lt;=24.9,"Normal weight",B933&lt;=29.9, "Over weight",B933&gt;=30,"Obesity")</f>
        <v>Obesity</v>
      </c>
      <c r="D933">
        <v>6.28</v>
      </c>
      <c r="E933" t="str" cm="1">
        <f t="array" ref="E933">_xlfn.IFS(D933&lt;5.7,"Normal",D933&lt;=6.4,"Prediabetes",D933&gt;=6.5,"Diabetes")</f>
        <v>Prediabetes</v>
      </c>
      <c r="F933" s="3" t="s">
        <v>2382</v>
      </c>
      <c r="G933" s="3" t="s">
        <v>2379</v>
      </c>
      <c r="H933" s="3" t="s">
        <v>2379</v>
      </c>
      <c r="I933" s="1">
        <v>1</v>
      </c>
      <c r="J933">
        <v>1</v>
      </c>
      <c r="K933" s="3" t="s">
        <v>2379</v>
      </c>
      <c r="P933" s="3"/>
    </row>
    <row r="934" spans="1:16" x14ac:dyDescent="0.25">
      <c r="A934" s="3" t="s">
        <v>1437</v>
      </c>
      <c r="B934">
        <v>26.4</v>
      </c>
      <c r="C934" t="str" cm="1">
        <f t="array" ref="C934">_xlfn.IFS(B934&lt;=18.5,  "Underweight",B934&lt;=24.9,"Normal weight",B934&lt;=29.9, "Over weight",B934&gt;=30,"Obesity")</f>
        <v>Over weight</v>
      </c>
      <c r="D934">
        <v>9.2899999999999991</v>
      </c>
      <c r="E934" t="str" cm="1">
        <f t="array" ref="E934">_xlfn.IFS(D934&lt;5.7,"Normal",D934&lt;=6.4,"Prediabetes",D934&gt;=6.5,"Diabetes")</f>
        <v>Diabetes</v>
      </c>
      <c r="F934" s="3" t="s">
        <v>2382</v>
      </c>
      <c r="G934" s="3" t="s">
        <v>2379</v>
      </c>
      <c r="H934" s="3" t="s">
        <v>2382</v>
      </c>
      <c r="I934" s="1">
        <v>1</v>
      </c>
      <c r="J934">
        <v>1</v>
      </c>
      <c r="K934" s="3" t="s">
        <v>2379</v>
      </c>
      <c r="P934" s="3"/>
    </row>
    <row r="935" spans="1:16" x14ac:dyDescent="0.25">
      <c r="A935" s="3" t="s">
        <v>1436</v>
      </c>
      <c r="B935">
        <v>28.1</v>
      </c>
      <c r="C935" t="str" cm="1">
        <f t="array" ref="C935">_xlfn.IFS(B935&lt;=18.5,  "Underweight",B935&lt;=24.9,"Normal weight",B935&lt;=29.9, "Over weight",B935&gt;=30,"Obesity")</f>
        <v>Over weight</v>
      </c>
      <c r="D935">
        <v>5.79</v>
      </c>
      <c r="E935" t="str" cm="1">
        <f t="array" ref="E935">_xlfn.IFS(D935&lt;5.7,"Normal",D935&lt;=6.4,"Prediabetes",D935&gt;=6.5,"Diabetes")</f>
        <v>Prediabetes</v>
      </c>
      <c r="F935" s="3" t="s">
        <v>2382</v>
      </c>
      <c r="G935" s="3" t="s">
        <v>2379</v>
      </c>
      <c r="H935" s="3" t="s">
        <v>2382</v>
      </c>
      <c r="I935" s="1">
        <v>1</v>
      </c>
      <c r="J935">
        <v>1</v>
      </c>
      <c r="K935" s="3" t="s">
        <v>2379</v>
      </c>
      <c r="P935" s="3"/>
    </row>
    <row r="936" spans="1:16" x14ac:dyDescent="0.25">
      <c r="A936" s="3" t="s">
        <v>1435</v>
      </c>
      <c r="B936">
        <v>27</v>
      </c>
      <c r="C936" t="str" cm="1">
        <f t="array" ref="C936">_xlfn.IFS(B936&lt;=18.5,  "Underweight",B936&lt;=24.9,"Normal weight",B936&lt;=29.9, "Over weight",B936&gt;=30,"Obesity")</f>
        <v>Over weight</v>
      </c>
      <c r="D936">
        <v>4.54</v>
      </c>
      <c r="E936" t="str" cm="1">
        <f t="array" ref="E936">_xlfn.IFS(D936&lt;5.7,"Normal",D936&lt;=6.4,"Prediabetes",D936&gt;=6.5,"Diabetes")</f>
        <v>Normal</v>
      </c>
      <c r="F936" s="3" t="s">
        <v>2382</v>
      </c>
      <c r="G936" s="3" t="s">
        <v>2379</v>
      </c>
      <c r="H936" s="3" t="s">
        <v>2379</v>
      </c>
      <c r="I936" s="1">
        <v>1</v>
      </c>
      <c r="J936">
        <v>1</v>
      </c>
      <c r="K936" s="3" t="s">
        <v>2379</v>
      </c>
      <c r="P936" s="3"/>
    </row>
    <row r="937" spans="1:16" x14ac:dyDescent="0.25">
      <c r="A937" s="3" t="s">
        <v>1434</v>
      </c>
      <c r="B937">
        <v>28.594999999999999</v>
      </c>
      <c r="C937" t="str" cm="1">
        <f t="array" ref="C937">_xlfn.IFS(B937&lt;=18.5,  "Underweight",B937&lt;=24.9,"Normal weight",B937&lt;=29.9, "Over weight",B937&gt;=30,"Obesity")</f>
        <v>Over weight</v>
      </c>
      <c r="D937">
        <v>4.68</v>
      </c>
      <c r="E937" t="str" cm="1">
        <f t="array" ref="E937">_xlfn.IFS(D937&lt;5.7,"Normal",D937&lt;=6.4,"Prediabetes",D937&gt;=6.5,"Diabetes")</f>
        <v>Normal</v>
      </c>
      <c r="F937" s="3" t="s">
        <v>2382</v>
      </c>
      <c r="G937" s="3" t="s">
        <v>2379</v>
      </c>
      <c r="H937" s="3" t="s">
        <v>2379</v>
      </c>
      <c r="I937" s="1">
        <v>1</v>
      </c>
      <c r="J937">
        <v>1</v>
      </c>
      <c r="K937" s="3" t="s">
        <v>2379</v>
      </c>
      <c r="P937" s="3"/>
    </row>
    <row r="938" spans="1:16" x14ac:dyDescent="0.25">
      <c r="A938" s="3" t="s">
        <v>1433</v>
      </c>
      <c r="B938">
        <v>36.799999999999997</v>
      </c>
      <c r="C938" t="str" cm="1">
        <f t="array" ref="C938">_xlfn.IFS(B938&lt;=18.5,  "Underweight",B938&lt;=24.9,"Normal weight",B938&lt;=29.9, "Over weight",B938&gt;=30,"Obesity")</f>
        <v>Obesity</v>
      </c>
      <c r="D938">
        <v>5.88</v>
      </c>
      <c r="E938" t="str" cm="1">
        <f t="array" ref="E938">_xlfn.IFS(D938&lt;5.7,"Normal",D938&lt;=6.4,"Prediabetes",D938&gt;=6.5,"Diabetes")</f>
        <v>Prediabetes</v>
      </c>
      <c r="F938" s="3" t="s">
        <v>2379</v>
      </c>
      <c r="G938" s="3" t="s">
        <v>2379</v>
      </c>
      <c r="H938" s="3" t="s">
        <v>2379</v>
      </c>
      <c r="I938" s="1">
        <v>1</v>
      </c>
      <c r="J938">
        <v>1</v>
      </c>
      <c r="K938" s="3" t="s">
        <v>2379</v>
      </c>
      <c r="P938" s="3"/>
    </row>
    <row r="939" spans="1:16" x14ac:dyDescent="0.25">
      <c r="A939" s="3" t="s">
        <v>1432</v>
      </c>
      <c r="B939">
        <v>23.75</v>
      </c>
      <c r="C939" t="str" cm="1">
        <f t="array" ref="C939">_xlfn.IFS(B939&lt;=18.5,  "Underweight",B939&lt;=24.9,"Normal weight",B939&lt;=29.9, "Over weight",B939&gt;=30,"Obesity")</f>
        <v>Normal weight</v>
      </c>
      <c r="D939">
        <v>5.42</v>
      </c>
      <c r="E939" t="str" cm="1">
        <f t="array" ref="E939">_xlfn.IFS(D939&lt;5.7,"Normal",D939&lt;=6.4,"Prediabetes",D939&gt;=6.5,"Diabetes")</f>
        <v>Normal</v>
      </c>
      <c r="F939" s="3" t="s">
        <v>2382</v>
      </c>
      <c r="G939" s="3" t="s">
        <v>2379</v>
      </c>
      <c r="H939" s="3" t="s">
        <v>2382</v>
      </c>
      <c r="I939" s="1">
        <v>1</v>
      </c>
      <c r="J939">
        <v>1</v>
      </c>
      <c r="K939" s="3" t="s">
        <v>2379</v>
      </c>
      <c r="P939" s="3"/>
    </row>
    <row r="940" spans="1:16" x14ac:dyDescent="0.25">
      <c r="A940" s="3" t="s">
        <v>1431</v>
      </c>
      <c r="B940">
        <v>35.619999999999997</v>
      </c>
      <c r="C940" t="str" cm="1">
        <f t="array" ref="C940">_xlfn.IFS(B940&lt;=18.5,  "Underweight",B940&lt;=24.9,"Normal weight",B940&lt;=29.9, "Over weight",B940&gt;=30,"Obesity")</f>
        <v>Obesity</v>
      </c>
      <c r="D940">
        <v>4.16</v>
      </c>
      <c r="E940" t="str" cm="1">
        <f t="array" ref="E940">_xlfn.IFS(D940&lt;5.7,"Normal",D940&lt;=6.4,"Prediabetes",D940&gt;=6.5,"Diabetes")</f>
        <v>Normal</v>
      </c>
      <c r="F940" s="3" t="s">
        <v>2379</v>
      </c>
      <c r="G940" s="3" t="s">
        <v>2379</v>
      </c>
      <c r="H940" s="3" t="s">
        <v>2379</v>
      </c>
      <c r="I940" s="1" t="s">
        <v>2380</v>
      </c>
      <c r="J940">
        <v>0</v>
      </c>
      <c r="K940" s="3" t="s">
        <v>2379</v>
      </c>
      <c r="P940" s="3"/>
    </row>
    <row r="941" spans="1:16" x14ac:dyDescent="0.25">
      <c r="A941" s="3" t="s">
        <v>1430</v>
      </c>
      <c r="B941">
        <v>30.69</v>
      </c>
      <c r="C941" t="str" cm="1">
        <f t="array" ref="C941">_xlfn.IFS(B941&lt;=18.5,  "Underweight",B941&lt;=24.9,"Normal weight",B941&lt;=29.9, "Over weight",B941&gt;=30,"Obesity")</f>
        <v>Obesity</v>
      </c>
      <c r="D941">
        <v>7.05</v>
      </c>
      <c r="E941" t="str" cm="1">
        <f t="array" ref="E941">_xlfn.IFS(D941&lt;5.7,"Normal",D941&lt;=6.4,"Prediabetes",D941&gt;=6.5,"Diabetes")</f>
        <v>Diabetes</v>
      </c>
      <c r="F941" s="3" t="s">
        <v>2382</v>
      </c>
      <c r="G941" s="3" t="s">
        <v>2379</v>
      </c>
      <c r="H941" s="3" t="s">
        <v>2379</v>
      </c>
      <c r="I941" s="1">
        <v>2</v>
      </c>
      <c r="J941">
        <v>2</v>
      </c>
      <c r="K941" s="3" t="s">
        <v>2379</v>
      </c>
      <c r="P941" s="3"/>
    </row>
    <row r="942" spans="1:16" x14ac:dyDescent="0.25">
      <c r="A942" s="3" t="s">
        <v>1429</v>
      </c>
      <c r="B942">
        <v>35.799999999999997</v>
      </c>
      <c r="C942" t="str" cm="1">
        <f t="array" ref="C942">_xlfn.IFS(B942&lt;=18.5,  "Underweight",B942&lt;=24.9,"Normal weight",B942&lt;=29.9, "Over weight",B942&gt;=30,"Obesity")</f>
        <v>Obesity</v>
      </c>
      <c r="D942">
        <v>5.63</v>
      </c>
      <c r="E942" t="str" cm="1">
        <f t="array" ref="E942">_xlfn.IFS(D942&lt;5.7,"Normal",D942&lt;=6.4,"Prediabetes",D942&gt;=6.5,"Diabetes")</f>
        <v>Normal</v>
      </c>
      <c r="F942" s="3" t="s">
        <v>2382</v>
      </c>
      <c r="G942" s="3" t="s">
        <v>2379</v>
      </c>
      <c r="H942" s="3" t="s">
        <v>2379</v>
      </c>
      <c r="I942" s="1">
        <v>2</v>
      </c>
      <c r="J942">
        <v>2</v>
      </c>
      <c r="K942" s="3" t="s">
        <v>2379</v>
      </c>
      <c r="P942" s="3"/>
    </row>
    <row r="943" spans="1:16" x14ac:dyDescent="0.25">
      <c r="A943" s="3" t="s">
        <v>1428</v>
      </c>
      <c r="B943">
        <v>28.785</v>
      </c>
      <c r="C943" t="str" cm="1">
        <f t="array" ref="C943">_xlfn.IFS(B943&lt;=18.5,  "Underweight",B943&lt;=24.9,"Normal weight",B943&lt;=29.9, "Over weight",B943&gt;=30,"Obesity")</f>
        <v>Over weight</v>
      </c>
      <c r="D943">
        <v>4.24</v>
      </c>
      <c r="E943" t="str" cm="1">
        <f t="array" ref="E943">_xlfn.IFS(D943&lt;5.7,"Normal",D943&lt;=6.4,"Prediabetes",D943&gt;=6.5,"Diabetes")</f>
        <v>Normal</v>
      </c>
      <c r="F943" s="3" t="s">
        <v>2382</v>
      </c>
      <c r="G943" s="3" t="s">
        <v>2379</v>
      </c>
      <c r="H943" s="3" t="s">
        <v>2379</v>
      </c>
      <c r="I943" s="1">
        <v>2</v>
      </c>
      <c r="J943">
        <v>2</v>
      </c>
      <c r="K943" s="3" t="s">
        <v>2379</v>
      </c>
      <c r="P943" s="3"/>
    </row>
    <row r="944" spans="1:16" x14ac:dyDescent="0.25">
      <c r="A944" s="3" t="s">
        <v>1427</v>
      </c>
      <c r="B944">
        <v>28.594999999999999</v>
      </c>
      <c r="C944" t="str" cm="1">
        <f t="array" ref="C944">_xlfn.IFS(B944&lt;=18.5,  "Underweight",B944&lt;=24.9,"Normal weight",B944&lt;=29.9, "Over weight",B944&gt;=30,"Obesity")</f>
        <v>Over weight</v>
      </c>
      <c r="D944">
        <v>4.96</v>
      </c>
      <c r="E944" t="str" cm="1">
        <f t="array" ref="E944">_xlfn.IFS(D944&lt;5.7,"Normal",D944&lt;=6.4,"Prediabetes",D944&gt;=6.5,"Diabetes")</f>
        <v>Normal</v>
      </c>
      <c r="F944" s="3" t="s">
        <v>2382</v>
      </c>
      <c r="G944" s="3" t="s">
        <v>2379</v>
      </c>
      <c r="H944" s="3" t="s">
        <v>2379</v>
      </c>
      <c r="I944" s="1">
        <v>2</v>
      </c>
      <c r="J944">
        <v>2</v>
      </c>
      <c r="K944" s="3" t="s">
        <v>2379</v>
      </c>
      <c r="P944" s="3"/>
    </row>
    <row r="945" spans="1:16" x14ac:dyDescent="0.25">
      <c r="A945" s="3" t="s">
        <v>1426</v>
      </c>
      <c r="B945">
        <v>48.75</v>
      </c>
      <c r="C945" t="str" cm="1">
        <f t="array" ref="C945">_xlfn.IFS(B945&lt;=18.5,  "Underweight",B945&lt;=24.9,"Normal weight",B945&lt;=29.9, "Over weight",B945&gt;=30,"Obesity")</f>
        <v>Obesity</v>
      </c>
      <c r="D945">
        <v>4.34</v>
      </c>
      <c r="E945" t="str" cm="1">
        <f t="array" ref="E945">_xlfn.IFS(D945&lt;5.7,"Normal",D945&lt;=6.4,"Prediabetes",D945&gt;=6.5,"Diabetes")</f>
        <v>Normal</v>
      </c>
      <c r="F945" s="3" t="s">
        <v>2379</v>
      </c>
      <c r="G945" s="3" t="s">
        <v>2379</v>
      </c>
      <c r="H945" s="3" t="s">
        <v>2379</v>
      </c>
      <c r="I945" s="1" t="s">
        <v>2380</v>
      </c>
      <c r="J945">
        <v>0</v>
      </c>
      <c r="K945" s="3" t="s">
        <v>2379</v>
      </c>
      <c r="P945" s="3"/>
    </row>
    <row r="946" spans="1:16" x14ac:dyDescent="0.25">
      <c r="A946" s="3" t="s">
        <v>1425</v>
      </c>
      <c r="B946">
        <v>28.31</v>
      </c>
      <c r="C946" t="str" cm="1">
        <f t="array" ref="C946">_xlfn.IFS(B946&lt;=18.5,  "Underweight",B946&lt;=24.9,"Normal weight",B946&lt;=29.9, "Over weight",B946&gt;=30,"Obesity")</f>
        <v>Over weight</v>
      </c>
      <c r="D946">
        <v>5.43</v>
      </c>
      <c r="E946" t="str" cm="1">
        <f t="array" ref="E946">_xlfn.IFS(D946&lt;5.7,"Normal",D946&lt;=6.4,"Prediabetes",D946&gt;=6.5,"Diabetes")</f>
        <v>Normal</v>
      </c>
      <c r="F946" s="3" t="s">
        <v>2382</v>
      </c>
      <c r="G946" s="3" t="s">
        <v>2379</v>
      </c>
      <c r="H946" s="3" t="s">
        <v>2379</v>
      </c>
      <c r="I946" s="1">
        <v>2</v>
      </c>
      <c r="J946">
        <v>2</v>
      </c>
      <c r="K946" s="3" t="s">
        <v>2379</v>
      </c>
      <c r="P946" s="3"/>
    </row>
    <row r="947" spans="1:16" x14ac:dyDescent="0.25">
      <c r="A947" s="3" t="s">
        <v>1424</v>
      </c>
      <c r="B947">
        <v>38.39</v>
      </c>
      <c r="C947" t="str" cm="1">
        <f t="array" ref="C947">_xlfn.IFS(B947&lt;=18.5,  "Underweight",B947&lt;=24.9,"Normal weight",B947&lt;=29.9, "Over weight",B947&gt;=30,"Obesity")</f>
        <v>Obesity</v>
      </c>
      <c r="D947">
        <v>8.33</v>
      </c>
      <c r="E947" t="str" cm="1">
        <f t="array" ref="E947">_xlfn.IFS(D947&lt;5.7,"Normal",D947&lt;=6.4,"Prediabetes",D947&gt;=6.5,"Diabetes")</f>
        <v>Diabetes</v>
      </c>
      <c r="F947" s="3" t="s">
        <v>2382</v>
      </c>
      <c r="G947" s="3" t="s">
        <v>2379</v>
      </c>
      <c r="H947" s="3" t="s">
        <v>2379</v>
      </c>
      <c r="I947" s="1">
        <v>1</v>
      </c>
      <c r="J947">
        <v>1</v>
      </c>
      <c r="K947" s="3" t="s">
        <v>2379</v>
      </c>
      <c r="P947" s="3"/>
    </row>
    <row r="948" spans="1:16" x14ac:dyDescent="0.25">
      <c r="A948" s="3" t="s">
        <v>1423</v>
      </c>
      <c r="B948">
        <v>25.87</v>
      </c>
      <c r="C948" t="str" cm="1">
        <f t="array" ref="C948">_xlfn.IFS(B948&lt;=18.5,  "Underweight",B948&lt;=24.9,"Normal weight",B948&lt;=29.9, "Over weight",B948&gt;=30,"Obesity")</f>
        <v>Over weight</v>
      </c>
      <c r="D948">
        <v>5.63</v>
      </c>
      <c r="E948" t="str" cm="1">
        <f t="array" ref="E948">_xlfn.IFS(D948&lt;5.7,"Normal",D948&lt;=6.4,"Prediabetes",D948&gt;=6.5,"Diabetes")</f>
        <v>Normal</v>
      </c>
      <c r="F948" s="3" t="s">
        <v>2382</v>
      </c>
      <c r="G948" s="3" t="s">
        <v>2379</v>
      </c>
      <c r="H948" s="3" t="s">
        <v>2379</v>
      </c>
      <c r="I948" s="1">
        <v>1</v>
      </c>
      <c r="J948">
        <v>1</v>
      </c>
      <c r="K948" s="3" t="s">
        <v>2379</v>
      </c>
      <c r="P948" s="3"/>
    </row>
    <row r="949" spans="1:16" x14ac:dyDescent="0.25">
      <c r="A949" s="3" t="s">
        <v>1422</v>
      </c>
      <c r="B949">
        <v>43.7</v>
      </c>
      <c r="C949" t="str" cm="1">
        <f t="array" ref="C949">_xlfn.IFS(B949&lt;=18.5,  "Underweight",B949&lt;=24.9,"Normal weight",B949&lt;=29.9, "Over weight",B949&gt;=30,"Obesity")</f>
        <v>Obesity</v>
      </c>
      <c r="D949">
        <v>7.23</v>
      </c>
      <c r="E949" t="str" cm="1">
        <f t="array" ref="E949">_xlfn.IFS(D949&lt;5.7,"Normal",D949&lt;=6.4,"Prediabetes",D949&gt;=6.5,"Diabetes")</f>
        <v>Diabetes</v>
      </c>
      <c r="F949" s="3" t="s">
        <v>2379</v>
      </c>
      <c r="G949" s="3" t="s">
        <v>2379</v>
      </c>
      <c r="H949" s="3" t="s">
        <v>2379</v>
      </c>
      <c r="I949" s="1" t="s">
        <v>2380</v>
      </c>
      <c r="J949">
        <v>0</v>
      </c>
      <c r="K949" s="3" t="s">
        <v>2379</v>
      </c>
      <c r="P949" s="3"/>
    </row>
    <row r="950" spans="1:16" x14ac:dyDescent="0.25">
      <c r="A950" s="3" t="s">
        <v>1421</v>
      </c>
      <c r="B950">
        <v>40.945</v>
      </c>
      <c r="C950" t="str" cm="1">
        <f t="array" ref="C950">_xlfn.IFS(B950&lt;=18.5,  "Underweight",B950&lt;=24.9,"Normal weight",B950&lt;=29.9, "Over weight",B950&gt;=30,"Obesity")</f>
        <v>Obesity</v>
      </c>
      <c r="D950">
        <v>10.57</v>
      </c>
      <c r="E950" t="str" cm="1">
        <f t="array" ref="E950">_xlfn.IFS(D950&lt;5.7,"Normal",D950&lt;=6.4,"Prediabetes",D950&gt;=6.5,"Diabetes")</f>
        <v>Diabetes</v>
      </c>
      <c r="F950" s="3" t="s">
        <v>2379</v>
      </c>
      <c r="G950" s="3" t="s">
        <v>2379</v>
      </c>
      <c r="H950" s="3" t="s">
        <v>2379</v>
      </c>
      <c r="I950" s="1" t="s">
        <v>2380</v>
      </c>
      <c r="J950">
        <v>0</v>
      </c>
      <c r="K950" s="3" t="s">
        <v>2379</v>
      </c>
      <c r="P950" s="3"/>
    </row>
    <row r="951" spans="1:16" x14ac:dyDescent="0.25">
      <c r="A951" s="3" t="s">
        <v>1420</v>
      </c>
      <c r="B951">
        <v>27.94</v>
      </c>
      <c r="C951" t="str" cm="1">
        <f t="array" ref="C951">_xlfn.IFS(B951&lt;=18.5,  "Underweight",B951&lt;=24.9,"Normal weight",B951&lt;=29.9, "Over weight",B951&gt;=30,"Obesity")</f>
        <v>Over weight</v>
      </c>
      <c r="D951">
        <v>7.92</v>
      </c>
      <c r="E951" t="str" cm="1">
        <f t="array" ref="E951">_xlfn.IFS(D951&lt;5.7,"Normal",D951&lt;=6.4,"Prediabetes",D951&gt;=6.5,"Diabetes")</f>
        <v>Diabetes</v>
      </c>
      <c r="F951" s="3" t="s">
        <v>2379</v>
      </c>
      <c r="G951" s="3" t="s">
        <v>2379</v>
      </c>
      <c r="H951" s="3" t="s">
        <v>2379</v>
      </c>
      <c r="I951" s="1" t="s">
        <v>2380</v>
      </c>
      <c r="J951">
        <v>0</v>
      </c>
      <c r="K951" s="3" t="s">
        <v>2379</v>
      </c>
      <c r="P951" s="3"/>
    </row>
    <row r="952" spans="1:16" x14ac:dyDescent="0.25">
      <c r="A952" s="3" t="s">
        <v>1419</v>
      </c>
      <c r="B952">
        <v>31.9</v>
      </c>
      <c r="C952" t="str" cm="1">
        <f t="array" ref="C952">_xlfn.IFS(B952&lt;=18.5,  "Underweight",B952&lt;=24.9,"Normal weight",B952&lt;=29.9, "Over weight",B952&gt;=30,"Obesity")</f>
        <v>Obesity</v>
      </c>
      <c r="D952">
        <v>10.119999999999999</v>
      </c>
      <c r="E952" t="str" cm="1">
        <f t="array" ref="E952">_xlfn.IFS(D952&lt;5.7,"Normal",D952&lt;=6.4,"Prediabetes",D952&gt;=6.5,"Diabetes")</f>
        <v>Diabetes</v>
      </c>
      <c r="F952" s="3" t="s">
        <v>2379</v>
      </c>
      <c r="G952" s="3" t="s">
        <v>2379</v>
      </c>
      <c r="H952" s="3" t="s">
        <v>2379</v>
      </c>
      <c r="I952" s="1">
        <v>2</v>
      </c>
      <c r="J952">
        <v>2</v>
      </c>
      <c r="K952" s="3" t="s">
        <v>2379</v>
      </c>
      <c r="P952" s="3"/>
    </row>
    <row r="953" spans="1:16" x14ac:dyDescent="0.25">
      <c r="A953" s="3" t="s">
        <v>1418</v>
      </c>
      <c r="B953">
        <v>31.64</v>
      </c>
      <c r="C953" t="str" cm="1">
        <f t="array" ref="C953">_xlfn.IFS(B953&lt;=18.5,  "Underweight",B953&lt;=24.9,"Normal weight",B953&lt;=29.9, "Over weight",B953&gt;=30,"Obesity")</f>
        <v>Obesity</v>
      </c>
      <c r="D953">
        <v>7.91</v>
      </c>
      <c r="E953" t="str" cm="1">
        <f t="array" ref="E953">_xlfn.IFS(D953&lt;5.7,"Normal",D953&lt;=6.4,"Prediabetes",D953&gt;=6.5,"Diabetes")</f>
        <v>Diabetes</v>
      </c>
      <c r="F953" s="3" t="s">
        <v>2379</v>
      </c>
      <c r="G953" s="3" t="s">
        <v>2379</v>
      </c>
      <c r="H953" s="3" t="s">
        <v>2379</v>
      </c>
      <c r="I953" s="1" t="s">
        <v>2380</v>
      </c>
      <c r="J953">
        <v>0</v>
      </c>
      <c r="K953" s="3" t="s">
        <v>2379</v>
      </c>
      <c r="P953" s="3"/>
    </row>
    <row r="954" spans="1:16" x14ac:dyDescent="0.25">
      <c r="A954" s="3" t="s">
        <v>1417</v>
      </c>
      <c r="B954">
        <v>46.7</v>
      </c>
      <c r="C954" t="str" cm="1">
        <f t="array" ref="C954">_xlfn.IFS(B954&lt;=18.5,  "Underweight",B954&lt;=24.9,"Normal weight",B954&lt;=29.9, "Over weight",B954&gt;=30,"Obesity")</f>
        <v>Obesity</v>
      </c>
      <c r="D954">
        <v>10.9</v>
      </c>
      <c r="E954" t="str" cm="1">
        <f t="array" ref="E954">_xlfn.IFS(D954&lt;5.7,"Normal",D954&lt;=6.4,"Prediabetes",D954&gt;=6.5,"Diabetes")</f>
        <v>Diabetes</v>
      </c>
      <c r="F954" s="3" t="s">
        <v>2379</v>
      </c>
      <c r="G954" s="3" t="s">
        <v>2379</v>
      </c>
      <c r="H954" s="3" t="s">
        <v>2379</v>
      </c>
      <c r="I954" s="1" t="s">
        <v>2380</v>
      </c>
      <c r="J954">
        <v>0</v>
      </c>
      <c r="K954" s="3" t="s">
        <v>2379</v>
      </c>
      <c r="P954" s="3"/>
    </row>
    <row r="955" spans="1:16" x14ac:dyDescent="0.25">
      <c r="A955" s="3" t="s">
        <v>1416</v>
      </c>
      <c r="B955">
        <v>18.335000000000001</v>
      </c>
      <c r="C955" t="str" cm="1">
        <f t="array" ref="C955">_xlfn.IFS(B955&lt;=18.5,  "Underweight",B955&lt;=24.9,"Normal weight",B955&lt;=29.9, "Over weight",B955&gt;=30,"Obesity")</f>
        <v>Underweight</v>
      </c>
      <c r="D955">
        <v>11.83</v>
      </c>
      <c r="E955" t="str" cm="1">
        <f t="array" ref="E955">_xlfn.IFS(D955&lt;5.7,"Normal",D955&lt;=6.4,"Prediabetes",D955&gt;=6.5,"Diabetes")</f>
        <v>Diabetes</v>
      </c>
      <c r="F955" s="3" t="s">
        <v>2379</v>
      </c>
      <c r="G955" s="3" t="s">
        <v>2379</v>
      </c>
      <c r="H955" s="3" t="s">
        <v>2379</v>
      </c>
      <c r="I955" s="1" t="s">
        <v>2380</v>
      </c>
      <c r="J955">
        <v>0</v>
      </c>
      <c r="K955" s="3" t="s">
        <v>2379</v>
      </c>
      <c r="P955" s="3"/>
    </row>
    <row r="956" spans="1:16" x14ac:dyDescent="0.25">
      <c r="A956" s="3" t="s">
        <v>1415</v>
      </c>
      <c r="B956">
        <v>31.24</v>
      </c>
      <c r="C956" t="str" cm="1">
        <f t="array" ref="C956">_xlfn.IFS(B956&lt;=18.5,  "Underweight",B956&lt;=24.9,"Normal weight",B956&lt;=29.9, "Over weight",B956&gt;=30,"Obesity")</f>
        <v>Obesity</v>
      </c>
      <c r="D956">
        <v>7.42</v>
      </c>
      <c r="E956" t="str" cm="1">
        <f t="array" ref="E956">_xlfn.IFS(D956&lt;5.7,"Normal",D956&lt;=6.4,"Prediabetes",D956&gt;=6.5,"Diabetes")</f>
        <v>Diabetes</v>
      </c>
      <c r="F956" s="3" t="s">
        <v>2382</v>
      </c>
      <c r="G956" s="3" t="s">
        <v>2379</v>
      </c>
      <c r="H956" s="3" t="s">
        <v>2379</v>
      </c>
      <c r="I956" s="1">
        <v>2</v>
      </c>
      <c r="J956">
        <v>2</v>
      </c>
      <c r="K956" s="3" t="s">
        <v>2379</v>
      </c>
      <c r="P956" s="3"/>
    </row>
    <row r="957" spans="1:16" x14ac:dyDescent="0.25">
      <c r="A957" s="3" t="s">
        <v>1414</v>
      </c>
      <c r="B957">
        <v>39.22</v>
      </c>
      <c r="C957" t="str" cm="1">
        <f t="array" ref="C957">_xlfn.IFS(B957&lt;=18.5,  "Underweight",B957&lt;=24.9,"Normal weight",B957&lt;=29.9, "Over weight",B957&gt;=30,"Obesity")</f>
        <v>Obesity</v>
      </c>
      <c r="D957">
        <v>5.62</v>
      </c>
      <c r="E957" t="str" cm="1">
        <f t="array" ref="E957">_xlfn.IFS(D957&lt;5.7,"Normal",D957&lt;=6.4,"Prediabetes",D957&gt;=6.5,"Diabetes")</f>
        <v>Normal</v>
      </c>
      <c r="F957" s="3" t="s">
        <v>2382</v>
      </c>
      <c r="G957" s="3" t="s">
        <v>2379</v>
      </c>
      <c r="H957" s="3" t="s">
        <v>2379</v>
      </c>
      <c r="I957" s="1">
        <v>1</v>
      </c>
      <c r="J957">
        <v>1</v>
      </c>
      <c r="K957" s="3" t="s">
        <v>2379</v>
      </c>
      <c r="P957" s="3"/>
    </row>
    <row r="958" spans="1:16" x14ac:dyDescent="0.25">
      <c r="A958" s="3" t="s">
        <v>1413</v>
      </c>
      <c r="B958">
        <v>24.414999999999999</v>
      </c>
      <c r="C958" t="str" cm="1">
        <f t="array" ref="C958">_xlfn.IFS(B958&lt;=18.5,  "Underweight",B958&lt;=24.9,"Normal weight",B958&lt;=29.9, "Over weight",B958&gt;=30,"Obesity")</f>
        <v>Normal weight</v>
      </c>
      <c r="D958">
        <v>7.16</v>
      </c>
      <c r="E958" t="str" cm="1">
        <f t="array" ref="E958">_xlfn.IFS(D958&lt;5.7,"Normal",D958&lt;=6.4,"Prediabetes",D958&gt;=6.5,"Diabetes")</f>
        <v>Diabetes</v>
      </c>
      <c r="F958" s="3" t="s">
        <v>2379</v>
      </c>
      <c r="G958" s="3" t="s">
        <v>2379</v>
      </c>
      <c r="H958" s="3" t="s">
        <v>2379</v>
      </c>
      <c r="I958" s="1" t="s">
        <v>2380</v>
      </c>
      <c r="J958">
        <v>0</v>
      </c>
      <c r="K958" s="3" t="s">
        <v>2379</v>
      </c>
      <c r="P958" s="3"/>
    </row>
    <row r="959" spans="1:16" x14ac:dyDescent="0.25">
      <c r="A959" s="3" t="s">
        <v>1412</v>
      </c>
      <c r="B959">
        <v>32.299999999999997</v>
      </c>
      <c r="C959" t="str" cm="1">
        <f t="array" ref="C959">_xlfn.IFS(B959&lt;=18.5,  "Underweight",B959&lt;=24.9,"Normal weight",B959&lt;=29.9, "Over weight",B959&gt;=30,"Obesity")</f>
        <v>Obesity</v>
      </c>
      <c r="D959">
        <v>9.89</v>
      </c>
      <c r="E959" t="str" cm="1">
        <f t="array" ref="E959">_xlfn.IFS(D959&lt;5.7,"Normal",D959&lt;=6.4,"Prediabetes",D959&gt;=6.5,"Diabetes")</f>
        <v>Diabetes</v>
      </c>
      <c r="F959" s="3" t="s">
        <v>2379</v>
      </c>
      <c r="G959" s="3" t="s">
        <v>2379</v>
      </c>
      <c r="H959" s="3" t="s">
        <v>2379</v>
      </c>
      <c r="I959" s="1" t="s">
        <v>2380</v>
      </c>
      <c r="J959">
        <v>0</v>
      </c>
      <c r="K959" s="3" t="s">
        <v>2379</v>
      </c>
      <c r="P959" s="3"/>
    </row>
    <row r="960" spans="1:16" x14ac:dyDescent="0.25">
      <c r="A960" s="3" t="s">
        <v>1411</v>
      </c>
      <c r="B960">
        <v>39.94</v>
      </c>
      <c r="C960" t="str" cm="1">
        <f t="array" ref="C960">_xlfn.IFS(B960&lt;=18.5,  "Underweight",B960&lt;=24.9,"Normal weight",B960&lt;=29.9, "Over weight",B960&gt;=30,"Obesity")</f>
        <v>Obesity</v>
      </c>
      <c r="D960">
        <v>5.14</v>
      </c>
      <c r="E960" t="str" cm="1">
        <f t="array" ref="E960">_xlfn.IFS(D960&lt;5.7,"Normal",D960&lt;=6.4,"Prediabetes",D960&gt;=6.5,"Diabetes")</f>
        <v>Normal</v>
      </c>
      <c r="F960" s="3" t="s">
        <v>2379</v>
      </c>
      <c r="G960" s="3" t="s">
        <v>2379</v>
      </c>
      <c r="H960" s="3" t="s">
        <v>2379</v>
      </c>
      <c r="I960" s="1" t="s">
        <v>2380</v>
      </c>
      <c r="J960">
        <v>0</v>
      </c>
      <c r="K960" s="3" t="s">
        <v>2379</v>
      </c>
      <c r="P960" s="3"/>
    </row>
    <row r="961" spans="1:16" x14ac:dyDescent="0.25">
      <c r="A961" s="3" t="s">
        <v>1410</v>
      </c>
      <c r="B961">
        <v>30</v>
      </c>
      <c r="C961" t="str" cm="1">
        <f t="array" ref="C961">_xlfn.IFS(B961&lt;=18.5,  "Underweight",B961&lt;=24.9,"Normal weight",B961&lt;=29.9, "Over weight",B961&gt;=30,"Obesity")</f>
        <v>Obesity</v>
      </c>
      <c r="D961">
        <v>5.61</v>
      </c>
      <c r="E961" t="str" cm="1">
        <f t="array" ref="E961">_xlfn.IFS(D961&lt;5.7,"Normal",D961&lt;=6.4,"Prediabetes",D961&gt;=6.5,"Diabetes")</f>
        <v>Normal</v>
      </c>
      <c r="F961" s="3" t="s">
        <v>2382</v>
      </c>
      <c r="G961" s="3" t="s">
        <v>2379</v>
      </c>
      <c r="H961" s="3" t="s">
        <v>2382</v>
      </c>
      <c r="I961" s="1">
        <v>1</v>
      </c>
      <c r="J961">
        <v>1</v>
      </c>
      <c r="K961" s="3" t="s">
        <v>2379</v>
      </c>
      <c r="P961" s="3"/>
    </row>
    <row r="962" spans="1:16" x14ac:dyDescent="0.25">
      <c r="A962" s="3" t="s">
        <v>1409</v>
      </c>
      <c r="B962">
        <v>35.340000000000003</v>
      </c>
      <c r="C962" t="str" cm="1">
        <f t="array" ref="C962">_xlfn.IFS(B962&lt;=18.5,  "Underweight",B962&lt;=24.9,"Normal weight",B962&lt;=29.9, "Over weight",B962&gt;=30,"Obesity")</f>
        <v>Obesity</v>
      </c>
      <c r="D962">
        <v>5.51</v>
      </c>
      <c r="E962" t="str" cm="1">
        <f t="array" ref="E962">_xlfn.IFS(D962&lt;5.7,"Normal",D962&lt;=6.4,"Prediabetes",D962&gt;=6.5,"Diabetes")</f>
        <v>Normal</v>
      </c>
      <c r="F962" s="3" t="s">
        <v>2382</v>
      </c>
      <c r="G962" s="3" t="s">
        <v>2379</v>
      </c>
      <c r="H962" s="3" t="s">
        <v>2382</v>
      </c>
      <c r="I962" s="1">
        <v>1</v>
      </c>
      <c r="J962">
        <v>1</v>
      </c>
      <c r="K962" s="3" t="s">
        <v>2379</v>
      </c>
      <c r="P962" s="3"/>
    </row>
    <row r="963" spans="1:16" x14ac:dyDescent="0.25">
      <c r="A963" s="3" t="s">
        <v>1408</v>
      </c>
      <c r="B963">
        <v>32.204999999999998</v>
      </c>
      <c r="C963" t="str" cm="1">
        <f t="array" ref="C963">_xlfn.IFS(B963&lt;=18.5,  "Underweight",B963&lt;=24.9,"Normal weight",B963&lt;=29.9, "Over weight",B963&gt;=30,"Obesity")</f>
        <v>Obesity</v>
      </c>
      <c r="D963">
        <v>8.3800000000000008</v>
      </c>
      <c r="E963" t="str" cm="1">
        <f t="array" ref="E963">_xlfn.IFS(D963&lt;5.7,"Normal",D963&lt;=6.4,"Prediabetes",D963&gt;=6.5,"Diabetes")</f>
        <v>Diabetes</v>
      </c>
      <c r="F963" s="3" t="s">
        <v>2382</v>
      </c>
      <c r="G963" s="3" t="s">
        <v>2379</v>
      </c>
      <c r="H963" s="3" t="s">
        <v>2379</v>
      </c>
      <c r="I963" s="1">
        <v>2</v>
      </c>
      <c r="J963">
        <v>2</v>
      </c>
      <c r="K963" s="3" t="s">
        <v>2379</v>
      </c>
      <c r="P963" s="3"/>
    </row>
    <row r="964" spans="1:16" x14ac:dyDescent="0.25">
      <c r="A964" s="3" t="s">
        <v>1407</v>
      </c>
      <c r="B964">
        <v>33.880000000000003</v>
      </c>
      <c r="C964" t="str" cm="1">
        <f t="array" ref="C964">_xlfn.IFS(B964&lt;=18.5,  "Underweight",B964&lt;=24.9,"Normal weight",B964&lt;=29.9, "Over weight",B964&gt;=30,"Obesity")</f>
        <v>Obesity</v>
      </c>
      <c r="D964">
        <v>4.68</v>
      </c>
      <c r="E964" t="str" cm="1">
        <f t="array" ref="E964">_xlfn.IFS(D964&lt;5.7,"Normal",D964&lt;=6.4,"Prediabetes",D964&gt;=6.5,"Diabetes")</f>
        <v>Normal</v>
      </c>
      <c r="F964" s="3" t="s">
        <v>2379</v>
      </c>
      <c r="G964" s="3" t="s">
        <v>2381</v>
      </c>
      <c r="H964" s="3" t="s">
        <v>2379</v>
      </c>
      <c r="I964" s="1">
        <v>1</v>
      </c>
      <c r="J964">
        <v>1</v>
      </c>
      <c r="K964" s="3" t="s">
        <v>2379</v>
      </c>
      <c r="P964" s="3"/>
    </row>
    <row r="965" spans="1:16" x14ac:dyDescent="0.25">
      <c r="A965" s="3" t="s">
        <v>1406</v>
      </c>
      <c r="B965">
        <v>26.63</v>
      </c>
      <c r="C965" t="str" cm="1">
        <f t="array" ref="C965">_xlfn.IFS(B965&lt;=18.5,  "Underweight",B965&lt;=24.9,"Normal weight",B965&lt;=29.9, "Over weight",B965&gt;=30,"Obesity")</f>
        <v>Over weight</v>
      </c>
      <c r="D965">
        <v>4.3600000000000003</v>
      </c>
      <c r="E965" t="str" cm="1">
        <f t="array" ref="E965">_xlfn.IFS(D965&lt;5.7,"Normal",D965&lt;=6.4,"Prediabetes",D965&gt;=6.5,"Diabetes")</f>
        <v>Normal</v>
      </c>
      <c r="F965" s="3" t="s">
        <v>2382</v>
      </c>
      <c r="G965" s="3" t="s">
        <v>2379</v>
      </c>
      <c r="H965" s="3" t="s">
        <v>2379</v>
      </c>
      <c r="I965" s="1">
        <v>2</v>
      </c>
      <c r="J965">
        <v>2</v>
      </c>
      <c r="K965" s="3" t="s">
        <v>2379</v>
      </c>
      <c r="P965" s="3"/>
    </row>
    <row r="966" spans="1:16" x14ac:dyDescent="0.25">
      <c r="A966" s="3" t="s">
        <v>1405</v>
      </c>
      <c r="B966">
        <v>28.7</v>
      </c>
      <c r="C966" t="str" cm="1">
        <f t="array" ref="C966">_xlfn.IFS(B966&lt;=18.5,  "Underweight",B966&lt;=24.9,"Normal weight",B966&lt;=29.9, "Over weight",B966&gt;=30,"Obesity")</f>
        <v>Over weight</v>
      </c>
      <c r="D966">
        <v>7.74</v>
      </c>
      <c r="E966" t="str" cm="1">
        <f t="array" ref="E966">_xlfn.IFS(D966&lt;5.7,"Normal",D966&lt;=6.4,"Prediabetes",D966&gt;=6.5,"Diabetes")</f>
        <v>Diabetes</v>
      </c>
      <c r="F966" s="3" t="s">
        <v>2379</v>
      </c>
      <c r="G966" s="3" t="s">
        <v>2379</v>
      </c>
      <c r="H966" s="3" t="s">
        <v>2379</v>
      </c>
      <c r="I966" s="1" t="s">
        <v>2380</v>
      </c>
      <c r="J966">
        <v>0</v>
      </c>
      <c r="K966" s="3" t="s">
        <v>2379</v>
      </c>
      <c r="P966" s="3"/>
    </row>
    <row r="967" spans="1:16" x14ac:dyDescent="0.25">
      <c r="A967" s="3" t="s">
        <v>1404</v>
      </c>
      <c r="B967">
        <v>25.65</v>
      </c>
      <c r="C967" t="str" cm="1">
        <f t="array" ref="C967">_xlfn.IFS(B967&lt;=18.5,  "Underweight",B967&lt;=24.9,"Normal weight",B967&lt;=29.9, "Over weight",B967&gt;=30,"Obesity")</f>
        <v>Over weight</v>
      </c>
      <c r="D967">
        <v>4.05</v>
      </c>
      <c r="E967" t="str" cm="1">
        <f t="array" ref="E967">_xlfn.IFS(D967&lt;5.7,"Normal",D967&lt;=6.4,"Prediabetes",D967&gt;=6.5,"Diabetes")</f>
        <v>Normal</v>
      </c>
      <c r="F967" s="3" t="s">
        <v>2382</v>
      </c>
      <c r="G967" s="3" t="s">
        <v>2379</v>
      </c>
      <c r="H967" s="3" t="s">
        <v>2379</v>
      </c>
      <c r="I967" s="1">
        <v>2</v>
      </c>
      <c r="J967">
        <v>2</v>
      </c>
      <c r="K967" s="3" t="s">
        <v>2379</v>
      </c>
      <c r="P967" s="3"/>
    </row>
    <row r="968" spans="1:16" x14ac:dyDescent="0.25">
      <c r="A968" s="3" t="s">
        <v>1403</v>
      </c>
      <c r="B968">
        <v>36.384999999999998</v>
      </c>
      <c r="C968" t="str" cm="1">
        <f t="array" ref="C968">_xlfn.IFS(B968&lt;=18.5,  "Underweight",B968&lt;=24.9,"Normal weight",B968&lt;=29.9, "Over weight",B968&gt;=30,"Obesity")</f>
        <v>Obesity</v>
      </c>
      <c r="D968">
        <v>11.49</v>
      </c>
      <c r="E968" t="str" cm="1">
        <f t="array" ref="E968">_xlfn.IFS(D968&lt;5.7,"Normal",D968&lt;=6.4,"Prediabetes",D968&gt;=6.5,"Diabetes")</f>
        <v>Diabetes</v>
      </c>
      <c r="F968" s="3" t="s">
        <v>2379</v>
      </c>
      <c r="G968" s="3" t="s">
        <v>2379</v>
      </c>
      <c r="H968" s="3" t="s">
        <v>2379</v>
      </c>
      <c r="I968" s="1" t="s">
        <v>2380</v>
      </c>
      <c r="J968">
        <v>0</v>
      </c>
      <c r="K968" s="3" t="s">
        <v>2379</v>
      </c>
      <c r="P968" s="3"/>
    </row>
    <row r="969" spans="1:16" x14ac:dyDescent="0.25">
      <c r="A969" s="3" t="s">
        <v>1402</v>
      </c>
      <c r="B969">
        <v>34.69</v>
      </c>
      <c r="C969" t="str" cm="1">
        <f t="array" ref="C969">_xlfn.IFS(B969&lt;=18.5,  "Underweight",B969&lt;=24.9,"Normal weight",B969&lt;=29.9, "Over weight",B969&gt;=30,"Obesity")</f>
        <v>Obesity</v>
      </c>
      <c r="D969">
        <v>5.65</v>
      </c>
      <c r="E969" t="str" cm="1">
        <f t="array" ref="E969">_xlfn.IFS(D969&lt;5.7,"Normal",D969&lt;=6.4,"Prediabetes",D969&gt;=6.5,"Diabetes")</f>
        <v>Normal</v>
      </c>
      <c r="F969" s="3" t="s">
        <v>2379</v>
      </c>
      <c r="G969" s="3" t="s">
        <v>2379</v>
      </c>
      <c r="H969" s="3" t="s">
        <v>2379</v>
      </c>
      <c r="I969" s="1" t="s">
        <v>2380</v>
      </c>
      <c r="J969">
        <v>0</v>
      </c>
      <c r="K969" s="3" t="s">
        <v>2379</v>
      </c>
      <c r="P969" s="3"/>
    </row>
    <row r="970" spans="1:16" x14ac:dyDescent="0.25">
      <c r="A970" s="3" t="s">
        <v>1401</v>
      </c>
      <c r="B970">
        <v>37.68</v>
      </c>
      <c r="C970" t="str" cm="1">
        <f t="array" ref="C970">_xlfn.IFS(B970&lt;=18.5,  "Underweight",B970&lt;=24.9,"Normal weight",B970&lt;=29.9, "Over weight",B970&gt;=30,"Obesity")</f>
        <v>Obesity</v>
      </c>
      <c r="D970">
        <v>4.29</v>
      </c>
      <c r="E970" t="str" cm="1">
        <f t="array" ref="E970">_xlfn.IFS(D970&lt;5.7,"Normal",D970&lt;=6.4,"Prediabetes",D970&gt;=6.5,"Diabetes")</f>
        <v>Normal</v>
      </c>
      <c r="F970" s="3" t="s">
        <v>2382</v>
      </c>
      <c r="G970" s="3" t="s">
        <v>2379</v>
      </c>
      <c r="H970" s="3" t="s">
        <v>2379</v>
      </c>
      <c r="I970" s="1" t="s">
        <v>2380</v>
      </c>
      <c r="J970">
        <v>0</v>
      </c>
      <c r="K970" s="3" t="s">
        <v>2379</v>
      </c>
      <c r="P970" s="3"/>
    </row>
    <row r="971" spans="1:16" x14ac:dyDescent="0.25">
      <c r="A971" s="3" t="s">
        <v>1400</v>
      </c>
      <c r="B971">
        <v>35.49</v>
      </c>
      <c r="C971" t="str" cm="1">
        <f t="array" ref="C971">_xlfn.IFS(B971&lt;=18.5,  "Underweight",B971&lt;=24.9,"Normal weight",B971&lt;=29.9, "Over weight",B971&gt;=30,"Obesity")</f>
        <v>Obesity</v>
      </c>
      <c r="D971">
        <v>4.74</v>
      </c>
      <c r="E971" t="str" cm="1">
        <f t="array" ref="E971">_xlfn.IFS(D971&lt;5.7,"Normal",D971&lt;=6.4,"Prediabetes",D971&gt;=6.5,"Diabetes")</f>
        <v>Normal</v>
      </c>
      <c r="F971" s="3" t="s">
        <v>2382</v>
      </c>
      <c r="G971" s="3" t="s">
        <v>2379</v>
      </c>
      <c r="H971" s="3" t="s">
        <v>2382</v>
      </c>
      <c r="I971" s="1">
        <v>1</v>
      </c>
      <c r="J971">
        <v>1</v>
      </c>
      <c r="K971" s="3" t="s">
        <v>2379</v>
      </c>
      <c r="P971" s="3"/>
    </row>
    <row r="972" spans="1:16" x14ac:dyDescent="0.25">
      <c r="A972" s="3" t="s">
        <v>1399</v>
      </c>
      <c r="B972">
        <v>44.7</v>
      </c>
      <c r="C972" t="str" cm="1">
        <f t="array" ref="C972">_xlfn.IFS(B972&lt;=18.5,  "Underweight",B972&lt;=24.9,"Normal weight",B972&lt;=29.9, "Over weight",B972&gt;=30,"Obesity")</f>
        <v>Obesity</v>
      </c>
      <c r="D972">
        <v>7.6</v>
      </c>
      <c r="E972" t="str" cm="1">
        <f t="array" ref="E972">_xlfn.IFS(D972&lt;5.7,"Normal",D972&lt;=6.4,"Prediabetes",D972&gt;=6.5,"Diabetes")</f>
        <v>Diabetes</v>
      </c>
      <c r="F972" s="3" t="s">
        <v>2382</v>
      </c>
      <c r="G972" s="3" t="s">
        <v>2379</v>
      </c>
      <c r="H972" s="3" t="s">
        <v>2379</v>
      </c>
      <c r="I972" s="1">
        <v>2</v>
      </c>
      <c r="J972">
        <v>2</v>
      </c>
      <c r="K972" s="3" t="s">
        <v>2379</v>
      </c>
      <c r="P972" s="3"/>
    </row>
    <row r="973" spans="1:16" x14ac:dyDescent="0.25">
      <c r="A973" s="3" t="s">
        <v>1398</v>
      </c>
      <c r="B973">
        <v>38.380000000000003</v>
      </c>
      <c r="C973" t="str" cm="1">
        <f t="array" ref="C973">_xlfn.IFS(B973&lt;=18.5,  "Underweight",B973&lt;=24.9,"Normal weight",B973&lt;=29.9, "Over weight",B973&gt;=30,"Obesity")</f>
        <v>Obesity</v>
      </c>
      <c r="D973">
        <v>8.5</v>
      </c>
      <c r="E973" t="str" cm="1">
        <f t="array" ref="E973">_xlfn.IFS(D973&lt;5.7,"Normal",D973&lt;=6.4,"Prediabetes",D973&gt;=6.5,"Diabetes")</f>
        <v>Diabetes</v>
      </c>
      <c r="F973" s="3" t="s">
        <v>2382</v>
      </c>
      <c r="G973" s="3" t="s">
        <v>2379</v>
      </c>
      <c r="H973" s="3" t="s">
        <v>2379</v>
      </c>
      <c r="I973" s="1">
        <v>2</v>
      </c>
      <c r="J973">
        <v>2</v>
      </c>
      <c r="K973" s="3" t="s">
        <v>2379</v>
      </c>
      <c r="P973" s="3"/>
    </row>
    <row r="974" spans="1:16" x14ac:dyDescent="0.25">
      <c r="A974" s="3" t="s">
        <v>1397</v>
      </c>
      <c r="B974">
        <v>35.244999999999997</v>
      </c>
      <c r="C974" t="str" cm="1">
        <f t="array" ref="C974">_xlfn.IFS(B974&lt;=18.5,  "Underweight",B974&lt;=24.9,"Normal weight",B974&lt;=29.9, "Over weight",B974&gt;=30,"Obesity")</f>
        <v>Obesity</v>
      </c>
      <c r="D974">
        <v>11.22</v>
      </c>
      <c r="E974" t="str" cm="1">
        <f t="array" ref="E974">_xlfn.IFS(D974&lt;5.7,"Normal",D974&lt;=6.4,"Prediabetes",D974&gt;=6.5,"Diabetes")</f>
        <v>Diabetes</v>
      </c>
      <c r="F974" s="3" t="s">
        <v>2382</v>
      </c>
      <c r="G974" s="3" t="s">
        <v>2379</v>
      </c>
      <c r="H974" s="3" t="s">
        <v>2379</v>
      </c>
      <c r="I974" s="1" t="s">
        <v>2380</v>
      </c>
      <c r="J974">
        <v>0</v>
      </c>
      <c r="K974" s="3" t="s">
        <v>2379</v>
      </c>
      <c r="P974" s="3"/>
    </row>
    <row r="975" spans="1:16" x14ac:dyDescent="0.25">
      <c r="A975" s="3" t="s">
        <v>1396</v>
      </c>
      <c r="B975">
        <v>49.84</v>
      </c>
      <c r="C975" t="str" cm="1">
        <f t="array" ref="C975">_xlfn.IFS(B975&lt;=18.5,  "Underweight",B975&lt;=24.9,"Normal weight",B975&lt;=29.9, "Over weight",B975&gt;=30,"Obesity")</f>
        <v>Obesity</v>
      </c>
      <c r="D975">
        <v>5.0999999999999996</v>
      </c>
      <c r="E975" t="str" cm="1">
        <f t="array" ref="E975">_xlfn.IFS(D975&lt;5.7,"Normal",D975&lt;=6.4,"Prediabetes",D975&gt;=6.5,"Diabetes")</f>
        <v>Normal</v>
      </c>
      <c r="F975" s="3" t="s">
        <v>2382</v>
      </c>
      <c r="G975" s="3" t="s">
        <v>2379</v>
      </c>
      <c r="H975" s="3" t="s">
        <v>2382</v>
      </c>
      <c r="I975" s="1">
        <v>1</v>
      </c>
      <c r="J975">
        <v>1</v>
      </c>
      <c r="K975" s="3" t="s">
        <v>2379</v>
      </c>
      <c r="P975" s="3"/>
    </row>
    <row r="976" spans="1:16" x14ac:dyDescent="0.25">
      <c r="A976" s="3" t="s">
        <v>1395</v>
      </c>
      <c r="B976">
        <v>49.06</v>
      </c>
      <c r="C976" t="str" cm="1">
        <f t="array" ref="C976">_xlfn.IFS(B976&lt;=18.5,  "Underweight",B976&lt;=24.9,"Normal weight",B976&lt;=29.9, "Over weight",B976&gt;=30,"Obesity")</f>
        <v>Obesity</v>
      </c>
      <c r="D976">
        <v>5.43</v>
      </c>
      <c r="E976" t="str" cm="1">
        <f t="array" ref="E976">_xlfn.IFS(D976&lt;5.7,"Normal",D976&lt;=6.4,"Prediabetes",D976&gt;=6.5,"Diabetes")</f>
        <v>Normal</v>
      </c>
      <c r="F976" s="3" t="s">
        <v>2382</v>
      </c>
      <c r="G976" s="3" t="s">
        <v>2379</v>
      </c>
      <c r="H976" s="3" t="s">
        <v>2379</v>
      </c>
      <c r="I976" s="1">
        <v>1</v>
      </c>
      <c r="J976">
        <v>1</v>
      </c>
      <c r="K976" s="3" t="s">
        <v>2379</v>
      </c>
      <c r="P976" s="3"/>
    </row>
    <row r="977" spans="1:16" x14ac:dyDescent="0.25">
      <c r="A977" s="3" t="s">
        <v>1394</v>
      </c>
      <c r="B977">
        <v>30.88</v>
      </c>
      <c r="C977" t="str" cm="1">
        <f t="array" ref="C977">_xlfn.IFS(B977&lt;=18.5,  "Underweight",B977&lt;=24.9,"Normal weight",B977&lt;=29.9, "Over weight",B977&gt;=30,"Obesity")</f>
        <v>Obesity</v>
      </c>
      <c r="D977">
        <v>5.82</v>
      </c>
      <c r="E977" t="str" cm="1">
        <f t="array" ref="E977">_xlfn.IFS(D977&lt;5.7,"Normal",D977&lt;=6.4,"Prediabetes",D977&gt;=6.5,"Diabetes")</f>
        <v>Prediabetes</v>
      </c>
      <c r="F977" s="3" t="s">
        <v>2379</v>
      </c>
      <c r="G977" s="3" t="s">
        <v>2379</v>
      </c>
      <c r="H977" s="3" t="s">
        <v>2379</v>
      </c>
      <c r="I977" s="1">
        <v>2</v>
      </c>
      <c r="J977">
        <v>2</v>
      </c>
      <c r="K977" s="3" t="s">
        <v>2379</v>
      </c>
      <c r="P977" s="3"/>
    </row>
    <row r="978" spans="1:16" x14ac:dyDescent="0.25">
      <c r="A978" s="3" t="s">
        <v>1393</v>
      </c>
      <c r="B978">
        <v>33.35</v>
      </c>
      <c r="C978" t="str" cm="1">
        <f t="array" ref="C978">_xlfn.IFS(B978&lt;=18.5,  "Underweight",B978&lt;=24.9,"Normal weight",B978&lt;=29.9, "Over weight",B978&gt;=30,"Obesity")</f>
        <v>Obesity</v>
      </c>
      <c r="D978">
        <v>6.05</v>
      </c>
      <c r="E978" t="str" cm="1">
        <f t="array" ref="E978">_xlfn.IFS(D978&lt;5.7,"Normal",D978&lt;=6.4,"Prediabetes",D978&gt;=6.5,"Diabetes")</f>
        <v>Prediabetes</v>
      </c>
      <c r="F978" s="3" t="s">
        <v>2379</v>
      </c>
      <c r="G978" s="3" t="s">
        <v>2379</v>
      </c>
      <c r="H978" s="3" t="s">
        <v>2382</v>
      </c>
      <c r="I978" s="1">
        <v>1</v>
      </c>
      <c r="J978">
        <v>1</v>
      </c>
      <c r="K978" s="3" t="s">
        <v>2379</v>
      </c>
      <c r="P978" s="3"/>
    </row>
    <row r="979" spans="1:16" x14ac:dyDescent="0.25">
      <c r="A979" s="3" t="s">
        <v>1392</v>
      </c>
      <c r="B979">
        <v>38</v>
      </c>
      <c r="C979" t="str" cm="1">
        <f t="array" ref="C979">_xlfn.IFS(B979&lt;=18.5,  "Underweight",B979&lt;=24.9,"Normal weight",B979&lt;=29.9, "Over weight",B979&gt;=30,"Obesity")</f>
        <v>Obesity</v>
      </c>
      <c r="D979">
        <v>6.38</v>
      </c>
      <c r="E979" t="str" cm="1">
        <f t="array" ref="E979">_xlfn.IFS(D979&lt;5.7,"Normal",D979&lt;=6.4,"Prediabetes",D979&gt;=6.5,"Diabetes")</f>
        <v>Prediabetes</v>
      </c>
      <c r="F979" s="3" t="s">
        <v>2382</v>
      </c>
      <c r="G979" s="3" t="s">
        <v>2379</v>
      </c>
      <c r="H979" s="3" t="s">
        <v>2379</v>
      </c>
      <c r="I979" s="1">
        <v>1</v>
      </c>
      <c r="J979">
        <v>1</v>
      </c>
      <c r="K979" s="3" t="s">
        <v>2379</v>
      </c>
      <c r="P979" s="3"/>
    </row>
    <row r="980" spans="1:16" x14ac:dyDescent="0.25">
      <c r="A980" s="3" t="s">
        <v>1391</v>
      </c>
      <c r="B980">
        <v>36.08</v>
      </c>
      <c r="C980" t="str" cm="1">
        <f t="array" ref="C980">_xlfn.IFS(B980&lt;=18.5,  "Underweight",B980&lt;=24.9,"Normal weight",B980&lt;=29.9, "Over weight",B980&gt;=30,"Obesity")</f>
        <v>Obesity</v>
      </c>
      <c r="D980">
        <v>5.73</v>
      </c>
      <c r="E980" t="str" cm="1">
        <f t="array" ref="E980">_xlfn.IFS(D980&lt;5.7,"Normal",D980&lt;=6.4,"Prediabetes",D980&gt;=6.5,"Diabetes")</f>
        <v>Prediabetes</v>
      </c>
      <c r="F980" s="3" t="s">
        <v>2382</v>
      </c>
      <c r="G980" s="3" t="s">
        <v>2379</v>
      </c>
      <c r="H980" s="3" t="s">
        <v>2379</v>
      </c>
      <c r="I980" s="1">
        <v>1</v>
      </c>
      <c r="J980">
        <v>1</v>
      </c>
      <c r="K980" s="3" t="s">
        <v>2379</v>
      </c>
      <c r="P980" s="3"/>
    </row>
    <row r="981" spans="1:16" x14ac:dyDescent="0.25">
      <c r="A981" s="3" t="s">
        <v>1390</v>
      </c>
      <c r="B981">
        <v>35.700000000000003</v>
      </c>
      <c r="C981" t="str" cm="1">
        <f t="array" ref="C981">_xlfn.IFS(B981&lt;=18.5,  "Underweight",B981&lt;=24.9,"Normal weight",B981&lt;=29.9, "Over weight",B981&gt;=30,"Obesity")</f>
        <v>Obesity</v>
      </c>
      <c r="D981">
        <v>5.47</v>
      </c>
      <c r="E981" t="str" cm="1">
        <f t="array" ref="E981">_xlfn.IFS(D981&lt;5.7,"Normal",D981&lt;=6.4,"Prediabetes",D981&gt;=6.5,"Diabetes")</f>
        <v>Normal</v>
      </c>
      <c r="F981" s="3" t="s">
        <v>2382</v>
      </c>
      <c r="G981" s="3" t="s">
        <v>2379</v>
      </c>
      <c r="H981" s="3" t="s">
        <v>2379</v>
      </c>
      <c r="I981" s="1">
        <v>1</v>
      </c>
      <c r="J981">
        <v>1</v>
      </c>
      <c r="K981" s="3" t="s">
        <v>2379</v>
      </c>
      <c r="P981" s="3"/>
    </row>
    <row r="982" spans="1:16" x14ac:dyDescent="0.25">
      <c r="A982" s="3" t="s">
        <v>1389</v>
      </c>
      <c r="B982">
        <v>34.01</v>
      </c>
      <c r="C982" t="str" cm="1">
        <f t="array" ref="C982">_xlfn.IFS(B982&lt;=18.5,  "Underweight",B982&lt;=24.9,"Normal weight",B982&lt;=29.9, "Over weight",B982&gt;=30,"Obesity")</f>
        <v>Obesity</v>
      </c>
      <c r="D982">
        <v>11.3</v>
      </c>
      <c r="E982" t="str" cm="1">
        <f t="array" ref="E982">_xlfn.IFS(D982&lt;5.7,"Normal",D982&lt;=6.4,"Prediabetes",D982&gt;=6.5,"Diabetes")</f>
        <v>Diabetes</v>
      </c>
      <c r="F982" s="3" t="s">
        <v>2379</v>
      </c>
      <c r="G982" s="3" t="s">
        <v>2379</v>
      </c>
      <c r="H982" s="3" t="s">
        <v>2379</v>
      </c>
      <c r="I982" s="1" t="s">
        <v>2380</v>
      </c>
      <c r="J982">
        <v>0</v>
      </c>
      <c r="K982" s="3" t="s">
        <v>2379</v>
      </c>
      <c r="P982" s="3"/>
    </row>
    <row r="983" spans="1:16" x14ac:dyDescent="0.25">
      <c r="A983" s="3" t="s">
        <v>1388</v>
      </c>
      <c r="B983">
        <v>31.54</v>
      </c>
      <c r="C983" t="str" cm="1">
        <f t="array" ref="C983">_xlfn.IFS(B983&lt;=18.5,  "Underweight",B983&lt;=24.9,"Normal weight",B983&lt;=29.9, "Over weight",B983&gt;=30,"Obesity")</f>
        <v>Obesity</v>
      </c>
      <c r="D983">
        <v>6.72</v>
      </c>
      <c r="E983" t="str" cm="1">
        <f t="array" ref="E983">_xlfn.IFS(D983&lt;5.7,"Normal",D983&lt;=6.4,"Prediabetes",D983&gt;=6.5,"Diabetes")</f>
        <v>Diabetes</v>
      </c>
      <c r="F983" s="3" t="s">
        <v>2379</v>
      </c>
      <c r="G983" s="3" t="s">
        <v>2379</v>
      </c>
      <c r="H983" s="3" t="s">
        <v>2379</v>
      </c>
      <c r="I983" s="1" t="s">
        <v>2380</v>
      </c>
      <c r="J983">
        <v>0</v>
      </c>
      <c r="K983" s="3" t="s">
        <v>2379</v>
      </c>
      <c r="P983" s="3"/>
    </row>
    <row r="984" spans="1:16" x14ac:dyDescent="0.25">
      <c r="A984" s="3" t="s">
        <v>1387</v>
      </c>
      <c r="B984">
        <v>23.3</v>
      </c>
      <c r="C984" t="str" cm="1">
        <f t="array" ref="C984">_xlfn.IFS(B984&lt;=18.5,  "Underweight",B984&lt;=24.9,"Normal weight",B984&lt;=29.9, "Over weight",B984&gt;=30,"Obesity")</f>
        <v>Normal weight</v>
      </c>
      <c r="D984">
        <v>5.36</v>
      </c>
      <c r="E984" t="str" cm="1">
        <f t="array" ref="E984">_xlfn.IFS(D984&lt;5.7,"Normal",D984&lt;=6.4,"Prediabetes",D984&gt;=6.5,"Diabetes")</f>
        <v>Normal</v>
      </c>
      <c r="F984" s="3" t="s">
        <v>2382</v>
      </c>
      <c r="G984" s="3" t="s">
        <v>2379</v>
      </c>
      <c r="H984" s="3" t="s">
        <v>2379</v>
      </c>
      <c r="I984" s="1">
        <v>1</v>
      </c>
      <c r="J984">
        <v>1</v>
      </c>
      <c r="K984" s="3" t="s">
        <v>2379</v>
      </c>
      <c r="P984" s="3"/>
    </row>
    <row r="985" spans="1:16" x14ac:dyDescent="0.25">
      <c r="A985" s="3" t="s">
        <v>1386</v>
      </c>
      <c r="B985">
        <v>27.75</v>
      </c>
      <c r="C985" t="str" cm="1">
        <f t="array" ref="C985">_xlfn.IFS(B985&lt;=18.5,  "Underweight",B985&lt;=24.9,"Normal weight",B985&lt;=29.9, "Over weight",B985&gt;=30,"Obesity")</f>
        <v>Over weight</v>
      </c>
      <c r="D985">
        <v>9.8800000000000008</v>
      </c>
      <c r="E985" t="str" cm="1">
        <f t="array" ref="E985">_xlfn.IFS(D985&lt;5.7,"Normal",D985&lt;=6.4,"Prediabetes",D985&gt;=6.5,"Diabetes")</f>
        <v>Diabetes</v>
      </c>
      <c r="F985" s="3" t="s">
        <v>2379</v>
      </c>
      <c r="G985" s="3" t="s">
        <v>2379</v>
      </c>
      <c r="H985" s="3" t="s">
        <v>2379</v>
      </c>
      <c r="I985" s="1" t="s">
        <v>2380</v>
      </c>
      <c r="J985">
        <v>0</v>
      </c>
      <c r="K985" s="3" t="s">
        <v>2379</v>
      </c>
      <c r="P985" s="3"/>
    </row>
    <row r="986" spans="1:16" x14ac:dyDescent="0.25">
      <c r="A986" s="3" t="s">
        <v>1385</v>
      </c>
      <c r="B986">
        <v>42.46</v>
      </c>
      <c r="C986" t="str" cm="1">
        <f t="array" ref="C986">_xlfn.IFS(B986&lt;=18.5,  "Underweight",B986&lt;=24.9,"Normal weight",B986&lt;=29.9, "Over weight",B986&gt;=30,"Obesity")</f>
        <v>Obesity</v>
      </c>
      <c r="D986">
        <v>4.1100000000000003</v>
      </c>
      <c r="E986" t="str" cm="1">
        <f t="array" ref="E986">_xlfn.IFS(D986&lt;5.7,"Normal",D986&lt;=6.4,"Prediabetes",D986&gt;=6.5,"Diabetes")</f>
        <v>Normal</v>
      </c>
      <c r="F986" s="3" t="s">
        <v>2379</v>
      </c>
      <c r="G986" s="3" t="s">
        <v>2379</v>
      </c>
      <c r="H986" s="3" t="s">
        <v>2379</v>
      </c>
      <c r="I986" s="1" t="s">
        <v>2380</v>
      </c>
      <c r="J986">
        <v>0</v>
      </c>
      <c r="K986" s="3" t="s">
        <v>2379</v>
      </c>
      <c r="P986" s="3"/>
    </row>
    <row r="987" spans="1:16" x14ac:dyDescent="0.25">
      <c r="A987" s="3" t="s">
        <v>1384</v>
      </c>
      <c r="B987">
        <v>54.47</v>
      </c>
      <c r="C987" t="str" cm="1">
        <f t="array" ref="C987">_xlfn.IFS(B987&lt;=18.5,  "Underweight",B987&lt;=24.9,"Normal weight",B987&lt;=29.9, "Over weight",B987&gt;=30,"Obesity")</f>
        <v>Obesity</v>
      </c>
      <c r="D987">
        <v>7.48</v>
      </c>
      <c r="E987" t="str" cm="1">
        <f t="array" ref="E987">_xlfn.IFS(D987&lt;5.7,"Normal",D987&lt;=6.4,"Prediabetes",D987&gt;=6.5,"Diabetes")</f>
        <v>Diabetes</v>
      </c>
      <c r="F987" s="3" t="s">
        <v>2379</v>
      </c>
      <c r="G987" s="3" t="s">
        <v>2379</v>
      </c>
      <c r="H987" s="3" t="s">
        <v>2379</v>
      </c>
      <c r="I987" s="1" t="s">
        <v>2380</v>
      </c>
      <c r="J987">
        <v>0</v>
      </c>
      <c r="K987" s="3" t="s">
        <v>2379</v>
      </c>
      <c r="P987" s="3"/>
    </row>
    <row r="988" spans="1:16" x14ac:dyDescent="0.25">
      <c r="A988" s="3" t="s">
        <v>1383</v>
      </c>
      <c r="B988">
        <v>24.93</v>
      </c>
      <c r="C988" t="str" cm="1">
        <f t="array" ref="C988">_xlfn.IFS(B988&lt;=18.5,  "Underweight",B988&lt;=24.9,"Normal weight",B988&lt;=29.9, "Over weight",B988&gt;=30,"Obesity")</f>
        <v>Over weight</v>
      </c>
      <c r="D988">
        <v>9.18</v>
      </c>
      <c r="E988" t="str" cm="1">
        <f t="array" ref="E988">_xlfn.IFS(D988&lt;5.7,"Normal",D988&lt;=6.4,"Prediabetes",D988&gt;=6.5,"Diabetes")</f>
        <v>Diabetes</v>
      </c>
      <c r="F988" s="3" t="s">
        <v>2382</v>
      </c>
      <c r="G988" s="3" t="s">
        <v>2379</v>
      </c>
      <c r="H988" s="3" t="s">
        <v>2382</v>
      </c>
      <c r="I988" s="1">
        <v>1</v>
      </c>
      <c r="J988">
        <v>1</v>
      </c>
      <c r="K988" s="3" t="s">
        <v>2379</v>
      </c>
      <c r="P988" s="3"/>
    </row>
    <row r="989" spans="1:16" x14ac:dyDescent="0.25">
      <c r="A989" s="3" t="s">
        <v>1382</v>
      </c>
      <c r="B989">
        <v>48.12</v>
      </c>
      <c r="C989" t="str" cm="1">
        <f t="array" ref="C989">_xlfn.IFS(B989&lt;=18.5,  "Underweight",B989&lt;=24.9,"Normal weight",B989&lt;=29.9, "Over weight",B989&gt;=30,"Obesity")</f>
        <v>Obesity</v>
      </c>
      <c r="D989">
        <v>4.51</v>
      </c>
      <c r="E989" t="str" cm="1">
        <f t="array" ref="E989">_xlfn.IFS(D989&lt;5.7,"Normal",D989&lt;=6.4,"Prediabetes",D989&gt;=6.5,"Diabetes")</f>
        <v>Normal</v>
      </c>
      <c r="F989" s="3" t="s">
        <v>2382</v>
      </c>
      <c r="G989" s="3" t="s">
        <v>2379</v>
      </c>
      <c r="H989" s="3" t="s">
        <v>2379</v>
      </c>
      <c r="I989" s="1">
        <v>1</v>
      </c>
      <c r="J989">
        <v>1</v>
      </c>
      <c r="K989" s="3" t="s">
        <v>2379</v>
      </c>
      <c r="P989" s="3"/>
    </row>
    <row r="990" spans="1:16" x14ac:dyDescent="0.25">
      <c r="A990" s="3" t="s">
        <v>1381</v>
      </c>
      <c r="B990">
        <v>24.91</v>
      </c>
      <c r="C990" t="str" cm="1">
        <f t="array" ref="C990">_xlfn.IFS(B990&lt;=18.5,  "Underweight",B990&lt;=24.9,"Normal weight",B990&lt;=29.9, "Over weight",B990&gt;=30,"Obesity")</f>
        <v>Over weight</v>
      </c>
      <c r="D990">
        <v>7.33</v>
      </c>
      <c r="E990" t="str" cm="1">
        <f t="array" ref="E990">_xlfn.IFS(D990&lt;5.7,"Normal",D990&lt;=6.4,"Prediabetes",D990&gt;=6.5,"Diabetes")</f>
        <v>Diabetes</v>
      </c>
      <c r="F990" s="3" t="s">
        <v>2382</v>
      </c>
      <c r="G990" s="3" t="s">
        <v>2379</v>
      </c>
      <c r="H990" s="3" t="s">
        <v>2382</v>
      </c>
      <c r="I990" s="1">
        <v>1</v>
      </c>
      <c r="J990">
        <v>1</v>
      </c>
      <c r="K990" s="3" t="s">
        <v>2379</v>
      </c>
      <c r="P990" s="3"/>
    </row>
    <row r="991" spans="1:16" x14ac:dyDescent="0.25">
      <c r="A991" s="3" t="s">
        <v>1380</v>
      </c>
      <c r="B991">
        <v>27.645</v>
      </c>
      <c r="C991" t="str" cm="1">
        <f t="array" ref="C991">_xlfn.IFS(B991&lt;=18.5,  "Underweight",B991&lt;=24.9,"Normal weight",B991&lt;=29.9, "Over weight",B991&gt;=30,"Obesity")</f>
        <v>Over weight</v>
      </c>
      <c r="D991">
        <v>10.56</v>
      </c>
      <c r="E991" t="str" cm="1">
        <f t="array" ref="E991">_xlfn.IFS(D991&lt;5.7,"Normal",D991&lt;=6.4,"Prediabetes",D991&gt;=6.5,"Diabetes")</f>
        <v>Diabetes</v>
      </c>
      <c r="F991" s="3" t="s">
        <v>2379</v>
      </c>
      <c r="G991" s="3" t="s">
        <v>2379</v>
      </c>
      <c r="H991" s="3" t="s">
        <v>2379</v>
      </c>
      <c r="I991" s="1" t="s">
        <v>2380</v>
      </c>
      <c r="J991">
        <v>0</v>
      </c>
      <c r="K991" s="3" t="s">
        <v>2379</v>
      </c>
      <c r="P991" s="3"/>
    </row>
    <row r="992" spans="1:16" x14ac:dyDescent="0.25">
      <c r="A992" s="3" t="s">
        <v>1379</v>
      </c>
      <c r="B992">
        <v>33.700000000000003</v>
      </c>
      <c r="C992" t="str" cm="1">
        <f t="array" ref="C992">_xlfn.IFS(B992&lt;=18.5,  "Underweight",B992&lt;=24.9,"Normal weight",B992&lt;=29.9, "Over weight",B992&gt;=30,"Obesity")</f>
        <v>Obesity</v>
      </c>
      <c r="D992">
        <v>4.01</v>
      </c>
      <c r="E992" t="str" cm="1">
        <f t="array" ref="E992">_xlfn.IFS(D992&lt;5.7,"Normal",D992&lt;=6.4,"Prediabetes",D992&gt;=6.5,"Diabetes")</f>
        <v>Normal</v>
      </c>
      <c r="F992" s="3" t="s">
        <v>2379</v>
      </c>
      <c r="G992" s="3" t="s">
        <v>2379</v>
      </c>
      <c r="H992" s="3" t="s">
        <v>2379</v>
      </c>
      <c r="I992" s="1">
        <v>2</v>
      </c>
      <c r="J992">
        <v>2</v>
      </c>
      <c r="K992" s="3" t="s">
        <v>2379</v>
      </c>
      <c r="P992" s="3"/>
    </row>
    <row r="993" spans="1:16" x14ac:dyDescent="0.25">
      <c r="A993" s="3" t="s">
        <v>1378</v>
      </c>
      <c r="B993">
        <v>38.93</v>
      </c>
      <c r="C993" t="str" cm="1">
        <f t="array" ref="C993">_xlfn.IFS(B993&lt;=18.5,  "Underweight",B993&lt;=24.9,"Normal weight",B993&lt;=29.9, "Over weight",B993&gt;=30,"Obesity")</f>
        <v>Obesity</v>
      </c>
      <c r="D993">
        <v>5.64</v>
      </c>
      <c r="E993" t="str" cm="1">
        <f t="array" ref="E993">_xlfn.IFS(D993&lt;5.7,"Normal",D993&lt;=6.4,"Prediabetes",D993&gt;=6.5,"Diabetes")</f>
        <v>Normal</v>
      </c>
      <c r="F993" s="3" t="s">
        <v>2382</v>
      </c>
      <c r="G993" s="3" t="s">
        <v>2379</v>
      </c>
      <c r="H993" s="3" t="s">
        <v>2379</v>
      </c>
      <c r="I993" s="1">
        <v>1</v>
      </c>
      <c r="J993">
        <v>1</v>
      </c>
      <c r="K993" s="3" t="s">
        <v>2379</v>
      </c>
      <c r="P993" s="3"/>
    </row>
    <row r="994" spans="1:16" x14ac:dyDescent="0.25">
      <c r="A994" s="3" t="s">
        <v>1377</v>
      </c>
      <c r="B994">
        <v>32.774999999999999</v>
      </c>
      <c r="C994" t="str" cm="1">
        <f t="array" ref="C994">_xlfn.IFS(B994&lt;=18.5,  "Underweight",B994&lt;=24.9,"Normal weight",B994&lt;=29.9, "Over weight",B994&gt;=30,"Obesity")</f>
        <v>Obesity</v>
      </c>
      <c r="D994">
        <v>8.02</v>
      </c>
      <c r="E994" t="str" cm="1">
        <f t="array" ref="E994">_xlfn.IFS(D994&lt;5.7,"Normal",D994&lt;=6.4,"Prediabetes",D994&gt;=6.5,"Diabetes")</f>
        <v>Diabetes</v>
      </c>
      <c r="F994" s="3" t="s">
        <v>2382</v>
      </c>
      <c r="G994" s="3" t="s">
        <v>2379</v>
      </c>
      <c r="H994" s="3" t="s">
        <v>2379</v>
      </c>
      <c r="I994" s="1">
        <v>2</v>
      </c>
      <c r="J994">
        <v>2</v>
      </c>
      <c r="K994" s="3" t="s">
        <v>2379</v>
      </c>
      <c r="P994" s="3"/>
    </row>
    <row r="995" spans="1:16" x14ac:dyDescent="0.25">
      <c r="A995" s="3" t="s">
        <v>1376</v>
      </c>
      <c r="B995">
        <v>29.83</v>
      </c>
      <c r="C995" t="str" cm="1">
        <f t="array" ref="C995">_xlfn.IFS(B995&lt;=18.5,  "Underweight",B995&lt;=24.9,"Normal weight",B995&lt;=29.9, "Over weight",B995&gt;=30,"Obesity")</f>
        <v>Over weight</v>
      </c>
      <c r="D995">
        <v>7.2</v>
      </c>
      <c r="E995" t="str" cm="1">
        <f t="array" ref="E995">_xlfn.IFS(D995&lt;5.7,"Normal",D995&lt;=6.4,"Prediabetes",D995&gt;=6.5,"Diabetes")</f>
        <v>Diabetes</v>
      </c>
      <c r="F995" s="3" t="s">
        <v>2382</v>
      </c>
      <c r="G995" s="3" t="s">
        <v>2379</v>
      </c>
      <c r="H995" s="3" t="s">
        <v>2379</v>
      </c>
      <c r="I995" s="1" t="s">
        <v>2380</v>
      </c>
      <c r="J995">
        <v>0</v>
      </c>
      <c r="K995" s="3" t="s">
        <v>2379</v>
      </c>
      <c r="P995" s="3"/>
    </row>
    <row r="996" spans="1:16" x14ac:dyDescent="0.25">
      <c r="A996" s="3" t="s">
        <v>1375</v>
      </c>
      <c r="B996">
        <v>28.31</v>
      </c>
      <c r="C996" t="str" cm="1">
        <f t="array" ref="C996">_xlfn.IFS(B996&lt;=18.5,  "Underweight",B996&lt;=24.9,"Normal weight",B996&lt;=29.9, "Over weight",B996&gt;=30,"Obesity")</f>
        <v>Over weight</v>
      </c>
      <c r="D996">
        <v>4.55</v>
      </c>
      <c r="E996" t="str" cm="1">
        <f t="array" ref="E996">_xlfn.IFS(D996&lt;5.7,"Normal",D996&lt;=6.4,"Prediabetes",D996&gt;=6.5,"Diabetes")</f>
        <v>Normal</v>
      </c>
      <c r="F996" s="3" t="s">
        <v>2379</v>
      </c>
      <c r="G996" s="3" t="s">
        <v>2381</v>
      </c>
      <c r="H996" s="3" t="s">
        <v>2379</v>
      </c>
      <c r="I996" s="1">
        <v>1</v>
      </c>
      <c r="J996">
        <v>1</v>
      </c>
      <c r="K996" s="3" t="s">
        <v>2379</v>
      </c>
      <c r="P996" s="3"/>
    </row>
    <row r="997" spans="1:16" x14ac:dyDescent="0.25">
      <c r="A997" s="3" t="s">
        <v>1374</v>
      </c>
      <c r="B997">
        <v>29.79</v>
      </c>
      <c r="C997" t="str" cm="1">
        <f t="array" ref="C997">_xlfn.IFS(B997&lt;=18.5,  "Underweight",B997&lt;=24.9,"Normal weight",B997&lt;=29.9, "Over weight",B997&gt;=30,"Obesity")</f>
        <v>Over weight</v>
      </c>
      <c r="D997">
        <v>9.0299999999999994</v>
      </c>
      <c r="E997" t="str" cm="1">
        <f t="array" ref="E997">_xlfn.IFS(D997&lt;5.7,"Normal",D997&lt;=6.4,"Prediabetes",D997&gt;=6.5,"Diabetes")</f>
        <v>Diabetes</v>
      </c>
      <c r="F997" s="3" t="s">
        <v>2379</v>
      </c>
      <c r="G997" s="3" t="s">
        <v>2379</v>
      </c>
      <c r="H997" s="3" t="s">
        <v>2379</v>
      </c>
      <c r="I997" s="1" t="s">
        <v>2380</v>
      </c>
      <c r="J997">
        <v>0</v>
      </c>
      <c r="K997" s="3" t="s">
        <v>2379</v>
      </c>
      <c r="P997" s="3"/>
    </row>
    <row r="998" spans="1:16" x14ac:dyDescent="0.25">
      <c r="A998" s="3" t="s">
        <v>1373</v>
      </c>
      <c r="B998">
        <v>36.6</v>
      </c>
      <c r="C998" t="str" cm="1">
        <f t="array" ref="C998">_xlfn.IFS(B998&lt;=18.5,  "Underweight",B998&lt;=24.9,"Normal weight",B998&lt;=29.9, "Over weight",B998&gt;=30,"Obesity")</f>
        <v>Obesity</v>
      </c>
      <c r="D998">
        <v>5.2</v>
      </c>
      <c r="E998" t="str" cm="1">
        <f t="array" ref="E998">_xlfn.IFS(D998&lt;5.7,"Normal",D998&lt;=6.4,"Prediabetes",D998&gt;=6.5,"Diabetes")</f>
        <v>Normal</v>
      </c>
      <c r="F998" s="3" t="s">
        <v>2382</v>
      </c>
      <c r="G998" s="3" t="s">
        <v>2379</v>
      </c>
      <c r="H998" s="3" t="s">
        <v>2382</v>
      </c>
      <c r="I998" s="1">
        <v>1</v>
      </c>
      <c r="J998">
        <v>1</v>
      </c>
      <c r="K998" s="3" t="s">
        <v>2379</v>
      </c>
      <c r="P998" s="3"/>
    </row>
    <row r="999" spans="1:16" x14ac:dyDescent="0.25">
      <c r="A999" s="3" t="s">
        <v>1372</v>
      </c>
      <c r="B999">
        <v>35.93</v>
      </c>
      <c r="C999" t="str" cm="1">
        <f t="array" ref="C999">_xlfn.IFS(B999&lt;=18.5,  "Underweight",B999&lt;=24.9,"Normal weight",B999&lt;=29.9, "Over weight",B999&gt;=30,"Obesity")</f>
        <v>Obesity</v>
      </c>
      <c r="D999">
        <v>8.3000000000000007</v>
      </c>
      <c r="E999" t="str" cm="1">
        <f t="array" ref="E999">_xlfn.IFS(D999&lt;5.7,"Normal",D999&lt;=6.4,"Prediabetes",D999&gt;=6.5,"Diabetes")</f>
        <v>Diabetes</v>
      </c>
      <c r="F999" s="3" t="s">
        <v>2382</v>
      </c>
      <c r="G999" s="3" t="s">
        <v>2379</v>
      </c>
      <c r="H999" s="3" t="s">
        <v>2379</v>
      </c>
      <c r="I999" s="1" t="s">
        <v>2380</v>
      </c>
      <c r="J999">
        <v>0</v>
      </c>
      <c r="K999" s="3" t="s">
        <v>2379</v>
      </c>
      <c r="P999" s="3"/>
    </row>
    <row r="1000" spans="1:16" x14ac:dyDescent="0.25">
      <c r="A1000" s="3" t="s">
        <v>1371</v>
      </c>
      <c r="B1000">
        <v>28.6</v>
      </c>
      <c r="C1000" t="str" cm="1">
        <f t="array" ref="C1000">_xlfn.IFS(B1000&lt;=18.5,  "Underweight",B1000&lt;=24.9,"Normal weight",B1000&lt;=29.9, "Over weight",B1000&gt;=30,"Obesity")</f>
        <v>Over weight</v>
      </c>
      <c r="D1000">
        <v>5.56</v>
      </c>
      <c r="E1000" t="str" cm="1">
        <f t="array" ref="E1000">_xlfn.IFS(D1000&lt;5.7,"Normal",D1000&lt;=6.4,"Prediabetes",D1000&gt;=6.5,"Diabetes")</f>
        <v>Normal</v>
      </c>
      <c r="F1000" s="3" t="s">
        <v>2382</v>
      </c>
      <c r="G1000" s="3" t="s">
        <v>2379</v>
      </c>
      <c r="H1000" s="3" t="s">
        <v>2382</v>
      </c>
      <c r="I1000" s="1">
        <v>1</v>
      </c>
      <c r="J1000">
        <v>1</v>
      </c>
      <c r="K1000" s="3" t="s">
        <v>2379</v>
      </c>
      <c r="P1000" s="3"/>
    </row>
    <row r="1001" spans="1:16" x14ac:dyDescent="0.25">
      <c r="A1001" s="3" t="s">
        <v>1370</v>
      </c>
      <c r="B1001">
        <v>39.17</v>
      </c>
      <c r="C1001" t="str" cm="1">
        <f t="array" ref="C1001">_xlfn.IFS(B1001&lt;=18.5,  "Underweight",B1001&lt;=24.9,"Normal weight",B1001&lt;=29.9, "Over weight",B1001&gt;=30,"Obesity")</f>
        <v>Obesity</v>
      </c>
      <c r="D1001">
        <v>4.1500000000000004</v>
      </c>
      <c r="E1001" t="str" cm="1">
        <f t="array" ref="E1001">_xlfn.IFS(D1001&lt;5.7,"Normal",D1001&lt;=6.4,"Prediabetes",D1001&gt;=6.5,"Diabetes")</f>
        <v>Normal</v>
      </c>
      <c r="F1001" s="3" t="s">
        <v>2379</v>
      </c>
      <c r="G1001" s="3" t="s">
        <v>2379</v>
      </c>
      <c r="H1001" s="3" t="s">
        <v>2379</v>
      </c>
      <c r="I1001" s="1" t="s">
        <v>2380</v>
      </c>
      <c r="J1001">
        <v>0</v>
      </c>
      <c r="K1001" s="3" t="s">
        <v>2379</v>
      </c>
      <c r="P1001" s="3"/>
    </row>
    <row r="1002" spans="1:16" x14ac:dyDescent="0.25">
      <c r="A1002" s="3" t="s">
        <v>1369</v>
      </c>
      <c r="B1002">
        <v>26.41</v>
      </c>
      <c r="C1002" t="str" cm="1">
        <f t="array" ref="C1002">_xlfn.IFS(B1002&lt;=18.5,  "Underweight",B1002&lt;=24.9,"Normal weight",B1002&lt;=29.9, "Over weight",B1002&gt;=30,"Obesity")</f>
        <v>Over weight</v>
      </c>
      <c r="D1002">
        <v>5.99</v>
      </c>
      <c r="E1002" t="str" cm="1">
        <f t="array" ref="E1002">_xlfn.IFS(D1002&lt;5.7,"Normal",D1002&lt;=6.4,"Prediabetes",D1002&gt;=6.5,"Diabetes")</f>
        <v>Prediabetes</v>
      </c>
      <c r="F1002" s="3" t="s">
        <v>2382</v>
      </c>
      <c r="G1002" s="3" t="s">
        <v>2379</v>
      </c>
      <c r="H1002" s="3" t="s">
        <v>2382</v>
      </c>
      <c r="I1002" s="1">
        <v>1</v>
      </c>
      <c r="J1002">
        <v>1</v>
      </c>
      <c r="K1002" s="3" t="s">
        <v>2379</v>
      </c>
      <c r="P1002" s="3"/>
    </row>
    <row r="1003" spans="1:16" x14ac:dyDescent="0.25">
      <c r="A1003" s="3" t="s">
        <v>1368</v>
      </c>
      <c r="B1003">
        <v>30.63</v>
      </c>
      <c r="C1003" t="str" cm="1">
        <f t="array" ref="C1003">_xlfn.IFS(B1003&lt;=18.5,  "Underweight",B1003&lt;=24.9,"Normal weight",B1003&lt;=29.9, "Over weight",B1003&gt;=30,"Obesity")</f>
        <v>Obesity</v>
      </c>
      <c r="D1003">
        <v>5.8</v>
      </c>
      <c r="E1003" t="str" cm="1">
        <f t="array" ref="E1003">_xlfn.IFS(D1003&lt;5.7,"Normal",D1003&lt;=6.4,"Prediabetes",D1003&gt;=6.5,"Diabetes")</f>
        <v>Prediabetes</v>
      </c>
      <c r="F1003" s="3" t="s">
        <v>2382</v>
      </c>
      <c r="G1003" s="3" t="s">
        <v>2379</v>
      </c>
      <c r="H1003" s="3" t="s">
        <v>2379</v>
      </c>
      <c r="I1003" s="1" t="s">
        <v>2380</v>
      </c>
      <c r="J1003">
        <v>0</v>
      </c>
      <c r="K1003" s="3" t="s">
        <v>2379</v>
      </c>
      <c r="P1003" s="3"/>
    </row>
    <row r="1004" spans="1:16" x14ac:dyDescent="0.25">
      <c r="A1004" s="3" t="s">
        <v>1367</v>
      </c>
      <c r="B1004">
        <v>31.73</v>
      </c>
      <c r="C1004" t="str" cm="1">
        <f t="array" ref="C1004">_xlfn.IFS(B1004&lt;=18.5,  "Underweight",B1004&lt;=24.9,"Normal weight",B1004&lt;=29.9, "Over weight",B1004&gt;=30,"Obesity")</f>
        <v>Obesity</v>
      </c>
      <c r="D1004">
        <v>7.32</v>
      </c>
      <c r="E1004" t="str" cm="1">
        <f t="array" ref="E1004">_xlfn.IFS(D1004&lt;5.7,"Normal",D1004&lt;=6.4,"Prediabetes",D1004&gt;=6.5,"Diabetes")</f>
        <v>Diabetes</v>
      </c>
      <c r="F1004" s="3" t="s">
        <v>2382</v>
      </c>
      <c r="G1004" s="3" t="s">
        <v>2379</v>
      </c>
      <c r="H1004" s="3" t="s">
        <v>2379</v>
      </c>
      <c r="I1004" s="1">
        <v>2</v>
      </c>
      <c r="J1004">
        <v>2</v>
      </c>
      <c r="K1004" s="3" t="s">
        <v>2379</v>
      </c>
      <c r="P1004" s="3"/>
    </row>
    <row r="1005" spans="1:16" x14ac:dyDescent="0.25">
      <c r="A1005" s="3" t="s">
        <v>1366</v>
      </c>
      <c r="B1005">
        <v>30.7</v>
      </c>
      <c r="C1005" t="str" cm="1">
        <f t="array" ref="C1005">_xlfn.IFS(B1005&lt;=18.5,  "Underweight",B1005&lt;=24.9,"Normal weight",B1005&lt;=29.9, "Over weight",B1005&gt;=30,"Obesity")</f>
        <v>Obesity</v>
      </c>
      <c r="D1005">
        <v>5.16</v>
      </c>
      <c r="E1005" t="str" cm="1">
        <f t="array" ref="E1005">_xlfn.IFS(D1005&lt;5.7,"Normal",D1005&lt;=6.4,"Prediabetes",D1005&gt;=6.5,"Diabetes")</f>
        <v>Normal</v>
      </c>
      <c r="F1005" s="3" t="s">
        <v>2379</v>
      </c>
      <c r="G1005" s="3" t="s">
        <v>2379</v>
      </c>
      <c r="H1005" s="3" t="s">
        <v>2379</v>
      </c>
      <c r="I1005" s="1">
        <v>2</v>
      </c>
      <c r="J1005">
        <v>2</v>
      </c>
      <c r="K1005" s="3" t="s">
        <v>2379</v>
      </c>
      <c r="P1005" s="3"/>
    </row>
    <row r="1006" spans="1:16" x14ac:dyDescent="0.25">
      <c r="A1006" s="3" t="s">
        <v>1365</v>
      </c>
      <c r="B1006">
        <v>25.934999999999999</v>
      </c>
      <c r="C1006" t="str" cm="1">
        <f t="array" ref="C1006">_xlfn.IFS(B1006&lt;=18.5,  "Underweight",B1006&lt;=24.9,"Normal weight",B1006&lt;=29.9, "Over weight",B1006&gt;=30,"Obesity")</f>
        <v>Over weight</v>
      </c>
      <c r="D1006">
        <v>5.96</v>
      </c>
      <c r="E1006" t="str" cm="1">
        <f t="array" ref="E1006">_xlfn.IFS(D1006&lt;5.7,"Normal",D1006&lt;=6.4,"Prediabetes",D1006&gt;=6.5,"Diabetes")</f>
        <v>Prediabetes</v>
      </c>
      <c r="F1006" s="3" t="s">
        <v>2382</v>
      </c>
      <c r="G1006" s="3" t="s">
        <v>2379</v>
      </c>
      <c r="H1006" s="3" t="s">
        <v>2379</v>
      </c>
      <c r="I1006" s="1">
        <v>2</v>
      </c>
      <c r="J1006">
        <v>2</v>
      </c>
      <c r="K1006" s="3" t="s">
        <v>2379</v>
      </c>
      <c r="P1006" s="3"/>
    </row>
    <row r="1007" spans="1:16" x14ac:dyDescent="0.25">
      <c r="A1007" s="3" t="s">
        <v>1364</v>
      </c>
      <c r="B1007">
        <v>35.9</v>
      </c>
      <c r="C1007" t="str" cm="1">
        <f t="array" ref="C1007">_xlfn.IFS(B1007&lt;=18.5,  "Underweight",B1007&lt;=24.9,"Normal weight",B1007&lt;=29.9, "Over weight",B1007&gt;=30,"Obesity")</f>
        <v>Obesity</v>
      </c>
      <c r="D1007">
        <v>4.8499999999999996</v>
      </c>
      <c r="E1007" t="str" cm="1">
        <f t="array" ref="E1007">_xlfn.IFS(D1007&lt;5.7,"Normal",D1007&lt;=6.4,"Prediabetes",D1007&gt;=6.5,"Diabetes")</f>
        <v>Normal</v>
      </c>
      <c r="F1007" s="3" t="s">
        <v>2382</v>
      </c>
      <c r="G1007" s="3" t="s">
        <v>2379</v>
      </c>
      <c r="H1007" s="3" t="s">
        <v>2382</v>
      </c>
      <c r="I1007" s="1">
        <v>1</v>
      </c>
      <c r="J1007">
        <v>1</v>
      </c>
      <c r="K1007" s="3" t="s">
        <v>2379</v>
      </c>
      <c r="P1007" s="3"/>
    </row>
    <row r="1008" spans="1:16" x14ac:dyDescent="0.25">
      <c r="A1008" s="3" t="s">
        <v>1363</v>
      </c>
      <c r="B1008">
        <v>26.7</v>
      </c>
      <c r="C1008" t="str" cm="1">
        <f t="array" ref="C1008">_xlfn.IFS(B1008&lt;=18.5,  "Underweight",B1008&lt;=24.9,"Normal weight",B1008&lt;=29.9, "Over weight",B1008&gt;=30,"Obesity")</f>
        <v>Over weight</v>
      </c>
      <c r="D1008">
        <v>5.09</v>
      </c>
      <c r="E1008" t="str" cm="1">
        <f t="array" ref="E1008">_xlfn.IFS(D1008&lt;5.7,"Normal",D1008&lt;=6.4,"Prediabetes",D1008&gt;=6.5,"Diabetes")</f>
        <v>Normal</v>
      </c>
      <c r="F1008" s="3" t="s">
        <v>2382</v>
      </c>
      <c r="G1008" s="3" t="s">
        <v>2379</v>
      </c>
      <c r="H1008" s="3" t="s">
        <v>2382</v>
      </c>
      <c r="I1008" s="1">
        <v>1</v>
      </c>
      <c r="J1008">
        <v>1</v>
      </c>
      <c r="K1008" s="3" t="s">
        <v>2379</v>
      </c>
      <c r="P1008" s="3"/>
    </row>
    <row r="1009" spans="1:16" x14ac:dyDescent="0.25">
      <c r="A1009" s="3" t="s">
        <v>1362</v>
      </c>
      <c r="B1009">
        <v>33.71</v>
      </c>
      <c r="C1009" t="str" cm="1">
        <f t="array" ref="C1009">_xlfn.IFS(B1009&lt;=18.5,  "Underweight",B1009&lt;=24.9,"Normal weight",B1009&lt;=29.9, "Over weight",B1009&gt;=30,"Obesity")</f>
        <v>Obesity</v>
      </c>
      <c r="D1009">
        <v>4.9400000000000004</v>
      </c>
      <c r="E1009" t="str" cm="1">
        <f t="array" ref="E1009">_xlfn.IFS(D1009&lt;5.7,"Normal",D1009&lt;=6.4,"Prediabetes",D1009&gt;=6.5,"Diabetes")</f>
        <v>Normal</v>
      </c>
      <c r="F1009" s="3" t="s">
        <v>2379</v>
      </c>
      <c r="G1009" s="3" t="s">
        <v>2379</v>
      </c>
      <c r="H1009" s="3" t="s">
        <v>2379</v>
      </c>
      <c r="I1009" s="1" t="s">
        <v>2380</v>
      </c>
      <c r="J1009">
        <v>0</v>
      </c>
      <c r="K1009" s="3" t="s">
        <v>2379</v>
      </c>
      <c r="P1009" s="3"/>
    </row>
    <row r="1010" spans="1:16" x14ac:dyDescent="0.25">
      <c r="A1010" s="3" t="s">
        <v>1361</v>
      </c>
      <c r="B1010">
        <v>41.91</v>
      </c>
      <c r="C1010" t="str" cm="1">
        <f t="array" ref="C1010">_xlfn.IFS(B1010&lt;=18.5,  "Underweight",B1010&lt;=24.9,"Normal weight",B1010&lt;=29.9, "Over weight",B1010&gt;=30,"Obesity")</f>
        <v>Obesity</v>
      </c>
      <c r="D1010">
        <v>4.92</v>
      </c>
      <c r="E1010" t="str" cm="1">
        <f t="array" ref="E1010">_xlfn.IFS(D1010&lt;5.7,"Normal",D1010&lt;=6.4,"Prediabetes",D1010&gt;=6.5,"Diabetes")</f>
        <v>Normal</v>
      </c>
      <c r="F1010" s="3" t="s">
        <v>2382</v>
      </c>
      <c r="G1010" s="3" t="s">
        <v>2379</v>
      </c>
      <c r="H1010" s="3" t="s">
        <v>2379</v>
      </c>
      <c r="I1010" s="1">
        <v>2</v>
      </c>
      <c r="J1010">
        <v>2</v>
      </c>
      <c r="K1010" s="3" t="s">
        <v>2379</v>
      </c>
      <c r="P1010" s="3"/>
    </row>
    <row r="1011" spans="1:16" x14ac:dyDescent="0.25">
      <c r="A1011" s="3" t="s">
        <v>1360</v>
      </c>
      <c r="B1011">
        <v>39.82</v>
      </c>
      <c r="C1011" t="str" cm="1">
        <f t="array" ref="C1011">_xlfn.IFS(B1011&lt;=18.5,  "Underweight",B1011&lt;=24.9,"Normal weight",B1011&lt;=29.9, "Over weight",B1011&gt;=30,"Obesity")</f>
        <v>Obesity</v>
      </c>
      <c r="D1011">
        <v>6.05</v>
      </c>
      <c r="E1011" t="str" cm="1">
        <f t="array" ref="E1011">_xlfn.IFS(D1011&lt;5.7,"Normal",D1011&lt;=6.4,"Prediabetes",D1011&gt;=6.5,"Diabetes")</f>
        <v>Prediabetes</v>
      </c>
      <c r="F1011" s="3" t="s">
        <v>2382</v>
      </c>
      <c r="G1011" s="3" t="s">
        <v>2379</v>
      </c>
      <c r="H1011" s="3" t="s">
        <v>2379</v>
      </c>
      <c r="I1011" s="1">
        <v>2</v>
      </c>
      <c r="J1011">
        <v>2</v>
      </c>
      <c r="K1011" s="3" t="s">
        <v>2379</v>
      </c>
      <c r="P1011" s="3"/>
    </row>
    <row r="1012" spans="1:16" x14ac:dyDescent="0.25">
      <c r="A1012" s="3" t="s">
        <v>1359</v>
      </c>
      <c r="B1012">
        <v>28.12</v>
      </c>
      <c r="C1012" t="str" cm="1">
        <f t="array" ref="C1012">_xlfn.IFS(B1012&lt;=18.5,  "Underweight",B1012&lt;=24.9,"Normal weight",B1012&lt;=29.9, "Over weight",B1012&gt;=30,"Obesity")</f>
        <v>Over weight</v>
      </c>
      <c r="D1012">
        <v>4.67</v>
      </c>
      <c r="E1012" t="str" cm="1">
        <f t="array" ref="E1012">_xlfn.IFS(D1012&lt;5.7,"Normal",D1012&lt;=6.4,"Prediabetes",D1012&gt;=6.5,"Diabetes")</f>
        <v>Normal</v>
      </c>
      <c r="F1012" s="3" t="s">
        <v>2379</v>
      </c>
      <c r="G1012" s="3" t="s">
        <v>2379</v>
      </c>
      <c r="H1012" s="3" t="s">
        <v>2379</v>
      </c>
      <c r="I1012" s="1">
        <v>2</v>
      </c>
      <c r="J1012">
        <v>2</v>
      </c>
      <c r="K1012" s="3" t="s">
        <v>2379</v>
      </c>
      <c r="P1012" s="3"/>
    </row>
    <row r="1013" spans="1:16" x14ac:dyDescent="0.25">
      <c r="A1013" s="3" t="s">
        <v>1358</v>
      </c>
      <c r="B1013">
        <v>26.98</v>
      </c>
      <c r="C1013" t="str" cm="1">
        <f t="array" ref="C1013">_xlfn.IFS(B1013&lt;=18.5,  "Underweight",B1013&lt;=24.9,"Normal weight",B1013&lt;=29.9, "Over weight",B1013&gt;=30,"Obesity")</f>
        <v>Over weight</v>
      </c>
      <c r="D1013">
        <v>9.81</v>
      </c>
      <c r="E1013" t="str" cm="1">
        <f t="array" ref="E1013">_xlfn.IFS(D1013&lt;5.7,"Normal",D1013&lt;=6.4,"Prediabetes",D1013&gt;=6.5,"Diabetes")</f>
        <v>Diabetes</v>
      </c>
      <c r="F1013" s="3" t="s">
        <v>2382</v>
      </c>
      <c r="G1013" s="3" t="s">
        <v>2379</v>
      </c>
      <c r="H1013" s="3" t="s">
        <v>2379</v>
      </c>
      <c r="I1013" s="1" t="s">
        <v>2380</v>
      </c>
      <c r="J1013">
        <v>0</v>
      </c>
      <c r="K1013" s="3" t="s">
        <v>2379</v>
      </c>
      <c r="P1013" s="3"/>
    </row>
    <row r="1014" spans="1:16" x14ac:dyDescent="0.25">
      <c r="A1014" s="3" t="s">
        <v>1357</v>
      </c>
      <c r="B1014">
        <v>27.2</v>
      </c>
      <c r="C1014" t="str" cm="1">
        <f t="array" ref="C1014">_xlfn.IFS(B1014&lt;=18.5,  "Underweight",B1014&lt;=24.9,"Normal weight",B1014&lt;=29.9, "Over weight",B1014&gt;=30,"Obesity")</f>
        <v>Over weight</v>
      </c>
      <c r="D1014">
        <v>6.06</v>
      </c>
      <c r="E1014" t="str" cm="1">
        <f t="array" ref="E1014">_xlfn.IFS(D1014&lt;5.7,"Normal",D1014&lt;=6.4,"Prediabetes",D1014&gt;=6.5,"Diabetes")</f>
        <v>Prediabetes</v>
      </c>
      <c r="F1014" s="3" t="s">
        <v>2382</v>
      </c>
      <c r="G1014" s="3" t="s">
        <v>2379</v>
      </c>
      <c r="H1014" s="3" t="s">
        <v>2379</v>
      </c>
      <c r="I1014" s="1">
        <v>2</v>
      </c>
      <c r="J1014">
        <v>2</v>
      </c>
      <c r="K1014" s="3" t="s">
        <v>2379</v>
      </c>
      <c r="P1014" s="3"/>
    </row>
    <row r="1015" spans="1:16" x14ac:dyDescent="0.25">
      <c r="A1015" s="3" t="s">
        <v>1356</v>
      </c>
      <c r="B1015">
        <v>25.3</v>
      </c>
      <c r="C1015" t="str" cm="1">
        <f t="array" ref="C1015">_xlfn.IFS(B1015&lt;=18.5,  "Underweight",B1015&lt;=24.9,"Normal weight",B1015&lt;=29.9, "Over weight",B1015&gt;=30,"Obesity")</f>
        <v>Over weight</v>
      </c>
      <c r="D1015">
        <v>5.19</v>
      </c>
      <c r="E1015" t="str" cm="1">
        <f t="array" ref="E1015">_xlfn.IFS(D1015&lt;5.7,"Normal",D1015&lt;=6.4,"Prediabetes",D1015&gt;=6.5,"Diabetes")</f>
        <v>Normal</v>
      </c>
      <c r="F1015" s="3" t="s">
        <v>2382</v>
      </c>
      <c r="G1015" s="3" t="s">
        <v>2379</v>
      </c>
      <c r="H1015" s="3" t="s">
        <v>2379</v>
      </c>
      <c r="I1015" s="1">
        <v>2</v>
      </c>
      <c r="J1015">
        <v>2</v>
      </c>
      <c r="K1015" s="3" t="s">
        <v>2379</v>
      </c>
      <c r="P1015" s="3"/>
    </row>
    <row r="1016" spans="1:16" x14ac:dyDescent="0.25">
      <c r="A1016" s="3" t="s">
        <v>1355</v>
      </c>
      <c r="B1016">
        <v>30.25</v>
      </c>
      <c r="C1016" t="str" cm="1">
        <f t="array" ref="C1016">_xlfn.IFS(B1016&lt;=18.5,  "Underweight",B1016&lt;=24.9,"Normal weight",B1016&lt;=29.9, "Over weight",B1016&gt;=30,"Obesity")</f>
        <v>Obesity</v>
      </c>
      <c r="D1016">
        <v>10.16</v>
      </c>
      <c r="E1016" t="str" cm="1">
        <f t="array" ref="E1016">_xlfn.IFS(D1016&lt;5.7,"Normal",D1016&lt;=6.4,"Prediabetes",D1016&gt;=6.5,"Diabetes")</f>
        <v>Diabetes</v>
      </c>
      <c r="F1016" s="3" t="s">
        <v>2379</v>
      </c>
      <c r="G1016" s="3" t="s">
        <v>2379</v>
      </c>
      <c r="H1016" s="3" t="s">
        <v>2379</v>
      </c>
      <c r="I1016" s="1" t="s">
        <v>2380</v>
      </c>
      <c r="J1016">
        <v>0</v>
      </c>
      <c r="K1016" s="3" t="s">
        <v>2379</v>
      </c>
      <c r="P1016" s="3"/>
    </row>
    <row r="1017" spans="1:16" x14ac:dyDescent="0.25">
      <c r="A1017" s="3" t="s">
        <v>1354</v>
      </c>
      <c r="B1017">
        <v>54</v>
      </c>
      <c r="C1017" t="str" cm="1">
        <f t="array" ref="C1017">_xlfn.IFS(B1017&lt;=18.5,  "Underweight",B1017&lt;=24.9,"Normal weight",B1017&lt;=29.9, "Over weight",B1017&gt;=30,"Obesity")</f>
        <v>Obesity</v>
      </c>
      <c r="D1017">
        <v>4.68</v>
      </c>
      <c r="E1017" t="str" cm="1">
        <f t="array" ref="E1017">_xlfn.IFS(D1017&lt;5.7,"Normal",D1017&lt;=6.4,"Prediabetes",D1017&gt;=6.5,"Diabetes")</f>
        <v>Normal</v>
      </c>
      <c r="F1017" s="3" t="s">
        <v>2382</v>
      </c>
      <c r="G1017" s="3" t="s">
        <v>2381</v>
      </c>
      <c r="H1017" s="3" t="s">
        <v>2379</v>
      </c>
      <c r="I1017" s="1">
        <v>2</v>
      </c>
      <c r="J1017">
        <v>2</v>
      </c>
      <c r="K1017" s="3" t="s">
        <v>2379</v>
      </c>
      <c r="P1017" s="3"/>
    </row>
    <row r="1018" spans="1:16" x14ac:dyDescent="0.25">
      <c r="A1018" s="3" t="s">
        <v>1353</v>
      </c>
      <c r="B1018">
        <v>51.86</v>
      </c>
      <c r="C1018" t="str" cm="1">
        <f t="array" ref="C1018">_xlfn.IFS(B1018&lt;=18.5,  "Underweight",B1018&lt;=24.9,"Normal weight",B1018&lt;=29.9, "Over weight",B1018&gt;=30,"Obesity")</f>
        <v>Obesity</v>
      </c>
      <c r="D1018">
        <v>5.32</v>
      </c>
      <c r="E1018" t="str" cm="1">
        <f t="array" ref="E1018">_xlfn.IFS(D1018&lt;5.7,"Normal",D1018&lt;=6.4,"Prediabetes",D1018&gt;=6.5,"Diabetes")</f>
        <v>Normal</v>
      </c>
      <c r="F1018" s="3" t="s">
        <v>2382</v>
      </c>
      <c r="G1018" s="3" t="s">
        <v>2379</v>
      </c>
      <c r="H1018" s="3" t="s">
        <v>2379</v>
      </c>
      <c r="I1018" s="1" t="s">
        <v>2380</v>
      </c>
      <c r="J1018">
        <v>0</v>
      </c>
      <c r="K1018" s="3" t="s">
        <v>2379</v>
      </c>
      <c r="P1018" s="3"/>
    </row>
    <row r="1019" spans="1:16" x14ac:dyDescent="0.25">
      <c r="A1019" s="3" t="s">
        <v>1352</v>
      </c>
      <c r="B1019">
        <v>31.39</v>
      </c>
      <c r="C1019" t="str" cm="1">
        <f t="array" ref="C1019">_xlfn.IFS(B1019&lt;=18.5,  "Underweight",B1019&lt;=24.9,"Normal weight",B1019&lt;=29.9, "Over weight",B1019&gt;=30,"Obesity")</f>
        <v>Obesity</v>
      </c>
      <c r="D1019">
        <v>6.99</v>
      </c>
      <c r="E1019" t="str" cm="1">
        <f t="array" ref="E1019">_xlfn.IFS(D1019&lt;5.7,"Normal",D1019&lt;=6.4,"Prediabetes",D1019&gt;=6.5,"Diabetes")</f>
        <v>Diabetes</v>
      </c>
      <c r="F1019" s="3" t="s">
        <v>2379</v>
      </c>
      <c r="G1019" s="3" t="s">
        <v>2379</v>
      </c>
      <c r="H1019" s="3" t="s">
        <v>2379</v>
      </c>
      <c r="I1019" s="1" t="s">
        <v>2380</v>
      </c>
      <c r="J1019">
        <v>0</v>
      </c>
      <c r="K1019" s="3" t="s">
        <v>2379</v>
      </c>
      <c r="P1019" s="3"/>
    </row>
    <row r="1020" spans="1:16" x14ac:dyDescent="0.25">
      <c r="A1020" s="3" t="s">
        <v>1351</v>
      </c>
      <c r="B1020">
        <v>39.97</v>
      </c>
      <c r="C1020" t="str" cm="1">
        <f t="array" ref="C1020">_xlfn.IFS(B1020&lt;=18.5,  "Underweight",B1020&lt;=24.9,"Normal weight",B1020&lt;=29.9, "Over weight",B1020&gt;=30,"Obesity")</f>
        <v>Obesity</v>
      </c>
      <c r="D1020">
        <v>5.55</v>
      </c>
      <c r="E1020" t="str" cm="1">
        <f t="array" ref="E1020">_xlfn.IFS(D1020&lt;5.7,"Normal",D1020&lt;=6.4,"Prediabetes",D1020&gt;=6.5,"Diabetes")</f>
        <v>Normal</v>
      </c>
      <c r="F1020" s="3" t="s">
        <v>2379</v>
      </c>
      <c r="G1020" s="3" t="s">
        <v>2379</v>
      </c>
      <c r="H1020" s="3" t="s">
        <v>2379</v>
      </c>
      <c r="I1020" s="1" t="s">
        <v>2380</v>
      </c>
      <c r="J1020">
        <v>0</v>
      </c>
      <c r="K1020" s="3" t="s">
        <v>2379</v>
      </c>
      <c r="P1020" s="3"/>
    </row>
    <row r="1021" spans="1:16" x14ac:dyDescent="0.25">
      <c r="A1021" s="3" t="s">
        <v>1350</v>
      </c>
      <c r="B1021">
        <v>41.23</v>
      </c>
      <c r="C1021" t="str" cm="1">
        <f t="array" ref="C1021">_xlfn.IFS(B1021&lt;=18.5,  "Underweight",B1021&lt;=24.9,"Normal weight",B1021&lt;=29.9, "Over weight",B1021&gt;=30,"Obesity")</f>
        <v>Obesity</v>
      </c>
      <c r="D1021">
        <v>6.94</v>
      </c>
      <c r="E1021" t="str" cm="1">
        <f t="array" ref="E1021">_xlfn.IFS(D1021&lt;5.7,"Normal",D1021&lt;=6.4,"Prediabetes",D1021&gt;=6.5,"Diabetes")</f>
        <v>Diabetes</v>
      </c>
      <c r="F1021" s="3" t="s">
        <v>2379</v>
      </c>
      <c r="G1021" s="3" t="s">
        <v>2379</v>
      </c>
      <c r="H1021" s="3" t="s">
        <v>2379</v>
      </c>
      <c r="I1021" s="1" t="s">
        <v>2380</v>
      </c>
      <c r="J1021">
        <v>0</v>
      </c>
      <c r="K1021" s="3" t="s">
        <v>2379</v>
      </c>
      <c r="P1021" s="3"/>
    </row>
    <row r="1022" spans="1:16" x14ac:dyDescent="0.25">
      <c r="A1022" s="3" t="s">
        <v>1349</v>
      </c>
      <c r="B1022">
        <v>49.45</v>
      </c>
      <c r="C1022" t="str" cm="1">
        <f t="array" ref="C1022">_xlfn.IFS(B1022&lt;=18.5,  "Underweight",B1022&lt;=24.9,"Normal weight",B1022&lt;=29.9, "Over weight",B1022&gt;=30,"Obesity")</f>
        <v>Obesity</v>
      </c>
      <c r="D1022">
        <v>4.2</v>
      </c>
      <c r="E1022" t="str" cm="1">
        <f t="array" ref="E1022">_xlfn.IFS(D1022&lt;5.7,"Normal",D1022&lt;=6.4,"Prediabetes",D1022&gt;=6.5,"Diabetes")</f>
        <v>Normal</v>
      </c>
      <c r="F1022" s="3" t="s">
        <v>2382</v>
      </c>
      <c r="G1022" s="3" t="s">
        <v>2379</v>
      </c>
      <c r="H1022" s="3" t="s">
        <v>2379</v>
      </c>
      <c r="I1022" s="1" t="s">
        <v>2380</v>
      </c>
      <c r="J1022">
        <v>0</v>
      </c>
      <c r="K1022" s="3" t="s">
        <v>2379</v>
      </c>
      <c r="P1022" s="3"/>
    </row>
    <row r="1023" spans="1:16" x14ac:dyDescent="0.25">
      <c r="A1023" s="3" t="s">
        <v>1348</v>
      </c>
      <c r="B1023">
        <v>41.04</v>
      </c>
      <c r="C1023" t="str" cm="1">
        <f t="array" ref="C1023">_xlfn.IFS(B1023&lt;=18.5,  "Underweight",B1023&lt;=24.9,"Normal weight",B1023&lt;=29.9, "Over weight",B1023&gt;=30,"Obesity")</f>
        <v>Obesity</v>
      </c>
      <c r="D1023">
        <v>5.59</v>
      </c>
      <c r="E1023" t="str" cm="1">
        <f t="array" ref="E1023">_xlfn.IFS(D1023&lt;5.7,"Normal",D1023&lt;=6.4,"Prediabetes",D1023&gt;=6.5,"Diabetes")</f>
        <v>Normal</v>
      </c>
      <c r="F1023" s="3" t="s">
        <v>2379</v>
      </c>
      <c r="G1023" s="3" t="s">
        <v>2379</v>
      </c>
      <c r="H1023" s="3" t="s">
        <v>2379</v>
      </c>
      <c r="I1023" s="1" t="s">
        <v>2380</v>
      </c>
      <c r="J1023">
        <v>0</v>
      </c>
      <c r="K1023" s="3" t="s">
        <v>2379</v>
      </c>
      <c r="P1023" s="3"/>
    </row>
    <row r="1024" spans="1:16" x14ac:dyDescent="0.25">
      <c r="A1024" s="3" t="s">
        <v>1347</v>
      </c>
      <c r="B1024">
        <v>27.93</v>
      </c>
      <c r="C1024" t="str" cm="1">
        <f t="array" ref="C1024">_xlfn.IFS(B1024&lt;=18.5,  "Underweight",B1024&lt;=24.9,"Normal weight",B1024&lt;=29.9, "Over weight",B1024&gt;=30,"Obesity")</f>
        <v>Over weight</v>
      </c>
      <c r="D1024">
        <v>9.9600000000000009</v>
      </c>
      <c r="E1024" t="str" cm="1">
        <f t="array" ref="E1024">_xlfn.IFS(D1024&lt;5.7,"Normal",D1024&lt;=6.4,"Prediabetes",D1024&gt;=6.5,"Diabetes")</f>
        <v>Diabetes</v>
      </c>
      <c r="F1024" s="3" t="s">
        <v>2379</v>
      </c>
      <c r="G1024" s="3" t="s">
        <v>2379</v>
      </c>
      <c r="H1024" s="3" t="s">
        <v>2379</v>
      </c>
      <c r="I1024" s="1" t="s">
        <v>2380</v>
      </c>
      <c r="J1024">
        <v>0</v>
      </c>
      <c r="K1024" s="3" t="s">
        <v>2379</v>
      </c>
      <c r="P1024" s="3"/>
    </row>
    <row r="1025" spans="1:16" x14ac:dyDescent="0.25">
      <c r="A1025" s="3" t="s">
        <v>1346</v>
      </c>
      <c r="B1025">
        <v>21.01</v>
      </c>
      <c r="C1025" t="str" cm="1">
        <f t="array" ref="C1025">_xlfn.IFS(B1025&lt;=18.5,  "Underweight",B1025&lt;=24.9,"Normal weight",B1025&lt;=29.9, "Over weight",B1025&gt;=30,"Obesity")</f>
        <v>Normal weight</v>
      </c>
      <c r="D1025">
        <v>7.37</v>
      </c>
      <c r="E1025" t="str" cm="1">
        <f t="array" ref="E1025">_xlfn.IFS(D1025&lt;5.7,"Normal",D1025&lt;=6.4,"Prediabetes",D1025&gt;=6.5,"Diabetes")</f>
        <v>Diabetes</v>
      </c>
      <c r="F1025" s="3" t="s">
        <v>2379</v>
      </c>
      <c r="G1025" s="3" t="s">
        <v>2379</v>
      </c>
      <c r="H1025" s="3" t="s">
        <v>2379</v>
      </c>
      <c r="I1025" s="1" t="s">
        <v>2380</v>
      </c>
      <c r="J1025">
        <v>0</v>
      </c>
      <c r="K1025" s="3" t="s">
        <v>2379</v>
      </c>
      <c r="P1025" s="3"/>
    </row>
    <row r="1026" spans="1:16" x14ac:dyDescent="0.25">
      <c r="A1026" s="3" t="s">
        <v>1345</v>
      </c>
      <c r="B1026">
        <v>52.37</v>
      </c>
      <c r="C1026" t="str" cm="1">
        <f t="array" ref="C1026">_xlfn.IFS(B1026&lt;=18.5,  "Underweight",B1026&lt;=24.9,"Normal weight",B1026&lt;=29.9, "Over weight",B1026&gt;=30,"Obesity")</f>
        <v>Obesity</v>
      </c>
      <c r="D1026">
        <v>5.0599999999999996</v>
      </c>
      <c r="E1026" t="str" cm="1">
        <f t="array" ref="E1026">_xlfn.IFS(D1026&lt;5.7,"Normal",D1026&lt;=6.4,"Prediabetes",D1026&gt;=6.5,"Diabetes")</f>
        <v>Normal</v>
      </c>
      <c r="F1026" s="3" t="s">
        <v>2382</v>
      </c>
      <c r="G1026" s="3" t="s">
        <v>2381</v>
      </c>
      <c r="H1026" s="3" t="s">
        <v>2379</v>
      </c>
      <c r="I1026" s="1">
        <v>2</v>
      </c>
      <c r="J1026">
        <v>2</v>
      </c>
      <c r="K1026" s="3" t="s">
        <v>2379</v>
      </c>
      <c r="P1026" s="3"/>
    </row>
    <row r="1027" spans="1:16" x14ac:dyDescent="0.25">
      <c r="A1027" s="3" t="s">
        <v>1344</v>
      </c>
      <c r="B1027">
        <v>40.369999999999997</v>
      </c>
      <c r="C1027" t="str" cm="1">
        <f t="array" ref="C1027">_xlfn.IFS(B1027&lt;=18.5,  "Underweight",B1027&lt;=24.9,"Normal weight",B1027&lt;=29.9, "Over weight",B1027&gt;=30,"Obesity")</f>
        <v>Obesity</v>
      </c>
      <c r="D1027">
        <v>8.2100000000000009</v>
      </c>
      <c r="E1027" t="str" cm="1">
        <f t="array" ref="E1027">_xlfn.IFS(D1027&lt;5.7,"Normal",D1027&lt;=6.4,"Prediabetes",D1027&gt;=6.5,"Diabetes")</f>
        <v>Diabetes</v>
      </c>
      <c r="F1027" s="3" t="s">
        <v>2379</v>
      </c>
      <c r="G1027" s="3" t="s">
        <v>2379</v>
      </c>
      <c r="H1027" s="3" t="s">
        <v>2379</v>
      </c>
      <c r="I1027" s="1" t="s">
        <v>2380</v>
      </c>
      <c r="J1027">
        <v>0</v>
      </c>
      <c r="K1027" s="3" t="s">
        <v>2379</v>
      </c>
      <c r="P1027" s="3"/>
    </row>
    <row r="1028" spans="1:16" x14ac:dyDescent="0.25">
      <c r="A1028" s="3" t="s">
        <v>1343</v>
      </c>
      <c r="B1028">
        <v>41.47</v>
      </c>
      <c r="C1028" t="str" cm="1">
        <f t="array" ref="C1028">_xlfn.IFS(B1028&lt;=18.5,  "Underweight",B1028&lt;=24.9,"Normal weight",B1028&lt;=29.9, "Over weight",B1028&gt;=30,"Obesity")</f>
        <v>Obesity</v>
      </c>
      <c r="D1028">
        <v>10.34</v>
      </c>
      <c r="E1028" t="str" cm="1">
        <f t="array" ref="E1028">_xlfn.IFS(D1028&lt;5.7,"Normal",D1028&lt;=6.4,"Prediabetes",D1028&gt;=6.5,"Diabetes")</f>
        <v>Diabetes</v>
      </c>
      <c r="F1028" s="3" t="s">
        <v>2379</v>
      </c>
      <c r="G1028" s="3" t="s">
        <v>2379</v>
      </c>
      <c r="H1028" s="3" t="s">
        <v>2379</v>
      </c>
      <c r="I1028" s="1">
        <v>2</v>
      </c>
      <c r="J1028">
        <v>2</v>
      </c>
      <c r="K1028" s="3" t="s">
        <v>2379</v>
      </c>
      <c r="P1028" s="3"/>
    </row>
    <row r="1029" spans="1:16" x14ac:dyDescent="0.25">
      <c r="A1029" s="3" t="s">
        <v>1342</v>
      </c>
      <c r="B1029">
        <v>33.725000000000001</v>
      </c>
      <c r="C1029" t="str" cm="1">
        <f t="array" ref="C1029">_xlfn.IFS(B1029&lt;=18.5,  "Underweight",B1029&lt;=24.9,"Normal weight",B1029&lt;=29.9, "Over weight",B1029&gt;=30,"Obesity")</f>
        <v>Obesity</v>
      </c>
      <c r="D1029">
        <v>5.51</v>
      </c>
      <c r="E1029" t="str" cm="1">
        <f t="array" ref="E1029">_xlfn.IFS(D1029&lt;5.7,"Normal",D1029&lt;=6.4,"Prediabetes",D1029&gt;=6.5,"Diabetes")</f>
        <v>Normal</v>
      </c>
      <c r="F1029" s="3" t="s">
        <v>2382</v>
      </c>
      <c r="G1029" s="3" t="s">
        <v>2379</v>
      </c>
      <c r="H1029" s="3" t="s">
        <v>2379</v>
      </c>
      <c r="I1029" s="1">
        <v>2</v>
      </c>
      <c r="J1029">
        <v>2</v>
      </c>
      <c r="K1029" s="3" t="s">
        <v>2379</v>
      </c>
      <c r="P1029" s="3"/>
    </row>
    <row r="1030" spans="1:16" x14ac:dyDescent="0.25">
      <c r="A1030" s="3" t="s">
        <v>1341</v>
      </c>
      <c r="B1030">
        <v>28.1</v>
      </c>
      <c r="C1030" t="str" cm="1">
        <f t="array" ref="C1030">_xlfn.IFS(B1030&lt;=18.5,  "Underweight",B1030&lt;=24.9,"Normal weight",B1030&lt;=29.9, "Over weight",B1030&gt;=30,"Obesity")</f>
        <v>Over weight</v>
      </c>
      <c r="D1030">
        <v>11.2</v>
      </c>
      <c r="E1030" t="str" cm="1">
        <f t="array" ref="E1030">_xlfn.IFS(D1030&lt;5.7,"Normal",D1030&lt;=6.4,"Prediabetes",D1030&gt;=6.5,"Diabetes")</f>
        <v>Diabetes</v>
      </c>
      <c r="F1030" s="3" t="s">
        <v>2379</v>
      </c>
      <c r="G1030" s="3" t="s">
        <v>2379</v>
      </c>
      <c r="H1030" s="3" t="s">
        <v>2379</v>
      </c>
      <c r="I1030" s="1" t="s">
        <v>2380</v>
      </c>
      <c r="J1030">
        <v>0</v>
      </c>
      <c r="K1030" s="3" t="s">
        <v>2379</v>
      </c>
      <c r="P1030" s="3"/>
    </row>
    <row r="1031" spans="1:16" x14ac:dyDescent="0.25">
      <c r="A1031" s="3" t="s">
        <v>1340</v>
      </c>
      <c r="B1031">
        <v>37.43</v>
      </c>
      <c r="C1031" t="str" cm="1">
        <f t="array" ref="C1031">_xlfn.IFS(B1031&lt;=18.5,  "Underweight",B1031&lt;=24.9,"Normal weight",B1031&lt;=29.9, "Over weight",B1031&gt;=30,"Obesity")</f>
        <v>Obesity</v>
      </c>
      <c r="D1031">
        <v>4.3499999999999996</v>
      </c>
      <c r="E1031" t="str" cm="1">
        <f t="array" ref="E1031">_xlfn.IFS(D1031&lt;5.7,"Normal",D1031&lt;=6.4,"Prediabetes",D1031&gt;=6.5,"Diabetes")</f>
        <v>Normal</v>
      </c>
      <c r="F1031" s="3" t="s">
        <v>2382</v>
      </c>
      <c r="G1031" s="3" t="s">
        <v>2379</v>
      </c>
      <c r="H1031" s="3" t="s">
        <v>2382</v>
      </c>
      <c r="I1031" s="1">
        <v>1</v>
      </c>
      <c r="J1031">
        <v>1</v>
      </c>
      <c r="K1031" s="3" t="s">
        <v>2379</v>
      </c>
      <c r="P1031" s="3"/>
    </row>
    <row r="1032" spans="1:16" x14ac:dyDescent="0.25">
      <c r="A1032" s="3" t="s">
        <v>1339</v>
      </c>
      <c r="B1032">
        <v>23.7</v>
      </c>
      <c r="C1032" t="str" cm="1">
        <f t="array" ref="C1032">_xlfn.IFS(B1032&lt;=18.5,  "Underweight",B1032&lt;=24.9,"Normal weight",B1032&lt;=29.9, "Over weight",B1032&gt;=30,"Obesity")</f>
        <v>Normal weight</v>
      </c>
      <c r="D1032">
        <v>10.45</v>
      </c>
      <c r="E1032" t="str" cm="1">
        <f t="array" ref="E1032">_xlfn.IFS(D1032&lt;5.7,"Normal",D1032&lt;=6.4,"Prediabetes",D1032&gt;=6.5,"Diabetes")</f>
        <v>Diabetes</v>
      </c>
      <c r="F1032" s="3" t="s">
        <v>2379</v>
      </c>
      <c r="G1032" s="3" t="s">
        <v>2379</v>
      </c>
      <c r="H1032" s="3" t="s">
        <v>2379</v>
      </c>
      <c r="I1032" s="1" t="s">
        <v>2380</v>
      </c>
      <c r="J1032">
        <v>0</v>
      </c>
      <c r="K1032" s="3" t="s">
        <v>2379</v>
      </c>
      <c r="P1032" s="3"/>
    </row>
    <row r="1033" spans="1:16" x14ac:dyDescent="0.25">
      <c r="A1033" s="3" t="s">
        <v>1338</v>
      </c>
      <c r="B1033">
        <v>24.795000000000002</v>
      </c>
      <c r="C1033" t="str" cm="1">
        <f t="array" ref="C1033">_xlfn.IFS(B1033&lt;=18.5,  "Underweight",B1033&lt;=24.9,"Normal weight",B1033&lt;=29.9, "Over weight",B1033&gt;=30,"Obesity")</f>
        <v>Normal weight</v>
      </c>
      <c r="D1033">
        <v>4.07</v>
      </c>
      <c r="E1033" t="str" cm="1">
        <f t="array" ref="E1033">_xlfn.IFS(D1033&lt;5.7,"Normal",D1033&lt;=6.4,"Prediabetes",D1033&gt;=6.5,"Diabetes")</f>
        <v>Normal</v>
      </c>
      <c r="F1033" s="3" t="s">
        <v>2382</v>
      </c>
      <c r="G1033" s="3" t="s">
        <v>2379</v>
      </c>
      <c r="H1033" s="3" t="s">
        <v>2382</v>
      </c>
      <c r="I1033" s="1">
        <v>1</v>
      </c>
      <c r="J1033">
        <v>1</v>
      </c>
      <c r="K1033" s="3" t="s">
        <v>2379</v>
      </c>
      <c r="P1033" s="3"/>
    </row>
    <row r="1034" spans="1:16" x14ac:dyDescent="0.25">
      <c r="A1034" s="3" t="s">
        <v>1337</v>
      </c>
      <c r="B1034">
        <v>31.9</v>
      </c>
      <c r="C1034" t="str" cm="1">
        <f t="array" ref="C1034">_xlfn.IFS(B1034&lt;=18.5,  "Underweight",B1034&lt;=24.9,"Normal weight",B1034&lt;=29.9, "Over weight",B1034&gt;=30,"Obesity")</f>
        <v>Obesity</v>
      </c>
      <c r="D1034">
        <v>8.34</v>
      </c>
      <c r="E1034" t="str" cm="1">
        <f t="array" ref="E1034">_xlfn.IFS(D1034&lt;5.7,"Normal",D1034&lt;=6.4,"Prediabetes",D1034&gt;=6.5,"Diabetes")</f>
        <v>Diabetes</v>
      </c>
      <c r="F1034" s="3" t="s">
        <v>2379</v>
      </c>
      <c r="G1034" s="3" t="s">
        <v>2379</v>
      </c>
      <c r="H1034" s="3" t="s">
        <v>2379</v>
      </c>
      <c r="I1034" s="1" t="s">
        <v>2380</v>
      </c>
      <c r="J1034">
        <v>0</v>
      </c>
      <c r="K1034" s="3" t="s">
        <v>2379</v>
      </c>
      <c r="P1034" s="3"/>
    </row>
    <row r="1035" spans="1:16" x14ac:dyDescent="0.25">
      <c r="A1035" s="3" t="s">
        <v>1336</v>
      </c>
      <c r="B1035">
        <v>32.68</v>
      </c>
      <c r="C1035" t="str" cm="1">
        <f t="array" ref="C1035">_xlfn.IFS(B1035&lt;=18.5,  "Underweight",B1035&lt;=24.9,"Normal weight",B1035&lt;=29.9, "Over weight",B1035&gt;=30,"Obesity")</f>
        <v>Obesity</v>
      </c>
      <c r="D1035">
        <v>7.41</v>
      </c>
      <c r="E1035" t="str" cm="1">
        <f t="array" ref="E1035">_xlfn.IFS(D1035&lt;5.7,"Normal",D1035&lt;=6.4,"Prediabetes",D1035&gt;=6.5,"Diabetes")</f>
        <v>Diabetes</v>
      </c>
      <c r="F1035" s="3" t="s">
        <v>2379</v>
      </c>
      <c r="G1035" s="3" t="s">
        <v>2379</v>
      </c>
      <c r="H1035" s="3" t="s">
        <v>2379</v>
      </c>
      <c r="I1035" s="1" t="s">
        <v>2380</v>
      </c>
      <c r="J1035">
        <v>0</v>
      </c>
      <c r="K1035" s="3" t="s">
        <v>2379</v>
      </c>
      <c r="P1035" s="3"/>
    </row>
    <row r="1036" spans="1:16" x14ac:dyDescent="0.25">
      <c r="A1036" s="3" t="s">
        <v>1335</v>
      </c>
      <c r="B1036">
        <v>47.13</v>
      </c>
      <c r="C1036" t="str" cm="1">
        <f t="array" ref="C1036">_xlfn.IFS(B1036&lt;=18.5,  "Underweight",B1036&lt;=24.9,"Normal weight",B1036&lt;=29.9, "Over weight",B1036&gt;=30,"Obesity")</f>
        <v>Obesity</v>
      </c>
      <c r="D1036">
        <v>4.3099999999999996</v>
      </c>
      <c r="E1036" t="str" cm="1">
        <f t="array" ref="E1036">_xlfn.IFS(D1036&lt;5.7,"Normal",D1036&lt;=6.4,"Prediabetes",D1036&gt;=6.5,"Diabetes")</f>
        <v>Normal</v>
      </c>
      <c r="F1036" s="3" t="s">
        <v>2379</v>
      </c>
      <c r="G1036" s="3" t="s">
        <v>2379</v>
      </c>
      <c r="H1036" s="3" t="s">
        <v>2379</v>
      </c>
      <c r="I1036" s="1" t="s">
        <v>2380</v>
      </c>
      <c r="J1036">
        <v>0</v>
      </c>
      <c r="K1036" s="3" t="s">
        <v>2379</v>
      </c>
      <c r="P1036" s="3"/>
    </row>
    <row r="1037" spans="1:16" x14ac:dyDescent="0.25">
      <c r="A1037" s="3" t="s">
        <v>1334</v>
      </c>
      <c r="B1037">
        <v>36.67</v>
      </c>
      <c r="C1037" t="str" cm="1">
        <f t="array" ref="C1037">_xlfn.IFS(B1037&lt;=18.5,  "Underweight",B1037&lt;=24.9,"Normal weight",B1037&lt;=29.9, "Over weight",B1037&gt;=30,"Obesity")</f>
        <v>Obesity</v>
      </c>
      <c r="D1037">
        <v>10.83</v>
      </c>
      <c r="E1037" t="str" cm="1">
        <f t="array" ref="E1037">_xlfn.IFS(D1037&lt;5.7,"Normal",D1037&lt;=6.4,"Prediabetes",D1037&gt;=6.5,"Diabetes")</f>
        <v>Diabetes</v>
      </c>
      <c r="F1037" s="3" t="s">
        <v>2379</v>
      </c>
      <c r="G1037" s="3" t="s">
        <v>2379</v>
      </c>
      <c r="H1037" s="3" t="s">
        <v>2379</v>
      </c>
      <c r="I1037" s="1" t="s">
        <v>2380</v>
      </c>
      <c r="J1037">
        <v>0</v>
      </c>
      <c r="K1037" s="3" t="s">
        <v>2379</v>
      </c>
      <c r="P1037" s="3"/>
    </row>
    <row r="1038" spans="1:16" x14ac:dyDescent="0.25">
      <c r="A1038" s="3" t="s">
        <v>1333</v>
      </c>
      <c r="B1038">
        <v>33.630000000000003</v>
      </c>
      <c r="C1038" t="str" cm="1">
        <f t="array" ref="C1038">_xlfn.IFS(B1038&lt;=18.5,  "Underweight",B1038&lt;=24.9,"Normal weight",B1038&lt;=29.9, "Over weight",B1038&gt;=30,"Obesity")</f>
        <v>Obesity</v>
      </c>
      <c r="D1038">
        <v>11.31</v>
      </c>
      <c r="E1038" t="str" cm="1">
        <f t="array" ref="E1038">_xlfn.IFS(D1038&lt;5.7,"Normal",D1038&lt;=6.4,"Prediabetes",D1038&gt;=6.5,"Diabetes")</f>
        <v>Diabetes</v>
      </c>
      <c r="F1038" s="3" t="s">
        <v>2379</v>
      </c>
      <c r="G1038" s="3" t="s">
        <v>2379</v>
      </c>
      <c r="H1038" s="3" t="s">
        <v>2379</v>
      </c>
      <c r="I1038" s="1" t="s">
        <v>2380</v>
      </c>
      <c r="J1038">
        <v>0</v>
      </c>
      <c r="K1038" s="3" t="s">
        <v>2379</v>
      </c>
      <c r="P1038" s="3"/>
    </row>
    <row r="1039" spans="1:16" x14ac:dyDescent="0.25">
      <c r="A1039" s="3" t="s">
        <v>1332</v>
      </c>
      <c r="B1039">
        <v>32.67</v>
      </c>
      <c r="C1039" t="str" cm="1">
        <f t="array" ref="C1039">_xlfn.IFS(B1039&lt;=18.5,  "Underweight",B1039&lt;=24.9,"Normal weight",B1039&lt;=29.9, "Over weight",B1039&gt;=30,"Obesity")</f>
        <v>Obesity</v>
      </c>
      <c r="D1039">
        <v>11.81</v>
      </c>
      <c r="E1039" t="str" cm="1">
        <f t="array" ref="E1039">_xlfn.IFS(D1039&lt;5.7,"Normal",D1039&lt;=6.4,"Prediabetes",D1039&gt;=6.5,"Diabetes")</f>
        <v>Diabetes</v>
      </c>
      <c r="F1039" s="3" t="s">
        <v>2382</v>
      </c>
      <c r="G1039" s="3" t="s">
        <v>2379</v>
      </c>
      <c r="H1039" s="3" t="s">
        <v>2379</v>
      </c>
      <c r="I1039" s="1" t="s">
        <v>2380</v>
      </c>
      <c r="J1039">
        <v>0</v>
      </c>
      <c r="K1039" s="3" t="s">
        <v>2379</v>
      </c>
      <c r="P1039" s="3"/>
    </row>
    <row r="1040" spans="1:16" x14ac:dyDescent="0.25">
      <c r="A1040" s="3" t="s">
        <v>1331</v>
      </c>
      <c r="B1040">
        <v>33.299999999999997</v>
      </c>
      <c r="C1040" t="str" cm="1">
        <f t="array" ref="C1040">_xlfn.IFS(B1040&lt;=18.5,  "Underweight",B1040&lt;=24.9,"Normal weight",B1040&lt;=29.9, "Over weight",B1040&gt;=30,"Obesity")</f>
        <v>Obesity</v>
      </c>
      <c r="D1040">
        <v>8.26</v>
      </c>
      <c r="E1040" t="str" cm="1">
        <f t="array" ref="E1040">_xlfn.IFS(D1040&lt;5.7,"Normal",D1040&lt;=6.4,"Prediabetes",D1040&gt;=6.5,"Diabetes")</f>
        <v>Diabetes</v>
      </c>
      <c r="F1040" s="3" t="s">
        <v>2382</v>
      </c>
      <c r="G1040" s="3" t="s">
        <v>2379</v>
      </c>
      <c r="H1040" s="3" t="s">
        <v>2379</v>
      </c>
      <c r="I1040" s="1">
        <v>2</v>
      </c>
      <c r="J1040">
        <v>2</v>
      </c>
      <c r="K1040" s="3" t="s">
        <v>2379</v>
      </c>
      <c r="P1040" s="3"/>
    </row>
    <row r="1041" spans="1:16" x14ac:dyDescent="0.25">
      <c r="A1041" s="3" t="s">
        <v>1330</v>
      </c>
      <c r="B1041">
        <v>30.78</v>
      </c>
      <c r="C1041" t="str" cm="1">
        <f t="array" ref="C1041">_xlfn.IFS(B1041&lt;=18.5,  "Underweight",B1041&lt;=24.9,"Normal weight",B1041&lt;=29.9, "Over weight",B1041&gt;=30,"Obesity")</f>
        <v>Obesity</v>
      </c>
      <c r="D1041">
        <v>10.74</v>
      </c>
      <c r="E1041" t="str" cm="1">
        <f t="array" ref="E1041">_xlfn.IFS(D1041&lt;5.7,"Normal",D1041&lt;=6.4,"Prediabetes",D1041&gt;=6.5,"Diabetes")</f>
        <v>Diabetes</v>
      </c>
      <c r="F1041" s="3" t="s">
        <v>2382</v>
      </c>
      <c r="G1041" s="3" t="s">
        <v>2379</v>
      </c>
      <c r="H1041" s="3" t="s">
        <v>2379</v>
      </c>
      <c r="I1041" s="1">
        <v>2</v>
      </c>
      <c r="J1041">
        <v>2</v>
      </c>
      <c r="K1041" s="3" t="s">
        <v>2379</v>
      </c>
      <c r="P1041" s="3"/>
    </row>
    <row r="1042" spans="1:16" x14ac:dyDescent="0.25">
      <c r="A1042" s="3" t="s">
        <v>1329</v>
      </c>
      <c r="B1042">
        <v>28.975000000000001</v>
      </c>
      <c r="C1042" t="str" cm="1">
        <f t="array" ref="C1042">_xlfn.IFS(B1042&lt;=18.5,  "Underweight",B1042&lt;=24.9,"Normal weight",B1042&lt;=29.9, "Over weight",B1042&gt;=30,"Obesity")</f>
        <v>Over weight</v>
      </c>
      <c r="D1042">
        <v>7.69</v>
      </c>
      <c r="E1042" t="str" cm="1">
        <f t="array" ref="E1042">_xlfn.IFS(D1042&lt;5.7,"Normal",D1042&lt;=6.4,"Prediabetes",D1042&gt;=6.5,"Diabetes")</f>
        <v>Diabetes</v>
      </c>
      <c r="F1042" s="3" t="s">
        <v>2382</v>
      </c>
      <c r="G1042" s="3" t="s">
        <v>2379</v>
      </c>
      <c r="H1042" s="3" t="s">
        <v>2379</v>
      </c>
      <c r="I1042" s="1" t="s">
        <v>2380</v>
      </c>
      <c r="J1042">
        <v>0</v>
      </c>
      <c r="K1042" s="3" t="s">
        <v>2379</v>
      </c>
      <c r="P1042" s="3"/>
    </row>
    <row r="1043" spans="1:16" x14ac:dyDescent="0.25">
      <c r="A1043" s="3" t="s">
        <v>1328</v>
      </c>
      <c r="B1043">
        <v>33.4</v>
      </c>
      <c r="C1043" t="str" cm="1">
        <f t="array" ref="C1043">_xlfn.IFS(B1043&lt;=18.5,  "Underweight",B1043&lt;=24.9,"Normal weight",B1043&lt;=29.9, "Over weight",B1043&gt;=30,"Obesity")</f>
        <v>Obesity</v>
      </c>
      <c r="D1043">
        <v>4.84</v>
      </c>
      <c r="E1043" t="str" cm="1">
        <f t="array" ref="E1043">_xlfn.IFS(D1043&lt;5.7,"Normal",D1043&lt;=6.4,"Prediabetes",D1043&gt;=6.5,"Diabetes")</f>
        <v>Normal</v>
      </c>
      <c r="F1043" s="3" t="s">
        <v>2379</v>
      </c>
      <c r="G1043" s="3" t="s">
        <v>2379</v>
      </c>
      <c r="H1043" s="3" t="s">
        <v>2379</v>
      </c>
      <c r="I1043" s="1" t="s">
        <v>2380</v>
      </c>
      <c r="J1043">
        <v>0</v>
      </c>
      <c r="K1043" s="3" t="s">
        <v>2379</v>
      </c>
      <c r="P1043" s="3"/>
    </row>
    <row r="1044" spans="1:16" x14ac:dyDescent="0.25">
      <c r="A1044" s="3" t="s">
        <v>1327</v>
      </c>
      <c r="B1044">
        <v>21.5</v>
      </c>
      <c r="C1044" t="str" cm="1">
        <f t="array" ref="C1044">_xlfn.IFS(B1044&lt;=18.5,  "Underweight",B1044&lt;=24.9,"Normal weight",B1044&lt;=29.9, "Over weight",B1044&gt;=30,"Obesity")</f>
        <v>Normal weight</v>
      </c>
      <c r="D1044">
        <v>9.77</v>
      </c>
      <c r="E1044" t="str" cm="1">
        <f t="array" ref="E1044">_xlfn.IFS(D1044&lt;5.7,"Normal",D1044&lt;=6.4,"Prediabetes",D1044&gt;=6.5,"Diabetes")</f>
        <v>Diabetes</v>
      </c>
      <c r="F1044" s="3" t="s">
        <v>2382</v>
      </c>
      <c r="G1044" s="3" t="s">
        <v>2379</v>
      </c>
      <c r="H1044" s="3" t="s">
        <v>2379</v>
      </c>
      <c r="I1044" s="1" t="s">
        <v>2380</v>
      </c>
      <c r="J1044">
        <v>0</v>
      </c>
      <c r="K1044" s="3" t="s">
        <v>2379</v>
      </c>
      <c r="P1044" s="3"/>
    </row>
    <row r="1045" spans="1:16" x14ac:dyDescent="0.25">
      <c r="A1045" s="3" t="s">
        <v>1326</v>
      </c>
      <c r="B1045">
        <v>38.14</v>
      </c>
      <c r="C1045" t="str" cm="1">
        <f t="array" ref="C1045">_xlfn.IFS(B1045&lt;=18.5,  "Underweight",B1045&lt;=24.9,"Normal weight",B1045&lt;=29.9, "Over weight",B1045&gt;=30,"Obesity")</f>
        <v>Obesity</v>
      </c>
      <c r="D1045">
        <v>5.84</v>
      </c>
      <c r="E1045" t="str" cm="1">
        <f t="array" ref="E1045">_xlfn.IFS(D1045&lt;5.7,"Normal",D1045&lt;=6.4,"Prediabetes",D1045&gt;=6.5,"Diabetes")</f>
        <v>Prediabetes</v>
      </c>
      <c r="F1045" s="3" t="s">
        <v>2379</v>
      </c>
      <c r="G1045" s="3" t="s">
        <v>2379</v>
      </c>
      <c r="H1045" s="3" t="s">
        <v>2379</v>
      </c>
      <c r="I1045" s="1" t="s">
        <v>2380</v>
      </c>
      <c r="J1045">
        <v>0</v>
      </c>
      <c r="K1045" s="3" t="s">
        <v>2379</v>
      </c>
      <c r="P1045" s="3"/>
    </row>
    <row r="1046" spans="1:16" x14ac:dyDescent="0.25">
      <c r="A1046" s="3" t="s">
        <v>1325</v>
      </c>
      <c r="B1046">
        <v>35.42</v>
      </c>
      <c r="C1046" t="str" cm="1">
        <f t="array" ref="C1046">_xlfn.IFS(B1046&lt;=18.5,  "Underweight",B1046&lt;=24.9,"Normal weight",B1046&lt;=29.9, "Over weight",B1046&gt;=30,"Obesity")</f>
        <v>Obesity</v>
      </c>
      <c r="D1046">
        <v>8.6999999999999993</v>
      </c>
      <c r="E1046" t="str" cm="1">
        <f t="array" ref="E1046">_xlfn.IFS(D1046&lt;5.7,"Normal",D1046&lt;=6.4,"Prediabetes",D1046&gt;=6.5,"Diabetes")</f>
        <v>Diabetes</v>
      </c>
      <c r="F1046" s="3" t="s">
        <v>2382</v>
      </c>
      <c r="G1046" s="3" t="s">
        <v>2379</v>
      </c>
      <c r="H1046" s="3" t="s">
        <v>2379</v>
      </c>
      <c r="I1046" s="1">
        <v>1</v>
      </c>
      <c r="J1046">
        <v>1</v>
      </c>
      <c r="K1046" s="3" t="s">
        <v>2379</v>
      </c>
      <c r="P1046" s="3"/>
    </row>
    <row r="1047" spans="1:16" x14ac:dyDescent="0.25">
      <c r="A1047" s="3" t="s">
        <v>1324</v>
      </c>
      <c r="B1047">
        <v>35.625</v>
      </c>
      <c r="C1047" t="str" cm="1">
        <f t="array" ref="C1047">_xlfn.IFS(B1047&lt;=18.5,  "Underweight",B1047&lt;=24.9,"Normal weight",B1047&lt;=29.9, "Over weight",B1047&gt;=30,"Obesity")</f>
        <v>Obesity</v>
      </c>
      <c r="D1047">
        <v>10.79</v>
      </c>
      <c r="E1047" t="str" cm="1">
        <f t="array" ref="E1047">_xlfn.IFS(D1047&lt;5.7,"Normal",D1047&lt;=6.4,"Prediabetes",D1047&gt;=6.5,"Diabetes")</f>
        <v>Diabetes</v>
      </c>
      <c r="F1047" s="3" t="s">
        <v>2379</v>
      </c>
      <c r="G1047" s="3" t="s">
        <v>2379</v>
      </c>
      <c r="H1047" s="3" t="s">
        <v>2379</v>
      </c>
      <c r="I1047" s="1" t="s">
        <v>2380</v>
      </c>
      <c r="J1047">
        <v>0</v>
      </c>
      <c r="K1047" s="3" t="s">
        <v>2379</v>
      </c>
      <c r="P1047" s="3"/>
    </row>
    <row r="1048" spans="1:16" x14ac:dyDescent="0.25">
      <c r="A1048" s="3" t="s">
        <v>1323</v>
      </c>
      <c r="B1048">
        <v>45.51</v>
      </c>
      <c r="C1048" t="str" cm="1">
        <f t="array" ref="C1048">_xlfn.IFS(B1048&lt;=18.5,  "Underweight",B1048&lt;=24.9,"Normal weight",B1048&lt;=29.9, "Over weight",B1048&gt;=30,"Obesity")</f>
        <v>Obesity</v>
      </c>
      <c r="D1048">
        <v>4.32</v>
      </c>
      <c r="E1048" t="str" cm="1">
        <f t="array" ref="E1048">_xlfn.IFS(D1048&lt;5.7,"Normal",D1048&lt;=6.4,"Prediabetes",D1048&gt;=6.5,"Diabetes")</f>
        <v>Normal</v>
      </c>
      <c r="F1048" s="3" t="s">
        <v>2379</v>
      </c>
      <c r="G1048" s="3" t="s">
        <v>2379</v>
      </c>
      <c r="H1048" s="3" t="s">
        <v>2379</v>
      </c>
      <c r="I1048" s="1">
        <v>1</v>
      </c>
      <c r="J1048">
        <v>1</v>
      </c>
      <c r="K1048" s="3" t="s">
        <v>2379</v>
      </c>
      <c r="P1048" s="3"/>
    </row>
    <row r="1049" spans="1:16" x14ac:dyDescent="0.25">
      <c r="A1049" s="3" t="s">
        <v>1322</v>
      </c>
      <c r="B1049">
        <v>37.1</v>
      </c>
      <c r="C1049" t="str" cm="1">
        <f t="array" ref="C1049">_xlfn.IFS(B1049&lt;=18.5,  "Underweight",B1049&lt;=24.9,"Normal weight",B1049&lt;=29.9, "Over weight",B1049&gt;=30,"Obesity")</f>
        <v>Obesity</v>
      </c>
      <c r="D1049">
        <v>7.19</v>
      </c>
      <c r="E1049" t="str" cm="1">
        <f t="array" ref="E1049">_xlfn.IFS(D1049&lt;5.7,"Normal",D1049&lt;=6.4,"Prediabetes",D1049&gt;=6.5,"Diabetes")</f>
        <v>Diabetes</v>
      </c>
      <c r="F1049" s="3" t="s">
        <v>2382</v>
      </c>
      <c r="G1049" s="3" t="s">
        <v>2379</v>
      </c>
      <c r="H1049" s="3" t="s">
        <v>2379</v>
      </c>
      <c r="I1049" s="1" t="s">
        <v>2380</v>
      </c>
      <c r="J1049">
        <v>0</v>
      </c>
      <c r="K1049" s="3" t="s">
        <v>2379</v>
      </c>
      <c r="P1049" s="3"/>
    </row>
    <row r="1050" spans="1:16" x14ac:dyDescent="0.25">
      <c r="A1050" s="3" t="s">
        <v>1321</v>
      </c>
      <c r="B1050">
        <v>30.5</v>
      </c>
      <c r="C1050" t="str" cm="1">
        <f t="array" ref="C1050">_xlfn.IFS(B1050&lt;=18.5,  "Underweight",B1050&lt;=24.9,"Normal weight",B1050&lt;=29.9, "Over weight",B1050&gt;=30,"Obesity")</f>
        <v>Obesity</v>
      </c>
      <c r="D1050">
        <v>11.94</v>
      </c>
      <c r="E1050" t="str" cm="1">
        <f t="array" ref="E1050">_xlfn.IFS(D1050&lt;5.7,"Normal",D1050&lt;=6.4,"Prediabetes",D1050&gt;=6.5,"Diabetes")</f>
        <v>Diabetes</v>
      </c>
      <c r="F1050" s="3" t="s">
        <v>2382</v>
      </c>
      <c r="G1050" s="3" t="s">
        <v>2379</v>
      </c>
      <c r="H1050" s="3" t="s">
        <v>2379</v>
      </c>
      <c r="I1050" s="1" t="s">
        <v>2380</v>
      </c>
      <c r="J1050">
        <v>0</v>
      </c>
      <c r="K1050" s="3" t="s">
        <v>2379</v>
      </c>
      <c r="P1050" s="3"/>
    </row>
    <row r="1051" spans="1:16" x14ac:dyDescent="0.25">
      <c r="A1051" s="3" t="s">
        <v>1320</v>
      </c>
      <c r="B1051">
        <v>28.16</v>
      </c>
      <c r="C1051" t="str" cm="1">
        <f t="array" ref="C1051">_xlfn.IFS(B1051&lt;=18.5,  "Underweight",B1051&lt;=24.9,"Normal weight",B1051&lt;=29.9, "Over weight",B1051&gt;=30,"Obesity")</f>
        <v>Over weight</v>
      </c>
      <c r="D1051">
        <v>5.56</v>
      </c>
      <c r="E1051" t="str" cm="1">
        <f t="array" ref="E1051">_xlfn.IFS(D1051&lt;5.7,"Normal",D1051&lt;=6.4,"Prediabetes",D1051&gt;=6.5,"Diabetes")</f>
        <v>Normal</v>
      </c>
      <c r="F1051" s="3" t="s">
        <v>2379</v>
      </c>
      <c r="G1051" s="3" t="s">
        <v>2379</v>
      </c>
      <c r="H1051" s="3" t="s">
        <v>2379</v>
      </c>
      <c r="I1051" s="1">
        <v>2</v>
      </c>
      <c r="J1051">
        <v>2</v>
      </c>
      <c r="K1051" s="3" t="s">
        <v>2379</v>
      </c>
      <c r="P1051" s="3"/>
    </row>
    <row r="1052" spans="1:16" x14ac:dyDescent="0.25">
      <c r="A1052" s="3" t="s">
        <v>1319</v>
      </c>
      <c r="B1052">
        <v>29.1</v>
      </c>
      <c r="C1052" t="str" cm="1">
        <f t="array" ref="C1052">_xlfn.IFS(B1052&lt;=18.5,  "Underweight",B1052&lt;=24.9,"Normal weight",B1052&lt;=29.9, "Over weight",B1052&gt;=30,"Obesity")</f>
        <v>Over weight</v>
      </c>
      <c r="D1052">
        <v>5.64</v>
      </c>
      <c r="E1052" t="str" cm="1">
        <f t="array" ref="E1052">_xlfn.IFS(D1052&lt;5.7,"Normal",D1052&lt;=6.4,"Prediabetes",D1052&gt;=6.5,"Diabetes")</f>
        <v>Normal</v>
      </c>
      <c r="F1052" s="3" t="s">
        <v>2382</v>
      </c>
      <c r="G1052" s="3" t="s">
        <v>2379</v>
      </c>
      <c r="H1052" s="3" t="s">
        <v>2379</v>
      </c>
      <c r="I1052" s="1" t="s">
        <v>2380</v>
      </c>
      <c r="J1052">
        <v>0</v>
      </c>
      <c r="K1052" s="3" t="s">
        <v>2379</v>
      </c>
      <c r="P1052" s="3"/>
    </row>
    <row r="1053" spans="1:16" x14ac:dyDescent="0.25">
      <c r="A1053" s="3" t="s">
        <v>1318</v>
      </c>
      <c r="B1053">
        <v>30.22</v>
      </c>
      <c r="C1053" t="str" cm="1">
        <f t="array" ref="C1053">_xlfn.IFS(B1053&lt;=18.5,  "Underweight",B1053&lt;=24.9,"Normal weight",B1053&lt;=29.9, "Over weight",B1053&gt;=30,"Obesity")</f>
        <v>Obesity</v>
      </c>
      <c r="D1053">
        <v>4.6500000000000004</v>
      </c>
      <c r="E1053" t="str" cm="1">
        <f t="array" ref="E1053">_xlfn.IFS(D1053&lt;5.7,"Normal",D1053&lt;=6.4,"Prediabetes",D1053&gt;=6.5,"Diabetes")</f>
        <v>Normal</v>
      </c>
      <c r="F1053" s="3" t="s">
        <v>2379</v>
      </c>
      <c r="G1053" s="3" t="s">
        <v>2379</v>
      </c>
      <c r="H1053" s="3" t="s">
        <v>2379</v>
      </c>
      <c r="I1053" s="1" t="s">
        <v>2380</v>
      </c>
      <c r="J1053">
        <v>0</v>
      </c>
      <c r="K1053" s="3" t="s">
        <v>2379</v>
      </c>
      <c r="P1053" s="3"/>
    </row>
    <row r="1054" spans="1:16" x14ac:dyDescent="0.25">
      <c r="A1054" s="3" t="s">
        <v>1317</v>
      </c>
      <c r="B1054">
        <v>24.29</v>
      </c>
      <c r="C1054" t="str" cm="1">
        <f t="array" ref="C1054">_xlfn.IFS(B1054&lt;=18.5,  "Underweight",B1054&lt;=24.9,"Normal weight",B1054&lt;=29.9, "Over weight",B1054&gt;=30,"Obesity")</f>
        <v>Normal weight</v>
      </c>
      <c r="D1054">
        <v>9.0500000000000007</v>
      </c>
      <c r="E1054" t="str" cm="1">
        <f t="array" ref="E1054">_xlfn.IFS(D1054&lt;5.7,"Normal",D1054&lt;=6.4,"Prediabetes",D1054&gt;=6.5,"Diabetes")</f>
        <v>Diabetes</v>
      </c>
      <c r="F1054" s="3" t="s">
        <v>2379</v>
      </c>
      <c r="G1054" s="3" t="s">
        <v>2379</v>
      </c>
      <c r="H1054" s="3" t="s">
        <v>2379</v>
      </c>
      <c r="I1054" s="1" t="s">
        <v>2380</v>
      </c>
      <c r="J1054">
        <v>0</v>
      </c>
      <c r="K1054" s="3" t="s">
        <v>2379</v>
      </c>
      <c r="P1054" s="3"/>
    </row>
    <row r="1055" spans="1:16" x14ac:dyDescent="0.25">
      <c r="A1055" s="3" t="s">
        <v>1316</v>
      </c>
      <c r="B1055">
        <v>29.39</v>
      </c>
      <c r="C1055" t="str" cm="1">
        <f t="array" ref="C1055">_xlfn.IFS(B1055&lt;=18.5,  "Underweight",B1055&lt;=24.9,"Normal weight",B1055&lt;=29.9, "Over weight",B1055&gt;=30,"Obesity")</f>
        <v>Over weight</v>
      </c>
      <c r="D1055">
        <v>4.5199999999999996</v>
      </c>
      <c r="E1055" t="str" cm="1">
        <f t="array" ref="E1055">_xlfn.IFS(D1055&lt;5.7,"Normal",D1055&lt;=6.4,"Prediabetes",D1055&gt;=6.5,"Diabetes")</f>
        <v>Normal</v>
      </c>
      <c r="F1055" s="3" t="s">
        <v>2382</v>
      </c>
      <c r="G1055" s="3" t="s">
        <v>2379</v>
      </c>
      <c r="H1055" s="3" t="s">
        <v>2379</v>
      </c>
      <c r="I1055" s="1" t="s">
        <v>2380</v>
      </c>
      <c r="J1055">
        <v>0</v>
      </c>
      <c r="K1055" s="3" t="s">
        <v>2379</v>
      </c>
      <c r="P1055" s="3"/>
    </row>
    <row r="1056" spans="1:16" x14ac:dyDescent="0.25">
      <c r="A1056" s="3" t="s">
        <v>1315</v>
      </c>
      <c r="B1056">
        <v>25.66</v>
      </c>
      <c r="C1056" t="str" cm="1">
        <f t="array" ref="C1056">_xlfn.IFS(B1056&lt;=18.5,  "Underweight",B1056&lt;=24.9,"Normal weight",B1056&lt;=29.9, "Over weight",B1056&gt;=30,"Obesity")</f>
        <v>Over weight</v>
      </c>
      <c r="D1056">
        <v>4.62</v>
      </c>
      <c r="E1056" t="str" cm="1">
        <f t="array" ref="E1056">_xlfn.IFS(D1056&lt;5.7,"Normal",D1056&lt;=6.4,"Prediabetes",D1056&gt;=6.5,"Diabetes")</f>
        <v>Normal</v>
      </c>
      <c r="F1056" s="3" t="s">
        <v>2382</v>
      </c>
      <c r="G1056" s="3" t="s">
        <v>2379</v>
      </c>
      <c r="H1056" s="3" t="s">
        <v>2379</v>
      </c>
      <c r="I1056" s="1">
        <v>1</v>
      </c>
      <c r="J1056">
        <v>1</v>
      </c>
      <c r="K1056" s="3" t="s">
        <v>2379</v>
      </c>
      <c r="P1056" s="3"/>
    </row>
    <row r="1057" spans="1:16" x14ac:dyDescent="0.25">
      <c r="A1057" s="3" t="s">
        <v>1314</v>
      </c>
      <c r="B1057">
        <v>39.11</v>
      </c>
      <c r="C1057" t="str" cm="1">
        <f t="array" ref="C1057">_xlfn.IFS(B1057&lt;=18.5,  "Underweight",B1057&lt;=24.9,"Normal weight",B1057&lt;=29.9, "Over weight",B1057&gt;=30,"Obesity")</f>
        <v>Obesity</v>
      </c>
      <c r="D1057">
        <v>5.87</v>
      </c>
      <c r="E1057" t="str" cm="1">
        <f t="array" ref="E1057">_xlfn.IFS(D1057&lt;5.7,"Normal",D1057&lt;=6.4,"Prediabetes",D1057&gt;=6.5,"Diabetes")</f>
        <v>Prediabetes</v>
      </c>
      <c r="F1057" s="3" t="s">
        <v>2379</v>
      </c>
      <c r="G1057" s="3" t="s">
        <v>2379</v>
      </c>
      <c r="H1057" s="3" t="s">
        <v>2379</v>
      </c>
      <c r="I1057" s="1" t="s">
        <v>2380</v>
      </c>
      <c r="J1057">
        <v>0</v>
      </c>
      <c r="K1057" s="3" t="s">
        <v>2379</v>
      </c>
      <c r="P1057" s="3"/>
    </row>
    <row r="1058" spans="1:16" x14ac:dyDescent="0.25">
      <c r="A1058" s="3" t="s">
        <v>1313</v>
      </c>
      <c r="B1058">
        <v>43.78</v>
      </c>
      <c r="C1058" t="str" cm="1">
        <f t="array" ref="C1058">_xlfn.IFS(B1058&lt;=18.5,  "Underweight",B1058&lt;=24.9,"Normal weight",B1058&lt;=29.9, "Over weight",B1058&gt;=30,"Obesity")</f>
        <v>Obesity</v>
      </c>
      <c r="D1058">
        <v>5.71</v>
      </c>
      <c r="E1058" t="str" cm="1">
        <f t="array" ref="E1058">_xlfn.IFS(D1058&lt;5.7,"Normal",D1058&lt;=6.4,"Prediabetes",D1058&gt;=6.5,"Diabetes")</f>
        <v>Prediabetes</v>
      </c>
      <c r="F1058" s="3" t="s">
        <v>2379</v>
      </c>
      <c r="G1058" s="3" t="s">
        <v>2379</v>
      </c>
      <c r="H1058" s="3" t="s">
        <v>2379</v>
      </c>
      <c r="I1058" s="1">
        <v>1</v>
      </c>
      <c r="J1058">
        <v>1</v>
      </c>
      <c r="K1058" s="3" t="s">
        <v>2379</v>
      </c>
      <c r="P1058" s="3"/>
    </row>
    <row r="1059" spans="1:16" x14ac:dyDescent="0.25">
      <c r="A1059" s="3" t="s">
        <v>1312</v>
      </c>
      <c r="B1059">
        <v>24.35</v>
      </c>
      <c r="C1059" t="str" cm="1">
        <f t="array" ref="C1059">_xlfn.IFS(B1059&lt;=18.5,  "Underweight",B1059&lt;=24.9,"Normal weight",B1059&lt;=29.9, "Over weight",B1059&gt;=30,"Obesity")</f>
        <v>Normal weight</v>
      </c>
      <c r="D1059">
        <v>9.08</v>
      </c>
      <c r="E1059" t="str" cm="1">
        <f t="array" ref="E1059">_xlfn.IFS(D1059&lt;5.7,"Normal",D1059&lt;=6.4,"Prediabetes",D1059&gt;=6.5,"Diabetes")</f>
        <v>Diabetes</v>
      </c>
      <c r="F1059" s="3" t="s">
        <v>2379</v>
      </c>
      <c r="G1059" s="3" t="s">
        <v>2379</v>
      </c>
      <c r="H1059" s="3" t="s">
        <v>2379</v>
      </c>
      <c r="I1059" s="1" t="s">
        <v>2380</v>
      </c>
      <c r="J1059">
        <v>0</v>
      </c>
      <c r="K1059" s="3" t="s">
        <v>2379</v>
      </c>
      <c r="P1059" s="3"/>
    </row>
    <row r="1060" spans="1:16" x14ac:dyDescent="0.25">
      <c r="A1060" s="3" t="s">
        <v>1311</v>
      </c>
      <c r="B1060">
        <v>40.299999999999997</v>
      </c>
      <c r="C1060" t="str" cm="1">
        <f t="array" ref="C1060">_xlfn.IFS(B1060&lt;=18.5,  "Underweight",B1060&lt;=24.9,"Normal weight",B1060&lt;=29.9, "Over weight",B1060&gt;=30,"Obesity")</f>
        <v>Obesity</v>
      </c>
      <c r="D1060">
        <v>5.3</v>
      </c>
      <c r="E1060" t="str" cm="1">
        <f t="array" ref="E1060">_xlfn.IFS(D1060&lt;5.7,"Normal",D1060&lt;=6.4,"Prediabetes",D1060&gt;=6.5,"Diabetes")</f>
        <v>Normal</v>
      </c>
      <c r="F1060" s="3" t="s">
        <v>2382</v>
      </c>
      <c r="G1060" s="3" t="s">
        <v>2379</v>
      </c>
      <c r="H1060" s="3" t="s">
        <v>2379</v>
      </c>
      <c r="I1060" s="1">
        <v>2</v>
      </c>
      <c r="J1060">
        <v>2</v>
      </c>
      <c r="K1060" s="3" t="s">
        <v>2379</v>
      </c>
      <c r="P1060" s="3"/>
    </row>
    <row r="1061" spans="1:16" x14ac:dyDescent="0.25">
      <c r="A1061" s="3" t="s">
        <v>1310</v>
      </c>
      <c r="B1061">
        <v>32.774999999999999</v>
      </c>
      <c r="C1061" t="str" cm="1">
        <f t="array" ref="C1061">_xlfn.IFS(B1061&lt;=18.5,  "Underweight",B1061&lt;=24.9,"Normal weight",B1061&lt;=29.9, "Over weight",B1061&gt;=30,"Obesity")</f>
        <v>Obesity</v>
      </c>
      <c r="D1061">
        <v>11.76</v>
      </c>
      <c r="E1061" t="str" cm="1">
        <f t="array" ref="E1061">_xlfn.IFS(D1061&lt;5.7,"Normal",D1061&lt;=6.4,"Prediabetes",D1061&gt;=6.5,"Diabetes")</f>
        <v>Diabetes</v>
      </c>
      <c r="F1061" s="3" t="s">
        <v>2382</v>
      </c>
      <c r="G1061" s="3" t="s">
        <v>2379</v>
      </c>
      <c r="H1061" s="3" t="s">
        <v>2379</v>
      </c>
      <c r="I1061" s="1" t="s">
        <v>2380</v>
      </c>
      <c r="J1061">
        <v>0</v>
      </c>
      <c r="K1061" s="3" t="s">
        <v>2379</v>
      </c>
      <c r="P1061" s="3"/>
    </row>
    <row r="1062" spans="1:16" x14ac:dyDescent="0.25">
      <c r="A1062" s="3" t="s">
        <v>1309</v>
      </c>
      <c r="B1062">
        <v>39.6</v>
      </c>
      <c r="C1062" t="str" cm="1">
        <f t="array" ref="C1062">_xlfn.IFS(B1062&lt;=18.5,  "Underweight",B1062&lt;=24.9,"Normal weight",B1062&lt;=29.9, "Over weight",B1062&gt;=30,"Obesity")</f>
        <v>Obesity</v>
      </c>
      <c r="D1062">
        <v>5.1100000000000003</v>
      </c>
      <c r="E1062" t="str" cm="1">
        <f t="array" ref="E1062">_xlfn.IFS(D1062&lt;5.7,"Normal",D1062&lt;=6.4,"Prediabetes",D1062&gt;=6.5,"Diabetes")</f>
        <v>Normal</v>
      </c>
      <c r="F1062" s="3" t="s">
        <v>2382</v>
      </c>
      <c r="G1062" s="3" t="s">
        <v>2379</v>
      </c>
      <c r="H1062" s="3" t="s">
        <v>2379</v>
      </c>
      <c r="I1062" s="1">
        <v>2</v>
      </c>
      <c r="J1062">
        <v>2</v>
      </c>
      <c r="K1062" s="3" t="s">
        <v>2379</v>
      </c>
      <c r="P1062" s="3"/>
    </row>
    <row r="1063" spans="1:16" x14ac:dyDescent="0.25">
      <c r="A1063" s="3" t="s">
        <v>1308</v>
      </c>
      <c r="B1063">
        <v>30.97</v>
      </c>
      <c r="C1063" t="str" cm="1">
        <f t="array" ref="C1063">_xlfn.IFS(B1063&lt;=18.5,  "Underweight",B1063&lt;=24.9,"Normal weight",B1063&lt;=29.9, "Over weight",B1063&gt;=30,"Obesity")</f>
        <v>Obesity</v>
      </c>
      <c r="D1063">
        <v>5.54</v>
      </c>
      <c r="E1063" t="str" cm="1">
        <f t="array" ref="E1063">_xlfn.IFS(D1063&lt;5.7,"Normal",D1063&lt;=6.4,"Prediabetes",D1063&gt;=6.5,"Diabetes")</f>
        <v>Normal</v>
      </c>
      <c r="F1063" s="3" t="s">
        <v>2379</v>
      </c>
      <c r="G1063" s="3" t="s">
        <v>2379</v>
      </c>
      <c r="H1063" s="3" t="s">
        <v>2379</v>
      </c>
      <c r="I1063" s="1">
        <v>2</v>
      </c>
      <c r="J1063">
        <v>2</v>
      </c>
      <c r="K1063" s="3" t="s">
        <v>2379</v>
      </c>
      <c r="P1063" s="3"/>
    </row>
    <row r="1064" spans="1:16" x14ac:dyDescent="0.25">
      <c r="A1064" s="3" t="s">
        <v>1307</v>
      </c>
      <c r="B1064">
        <v>27.645</v>
      </c>
      <c r="C1064" t="str" cm="1">
        <f t="array" ref="C1064">_xlfn.IFS(B1064&lt;=18.5,  "Underweight",B1064&lt;=24.9,"Normal weight",B1064&lt;=29.9, "Over weight",B1064&gt;=30,"Obesity")</f>
        <v>Over weight</v>
      </c>
      <c r="D1064">
        <v>8.8699999999999992</v>
      </c>
      <c r="E1064" t="str" cm="1">
        <f t="array" ref="E1064">_xlfn.IFS(D1064&lt;5.7,"Normal",D1064&lt;=6.4,"Prediabetes",D1064&gt;=6.5,"Diabetes")</f>
        <v>Diabetes</v>
      </c>
      <c r="F1064" s="3" t="s">
        <v>2382</v>
      </c>
      <c r="G1064" s="3" t="s">
        <v>2379</v>
      </c>
      <c r="H1064" s="3" t="s">
        <v>2379</v>
      </c>
      <c r="I1064" s="1" t="s">
        <v>2380</v>
      </c>
      <c r="J1064">
        <v>0</v>
      </c>
      <c r="K1064" s="3" t="s">
        <v>2379</v>
      </c>
      <c r="P1064" s="3"/>
    </row>
    <row r="1065" spans="1:16" x14ac:dyDescent="0.25">
      <c r="A1065" s="3" t="s">
        <v>1306</v>
      </c>
      <c r="B1065">
        <v>34.43</v>
      </c>
      <c r="C1065" t="str" cm="1">
        <f t="array" ref="C1065">_xlfn.IFS(B1065&lt;=18.5,  "Underweight",B1065&lt;=24.9,"Normal weight",B1065&lt;=29.9, "Over weight",B1065&gt;=30,"Obesity")</f>
        <v>Obesity</v>
      </c>
      <c r="D1065">
        <v>5.96</v>
      </c>
      <c r="E1065" t="str" cm="1">
        <f t="array" ref="E1065">_xlfn.IFS(D1065&lt;5.7,"Normal",D1065&lt;=6.4,"Prediabetes",D1065&gt;=6.5,"Diabetes")</f>
        <v>Prediabetes</v>
      </c>
      <c r="F1065" s="3" t="s">
        <v>2382</v>
      </c>
      <c r="G1065" s="3" t="s">
        <v>2379</v>
      </c>
      <c r="H1065" s="3" t="s">
        <v>2379</v>
      </c>
      <c r="I1065" s="1">
        <v>2</v>
      </c>
      <c r="J1065">
        <v>2</v>
      </c>
      <c r="K1065" s="3" t="s">
        <v>2379</v>
      </c>
      <c r="P1065" s="3"/>
    </row>
    <row r="1066" spans="1:16" x14ac:dyDescent="0.25">
      <c r="A1066" s="3" t="s">
        <v>1305</v>
      </c>
      <c r="B1066">
        <v>39.6</v>
      </c>
      <c r="C1066" t="str" cm="1">
        <f t="array" ref="C1066">_xlfn.IFS(B1066&lt;=18.5,  "Underweight",B1066&lt;=24.9,"Normal weight",B1066&lt;=29.9, "Over weight",B1066&gt;=30,"Obesity")</f>
        <v>Obesity</v>
      </c>
      <c r="D1066">
        <v>4.4400000000000004</v>
      </c>
      <c r="E1066" t="str" cm="1">
        <f t="array" ref="E1066">_xlfn.IFS(D1066&lt;5.7,"Normal",D1066&lt;=6.4,"Prediabetes",D1066&gt;=6.5,"Diabetes")</f>
        <v>Normal</v>
      </c>
      <c r="F1066" s="3" t="s">
        <v>2382</v>
      </c>
      <c r="G1066" s="3" t="s">
        <v>2379</v>
      </c>
      <c r="H1066" s="3" t="s">
        <v>2382</v>
      </c>
      <c r="I1066" s="1">
        <v>1</v>
      </c>
      <c r="J1066">
        <v>1</v>
      </c>
      <c r="K1066" s="3" t="s">
        <v>2379</v>
      </c>
      <c r="P1066" s="3"/>
    </row>
    <row r="1067" spans="1:16" x14ac:dyDescent="0.25">
      <c r="A1067" s="3" t="s">
        <v>1304</v>
      </c>
      <c r="B1067">
        <v>22.1</v>
      </c>
      <c r="C1067" t="str" cm="1">
        <f t="array" ref="C1067">_xlfn.IFS(B1067&lt;=18.5,  "Underweight",B1067&lt;=24.9,"Normal weight",B1067&lt;=29.9, "Over weight",B1067&gt;=30,"Obesity")</f>
        <v>Normal weight</v>
      </c>
      <c r="D1067">
        <v>4.6500000000000004</v>
      </c>
      <c r="E1067" t="str" cm="1">
        <f t="array" ref="E1067">_xlfn.IFS(D1067&lt;5.7,"Normal",D1067&lt;=6.4,"Prediabetes",D1067&gt;=6.5,"Diabetes")</f>
        <v>Normal</v>
      </c>
      <c r="F1067" s="3" t="s">
        <v>2382</v>
      </c>
      <c r="G1067" s="3" t="s">
        <v>2379</v>
      </c>
      <c r="H1067" s="3" t="s">
        <v>2379</v>
      </c>
      <c r="I1067" s="1">
        <v>2</v>
      </c>
      <c r="J1067">
        <v>2</v>
      </c>
      <c r="K1067" s="3" t="s">
        <v>2379</v>
      </c>
      <c r="P1067" s="3"/>
    </row>
    <row r="1068" spans="1:16" x14ac:dyDescent="0.25">
      <c r="A1068" s="3" t="s">
        <v>1303</v>
      </c>
      <c r="B1068">
        <v>33.25</v>
      </c>
      <c r="C1068" t="str" cm="1">
        <f t="array" ref="C1068">_xlfn.IFS(B1068&lt;=18.5,  "Underweight",B1068&lt;=24.9,"Normal weight",B1068&lt;=29.9, "Over weight",B1068&gt;=30,"Obesity")</f>
        <v>Obesity</v>
      </c>
      <c r="D1068">
        <v>5.64</v>
      </c>
      <c r="E1068" t="str" cm="1">
        <f t="array" ref="E1068">_xlfn.IFS(D1068&lt;5.7,"Normal",D1068&lt;=6.4,"Prediabetes",D1068&gt;=6.5,"Diabetes")</f>
        <v>Normal</v>
      </c>
      <c r="F1068" s="3" t="s">
        <v>2382</v>
      </c>
      <c r="G1068" s="3" t="s">
        <v>2379</v>
      </c>
      <c r="H1068" s="3" t="s">
        <v>2382</v>
      </c>
      <c r="I1068" s="1">
        <v>1</v>
      </c>
      <c r="J1068">
        <v>1</v>
      </c>
      <c r="K1068" s="3" t="s">
        <v>2379</v>
      </c>
      <c r="P1068" s="3"/>
    </row>
    <row r="1069" spans="1:16" x14ac:dyDescent="0.25">
      <c r="A1069" s="3" t="s">
        <v>1302</v>
      </c>
      <c r="B1069">
        <v>33.33</v>
      </c>
      <c r="C1069" t="str" cm="1">
        <f t="array" ref="C1069">_xlfn.IFS(B1069&lt;=18.5,  "Underweight",B1069&lt;=24.9,"Normal weight",B1069&lt;=29.9, "Over weight",B1069&gt;=30,"Obesity")</f>
        <v>Obesity</v>
      </c>
      <c r="D1069">
        <v>10.19</v>
      </c>
      <c r="E1069" t="str" cm="1">
        <f t="array" ref="E1069">_xlfn.IFS(D1069&lt;5.7,"Normal",D1069&lt;=6.4,"Prediabetes",D1069&gt;=6.5,"Diabetes")</f>
        <v>Diabetes</v>
      </c>
      <c r="F1069" s="3" t="s">
        <v>2379</v>
      </c>
      <c r="G1069" s="3" t="s">
        <v>2379</v>
      </c>
      <c r="H1069" s="3" t="s">
        <v>2379</v>
      </c>
      <c r="I1069" s="1" t="s">
        <v>2380</v>
      </c>
      <c r="J1069">
        <v>0</v>
      </c>
      <c r="K1069" s="3" t="s">
        <v>2379</v>
      </c>
      <c r="P1069" s="3"/>
    </row>
    <row r="1070" spans="1:16" x14ac:dyDescent="0.25">
      <c r="A1070" s="3" t="s">
        <v>1301</v>
      </c>
      <c r="B1070">
        <v>30.5</v>
      </c>
      <c r="C1070" t="str" cm="1">
        <f t="array" ref="C1070">_xlfn.IFS(B1070&lt;=18.5,  "Underweight",B1070&lt;=24.9,"Normal weight",B1070&lt;=29.9, "Over weight",B1070&gt;=30,"Obesity")</f>
        <v>Obesity</v>
      </c>
      <c r="D1070">
        <v>10.79</v>
      </c>
      <c r="E1070" t="str" cm="1">
        <f t="array" ref="E1070">_xlfn.IFS(D1070&lt;5.7,"Normal",D1070&lt;=6.4,"Prediabetes",D1070&gt;=6.5,"Diabetes")</f>
        <v>Diabetes</v>
      </c>
      <c r="F1070" s="3" t="s">
        <v>2379</v>
      </c>
      <c r="G1070" s="3" t="s">
        <v>2379</v>
      </c>
      <c r="H1070" s="3" t="s">
        <v>2379</v>
      </c>
      <c r="I1070" s="1" t="s">
        <v>2380</v>
      </c>
      <c r="J1070">
        <v>0</v>
      </c>
      <c r="K1070" s="3" t="s">
        <v>2379</v>
      </c>
      <c r="P1070" s="3"/>
    </row>
    <row r="1071" spans="1:16" x14ac:dyDescent="0.25">
      <c r="A1071" s="3" t="s">
        <v>1300</v>
      </c>
      <c r="B1071">
        <v>30.3</v>
      </c>
      <c r="C1071" t="str" cm="1">
        <f t="array" ref="C1071">_xlfn.IFS(B1071&lt;=18.5,  "Underweight",B1071&lt;=24.9,"Normal weight",B1071&lt;=29.9, "Over weight",B1071&gt;=30,"Obesity")</f>
        <v>Obesity</v>
      </c>
      <c r="D1071">
        <v>4.24</v>
      </c>
      <c r="E1071" t="str" cm="1">
        <f t="array" ref="E1071">_xlfn.IFS(D1071&lt;5.7,"Normal",D1071&lt;=6.4,"Prediabetes",D1071&gt;=6.5,"Diabetes")</f>
        <v>Normal</v>
      </c>
      <c r="F1071" s="3" t="s">
        <v>2379</v>
      </c>
      <c r="G1071" s="3" t="s">
        <v>2379</v>
      </c>
      <c r="H1071" s="3" t="s">
        <v>2379</v>
      </c>
      <c r="I1071" s="1" t="s">
        <v>2380</v>
      </c>
      <c r="J1071">
        <v>0</v>
      </c>
      <c r="K1071" s="3" t="s">
        <v>2379</v>
      </c>
      <c r="P1071" s="3"/>
    </row>
    <row r="1072" spans="1:16" x14ac:dyDescent="0.25">
      <c r="A1072" s="3" t="s">
        <v>1299</v>
      </c>
      <c r="B1072">
        <v>26.22</v>
      </c>
      <c r="C1072" t="str" cm="1">
        <f t="array" ref="C1072">_xlfn.IFS(B1072&lt;=18.5,  "Underweight",B1072&lt;=24.9,"Normal weight",B1072&lt;=29.9, "Over weight",B1072&gt;=30,"Obesity")</f>
        <v>Over weight</v>
      </c>
      <c r="D1072">
        <v>5.83</v>
      </c>
      <c r="E1072" t="str" cm="1">
        <f t="array" ref="E1072">_xlfn.IFS(D1072&lt;5.7,"Normal",D1072&lt;=6.4,"Prediabetes",D1072&gt;=6.5,"Diabetes")</f>
        <v>Prediabetes</v>
      </c>
      <c r="F1072" s="3" t="s">
        <v>2379</v>
      </c>
      <c r="G1072" s="3" t="s">
        <v>2379</v>
      </c>
      <c r="H1072" s="3" t="s">
        <v>2379</v>
      </c>
      <c r="I1072" s="1">
        <v>2</v>
      </c>
      <c r="J1072">
        <v>2</v>
      </c>
      <c r="K1072" s="3" t="s">
        <v>2379</v>
      </c>
      <c r="P1072" s="3"/>
    </row>
    <row r="1073" spans="1:16" x14ac:dyDescent="0.25">
      <c r="A1073" s="3" t="s">
        <v>1298</v>
      </c>
      <c r="B1073">
        <v>29.99</v>
      </c>
      <c r="C1073" t="s">
        <v>10716</v>
      </c>
      <c r="D1073">
        <v>11.85</v>
      </c>
      <c r="E1073" t="str" cm="1">
        <f t="array" ref="E1073">_xlfn.IFS(D1073&lt;5.7,"Normal",D1073&lt;=6.4,"Prediabetes",D1073&gt;=6.5,"Diabetes")</f>
        <v>Diabetes</v>
      </c>
      <c r="F1073" s="3" t="s">
        <v>2379</v>
      </c>
      <c r="G1073" s="3" t="s">
        <v>2379</v>
      </c>
      <c r="H1073" s="3" t="s">
        <v>2379</v>
      </c>
      <c r="I1073" s="1" t="s">
        <v>2380</v>
      </c>
      <c r="J1073">
        <v>0</v>
      </c>
      <c r="K1073" s="3" t="s">
        <v>2379</v>
      </c>
      <c r="P1073" s="3"/>
    </row>
    <row r="1074" spans="1:16" x14ac:dyDescent="0.25">
      <c r="A1074" s="3" t="s">
        <v>1297</v>
      </c>
      <c r="B1074">
        <v>36.380000000000003</v>
      </c>
      <c r="C1074" t="str" cm="1">
        <f t="array" ref="C1074">_xlfn.IFS(B1074&lt;=18.5,  "Underweight",B1074&lt;=24.9,"Normal weight",B1074&lt;=29.9, "Over weight",B1074&gt;=30,"Obesity")</f>
        <v>Obesity</v>
      </c>
      <c r="D1074">
        <v>5.98</v>
      </c>
      <c r="E1074" t="str" cm="1">
        <f t="array" ref="E1074">_xlfn.IFS(D1074&lt;5.7,"Normal",D1074&lt;=6.4,"Prediabetes",D1074&gt;=6.5,"Diabetes")</f>
        <v>Prediabetes</v>
      </c>
      <c r="F1074" s="3" t="s">
        <v>2379</v>
      </c>
      <c r="G1074" s="3" t="s">
        <v>2379</v>
      </c>
      <c r="H1074" s="3" t="s">
        <v>2379</v>
      </c>
      <c r="I1074" s="1">
        <v>1</v>
      </c>
      <c r="J1074">
        <v>1</v>
      </c>
      <c r="K1074" s="3" t="s">
        <v>2379</v>
      </c>
      <c r="P1074" s="3"/>
    </row>
    <row r="1075" spans="1:16" x14ac:dyDescent="0.25">
      <c r="A1075" s="3" t="s">
        <v>1296</v>
      </c>
      <c r="B1075">
        <v>31.16</v>
      </c>
      <c r="C1075" t="str" cm="1">
        <f t="array" ref="C1075">_xlfn.IFS(B1075&lt;=18.5,  "Underweight",B1075&lt;=24.9,"Normal weight",B1075&lt;=29.9, "Over weight",B1075&gt;=30,"Obesity")</f>
        <v>Obesity</v>
      </c>
      <c r="D1075">
        <v>4.26</v>
      </c>
      <c r="E1075" t="str" cm="1">
        <f t="array" ref="E1075">_xlfn.IFS(D1075&lt;5.7,"Normal",D1075&lt;=6.4,"Prediabetes",D1075&gt;=6.5,"Diabetes")</f>
        <v>Normal</v>
      </c>
      <c r="F1075" s="3" t="s">
        <v>2382</v>
      </c>
      <c r="G1075" s="3" t="s">
        <v>2379</v>
      </c>
      <c r="H1075" s="3" t="s">
        <v>2382</v>
      </c>
      <c r="I1075" s="1">
        <v>1</v>
      </c>
      <c r="J1075">
        <v>1</v>
      </c>
      <c r="K1075" s="3" t="s">
        <v>2379</v>
      </c>
      <c r="P1075" s="3"/>
    </row>
    <row r="1076" spans="1:16" x14ac:dyDescent="0.25">
      <c r="A1076" s="3" t="s">
        <v>1295</v>
      </c>
      <c r="B1076">
        <v>25.55</v>
      </c>
      <c r="C1076" t="str" cm="1">
        <f t="array" ref="C1076">_xlfn.IFS(B1076&lt;=18.5,  "Underweight",B1076&lt;=24.9,"Normal weight",B1076&lt;=29.9, "Over weight",B1076&gt;=30,"Obesity")</f>
        <v>Over weight</v>
      </c>
      <c r="D1076">
        <v>4.96</v>
      </c>
      <c r="E1076" t="str" cm="1">
        <f t="array" ref="E1076">_xlfn.IFS(D1076&lt;5.7,"Normal",D1076&lt;=6.4,"Prediabetes",D1076&gt;=6.5,"Diabetes")</f>
        <v>Normal</v>
      </c>
      <c r="F1076" s="3" t="s">
        <v>2382</v>
      </c>
      <c r="G1076" s="3" t="s">
        <v>2379</v>
      </c>
      <c r="H1076" s="3" t="s">
        <v>2379</v>
      </c>
      <c r="I1076" s="1">
        <v>1</v>
      </c>
      <c r="J1076">
        <v>1</v>
      </c>
      <c r="K1076" s="3" t="s">
        <v>2379</v>
      </c>
      <c r="P1076" s="3"/>
    </row>
    <row r="1077" spans="1:16" x14ac:dyDescent="0.25">
      <c r="A1077" s="3" t="s">
        <v>1294</v>
      </c>
      <c r="B1077">
        <v>28.77</v>
      </c>
      <c r="C1077" t="str" cm="1">
        <f t="array" ref="C1077">_xlfn.IFS(B1077&lt;=18.5,  "Underweight",B1077&lt;=24.9,"Normal weight",B1077&lt;=29.9, "Over weight",B1077&gt;=30,"Obesity")</f>
        <v>Over weight</v>
      </c>
      <c r="D1077">
        <v>4</v>
      </c>
      <c r="E1077" t="str" cm="1">
        <f t="array" ref="E1077">_xlfn.IFS(D1077&lt;5.7,"Normal",D1077&lt;=6.4,"Prediabetes",D1077&gt;=6.5,"Diabetes")</f>
        <v>Normal</v>
      </c>
      <c r="F1077" s="3" t="s">
        <v>2382</v>
      </c>
      <c r="G1077" s="3" t="s">
        <v>2379</v>
      </c>
      <c r="H1077" s="3" t="s">
        <v>2379</v>
      </c>
      <c r="I1077" s="1" t="s">
        <v>2380</v>
      </c>
      <c r="J1077">
        <v>0</v>
      </c>
      <c r="K1077" s="3" t="s">
        <v>2379</v>
      </c>
      <c r="P1077" s="3"/>
    </row>
    <row r="1078" spans="1:16" x14ac:dyDescent="0.25">
      <c r="A1078" s="3" t="s">
        <v>1293</v>
      </c>
      <c r="B1078">
        <v>23.14</v>
      </c>
      <c r="C1078" t="str" cm="1">
        <f t="array" ref="C1078">_xlfn.IFS(B1078&lt;=18.5,  "Underweight",B1078&lt;=24.9,"Normal weight",B1078&lt;=29.9, "Over weight",B1078&gt;=30,"Obesity")</f>
        <v>Normal weight</v>
      </c>
      <c r="D1078">
        <v>4.1500000000000004</v>
      </c>
      <c r="E1078" t="str" cm="1">
        <f t="array" ref="E1078">_xlfn.IFS(D1078&lt;5.7,"Normal",D1078&lt;=6.4,"Prediabetes",D1078&gt;=6.5,"Diabetes")</f>
        <v>Normal</v>
      </c>
      <c r="F1078" s="3" t="s">
        <v>2382</v>
      </c>
      <c r="G1078" s="3" t="s">
        <v>2379</v>
      </c>
      <c r="H1078" s="3" t="s">
        <v>2379</v>
      </c>
      <c r="I1078" s="1">
        <v>1</v>
      </c>
      <c r="J1078">
        <v>1</v>
      </c>
      <c r="K1078" s="3" t="s">
        <v>2379</v>
      </c>
      <c r="P1078" s="3"/>
    </row>
    <row r="1079" spans="1:16" x14ac:dyDescent="0.25">
      <c r="A1079" s="3" t="s">
        <v>1292</v>
      </c>
      <c r="B1079">
        <v>39.6</v>
      </c>
      <c r="C1079" t="str" cm="1">
        <f t="array" ref="C1079">_xlfn.IFS(B1079&lt;=18.5,  "Underweight",B1079&lt;=24.9,"Normal weight",B1079&lt;=29.9, "Over weight",B1079&gt;=30,"Obesity")</f>
        <v>Obesity</v>
      </c>
      <c r="D1079">
        <v>11.36</v>
      </c>
      <c r="E1079" t="str" cm="1">
        <f t="array" ref="E1079">_xlfn.IFS(D1079&lt;5.7,"Normal",D1079&lt;=6.4,"Prediabetes",D1079&gt;=6.5,"Diabetes")</f>
        <v>Diabetes</v>
      </c>
      <c r="F1079" s="3" t="s">
        <v>2379</v>
      </c>
      <c r="G1079" s="3" t="s">
        <v>2379</v>
      </c>
      <c r="H1079" s="3" t="s">
        <v>2379</v>
      </c>
      <c r="I1079" s="1" t="s">
        <v>2380</v>
      </c>
      <c r="J1079">
        <v>0</v>
      </c>
      <c r="K1079" s="3" t="s">
        <v>2379</v>
      </c>
      <c r="P1079" s="3"/>
    </row>
    <row r="1080" spans="1:16" x14ac:dyDescent="0.25">
      <c r="A1080" s="3" t="s">
        <v>1291</v>
      </c>
      <c r="B1080">
        <v>29.2</v>
      </c>
      <c r="C1080" t="str" cm="1">
        <f t="array" ref="C1080">_xlfn.IFS(B1080&lt;=18.5,  "Underweight",B1080&lt;=24.9,"Normal weight",B1080&lt;=29.9, "Over weight",B1080&gt;=30,"Obesity")</f>
        <v>Over weight</v>
      </c>
      <c r="D1080">
        <v>7.53</v>
      </c>
      <c r="E1080" t="str" cm="1">
        <f t="array" ref="E1080">_xlfn.IFS(D1080&lt;5.7,"Normal",D1080&lt;=6.4,"Prediabetes",D1080&gt;=6.5,"Diabetes")</f>
        <v>Diabetes</v>
      </c>
      <c r="F1080" s="3" t="s">
        <v>2379</v>
      </c>
      <c r="G1080" s="3" t="s">
        <v>2379</v>
      </c>
      <c r="H1080" s="3" t="s">
        <v>2379</v>
      </c>
      <c r="I1080" s="1" t="s">
        <v>2380</v>
      </c>
      <c r="J1080">
        <v>0</v>
      </c>
      <c r="K1080" s="3" t="s">
        <v>2379</v>
      </c>
      <c r="P1080" s="3"/>
    </row>
    <row r="1081" spans="1:16" x14ac:dyDescent="0.25">
      <c r="A1081" s="3" t="s">
        <v>1290</v>
      </c>
      <c r="B1081">
        <v>32.774999999999999</v>
      </c>
      <c r="C1081" t="str" cm="1">
        <f t="array" ref="C1081">_xlfn.IFS(B1081&lt;=18.5,  "Underweight",B1081&lt;=24.9,"Normal weight",B1081&lt;=29.9, "Over weight",B1081&gt;=30,"Obesity")</f>
        <v>Obesity</v>
      </c>
      <c r="D1081">
        <v>7.95</v>
      </c>
      <c r="E1081" t="str" cm="1">
        <f t="array" ref="E1081">_xlfn.IFS(D1081&lt;5.7,"Normal",D1081&lt;=6.4,"Prediabetes",D1081&gt;=6.5,"Diabetes")</f>
        <v>Diabetes</v>
      </c>
      <c r="F1081" s="3" t="s">
        <v>2379</v>
      </c>
      <c r="G1081" s="3" t="s">
        <v>2379</v>
      </c>
      <c r="H1081" s="3" t="s">
        <v>2379</v>
      </c>
      <c r="I1081" s="1" t="s">
        <v>2380</v>
      </c>
      <c r="J1081">
        <v>0</v>
      </c>
      <c r="K1081" s="3" t="s">
        <v>2379</v>
      </c>
      <c r="P1081" s="3"/>
    </row>
    <row r="1082" spans="1:16" x14ac:dyDescent="0.25">
      <c r="A1082" s="3" t="s">
        <v>1289</v>
      </c>
      <c r="B1082">
        <v>24.035</v>
      </c>
      <c r="C1082" t="str" cm="1">
        <f t="array" ref="C1082">_xlfn.IFS(B1082&lt;=18.5,  "Underweight",B1082&lt;=24.9,"Normal weight",B1082&lt;=29.9, "Over weight",B1082&gt;=30,"Obesity")</f>
        <v>Normal weight</v>
      </c>
      <c r="D1082">
        <v>8.5</v>
      </c>
      <c r="E1082" t="str" cm="1">
        <f t="array" ref="E1082">_xlfn.IFS(D1082&lt;5.7,"Normal",D1082&lt;=6.4,"Prediabetes",D1082&gt;=6.5,"Diabetes")</f>
        <v>Diabetes</v>
      </c>
      <c r="F1082" s="3" t="s">
        <v>2379</v>
      </c>
      <c r="G1082" s="3" t="s">
        <v>2379</v>
      </c>
      <c r="H1082" s="3" t="s">
        <v>2379</v>
      </c>
      <c r="I1082" s="1" t="s">
        <v>2380</v>
      </c>
      <c r="J1082">
        <v>0</v>
      </c>
      <c r="K1082" s="3" t="s">
        <v>2379</v>
      </c>
      <c r="P1082" s="3"/>
    </row>
    <row r="1083" spans="1:16" x14ac:dyDescent="0.25">
      <c r="A1083" s="3" t="s">
        <v>1288</v>
      </c>
      <c r="B1083">
        <v>30.55</v>
      </c>
      <c r="C1083" t="str" cm="1">
        <f t="array" ref="C1083">_xlfn.IFS(B1083&lt;=18.5,  "Underweight",B1083&lt;=24.9,"Normal weight",B1083&lt;=29.9, "Over weight",B1083&gt;=30,"Obesity")</f>
        <v>Obesity</v>
      </c>
      <c r="D1083">
        <v>5.89</v>
      </c>
      <c r="E1083" t="str" cm="1">
        <f t="array" ref="E1083">_xlfn.IFS(D1083&lt;5.7,"Normal",D1083&lt;=6.4,"Prediabetes",D1083&gt;=6.5,"Diabetes")</f>
        <v>Prediabetes</v>
      </c>
      <c r="F1083" s="3" t="s">
        <v>2379</v>
      </c>
      <c r="G1083" s="3" t="s">
        <v>2379</v>
      </c>
      <c r="H1083" s="3" t="s">
        <v>2382</v>
      </c>
      <c r="I1083" s="1">
        <v>1</v>
      </c>
      <c r="J1083">
        <v>1</v>
      </c>
      <c r="K1083" s="3" t="s">
        <v>2379</v>
      </c>
      <c r="P1083" s="3"/>
    </row>
    <row r="1084" spans="1:16" x14ac:dyDescent="0.25">
      <c r="A1084" s="3" t="s">
        <v>1287</v>
      </c>
      <c r="B1084">
        <v>28.81</v>
      </c>
      <c r="C1084" t="str" cm="1">
        <f t="array" ref="C1084">_xlfn.IFS(B1084&lt;=18.5,  "Underweight",B1084&lt;=24.9,"Normal weight",B1084&lt;=29.9, "Over weight",B1084&gt;=30,"Obesity")</f>
        <v>Over weight</v>
      </c>
      <c r="D1084">
        <v>8.76</v>
      </c>
      <c r="E1084" t="str" cm="1">
        <f t="array" ref="E1084">_xlfn.IFS(D1084&lt;5.7,"Normal",D1084&lt;=6.4,"Prediabetes",D1084&gt;=6.5,"Diabetes")</f>
        <v>Diabetes</v>
      </c>
      <c r="F1084" s="3" t="s">
        <v>2379</v>
      </c>
      <c r="G1084" s="3" t="s">
        <v>2379</v>
      </c>
      <c r="H1084" s="3" t="s">
        <v>2379</v>
      </c>
      <c r="I1084" s="1">
        <v>2</v>
      </c>
      <c r="J1084">
        <v>2</v>
      </c>
      <c r="K1084" s="3" t="s">
        <v>2379</v>
      </c>
      <c r="P1084" s="3"/>
    </row>
    <row r="1085" spans="1:16" x14ac:dyDescent="0.25">
      <c r="A1085" s="3" t="s">
        <v>1286</v>
      </c>
      <c r="B1085">
        <v>31.66</v>
      </c>
      <c r="C1085" t="str" cm="1">
        <f t="array" ref="C1085">_xlfn.IFS(B1085&lt;=18.5,  "Underweight",B1085&lt;=24.9,"Normal weight",B1085&lt;=29.9, "Over weight",B1085&gt;=30,"Obesity")</f>
        <v>Obesity</v>
      </c>
      <c r="D1085">
        <v>4.1100000000000003</v>
      </c>
      <c r="E1085" t="str" cm="1">
        <f t="array" ref="E1085">_xlfn.IFS(D1085&lt;5.7,"Normal",D1085&lt;=6.4,"Prediabetes",D1085&gt;=6.5,"Diabetes")</f>
        <v>Normal</v>
      </c>
      <c r="F1085" s="3" t="s">
        <v>2379</v>
      </c>
      <c r="G1085" s="3" t="s">
        <v>2379</v>
      </c>
      <c r="H1085" s="3" t="s">
        <v>2379</v>
      </c>
      <c r="I1085" s="1" t="s">
        <v>2380</v>
      </c>
      <c r="J1085">
        <v>0</v>
      </c>
      <c r="K1085" s="3" t="s">
        <v>2379</v>
      </c>
      <c r="P1085" s="3"/>
    </row>
    <row r="1086" spans="1:16" x14ac:dyDescent="0.25">
      <c r="A1086" s="3" t="s">
        <v>1285</v>
      </c>
      <c r="B1086">
        <v>28.215</v>
      </c>
      <c r="C1086" t="str" cm="1">
        <f t="array" ref="C1086">_xlfn.IFS(B1086&lt;=18.5,  "Underweight",B1086&lt;=24.9,"Normal weight",B1086&lt;=29.9, "Over weight",B1086&gt;=30,"Obesity")</f>
        <v>Over weight</v>
      </c>
      <c r="D1086">
        <v>7.56</v>
      </c>
      <c r="E1086" t="str" cm="1">
        <f t="array" ref="E1086">_xlfn.IFS(D1086&lt;5.7,"Normal",D1086&lt;=6.4,"Prediabetes",D1086&gt;=6.5,"Diabetes")</f>
        <v>Diabetes</v>
      </c>
      <c r="F1086" s="3" t="s">
        <v>2382</v>
      </c>
      <c r="G1086" s="3" t="s">
        <v>2379</v>
      </c>
      <c r="H1086" s="3" t="s">
        <v>2379</v>
      </c>
      <c r="I1086" s="1">
        <v>1</v>
      </c>
      <c r="J1086">
        <v>1</v>
      </c>
      <c r="K1086" s="3" t="s">
        <v>2379</v>
      </c>
      <c r="P1086" s="3"/>
    </row>
    <row r="1087" spans="1:16" x14ac:dyDescent="0.25">
      <c r="A1087" s="3" t="s">
        <v>1284</v>
      </c>
      <c r="B1087">
        <v>26.12</v>
      </c>
      <c r="C1087" t="str" cm="1">
        <f t="array" ref="C1087">_xlfn.IFS(B1087&lt;=18.5,  "Underweight",B1087&lt;=24.9,"Normal weight",B1087&lt;=29.9, "Over weight",B1087&gt;=30,"Obesity")</f>
        <v>Over weight</v>
      </c>
      <c r="D1087">
        <v>4.17</v>
      </c>
      <c r="E1087" t="str" cm="1">
        <f t="array" ref="E1087">_xlfn.IFS(D1087&lt;5.7,"Normal",D1087&lt;=6.4,"Prediabetes",D1087&gt;=6.5,"Diabetes")</f>
        <v>Normal</v>
      </c>
      <c r="F1087" s="3" t="s">
        <v>2382</v>
      </c>
      <c r="G1087" s="3" t="s">
        <v>2379</v>
      </c>
      <c r="H1087" s="3" t="s">
        <v>2382</v>
      </c>
      <c r="I1087" s="1">
        <v>1</v>
      </c>
      <c r="J1087">
        <v>1</v>
      </c>
      <c r="K1087" s="3" t="s">
        <v>2379</v>
      </c>
      <c r="P1087" s="3"/>
    </row>
    <row r="1088" spans="1:16" x14ac:dyDescent="0.25">
      <c r="A1088" s="3" t="s">
        <v>1283</v>
      </c>
      <c r="B1088">
        <v>36.630000000000003</v>
      </c>
      <c r="C1088" t="str" cm="1">
        <f t="array" ref="C1088">_xlfn.IFS(B1088&lt;=18.5,  "Underweight",B1088&lt;=24.9,"Normal weight",B1088&lt;=29.9, "Over weight",B1088&gt;=30,"Obesity")</f>
        <v>Obesity</v>
      </c>
      <c r="D1088">
        <v>11.42</v>
      </c>
      <c r="E1088" t="str" cm="1">
        <f t="array" ref="E1088">_xlfn.IFS(D1088&lt;5.7,"Normal",D1088&lt;=6.4,"Prediabetes",D1088&gt;=6.5,"Diabetes")</f>
        <v>Diabetes</v>
      </c>
      <c r="F1088" s="3" t="s">
        <v>2379</v>
      </c>
      <c r="G1088" s="3" t="s">
        <v>2379</v>
      </c>
      <c r="H1088" s="3" t="s">
        <v>2379</v>
      </c>
      <c r="I1088" s="1">
        <v>2</v>
      </c>
      <c r="J1088">
        <v>2</v>
      </c>
      <c r="K1088" s="3" t="s">
        <v>2379</v>
      </c>
      <c r="P1088" s="3"/>
    </row>
    <row r="1089" spans="1:16" x14ac:dyDescent="0.25">
      <c r="A1089" s="3" t="s">
        <v>1282</v>
      </c>
      <c r="B1089">
        <v>33.344999999999999</v>
      </c>
      <c r="C1089" t="str" cm="1">
        <f t="array" ref="C1089">_xlfn.IFS(B1089&lt;=18.5,  "Underweight",B1089&lt;=24.9,"Normal weight",B1089&lt;=29.9, "Over weight",B1089&gt;=30,"Obesity")</f>
        <v>Obesity</v>
      </c>
      <c r="D1089">
        <v>7.33</v>
      </c>
      <c r="E1089" t="str" cm="1">
        <f t="array" ref="E1089">_xlfn.IFS(D1089&lt;5.7,"Normal",D1089&lt;=6.4,"Prediabetes",D1089&gt;=6.5,"Diabetes")</f>
        <v>Diabetes</v>
      </c>
      <c r="F1089" s="3" t="s">
        <v>2379</v>
      </c>
      <c r="G1089" s="3" t="s">
        <v>2379</v>
      </c>
      <c r="H1089" s="3" t="s">
        <v>2379</v>
      </c>
      <c r="I1089" s="1">
        <v>2</v>
      </c>
      <c r="J1089">
        <v>2</v>
      </c>
      <c r="K1089" s="3" t="s">
        <v>2379</v>
      </c>
      <c r="P1089" s="3"/>
    </row>
    <row r="1090" spans="1:16" x14ac:dyDescent="0.25">
      <c r="A1090" s="3" t="s">
        <v>1281</v>
      </c>
      <c r="B1090">
        <v>27.11</v>
      </c>
      <c r="C1090" t="str" cm="1">
        <f t="array" ref="C1090">_xlfn.IFS(B1090&lt;=18.5,  "Underweight",B1090&lt;=24.9,"Normal weight",B1090&lt;=29.9, "Over weight",B1090&gt;=30,"Obesity")</f>
        <v>Over weight</v>
      </c>
      <c r="D1090">
        <v>6.7</v>
      </c>
      <c r="E1090" t="str" cm="1">
        <f t="array" ref="E1090">_xlfn.IFS(D1090&lt;5.7,"Normal",D1090&lt;=6.4,"Prediabetes",D1090&gt;=6.5,"Diabetes")</f>
        <v>Diabetes</v>
      </c>
      <c r="F1090" s="3" t="s">
        <v>2379</v>
      </c>
      <c r="G1090" s="3" t="s">
        <v>2379</v>
      </c>
      <c r="H1090" s="3" t="s">
        <v>2379</v>
      </c>
      <c r="I1090" s="1" t="s">
        <v>2380</v>
      </c>
      <c r="J1090">
        <v>0</v>
      </c>
      <c r="K1090" s="3" t="s">
        <v>2379</v>
      </c>
      <c r="P1090" s="3"/>
    </row>
    <row r="1091" spans="1:16" x14ac:dyDescent="0.25">
      <c r="A1091" s="3" t="s">
        <v>1280</v>
      </c>
      <c r="B1091">
        <v>26.6</v>
      </c>
      <c r="C1091" t="str" cm="1">
        <f t="array" ref="C1091">_xlfn.IFS(B1091&lt;=18.5,  "Underweight",B1091&lt;=24.9,"Normal weight",B1091&lt;=29.9, "Over weight",B1091&gt;=30,"Obesity")</f>
        <v>Over weight</v>
      </c>
      <c r="D1091">
        <v>5.27</v>
      </c>
      <c r="E1091" t="str" cm="1">
        <f t="array" ref="E1091">_xlfn.IFS(D1091&lt;5.7,"Normal",D1091&lt;=6.4,"Prediabetes",D1091&gt;=6.5,"Diabetes")</f>
        <v>Normal</v>
      </c>
      <c r="F1091" s="3" t="s">
        <v>2382</v>
      </c>
      <c r="G1091" s="3" t="s">
        <v>2379</v>
      </c>
      <c r="H1091" s="3" t="s">
        <v>2382</v>
      </c>
      <c r="I1091" s="1">
        <v>1</v>
      </c>
      <c r="J1091">
        <v>1</v>
      </c>
      <c r="K1091" s="3" t="s">
        <v>2379</v>
      </c>
      <c r="P1091" s="3"/>
    </row>
    <row r="1092" spans="1:16" x14ac:dyDescent="0.25">
      <c r="A1092" s="3" t="s">
        <v>1279</v>
      </c>
      <c r="B1092">
        <v>30.41</v>
      </c>
      <c r="C1092" t="str" cm="1">
        <f t="array" ref="C1092">_xlfn.IFS(B1092&lt;=18.5,  "Underweight",B1092&lt;=24.9,"Normal weight",B1092&lt;=29.9, "Over weight",B1092&gt;=30,"Obesity")</f>
        <v>Obesity</v>
      </c>
      <c r="D1092">
        <v>7.72</v>
      </c>
      <c r="E1092" t="str" cm="1">
        <f t="array" ref="E1092">_xlfn.IFS(D1092&lt;5.7,"Normal",D1092&lt;=6.4,"Prediabetes",D1092&gt;=6.5,"Diabetes")</f>
        <v>Diabetes</v>
      </c>
      <c r="F1092" s="3" t="s">
        <v>2379</v>
      </c>
      <c r="G1092" s="3" t="s">
        <v>2379</v>
      </c>
      <c r="H1092" s="3" t="s">
        <v>2379</v>
      </c>
      <c r="I1092" s="1" t="s">
        <v>2380</v>
      </c>
      <c r="J1092">
        <v>0</v>
      </c>
      <c r="K1092" s="3" t="s">
        <v>2379</v>
      </c>
      <c r="P1092" s="3"/>
    </row>
    <row r="1093" spans="1:16" x14ac:dyDescent="0.25">
      <c r="A1093" s="3" t="s">
        <v>1278</v>
      </c>
      <c r="B1093">
        <v>28.98</v>
      </c>
      <c r="C1093" t="str" cm="1">
        <f t="array" ref="C1093">_xlfn.IFS(B1093&lt;=18.5,  "Underweight",B1093&lt;=24.9,"Normal weight",B1093&lt;=29.9, "Over weight",B1093&gt;=30,"Obesity")</f>
        <v>Over weight</v>
      </c>
      <c r="D1093">
        <v>8.68</v>
      </c>
      <c r="E1093" t="str" cm="1">
        <f t="array" ref="E1093">_xlfn.IFS(D1093&lt;5.7,"Normal",D1093&lt;=6.4,"Prediabetes",D1093&gt;=6.5,"Diabetes")</f>
        <v>Diabetes</v>
      </c>
      <c r="F1093" s="3" t="s">
        <v>2379</v>
      </c>
      <c r="G1093" s="3" t="s">
        <v>2379</v>
      </c>
      <c r="H1093" s="3" t="s">
        <v>2379</v>
      </c>
      <c r="I1093" s="1">
        <v>2</v>
      </c>
      <c r="J1093">
        <v>2</v>
      </c>
      <c r="K1093" s="3" t="s">
        <v>2379</v>
      </c>
      <c r="P1093" s="3"/>
    </row>
    <row r="1094" spans="1:16" x14ac:dyDescent="0.25">
      <c r="A1094" s="3" t="s">
        <v>1277</v>
      </c>
      <c r="B1094">
        <v>31.24</v>
      </c>
      <c r="C1094" t="str" cm="1">
        <f t="array" ref="C1094">_xlfn.IFS(B1094&lt;=18.5,  "Underweight",B1094&lt;=24.9,"Normal weight",B1094&lt;=29.9, "Over weight",B1094&gt;=30,"Obesity")</f>
        <v>Obesity</v>
      </c>
      <c r="D1094">
        <v>9.8000000000000007</v>
      </c>
      <c r="E1094" t="str" cm="1">
        <f t="array" ref="E1094">_xlfn.IFS(D1094&lt;5.7,"Normal",D1094&lt;=6.4,"Prediabetes",D1094&gt;=6.5,"Diabetes")</f>
        <v>Diabetes</v>
      </c>
      <c r="F1094" s="3" t="s">
        <v>2379</v>
      </c>
      <c r="G1094" s="3" t="s">
        <v>2379</v>
      </c>
      <c r="H1094" s="3" t="s">
        <v>2379</v>
      </c>
      <c r="I1094" s="1" t="s">
        <v>2380</v>
      </c>
      <c r="J1094">
        <v>0</v>
      </c>
      <c r="K1094" s="3" t="s">
        <v>2379</v>
      </c>
      <c r="P1094" s="3"/>
    </row>
    <row r="1095" spans="1:16" x14ac:dyDescent="0.25">
      <c r="A1095" s="3" t="s">
        <v>1276</v>
      </c>
      <c r="B1095">
        <v>31.54</v>
      </c>
      <c r="C1095" t="str" cm="1">
        <f t="array" ref="C1095">_xlfn.IFS(B1095&lt;=18.5,  "Underweight",B1095&lt;=24.9,"Normal weight",B1095&lt;=29.9, "Over weight",B1095&gt;=30,"Obesity")</f>
        <v>Obesity</v>
      </c>
      <c r="D1095">
        <v>4.4400000000000004</v>
      </c>
      <c r="E1095" t="str" cm="1">
        <f t="array" ref="E1095">_xlfn.IFS(D1095&lt;5.7,"Normal",D1095&lt;=6.4,"Prediabetes",D1095&gt;=6.5,"Diabetes")</f>
        <v>Normal</v>
      </c>
      <c r="F1095" s="3" t="s">
        <v>2379</v>
      </c>
      <c r="G1095" s="3" t="s">
        <v>2379</v>
      </c>
      <c r="H1095" s="3" t="s">
        <v>2379</v>
      </c>
      <c r="I1095" s="1" t="s">
        <v>2380</v>
      </c>
      <c r="J1095">
        <v>0</v>
      </c>
      <c r="K1095" s="3" t="s">
        <v>2379</v>
      </c>
      <c r="P1095" s="3"/>
    </row>
    <row r="1096" spans="1:16" x14ac:dyDescent="0.25">
      <c r="A1096" s="3" t="s">
        <v>1275</v>
      </c>
      <c r="B1096">
        <v>38.6</v>
      </c>
      <c r="C1096" t="str" cm="1">
        <f t="array" ref="C1096">_xlfn.IFS(B1096&lt;=18.5,  "Underweight",B1096&lt;=24.9,"Normal weight",B1096&lt;=29.9, "Over weight",B1096&gt;=30,"Obesity")</f>
        <v>Obesity</v>
      </c>
      <c r="D1096">
        <v>7.19</v>
      </c>
      <c r="E1096" t="str" cm="1">
        <f t="array" ref="E1096">_xlfn.IFS(D1096&lt;5.7,"Normal",D1096&lt;=6.4,"Prediabetes",D1096&gt;=6.5,"Diabetes")</f>
        <v>Diabetes</v>
      </c>
      <c r="F1096" s="3" t="s">
        <v>2382</v>
      </c>
      <c r="G1096" s="3" t="s">
        <v>2379</v>
      </c>
      <c r="H1096" s="3" t="s">
        <v>2379</v>
      </c>
      <c r="I1096" s="1">
        <v>2</v>
      </c>
      <c r="J1096">
        <v>2</v>
      </c>
      <c r="K1096" s="3" t="s">
        <v>2379</v>
      </c>
      <c r="P1096" s="3"/>
    </row>
    <row r="1097" spans="1:16" x14ac:dyDescent="0.25">
      <c r="A1097" s="3" t="s">
        <v>1274</v>
      </c>
      <c r="B1097">
        <v>37.950000000000003</v>
      </c>
      <c r="C1097" t="str" cm="1">
        <f t="array" ref="C1097">_xlfn.IFS(B1097&lt;=18.5,  "Underweight",B1097&lt;=24.9,"Normal weight",B1097&lt;=29.9, "Over weight",B1097&gt;=30,"Obesity")</f>
        <v>Obesity</v>
      </c>
      <c r="D1097">
        <v>6.06</v>
      </c>
      <c r="E1097" t="str" cm="1">
        <f t="array" ref="E1097">_xlfn.IFS(D1097&lt;5.7,"Normal",D1097&lt;=6.4,"Prediabetes",D1097&gt;=6.5,"Diabetes")</f>
        <v>Prediabetes</v>
      </c>
      <c r="F1097" s="3" t="s">
        <v>2379</v>
      </c>
      <c r="G1097" s="3" t="s">
        <v>2379</v>
      </c>
      <c r="H1097" s="3" t="s">
        <v>2379</v>
      </c>
      <c r="I1097" s="1" t="s">
        <v>2380</v>
      </c>
      <c r="J1097">
        <v>0</v>
      </c>
      <c r="K1097" s="3" t="s">
        <v>2379</v>
      </c>
      <c r="P1097" s="3"/>
    </row>
    <row r="1098" spans="1:16" x14ac:dyDescent="0.25">
      <c r="A1098" s="3" t="s">
        <v>1273</v>
      </c>
      <c r="B1098">
        <v>38.97</v>
      </c>
      <c r="C1098" t="str" cm="1">
        <f t="array" ref="C1098">_xlfn.IFS(B1098&lt;=18.5,  "Underweight",B1098&lt;=24.9,"Normal weight",B1098&lt;=29.9, "Over weight",B1098&gt;=30,"Obesity")</f>
        <v>Obesity</v>
      </c>
      <c r="D1098">
        <v>5.12</v>
      </c>
      <c r="E1098" t="str" cm="1">
        <f t="array" ref="E1098">_xlfn.IFS(D1098&lt;5.7,"Normal",D1098&lt;=6.4,"Prediabetes",D1098&gt;=6.5,"Diabetes")</f>
        <v>Normal</v>
      </c>
      <c r="F1098" s="3" t="s">
        <v>2379</v>
      </c>
      <c r="G1098" s="3" t="s">
        <v>2379</v>
      </c>
      <c r="H1098" s="3" t="s">
        <v>2379</v>
      </c>
      <c r="I1098" s="1" t="s">
        <v>2380</v>
      </c>
      <c r="J1098">
        <v>0</v>
      </c>
      <c r="K1098" s="3" t="s">
        <v>2379</v>
      </c>
      <c r="P1098" s="3"/>
    </row>
    <row r="1099" spans="1:16" x14ac:dyDescent="0.25">
      <c r="A1099" s="3" t="s">
        <v>1272</v>
      </c>
      <c r="B1099">
        <v>21.2</v>
      </c>
      <c r="C1099" t="str" cm="1">
        <f t="array" ref="C1099">_xlfn.IFS(B1099&lt;=18.5,  "Underweight",B1099&lt;=24.9,"Normal weight",B1099&lt;=29.9, "Over weight",B1099&gt;=30,"Obesity")</f>
        <v>Normal weight</v>
      </c>
      <c r="D1099">
        <v>10.72</v>
      </c>
      <c r="E1099" t="str" cm="1">
        <f t="array" ref="E1099">_xlfn.IFS(D1099&lt;5.7,"Normal",D1099&lt;=6.4,"Prediabetes",D1099&gt;=6.5,"Diabetes")</f>
        <v>Diabetes</v>
      </c>
      <c r="F1099" s="3" t="s">
        <v>2379</v>
      </c>
      <c r="G1099" s="3" t="s">
        <v>2379</v>
      </c>
      <c r="H1099" s="3" t="s">
        <v>2379</v>
      </c>
      <c r="I1099" s="1" t="s">
        <v>2380</v>
      </c>
      <c r="J1099">
        <v>0</v>
      </c>
      <c r="K1099" s="3" t="s">
        <v>2379</v>
      </c>
      <c r="P1099" s="3"/>
    </row>
    <row r="1100" spans="1:16" x14ac:dyDescent="0.25">
      <c r="A1100" s="3" t="s">
        <v>1271</v>
      </c>
      <c r="B1100">
        <v>23.96</v>
      </c>
      <c r="C1100" t="str" cm="1">
        <f t="array" ref="C1100">_xlfn.IFS(B1100&lt;=18.5,  "Underweight",B1100&lt;=24.9,"Normal weight",B1100&lt;=29.9, "Over weight",B1100&gt;=30,"Obesity")</f>
        <v>Normal weight</v>
      </c>
      <c r="D1100">
        <v>9.58</v>
      </c>
      <c r="E1100" t="str" cm="1">
        <f t="array" ref="E1100">_xlfn.IFS(D1100&lt;5.7,"Normal",D1100&lt;=6.4,"Prediabetes",D1100&gt;=6.5,"Diabetes")</f>
        <v>Diabetes</v>
      </c>
      <c r="F1100" s="3" t="s">
        <v>2382</v>
      </c>
      <c r="G1100" s="3" t="s">
        <v>2379</v>
      </c>
      <c r="H1100" s="3" t="s">
        <v>2382</v>
      </c>
      <c r="I1100" s="1">
        <v>1</v>
      </c>
      <c r="J1100">
        <v>1</v>
      </c>
      <c r="K1100" s="3" t="s">
        <v>2379</v>
      </c>
      <c r="P1100" s="3"/>
    </row>
    <row r="1101" spans="1:16" x14ac:dyDescent="0.25">
      <c r="A1101" s="3" t="s">
        <v>1270</v>
      </c>
      <c r="B1101">
        <v>35.93</v>
      </c>
      <c r="C1101" t="str" cm="1">
        <f t="array" ref="C1101">_xlfn.IFS(B1101&lt;=18.5,  "Underweight",B1101&lt;=24.9,"Normal weight",B1101&lt;=29.9, "Over weight",B1101&gt;=30,"Obesity")</f>
        <v>Obesity</v>
      </c>
      <c r="D1101">
        <v>6.4</v>
      </c>
      <c r="E1101" t="str" cm="1">
        <f t="array" ref="E1101">_xlfn.IFS(D1101&lt;5.7,"Normal",D1101&lt;=6.4,"Prediabetes",D1101&gt;=6.5,"Diabetes")</f>
        <v>Prediabetes</v>
      </c>
      <c r="F1101" s="3" t="s">
        <v>2382</v>
      </c>
      <c r="G1101" s="3" t="s">
        <v>2379</v>
      </c>
      <c r="H1101" s="3" t="s">
        <v>2379</v>
      </c>
      <c r="I1101" s="1">
        <v>1</v>
      </c>
      <c r="J1101">
        <v>1</v>
      </c>
      <c r="K1101" s="3" t="s">
        <v>2379</v>
      </c>
      <c r="P1101" s="3"/>
    </row>
    <row r="1102" spans="1:16" x14ac:dyDescent="0.25">
      <c r="A1102" s="3" t="s">
        <v>1269</v>
      </c>
      <c r="B1102">
        <v>26.11</v>
      </c>
      <c r="C1102" t="str" cm="1">
        <f t="array" ref="C1102">_xlfn.IFS(B1102&lt;=18.5,  "Underweight",B1102&lt;=24.9,"Normal weight",B1102&lt;=29.9, "Over weight",B1102&gt;=30,"Obesity")</f>
        <v>Over weight</v>
      </c>
      <c r="D1102">
        <v>6.8</v>
      </c>
      <c r="E1102" t="str" cm="1">
        <f t="array" ref="E1102">_xlfn.IFS(D1102&lt;5.7,"Normal",D1102&lt;=6.4,"Prediabetes",D1102&gt;=6.5,"Diabetes")</f>
        <v>Diabetes</v>
      </c>
      <c r="F1102" s="3" t="s">
        <v>2382</v>
      </c>
      <c r="G1102" s="3" t="s">
        <v>2379</v>
      </c>
      <c r="H1102" s="3" t="s">
        <v>2379</v>
      </c>
      <c r="I1102" s="1">
        <v>2</v>
      </c>
      <c r="J1102">
        <v>2</v>
      </c>
      <c r="K1102" s="3" t="s">
        <v>2379</v>
      </c>
      <c r="P1102" s="3"/>
    </row>
    <row r="1103" spans="1:16" x14ac:dyDescent="0.25">
      <c r="A1103" s="3" t="s">
        <v>1268</v>
      </c>
      <c r="B1103">
        <v>32.299999999999997</v>
      </c>
      <c r="C1103" t="str" cm="1">
        <f t="array" ref="C1103">_xlfn.IFS(B1103&lt;=18.5,  "Underweight",B1103&lt;=24.9,"Normal weight",B1103&lt;=29.9, "Over weight",B1103&gt;=30,"Obesity")</f>
        <v>Obesity</v>
      </c>
      <c r="D1103">
        <v>9.48</v>
      </c>
      <c r="E1103" t="str" cm="1">
        <f t="array" ref="E1103">_xlfn.IFS(D1103&lt;5.7,"Normal",D1103&lt;=6.4,"Prediabetes",D1103&gt;=6.5,"Diabetes")</f>
        <v>Diabetes</v>
      </c>
      <c r="F1103" s="3" t="s">
        <v>2379</v>
      </c>
      <c r="G1103" s="3" t="s">
        <v>2379</v>
      </c>
      <c r="H1103" s="3" t="s">
        <v>2379</v>
      </c>
      <c r="I1103" s="1">
        <v>2</v>
      </c>
      <c r="J1103">
        <v>2</v>
      </c>
      <c r="K1103" s="3" t="s">
        <v>2379</v>
      </c>
      <c r="P1103" s="3"/>
    </row>
    <row r="1104" spans="1:16" x14ac:dyDescent="0.25">
      <c r="A1104" s="3" t="s">
        <v>1267</v>
      </c>
      <c r="B1104">
        <v>28.69</v>
      </c>
      <c r="C1104" t="str" cm="1">
        <f t="array" ref="C1104">_xlfn.IFS(B1104&lt;=18.5,  "Underweight",B1104&lt;=24.9,"Normal weight",B1104&lt;=29.9, "Over weight",B1104&gt;=30,"Obesity")</f>
        <v>Over weight</v>
      </c>
      <c r="D1104">
        <v>7.45</v>
      </c>
      <c r="E1104" t="str" cm="1">
        <f t="array" ref="E1104">_xlfn.IFS(D1104&lt;5.7,"Normal",D1104&lt;=6.4,"Prediabetes",D1104&gt;=6.5,"Diabetes")</f>
        <v>Diabetes</v>
      </c>
      <c r="F1104" s="3" t="s">
        <v>2379</v>
      </c>
      <c r="G1104" s="3" t="s">
        <v>2379</v>
      </c>
      <c r="H1104" s="3" t="s">
        <v>2379</v>
      </c>
      <c r="I1104" s="1">
        <v>2</v>
      </c>
      <c r="J1104">
        <v>2</v>
      </c>
      <c r="K1104" s="3" t="s">
        <v>2379</v>
      </c>
      <c r="P1104" s="3"/>
    </row>
    <row r="1105" spans="1:16" x14ac:dyDescent="0.25">
      <c r="A1105" s="3" t="s">
        <v>1266</v>
      </c>
      <c r="B1105">
        <v>31.28</v>
      </c>
      <c r="C1105" t="str" cm="1">
        <f t="array" ref="C1105">_xlfn.IFS(B1105&lt;=18.5,  "Underweight",B1105&lt;=24.9,"Normal weight",B1105&lt;=29.9, "Over weight",B1105&gt;=30,"Obesity")</f>
        <v>Obesity</v>
      </c>
      <c r="D1105">
        <v>6.94</v>
      </c>
      <c r="E1105" t="str" cm="1">
        <f t="array" ref="E1105">_xlfn.IFS(D1105&lt;5.7,"Normal",D1105&lt;=6.4,"Prediabetes",D1105&gt;=6.5,"Diabetes")</f>
        <v>Diabetes</v>
      </c>
      <c r="F1105" s="3" t="s">
        <v>2382</v>
      </c>
      <c r="G1105" s="3" t="s">
        <v>2379</v>
      </c>
      <c r="H1105" s="3" t="s">
        <v>2379</v>
      </c>
      <c r="I1105" s="1">
        <v>1</v>
      </c>
      <c r="J1105">
        <v>1</v>
      </c>
      <c r="K1105" s="3" t="s">
        <v>2379</v>
      </c>
      <c r="P1105" s="3"/>
    </row>
    <row r="1106" spans="1:16" x14ac:dyDescent="0.25">
      <c r="A1106" s="3" t="s">
        <v>1265</v>
      </c>
      <c r="B1106">
        <v>30.21</v>
      </c>
      <c r="C1106" t="str" cm="1">
        <f t="array" ref="C1106">_xlfn.IFS(B1106&lt;=18.5,  "Underweight",B1106&lt;=24.9,"Normal weight",B1106&lt;=29.9, "Over weight",B1106&gt;=30,"Obesity")</f>
        <v>Obesity</v>
      </c>
      <c r="D1106">
        <v>7.83</v>
      </c>
      <c r="E1106" t="str" cm="1">
        <f t="array" ref="E1106">_xlfn.IFS(D1106&lt;5.7,"Normal",D1106&lt;=6.4,"Prediabetes",D1106&gt;=6.5,"Diabetes")</f>
        <v>Diabetes</v>
      </c>
      <c r="F1106" s="3" t="s">
        <v>2379</v>
      </c>
      <c r="G1106" s="3" t="s">
        <v>2379</v>
      </c>
      <c r="H1106" s="3" t="s">
        <v>2379</v>
      </c>
      <c r="I1106" s="1" t="s">
        <v>2380</v>
      </c>
      <c r="J1106">
        <v>0</v>
      </c>
      <c r="K1106" s="3" t="s">
        <v>2379</v>
      </c>
      <c r="P1106" s="3"/>
    </row>
    <row r="1107" spans="1:16" x14ac:dyDescent="0.25">
      <c r="A1107" s="3" t="s">
        <v>1264</v>
      </c>
      <c r="B1107">
        <v>38.28</v>
      </c>
      <c r="C1107" t="str" cm="1">
        <f t="array" ref="C1107">_xlfn.IFS(B1107&lt;=18.5,  "Underweight",B1107&lt;=24.9,"Normal weight",B1107&lt;=29.9, "Over weight",B1107&gt;=30,"Obesity")</f>
        <v>Obesity</v>
      </c>
      <c r="D1107">
        <v>10.17</v>
      </c>
      <c r="E1107" t="str" cm="1">
        <f t="array" ref="E1107">_xlfn.IFS(D1107&lt;5.7,"Normal",D1107&lt;=6.4,"Prediabetes",D1107&gt;=6.5,"Diabetes")</f>
        <v>Diabetes</v>
      </c>
      <c r="F1107" s="3" t="s">
        <v>2382</v>
      </c>
      <c r="G1107" s="3" t="s">
        <v>2379</v>
      </c>
      <c r="H1107" s="3" t="s">
        <v>2379</v>
      </c>
      <c r="I1107" s="1" t="s">
        <v>2380</v>
      </c>
      <c r="J1107">
        <v>0</v>
      </c>
      <c r="K1107" s="3" t="s">
        <v>2379</v>
      </c>
      <c r="P1107" s="3"/>
    </row>
    <row r="1108" spans="1:16" x14ac:dyDescent="0.25">
      <c r="A1108" s="3" t="s">
        <v>1263</v>
      </c>
      <c r="B1108">
        <v>29.9</v>
      </c>
      <c r="C1108" t="str" cm="1">
        <f t="array" ref="C1108">_xlfn.IFS(B1108&lt;=18.5,  "Underweight",B1108&lt;=24.9,"Normal weight",B1108&lt;=29.9, "Over weight",B1108&gt;=30,"Obesity")</f>
        <v>Over weight</v>
      </c>
      <c r="D1108">
        <v>8.9600000000000009</v>
      </c>
      <c r="E1108" t="str" cm="1">
        <f t="array" ref="E1108">_xlfn.IFS(D1108&lt;5.7,"Normal",D1108&lt;=6.4,"Prediabetes",D1108&gt;=6.5,"Diabetes")</f>
        <v>Diabetes</v>
      </c>
      <c r="F1108" s="3" t="s">
        <v>2382</v>
      </c>
      <c r="G1108" s="3" t="s">
        <v>2379</v>
      </c>
      <c r="H1108" s="3" t="s">
        <v>2379</v>
      </c>
      <c r="I1108" s="1" t="s">
        <v>2380</v>
      </c>
      <c r="J1108">
        <v>0</v>
      </c>
      <c r="K1108" s="3" t="s">
        <v>2379</v>
      </c>
      <c r="P1108" s="3"/>
    </row>
    <row r="1109" spans="1:16" x14ac:dyDescent="0.25">
      <c r="A1109" s="3" t="s">
        <v>1262</v>
      </c>
      <c r="B1109">
        <v>23.18</v>
      </c>
      <c r="C1109" t="str" cm="1">
        <f t="array" ref="C1109">_xlfn.IFS(B1109&lt;=18.5,  "Underweight",B1109&lt;=24.9,"Normal weight",B1109&lt;=29.9, "Over weight",B1109&gt;=30,"Obesity")</f>
        <v>Normal weight</v>
      </c>
      <c r="D1109">
        <v>6.96</v>
      </c>
      <c r="E1109" t="str" cm="1">
        <f t="array" ref="E1109">_xlfn.IFS(D1109&lt;5.7,"Normal",D1109&lt;=6.4,"Prediabetes",D1109&gt;=6.5,"Diabetes")</f>
        <v>Diabetes</v>
      </c>
      <c r="F1109" s="3" t="s">
        <v>2382</v>
      </c>
      <c r="G1109" s="3" t="s">
        <v>2379</v>
      </c>
      <c r="H1109" s="3" t="s">
        <v>2379</v>
      </c>
      <c r="I1109" s="1">
        <v>2</v>
      </c>
      <c r="J1109">
        <v>2</v>
      </c>
      <c r="K1109" s="3" t="s">
        <v>2379</v>
      </c>
      <c r="P1109" s="3"/>
    </row>
    <row r="1110" spans="1:16" x14ac:dyDescent="0.25">
      <c r="A1110" s="3" t="s">
        <v>1261</v>
      </c>
      <c r="B1110">
        <v>33.020000000000003</v>
      </c>
      <c r="C1110" t="str" cm="1">
        <f t="array" ref="C1110">_xlfn.IFS(B1110&lt;=18.5,  "Underweight",B1110&lt;=24.9,"Normal weight",B1110&lt;=29.9, "Over weight",B1110&gt;=30,"Obesity")</f>
        <v>Obesity</v>
      </c>
      <c r="D1110">
        <v>5.07</v>
      </c>
      <c r="E1110" t="str" cm="1">
        <f t="array" ref="E1110">_xlfn.IFS(D1110&lt;5.7,"Normal",D1110&lt;=6.4,"Prediabetes",D1110&gt;=6.5,"Diabetes")</f>
        <v>Normal</v>
      </c>
      <c r="F1110" s="3" t="s">
        <v>2382</v>
      </c>
      <c r="G1110" s="3" t="s">
        <v>2379</v>
      </c>
      <c r="H1110" s="3" t="s">
        <v>2379</v>
      </c>
      <c r="I1110" s="1" t="s">
        <v>2380</v>
      </c>
      <c r="J1110">
        <v>0</v>
      </c>
      <c r="K1110" s="3" t="s">
        <v>2379</v>
      </c>
      <c r="P1110" s="3"/>
    </row>
    <row r="1111" spans="1:16" x14ac:dyDescent="0.25">
      <c r="A1111" s="3" t="s">
        <v>1260</v>
      </c>
      <c r="B1111">
        <v>27.29</v>
      </c>
      <c r="C1111" t="str" cm="1">
        <f t="array" ref="C1111">_xlfn.IFS(B1111&lt;=18.5,  "Underweight",B1111&lt;=24.9,"Normal weight",B1111&lt;=29.9, "Over weight",B1111&gt;=30,"Obesity")</f>
        <v>Over weight</v>
      </c>
      <c r="D1111">
        <v>5.85</v>
      </c>
      <c r="E1111" t="str" cm="1">
        <f t="array" ref="E1111">_xlfn.IFS(D1111&lt;5.7,"Normal",D1111&lt;=6.4,"Prediabetes",D1111&gt;=6.5,"Diabetes")</f>
        <v>Prediabetes</v>
      </c>
      <c r="F1111" s="3" t="s">
        <v>2379</v>
      </c>
      <c r="G1111" s="3" t="s">
        <v>2379</v>
      </c>
      <c r="H1111" s="3" t="s">
        <v>2379</v>
      </c>
      <c r="I1111" s="1">
        <v>2</v>
      </c>
      <c r="J1111">
        <v>2</v>
      </c>
      <c r="K1111" s="3" t="s">
        <v>2379</v>
      </c>
      <c r="P1111" s="3"/>
    </row>
    <row r="1112" spans="1:16" x14ac:dyDescent="0.25">
      <c r="A1112" s="3" t="s">
        <v>1259</v>
      </c>
      <c r="B1112">
        <v>23.18</v>
      </c>
      <c r="C1112" t="str" cm="1">
        <f t="array" ref="C1112">_xlfn.IFS(B1112&lt;=18.5,  "Underweight",B1112&lt;=24.9,"Normal weight",B1112&lt;=29.9, "Over weight",B1112&gt;=30,"Obesity")</f>
        <v>Normal weight</v>
      </c>
      <c r="D1112">
        <v>10.56</v>
      </c>
      <c r="E1112" t="str" cm="1">
        <f t="array" ref="E1112">_xlfn.IFS(D1112&lt;5.7,"Normal",D1112&lt;=6.4,"Prediabetes",D1112&gt;=6.5,"Diabetes")</f>
        <v>Diabetes</v>
      </c>
      <c r="F1112" s="3" t="s">
        <v>2379</v>
      </c>
      <c r="G1112" s="3" t="s">
        <v>2379</v>
      </c>
      <c r="H1112" s="3" t="s">
        <v>2379</v>
      </c>
      <c r="I1112" s="1">
        <v>2</v>
      </c>
      <c r="J1112">
        <v>2</v>
      </c>
      <c r="K1112" s="3" t="s">
        <v>2379</v>
      </c>
      <c r="P1112" s="3"/>
    </row>
    <row r="1113" spans="1:16" x14ac:dyDescent="0.25">
      <c r="A1113" s="3" t="s">
        <v>1258</v>
      </c>
      <c r="B1113">
        <v>32.659999999999997</v>
      </c>
      <c r="C1113" t="str" cm="1">
        <f t="array" ref="C1113">_xlfn.IFS(B1113&lt;=18.5,  "Underweight",B1113&lt;=24.9,"Normal weight",B1113&lt;=29.9, "Over weight",B1113&gt;=30,"Obesity")</f>
        <v>Obesity</v>
      </c>
      <c r="D1113">
        <v>8.92</v>
      </c>
      <c r="E1113" t="str" cm="1">
        <f t="array" ref="E1113">_xlfn.IFS(D1113&lt;5.7,"Normal",D1113&lt;=6.4,"Prediabetes",D1113&gt;=6.5,"Diabetes")</f>
        <v>Diabetes</v>
      </c>
      <c r="F1113" s="3" t="s">
        <v>2382</v>
      </c>
      <c r="G1113" s="3" t="s">
        <v>2379</v>
      </c>
      <c r="H1113" s="3" t="s">
        <v>2379</v>
      </c>
      <c r="I1113" s="1" t="s">
        <v>2380</v>
      </c>
      <c r="J1113">
        <v>0</v>
      </c>
      <c r="K1113" s="3" t="s">
        <v>2379</v>
      </c>
      <c r="P1113" s="3"/>
    </row>
    <row r="1114" spans="1:16" x14ac:dyDescent="0.25">
      <c r="A1114" s="3" t="s">
        <v>1257</v>
      </c>
      <c r="B1114">
        <v>30.78</v>
      </c>
      <c r="C1114" t="str" cm="1">
        <f t="array" ref="C1114">_xlfn.IFS(B1114&lt;=18.5,  "Underweight",B1114&lt;=24.9,"Normal weight",B1114&lt;=29.9, "Over weight",B1114&gt;=30,"Obesity")</f>
        <v>Obesity</v>
      </c>
      <c r="D1114">
        <v>8.6300000000000008</v>
      </c>
      <c r="E1114" t="str" cm="1">
        <f t="array" ref="E1114">_xlfn.IFS(D1114&lt;5.7,"Normal",D1114&lt;=6.4,"Prediabetes",D1114&gt;=6.5,"Diabetes")</f>
        <v>Diabetes</v>
      </c>
      <c r="F1114" s="3" t="s">
        <v>2379</v>
      </c>
      <c r="G1114" s="3" t="s">
        <v>2379</v>
      </c>
      <c r="H1114" s="3" t="s">
        <v>2379</v>
      </c>
      <c r="I1114" s="1" t="s">
        <v>2380</v>
      </c>
      <c r="J1114">
        <v>0</v>
      </c>
      <c r="K1114" s="3" t="s">
        <v>2379</v>
      </c>
      <c r="P1114" s="3"/>
    </row>
    <row r="1115" spans="1:16" x14ac:dyDescent="0.25">
      <c r="A1115" s="3" t="s">
        <v>1256</v>
      </c>
      <c r="B1115">
        <v>47.2</v>
      </c>
      <c r="C1115" t="str" cm="1">
        <f t="array" ref="C1115">_xlfn.IFS(B1115&lt;=18.5,  "Underweight",B1115&lt;=24.9,"Normal weight",B1115&lt;=29.9, "Over weight",B1115&gt;=30,"Obesity")</f>
        <v>Obesity</v>
      </c>
      <c r="D1115">
        <v>6.29</v>
      </c>
      <c r="E1115" t="str" cm="1">
        <f t="array" ref="E1115">_xlfn.IFS(D1115&lt;5.7,"Normal",D1115&lt;=6.4,"Prediabetes",D1115&gt;=6.5,"Diabetes")</f>
        <v>Prediabetes</v>
      </c>
      <c r="F1115" s="3" t="s">
        <v>2382</v>
      </c>
      <c r="G1115" s="3" t="s">
        <v>2379</v>
      </c>
      <c r="H1115" s="3" t="s">
        <v>2382</v>
      </c>
      <c r="I1115" s="1">
        <v>1</v>
      </c>
      <c r="J1115">
        <v>1</v>
      </c>
      <c r="K1115" s="3" t="s">
        <v>2379</v>
      </c>
      <c r="P1115" s="3"/>
    </row>
    <row r="1116" spans="1:16" x14ac:dyDescent="0.25">
      <c r="A1116" s="3" t="s">
        <v>1255</v>
      </c>
      <c r="B1116">
        <v>31.6</v>
      </c>
      <c r="C1116" t="str" cm="1">
        <f t="array" ref="C1116">_xlfn.IFS(B1116&lt;=18.5,  "Underweight",B1116&lt;=24.9,"Normal weight",B1116&lt;=29.9, "Over weight",B1116&gt;=30,"Obesity")</f>
        <v>Obesity</v>
      </c>
      <c r="D1116">
        <v>5.75</v>
      </c>
      <c r="E1116" t="str" cm="1">
        <f t="array" ref="E1116">_xlfn.IFS(D1116&lt;5.7,"Normal",D1116&lt;=6.4,"Prediabetes",D1116&gt;=6.5,"Diabetes")</f>
        <v>Prediabetes</v>
      </c>
      <c r="F1116" s="3" t="s">
        <v>2379</v>
      </c>
      <c r="G1116" s="3" t="s">
        <v>2379</v>
      </c>
      <c r="H1116" s="3" t="s">
        <v>2379</v>
      </c>
      <c r="I1116" s="1">
        <v>2</v>
      </c>
      <c r="J1116">
        <v>2</v>
      </c>
      <c r="K1116" s="3" t="s">
        <v>2379</v>
      </c>
      <c r="P1116" s="3"/>
    </row>
    <row r="1117" spans="1:16" x14ac:dyDescent="0.25">
      <c r="A1117" s="3" t="s">
        <v>1254</v>
      </c>
      <c r="B1117">
        <v>33.914999999999999</v>
      </c>
      <c r="C1117" t="str" cm="1">
        <f t="array" ref="C1117">_xlfn.IFS(B1117&lt;=18.5,  "Underweight",B1117&lt;=24.9,"Normal weight",B1117&lt;=29.9, "Over weight",B1117&gt;=30,"Obesity")</f>
        <v>Obesity</v>
      </c>
      <c r="D1117">
        <v>6.66</v>
      </c>
      <c r="E1117" t="str" cm="1">
        <f t="array" ref="E1117">_xlfn.IFS(D1117&lt;5.7,"Normal",D1117&lt;=6.4,"Prediabetes",D1117&gt;=6.5,"Diabetes")</f>
        <v>Diabetes</v>
      </c>
      <c r="F1117" s="3" t="s">
        <v>2382</v>
      </c>
      <c r="G1117" s="3" t="s">
        <v>2379</v>
      </c>
      <c r="H1117" s="3" t="s">
        <v>2379</v>
      </c>
      <c r="I1117" s="1">
        <v>1</v>
      </c>
      <c r="J1117">
        <v>1</v>
      </c>
      <c r="K1117" s="3" t="s">
        <v>2379</v>
      </c>
      <c r="P1117" s="3"/>
    </row>
    <row r="1118" spans="1:16" x14ac:dyDescent="0.25">
      <c r="A1118" s="3" t="s">
        <v>1253</v>
      </c>
      <c r="B1118">
        <v>23.54</v>
      </c>
      <c r="C1118" t="str" cm="1">
        <f t="array" ref="C1118">_xlfn.IFS(B1118&lt;=18.5,  "Underweight",B1118&lt;=24.9,"Normal weight",B1118&lt;=29.9, "Over weight",B1118&gt;=30,"Obesity")</f>
        <v>Normal weight</v>
      </c>
      <c r="D1118">
        <v>5.0999999999999996</v>
      </c>
      <c r="E1118" t="str" cm="1">
        <f t="array" ref="E1118">_xlfn.IFS(D1118&lt;5.7,"Normal",D1118&lt;=6.4,"Prediabetes",D1118&gt;=6.5,"Diabetes")</f>
        <v>Normal</v>
      </c>
      <c r="F1118" s="3" t="s">
        <v>2379</v>
      </c>
      <c r="G1118" s="3" t="s">
        <v>2379</v>
      </c>
      <c r="H1118" s="3" t="s">
        <v>2379</v>
      </c>
      <c r="I1118" s="1">
        <v>2</v>
      </c>
      <c r="J1118">
        <v>2</v>
      </c>
      <c r="K1118" s="3" t="s">
        <v>2379</v>
      </c>
      <c r="P1118" s="3"/>
    </row>
    <row r="1119" spans="1:16" x14ac:dyDescent="0.25">
      <c r="A1119" s="3" t="s">
        <v>1252</v>
      </c>
      <c r="B1119">
        <v>27.074999999999999</v>
      </c>
      <c r="C1119" t="str" cm="1">
        <f t="array" ref="C1119">_xlfn.IFS(B1119&lt;=18.5,  "Underweight",B1119&lt;=24.9,"Normal weight",B1119&lt;=29.9, "Over weight",B1119&gt;=30,"Obesity")</f>
        <v>Over weight</v>
      </c>
      <c r="D1119">
        <v>4.41</v>
      </c>
      <c r="E1119" t="str" cm="1">
        <f t="array" ref="E1119">_xlfn.IFS(D1119&lt;5.7,"Normal",D1119&lt;=6.4,"Prediabetes",D1119&gt;=6.5,"Diabetes")</f>
        <v>Normal</v>
      </c>
      <c r="F1119" s="3" t="s">
        <v>2379</v>
      </c>
      <c r="G1119" s="3" t="s">
        <v>2379</v>
      </c>
      <c r="H1119" s="3" t="s">
        <v>2379</v>
      </c>
      <c r="I1119" s="1">
        <v>2</v>
      </c>
      <c r="J1119">
        <v>2</v>
      </c>
      <c r="K1119" s="3" t="s">
        <v>2379</v>
      </c>
      <c r="P1119" s="3"/>
    </row>
    <row r="1120" spans="1:16" x14ac:dyDescent="0.25">
      <c r="A1120" s="3" t="s">
        <v>1251</v>
      </c>
      <c r="B1120">
        <v>25.8</v>
      </c>
      <c r="C1120" t="str" cm="1">
        <f t="array" ref="C1120">_xlfn.IFS(B1120&lt;=18.5,  "Underweight",B1120&lt;=24.9,"Normal weight",B1120&lt;=29.9, "Over weight",B1120&gt;=30,"Obesity")</f>
        <v>Over weight</v>
      </c>
      <c r="D1120">
        <v>5.52</v>
      </c>
      <c r="E1120" t="str" cm="1">
        <f t="array" ref="E1120">_xlfn.IFS(D1120&lt;5.7,"Normal",D1120&lt;=6.4,"Prediabetes",D1120&gt;=6.5,"Diabetes")</f>
        <v>Normal</v>
      </c>
      <c r="F1120" s="3" t="s">
        <v>2382</v>
      </c>
      <c r="G1120" s="3" t="s">
        <v>2379</v>
      </c>
      <c r="H1120" s="3" t="s">
        <v>2379</v>
      </c>
      <c r="I1120" s="1" t="s">
        <v>2380</v>
      </c>
      <c r="J1120">
        <v>0</v>
      </c>
      <c r="K1120" s="3" t="s">
        <v>2379</v>
      </c>
      <c r="P1120" s="3"/>
    </row>
    <row r="1121" spans="1:16" x14ac:dyDescent="0.25">
      <c r="A1121" s="3" t="s">
        <v>1250</v>
      </c>
      <c r="B1121">
        <v>36.1</v>
      </c>
      <c r="C1121" t="str" cm="1">
        <f t="array" ref="C1121">_xlfn.IFS(B1121&lt;=18.5,  "Underweight",B1121&lt;=24.9,"Normal weight",B1121&lt;=29.9, "Over weight",B1121&gt;=30,"Obesity")</f>
        <v>Obesity</v>
      </c>
      <c r="D1121">
        <v>4.62</v>
      </c>
      <c r="E1121" t="str" cm="1">
        <f t="array" ref="E1121">_xlfn.IFS(D1121&lt;5.7,"Normal",D1121&lt;=6.4,"Prediabetes",D1121&gt;=6.5,"Diabetes")</f>
        <v>Normal</v>
      </c>
      <c r="F1121" s="3" t="s">
        <v>2382</v>
      </c>
      <c r="G1121" s="3" t="s">
        <v>2379</v>
      </c>
      <c r="H1121" s="3" t="s">
        <v>2382</v>
      </c>
      <c r="I1121" s="1">
        <v>1</v>
      </c>
      <c r="J1121">
        <v>1</v>
      </c>
      <c r="K1121" s="3" t="s">
        <v>2379</v>
      </c>
      <c r="P1121" s="3"/>
    </row>
    <row r="1122" spans="1:16" x14ac:dyDescent="0.25">
      <c r="A1122" s="3" t="s">
        <v>1249</v>
      </c>
      <c r="B1122">
        <v>30.495000000000001</v>
      </c>
      <c r="C1122" t="str" cm="1">
        <f t="array" ref="C1122">_xlfn.IFS(B1122&lt;=18.5,  "Underweight",B1122&lt;=24.9,"Normal weight",B1122&lt;=29.9, "Over weight",B1122&gt;=30,"Obesity")</f>
        <v>Obesity</v>
      </c>
      <c r="D1122">
        <v>5.74</v>
      </c>
      <c r="E1122" t="str" cm="1">
        <f t="array" ref="E1122">_xlfn.IFS(D1122&lt;5.7,"Normal",D1122&lt;=6.4,"Prediabetes",D1122&gt;=6.5,"Diabetes")</f>
        <v>Prediabetes</v>
      </c>
      <c r="F1122" s="3" t="s">
        <v>2382</v>
      </c>
      <c r="G1122" s="3" t="s">
        <v>2379</v>
      </c>
      <c r="H1122" s="3" t="s">
        <v>2382</v>
      </c>
      <c r="I1122" s="1">
        <v>1</v>
      </c>
      <c r="J1122">
        <v>1</v>
      </c>
      <c r="K1122" s="3" t="s">
        <v>2379</v>
      </c>
      <c r="P1122" s="3"/>
    </row>
    <row r="1123" spans="1:16" x14ac:dyDescent="0.25">
      <c r="A1123" s="3" t="s">
        <v>1248</v>
      </c>
      <c r="B1123">
        <v>21.4</v>
      </c>
      <c r="C1123" t="str" cm="1">
        <f t="array" ref="C1123">_xlfn.IFS(B1123&lt;=18.5,  "Underweight",B1123&lt;=24.9,"Normal weight",B1123&lt;=29.9, "Over weight",B1123&gt;=30,"Obesity")</f>
        <v>Normal weight</v>
      </c>
      <c r="D1123">
        <v>6.3</v>
      </c>
      <c r="E1123" t="str" cm="1">
        <f t="array" ref="E1123">_xlfn.IFS(D1123&lt;5.7,"Normal",D1123&lt;=6.4,"Prediabetes",D1123&gt;=6.5,"Diabetes")</f>
        <v>Prediabetes</v>
      </c>
      <c r="F1123" s="3" t="s">
        <v>2382</v>
      </c>
      <c r="G1123" s="3" t="s">
        <v>2379</v>
      </c>
      <c r="H1123" s="3" t="s">
        <v>2382</v>
      </c>
      <c r="I1123" s="1">
        <v>1</v>
      </c>
      <c r="J1123">
        <v>1</v>
      </c>
      <c r="K1123" s="3" t="s">
        <v>2379</v>
      </c>
      <c r="P1123" s="3"/>
    </row>
    <row r="1124" spans="1:16" x14ac:dyDescent="0.25">
      <c r="A1124" s="3" t="s">
        <v>1247</v>
      </c>
      <c r="B1124">
        <v>32.299999999999997</v>
      </c>
      <c r="C1124" t="str" cm="1">
        <f t="array" ref="C1124">_xlfn.IFS(B1124&lt;=18.5,  "Underweight",B1124&lt;=24.9,"Normal weight",B1124&lt;=29.9, "Over weight",B1124&gt;=30,"Obesity")</f>
        <v>Obesity</v>
      </c>
      <c r="D1124">
        <v>10.27</v>
      </c>
      <c r="E1124" t="str" cm="1">
        <f t="array" ref="E1124">_xlfn.IFS(D1124&lt;5.7,"Normal",D1124&lt;=6.4,"Prediabetes",D1124&gt;=6.5,"Diabetes")</f>
        <v>Diabetes</v>
      </c>
      <c r="F1124" s="3" t="s">
        <v>2379</v>
      </c>
      <c r="G1124" s="3" t="s">
        <v>2379</v>
      </c>
      <c r="H1124" s="3" t="s">
        <v>2379</v>
      </c>
      <c r="I1124" s="1" t="s">
        <v>2380</v>
      </c>
      <c r="J1124">
        <v>0</v>
      </c>
      <c r="K1124" s="3" t="s">
        <v>2379</v>
      </c>
      <c r="P1124" s="3"/>
    </row>
    <row r="1125" spans="1:16" x14ac:dyDescent="0.25">
      <c r="A1125" s="3" t="s">
        <v>1246</v>
      </c>
      <c r="B1125">
        <v>29.78</v>
      </c>
      <c r="C1125" t="str" cm="1">
        <f t="array" ref="C1125">_xlfn.IFS(B1125&lt;=18.5,  "Underweight",B1125&lt;=24.9,"Normal weight",B1125&lt;=29.9, "Over weight",B1125&gt;=30,"Obesity")</f>
        <v>Over weight</v>
      </c>
      <c r="D1125">
        <v>5.85</v>
      </c>
      <c r="E1125" t="str" cm="1">
        <f t="array" ref="E1125">_xlfn.IFS(D1125&lt;5.7,"Normal",D1125&lt;=6.4,"Prediabetes",D1125&gt;=6.5,"Diabetes")</f>
        <v>Prediabetes</v>
      </c>
      <c r="F1125" s="3" t="s">
        <v>2379</v>
      </c>
      <c r="G1125" s="3" t="s">
        <v>2379</v>
      </c>
      <c r="H1125" s="3" t="s">
        <v>2382</v>
      </c>
      <c r="I1125" s="1">
        <v>1</v>
      </c>
      <c r="J1125">
        <v>1</v>
      </c>
      <c r="K1125" s="3" t="s">
        <v>2379</v>
      </c>
      <c r="P1125" s="3"/>
    </row>
    <row r="1126" spans="1:16" x14ac:dyDescent="0.25">
      <c r="A1126" s="3" t="s">
        <v>1245</v>
      </c>
      <c r="B1126">
        <v>34.76</v>
      </c>
      <c r="C1126" t="str" cm="1">
        <f t="array" ref="C1126">_xlfn.IFS(B1126&lt;=18.5,  "Underweight",B1126&lt;=24.9,"Normal weight",B1126&lt;=29.9, "Over weight",B1126&gt;=30,"Obesity")</f>
        <v>Obesity</v>
      </c>
      <c r="D1126">
        <v>5.92</v>
      </c>
      <c r="E1126" t="str" cm="1">
        <f t="array" ref="E1126">_xlfn.IFS(D1126&lt;5.7,"Normal",D1126&lt;=6.4,"Prediabetes",D1126&gt;=6.5,"Diabetes")</f>
        <v>Prediabetes</v>
      </c>
      <c r="F1126" s="3" t="s">
        <v>2382</v>
      </c>
      <c r="G1126" s="3" t="s">
        <v>2379</v>
      </c>
      <c r="H1126" s="3" t="s">
        <v>2379</v>
      </c>
      <c r="I1126" s="1">
        <v>1</v>
      </c>
      <c r="J1126">
        <v>1</v>
      </c>
      <c r="K1126" s="3" t="s">
        <v>2379</v>
      </c>
      <c r="P1126" s="3"/>
    </row>
    <row r="1127" spans="1:16" x14ac:dyDescent="0.25">
      <c r="A1127" s="3" t="s">
        <v>1244</v>
      </c>
      <c r="B1127">
        <v>18.335000000000001</v>
      </c>
      <c r="C1127" t="str" cm="1">
        <f t="array" ref="C1127">_xlfn.IFS(B1127&lt;=18.5,  "Underweight",B1127&lt;=24.9,"Normal weight",B1127&lt;=29.9, "Over weight",B1127&gt;=30,"Obesity")</f>
        <v>Underweight</v>
      </c>
      <c r="D1127">
        <v>10.01</v>
      </c>
      <c r="E1127" t="str" cm="1">
        <f t="array" ref="E1127">_xlfn.IFS(D1127&lt;5.7,"Normal",D1127&lt;=6.4,"Prediabetes",D1127&gt;=6.5,"Diabetes")</f>
        <v>Diabetes</v>
      </c>
      <c r="F1127" s="3" t="s">
        <v>2382</v>
      </c>
      <c r="G1127" s="3" t="s">
        <v>2379</v>
      </c>
      <c r="H1127" s="3" t="s">
        <v>2379</v>
      </c>
      <c r="I1127" s="1">
        <v>2</v>
      </c>
      <c r="J1127">
        <v>2</v>
      </c>
      <c r="K1127" s="3" t="s">
        <v>2379</v>
      </c>
      <c r="P1127" s="3"/>
    </row>
    <row r="1128" spans="1:16" x14ac:dyDescent="0.25">
      <c r="A1128" s="3" t="s">
        <v>1243</v>
      </c>
      <c r="B1128">
        <v>32.299999999999997</v>
      </c>
      <c r="C1128" t="str" cm="1">
        <f t="array" ref="C1128">_xlfn.IFS(B1128&lt;=18.5,  "Underweight",B1128&lt;=24.9,"Normal weight",B1128&lt;=29.9, "Over weight",B1128&gt;=30,"Obesity")</f>
        <v>Obesity</v>
      </c>
      <c r="D1128">
        <v>9.59</v>
      </c>
      <c r="E1128" t="str" cm="1">
        <f t="array" ref="E1128">_xlfn.IFS(D1128&lt;5.7,"Normal",D1128&lt;=6.4,"Prediabetes",D1128&gt;=6.5,"Diabetes")</f>
        <v>Diabetes</v>
      </c>
      <c r="F1128" s="3" t="s">
        <v>2379</v>
      </c>
      <c r="G1128" s="3" t="s">
        <v>2379</v>
      </c>
      <c r="H1128" s="3" t="s">
        <v>2379</v>
      </c>
      <c r="I1128" s="1" t="s">
        <v>2380</v>
      </c>
      <c r="J1128">
        <v>0</v>
      </c>
      <c r="K1128" s="3" t="s">
        <v>2379</v>
      </c>
      <c r="P1128" s="3"/>
    </row>
    <row r="1129" spans="1:16" x14ac:dyDescent="0.25">
      <c r="A1129" s="3" t="s">
        <v>1242</v>
      </c>
      <c r="B1129">
        <v>27.74</v>
      </c>
      <c r="C1129" t="str" cm="1">
        <f t="array" ref="C1129">_xlfn.IFS(B1129&lt;=18.5,  "Underweight",B1129&lt;=24.9,"Normal weight",B1129&lt;=29.9, "Over weight",B1129&gt;=30,"Obesity")</f>
        <v>Over weight</v>
      </c>
      <c r="D1129">
        <v>10.37</v>
      </c>
      <c r="E1129" t="str" cm="1">
        <f t="array" ref="E1129">_xlfn.IFS(D1129&lt;5.7,"Normal",D1129&lt;=6.4,"Prediabetes",D1129&gt;=6.5,"Diabetes")</f>
        <v>Diabetes</v>
      </c>
      <c r="F1129" s="3" t="s">
        <v>2379</v>
      </c>
      <c r="G1129" s="3" t="s">
        <v>2379</v>
      </c>
      <c r="H1129" s="3" t="s">
        <v>2379</v>
      </c>
      <c r="I1129" s="1" t="s">
        <v>2380</v>
      </c>
      <c r="J1129">
        <v>0</v>
      </c>
      <c r="K1129" s="3" t="s">
        <v>2379</v>
      </c>
      <c r="P1129" s="3"/>
    </row>
    <row r="1130" spans="1:16" x14ac:dyDescent="0.25">
      <c r="A1130" s="3" t="s">
        <v>1241</v>
      </c>
      <c r="B1130">
        <v>24</v>
      </c>
      <c r="C1130" t="str" cm="1">
        <f t="array" ref="C1130">_xlfn.IFS(B1130&lt;=18.5,  "Underweight",B1130&lt;=24.9,"Normal weight",B1130&lt;=29.9, "Over weight",B1130&gt;=30,"Obesity")</f>
        <v>Normal weight</v>
      </c>
      <c r="D1130">
        <v>4.01</v>
      </c>
      <c r="E1130" t="str" cm="1">
        <f t="array" ref="E1130">_xlfn.IFS(D1130&lt;5.7,"Normal",D1130&lt;=6.4,"Prediabetes",D1130&gt;=6.5,"Diabetes")</f>
        <v>Normal</v>
      </c>
      <c r="F1130" s="3" t="s">
        <v>2382</v>
      </c>
      <c r="G1130" s="3" t="s">
        <v>2379</v>
      </c>
      <c r="H1130" s="3" t="s">
        <v>2379</v>
      </c>
      <c r="I1130" s="1">
        <v>1</v>
      </c>
      <c r="J1130">
        <v>1</v>
      </c>
      <c r="K1130" s="3" t="s">
        <v>2379</v>
      </c>
      <c r="P1130" s="3"/>
    </row>
    <row r="1131" spans="1:16" x14ac:dyDescent="0.25">
      <c r="A1131" s="3" t="s">
        <v>1240</v>
      </c>
      <c r="B1131">
        <v>31.78</v>
      </c>
      <c r="C1131" t="str" cm="1">
        <f t="array" ref="C1131">_xlfn.IFS(B1131&lt;=18.5,  "Underweight",B1131&lt;=24.9,"Normal weight",B1131&lt;=29.9, "Over weight",B1131&gt;=30,"Obesity")</f>
        <v>Obesity</v>
      </c>
      <c r="D1131">
        <v>4.24</v>
      </c>
      <c r="E1131" t="str" cm="1">
        <f t="array" ref="E1131">_xlfn.IFS(D1131&lt;5.7,"Normal",D1131&lt;=6.4,"Prediabetes",D1131&gt;=6.5,"Diabetes")</f>
        <v>Normal</v>
      </c>
      <c r="F1131" s="3" t="s">
        <v>2382</v>
      </c>
      <c r="G1131" s="3" t="s">
        <v>2379</v>
      </c>
      <c r="H1131" s="3" t="s">
        <v>2382</v>
      </c>
      <c r="I1131" s="1">
        <v>1</v>
      </c>
      <c r="J1131">
        <v>1</v>
      </c>
      <c r="K1131" s="3" t="s">
        <v>2379</v>
      </c>
      <c r="P1131" s="3"/>
    </row>
    <row r="1132" spans="1:16" x14ac:dyDescent="0.25">
      <c r="A1132" s="3" t="s">
        <v>1239</v>
      </c>
      <c r="B1132">
        <v>32.25</v>
      </c>
      <c r="C1132" t="str" cm="1">
        <f t="array" ref="C1132">_xlfn.IFS(B1132&lt;=18.5,  "Underweight",B1132&lt;=24.9,"Normal weight",B1132&lt;=29.9, "Over weight",B1132&gt;=30,"Obesity")</f>
        <v>Obesity</v>
      </c>
      <c r="D1132">
        <v>5.36</v>
      </c>
      <c r="E1132" t="str" cm="1">
        <f t="array" ref="E1132">_xlfn.IFS(D1132&lt;5.7,"Normal",D1132&lt;=6.4,"Prediabetes",D1132&gt;=6.5,"Diabetes")</f>
        <v>Normal</v>
      </c>
      <c r="F1132" s="3" t="s">
        <v>2382</v>
      </c>
      <c r="G1132" s="3" t="s">
        <v>2379</v>
      </c>
      <c r="H1132" s="3" t="s">
        <v>2379</v>
      </c>
      <c r="I1132" s="1" t="s">
        <v>2380</v>
      </c>
      <c r="J1132">
        <v>0</v>
      </c>
      <c r="K1132" s="3" t="s">
        <v>2379</v>
      </c>
      <c r="P1132" s="3"/>
    </row>
    <row r="1133" spans="1:16" x14ac:dyDescent="0.25">
      <c r="A1133" s="3" t="s">
        <v>1238</v>
      </c>
      <c r="B1133">
        <v>30.114999999999998</v>
      </c>
      <c r="C1133" t="str" cm="1">
        <f t="array" ref="C1133">_xlfn.IFS(B1133&lt;=18.5,  "Underweight",B1133&lt;=24.9,"Normal weight",B1133&lt;=29.9, "Over weight",B1133&gt;=30,"Obesity")</f>
        <v>Obesity</v>
      </c>
      <c r="D1133">
        <v>4.99</v>
      </c>
      <c r="E1133" t="str" cm="1">
        <f t="array" ref="E1133">_xlfn.IFS(D1133&lt;5.7,"Normal",D1133&lt;=6.4,"Prediabetes",D1133&gt;=6.5,"Diabetes")</f>
        <v>Normal</v>
      </c>
      <c r="F1133" s="3" t="s">
        <v>2379</v>
      </c>
      <c r="G1133" s="3" t="s">
        <v>2379</v>
      </c>
      <c r="H1133" s="3" t="s">
        <v>2379</v>
      </c>
      <c r="I1133" s="1">
        <v>2</v>
      </c>
      <c r="J1133">
        <v>2</v>
      </c>
      <c r="K1133" s="3" t="s">
        <v>2379</v>
      </c>
      <c r="P1133" s="3"/>
    </row>
    <row r="1134" spans="1:16" x14ac:dyDescent="0.25">
      <c r="A1134" s="3" t="s">
        <v>1237</v>
      </c>
      <c r="B1134">
        <v>22.41</v>
      </c>
      <c r="C1134" t="str" cm="1">
        <f t="array" ref="C1134">_xlfn.IFS(B1134&lt;=18.5,  "Underweight",B1134&lt;=24.9,"Normal weight",B1134&lt;=29.9, "Over weight",B1134&gt;=30,"Obesity")</f>
        <v>Normal weight</v>
      </c>
      <c r="D1134">
        <v>8.68</v>
      </c>
      <c r="E1134" t="str" cm="1">
        <f t="array" ref="E1134">_xlfn.IFS(D1134&lt;5.7,"Normal",D1134&lt;=6.4,"Prediabetes",D1134&gt;=6.5,"Diabetes")</f>
        <v>Diabetes</v>
      </c>
      <c r="F1134" s="3" t="s">
        <v>2379</v>
      </c>
      <c r="G1134" s="3" t="s">
        <v>2379</v>
      </c>
      <c r="H1134" s="3" t="s">
        <v>2379</v>
      </c>
      <c r="I1134" s="1" t="s">
        <v>2380</v>
      </c>
      <c r="J1134">
        <v>0</v>
      </c>
      <c r="K1134" s="3" t="s">
        <v>2379</v>
      </c>
      <c r="P1134" s="3"/>
    </row>
    <row r="1135" spans="1:16" x14ac:dyDescent="0.25">
      <c r="A1135" s="3" t="s">
        <v>1236</v>
      </c>
      <c r="B1135">
        <v>45.72</v>
      </c>
      <c r="C1135" t="str" cm="1">
        <f t="array" ref="C1135">_xlfn.IFS(B1135&lt;=18.5,  "Underweight",B1135&lt;=24.9,"Normal weight",B1135&lt;=29.9, "Over weight",B1135&gt;=30,"Obesity")</f>
        <v>Obesity</v>
      </c>
      <c r="D1135">
        <v>4.2300000000000004</v>
      </c>
      <c r="E1135" t="str" cm="1">
        <f t="array" ref="E1135">_xlfn.IFS(D1135&lt;5.7,"Normal",D1135&lt;=6.4,"Prediabetes",D1135&gt;=6.5,"Diabetes")</f>
        <v>Normal</v>
      </c>
      <c r="F1135" s="3" t="s">
        <v>2382</v>
      </c>
      <c r="G1135" s="3" t="s">
        <v>2379</v>
      </c>
      <c r="H1135" s="3" t="s">
        <v>2379</v>
      </c>
      <c r="I1135" s="1" t="s">
        <v>2380</v>
      </c>
      <c r="J1135">
        <v>0</v>
      </c>
      <c r="K1135" s="3" t="s">
        <v>2379</v>
      </c>
      <c r="P1135" s="3"/>
    </row>
    <row r="1136" spans="1:16" x14ac:dyDescent="0.25">
      <c r="A1136" s="3" t="s">
        <v>1235</v>
      </c>
      <c r="B1136">
        <v>25</v>
      </c>
      <c r="C1136" t="str" cm="1">
        <f t="array" ref="C1136">_xlfn.IFS(B1136&lt;=18.5,  "Underweight",B1136&lt;=24.9,"Normal weight",B1136&lt;=29.9, "Over weight",B1136&gt;=30,"Obesity")</f>
        <v>Over weight</v>
      </c>
      <c r="D1136">
        <v>5.32</v>
      </c>
      <c r="E1136" t="str" cm="1">
        <f t="array" ref="E1136">_xlfn.IFS(D1136&lt;5.7,"Normal",D1136&lt;=6.4,"Prediabetes",D1136&gt;=6.5,"Diabetes")</f>
        <v>Normal</v>
      </c>
      <c r="F1136" s="3" t="s">
        <v>2382</v>
      </c>
      <c r="G1136" s="3" t="s">
        <v>2379</v>
      </c>
      <c r="H1136" s="3" t="s">
        <v>2379</v>
      </c>
      <c r="I1136" s="1">
        <v>2</v>
      </c>
      <c r="J1136">
        <v>2</v>
      </c>
      <c r="K1136" s="3" t="s">
        <v>2379</v>
      </c>
      <c r="P1136" s="3"/>
    </row>
    <row r="1137" spans="1:16" x14ac:dyDescent="0.25">
      <c r="A1137" s="3" t="s">
        <v>1234</v>
      </c>
      <c r="B1137">
        <v>39.5</v>
      </c>
      <c r="C1137" t="str" cm="1">
        <f t="array" ref="C1137">_xlfn.IFS(B1137&lt;=18.5,  "Underweight",B1137&lt;=24.9,"Normal weight",B1137&lt;=29.9, "Over weight",B1137&gt;=30,"Obesity")</f>
        <v>Obesity</v>
      </c>
      <c r="D1137">
        <v>6.66</v>
      </c>
      <c r="E1137" t="str" cm="1">
        <f t="array" ref="E1137">_xlfn.IFS(D1137&lt;5.7,"Normal",D1137&lt;=6.4,"Prediabetes",D1137&gt;=6.5,"Diabetes")</f>
        <v>Diabetes</v>
      </c>
      <c r="F1137" s="3" t="s">
        <v>2379</v>
      </c>
      <c r="G1137" s="3" t="s">
        <v>2379</v>
      </c>
      <c r="H1137" s="3" t="s">
        <v>2379</v>
      </c>
      <c r="I1137" s="1" t="s">
        <v>2380</v>
      </c>
      <c r="J1137">
        <v>0</v>
      </c>
      <c r="K1137" s="3" t="s">
        <v>2379</v>
      </c>
      <c r="P1137" s="3"/>
    </row>
    <row r="1138" spans="1:16" x14ac:dyDescent="0.25">
      <c r="A1138" s="3" t="s">
        <v>1233</v>
      </c>
      <c r="B1138">
        <v>37.729999999999997</v>
      </c>
      <c r="C1138" t="str" cm="1">
        <f t="array" ref="C1138">_xlfn.IFS(B1138&lt;=18.5,  "Underweight",B1138&lt;=24.9,"Normal weight",B1138&lt;=29.9, "Over weight",B1138&gt;=30,"Obesity")</f>
        <v>Obesity</v>
      </c>
      <c r="D1138">
        <v>7.4</v>
      </c>
      <c r="E1138" t="str" cm="1">
        <f t="array" ref="E1138">_xlfn.IFS(D1138&lt;5.7,"Normal",D1138&lt;=6.4,"Prediabetes",D1138&gt;=6.5,"Diabetes")</f>
        <v>Diabetes</v>
      </c>
      <c r="F1138" s="3" t="s">
        <v>2379</v>
      </c>
      <c r="G1138" s="3" t="s">
        <v>2379</v>
      </c>
      <c r="H1138" s="3" t="s">
        <v>2379</v>
      </c>
      <c r="I1138" s="1" t="s">
        <v>2380</v>
      </c>
      <c r="J1138">
        <v>0</v>
      </c>
      <c r="K1138" s="3" t="s">
        <v>2379</v>
      </c>
      <c r="P1138" s="3"/>
    </row>
    <row r="1139" spans="1:16" x14ac:dyDescent="0.25">
      <c r="A1139" s="3" t="s">
        <v>1232</v>
      </c>
      <c r="B1139">
        <v>40.659999999999997</v>
      </c>
      <c r="C1139" t="str" cm="1">
        <f t="array" ref="C1139">_xlfn.IFS(B1139&lt;=18.5,  "Underweight",B1139&lt;=24.9,"Normal weight",B1139&lt;=29.9, "Over weight",B1139&gt;=30,"Obesity")</f>
        <v>Obesity</v>
      </c>
      <c r="D1139">
        <v>10.08</v>
      </c>
      <c r="E1139" t="str" cm="1">
        <f t="array" ref="E1139">_xlfn.IFS(D1139&lt;5.7,"Normal",D1139&lt;=6.4,"Prediabetes",D1139&gt;=6.5,"Diabetes")</f>
        <v>Diabetes</v>
      </c>
      <c r="F1139" s="3" t="s">
        <v>2379</v>
      </c>
      <c r="G1139" s="3" t="s">
        <v>2379</v>
      </c>
      <c r="H1139" s="3" t="s">
        <v>2379</v>
      </c>
      <c r="I1139" s="1" t="s">
        <v>2380</v>
      </c>
      <c r="J1139">
        <v>0</v>
      </c>
      <c r="K1139" s="3" t="s">
        <v>2379</v>
      </c>
      <c r="P1139" s="3"/>
    </row>
    <row r="1140" spans="1:16" x14ac:dyDescent="0.25">
      <c r="A1140" s="3" t="s">
        <v>1231</v>
      </c>
      <c r="B1140">
        <v>34.200000000000003</v>
      </c>
      <c r="C1140" t="str" cm="1">
        <f t="array" ref="C1140">_xlfn.IFS(B1140&lt;=18.5,  "Underweight",B1140&lt;=24.9,"Normal weight",B1140&lt;=29.9, "Over weight",B1140&gt;=30,"Obesity")</f>
        <v>Obesity</v>
      </c>
      <c r="D1140">
        <v>8.58</v>
      </c>
      <c r="E1140" t="str" cm="1">
        <f t="array" ref="E1140">_xlfn.IFS(D1140&lt;5.7,"Normal",D1140&lt;=6.4,"Prediabetes",D1140&gt;=6.5,"Diabetes")</f>
        <v>Diabetes</v>
      </c>
      <c r="F1140" s="3" t="s">
        <v>2379</v>
      </c>
      <c r="G1140" s="3" t="s">
        <v>2379</v>
      </c>
      <c r="H1140" s="3" t="s">
        <v>2379</v>
      </c>
      <c r="I1140" s="1" t="s">
        <v>2380</v>
      </c>
      <c r="J1140">
        <v>0</v>
      </c>
      <c r="K1140" s="3" t="s">
        <v>2379</v>
      </c>
      <c r="P1140" s="3"/>
    </row>
    <row r="1141" spans="1:16" x14ac:dyDescent="0.25">
      <c r="A1141" s="3" t="s">
        <v>1230</v>
      </c>
      <c r="B1141">
        <v>46.51</v>
      </c>
      <c r="C1141" t="str" cm="1">
        <f t="array" ref="C1141">_xlfn.IFS(B1141&lt;=18.5,  "Underweight",B1141&lt;=24.9,"Normal weight",B1141&lt;=29.9, "Over weight",B1141&gt;=30,"Obesity")</f>
        <v>Obesity</v>
      </c>
      <c r="D1141">
        <v>5.84</v>
      </c>
      <c r="E1141" t="str" cm="1">
        <f t="array" ref="E1141">_xlfn.IFS(D1141&lt;5.7,"Normal",D1141&lt;=6.4,"Prediabetes",D1141&gt;=6.5,"Diabetes")</f>
        <v>Prediabetes</v>
      </c>
      <c r="F1141" s="3" t="s">
        <v>2379</v>
      </c>
      <c r="G1141" s="3" t="s">
        <v>2379</v>
      </c>
      <c r="H1141" s="3" t="s">
        <v>2379</v>
      </c>
      <c r="I1141" s="1">
        <v>1</v>
      </c>
      <c r="J1141">
        <v>1</v>
      </c>
      <c r="K1141" s="3" t="s">
        <v>2379</v>
      </c>
      <c r="P1141" s="3"/>
    </row>
    <row r="1142" spans="1:16" x14ac:dyDescent="0.25">
      <c r="A1142" s="3" t="s">
        <v>1229</v>
      </c>
      <c r="B1142">
        <v>28.88</v>
      </c>
      <c r="C1142" t="str" cm="1">
        <f t="array" ref="C1142">_xlfn.IFS(B1142&lt;=18.5,  "Underweight",B1142&lt;=24.9,"Normal weight",B1142&lt;=29.9, "Over weight",B1142&gt;=30,"Obesity")</f>
        <v>Over weight</v>
      </c>
      <c r="D1142">
        <v>4.8600000000000003</v>
      </c>
      <c r="E1142" t="str" cm="1">
        <f t="array" ref="E1142">_xlfn.IFS(D1142&lt;5.7,"Normal",D1142&lt;=6.4,"Prediabetes",D1142&gt;=6.5,"Diabetes")</f>
        <v>Normal</v>
      </c>
      <c r="F1142" s="3" t="s">
        <v>2382</v>
      </c>
      <c r="G1142" s="3" t="s">
        <v>2379</v>
      </c>
      <c r="H1142" s="3" t="s">
        <v>2382</v>
      </c>
      <c r="I1142" s="1">
        <v>1</v>
      </c>
      <c r="J1142">
        <v>1</v>
      </c>
      <c r="K1142" s="3" t="s">
        <v>2379</v>
      </c>
      <c r="P1142" s="3"/>
    </row>
    <row r="1143" spans="1:16" x14ac:dyDescent="0.25">
      <c r="A1143" s="3" t="s">
        <v>1228</v>
      </c>
      <c r="B1143">
        <v>33.914999999999999</v>
      </c>
      <c r="C1143" t="str" cm="1">
        <f t="array" ref="C1143">_xlfn.IFS(B1143&lt;=18.5,  "Underweight",B1143&lt;=24.9,"Normal weight",B1143&lt;=29.9, "Over weight",B1143&gt;=30,"Obesity")</f>
        <v>Obesity</v>
      </c>
      <c r="D1143">
        <v>11.52</v>
      </c>
      <c r="E1143" t="str" cm="1">
        <f t="array" ref="E1143">_xlfn.IFS(D1143&lt;5.7,"Normal",D1143&lt;=6.4,"Prediabetes",D1143&gt;=6.5,"Diabetes")</f>
        <v>Diabetes</v>
      </c>
      <c r="F1143" s="3" t="s">
        <v>2379</v>
      </c>
      <c r="G1143" s="3" t="s">
        <v>2379</v>
      </c>
      <c r="H1143" s="3" t="s">
        <v>2379</v>
      </c>
      <c r="I1143" s="1" t="s">
        <v>2380</v>
      </c>
      <c r="J1143">
        <v>0</v>
      </c>
      <c r="K1143" s="3" t="s">
        <v>2379</v>
      </c>
      <c r="P1143" s="3"/>
    </row>
    <row r="1144" spans="1:16" x14ac:dyDescent="0.25">
      <c r="A1144" s="3" t="s">
        <v>1227</v>
      </c>
      <c r="B1144">
        <v>24.32</v>
      </c>
      <c r="C1144" t="str" cm="1">
        <f t="array" ref="C1144">_xlfn.IFS(B1144&lt;=18.5,  "Underweight",B1144&lt;=24.9,"Normal weight",B1144&lt;=29.9, "Over weight",B1144&gt;=30,"Obesity")</f>
        <v>Normal weight</v>
      </c>
      <c r="D1144">
        <v>6.15</v>
      </c>
      <c r="E1144" t="str" cm="1">
        <f t="array" ref="E1144">_xlfn.IFS(D1144&lt;5.7,"Normal",D1144&lt;=6.4,"Prediabetes",D1144&gt;=6.5,"Diabetes")</f>
        <v>Prediabetes</v>
      </c>
      <c r="F1144" s="3" t="s">
        <v>2382</v>
      </c>
      <c r="G1144" s="3" t="s">
        <v>2379</v>
      </c>
      <c r="H1144" s="3" t="s">
        <v>2382</v>
      </c>
      <c r="I1144" s="1">
        <v>1</v>
      </c>
      <c r="J1144">
        <v>1</v>
      </c>
      <c r="K1144" s="3" t="s">
        <v>2379</v>
      </c>
      <c r="P1144" s="3"/>
    </row>
    <row r="1145" spans="1:16" x14ac:dyDescent="0.25">
      <c r="A1145" s="3" t="s">
        <v>1226</v>
      </c>
      <c r="B1145">
        <v>25.8</v>
      </c>
      <c r="C1145" t="str" cm="1">
        <f t="array" ref="C1145">_xlfn.IFS(B1145&lt;=18.5,  "Underweight",B1145&lt;=24.9,"Normal weight",B1145&lt;=29.9, "Over weight",B1145&gt;=30,"Obesity")</f>
        <v>Over weight</v>
      </c>
      <c r="D1145">
        <v>9.94</v>
      </c>
      <c r="E1145" t="str" cm="1">
        <f t="array" ref="E1145">_xlfn.IFS(D1145&lt;5.7,"Normal",D1145&lt;=6.4,"Prediabetes",D1145&gt;=6.5,"Diabetes")</f>
        <v>Diabetes</v>
      </c>
      <c r="F1145" s="3" t="s">
        <v>2379</v>
      </c>
      <c r="G1145" s="3" t="s">
        <v>2379</v>
      </c>
      <c r="H1145" s="3" t="s">
        <v>2379</v>
      </c>
      <c r="I1145" s="1" t="s">
        <v>2380</v>
      </c>
      <c r="J1145">
        <v>0</v>
      </c>
      <c r="K1145" s="3" t="s">
        <v>2379</v>
      </c>
      <c r="P1145" s="3"/>
    </row>
    <row r="1146" spans="1:16" x14ac:dyDescent="0.25">
      <c r="A1146" s="3" t="s">
        <v>1225</v>
      </c>
      <c r="B1146">
        <v>21.56</v>
      </c>
      <c r="C1146" t="str" cm="1">
        <f t="array" ref="C1146">_xlfn.IFS(B1146&lt;=18.5,  "Underweight",B1146&lt;=24.9,"Normal weight",B1146&lt;=29.9, "Over weight",B1146&gt;=30,"Obesity")</f>
        <v>Normal weight</v>
      </c>
      <c r="D1146">
        <v>10.56</v>
      </c>
      <c r="E1146" t="str" cm="1">
        <f t="array" ref="E1146">_xlfn.IFS(D1146&lt;5.7,"Normal",D1146&lt;=6.4,"Prediabetes",D1146&gt;=6.5,"Diabetes")</f>
        <v>Diabetes</v>
      </c>
      <c r="F1146" s="3" t="s">
        <v>2379</v>
      </c>
      <c r="G1146" s="3" t="s">
        <v>2379</v>
      </c>
      <c r="H1146" s="3" t="s">
        <v>2379</v>
      </c>
      <c r="I1146" s="1" t="s">
        <v>2380</v>
      </c>
      <c r="J1146">
        <v>0</v>
      </c>
      <c r="K1146" s="3" t="s">
        <v>2379</v>
      </c>
      <c r="P1146" s="3"/>
    </row>
    <row r="1147" spans="1:16" x14ac:dyDescent="0.25">
      <c r="A1147" s="3" t="s">
        <v>1224</v>
      </c>
      <c r="B1147">
        <v>31.6</v>
      </c>
      <c r="C1147" t="str" cm="1">
        <f t="array" ref="C1147">_xlfn.IFS(B1147&lt;=18.5,  "Underweight",B1147&lt;=24.9,"Normal weight",B1147&lt;=29.9, "Over weight",B1147&gt;=30,"Obesity")</f>
        <v>Obesity</v>
      </c>
      <c r="D1147">
        <v>6.79</v>
      </c>
      <c r="E1147" t="str" cm="1">
        <f t="array" ref="E1147">_xlfn.IFS(D1147&lt;5.7,"Normal",D1147&lt;=6.4,"Prediabetes",D1147&gt;=6.5,"Diabetes")</f>
        <v>Diabetes</v>
      </c>
      <c r="F1147" s="3" t="s">
        <v>2379</v>
      </c>
      <c r="G1147" s="3" t="s">
        <v>2379</v>
      </c>
      <c r="H1147" s="3" t="s">
        <v>2379</v>
      </c>
      <c r="I1147" s="1" t="s">
        <v>2380</v>
      </c>
      <c r="J1147">
        <v>0</v>
      </c>
      <c r="K1147" s="3" t="s">
        <v>2379</v>
      </c>
      <c r="P1147" s="3"/>
    </row>
    <row r="1148" spans="1:16" x14ac:dyDescent="0.25">
      <c r="A1148" s="3" t="s">
        <v>1223</v>
      </c>
      <c r="B1148">
        <v>42.93</v>
      </c>
      <c r="C1148" t="str" cm="1">
        <f t="array" ref="C1148">_xlfn.IFS(B1148&lt;=18.5,  "Underweight",B1148&lt;=24.9,"Normal weight",B1148&lt;=29.9, "Over weight",B1148&gt;=30,"Obesity")</f>
        <v>Obesity</v>
      </c>
      <c r="D1148">
        <v>4.8</v>
      </c>
      <c r="E1148" t="str" cm="1">
        <f t="array" ref="E1148">_xlfn.IFS(D1148&lt;5.7,"Normal",D1148&lt;=6.4,"Prediabetes",D1148&gt;=6.5,"Diabetes")</f>
        <v>Normal</v>
      </c>
      <c r="F1148" s="3" t="s">
        <v>2379</v>
      </c>
      <c r="G1148" s="3" t="s">
        <v>2379</v>
      </c>
      <c r="H1148" s="3" t="s">
        <v>2379</v>
      </c>
      <c r="I1148" s="1">
        <v>1</v>
      </c>
      <c r="J1148">
        <v>1</v>
      </c>
      <c r="K1148" s="3" t="s">
        <v>2379</v>
      </c>
      <c r="P1148" s="3"/>
    </row>
    <row r="1149" spans="1:16" x14ac:dyDescent="0.25">
      <c r="A1149" s="3" t="s">
        <v>1222</v>
      </c>
      <c r="B1149">
        <v>26.72</v>
      </c>
      <c r="C1149" t="str" cm="1">
        <f t="array" ref="C1149">_xlfn.IFS(B1149&lt;=18.5,  "Underweight",B1149&lt;=24.9,"Normal weight",B1149&lt;=29.9, "Over weight",B1149&gt;=30,"Obesity")</f>
        <v>Over weight</v>
      </c>
      <c r="D1149">
        <v>5.75</v>
      </c>
      <c r="E1149" t="str" cm="1">
        <f t="array" ref="E1149">_xlfn.IFS(D1149&lt;5.7,"Normal",D1149&lt;=6.4,"Prediabetes",D1149&gt;=6.5,"Diabetes")</f>
        <v>Prediabetes</v>
      </c>
      <c r="F1149" s="3" t="s">
        <v>2379</v>
      </c>
      <c r="G1149" s="3" t="s">
        <v>2379</v>
      </c>
      <c r="H1149" s="3" t="s">
        <v>2379</v>
      </c>
      <c r="I1149" s="1">
        <v>2</v>
      </c>
      <c r="J1149">
        <v>2</v>
      </c>
      <c r="K1149" s="3" t="s">
        <v>2379</v>
      </c>
      <c r="P1149" s="3"/>
    </row>
    <row r="1150" spans="1:16" x14ac:dyDescent="0.25">
      <c r="A1150" s="3" t="s">
        <v>1221</v>
      </c>
      <c r="B1150">
        <v>26.67</v>
      </c>
      <c r="C1150" t="str" cm="1">
        <f t="array" ref="C1150">_xlfn.IFS(B1150&lt;=18.5,  "Underweight",B1150&lt;=24.9,"Normal weight",B1150&lt;=29.9, "Over weight",B1150&gt;=30,"Obesity")</f>
        <v>Over weight</v>
      </c>
      <c r="D1150">
        <v>5.81</v>
      </c>
      <c r="E1150" t="str" cm="1">
        <f t="array" ref="E1150">_xlfn.IFS(D1150&lt;5.7,"Normal",D1150&lt;=6.4,"Prediabetes",D1150&gt;=6.5,"Diabetes")</f>
        <v>Prediabetes</v>
      </c>
      <c r="F1150" s="3" t="s">
        <v>2379</v>
      </c>
      <c r="G1150" s="3" t="s">
        <v>2379</v>
      </c>
      <c r="H1150" s="3" t="s">
        <v>2379</v>
      </c>
      <c r="I1150" s="1">
        <v>2</v>
      </c>
      <c r="J1150">
        <v>2</v>
      </c>
      <c r="K1150" s="3" t="s">
        <v>2379</v>
      </c>
      <c r="P1150" s="3"/>
    </row>
    <row r="1151" spans="1:16" x14ac:dyDescent="0.25">
      <c r="A1151" s="3" t="s">
        <v>1220</v>
      </c>
      <c r="B1151">
        <v>42.68</v>
      </c>
      <c r="C1151" t="str" cm="1">
        <f t="array" ref="C1151">_xlfn.IFS(B1151&lt;=18.5,  "Underweight",B1151&lt;=24.9,"Normal weight",B1151&lt;=29.9, "Over weight",B1151&gt;=30,"Obesity")</f>
        <v>Obesity</v>
      </c>
      <c r="D1151">
        <v>9.2799999999999994</v>
      </c>
      <c r="E1151" t="str" cm="1">
        <f t="array" ref="E1151">_xlfn.IFS(D1151&lt;5.7,"Normal",D1151&lt;=6.4,"Prediabetes",D1151&gt;=6.5,"Diabetes")</f>
        <v>Diabetes</v>
      </c>
      <c r="F1151" s="3" t="s">
        <v>2379</v>
      </c>
      <c r="G1151" s="3" t="s">
        <v>2379</v>
      </c>
      <c r="H1151" s="3" t="s">
        <v>2379</v>
      </c>
      <c r="I1151" s="1">
        <v>2</v>
      </c>
      <c r="J1151">
        <v>2</v>
      </c>
      <c r="K1151" s="3" t="s">
        <v>2379</v>
      </c>
      <c r="P1151" s="3"/>
    </row>
    <row r="1152" spans="1:16" x14ac:dyDescent="0.25">
      <c r="A1152" s="3" t="s">
        <v>1219</v>
      </c>
      <c r="B1152">
        <v>24.31</v>
      </c>
      <c r="C1152" t="str" cm="1">
        <f t="array" ref="C1152">_xlfn.IFS(B1152&lt;=18.5,  "Underweight",B1152&lt;=24.9,"Normal weight",B1152&lt;=29.9, "Over weight",B1152&gt;=30,"Obesity")</f>
        <v>Normal weight</v>
      </c>
      <c r="D1152">
        <v>6.37</v>
      </c>
      <c r="E1152" t="str" cm="1">
        <f t="array" ref="E1152">_xlfn.IFS(D1152&lt;5.7,"Normal",D1152&lt;=6.4,"Prediabetes",D1152&gt;=6.5,"Diabetes")</f>
        <v>Prediabetes</v>
      </c>
      <c r="F1152" s="3" t="s">
        <v>2379</v>
      </c>
      <c r="G1152" s="3" t="s">
        <v>2379</v>
      </c>
      <c r="H1152" s="3" t="s">
        <v>2379</v>
      </c>
      <c r="I1152" s="1" t="s">
        <v>2380</v>
      </c>
      <c r="J1152">
        <v>0</v>
      </c>
      <c r="K1152" s="3" t="s">
        <v>2379</v>
      </c>
      <c r="P1152" s="3"/>
    </row>
    <row r="1153" spans="1:16" x14ac:dyDescent="0.25">
      <c r="A1153" s="3" t="s">
        <v>1218</v>
      </c>
      <c r="B1153">
        <v>44.75</v>
      </c>
      <c r="C1153" t="str" cm="1">
        <f t="array" ref="C1153">_xlfn.IFS(B1153&lt;=18.5,  "Underweight",B1153&lt;=24.9,"Normal weight",B1153&lt;=29.9, "Over weight",B1153&gt;=30,"Obesity")</f>
        <v>Obesity</v>
      </c>
      <c r="D1153">
        <v>5.09</v>
      </c>
      <c r="E1153" t="str" cm="1">
        <f t="array" ref="E1153">_xlfn.IFS(D1153&lt;5.7,"Normal",D1153&lt;=6.4,"Prediabetes",D1153&gt;=6.5,"Diabetes")</f>
        <v>Normal</v>
      </c>
      <c r="F1153" s="3" t="s">
        <v>2382</v>
      </c>
      <c r="G1153" s="3" t="s">
        <v>2379</v>
      </c>
      <c r="H1153" s="3" t="s">
        <v>2379</v>
      </c>
      <c r="I1153" s="1" t="s">
        <v>2380</v>
      </c>
      <c r="J1153">
        <v>0</v>
      </c>
      <c r="K1153" s="3" t="s">
        <v>2379</v>
      </c>
      <c r="P1153" s="3"/>
    </row>
    <row r="1154" spans="1:16" x14ac:dyDescent="0.25">
      <c r="A1154" s="3" t="s">
        <v>1217</v>
      </c>
      <c r="B1154">
        <v>30.78</v>
      </c>
      <c r="C1154" t="str" cm="1">
        <f t="array" ref="C1154">_xlfn.IFS(B1154&lt;=18.5,  "Underweight",B1154&lt;=24.9,"Normal weight",B1154&lt;=29.9, "Over weight",B1154&gt;=30,"Obesity")</f>
        <v>Obesity</v>
      </c>
      <c r="D1154">
        <v>7.94</v>
      </c>
      <c r="E1154" t="str" cm="1">
        <f t="array" ref="E1154">_xlfn.IFS(D1154&lt;5.7,"Normal",D1154&lt;=6.4,"Prediabetes",D1154&gt;=6.5,"Diabetes")</f>
        <v>Diabetes</v>
      </c>
      <c r="F1154" s="3" t="s">
        <v>2379</v>
      </c>
      <c r="G1154" s="3" t="s">
        <v>2379</v>
      </c>
      <c r="H1154" s="3" t="s">
        <v>2379</v>
      </c>
      <c r="I1154" s="1">
        <v>2</v>
      </c>
      <c r="J1154">
        <v>2</v>
      </c>
      <c r="K1154" s="3" t="s">
        <v>2379</v>
      </c>
      <c r="P1154" s="3"/>
    </row>
    <row r="1155" spans="1:16" x14ac:dyDescent="0.25">
      <c r="A1155" s="3" t="s">
        <v>1216</v>
      </c>
      <c r="B1155">
        <v>21.86</v>
      </c>
      <c r="C1155" t="str" cm="1">
        <f t="array" ref="C1155">_xlfn.IFS(B1155&lt;=18.5,  "Underweight",B1155&lt;=24.9,"Normal weight",B1155&lt;=29.9, "Over weight",B1155&gt;=30,"Obesity")</f>
        <v>Normal weight</v>
      </c>
      <c r="D1155">
        <v>10.95</v>
      </c>
      <c r="E1155" t="str" cm="1">
        <f t="array" ref="E1155">_xlfn.IFS(D1155&lt;5.7,"Normal",D1155&lt;=6.4,"Prediabetes",D1155&gt;=6.5,"Diabetes")</f>
        <v>Diabetes</v>
      </c>
      <c r="F1155" s="3" t="s">
        <v>2379</v>
      </c>
      <c r="G1155" s="3" t="s">
        <v>2379</v>
      </c>
      <c r="H1155" s="3" t="s">
        <v>2379</v>
      </c>
      <c r="I1155" s="1" t="s">
        <v>2380</v>
      </c>
      <c r="J1155">
        <v>0</v>
      </c>
      <c r="K1155" s="3" t="s">
        <v>2379</v>
      </c>
      <c r="P1155" s="3"/>
    </row>
    <row r="1156" spans="1:16" x14ac:dyDescent="0.25">
      <c r="A1156" s="3" t="s">
        <v>1215</v>
      </c>
      <c r="B1156">
        <v>49.09</v>
      </c>
      <c r="C1156" t="str" cm="1">
        <f t="array" ref="C1156">_xlfn.IFS(B1156&lt;=18.5,  "Underweight",B1156&lt;=24.9,"Normal weight",B1156&lt;=29.9, "Over weight",B1156&gt;=30,"Obesity")</f>
        <v>Obesity</v>
      </c>
      <c r="D1156">
        <v>6.3</v>
      </c>
      <c r="E1156" t="str" cm="1">
        <f t="array" ref="E1156">_xlfn.IFS(D1156&lt;5.7,"Normal",D1156&lt;=6.4,"Prediabetes",D1156&gt;=6.5,"Diabetes")</f>
        <v>Prediabetes</v>
      </c>
      <c r="F1156" s="3" t="s">
        <v>2382</v>
      </c>
      <c r="G1156" s="3" t="s">
        <v>2379</v>
      </c>
      <c r="H1156" s="3" t="s">
        <v>2379</v>
      </c>
      <c r="I1156" s="1" t="s">
        <v>2380</v>
      </c>
      <c r="J1156">
        <v>0</v>
      </c>
      <c r="K1156" s="3" t="s">
        <v>2379</v>
      </c>
      <c r="P1156" s="3"/>
    </row>
    <row r="1157" spans="1:16" x14ac:dyDescent="0.25">
      <c r="A1157" s="3" t="s">
        <v>1214</v>
      </c>
      <c r="B1157">
        <v>47.74</v>
      </c>
      <c r="C1157" t="str" cm="1">
        <f t="array" ref="C1157">_xlfn.IFS(B1157&lt;=18.5,  "Underweight",B1157&lt;=24.9,"Normal weight",B1157&lt;=29.9, "Over weight",B1157&gt;=30,"Obesity")</f>
        <v>Obesity</v>
      </c>
      <c r="D1157">
        <v>8.0500000000000007</v>
      </c>
      <c r="E1157" t="str" cm="1">
        <f t="array" ref="E1157">_xlfn.IFS(D1157&lt;5.7,"Normal",D1157&lt;=6.4,"Prediabetes",D1157&gt;=6.5,"Diabetes")</f>
        <v>Diabetes</v>
      </c>
      <c r="F1157" s="3" t="s">
        <v>2382</v>
      </c>
      <c r="G1157" s="3" t="s">
        <v>2379</v>
      </c>
      <c r="H1157" s="3" t="s">
        <v>2379</v>
      </c>
      <c r="I1157" s="1">
        <v>2</v>
      </c>
      <c r="J1157">
        <v>2</v>
      </c>
      <c r="K1157" s="3" t="s">
        <v>2379</v>
      </c>
      <c r="P1157" s="3"/>
    </row>
    <row r="1158" spans="1:16" x14ac:dyDescent="0.25">
      <c r="A1158" s="3" t="s">
        <v>1213</v>
      </c>
      <c r="B1158">
        <v>30.2</v>
      </c>
      <c r="C1158" t="str" cm="1">
        <f t="array" ref="C1158">_xlfn.IFS(B1158&lt;=18.5,  "Underweight",B1158&lt;=24.9,"Normal weight",B1158&lt;=29.9, "Over weight",B1158&gt;=30,"Obesity")</f>
        <v>Obesity</v>
      </c>
      <c r="D1158">
        <v>9.8800000000000008</v>
      </c>
      <c r="E1158" t="str" cm="1">
        <f t="array" ref="E1158">_xlfn.IFS(D1158&lt;5.7,"Normal",D1158&lt;=6.4,"Prediabetes",D1158&gt;=6.5,"Diabetes")</f>
        <v>Diabetes</v>
      </c>
      <c r="F1158" s="3" t="s">
        <v>2382</v>
      </c>
      <c r="G1158" s="3" t="s">
        <v>2379</v>
      </c>
      <c r="H1158" s="3" t="s">
        <v>2379</v>
      </c>
      <c r="I1158" s="1">
        <v>2</v>
      </c>
      <c r="J1158">
        <v>2</v>
      </c>
      <c r="K1158" s="3" t="s">
        <v>2379</v>
      </c>
      <c r="P1158" s="3"/>
    </row>
    <row r="1159" spans="1:16" x14ac:dyDescent="0.25">
      <c r="A1159" s="3" t="s">
        <v>1212</v>
      </c>
      <c r="B1159">
        <v>33.25</v>
      </c>
      <c r="C1159" t="str" cm="1">
        <f t="array" ref="C1159">_xlfn.IFS(B1159&lt;=18.5,  "Underweight",B1159&lt;=24.9,"Normal weight",B1159&lt;=29.9, "Over weight",B1159&gt;=30,"Obesity")</f>
        <v>Obesity</v>
      </c>
      <c r="D1159">
        <v>7.42</v>
      </c>
      <c r="E1159" t="str" cm="1">
        <f t="array" ref="E1159">_xlfn.IFS(D1159&lt;5.7,"Normal",D1159&lt;=6.4,"Prediabetes",D1159&gt;=6.5,"Diabetes")</f>
        <v>Diabetes</v>
      </c>
      <c r="F1159" s="3" t="s">
        <v>2382</v>
      </c>
      <c r="G1159" s="3" t="s">
        <v>2379</v>
      </c>
      <c r="H1159" s="3" t="s">
        <v>2379</v>
      </c>
      <c r="I1159" s="1">
        <v>2</v>
      </c>
      <c r="J1159">
        <v>2</v>
      </c>
      <c r="K1159" s="3" t="s">
        <v>2379</v>
      </c>
      <c r="P1159" s="3"/>
    </row>
    <row r="1160" spans="1:16" x14ac:dyDescent="0.25">
      <c r="A1160" s="3" t="s">
        <v>1211</v>
      </c>
      <c r="B1160">
        <v>26.6</v>
      </c>
      <c r="C1160" t="str" cm="1">
        <f t="array" ref="C1160">_xlfn.IFS(B1160&lt;=18.5,  "Underweight",B1160&lt;=24.9,"Normal weight",B1160&lt;=29.9, "Over weight",B1160&gt;=30,"Obesity")</f>
        <v>Over weight</v>
      </c>
      <c r="D1160">
        <v>8.4499999999999993</v>
      </c>
      <c r="E1160" t="str" cm="1">
        <f t="array" ref="E1160">_xlfn.IFS(D1160&lt;5.7,"Normal",D1160&lt;=6.4,"Prediabetes",D1160&gt;=6.5,"Diabetes")</f>
        <v>Diabetes</v>
      </c>
      <c r="F1160" s="3" t="s">
        <v>2382</v>
      </c>
      <c r="G1160" s="3" t="s">
        <v>2379</v>
      </c>
      <c r="H1160" s="3" t="s">
        <v>2379</v>
      </c>
      <c r="I1160" s="1">
        <v>1</v>
      </c>
      <c r="J1160">
        <v>1</v>
      </c>
      <c r="K1160" s="3" t="s">
        <v>2379</v>
      </c>
      <c r="P1160" s="3"/>
    </row>
    <row r="1161" spans="1:16" x14ac:dyDescent="0.25">
      <c r="A1161" s="3" t="s">
        <v>1210</v>
      </c>
      <c r="B1161">
        <v>26.35</v>
      </c>
      <c r="C1161" t="str" cm="1">
        <f t="array" ref="C1161">_xlfn.IFS(B1161&lt;=18.5,  "Underweight",B1161&lt;=24.9,"Normal weight",B1161&lt;=29.9, "Over weight",B1161&gt;=30,"Obesity")</f>
        <v>Over weight</v>
      </c>
      <c r="D1161">
        <v>6.21</v>
      </c>
      <c r="E1161" t="str" cm="1">
        <f t="array" ref="E1161">_xlfn.IFS(D1161&lt;5.7,"Normal",D1161&lt;=6.4,"Prediabetes",D1161&gt;=6.5,"Diabetes")</f>
        <v>Prediabetes</v>
      </c>
      <c r="F1161" s="3" t="s">
        <v>2379</v>
      </c>
      <c r="G1161" s="3" t="s">
        <v>2379</v>
      </c>
      <c r="H1161" s="3" t="s">
        <v>2379</v>
      </c>
      <c r="I1161" s="1">
        <v>2</v>
      </c>
      <c r="J1161">
        <v>2</v>
      </c>
      <c r="K1161" s="3" t="s">
        <v>2379</v>
      </c>
      <c r="P1161" s="3"/>
    </row>
    <row r="1162" spans="1:16" x14ac:dyDescent="0.25">
      <c r="A1162" s="3" t="s">
        <v>1209</v>
      </c>
      <c r="B1162">
        <v>39.994999999999997</v>
      </c>
      <c r="C1162" t="str" cm="1">
        <f t="array" ref="C1162">_xlfn.IFS(B1162&lt;=18.5,  "Underweight",B1162&lt;=24.9,"Normal weight",B1162&lt;=29.9, "Over weight",B1162&gt;=30,"Obesity")</f>
        <v>Obesity</v>
      </c>
      <c r="D1162">
        <v>4.6500000000000004</v>
      </c>
      <c r="E1162" t="str" cm="1">
        <f t="array" ref="E1162">_xlfn.IFS(D1162&lt;5.7,"Normal",D1162&lt;=6.4,"Prediabetes",D1162&gt;=6.5,"Diabetes")</f>
        <v>Normal</v>
      </c>
      <c r="F1162" s="3" t="s">
        <v>2379</v>
      </c>
      <c r="G1162" s="3" t="s">
        <v>2379</v>
      </c>
      <c r="H1162" s="3" t="s">
        <v>2379</v>
      </c>
      <c r="I1162" s="1" t="s">
        <v>2380</v>
      </c>
      <c r="J1162">
        <v>0</v>
      </c>
      <c r="K1162" s="3" t="s">
        <v>2379</v>
      </c>
      <c r="P1162" s="3"/>
    </row>
    <row r="1163" spans="1:16" x14ac:dyDescent="0.25">
      <c r="A1163" s="3" t="s">
        <v>1208</v>
      </c>
      <c r="B1163">
        <v>22.92</v>
      </c>
      <c r="C1163" t="str" cm="1">
        <f t="array" ref="C1163">_xlfn.IFS(B1163&lt;=18.5,  "Underweight",B1163&lt;=24.9,"Normal weight",B1163&lt;=29.9, "Over weight",B1163&gt;=30,"Obesity")</f>
        <v>Normal weight</v>
      </c>
      <c r="D1163">
        <v>5.87</v>
      </c>
      <c r="E1163" t="str" cm="1">
        <f t="array" ref="E1163">_xlfn.IFS(D1163&lt;5.7,"Normal",D1163&lt;=6.4,"Prediabetes",D1163&gt;=6.5,"Diabetes")</f>
        <v>Prediabetes</v>
      </c>
      <c r="F1163" s="3" t="s">
        <v>2382</v>
      </c>
      <c r="G1163" s="3" t="s">
        <v>2379</v>
      </c>
      <c r="H1163" s="3" t="s">
        <v>2379</v>
      </c>
      <c r="I1163" s="1">
        <v>1</v>
      </c>
      <c r="J1163">
        <v>1</v>
      </c>
      <c r="K1163" s="3" t="s">
        <v>2379</v>
      </c>
      <c r="P1163" s="3"/>
    </row>
    <row r="1164" spans="1:16" x14ac:dyDescent="0.25">
      <c r="A1164" s="3" t="s">
        <v>1207</v>
      </c>
      <c r="B1164">
        <v>24.78</v>
      </c>
      <c r="C1164" t="str" cm="1">
        <f t="array" ref="C1164">_xlfn.IFS(B1164&lt;=18.5,  "Underweight",B1164&lt;=24.9,"Normal weight",B1164&lt;=29.9, "Over weight",B1164&gt;=30,"Obesity")</f>
        <v>Normal weight</v>
      </c>
      <c r="D1164">
        <v>4.24</v>
      </c>
      <c r="E1164" t="str" cm="1">
        <f t="array" ref="E1164">_xlfn.IFS(D1164&lt;5.7,"Normal",D1164&lt;=6.4,"Prediabetes",D1164&gt;=6.5,"Diabetes")</f>
        <v>Normal</v>
      </c>
      <c r="F1164" s="3" t="s">
        <v>2382</v>
      </c>
      <c r="G1164" s="3" t="s">
        <v>2379</v>
      </c>
      <c r="H1164" s="3" t="s">
        <v>2379</v>
      </c>
      <c r="I1164" s="1">
        <v>2</v>
      </c>
      <c r="J1164">
        <v>2</v>
      </c>
      <c r="K1164" s="3" t="s">
        <v>2379</v>
      </c>
      <c r="P1164" s="3"/>
    </row>
    <row r="1165" spans="1:16" x14ac:dyDescent="0.25">
      <c r="A1165" s="3" t="s">
        <v>1206</v>
      </c>
      <c r="B1165">
        <v>34.07</v>
      </c>
      <c r="C1165" t="str" cm="1">
        <f t="array" ref="C1165">_xlfn.IFS(B1165&lt;=18.5,  "Underweight",B1165&lt;=24.9,"Normal weight",B1165&lt;=29.9, "Over weight",B1165&gt;=30,"Obesity")</f>
        <v>Obesity</v>
      </c>
      <c r="D1165">
        <v>7.81</v>
      </c>
      <c r="E1165" t="str" cm="1">
        <f t="array" ref="E1165">_xlfn.IFS(D1165&lt;5.7,"Normal",D1165&lt;=6.4,"Prediabetes",D1165&gt;=6.5,"Diabetes")</f>
        <v>Diabetes</v>
      </c>
      <c r="F1165" s="3" t="s">
        <v>2382</v>
      </c>
      <c r="G1165" s="3" t="s">
        <v>2379</v>
      </c>
      <c r="H1165" s="3" t="s">
        <v>2379</v>
      </c>
      <c r="I1165" s="1" t="s">
        <v>2380</v>
      </c>
      <c r="J1165">
        <v>0</v>
      </c>
      <c r="K1165" s="3" t="s">
        <v>2379</v>
      </c>
      <c r="P1165" s="3"/>
    </row>
    <row r="1166" spans="1:16" x14ac:dyDescent="0.25">
      <c r="A1166" s="3" t="s">
        <v>1205</v>
      </c>
      <c r="B1166">
        <v>30.14</v>
      </c>
      <c r="C1166" t="str" cm="1">
        <f t="array" ref="C1166">_xlfn.IFS(B1166&lt;=18.5,  "Underweight",B1166&lt;=24.9,"Normal weight",B1166&lt;=29.9, "Over weight",B1166&gt;=30,"Obesity")</f>
        <v>Obesity</v>
      </c>
      <c r="D1166">
        <v>9.85</v>
      </c>
      <c r="E1166" t="str" cm="1">
        <f t="array" ref="E1166">_xlfn.IFS(D1166&lt;5.7,"Normal",D1166&lt;=6.4,"Prediabetes",D1166&gt;=6.5,"Diabetes")</f>
        <v>Diabetes</v>
      </c>
      <c r="F1166" s="3" t="s">
        <v>2379</v>
      </c>
      <c r="G1166" s="3" t="s">
        <v>2379</v>
      </c>
      <c r="H1166" s="3" t="s">
        <v>2379</v>
      </c>
      <c r="I1166" s="1" t="s">
        <v>2380</v>
      </c>
      <c r="J1166">
        <v>0</v>
      </c>
      <c r="K1166" s="3" t="s">
        <v>2379</v>
      </c>
      <c r="P1166" s="3"/>
    </row>
    <row r="1167" spans="1:16" x14ac:dyDescent="0.25">
      <c r="A1167" s="3" t="s">
        <v>1204</v>
      </c>
      <c r="B1167">
        <v>18.05</v>
      </c>
      <c r="C1167" t="str" cm="1">
        <f t="array" ref="C1167">_xlfn.IFS(B1167&lt;=18.5,  "Underweight",B1167&lt;=24.9,"Normal weight",B1167&lt;=29.9, "Over weight",B1167&gt;=30,"Obesity")</f>
        <v>Underweight</v>
      </c>
      <c r="D1167">
        <v>6.94</v>
      </c>
      <c r="E1167" t="str" cm="1">
        <f t="array" ref="E1167">_xlfn.IFS(D1167&lt;5.7,"Normal",D1167&lt;=6.4,"Prediabetes",D1167&gt;=6.5,"Diabetes")</f>
        <v>Diabetes</v>
      </c>
      <c r="F1167" s="3" t="s">
        <v>2379</v>
      </c>
      <c r="G1167" s="3" t="s">
        <v>2379</v>
      </c>
      <c r="H1167" s="3" t="s">
        <v>2379</v>
      </c>
      <c r="I1167" s="1" t="s">
        <v>2380</v>
      </c>
      <c r="J1167">
        <v>0</v>
      </c>
      <c r="K1167" s="3" t="s">
        <v>2379</v>
      </c>
      <c r="P1167" s="3"/>
    </row>
    <row r="1168" spans="1:16" x14ac:dyDescent="0.25">
      <c r="A1168" s="3" t="s">
        <v>1203</v>
      </c>
      <c r="B1168">
        <v>37.4</v>
      </c>
      <c r="C1168" t="str" cm="1">
        <f t="array" ref="C1168">_xlfn.IFS(B1168&lt;=18.5,  "Underweight",B1168&lt;=24.9,"Normal weight",B1168&lt;=29.9, "Over weight",B1168&gt;=30,"Obesity")</f>
        <v>Obesity</v>
      </c>
      <c r="D1168">
        <v>11.3</v>
      </c>
      <c r="E1168" t="str" cm="1">
        <f t="array" ref="E1168">_xlfn.IFS(D1168&lt;5.7,"Normal",D1168&lt;=6.4,"Prediabetes",D1168&gt;=6.5,"Diabetes")</f>
        <v>Diabetes</v>
      </c>
      <c r="F1168" s="3" t="s">
        <v>2382</v>
      </c>
      <c r="G1168" s="3" t="s">
        <v>2379</v>
      </c>
      <c r="H1168" s="3" t="s">
        <v>2379</v>
      </c>
      <c r="I1168" s="1">
        <v>2</v>
      </c>
      <c r="J1168">
        <v>2</v>
      </c>
      <c r="K1168" s="3" t="s">
        <v>2379</v>
      </c>
      <c r="P1168" s="3"/>
    </row>
    <row r="1169" spans="1:16" x14ac:dyDescent="0.25">
      <c r="A1169" s="3" t="s">
        <v>1202</v>
      </c>
      <c r="B1169">
        <v>25.75</v>
      </c>
      <c r="C1169" t="str" cm="1">
        <f t="array" ref="C1169">_xlfn.IFS(B1169&lt;=18.5,  "Underweight",B1169&lt;=24.9,"Normal weight",B1169&lt;=29.9, "Over weight",B1169&gt;=30,"Obesity")</f>
        <v>Over weight</v>
      </c>
      <c r="D1169">
        <v>9.23</v>
      </c>
      <c r="E1169" t="str" cm="1">
        <f t="array" ref="E1169">_xlfn.IFS(D1169&lt;5.7,"Normal",D1169&lt;=6.4,"Prediabetes",D1169&gt;=6.5,"Diabetes")</f>
        <v>Diabetes</v>
      </c>
      <c r="F1169" s="3" t="s">
        <v>2379</v>
      </c>
      <c r="G1169" s="3" t="s">
        <v>2379</v>
      </c>
      <c r="H1169" s="3" t="s">
        <v>2379</v>
      </c>
      <c r="I1169" s="1" t="s">
        <v>2380</v>
      </c>
      <c r="J1169">
        <v>0</v>
      </c>
      <c r="K1169" s="3" t="s">
        <v>2379</v>
      </c>
      <c r="P1169" s="3"/>
    </row>
    <row r="1170" spans="1:16" x14ac:dyDescent="0.25">
      <c r="A1170" s="3" t="s">
        <v>1201</v>
      </c>
      <c r="B1170">
        <v>32.299999999999997</v>
      </c>
      <c r="C1170" t="str" cm="1">
        <f t="array" ref="C1170">_xlfn.IFS(B1170&lt;=18.5,  "Underweight",B1170&lt;=24.9,"Normal weight",B1170&lt;=29.9, "Over weight",B1170&gt;=30,"Obesity")</f>
        <v>Obesity</v>
      </c>
      <c r="D1170">
        <v>4.37</v>
      </c>
      <c r="E1170" t="str" cm="1">
        <f t="array" ref="E1170">_xlfn.IFS(D1170&lt;5.7,"Normal",D1170&lt;=6.4,"Prediabetes",D1170&gt;=6.5,"Diabetes")</f>
        <v>Normal</v>
      </c>
      <c r="F1170" s="3" t="s">
        <v>2379</v>
      </c>
      <c r="G1170" s="3" t="s">
        <v>2379</v>
      </c>
      <c r="H1170" s="3" t="s">
        <v>2379</v>
      </c>
      <c r="I1170" s="1">
        <v>2</v>
      </c>
      <c r="J1170">
        <v>2</v>
      </c>
      <c r="K1170" s="3" t="s">
        <v>2379</v>
      </c>
      <c r="P1170" s="3"/>
    </row>
    <row r="1171" spans="1:16" x14ac:dyDescent="0.25">
      <c r="A1171" s="3" t="s">
        <v>1200</v>
      </c>
      <c r="B1171">
        <v>28.61</v>
      </c>
      <c r="C1171" t="str" cm="1">
        <f t="array" ref="C1171">_xlfn.IFS(B1171&lt;=18.5,  "Underweight",B1171&lt;=24.9,"Normal weight",B1171&lt;=29.9, "Over weight",B1171&gt;=30,"Obesity")</f>
        <v>Over weight</v>
      </c>
      <c r="D1171">
        <v>5.76</v>
      </c>
      <c r="E1171" t="str" cm="1">
        <f t="array" ref="E1171">_xlfn.IFS(D1171&lt;5.7,"Normal",D1171&lt;=6.4,"Prediabetes",D1171&gt;=6.5,"Diabetes")</f>
        <v>Prediabetes</v>
      </c>
      <c r="F1171" s="3" t="s">
        <v>2379</v>
      </c>
      <c r="G1171" s="3" t="s">
        <v>2379</v>
      </c>
      <c r="H1171" s="3" t="s">
        <v>2382</v>
      </c>
      <c r="I1171" s="1">
        <v>1</v>
      </c>
      <c r="J1171">
        <v>1</v>
      </c>
      <c r="K1171" s="3" t="s">
        <v>2379</v>
      </c>
      <c r="P1171" s="3"/>
    </row>
    <row r="1172" spans="1:16" x14ac:dyDescent="0.25">
      <c r="A1172" s="3" t="s">
        <v>1199</v>
      </c>
      <c r="B1172">
        <v>45.41</v>
      </c>
      <c r="C1172" t="str" cm="1">
        <f t="array" ref="C1172">_xlfn.IFS(B1172&lt;=18.5,  "Underweight",B1172&lt;=24.9,"Normal weight",B1172&lt;=29.9, "Over weight",B1172&gt;=30,"Obesity")</f>
        <v>Obesity</v>
      </c>
      <c r="D1172">
        <v>4.96</v>
      </c>
      <c r="E1172" t="str" cm="1">
        <f t="array" ref="E1172">_xlfn.IFS(D1172&lt;5.7,"Normal",D1172&lt;=6.4,"Prediabetes",D1172&gt;=6.5,"Diabetes")</f>
        <v>Normal</v>
      </c>
      <c r="F1172" s="3" t="s">
        <v>2379</v>
      </c>
      <c r="G1172" s="3" t="s">
        <v>2379</v>
      </c>
      <c r="H1172" s="3" t="s">
        <v>2379</v>
      </c>
      <c r="I1172" s="1">
        <v>1</v>
      </c>
      <c r="J1172">
        <v>1</v>
      </c>
      <c r="K1172" s="3" t="s">
        <v>2379</v>
      </c>
      <c r="P1172" s="3"/>
    </row>
    <row r="1173" spans="1:16" x14ac:dyDescent="0.25">
      <c r="A1173" s="3" t="s">
        <v>1198</v>
      </c>
      <c r="B1173">
        <v>31.2</v>
      </c>
      <c r="C1173" t="str" cm="1">
        <f t="array" ref="C1173">_xlfn.IFS(B1173&lt;=18.5,  "Underweight",B1173&lt;=24.9,"Normal weight",B1173&lt;=29.9, "Over weight",B1173&gt;=30,"Obesity")</f>
        <v>Obesity</v>
      </c>
      <c r="D1173">
        <v>11.04</v>
      </c>
      <c r="E1173" t="str" cm="1">
        <f t="array" ref="E1173">_xlfn.IFS(D1173&lt;5.7,"Normal",D1173&lt;=6.4,"Prediabetes",D1173&gt;=6.5,"Diabetes")</f>
        <v>Diabetes</v>
      </c>
      <c r="F1173" s="3" t="s">
        <v>2382</v>
      </c>
      <c r="G1173" s="3" t="s">
        <v>2379</v>
      </c>
      <c r="H1173" s="3" t="s">
        <v>2379</v>
      </c>
      <c r="I1173" s="1">
        <v>2</v>
      </c>
      <c r="J1173">
        <v>2</v>
      </c>
      <c r="K1173" s="3" t="s">
        <v>2379</v>
      </c>
      <c r="P1173" s="3"/>
    </row>
    <row r="1174" spans="1:16" x14ac:dyDescent="0.25">
      <c r="A1174" s="3" t="s">
        <v>1197</v>
      </c>
      <c r="B1174">
        <v>29.83</v>
      </c>
      <c r="C1174" t="str" cm="1">
        <f t="array" ref="C1174">_xlfn.IFS(B1174&lt;=18.5,  "Underweight",B1174&lt;=24.9,"Normal weight",B1174&lt;=29.9, "Over weight",B1174&gt;=30,"Obesity")</f>
        <v>Over weight</v>
      </c>
      <c r="D1174">
        <v>7.81</v>
      </c>
      <c r="E1174" t="str" cm="1">
        <f t="array" ref="E1174">_xlfn.IFS(D1174&lt;5.7,"Normal",D1174&lt;=6.4,"Prediabetes",D1174&gt;=6.5,"Diabetes")</f>
        <v>Diabetes</v>
      </c>
      <c r="F1174" s="3" t="s">
        <v>2382</v>
      </c>
      <c r="G1174" s="3" t="s">
        <v>2379</v>
      </c>
      <c r="H1174" s="3" t="s">
        <v>2379</v>
      </c>
      <c r="I1174" s="1">
        <v>1</v>
      </c>
      <c r="J1174">
        <v>1</v>
      </c>
      <c r="K1174" s="3" t="s">
        <v>2379</v>
      </c>
      <c r="P1174" s="3"/>
    </row>
    <row r="1175" spans="1:16" x14ac:dyDescent="0.25">
      <c r="A1175" s="3" t="s">
        <v>1196</v>
      </c>
      <c r="B1175">
        <v>29.06</v>
      </c>
      <c r="C1175" t="str" cm="1">
        <f t="array" ref="C1175">_xlfn.IFS(B1175&lt;=18.5,  "Underweight",B1175&lt;=24.9,"Normal weight",B1175&lt;=29.9, "Over weight",B1175&gt;=30,"Obesity")</f>
        <v>Over weight</v>
      </c>
      <c r="D1175">
        <v>4.55</v>
      </c>
      <c r="E1175" t="str" cm="1">
        <f t="array" ref="E1175">_xlfn.IFS(D1175&lt;5.7,"Normal",D1175&lt;=6.4,"Prediabetes",D1175&gt;=6.5,"Diabetes")</f>
        <v>Normal</v>
      </c>
      <c r="F1175" s="3" t="s">
        <v>2379</v>
      </c>
      <c r="G1175" s="3" t="s">
        <v>2379</v>
      </c>
      <c r="H1175" s="3" t="s">
        <v>2379</v>
      </c>
      <c r="I1175" s="1" t="s">
        <v>2380</v>
      </c>
      <c r="J1175">
        <v>0</v>
      </c>
      <c r="K1175" s="3" t="s">
        <v>2379</v>
      </c>
      <c r="P1175" s="3"/>
    </row>
    <row r="1176" spans="1:16" x14ac:dyDescent="0.25">
      <c r="A1176" s="3" t="s">
        <v>1195</v>
      </c>
      <c r="B1176">
        <v>27.454999999999998</v>
      </c>
      <c r="C1176" t="str" cm="1">
        <f t="array" ref="C1176">_xlfn.IFS(B1176&lt;=18.5,  "Underweight",B1176&lt;=24.9,"Normal weight",B1176&lt;=29.9, "Over weight",B1176&gt;=30,"Obesity")</f>
        <v>Over weight</v>
      </c>
      <c r="D1176">
        <v>6.13</v>
      </c>
      <c r="E1176" t="str" cm="1">
        <f t="array" ref="E1176">_xlfn.IFS(D1176&lt;5.7,"Normal",D1176&lt;=6.4,"Prediabetes",D1176&gt;=6.5,"Diabetes")</f>
        <v>Prediabetes</v>
      </c>
      <c r="F1176" s="3" t="s">
        <v>2379</v>
      </c>
      <c r="G1176" s="3" t="s">
        <v>2379</v>
      </c>
      <c r="H1176" s="3" t="s">
        <v>2379</v>
      </c>
      <c r="I1176" s="1">
        <v>2</v>
      </c>
      <c r="J1176">
        <v>2</v>
      </c>
      <c r="K1176" s="3" t="s">
        <v>2379</v>
      </c>
      <c r="P1176" s="3"/>
    </row>
    <row r="1177" spans="1:16" x14ac:dyDescent="0.25">
      <c r="A1177" s="3" t="s">
        <v>1194</v>
      </c>
      <c r="B1177">
        <v>23.01</v>
      </c>
      <c r="C1177" t="str" cm="1">
        <f t="array" ref="C1177">_xlfn.IFS(B1177&lt;=18.5,  "Underweight",B1177&lt;=24.9,"Normal weight",B1177&lt;=29.9, "Over weight",B1177&gt;=30,"Obesity")</f>
        <v>Normal weight</v>
      </c>
      <c r="D1177">
        <v>6.04</v>
      </c>
      <c r="E1177" t="str" cm="1">
        <f t="array" ref="E1177">_xlfn.IFS(D1177&lt;5.7,"Normal",D1177&lt;=6.4,"Prediabetes",D1177&gt;=6.5,"Diabetes")</f>
        <v>Prediabetes</v>
      </c>
      <c r="F1177" s="3" t="s">
        <v>2382</v>
      </c>
      <c r="G1177" s="3" t="s">
        <v>2379</v>
      </c>
      <c r="H1177" s="3" t="s">
        <v>2379</v>
      </c>
      <c r="I1177" s="1">
        <v>1</v>
      </c>
      <c r="J1177">
        <v>1</v>
      </c>
      <c r="K1177" s="3" t="s">
        <v>2379</v>
      </c>
      <c r="P1177" s="3"/>
    </row>
    <row r="1178" spans="1:16" x14ac:dyDescent="0.25">
      <c r="A1178" s="3" t="s">
        <v>1193</v>
      </c>
      <c r="B1178">
        <v>31.39</v>
      </c>
      <c r="C1178" t="str" cm="1">
        <f t="array" ref="C1178">_xlfn.IFS(B1178&lt;=18.5,  "Underweight",B1178&lt;=24.9,"Normal weight",B1178&lt;=29.9, "Over weight",B1178&gt;=30,"Obesity")</f>
        <v>Obesity</v>
      </c>
      <c r="D1178">
        <v>8.85</v>
      </c>
      <c r="E1178" t="str" cm="1">
        <f t="array" ref="E1178">_xlfn.IFS(D1178&lt;5.7,"Normal",D1178&lt;=6.4,"Prediabetes",D1178&gt;=6.5,"Diabetes")</f>
        <v>Diabetes</v>
      </c>
      <c r="F1178" s="3" t="s">
        <v>2382</v>
      </c>
      <c r="G1178" s="3" t="s">
        <v>2379</v>
      </c>
      <c r="H1178" s="3" t="s">
        <v>2379</v>
      </c>
      <c r="I1178" s="1" t="s">
        <v>2380</v>
      </c>
      <c r="J1178">
        <v>0</v>
      </c>
      <c r="K1178" s="3" t="s">
        <v>2379</v>
      </c>
      <c r="P1178" s="3"/>
    </row>
    <row r="1179" spans="1:16" x14ac:dyDescent="0.25">
      <c r="A1179" s="3" t="s">
        <v>1192</v>
      </c>
      <c r="B1179">
        <v>34.770000000000003</v>
      </c>
      <c r="C1179" t="str" cm="1">
        <f t="array" ref="C1179">_xlfn.IFS(B1179&lt;=18.5,  "Underweight",B1179&lt;=24.9,"Normal weight",B1179&lt;=29.9, "Over weight",B1179&gt;=30,"Obesity")</f>
        <v>Obesity</v>
      </c>
      <c r="D1179">
        <v>10.54</v>
      </c>
      <c r="E1179" t="str" cm="1">
        <f t="array" ref="E1179">_xlfn.IFS(D1179&lt;5.7,"Normal",D1179&lt;=6.4,"Prediabetes",D1179&gt;=6.5,"Diabetes")</f>
        <v>Diabetes</v>
      </c>
      <c r="F1179" s="3" t="s">
        <v>2379</v>
      </c>
      <c r="G1179" s="3" t="s">
        <v>2379</v>
      </c>
      <c r="H1179" s="3" t="s">
        <v>2379</v>
      </c>
      <c r="I1179" s="1">
        <v>2</v>
      </c>
      <c r="J1179">
        <v>2</v>
      </c>
      <c r="K1179" s="3" t="s">
        <v>2379</v>
      </c>
      <c r="P1179" s="3"/>
    </row>
    <row r="1180" spans="1:16" x14ac:dyDescent="0.25">
      <c r="A1180" s="3" t="s">
        <v>1191</v>
      </c>
      <c r="B1180">
        <v>24.48</v>
      </c>
      <c r="C1180" t="str" cm="1">
        <f t="array" ref="C1180">_xlfn.IFS(B1180&lt;=18.5,  "Underweight",B1180&lt;=24.9,"Normal weight",B1180&lt;=29.9, "Over weight",B1180&gt;=30,"Obesity")</f>
        <v>Normal weight</v>
      </c>
      <c r="D1180">
        <v>4.37</v>
      </c>
      <c r="E1180" t="str" cm="1">
        <f t="array" ref="E1180">_xlfn.IFS(D1180&lt;5.7,"Normal",D1180&lt;=6.4,"Prediabetes",D1180&gt;=6.5,"Diabetes")</f>
        <v>Normal</v>
      </c>
      <c r="F1180" s="3" t="s">
        <v>2382</v>
      </c>
      <c r="G1180" s="3" t="s">
        <v>2379</v>
      </c>
      <c r="H1180" s="3" t="s">
        <v>2379</v>
      </c>
      <c r="I1180" s="1">
        <v>2</v>
      </c>
      <c r="J1180">
        <v>2</v>
      </c>
      <c r="K1180" s="3" t="s">
        <v>2379</v>
      </c>
      <c r="P1180" s="3"/>
    </row>
    <row r="1181" spans="1:16" x14ac:dyDescent="0.25">
      <c r="A1181" s="3" t="s">
        <v>1190</v>
      </c>
      <c r="B1181">
        <v>22.61</v>
      </c>
      <c r="C1181" t="str" cm="1">
        <f t="array" ref="C1181">_xlfn.IFS(B1181&lt;=18.5,  "Underweight",B1181&lt;=24.9,"Normal weight",B1181&lt;=29.9, "Over weight",B1181&gt;=30,"Obesity")</f>
        <v>Normal weight</v>
      </c>
      <c r="D1181">
        <v>9.6300000000000008</v>
      </c>
      <c r="E1181" t="str" cm="1">
        <f t="array" ref="E1181">_xlfn.IFS(D1181&lt;5.7,"Normal",D1181&lt;=6.4,"Prediabetes",D1181&gt;=6.5,"Diabetes")</f>
        <v>Diabetes</v>
      </c>
      <c r="F1181" s="3" t="s">
        <v>2379</v>
      </c>
      <c r="G1181" s="3" t="s">
        <v>2379</v>
      </c>
      <c r="H1181" s="3" t="s">
        <v>2379</v>
      </c>
      <c r="I1181" s="1">
        <v>2</v>
      </c>
      <c r="J1181">
        <v>2</v>
      </c>
      <c r="K1181" s="3" t="s">
        <v>2379</v>
      </c>
      <c r="P1181" s="3"/>
    </row>
    <row r="1182" spans="1:16" x14ac:dyDescent="0.25">
      <c r="A1182" s="3" t="s">
        <v>1189</v>
      </c>
      <c r="B1182">
        <v>34.299999999999997</v>
      </c>
      <c r="C1182" t="str" cm="1">
        <f t="array" ref="C1182">_xlfn.IFS(B1182&lt;=18.5,  "Underweight",B1182&lt;=24.9,"Normal weight",B1182&lt;=29.9, "Over weight",B1182&gt;=30,"Obesity")</f>
        <v>Obesity</v>
      </c>
      <c r="D1182">
        <v>10.37</v>
      </c>
      <c r="E1182" t="str" cm="1">
        <f t="array" ref="E1182">_xlfn.IFS(D1182&lt;5.7,"Normal",D1182&lt;=6.4,"Prediabetes",D1182&gt;=6.5,"Diabetes")</f>
        <v>Diabetes</v>
      </c>
      <c r="F1182" s="3" t="s">
        <v>2379</v>
      </c>
      <c r="G1182" s="3" t="s">
        <v>2379</v>
      </c>
      <c r="H1182" s="3" t="s">
        <v>2379</v>
      </c>
      <c r="I1182" s="1" t="s">
        <v>2380</v>
      </c>
      <c r="J1182">
        <v>0</v>
      </c>
      <c r="K1182" s="3" t="s">
        <v>2379</v>
      </c>
      <c r="P1182" s="3"/>
    </row>
    <row r="1183" spans="1:16" x14ac:dyDescent="0.25">
      <c r="A1183" s="3" t="s">
        <v>1188</v>
      </c>
      <c r="B1183">
        <v>46.09</v>
      </c>
      <c r="C1183" t="str" cm="1">
        <f t="array" ref="C1183">_xlfn.IFS(B1183&lt;=18.5,  "Underweight",B1183&lt;=24.9,"Normal weight",B1183&lt;=29.9, "Over weight",B1183&gt;=30,"Obesity")</f>
        <v>Obesity</v>
      </c>
      <c r="D1183">
        <v>5.44</v>
      </c>
      <c r="E1183" t="str" cm="1">
        <f t="array" ref="E1183">_xlfn.IFS(D1183&lt;5.7,"Normal",D1183&lt;=6.4,"Prediabetes",D1183&gt;=6.5,"Diabetes")</f>
        <v>Normal</v>
      </c>
      <c r="F1183" s="3" t="s">
        <v>2379</v>
      </c>
      <c r="G1183" s="3" t="s">
        <v>2379</v>
      </c>
      <c r="H1183" s="3" t="s">
        <v>2379</v>
      </c>
      <c r="I1183" s="1">
        <v>2</v>
      </c>
      <c r="J1183">
        <v>2</v>
      </c>
      <c r="K1183" s="3" t="s">
        <v>2379</v>
      </c>
      <c r="P1183" s="3"/>
    </row>
    <row r="1184" spans="1:16" x14ac:dyDescent="0.25">
      <c r="A1184" s="3" t="s">
        <v>1187</v>
      </c>
      <c r="B1184">
        <v>44.744999999999997</v>
      </c>
      <c r="C1184" t="str" cm="1">
        <f t="array" ref="C1184">_xlfn.IFS(B1184&lt;=18.5,  "Underweight",B1184&lt;=24.9,"Normal weight",B1184&lt;=29.9, "Over weight",B1184&gt;=30,"Obesity")</f>
        <v>Obesity</v>
      </c>
      <c r="D1184">
        <v>5.19</v>
      </c>
      <c r="E1184" t="str" cm="1">
        <f t="array" ref="E1184">_xlfn.IFS(D1184&lt;5.7,"Normal",D1184&lt;=6.4,"Prediabetes",D1184&gt;=6.5,"Diabetes")</f>
        <v>Normal</v>
      </c>
      <c r="F1184" s="3" t="s">
        <v>2379</v>
      </c>
      <c r="G1184" s="3" t="s">
        <v>2379</v>
      </c>
      <c r="H1184" s="3" t="s">
        <v>2379</v>
      </c>
      <c r="I1184" s="1">
        <v>2</v>
      </c>
      <c r="J1184">
        <v>2</v>
      </c>
      <c r="K1184" s="3" t="s">
        <v>2379</v>
      </c>
      <c r="P1184" s="3"/>
    </row>
    <row r="1185" spans="1:16" x14ac:dyDescent="0.25">
      <c r="A1185" s="3" t="s">
        <v>1186</v>
      </c>
      <c r="B1185">
        <v>26.33</v>
      </c>
      <c r="C1185" t="str" cm="1">
        <f t="array" ref="C1185">_xlfn.IFS(B1185&lt;=18.5,  "Underweight",B1185&lt;=24.9,"Normal weight",B1185&lt;=29.9, "Over weight",B1185&gt;=30,"Obesity")</f>
        <v>Over weight</v>
      </c>
      <c r="D1185">
        <v>11.8</v>
      </c>
      <c r="E1185" t="str" cm="1">
        <f t="array" ref="E1185">_xlfn.IFS(D1185&lt;5.7,"Normal",D1185&lt;=6.4,"Prediabetes",D1185&gt;=6.5,"Diabetes")</f>
        <v>Diabetes</v>
      </c>
      <c r="F1185" s="3" t="s">
        <v>2382</v>
      </c>
      <c r="G1185" s="3" t="s">
        <v>2379</v>
      </c>
      <c r="H1185" s="3" t="s">
        <v>2379</v>
      </c>
      <c r="I1185" s="1">
        <v>1</v>
      </c>
      <c r="J1185">
        <v>1</v>
      </c>
      <c r="K1185" s="3" t="s">
        <v>2379</v>
      </c>
      <c r="P1185" s="3"/>
    </row>
    <row r="1186" spans="1:16" x14ac:dyDescent="0.25">
      <c r="A1186" s="3" t="s">
        <v>1185</v>
      </c>
      <c r="B1186">
        <v>26.6</v>
      </c>
      <c r="C1186" t="str" cm="1">
        <f t="array" ref="C1186">_xlfn.IFS(B1186&lt;=18.5,  "Underweight",B1186&lt;=24.9,"Normal weight",B1186&lt;=29.9, "Over weight",B1186&gt;=30,"Obesity")</f>
        <v>Over weight</v>
      </c>
      <c r="D1186">
        <v>8.3800000000000008</v>
      </c>
      <c r="E1186" t="str" cm="1">
        <f t="array" ref="E1186">_xlfn.IFS(D1186&lt;5.7,"Normal",D1186&lt;=6.4,"Prediabetes",D1186&gt;=6.5,"Diabetes")</f>
        <v>Diabetes</v>
      </c>
      <c r="F1186" s="3" t="s">
        <v>2379</v>
      </c>
      <c r="G1186" s="3" t="s">
        <v>2379</v>
      </c>
      <c r="H1186" s="3" t="s">
        <v>2379</v>
      </c>
      <c r="I1186" s="1">
        <v>2</v>
      </c>
      <c r="J1186">
        <v>2</v>
      </c>
      <c r="K1186" s="3" t="s">
        <v>2379</v>
      </c>
      <c r="P1186" s="3"/>
    </row>
    <row r="1187" spans="1:16" x14ac:dyDescent="0.25">
      <c r="A1187" s="3" t="s">
        <v>1184</v>
      </c>
      <c r="B1187">
        <v>27.5</v>
      </c>
      <c r="C1187" t="str" cm="1">
        <f t="array" ref="C1187">_xlfn.IFS(B1187&lt;=18.5,  "Underweight",B1187&lt;=24.9,"Normal weight",B1187&lt;=29.9, "Over weight",B1187&gt;=30,"Obesity")</f>
        <v>Over weight</v>
      </c>
      <c r="D1187">
        <v>7.58</v>
      </c>
      <c r="E1187" t="str" cm="1">
        <f t="array" ref="E1187">_xlfn.IFS(D1187&lt;5.7,"Normal",D1187&lt;=6.4,"Prediabetes",D1187&gt;=6.5,"Diabetes")</f>
        <v>Diabetes</v>
      </c>
      <c r="F1187" s="3" t="s">
        <v>2379</v>
      </c>
      <c r="G1187" s="3" t="s">
        <v>2379</v>
      </c>
      <c r="H1187" s="3" t="s">
        <v>2379</v>
      </c>
      <c r="I1187" s="1" t="s">
        <v>2380</v>
      </c>
      <c r="J1187">
        <v>0</v>
      </c>
      <c r="K1187" s="3" t="s">
        <v>2379</v>
      </c>
      <c r="P1187" s="3"/>
    </row>
    <row r="1188" spans="1:16" x14ac:dyDescent="0.25">
      <c r="A1188" s="3" t="s">
        <v>1183</v>
      </c>
      <c r="B1188">
        <v>41.55</v>
      </c>
      <c r="C1188" t="str" cm="1">
        <f t="array" ref="C1188">_xlfn.IFS(B1188&lt;=18.5,  "Underweight",B1188&lt;=24.9,"Normal weight",B1188&lt;=29.9, "Over weight",B1188&gt;=30,"Obesity")</f>
        <v>Obesity</v>
      </c>
      <c r="D1188">
        <v>4.6100000000000003</v>
      </c>
      <c r="E1188" t="str" cm="1">
        <f t="array" ref="E1188">_xlfn.IFS(D1188&lt;5.7,"Normal",D1188&lt;=6.4,"Prediabetes",D1188&gt;=6.5,"Diabetes")</f>
        <v>Normal</v>
      </c>
      <c r="F1188" s="3" t="s">
        <v>2379</v>
      </c>
      <c r="G1188" s="3" t="s">
        <v>2379</v>
      </c>
      <c r="H1188" s="3" t="s">
        <v>2379</v>
      </c>
      <c r="I1188" s="1">
        <v>1</v>
      </c>
      <c r="J1188">
        <v>1</v>
      </c>
      <c r="K1188" s="3" t="s">
        <v>2379</v>
      </c>
      <c r="P1188" s="3"/>
    </row>
    <row r="1189" spans="1:16" x14ac:dyDescent="0.25">
      <c r="A1189" s="3" t="s">
        <v>1182</v>
      </c>
      <c r="B1189">
        <v>41.47</v>
      </c>
      <c r="C1189" t="str" cm="1">
        <f t="array" ref="C1189">_xlfn.IFS(B1189&lt;=18.5,  "Underweight",B1189&lt;=24.9,"Normal weight",B1189&lt;=29.9, "Over weight",B1189&gt;=30,"Obesity")</f>
        <v>Obesity</v>
      </c>
      <c r="D1189">
        <v>4.7</v>
      </c>
      <c r="E1189" t="str" cm="1">
        <f t="array" ref="E1189">_xlfn.IFS(D1189&lt;5.7,"Normal",D1189&lt;=6.4,"Prediabetes",D1189&gt;=6.5,"Diabetes")</f>
        <v>Normal</v>
      </c>
      <c r="F1189" s="3" t="s">
        <v>2382</v>
      </c>
      <c r="G1189" s="3" t="s">
        <v>2379</v>
      </c>
      <c r="H1189" s="3" t="s">
        <v>2382</v>
      </c>
      <c r="I1189" s="1">
        <v>1</v>
      </c>
      <c r="J1189">
        <v>1</v>
      </c>
      <c r="K1189" s="3" t="s">
        <v>2379</v>
      </c>
      <c r="P1189" s="3"/>
    </row>
    <row r="1190" spans="1:16" x14ac:dyDescent="0.25">
      <c r="A1190" s="3" t="s">
        <v>1181</v>
      </c>
      <c r="B1190">
        <v>24.795000000000002</v>
      </c>
      <c r="C1190" t="str" cm="1">
        <f t="array" ref="C1190">_xlfn.IFS(B1190&lt;=18.5,  "Underweight",B1190&lt;=24.9,"Normal weight",B1190&lt;=29.9, "Over weight",B1190&gt;=30,"Obesity")</f>
        <v>Normal weight</v>
      </c>
      <c r="D1190">
        <v>6.05</v>
      </c>
      <c r="E1190" t="str" cm="1">
        <f t="array" ref="E1190">_xlfn.IFS(D1190&lt;5.7,"Normal",D1190&lt;=6.4,"Prediabetes",D1190&gt;=6.5,"Diabetes")</f>
        <v>Prediabetes</v>
      </c>
      <c r="F1190" s="3" t="s">
        <v>2382</v>
      </c>
      <c r="G1190" s="3" t="s">
        <v>2379</v>
      </c>
      <c r="H1190" s="3" t="s">
        <v>2379</v>
      </c>
      <c r="I1190" s="1" t="s">
        <v>2380</v>
      </c>
      <c r="J1190">
        <v>0</v>
      </c>
      <c r="K1190" s="3" t="s">
        <v>2379</v>
      </c>
      <c r="P1190" s="3"/>
    </row>
    <row r="1191" spans="1:16" x14ac:dyDescent="0.25">
      <c r="A1191" s="3" t="s">
        <v>1180</v>
      </c>
      <c r="B1191">
        <v>29.48</v>
      </c>
      <c r="C1191" t="str" cm="1">
        <f t="array" ref="C1191">_xlfn.IFS(B1191&lt;=18.5,  "Underweight",B1191&lt;=24.9,"Normal weight",B1191&lt;=29.9, "Over weight",B1191&gt;=30,"Obesity")</f>
        <v>Over weight</v>
      </c>
      <c r="D1191">
        <v>5.63</v>
      </c>
      <c r="E1191" t="str" cm="1">
        <f t="array" ref="E1191">_xlfn.IFS(D1191&lt;5.7,"Normal",D1191&lt;=6.4,"Prediabetes",D1191&gt;=6.5,"Diabetes")</f>
        <v>Normal</v>
      </c>
      <c r="F1191" s="3" t="s">
        <v>2382</v>
      </c>
      <c r="G1191" s="3" t="s">
        <v>2379</v>
      </c>
      <c r="H1191" s="3" t="s">
        <v>2382</v>
      </c>
      <c r="I1191" s="1">
        <v>1</v>
      </c>
      <c r="J1191">
        <v>1</v>
      </c>
      <c r="K1191" s="3" t="s">
        <v>2379</v>
      </c>
      <c r="P1191" s="3"/>
    </row>
    <row r="1192" spans="1:16" x14ac:dyDescent="0.25">
      <c r="A1192" s="3" t="s">
        <v>1179</v>
      </c>
      <c r="B1192">
        <v>28.09</v>
      </c>
      <c r="C1192" t="str" cm="1">
        <f t="array" ref="C1192">_xlfn.IFS(B1192&lt;=18.5,  "Underweight",B1192&lt;=24.9,"Normal weight",B1192&lt;=29.9, "Over weight",B1192&gt;=30,"Obesity")</f>
        <v>Over weight</v>
      </c>
      <c r="D1192">
        <v>6.06</v>
      </c>
      <c r="E1192" t="str" cm="1">
        <f t="array" ref="E1192">_xlfn.IFS(D1192&lt;5.7,"Normal",D1192&lt;=6.4,"Prediabetes",D1192&gt;=6.5,"Diabetes")</f>
        <v>Prediabetes</v>
      </c>
      <c r="F1192" s="3" t="s">
        <v>2379</v>
      </c>
      <c r="G1192" s="3" t="s">
        <v>2379</v>
      </c>
      <c r="H1192" s="3" t="s">
        <v>2382</v>
      </c>
      <c r="I1192" s="1">
        <v>1</v>
      </c>
      <c r="J1192">
        <v>1</v>
      </c>
      <c r="K1192" s="3" t="s">
        <v>2379</v>
      </c>
      <c r="P1192" s="3"/>
    </row>
    <row r="1193" spans="1:16" x14ac:dyDescent="0.25">
      <c r="A1193" s="3" t="s">
        <v>1178</v>
      </c>
      <c r="B1193">
        <v>32.729999999999997</v>
      </c>
      <c r="C1193" t="str" cm="1">
        <f t="array" ref="C1193">_xlfn.IFS(B1193&lt;=18.5,  "Underweight",B1193&lt;=24.9,"Normal weight",B1193&lt;=29.9, "Over weight",B1193&gt;=30,"Obesity")</f>
        <v>Obesity</v>
      </c>
      <c r="D1193">
        <v>5.19</v>
      </c>
      <c r="E1193" t="str" cm="1">
        <f t="array" ref="E1193">_xlfn.IFS(D1193&lt;5.7,"Normal",D1193&lt;=6.4,"Prediabetes",D1193&gt;=6.5,"Diabetes")</f>
        <v>Normal</v>
      </c>
      <c r="F1193" s="3" t="s">
        <v>2379</v>
      </c>
      <c r="G1193" s="3" t="s">
        <v>2379</v>
      </c>
      <c r="H1193" s="3" t="s">
        <v>2379</v>
      </c>
      <c r="I1193" s="1">
        <v>1</v>
      </c>
      <c r="J1193">
        <v>1</v>
      </c>
      <c r="K1193" s="3" t="s">
        <v>2379</v>
      </c>
      <c r="P1193" s="3"/>
    </row>
    <row r="1194" spans="1:16" x14ac:dyDescent="0.25">
      <c r="A1194" s="3" t="s">
        <v>1177</v>
      </c>
      <c r="B1194">
        <v>27.36</v>
      </c>
      <c r="C1194" t="str" cm="1">
        <f t="array" ref="C1194">_xlfn.IFS(B1194&lt;=18.5,  "Underweight",B1194&lt;=24.9,"Normal weight",B1194&lt;=29.9, "Over weight",B1194&gt;=30,"Obesity")</f>
        <v>Over weight</v>
      </c>
      <c r="D1194">
        <v>8.9600000000000009</v>
      </c>
      <c r="E1194" t="str" cm="1">
        <f t="array" ref="E1194">_xlfn.IFS(D1194&lt;5.7,"Normal",D1194&lt;=6.4,"Prediabetes",D1194&gt;=6.5,"Diabetes")</f>
        <v>Diabetes</v>
      </c>
      <c r="F1194" s="3" t="s">
        <v>2379</v>
      </c>
      <c r="G1194" s="3" t="s">
        <v>2379</v>
      </c>
      <c r="H1194" s="3" t="s">
        <v>2379</v>
      </c>
      <c r="I1194" s="1" t="s">
        <v>2380</v>
      </c>
      <c r="J1194">
        <v>0</v>
      </c>
      <c r="K1194" s="3" t="s">
        <v>2379</v>
      </c>
      <c r="P1194" s="3"/>
    </row>
    <row r="1195" spans="1:16" x14ac:dyDescent="0.25">
      <c r="A1195" s="3" t="s">
        <v>1176</v>
      </c>
      <c r="B1195">
        <v>27.265000000000001</v>
      </c>
      <c r="C1195" t="str" cm="1">
        <f t="array" ref="C1195">_xlfn.IFS(B1195&lt;=18.5,  "Underweight",B1195&lt;=24.9,"Normal weight",B1195&lt;=29.9, "Over weight",B1195&gt;=30,"Obesity")</f>
        <v>Over weight</v>
      </c>
      <c r="D1195">
        <v>11.39</v>
      </c>
      <c r="E1195" t="str" cm="1">
        <f t="array" ref="E1195">_xlfn.IFS(D1195&lt;5.7,"Normal",D1195&lt;=6.4,"Prediabetes",D1195&gt;=6.5,"Diabetes")</f>
        <v>Diabetes</v>
      </c>
      <c r="F1195" s="3" t="s">
        <v>2379</v>
      </c>
      <c r="G1195" s="3" t="s">
        <v>2379</v>
      </c>
      <c r="H1195" s="3" t="s">
        <v>2379</v>
      </c>
      <c r="I1195" s="1" t="s">
        <v>2380</v>
      </c>
      <c r="J1195">
        <v>0</v>
      </c>
      <c r="K1195" s="3" t="s">
        <v>2379</v>
      </c>
      <c r="P1195" s="3"/>
    </row>
    <row r="1196" spans="1:16" x14ac:dyDescent="0.25">
      <c r="A1196" s="3" t="s">
        <v>1175</v>
      </c>
      <c r="B1196">
        <v>48.07</v>
      </c>
      <c r="C1196" t="str" cm="1">
        <f t="array" ref="C1196">_xlfn.IFS(B1196&lt;=18.5,  "Underweight",B1196&lt;=24.9,"Normal weight",B1196&lt;=29.9, "Over weight",B1196&gt;=30,"Obesity")</f>
        <v>Obesity</v>
      </c>
      <c r="D1196">
        <v>4.0599999999999996</v>
      </c>
      <c r="E1196" t="str" cm="1">
        <f t="array" ref="E1196">_xlfn.IFS(D1196&lt;5.7,"Normal",D1196&lt;=6.4,"Prediabetes",D1196&gt;=6.5,"Diabetes")</f>
        <v>Normal</v>
      </c>
      <c r="F1196" s="3" t="s">
        <v>2382</v>
      </c>
      <c r="G1196" s="3" t="s">
        <v>2379</v>
      </c>
      <c r="H1196" s="3" t="s">
        <v>2379</v>
      </c>
      <c r="I1196" s="1" t="s">
        <v>2380</v>
      </c>
      <c r="J1196">
        <v>0</v>
      </c>
      <c r="K1196" s="3" t="s">
        <v>2379</v>
      </c>
      <c r="P1196" s="3"/>
    </row>
    <row r="1197" spans="1:16" x14ac:dyDescent="0.25">
      <c r="A1197" s="3" t="s">
        <v>1174</v>
      </c>
      <c r="B1197">
        <v>30.8</v>
      </c>
      <c r="C1197" t="str" cm="1">
        <f t="array" ref="C1197">_xlfn.IFS(B1197&lt;=18.5,  "Underweight",B1197&lt;=24.9,"Normal weight",B1197&lt;=29.9, "Over weight",B1197&gt;=30,"Obesity")</f>
        <v>Obesity</v>
      </c>
      <c r="D1197">
        <v>5.23</v>
      </c>
      <c r="E1197" t="str" cm="1">
        <f t="array" ref="E1197">_xlfn.IFS(D1197&lt;5.7,"Normal",D1197&lt;=6.4,"Prediabetes",D1197&gt;=6.5,"Diabetes")</f>
        <v>Normal</v>
      </c>
      <c r="F1197" s="3" t="s">
        <v>2382</v>
      </c>
      <c r="G1197" s="3" t="s">
        <v>2379</v>
      </c>
      <c r="H1197" s="3" t="s">
        <v>2379</v>
      </c>
      <c r="I1197" s="1" t="s">
        <v>2380</v>
      </c>
      <c r="J1197">
        <v>0</v>
      </c>
      <c r="K1197" s="3" t="s">
        <v>2379</v>
      </c>
      <c r="P1197" s="3"/>
    </row>
    <row r="1198" spans="1:16" x14ac:dyDescent="0.25">
      <c r="A1198" s="3" t="s">
        <v>1173</v>
      </c>
      <c r="B1198">
        <v>32.299999999999997</v>
      </c>
      <c r="C1198" t="str" cm="1">
        <f t="array" ref="C1198">_xlfn.IFS(B1198&lt;=18.5,  "Underweight",B1198&lt;=24.9,"Normal weight",B1198&lt;=29.9, "Over weight",B1198&gt;=30,"Obesity")</f>
        <v>Obesity</v>
      </c>
      <c r="D1198">
        <v>5.05</v>
      </c>
      <c r="E1198" t="str" cm="1">
        <f t="array" ref="E1198">_xlfn.IFS(D1198&lt;5.7,"Normal",D1198&lt;=6.4,"Prediabetes",D1198&gt;=6.5,"Diabetes")</f>
        <v>Normal</v>
      </c>
      <c r="F1198" s="3" t="s">
        <v>2382</v>
      </c>
      <c r="G1198" s="3" t="s">
        <v>2379</v>
      </c>
      <c r="H1198" s="3" t="s">
        <v>2379</v>
      </c>
      <c r="I1198" s="1" t="s">
        <v>2380</v>
      </c>
      <c r="J1198">
        <v>0</v>
      </c>
      <c r="K1198" s="3" t="s">
        <v>2379</v>
      </c>
      <c r="P1198" s="3"/>
    </row>
    <row r="1199" spans="1:16" x14ac:dyDescent="0.25">
      <c r="A1199" s="3" t="s">
        <v>1172</v>
      </c>
      <c r="B1199">
        <v>39.700000000000003</v>
      </c>
      <c r="C1199" t="str" cm="1">
        <f t="array" ref="C1199">_xlfn.IFS(B1199&lt;=18.5,  "Underweight",B1199&lt;=24.9,"Normal weight",B1199&lt;=29.9, "Over weight",B1199&gt;=30,"Obesity")</f>
        <v>Obesity</v>
      </c>
      <c r="D1199">
        <v>7.34</v>
      </c>
      <c r="E1199" t="str" cm="1">
        <f t="array" ref="E1199">_xlfn.IFS(D1199&lt;5.7,"Normal",D1199&lt;=6.4,"Prediabetes",D1199&gt;=6.5,"Diabetes")</f>
        <v>Diabetes</v>
      </c>
      <c r="F1199" s="3" t="s">
        <v>2379</v>
      </c>
      <c r="G1199" s="3" t="s">
        <v>2379</v>
      </c>
      <c r="H1199" s="3" t="s">
        <v>2379</v>
      </c>
      <c r="I1199" s="1" t="s">
        <v>2380</v>
      </c>
      <c r="J1199">
        <v>0</v>
      </c>
      <c r="K1199" s="3" t="s">
        <v>2379</v>
      </c>
      <c r="P1199" s="3"/>
    </row>
    <row r="1200" spans="1:16" x14ac:dyDescent="0.25">
      <c r="A1200" s="3" t="s">
        <v>1171</v>
      </c>
      <c r="B1200">
        <v>35.97</v>
      </c>
      <c r="C1200" t="str" cm="1">
        <f t="array" ref="C1200">_xlfn.IFS(B1200&lt;=18.5,  "Underweight",B1200&lt;=24.9,"Normal weight",B1200&lt;=29.9, "Over weight",B1200&gt;=30,"Obesity")</f>
        <v>Obesity</v>
      </c>
      <c r="D1200">
        <v>8.1300000000000008</v>
      </c>
      <c r="E1200" t="str" cm="1">
        <f t="array" ref="E1200">_xlfn.IFS(D1200&lt;5.7,"Normal",D1200&lt;=6.4,"Prediabetes",D1200&gt;=6.5,"Diabetes")</f>
        <v>Diabetes</v>
      </c>
      <c r="F1200" s="3" t="s">
        <v>2379</v>
      </c>
      <c r="G1200" s="3" t="s">
        <v>2379</v>
      </c>
      <c r="H1200" s="3" t="s">
        <v>2379</v>
      </c>
      <c r="I1200" s="1" t="s">
        <v>2380</v>
      </c>
      <c r="J1200">
        <v>0</v>
      </c>
      <c r="K1200" s="3" t="s">
        <v>2379</v>
      </c>
      <c r="P1200" s="3"/>
    </row>
    <row r="1201" spans="1:16" x14ac:dyDescent="0.25">
      <c r="A1201" s="3" t="s">
        <v>1170</v>
      </c>
      <c r="B1201">
        <v>25.86</v>
      </c>
      <c r="C1201" t="str" cm="1">
        <f t="array" ref="C1201">_xlfn.IFS(B1201&lt;=18.5,  "Underweight",B1201&lt;=24.9,"Normal weight",B1201&lt;=29.9, "Over weight",B1201&gt;=30,"Obesity")</f>
        <v>Over weight</v>
      </c>
      <c r="D1201">
        <v>6.68</v>
      </c>
      <c r="E1201" t="str" cm="1">
        <f t="array" ref="E1201">_xlfn.IFS(D1201&lt;5.7,"Normal",D1201&lt;=6.4,"Prediabetes",D1201&gt;=6.5,"Diabetes")</f>
        <v>Diabetes</v>
      </c>
      <c r="F1201" s="3" t="s">
        <v>2382</v>
      </c>
      <c r="G1201" s="3" t="s">
        <v>2379</v>
      </c>
      <c r="H1201" s="3" t="s">
        <v>2379</v>
      </c>
      <c r="I1201" s="1">
        <v>1</v>
      </c>
      <c r="J1201">
        <v>1</v>
      </c>
      <c r="K1201" s="3" t="s">
        <v>2379</v>
      </c>
      <c r="P1201" s="3"/>
    </row>
    <row r="1202" spans="1:16" x14ac:dyDescent="0.25">
      <c r="A1202" s="3" t="s">
        <v>1169</v>
      </c>
      <c r="B1202">
        <v>30.03</v>
      </c>
      <c r="C1202" t="str" cm="1">
        <f t="array" ref="C1202">_xlfn.IFS(B1202&lt;=18.5,  "Underweight",B1202&lt;=24.9,"Normal weight",B1202&lt;=29.9, "Over weight",B1202&gt;=30,"Obesity")</f>
        <v>Obesity</v>
      </c>
      <c r="D1202">
        <v>11.51</v>
      </c>
      <c r="E1202" t="str" cm="1">
        <f t="array" ref="E1202">_xlfn.IFS(D1202&lt;5.7,"Normal",D1202&lt;=6.4,"Prediabetes",D1202&gt;=6.5,"Diabetes")</f>
        <v>Diabetes</v>
      </c>
      <c r="F1202" s="3" t="s">
        <v>2379</v>
      </c>
      <c r="G1202" s="3" t="s">
        <v>2379</v>
      </c>
      <c r="H1202" s="3" t="s">
        <v>2379</v>
      </c>
      <c r="I1202" s="1" t="s">
        <v>2380</v>
      </c>
      <c r="J1202">
        <v>0</v>
      </c>
      <c r="K1202" s="3" t="s">
        <v>2379</v>
      </c>
      <c r="P1202" s="3"/>
    </row>
    <row r="1203" spans="1:16" x14ac:dyDescent="0.25">
      <c r="A1203" s="3" t="s">
        <v>1168</v>
      </c>
      <c r="B1203">
        <v>25.76</v>
      </c>
      <c r="C1203" t="str" cm="1">
        <f t="array" ref="C1203">_xlfn.IFS(B1203&lt;=18.5,  "Underweight",B1203&lt;=24.9,"Normal weight",B1203&lt;=29.9, "Over weight",B1203&gt;=30,"Obesity")</f>
        <v>Over weight</v>
      </c>
      <c r="D1203">
        <v>6.02</v>
      </c>
      <c r="E1203" t="str" cm="1">
        <f t="array" ref="E1203">_xlfn.IFS(D1203&lt;5.7,"Normal",D1203&lt;=6.4,"Prediabetes",D1203&gt;=6.5,"Diabetes")</f>
        <v>Prediabetes</v>
      </c>
      <c r="F1203" s="3" t="s">
        <v>2382</v>
      </c>
      <c r="G1203" s="3" t="s">
        <v>2379</v>
      </c>
      <c r="H1203" s="3" t="s">
        <v>2382</v>
      </c>
      <c r="I1203" s="1">
        <v>1</v>
      </c>
      <c r="J1203">
        <v>1</v>
      </c>
      <c r="K1203" s="3" t="s">
        <v>2379</v>
      </c>
      <c r="P1203" s="3"/>
    </row>
    <row r="1204" spans="1:16" x14ac:dyDescent="0.25">
      <c r="A1204" s="3" t="s">
        <v>1167</v>
      </c>
      <c r="B1204">
        <v>22.42</v>
      </c>
      <c r="C1204" t="str" cm="1">
        <f t="array" ref="C1204">_xlfn.IFS(B1204&lt;=18.5,  "Underweight",B1204&lt;=24.9,"Normal weight",B1204&lt;=29.9, "Over weight",B1204&gt;=30,"Obesity")</f>
        <v>Normal weight</v>
      </c>
      <c r="D1204">
        <v>7.96</v>
      </c>
      <c r="E1204" t="str" cm="1">
        <f t="array" ref="E1204">_xlfn.IFS(D1204&lt;5.7,"Normal",D1204&lt;=6.4,"Prediabetes",D1204&gt;=6.5,"Diabetes")</f>
        <v>Diabetes</v>
      </c>
      <c r="F1204" s="3" t="s">
        <v>2379</v>
      </c>
      <c r="G1204" s="3" t="s">
        <v>2379</v>
      </c>
      <c r="H1204" s="3" t="s">
        <v>2379</v>
      </c>
      <c r="I1204" s="1" t="s">
        <v>2380</v>
      </c>
      <c r="J1204">
        <v>0</v>
      </c>
      <c r="K1204" s="3" t="s">
        <v>2379</v>
      </c>
      <c r="P1204" s="3"/>
    </row>
    <row r="1205" spans="1:16" x14ac:dyDescent="0.25">
      <c r="A1205" s="3" t="s">
        <v>1166</v>
      </c>
      <c r="B1205">
        <v>33.18</v>
      </c>
      <c r="C1205" t="str" cm="1">
        <f t="array" ref="C1205">_xlfn.IFS(B1205&lt;=18.5,  "Underweight",B1205&lt;=24.9,"Normal weight",B1205&lt;=29.9, "Over weight",B1205&gt;=30,"Obesity")</f>
        <v>Obesity</v>
      </c>
      <c r="D1205">
        <v>6.01</v>
      </c>
      <c r="E1205" t="str" cm="1">
        <f t="array" ref="E1205">_xlfn.IFS(D1205&lt;5.7,"Normal",D1205&lt;=6.4,"Prediabetes",D1205&gt;=6.5,"Diabetes")</f>
        <v>Prediabetes</v>
      </c>
      <c r="F1205" s="3" t="s">
        <v>2382</v>
      </c>
      <c r="G1205" s="3" t="s">
        <v>2379</v>
      </c>
      <c r="H1205" s="3" t="s">
        <v>2379</v>
      </c>
      <c r="I1205" s="1">
        <v>1</v>
      </c>
      <c r="J1205">
        <v>1</v>
      </c>
      <c r="K1205" s="3" t="s">
        <v>2379</v>
      </c>
      <c r="P1205" s="3"/>
    </row>
    <row r="1206" spans="1:16" x14ac:dyDescent="0.25">
      <c r="A1206" s="3" t="s">
        <v>1165</v>
      </c>
      <c r="B1206">
        <v>43.04</v>
      </c>
      <c r="C1206" t="str" cm="1">
        <f t="array" ref="C1206">_xlfn.IFS(B1206&lt;=18.5,  "Underweight",B1206&lt;=24.9,"Normal weight",B1206&lt;=29.9, "Over weight",B1206&gt;=30,"Obesity")</f>
        <v>Obesity</v>
      </c>
      <c r="D1206">
        <v>5.9</v>
      </c>
      <c r="E1206" t="str" cm="1">
        <f t="array" ref="E1206">_xlfn.IFS(D1206&lt;5.7,"Normal",D1206&lt;=6.4,"Prediabetes",D1206&gt;=6.5,"Diabetes")</f>
        <v>Prediabetes</v>
      </c>
      <c r="F1206" s="3" t="s">
        <v>2382</v>
      </c>
      <c r="G1206" s="3" t="s">
        <v>2379</v>
      </c>
      <c r="H1206" s="3" t="s">
        <v>2379</v>
      </c>
      <c r="I1206" s="1" t="s">
        <v>2380</v>
      </c>
      <c r="J1206">
        <v>0</v>
      </c>
      <c r="K1206" s="3" t="s">
        <v>2379</v>
      </c>
      <c r="P1206" s="3"/>
    </row>
    <row r="1207" spans="1:16" x14ac:dyDescent="0.25">
      <c r="A1207" s="3" t="s">
        <v>1164</v>
      </c>
      <c r="B1207">
        <v>34.15</v>
      </c>
      <c r="C1207" t="str" cm="1">
        <f t="array" ref="C1207">_xlfn.IFS(B1207&lt;=18.5,  "Underweight",B1207&lt;=24.9,"Normal weight",B1207&lt;=29.9, "Over weight",B1207&gt;=30,"Obesity")</f>
        <v>Obesity</v>
      </c>
      <c r="D1207">
        <v>4.49</v>
      </c>
      <c r="E1207" t="str" cm="1">
        <f t="array" ref="E1207">_xlfn.IFS(D1207&lt;5.7,"Normal",D1207&lt;=6.4,"Prediabetes",D1207&gt;=6.5,"Diabetes")</f>
        <v>Normal</v>
      </c>
      <c r="F1207" s="3" t="s">
        <v>2382</v>
      </c>
      <c r="G1207" s="3" t="s">
        <v>2379</v>
      </c>
      <c r="H1207" s="3" t="s">
        <v>2379</v>
      </c>
      <c r="I1207" s="1">
        <v>1</v>
      </c>
      <c r="J1207">
        <v>1</v>
      </c>
      <c r="K1207" s="3" t="s">
        <v>2379</v>
      </c>
      <c r="P1207" s="3"/>
    </row>
    <row r="1208" spans="1:16" x14ac:dyDescent="0.25">
      <c r="A1208" s="3" t="s">
        <v>1163</v>
      </c>
      <c r="B1208">
        <v>25.78</v>
      </c>
      <c r="C1208" t="str" cm="1">
        <f t="array" ref="C1208">_xlfn.IFS(B1208&lt;=18.5,  "Underweight",B1208&lt;=24.9,"Normal weight",B1208&lt;=29.9, "Over weight",B1208&gt;=30,"Obesity")</f>
        <v>Over weight</v>
      </c>
      <c r="D1208">
        <v>6.25</v>
      </c>
      <c r="E1208" t="str" cm="1">
        <f t="array" ref="E1208">_xlfn.IFS(D1208&lt;5.7,"Normal",D1208&lt;=6.4,"Prediabetes",D1208&gt;=6.5,"Diabetes")</f>
        <v>Prediabetes</v>
      </c>
      <c r="F1208" s="3" t="s">
        <v>2379</v>
      </c>
      <c r="G1208" s="3" t="s">
        <v>2379</v>
      </c>
      <c r="H1208" s="3" t="s">
        <v>2379</v>
      </c>
      <c r="I1208" s="1" t="s">
        <v>2380</v>
      </c>
      <c r="J1208">
        <v>0</v>
      </c>
      <c r="K1208" s="3" t="s">
        <v>2379</v>
      </c>
      <c r="P1208" s="3"/>
    </row>
    <row r="1209" spans="1:16" x14ac:dyDescent="0.25">
      <c r="A1209" s="3" t="s">
        <v>1162</v>
      </c>
      <c r="B1209">
        <v>21.02</v>
      </c>
      <c r="C1209" t="str" cm="1">
        <f t="array" ref="C1209">_xlfn.IFS(B1209&lt;=18.5,  "Underweight",B1209&lt;=24.9,"Normal weight",B1209&lt;=29.9, "Over weight",B1209&gt;=30,"Obesity")</f>
        <v>Normal weight</v>
      </c>
      <c r="D1209">
        <v>9.6199999999999992</v>
      </c>
      <c r="E1209" t="str" cm="1">
        <f t="array" ref="E1209">_xlfn.IFS(D1209&lt;5.7,"Normal",D1209&lt;=6.4,"Prediabetes",D1209&gt;=6.5,"Diabetes")</f>
        <v>Diabetes</v>
      </c>
      <c r="F1209" s="3" t="s">
        <v>2382</v>
      </c>
      <c r="G1209" s="3" t="s">
        <v>2379</v>
      </c>
      <c r="H1209" s="3" t="s">
        <v>2382</v>
      </c>
      <c r="I1209" s="1">
        <v>1</v>
      </c>
      <c r="J1209">
        <v>1</v>
      </c>
      <c r="K1209" s="3" t="s">
        <v>2379</v>
      </c>
      <c r="P1209" s="3"/>
    </row>
    <row r="1210" spans="1:16" x14ac:dyDescent="0.25">
      <c r="A1210" s="3" t="s">
        <v>1161</v>
      </c>
      <c r="B1210">
        <v>37.51</v>
      </c>
      <c r="C1210" t="str" cm="1">
        <f t="array" ref="C1210">_xlfn.IFS(B1210&lt;=18.5,  "Underweight",B1210&lt;=24.9,"Normal weight",B1210&lt;=29.9, "Over weight",B1210&gt;=30,"Obesity")</f>
        <v>Obesity</v>
      </c>
      <c r="D1210">
        <v>11.06</v>
      </c>
      <c r="E1210" t="str" cm="1">
        <f t="array" ref="E1210">_xlfn.IFS(D1210&lt;5.7,"Normal",D1210&lt;=6.4,"Prediabetes",D1210&gt;=6.5,"Diabetes")</f>
        <v>Diabetes</v>
      </c>
      <c r="F1210" s="3" t="s">
        <v>2379</v>
      </c>
      <c r="G1210" s="3" t="s">
        <v>2379</v>
      </c>
      <c r="H1210" s="3" t="s">
        <v>2379</v>
      </c>
      <c r="I1210" s="1">
        <v>2</v>
      </c>
      <c r="J1210">
        <v>2</v>
      </c>
      <c r="K1210" s="3" t="s">
        <v>2379</v>
      </c>
      <c r="P1210" s="3"/>
    </row>
    <row r="1211" spans="1:16" x14ac:dyDescent="0.25">
      <c r="A1211" s="3" t="s">
        <v>1160</v>
      </c>
      <c r="B1211">
        <v>25.745000000000001</v>
      </c>
      <c r="C1211" t="str" cm="1">
        <f t="array" ref="C1211">_xlfn.IFS(B1211&lt;=18.5,  "Underweight",B1211&lt;=24.9,"Normal weight",B1211&lt;=29.9, "Over weight",B1211&gt;=30,"Obesity")</f>
        <v>Over weight</v>
      </c>
      <c r="D1211">
        <v>6.11</v>
      </c>
      <c r="E1211" t="str" cm="1">
        <f t="array" ref="E1211">_xlfn.IFS(D1211&lt;5.7,"Normal",D1211&lt;=6.4,"Prediabetes",D1211&gt;=6.5,"Diabetes")</f>
        <v>Prediabetes</v>
      </c>
      <c r="F1211" s="3" t="s">
        <v>2382</v>
      </c>
      <c r="G1211" s="3" t="s">
        <v>2379</v>
      </c>
      <c r="H1211" s="3" t="s">
        <v>2379</v>
      </c>
      <c r="I1211" s="1" t="s">
        <v>2380</v>
      </c>
      <c r="J1211">
        <v>0</v>
      </c>
      <c r="K1211" s="3" t="s">
        <v>2379</v>
      </c>
      <c r="P1211" s="3"/>
    </row>
    <row r="1212" spans="1:16" x14ac:dyDescent="0.25">
      <c r="A1212" s="3" t="s">
        <v>1159</v>
      </c>
      <c r="B1212">
        <v>31.35</v>
      </c>
      <c r="C1212" t="str" cm="1">
        <f t="array" ref="C1212">_xlfn.IFS(B1212&lt;=18.5,  "Underweight",B1212&lt;=24.9,"Normal weight",B1212&lt;=29.9, "Over weight",B1212&gt;=30,"Obesity")</f>
        <v>Obesity</v>
      </c>
      <c r="D1212">
        <v>11.49</v>
      </c>
      <c r="E1212" t="str" cm="1">
        <f t="array" ref="E1212">_xlfn.IFS(D1212&lt;5.7,"Normal",D1212&lt;=6.4,"Prediabetes",D1212&gt;=6.5,"Diabetes")</f>
        <v>Diabetes</v>
      </c>
      <c r="F1212" s="3" t="s">
        <v>2379</v>
      </c>
      <c r="G1212" s="3" t="s">
        <v>2379</v>
      </c>
      <c r="H1212" s="3" t="s">
        <v>2379</v>
      </c>
      <c r="I1212" s="1">
        <v>2</v>
      </c>
      <c r="J1212">
        <v>2</v>
      </c>
      <c r="K1212" s="3" t="s">
        <v>2379</v>
      </c>
      <c r="P1212" s="3"/>
    </row>
    <row r="1213" spans="1:16" x14ac:dyDescent="0.25">
      <c r="A1213" s="3" t="s">
        <v>1158</v>
      </c>
      <c r="B1213">
        <v>29.83</v>
      </c>
      <c r="C1213" t="str" cm="1">
        <f t="array" ref="C1213">_xlfn.IFS(B1213&lt;=18.5,  "Underweight",B1213&lt;=24.9,"Normal weight",B1213&lt;=29.9, "Over weight",B1213&gt;=30,"Obesity")</f>
        <v>Over weight</v>
      </c>
      <c r="D1213">
        <v>8.68</v>
      </c>
      <c r="E1213" t="str" cm="1">
        <f t="array" ref="E1213">_xlfn.IFS(D1213&lt;5.7,"Normal",D1213&lt;=6.4,"Prediabetes",D1213&gt;=6.5,"Diabetes")</f>
        <v>Diabetes</v>
      </c>
      <c r="F1213" s="3" t="s">
        <v>2379</v>
      </c>
      <c r="G1213" s="3" t="s">
        <v>2379</v>
      </c>
      <c r="H1213" s="3" t="s">
        <v>2379</v>
      </c>
      <c r="I1213" s="1">
        <v>2</v>
      </c>
      <c r="J1213">
        <v>2</v>
      </c>
      <c r="K1213" s="3" t="s">
        <v>2379</v>
      </c>
      <c r="P1213" s="3"/>
    </row>
    <row r="1214" spans="1:16" x14ac:dyDescent="0.25">
      <c r="A1214" s="3" t="s">
        <v>1157</v>
      </c>
      <c r="B1214">
        <v>25.49</v>
      </c>
      <c r="C1214" t="str" cm="1">
        <f t="array" ref="C1214">_xlfn.IFS(B1214&lt;=18.5,  "Underweight",B1214&lt;=24.9,"Normal weight",B1214&lt;=29.9, "Over weight",B1214&gt;=30,"Obesity")</f>
        <v>Over weight</v>
      </c>
      <c r="D1214">
        <v>5.68</v>
      </c>
      <c r="E1214" t="str" cm="1">
        <f t="array" ref="E1214">_xlfn.IFS(D1214&lt;5.7,"Normal",D1214&lt;=6.4,"Prediabetes",D1214&gt;=6.5,"Diabetes")</f>
        <v>Normal</v>
      </c>
      <c r="F1214" s="3" t="s">
        <v>2382</v>
      </c>
      <c r="G1214" s="3" t="s">
        <v>2379</v>
      </c>
      <c r="H1214" s="3" t="s">
        <v>2382</v>
      </c>
      <c r="I1214" s="1">
        <v>1</v>
      </c>
      <c r="J1214">
        <v>1</v>
      </c>
      <c r="K1214" s="3" t="s">
        <v>2379</v>
      </c>
      <c r="P1214" s="3"/>
    </row>
    <row r="1215" spans="1:16" x14ac:dyDescent="0.25">
      <c r="A1215" s="3" t="s">
        <v>1156</v>
      </c>
      <c r="B1215">
        <v>34.1</v>
      </c>
      <c r="C1215" t="str" cm="1">
        <f t="array" ref="C1215">_xlfn.IFS(B1215&lt;=18.5,  "Underweight",B1215&lt;=24.9,"Normal weight",B1215&lt;=29.9, "Over weight",B1215&gt;=30,"Obesity")</f>
        <v>Obesity</v>
      </c>
      <c r="D1215">
        <v>8.4499999999999993</v>
      </c>
      <c r="E1215" t="str" cm="1">
        <f t="array" ref="E1215">_xlfn.IFS(D1215&lt;5.7,"Normal",D1215&lt;=6.4,"Prediabetes",D1215&gt;=6.5,"Diabetes")</f>
        <v>Diabetes</v>
      </c>
      <c r="F1215" s="3" t="s">
        <v>2379</v>
      </c>
      <c r="G1215" s="3" t="s">
        <v>2379</v>
      </c>
      <c r="H1215" s="3" t="s">
        <v>2379</v>
      </c>
      <c r="I1215" s="1" t="s">
        <v>2380</v>
      </c>
      <c r="J1215">
        <v>0</v>
      </c>
      <c r="K1215" s="3" t="s">
        <v>2379</v>
      </c>
      <c r="P1215" s="3"/>
    </row>
    <row r="1216" spans="1:16" x14ac:dyDescent="0.25">
      <c r="A1216" s="3" t="s">
        <v>1155</v>
      </c>
      <c r="B1216">
        <v>25.84</v>
      </c>
      <c r="C1216" t="str" cm="1">
        <f t="array" ref="C1216">_xlfn.IFS(B1216&lt;=18.5,  "Underweight",B1216&lt;=24.9,"Normal weight",B1216&lt;=29.9, "Over weight",B1216&gt;=30,"Obesity")</f>
        <v>Over weight</v>
      </c>
      <c r="D1216">
        <v>8.51</v>
      </c>
      <c r="E1216" t="str" cm="1">
        <f t="array" ref="E1216">_xlfn.IFS(D1216&lt;5.7,"Normal",D1216&lt;=6.4,"Prediabetes",D1216&gt;=6.5,"Diabetes")</f>
        <v>Diabetes</v>
      </c>
      <c r="F1216" s="3" t="s">
        <v>2379</v>
      </c>
      <c r="G1216" s="3" t="s">
        <v>2379</v>
      </c>
      <c r="H1216" s="3" t="s">
        <v>2379</v>
      </c>
      <c r="I1216" s="1">
        <v>2</v>
      </c>
      <c r="J1216">
        <v>2</v>
      </c>
      <c r="K1216" s="3" t="s">
        <v>2379</v>
      </c>
      <c r="P1216" s="3"/>
    </row>
    <row r="1217" spans="1:16" x14ac:dyDescent="0.25">
      <c r="A1217" s="3" t="s">
        <v>1154</v>
      </c>
      <c r="B1217">
        <v>20.6</v>
      </c>
      <c r="C1217" t="str" cm="1">
        <f t="array" ref="C1217">_xlfn.IFS(B1217&lt;=18.5,  "Underweight",B1217&lt;=24.9,"Normal weight",B1217&lt;=29.9, "Over weight",B1217&gt;=30,"Obesity")</f>
        <v>Normal weight</v>
      </c>
      <c r="D1217">
        <v>7.62</v>
      </c>
      <c r="E1217" t="str" cm="1">
        <f t="array" ref="E1217">_xlfn.IFS(D1217&lt;5.7,"Normal",D1217&lt;=6.4,"Prediabetes",D1217&gt;=6.5,"Diabetes")</f>
        <v>Diabetes</v>
      </c>
      <c r="F1217" s="3" t="s">
        <v>2379</v>
      </c>
      <c r="G1217" s="3" t="s">
        <v>2379</v>
      </c>
      <c r="H1217" s="3" t="s">
        <v>2379</v>
      </c>
      <c r="I1217" s="1" t="s">
        <v>2380</v>
      </c>
      <c r="J1217">
        <v>0</v>
      </c>
      <c r="K1217" s="3" t="s">
        <v>2379</v>
      </c>
      <c r="P1217" s="3"/>
    </row>
    <row r="1218" spans="1:16" x14ac:dyDescent="0.25">
      <c r="A1218" s="3" t="s">
        <v>1153</v>
      </c>
      <c r="B1218">
        <v>28.88</v>
      </c>
      <c r="C1218" t="str" cm="1">
        <f t="array" ref="C1218">_xlfn.IFS(B1218&lt;=18.5,  "Underweight",B1218&lt;=24.9,"Normal weight",B1218&lt;=29.9, "Over weight",B1218&gt;=30,"Obesity")</f>
        <v>Over weight</v>
      </c>
      <c r="D1218">
        <v>10.18</v>
      </c>
      <c r="E1218" t="str" cm="1">
        <f t="array" ref="E1218">_xlfn.IFS(D1218&lt;5.7,"Normal",D1218&lt;=6.4,"Prediabetes",D1218&gt;=6.5,"Diabetes")</f>
        <v>Diabetes</v>
      </c>
      <c r="F1218" s="3" t="s">
        <v>2379</v>
      </c>
      <c r="G1218" s="3" t="s">
        <v>2379</v>
      </c>
      <c r="H1218" s="3" t="s">
        <v>2379</v>
      </c>
      <c r="I1218" s="1" t="s">
        <v>2380</v>
      </c>
      <c r="J1218">
        <v>0</v>
      </c>
      <c r="K1218" s="3" t="s">
        <v>2379</v>
      </c>
      <c r="P1218" s="3"/>
    </row>
    <row r="1219" spans="1:16" x14ac:dyDescent="0.25">
      <c r="A1219" s="3" t="s">
        <v>1152</v>
      </c>
      <c r="B1219">
        <v>28.24</v>
      </c>
      <c r="C1219" t="str" cm="1">
        <f t="array" ref="C1219">_xlfn.IFS(B1219&lt;=18.5,  "Underweight",B1219&lt;=24.9,"Normal weight",B1219&lt;=29.9, "Over weight",B1219&gt;=30,"Obesity")</f>
        <v>Over weight</v>
      </c>
      <c r="D1219">
        <v>5.36</v>
      </c>
      <c r="E1219" t="str" cm="1">
        <f t="array" ref="E1219">_xlfn.IFS(D1219&lt;5.7,"Normal",D1219&lt;=6.4,"Prediabetes",D1219&gt;=6.5,"Diabetes")</f>
        <v>Normal</v>
      </c>
      <c r="F1219" s="3" t="s">
        <v>2379</v>
      </c>
      <c r="G1219" s="3" t="s">
        <v>2379</v>
      </c>
      <c r="H1219" s="3" t="s">
        <v>2379</v>
      </c>
      <c r="I1219" s="1" t="s">
        <v>2380</v>
      </c>
      <c r="J1219">
        <v>0</v>
      </c>
      <c r="K1219" s="3" t="s">
        <v>2379</v>
      </c>
      <c r="P1219" s="3"/>
    </row>
    <row r="1220" spans="1:16" x14ac:dyDescent="0.25">
      <c r="A1220" s="3" t="s">
        <v>1151</v>
      </c>
      <c r="B1220">
        <v>25.46</v>
      </c>
      <c r="C1220" t="str" cm="1">
        <f t="array" ref="C1220">_xlfn.IFS(B1220&lt;=18.5,  "Underweight",B1220&lt;=24.9,"Normal weight",B1220&lt;=29.9, "Over weight",B1220&gt;=30,"Obesity")</f>
        <v>Over weight</v>
      </c>
      <c r="D1220">
        <v>11.78</v>
      </c>
      <c r="E1220" t="str" cm="1">
        <f t="array" ref="E1220">_xlfn.IFS(D1220&lt;5.7,"Normal",D1220&lt;=6.4,"Prediabetes",D1220&gt;=6.5,"Diabetes")</f>
        <v>Diabetes</v>
      </c>
      <c r="F1220" s="3" t="s">
        <v>2382</v>
      </c>
      <c r="G1220" s="3" t="s">
        <v>2379</v>
      </c>
      <c r="H1220" s="3" t="s">
        <v>2379</v>
      </c>
      <c r="I1220" s="1">
        <v>1</v>
      </c>
      <c r="J1220">
        <v>1</v>
      </c>
      <c r="K1220" s="3" t="s">
        <v>2379</v>
      </c>
      <c r="P1220" s="3"/>
    </row>
    <row r="1221" spans="1:16" x14ac:dyDescent="0.25">
      <c r="A1221" s="3" t="s">
        <v>1150</v>
      </c>
      <c r="B1221">
        <v>29.64</v>
      </c>
      <c r="C1221" t="str" cm="1">
        <f t="array" ref="C1221">_xlfn.IFS(B1221&lt;=18.5,  "Underweight",B1221&lt;=24.9,"Normal weight",B1221&lt;=29.9, "Over weight",B1221&gt;=30,"Obesity")</f>
        <v>Over weight</v>
      </c>
      <c r="D1221">
        <v>10.82</v>
      </c>
      <c r="E1221" t="str" cm="1">
        <f t="array" ref="E1221">_xlfn.IFS(D1221&lt;5.7,"Normal",D1221&lt;=6.4,"Prediabetes",D1221&gt;=6.5,"Diabetes")</f>
        <v>Diabetes</v>
      </c>
      <c r="F1221" s="3" t="s">
        <v>2382</v>
      </c>
      <c r="G1221" s="3" t="s">
        <v>2379</v>
      </c>
      <c r="H1221" s="3" t="s">
        <v>2379</v>
      </c>
      <c r="I1221" s="1" t="s">
        <v>2380</v>
      </c>
      <c r="J1221">
        <v>0</v>
      </c>
      <c r="K1221" s="3" t="s">
        <v>2379</v>
      </c>
      <c r="P1221" s="3"/>
    </row>
    <row r="1222" spans="1:16" x14ac:dyDescent="0.25">
      <c r="A1222" s="3" t="s">
        <v>1149</v>
      </c>
      <c r="B1222">
        <v>31.27</v>
      </c>
      <c r="C1222" t="str" cm="1">
        <f t="array" ref="C1222">_xlfn.IFS(B1222&lt;=18.5,  "Underweight",B1222&lt;=24.9,"Normal weight",B1222&lt;=29.9, "Over weight",B1222&gt;=30,"Obesity")</f>
        <v>Obesity</v>
      </c>
      <c r="D1222">
        <v>7.73</v>
      </c>
      <c r="E1222" t="str" cm="1">
        <f t="array" ref="E1222">_xlfn.IFS(D1222&lt;5.7,"Normal",D1222&lt;=6.4,"Prediabetes",D1222&gt;=6.5,"Diabetes")</f>
        <v>Diabetes</v>
      </c>
      <c r="F1222" s="3" t="s">
        <v>2382</v>
      </c>
      <c r="G1222" s="3" t="s">
        <v>2379</v>
      </c>
      <c r="H1222" s="3" t="s">
        <v>2379</v>
      </c>
      <c r="I1222" s="1">
        <v>1</v>
      </c>
      <c r="J1222">
        <v>1</v>
      </c>
      <c r="K1222" s="3" t="s">
        <v>2379</v>
      </c>
      <c r="P1222" s="3"/>
    </row>
    <row r="1223" spans="1:16" x14ac:dyDescent="0.25">
      <c r="A1223" s="3" t="s">
        <v>1148</v>
      </c>
      <c r="B1223">
        <v>19.95</v>
      </c>
      <c r="C1223" t="str" cm="1">
        <f t="array" ref="C1223">_xlfn.IFS(B1223&lt;=18.5,  "Underweight",B1223&lt;=24.9,"Normal weight",B1223&lt;=29.9, "Over weight",B1223&gt;=30,"Obesity")</f>
        <v>Normal weight</v>
      </c>
      <c r="D1223">
        <v>6.24</v>
      </c>
      <c r="E1223" t="str" cm="1">
        <f t="array" ref="E1223">_xlfn.IFS(D1223&lt;5.7,"Normal",D1223&lt;=6.4,"Prediabetes",D1223&gt;=6.5,"Diabetes")</f>
        <v>Prediabetes</v>
      </c>
      <c r="F1223" s="3" t="s">
        <v>2382</v>
      </c>
      <c r="G1223" s="3" t="s">
        <v>2379</v>
      </c>
      <c r="H1223" s="3" t="s">
        <v>2379</v>
      </c>
      <c r="I1223" s="1" t="s">
        <v>2380</v>
      </c>
      <c r="J1223">
        <v>0</v>
      </c>
      <c r="K1223" s="3" t="s">
        <v>2379</v>
      </c>
      <c r="P1223" s="3"/>
    </row>
    <row r="1224" spans="1:16" x14ac:dyDescent="0.25">
      <c r="A1224" s="3" t="s">
        <v>1147</v>
      </c>
      <c r="B1224">
        <v>21.3</v>
      </c>
      <c r="C1224" t="str" cm="1">
        <f t="array" ref="C1224">_xlfn.IFS(B1224&lt;=18.5,  "Underweight",B1224&lt;=24.9,"Normal weight",B1224&lt;=29.9, "Over weight",B1224&gt;=30,"Obesity")</f>
        <v>Normal weight</v>
      </c>
      <c r="D1224">
        <v>10.42</v>
      </c>
      <c r="E1224" t="str" cm="1">
        <f t="array" ref="E1224">_xlfn.IFS(D1224&lt;5.7,"Normal",D1224&lt;=6.4,"Prediabetes",D1224&gt;=6.5,"Diabetes")</f>
        <v>Diabetes</v>
      </c>
      <c r="F1224" s="3" t="s">
        <v>2379</v>
      </c>
      <c r="G1224" s="3" t="s">
        <v>2379</v>
      </c>
      <c r="H1224" s="3" t="s">
        <v>2379</v>
      </c>
      <c r="I1224" s="1">
        <v>2</v>
      </c>
      <c r="J1224">
        <v>2</v>
      </c>
      <c r="K1224" s="3" t="s">
        <v>2379</v>
      </c>
      <c r="P1224" s="3"/>
    </row>
    <row r="1225" spans="1:16" x14ac:dyDescent="0.25">
      <c r="A1225" s="3" t="s">
        <v>1146</v>
      </c>
      <c r="B1225">
        <v>31.635000000000002</v>
      </c>
      <c r="C1225" t="str" cm="1">
        <f t="array" ref="C1225">_xlfn.IFS(B1225&lt;=18.5,  "Underweight",B1225&lt;=24.9,"Normal weight",B1225&lt;=29.9, "Over weight",B1225&gt;=30,"Obesity")</f>
        <v>Obesity</v>
      </c>
      <c r="D1225">
        <v>11.11</v>
      </c>
      <c r="E1225" t="str" cm="1">
        <f t="array" ref="E1225">_xlfn.IFS(D1225&lt;5.7,"Normal",D1225&lt;=6.4,"Prediabetes",D1225&gt;=6.5,"Diabetes")</f>
        <v>Diabetes</v>
      </c>
      <c r="F1225" s="3" t="s">
        <v>2379</v>
      </c>
      <c r="G1225" s="3" t="s">
        <v>2379</v>
      </c>
      <c r="H1225" s="3" t="s">
        <v>2379</v>
      </c>
      <c r="I1225" s="1" t="s">
        <v>2380</v>
      </c>
      <c r="J1225">
        <v>0</v>
      </c>
      <c r="K1225" s="3" t="s">
        <v>2379</v>
      </c>
      <c r="P1225" s="3"/>
    </row>
    <row r="1226" spans="1:16" x14ac:dyDescent="0.25">
      <c r="A1226" s="3" t="s">
        <v>1145</v>
      </c>
      <c r="B1226">
        <v>23.9</v>
      </c>
      <c r="C1226" t="str" cm="1">
        <f t="array" ref="C1226">_xlfn.IFS(B1226&lt;=18.5,  "Underweight",B1226&lt;=24.9,"Normal weight",B1226&lt;=29.9, "Over weight",B1226&gt;=30,"Obesity")</f>
        <v>Normal weight</v>
      </c>
      <c r="D1226">
        <v>7.67</v>
      </c>
      <c r="E1226" t="str" cm="1">
        <f t="array" ref="E1226">_xlfn.IFS(D1226&lt;5.7,"Normal",D1226&lt;=6.4,"Prediabetes",D1226&gt;=6.5,"Diabetes")</f>
        <v>Diabetes</v>
      </c>
      <c r="F1226" s="3" t="s">
        <v>2382</v>
      </c>
      <c r="G1226" s="3" t="s">
        <v>2379</v>
      </c>
      <c r="H1226" s="3" t="s">
        <v>2379</v>
      </c>
      <c r="I1226" s="1">
        <v>2</v>
      </c>
      <c r="J1226">
        <v>2</v>
      </c>
      <c r="K1226" s="3" t="s">
        <v>2379</v>
      </c>
      <c r="P1226" s="3"/>
    </row>
    <row r="1227" spans="1:16" x14ac:dyDescent="0.25">
      <c r="A1227" s="3" t="s">
        <v>1144</v>
      </c>
      <c r="B1227">
        <v>34.15</v>
      </c>
      <c r="C1227" t="str" cm="1">
        <f t="array" ref="C1227">_xlfn.IFS(B1227&lt;=18.5,  "Underweight",B1227&lt;=24.9,"Normal weight",B1227&lt;=29.9, "Over weight",B1227&gt;=30,"Obesity")</f>
        <v>Obesity</v>
      </c>
      <c r="D1227">
        <v>6.15</v>
      </c>
      <c r="E1227" t="str" cm="1">
        <f t="array" ref="E1227">_xlfn.IFS(D1227&lt;5.7,"Normal",D1227&lt;=6.4,"Prediabetes",D1227&gt;=6.5,"Diabetes")</f>
        <v>Prediabetes</v>
      </c>
      <c r="F1227" s="3" t="s">
        <v>2379</v>
      </c>
      <c r="G1227" s="3" t="s">
        <v>2379</v>
      </c>
      <c r="H1227" s="3" t="s">
        <v>2379</v>
      </c>
      <c r="I1227" s="1" t="s">
        <v>2380</v>
      </c>
      <c r="J1227">
        <v>0</v>
      </c>
      <c r="K1227" s="3" t="s">
        <v>2379</v>
      </c>
      <c r="P1227" s="3"/>
    </row>
    <row r="1228" spans="1:16" x14ac:dyDescent="0.25">
      <c r="A1228" s="3" t="s">
        <v>1143</v>
      </c>
      <c r="B1228">
        <v>28.71</v>
      </c>
      <c r="C1228" t="str" cm="1">
        <f t="array" ref="C1228">_xlfn.IFS(B1228&lt;=18.5,  "Underweight",B1228&lt;=24.9,"Normal weight",B1228&lt;=29.9, "Over weight",B1228&gt;=30,"Obesity")</f>
        <v>Over weight</v>
      </c>
      <c r="D1228">
        <v>5.71</v>
      </c>
      <c r="E1228" t="str" cm="1">
        <f t="array" ref="E1228">_xlfn.IFS(D1228&lt;5.7,"Normal",D1228&lt;=6.4,"Prediabetes",D1228&gt;=6.5,"Diabetes")</f>
        <v>Prediabetes</v>
      </c>
      <c r="F1228" s="3" t="s">
        <v>2379</v>
      </c>
      <c r="G1228" s="3" t="s">
        <v>2379</v>
      </c>
      <c r="H1228" s="3" t="s">
        <v>2379</v>
      </c>
      <c r="I1228" s="1" t="s">
        <v>2380</v>
      </c>
      <c r="J1228">
        <v>0</v>
      </c>
      <c r="K1228" s="3" t="s">
        <v>2379</v>
      </c>
      <c r="P1228" s="3"/>
    </row>
    <row r="1229" spans="1:16" x14ac:dyDescent="0.25">
      <c r="A1229" s="3" t="s">
        <v>1142</v>
      </c>
      <c r="B1229">
        <v>36.700000000000003</v>
      </c>
      <c r="C1229" t="str" cm="1">
        <f t="array" ref="C1229">_xlfn.IFS(B1229&lt;=18.5,  "Underweight",B1229&lt;=24.9,"Normal weight",B1229&lt;=29.9, "Over weight",B1229&gt;=30,"Obesity")</f>
        <v>Obesity</v>
      </c>
      <c r="D1229">
        <v>8.6999999999999993</v>
      </c>
      <c r="E1229" t="str" cm="1">
        <f t="array" ref="E1229">_xlfn.IFS(D1229&lt;5.7,"Normal",D1229&lt;=6.4,"Prediabetes",D1229&gt;=6.5,"Diabetes")</f>
        <v>Diabetes</v>
      </c>
      <c r="F1229" s="3" t="s">
        <v>2382</v>
      </c>
      <c r="G1229" s="3" t="s">
        <v>2379</v>
      </c>
      <c r="H1229" s="3" t="s">
        <v>2379</v>
      </c>
      <c r="I1229" s="1">
        <v>2</v>
      </c>
      <c r="J1229">
        <v>2</v>
      </c>
      <c r="K1229" s="3" t="s">
        <v>2379</v>
      </c>
      <c r="P1229" s="3"/>
    </row>
    <row r="1230" spans="1:16" x14ac:dyDescent="0.25">
      <c r="A1230" s="3" t="s">
        <v>1141</v>
      </c>
      <c r="B1230">
        <v>34.1</v>
      </c>
      <c r="C1230" t="str" cm="1">
        <f t="array" ref="C1230">_xlfn.IFS(B1230&lt;=18.5,  "Underweight",B1230&lt;=24.9,"Normal weight",B1230&lt;=29.9, "Over weight",B1230&gt;=30,"Obesity")</f>
        <v>Obesity</v>
      </c>
      <c r="D1230">
        <v>9.0399999999999991</v>
      </c>
      <c r="E1230" t="str" cm="1">
        <f t="array" ref="E1230">_xlfn.IFS(D1230&lt;5.7,"Normal",D1230&lt;=6.4,"Prediabetes",D1230&gt;=6.5,"Diabetes")</f>
        <v>Diabetes</v>
      </c>
      <c r="F1230" s="3" t="s">
        <v>2382</v>
      </c>
      <c r="G1230" s="3" t="s">
        <v>2379</v>
      </c>
      <c r="H1230" s="3" t="s">
        <v>2379</v>
      </c>
      <c r="I1230" s="1">
        <v>2</v>
      </c>
      <c r="J1230">
        <v>2</v>
      </c>
      <c r="K1230" s="3" t="s">
        <v>2379</v>
      </c>
      <c r="P1230" s="3"/>
    </row>
    <row r="1231" spans="1:16" x14ac:dyDescent="0.25">
      <c r="A1231" s="3" t="s">
        <v>1140</v>
      </c>
      <c r="B1231">
        <v>25.7</v>
      </c>
      <c r="C1231" t="str" cm="1">
        <f t="array" ref="C1231">_xlfn.IFS(B1231&lt;=18.5,  "Underweight",B1231&lt;=24.9,"Normal weight",B1231&lt;=29.9, "Over weight",B1231&gt;=30,"Obesity")</f>
        <v>Over weight</v>
      </c>
      <c r="D1231">
        <v>5.61</v>
      </c>
      <c r="E1231" t="str" cm="1">
        <f t="array" ref="E1231">_xlfn.IFS(D1231&lt;5.7,"Normal",D1231&lt;=6.4,"Prediabetes",D1231&gt;=6.5,"Diabetes")</f>
        <v>Normal</v>
      </c>
      <c r="F1231" s="3" t="s">
        <v>2379</v>
      </c>
      <c r="G1231" s="3" t="s">
        <v>2379</v>
      </c>
      <c r="H1231" s="3" t="s">
        <v>2379</v>
      </c>
      <c r="I1231" s="1" t="s">
        <v>2380</v>
      </c>
      <c r="J1231">
        <v>0</v>
      </c>
      <c r="K1231" s="3" t="s">
        <v>2379</v>
      </c>
      <c r="P1231" s="3"/>
    </row>
    <row r="1232" spans="1:16" x14ac:dyDescent="0.25">
      <c r="A1232" s="3" t="s">
        <v>1139</v>
      </c>
      <c r="B1232">
        <v>21.68</v>
      </c>
      <c r="C1232" t="str" cm="1">
        <f t="array" ref="C1232">_xlfn.IFS(B1232&lt;=18.5,  "Underweight",B1232&lt;=24.9,"Normal weight",B1232&lt;=29.9, "Over weight",B1232&gt;=30,"Obesity")</f>
        <v>Normal weight</v>
      </c>
      <c r="D1232">
        <v>8.1199999999999992</v>
      </c>
      <c r="E1232" t="str" cm="1">
        <f t="array" ref="E1232">_xlfn.IFS(D1232&lt;5.7,"Normal",D1232&lt;=6.4,"Prediabetes",D1232&gt;=6.5,"Diabetes")</f>
        <v>Diabetes</v>
      </c>
      <c r="F1232" s="3" t="s">
        <v>2379</v>
      </c>
      <c r="G1232" s="3" t="s">
        <v>2379</v>
      </c>
      <c r="H1232" s="3" t="s">
        <v>2379</v>
      </c>
      <c r="I1232" s="1" t="s">
        <v>2380</v>
      </c>
      <c r="J1232">
        <v>0</v>
      </c>
      <c r="K1232" s="3" t="s">
        <v>2379</v>
      </c>
      <c r="P1232" s="3"/>
    </row>
    <row r="1233" spans="1:16" x14ac:dyDescent="0.25">
      <c r="A1233" s="3" t="s">
        <v>1138</v>
      </c>
      <c r="B1233">
        <v>25.175000000000001</v>
      </c>
      <c r="C1233" t="str" cm="1">
        <f t="array" ref="C1233">_xlfn.IFS(B1233&lt;=18.5,  "Underweight",B1233&lt;=24.9,"Normal weight",B1233&lt;=29.9, "Over weight",B1233&gt;=30,"Obesity")</f>
        <v>Over weight</v>
      </c>
      <c r="D1233">
        <v>4.74</v>
      </c>
      <c r="E1233" t="str" cm="1">
        <f t="array" ref="E1233">_xlfn.IFS(D1233&lt;5.7,"Normal",D1233&lt;=6.4,"Prediabetes",D1233&gt;=6.5,"Diabetes")</f>
        <v>Normal</v>
      </c>
      <c r="F1233" s="3" t="s">
        <v>2379</v>
      </c>
      <c r="G1233" s="3" t="s">
        <v>2379</v>
      </c>
      <c r="H1233" s="3" t="s">
        <v>2379</v>
      </c>
      <c r="I1233" s="1" t="s">
        <v>2380</v>
      </c>
      <c r="J1233">
        <v>0</v>
      </c>
      <c r="K1233" s="3" t="s">
        <v>2379</v>
      </c>
      <c r="P1233" s="3"/>
    </row>
    <row r="1234" spans="1:16" x14ac:dyDescent="0.25">
      <c r="A1234" s="3" t="s">
        <v>1137</v>
      </c>
      <c r="B1234">
        <v>44.77</v>
      </c>
      <c r="C1234" t="str" cm="1">
        <f t="array" ref="C1234">_xlfn.IFS(B1234&lt;=18.5,  "Underweight",B1234&lt;=24.9,"Normal weight",B1234&lt;=29.9, "Over weight",B1234&gt;=30,"Obesity")</f>
        <v>Obesity</v>
      </c>
      <c r="D1234">
        <v>4.0599999999999996</v>
      </c>
      <c r="E1234" t="str" cm="1">
        <f t="array" ref="E1234">_xlfn.IFS(D1234&lt;5.7,"Normal",D1234&lt;=6.4,"Prediabetes",D1234&gt;=6.5,"Diabetes")</f>
        <v>Normal</v>
      </c>
      <c r="F1234" s="3" t="s">
        <v>2379</v>
      </c>
      <c r="G1234" s="3" t="s">
        <v>2379</v>
      </c>
      <c r="H1234" s="3" t="s">
        <v>2379</v>
      </c>
      <c r="I1234" s="1">
        <v>2</v>
      </c>
      <c r="J1234">
        <v>2</v>
      </c>
      <c r="K1234" s="3" t="s">
        <v>2379</v>
      </c>
      <c r="P1234" s="3"/>
    </row>
    <row r="1235" spans="1:16" x14ac:dyDescent="0.25">
      <c r="A1235" s="3" t="s">
        <v>1136</v>
      </c>
      <c r="B1235">
        <v>37.07</v>
      </c>
      <c r="C1235" t="str" cm="1">
        <f t="array" ref="C1235">_xlfn.IFS(B1235&lt;=18.5,  "Underweight",B1235&lt;=24.9,"Normal weight",B1235&lt;=29.9, "Over weight",B1235&gt;=30,"Obesity")</f>
        <v>Obesity</v>
      </c>
      <c r="D1235">
        <v>5.69</v>
      </c>
      <c r="E1235" t="str" cm="1">
        <f t="array" ref="E1235">_xlfn.IFS(D1235&lt;5.7,"Normal",D1235&lt;=6.4,"Prediabetes",D1235&gt;=6.5,"Diabetes")</f>
        <v>Normal</v>
      </c>
      <c r="F1235" s="3" t="s">
        <v>2379</v>
      </c>
      <c r="G1235" s="3" t="s">
        <v>2379</v>
      </c>
      <c r="H1235" s="3" t="s">
        <v>2379</v>
      </c>
      <c r="I1235" s="1">
        <v>2</v>
      </c>
      <c r="J1235">
        <v>2</v>
      </c>
      <c r="K1235" s="3" t="s">
        <v>2379</v>
      </c>
      <c r="P1235" s="3"/>
    </row>
    <row r="1236" spans="1:16" x14ac:dyDescent="0.25">
      <c r="A1236" s="3" t="s">
        <v>1135</v>
      </c>
      <c r="B1236">
        <v>39.799999999999997</v>
      </c>
      <c r="C1236" t="str" cm="1">
        <f t="array" ref="C1236">_xlfn.IFS(B1236&lt;=18.5,  "Underweight",B1236&lt;=24.9,"Normal weight",B1236&lt;=29.9, "Over weight",B1236&gt;=30,"Obesity")</f>
        <v>Obesity</v>
      </c>
      <c r="D1236">
        <v>5.66</v>
      </c>
      <c r="E1236" t="str" cm="1">
        <f t="array" ref="E1236">_xlfn.IFS(D1236&lt;5.7,"Normal",D1236&lt;=6.4,"Prediabetes",D1236&gt;=6.5,"Diabetes")</f>
        <v>Normal</v>
      </c>
      <c r="F1236" s="3" t="s">
        <v>2379</v>
      </c>
      <c r="G1236" s="3" t="s">
        <v>2379</v>
      </c>
      <c r="H1236" s="3" t="s">
        <v>2382</v>
      </c>
      <c r="I1236" s="1">
        <v>1</v>
      </c>
      <c r="J1236">
        <v>1</v>
      </c>
      <c r="K1236" s="3" t="s">
        <v>2379</v>
      </c>
      <c r="P1236" s="3"/>
    </row>
    <row r="1237" spans="1:16" x14ac:dyDescent="0.25">
      <c r="A1237" s="3" t="s">
        <v>1134</v>
      </c>
      <c r="B1237">
        <v>26.36</v>
      </c>
      <c r="C1237" t="str" cm="1">
        <f t="array" ref="C1237">_xlfn.IFS(B1237&lt;=18.5,  "Underweight",B1237&lt;=24.9,"Normal weight",B1237&lt;=29.9, "Over weight",B1237&gt;=30,"Obesity")</f>
        <v>Over weight</v>
      </c>
      <c r="D1237">
        <v>4.32</v>
      </c>
      <c r="E1237" t="str" cm="1">
        <f t="array" ref="E1237">_xlfn.IFS(D1237&lt;5.7,"Normal",D1237&lt;=6.4,"Prediabetes",D1237&gt;=6.5,"Diabetes")</f>
        <v>Normal</v>
      </c>
      <c r="F1237" s="3" t="s">
        <v>2379</v>
      </c>
      <c r="G1237" s="3" t="s">
        <v>2379</v>
      </c>
      <c r="H1237" s="3" t="s">
        <v>2382</v>
      </c>
      <c r="I1237" s="1">
        <v>1</v>
      </c>
      <c r="J1237">
        <v>1</v>
      </c>
      <c r="K1237" s="3" t="s">
        <v>2379</v>
      </c>
      <c r="P1237" s="3"/>
    </row>
    <row r="1238" spans="1:16" x14ac:dyDescent="0.25">
      <c r="A1238" s="3" t="s">
        <v>1133</v>
      </c>
      <c r="B1238">
        <v>29.925000000000001</v>
      </c>
      <c r="C1238" t="e" cm="1">
        <f t="array" ref="C1238">_xlfn.IFS(B1238&lt;=18.5,  "Underweight",B1238&lt;=24.9,"Normal weight",B1238&lt;=29.9, "Over weight",B1238&gt;=30,"Obesity")</f>
        <v>#N/A</v>
      </c>
      <c r="D1238">
        <v>8.2899999999999991</v>
      </c>
      <c r="E1238" t="str" cm="1">
        <f t="array" ref="E1238">_xlfn.IFS(D1238&lt;5.7,"Normal",D1238&lt;=6.4,"Prediabetes",D1238&gt;=6.5,"Diabetes")</f>
        <v>Diabetes</v>
      </c>
      <c r="F1238" s="3" t="s">
        <v>2379</v>
      </c>
      <c r="G1238" s="3" t="s">
        <v>2379</v>
      </c>
      <c r="H1238" s="3" t="s">
        <v>2379</v>
      </c>
      <c r="I1238" s="1">
        <v>2</v>
      </c>
      <c r="J1238">
        <v>2</v>
      </c>
      <c r="K1238" s="3" t="s">
        <v>2379</v>
      </c>
      <c r="P1238" s="3"/>
    </row>
    <row r="1239" spans="1:16" x14ac:dyDescent="0.25">
      <c r="A1239" s="3" t="s">
        <v>1132</v>
      </c>
      <c r="B1239">
        <v>37.29</v>
      </c>
      <c r="C1239" t="str" cm="1">
        <f t="array" ref="C1239">_xlfn.IFS(B1239&lt;=18.5,  "Underweight",B1239&lt;=24.9,"Normal weight",B1239&lt;=29.9, "Over weight",B1239&gt;=30,"Obesity")</f>
        <v>Obesity</v>
      </c>
      <c r="D1239">
        <v>10.46</v>
      </c>
      <c r="E1239" t="str" cm="1">
        <f t="array" ref="E1239">_xlfn.IFS(D1239&lt;5.7,"Normal",D1239&lt;=6.4,"Prediabetes",D1239&gt;=6.5,"Diabetes")</f>
        <v>Diabetes</v>
      </c>
      <c r="F1239" s="3" t="s">
        <v>2379</v>
      </c>
      <c r="G1239" s="3" t="s">
        <v>2379</v>
      </c>
      <c r="H1239" s="3" t="s">
        <v>2379</v>
      </c>
      <c r="I1239" s="1" t="s">
        <v>2380</v>
      </c>
      <c r="J1239">
        <v>0</v>
      </c>
      <c r="K1239" s="3" t="s">
        <v>2379</v>
      </c>
      <c r="P1239" s="3"/>
    </row>
    <row r="1240" spans="1:16" x14ac:dyDescent="0.25">
      <c r="A1240" s="3" t="s">
        <v>1131</v>
      </c>
      <c r="B1240">
        <v>30.2</v>
      </c>
      <c r="C1240" t="str" cm="1">
        <f t="array" ref="C1240">_xlfn.IFS(B1240&lt;=18.5,  "Underweight",B1240&lt;=24.9,"Normal weight",B1240&lt;=29.9, "Over weight",B1240&gt;=30,"Obesity")</f>
        <v>Obesity</v>
      </c>
      <c r="D1240">
        <v>11.96</v>
      </c>
      <c r="E1240" t="str" cm="1">
        <f t="array" ref="E1240">_xlfn.IFS(D1240&lt;5.7,"Normal",D1240&lt;=6.4,"Prediabetes",D1240&gt;=6.5,"Diabetes")</f>
        <v>Diabetes</v>
      </c>
      <c r="F1240" s="3" t="s">
        <v>2379</v>
      </c>
      <c r="G1240" s="3" t="s">
        <v>2379</v>
      </c>
      <c r="H1240" s="3" t="s">
        <v>2379</v>
      </c>
      <c r="I1240" s="1" t="s">
        <v>2380</v>
      </c>
      <c r="J1240">
        <v>0</v>
      </c>
      <c r="K1240" s="3" t="s">
        <v>2379</v>
      </c>
      <c r="P1240" s="3"/>
    </row>
    <row r="1241" spans="1:16" x14ac:dyDescent="0.25">
      <c r="A1241" s="3" t="s">
        <v>1130</v>
      </c>
      <c r="B1241">
        <v>24.225000000000001</v>
      </c>
      <c r="C1241" t="str" cm="1">
        <f t="array" ref="C1241">_xlfn.IFS(B1241&lt;=18.5,  "Underweight",B1241&lt;=24.9,"Normal weight",B1241&lt;=29.9, "Over weight",B1241&gt;=30,"Obesity")</f>
        <v>Normal weight</v>
      </c>
      <c r="D1241">
        <v>4.25</v>
      </c>
      <c r="E1241" t="str" cm="1">
        <f t="array" ref="E1241">_xlfn.IFS(D1241&lt;5.7,"Normal",D1241&lt;=6.4,"Prediabetes",D1241&gt;=6.5,"Diabetes")</f>
        <v>Normal</v>
      </c>
      <c r="F1241" s="3" t="s">
        <v>2382</v>
      </c>
      <c r="G1241" s="3" t="s">
        <v>2379</v>
      </c>
      <c r="H1241" s="3" t="s">
        <v>2382</v>
      </c>
      <c r="I1241" s="1">
        <v>1</v>
      </c>
      <c r="J1241">
        <v>1</v>
      </c>
      <c r="K1241" s="3" t="s">
        <v>2379</v>
      </c>
      <c r="P1241" s="3"/>
    </row>
    <row r="1242" spans="1:16" x14ac:dyDescent="0.25">
      <c r="A1242" s="3" t="s">
        <v>1129</v>
      </c>
      <c r="B1242">
        <v>31.445</v>
      </c>
      <c r="C1242" t="str" cm="1">
        <f t="array" ref="C1242">_xlfn.IFS(B1242&lt;=18.5,  "Underweight",B1242&lt;=24.9,"Normal weight",B1242&lt;=29.9, "Over weight",B1242&gt;=30,"Obesity")</f>
        <v>Obesity</v>
      </c>
      <c r="D1242">
        <v>8.33</v>
      </c>
      <c r="E1242" t="str" cm="1">
        <f t="array" ref="E1242">_xlfn.IFS(D1242&lt;5.7,"Normal",D1242&lt;=6.4,"Prediabetes",D1242&gt;=6.5,"Diabetes")</f>
        <v>Diabetes</v>
      </c>
      <c r="F1242" s="3" t="s">
        <v>2379</v>
      </c>
      <c r="G1242" s="3" t="s">
        <v>2379</v>
      </c>
      <c r="H1242" s="3" t="s">
        <v>2379</v>
      </c>
      <c r="I1242" s="1" t="s">
        <v>2380</v>
      </c>
      <c r="J1242">
        <v>0</v>
      </c>
      <c r="K1242" s="3" t="s">
        <v>2379</v>
      </c>
      <c r="P1242" s="3"/>
    </row>
    <row r="1243" spans="1:16" x14ac:dyDescent="0.25">
      <c r="A1243" s="3" t="s">
        <v>1128</v>
      </c>
      <c r="B1243">
        <v>38.880000000000003</v>
      </c>
      <c r="C1243" t="str" cm="1">
        <f t="array" ref="C1243">_xlfn.IFS(B1243&lt;=18.5,  "Underweight",B1243&lt;=24.9,"Normal weight",B1243&lt;=29.9, "Over weight",B1243&gt;=30,"Obesity")</f>
        <v>Obesity</v>
      </c>
      <c r="D1243">
        <v>4.29</v>
      </c>
      <c r="E1243" t="str" cm="1">
        <f t="array" ref="E1243">_xlfn.IFS(D1243&lt;5.7,"Normal",D1243&lt;=6.4,"Prediabetes",D1243&gt;=6.5,"Diabetes")</f>
        <v>Normal</v>
      </c>
      <c r="F1243" s="3" t="s">
        <v>2379</v>
      </c>
      <c r="G1243" s="3" t="s">
        <v>2379</v>
      </c>
      <c r="H1243" s="3" t="s">
        <v>2379</v>
      </c>
      <c r="I1243" s="1">
        <v>1</v>
      </c>
      <c r="J1243">
        <v>1</v>
      </c>
      <c r="K1243" s="3" t="s">
        <v>2379</v>
      </c>
      <c r="P1243" s="3"/>
    </row>
    <row r="1244" spans="1:16" x14ac:dyDescent="0.25">
      <c r="A1244" s="3" t="s">
        <v>1127</v>
      </c>
      <c r="B1244">
        <v>43.89</v>
      </c>
      <c r="C1244" t="str" cm="1">
        <f t="array" ref="C1244">_xlfn.IFS(B1244&lt;=18.5,  "Underweight",B1244&lt;=24.9,"Normal weight",B1244&lt;=29.9, "Over weight",B1244&gt;=30,"Obesity")</f>
        <v>Obesity</v>
      </c>
      <c r="D1244">
        <v>6.32</v>
      </c>
      <c r="E1244" t="str" cm="1">
        <f t="array" ref="E1244">_xlfn.IFS(D1244&lt;5.7,"Normal",D1244&lt;=6.4,"Prediabetes",D1244&gt;=6.5,"Diabetes")</f>
        <v>Prediabetes</v>
      </c>
      <c r="F1244" s="3" t="s">
        <v>2382</v>
      </c>
      <c r="G1244" s="3" t="s">
        <v>2379</v>
      </c>
      <c r="H1244" s="3" t="s">
        <v>2379</v>
      </c>
      <c r="I1244" s="1" t="s">
        <v>2380</v>
      </c>
      <c r="J1244">
        <v>0</v>
      </c>
      <c r="K1244" s="3" t="s">
        <v>2379</v>
      </c>
      <c r="P1244" s="3"/>
    </row>
    <row r="1245" spans="1:16" x14ac:dyDescent="0.25">
      <c r="A1245" s="3" t="s">
        <v>1126</v>
      </c>
      <c r="B1245">
        <v>25.6</v>
      </c>
      <c r="C1245" t="str" cm="1">
        <f t="array" ref="C1245">_xlfn.IFS(B1245&lt;=18.5,  "Underweight",B1245&lt;=24.9,"Normal weight",B1245&lt;=29.9, "Over weight",B1245&gt;=30,"Obesity")</f>
        <v>Over weight</v>
      </c>
      <c r="D1245">
        <v>5.65</v>
      </c>
      <c r="E1245" t="str" cm="1">
        <f t="array" ref="E1245">_xlfn.IFS(D1245&lt;5.7,"Normal",D1245&lt;=6.4,"Prediabetes",D1245&gt;=6.5,"Diabetes")</f>
        <v>Normal</v>
      </c>
      <c r="F1245" s="3" t="s">
        <v>2379</v>
      </c>
      <c r="G1245" s="3" t="s">
        <v>2379</v>
      </c>
      <c r="H1245" s="3" t="s">
        <v>2379</v>
      </c>
      <c r="I1245" s="1">
        <v>2</v>
      </c>
      <c r="J1245">
        <v>2</v>
      </c>
      <c r="K1245" s="3" t="s">
        <v>2379</v>
      </c>
      <c r="P1245" s="3"/>
    </row>
    <row r="1246" spans="1:16" x14ac:dyDescent="0.25">
      <c r="A1246" s="3" t="s">
        <v>1125</v>
      </c>
      <c r="B1246">
        <v>29.545000000000002</v>
      </c>
      <c r="C1246" t="str" cm="1">
        <f t="array" ref="C1246">_xlfn.IFS(B1246&lt;=18.5,  "Underweight",B1246&lt;=24.9,"Normal weight",B1246&lt;=29.9, "Over weight",B1246&gt;=30,"Obesity")</f>
        <v>Over weight</v>
      </c>
      <c r="D1246">
        <v>8.41</v>
      </c>
      <c r="E1246" t="str" cm="1">
        <f t="array" ref="E1246">_xlfn.IFS(D1246&lt;5.7,"Normal",D1246&lt;=6.4,"Prediabetes",D1246&gt;=6.5,"Diabetes")</f>
        <v>Diabetes</v>
      </c>
      <c r="F1246" s="3" t="s">
        <v>2382</v>
      </c>
      <c r="G1246" s="3" t="s">
        <v>2379</v>
      </c>
      <c r="H1246" s="3" t="s">
        <v>2379</v>
      </c>
      <c r="I1246" s="1">
        <v>1</v>
      </c>
      <c r="J1246">
        <v>1</v>
      </c>
      <c r="K1246" s="3" t="s">
        <v>2379</v>
      </c>
      <c r="P1246" s="3"/>
    </row>
    <row r="1247" spans="1:16" x14ac:dyDescent="0.25">
      <c r="A1247" s="3" t="s">
        <v>1124</v>
      </c>
      <c r="B1247">
        <v>23.25</v>
      </c>
      <c r="C1247" t="str" cm="1">
        <f t="array" ref="C1247">_xlfn.IFS(B1247&lt;=18.5,  "Underweight",B1247&lt;=24.9,"Normal weight",B1247&lt;=29.9, "Over weight",B1247&gt;=30,"Obesity")</f>
        <v>Normal weight</v>
      </c>
      <c r="D1247">
        <v>11.96</v>
      </c>
      <c r="E1247" t="str" cm="1">
        <f t="array" ref="E1247">_xlfn.IFS(D1247&lt;5.7,"Normal",D1247&lt;=6.4,"Prediabetes",D1247&gt;=6.5,"Diabetes")</f>
        <v>Diabetes</v>
      </c>
      <c r="F1247" s="3" t="s">
        <v>2382</v>
      </c>
      <c r="G1247" s="3" t="s">
        <v>2379</v>
      </c>
      <c r="H1247" s="3" t="s">
        <v>2379</v>
      </c>
      <c r="I1247" s="1" t="s">
        <v>2380</v>
      </c>
      <c r="J1247">
        <v>0</v>
      </c>
      <c r="K1247" s="3" t="s">
        <v>2379</v>
      </c>
      <c r="P1247" s="3"/>
    </row>
    <row r="1248" spans="1:16" x14ac:dyDescent="0.25">
      <c r="A1248" s="3" t="s">
        <v>1123</v>
      </c>
      <c r="B1248">
        <v>43.95</v>
      </c>
      <c r="C1248" t="str" cm="1">
        <f t="array" ref="C1248">_xlfn.IFS(B1248&lt;=18.5,  "Underweight",B1248&lt;=24.9,"Normal weight",B1248&lt;=29.9, "Over weight",B1248&gt;=30,"Obesity")</f>
        <v>Obesity</v>
      </c>
      <c r="D1248">
        <v>5.17</v>
      </c>
      <c r="E1248" t="str" cm="1">
        <f t="array" ref="E1248">_xlfn.IFS(D1248&lt;5.7,"Normal",D1248&lt;=6.4,"Prediabetes",D1248&gt;=6.5,"Diabetes")</f>
        <v>Normal</v>
      </c>
      <c r="F1248" s="3" t="s">
        <v>2382</v>
      </c>
      <c r="G1248" s="3" t="s">
        <v>2379</v>
      </c>
      <c r="H1248" s="3" t="s">
        <v>2382</v>
      </c>
      <c r="I1248" s="1">
        <v>1</v>
      </c>
      <c r="J1248">
        <v>1</v>
      </c>
      <c r="K1248" s="3" t="s">
        <v>2379</v>
      </c>
      <c r="P1248" s="3"/>
    </row>
    <row r="1249" spans="1:16" x14ac:dyDescent="0.25">
      <c r="A1249" s="3" t="s">
        <v>1122</v>
      </c>
      <c r="B1249">
        <v>21.85</v>
      </c>
      <c r="C1249" t="str" cm="1">
        <f t="array" ref="C1249">_xlfn.IFS(B1249&lt;=18.5,  "Underweight",B1249&lt;=24.9,"Normal weight",B1249&lt;=29.9, "Over weight",B1249&gt;=30,"Obesity")</f>
        <v>Normal weight</v>
      </c>
      <c r="D1249">
        <v>8.76</v>
      </c>
      <c r="E1249" t="str" cm="1">
        <f t="array" ref="E1249">_xlfn.IFS(D1249&lt;5.7,"Normal",D1249&lt;=6.4,"Prediabetes",D1249&gt;=6.5,"Diabetes")</f>
        <v>Diabetes</v>
      </c>
      <c r="F1249" s="3" t="s">
        <v>2379</v>
      </c>
      <c r="G1249" s="3" t="s">
        <v>2379</v>
      </c>
      <c r="H1249" s="3" t="s">
        <v>2379</v>
      </c>
      <c r="I1249" s="1" t="s">
        <v>2380</v>
      </c>
      <c r="J1249">
        <v>0</v>
      </c>
      <c r="K1249" s="3" t="s">
        <v>2379</v>
      </c>
      <c r="P1249" s="3"/>
    </row>
    <row r="1250" spans="1:16" x14ac:dyDescent="0.25">
      <c r="A1250" s="3" t="s">
        <v>1121</v>
      </c>
      <c r="B1250">
        <v>25.73</v>
      </c>
      <c r="C1250" t="str" cm="1">
        <f t="array" ref="C1250">_xlfn.IFS(B1250&lt;=18.5,  "Underweight",B1250&lt;=24.9,"Normal weight",B1250&lt;=29.9, "Over weight",B1250&gt;=30,"Obesity")</f>
        <v>Over weight</v>
      </c>
      <c r="D1250">
        <v>7.99</v>
      </c>
      <c r="E1250" t="str" cm="1">
        <f t="array" ref="E1250">_xlfn.IFS(D1250&lt;5.7,"Normal",D1250&lt;=6.4,"Prediabetes",D1250&gt;=6.5,"Diabetes")</f>
        <v>Diabetes</v>
      </c>
      <c r="F1250" s="3" t="s">
        <v>2379</v>
      </c>
      <c r="G1250" s="3" t="s">
        <v>2379</v>
      </c>
      <c r="H1250" s="3" t="s">
        <v>2379</v>
      </c>
      <c r="I1250" s="1">
        <v>2</v>
      </c>
      <c r="J1250">
        <v>2</v>
      </c>
      <c r="K1250" s="3" t="s">
        <v>2379</v>
      </c>
      <c r="P1250" s="3"/>
    </row>
    <row r="1251" spans="1:16" x14ac:dyDescent="0.25">
      <c r="A1251" s="3" t="s">
        <v>1120</v>
      </c>
      <c r="B1251">
        <v>32.229999999999997</v>
      </c>
      <c r="C1251" t="str" cm="1">
        <f t="array" ref="C1251">_xlfn.IFS(B1251&lt;=18.5,  "Underweight",B1251&lt;=24.9,"Normal weight",B1251&lt;=29.9, "Over weight",B1251&gt;=30,"Obesity")</f>
        <v>Obesity</v>
      </c>
      <c r="D1251">
        <v>8.59</v>
      </c>
      <c r="E1251" t="str" cm="1">
        <f t="array" ref="E1251">_xlfn.IFS(D1251&lt;5.7,"Normal",D1251&lt;=6.4,"Prediabetes",D1251&gt;=6.5,"Diabetes")</f>
        <v>Diabetes</v>
      </c>
      <c r="F1251" s="3" t="s">
        <v>2379</v>
      </c>
      <c r="G1251" s="3" t="s">
        <v>2379</v>
      </c>
      <c r="H1251" s="3" t="s">
        <v>2379</v>
      </c>
      <c r="I1251" s="1" t="s">
        <v>2380</v>
      </c>
      <c r="J1251">
        <v>0</v>
      </c>
      <c r="K1251" s="3" t="s">
        <v>2379</v>
      </c>
      <c r="P1251" s="3"/>
    </row>
    <row r="1252" spans="1:16" x14ac:dyDescent="0.25">
      <c r="A1252" s="3" t="s">
        <v>1119</v>
      </c>
      <c r="B1252">
        <v>32.204999999999998</v>
      </c>
      <c r="C1252" t="str" cm="1">
        <f t="array" ref="C1252">_xlfn.IFS(B1252&lt;=18.5,  "Underweight",B1252&lt;=24.9,"Normal weight",B1252&lt;=29.9, "Over weight",B1252&gt;=30,"Obesity")</f>
        <v>Obesity</v>
      </c>
      <c r="D1252">
        <v>6.14</v>
      </c>
      <c r="E1252" t="str" cm="1">
        <f t="array" ref="E1252">_xlfn.IFS(D1252&lt;5.7,"Normal",D1252&lt;=6.4,"Prediabetes",D1252&gt;=6.5,"Diabetes")</f>
        <v>Prediabetes</v>
      </c>
      <c r="F1252" s="3" t="s">
        <v>2379</v>
      </c>
      <c r="G1252" s="3" t="s">
        <v>2379</v>
      </c>
      <c r="H1252" s="3" t="s">
        <v>2379</v>
      </c>
      <c r="I1252" s="1">
        <v>2</v>
      </c>
      <c r="J1252">
        <v>2</v>
      </c>
      <c r="K1252" s="3" t="s">
        <v>2379</v>
      </c>
      <c r="P1252" s="3"/>
    </row>
    <row r="1253" spans="1:16" x14ac:dyDescent="0.25">
      <c r="A1253" s="3" t="s">
        <v>1118</v>
      </c>
      <c r="B1253">
        <v>26.41</v>
      </c>
      <c r="C1253" t="str" cm="1">
        <f t="array" ref="C1253">_xlfn.IFS(B1253&lt;=18.5,  "Underweight",B1253&lt;=24.9,"Normal weight",B1253&lt;=29.9, "Over weight",B1253&gt;=30,"Obesity")</f>
        <v>Over weight</v>
      </c>
      <c r="D1253">
        <v>4.08</v>
      </c>
      <c r="E1253" t="str" cm="1">
        <f t="array" ref="E1253">_xlfn.IFS(D1253&lt;5.7,"Normal",D1253&lt;=6.4,"Prediabetes",D1253&gt;=6.5,"Diabetes")</f>
        <v>Normal</v>
      </c>
      <c r="F1253" s="3" t="s">
        <v>2379</v>
      </c>
      <c r="G1253" s="3" t="s">
        <v>2379</v>
      </c>
      <c r="H1253" s="3" t="s">
        <v>2379</v>
      </c>
      <c r="I1253" s="1">
        <v>2</v>
      </c>
      <c r="J1253">
        <v>2</v>
      </c>
      <c r="K1253" s="3" t="s">
        <v>2379</v>
      </c>
      <c r="P1253" s="3"/>
    </row>
    <row r="1254" spans="1:16" x14ac:dyDescent="0.25">
      <c r="A1254" s="3" t="s">
        <v>1117</v>
      </c>
      <c r="B1254">
        <v>30.2</v>
      </c>
      <c r="C1254" t="str" cm="1">
        <f t="array" ref="C1254">_xlfn.IFS(B1254&lt;=18.5,  "Underweight",B1254&lt;=24.9,"Normal weight",B1254&lt;=29.9, "Over weight",B1254&gt;=30,"Obesity")</f>
        <v>Obesity</v>
      </c>
      <c r="D1254">
        <v>6.25</v>
      </c>
      <c r="E1254" t="str" cm="1">
        <f t="array" ref="E1254">_xlfn.IFS(D1254&lt;5.7,"Normal",D1254&lt;=6.4,"Prediabetes",D1254&gt;=6.5,"Diabetes")</f>
        <v>Prediabetes</v>
      </c>
      <c r="F1254" s="3" t="s">
        <v>2382</v>
      </c>
      <c r="G1254" s="3" t="s">
        <v>2379</v>
      </c>
      <c r="H1254" s="3" t="s">
        <v>2379</v>
      </c>
      <c r="I1254" s="1" t="s">
        <v>2380</v>
      </c>
      <c r="J1254">
        <v>0</v>
      </c>
      <c r="K1254" s="3" t="s">
        <v>2379</v>
      </c>
      <c r="P1254" s="3"/>
    </row>
    <row r="1255" spans="1:16" x14ac:dyDescent="0.25">
      <c r="A1255" s="3" t="s">
        <v>1116</v>
      </c>
      <c r="B1255">
        <v>31.26</v>
      </c>
      <c r="C1255" t="str" cm="1">
        <f t="array" ref="C1255">_xlfn.IFS(B1255&lt;=18.5,  "Underweight",B1255&lt;=24.9,"Normal weight",B1255&lt;=29.9, "Over weight",B1255&gt;=30,"Obesity")</f>
        <v>Obesity</v>
      </c>
      <c r="D1255">
        <v>5.94</v>
      </c>
      <c r="E1255" t="str" cm="1">
        <f t="array" ref="E1255">_xlfn.IFS(D1255&lt;5.7,"Normal",D1255&lt;=6.4,"Prediabetes",D1255&gt;=6.5,"Diabetes")</f>
        <v>Prediabetes</v>
      </c>
      <c r="F1255" s="3" t="s">
        <v>2382</v>
      </c>
      <c r="G1255" s="3" t="s">
        <v>2379</v>
      </c>
      <c r="H1255" s="3" t="s">
        <v>2379</v>
      </c>
      <c r="I1255" s="1">
        <v>1</v>
      </c>
      <c r="J1255">
        <v>1</v>
      </c>
      <c r="K1255" s="3" t="s">
        <v>2379</v>
      </c>
      <c r="P1255" s="3"/>
    </row>
    <row r="1256" spans="1:16" x14ac:dyDescent="0.25">
      <c r="A1256" s="3" t="s">
        <v>1115</v>
      </c>
      <c r="B1256">
        <v>33.725000000000001</v>
      </c>
      <c r="C1256" t="str" cm="1">
        <f t="array" ref="C1256">_xlfn.IFS(B1256&lt;=18.5,  "Underweight",B1256&lt;=24.9,"Normal weight",B1256&lt;=29.9, "Over weight",B1256&gt;=30,"Obesity")</f>
        <v>Obesity</v>
      </c>
      <c r="D1256">
        <v>6.45</v>
      </c>
      <c r="E1256" t="e" cm="1">
        <f t="array" ref="E1256">_xlfn.IFS(D1256&lt;5.7,"Normal",D1256&lt;=6.4,"Prediabetes",D1256&gt;=6.5,"Diabetes")</f>
        <v>#N/A</v>
      </c>
      <c r="F1256" s="3" t="s">
        <v>2382</v>
      </c>
      <c r="G1256" s="3" t="s">
        <v>2379</v>
      </c>
      <c r="H1256" s="3" t="s">
        <v>2379</v>
      </c>
      <c r="I1256" s="1" t="s">
        <v>2380</v>
      </c>
      <c r="J1256">
        <v>0</v>
      </c>
      <c r="K1256" s="3" t="s">
        <v>2379</v>
      </c>
      <c r="P1256" s="3"/>
    </row>
    <row r="1257" spans="1:16" x14ac:dyDescent="0.25">
      <c r="A1257" s="3" t="s">
        <v>1114</v>
      </c>
      <c r="B1257">
        <v>28.9</v>
      </c>
      <c r="C1257" t="str" cm="1">
        <f t="array" ref="C1257">_xlfn.IFS(B1257&lt;=18.5,  "Underweight",B1257&lt;=24.9,"Normal weight",B1257&lt;=29.9, "Over weight",B1257&gt;=30,"Obesity")</f>
        <v>Over weight</v>
      </c>
      <c r="D1257">
        <v>5.74</v>
      </c>
      <c r="E1257" t="str" cm="1">
        <f t="array" ref="E1257">_xlfn.IFS(D1257&lt;5.7,"Normal",D1257&lt;=6.4,"Prediabetes",D1257&gt;=6.5,"Diabetes")</f>
        <v>Prediabetes</v>
      </c>
      <c r="F1257" s="3" t="s">
        <v>2382</v>
      </c>
      <c r="G1257" s="3" t="s">
        <v>2379</v>
      </c>
      <c r="H1257" s="3" t="s">
        <v>2379</v>
      </c>
      <c r="I1257" s="1" t="s">
        <v>2380</v>
      </c>
      <c r="J1257">
        <v>0</v>
      </c>
      <c r="K1257" s="3" t="s">
        <v>2379</v>
      </c>
      <c r="P1257" s="3"/>
    </row>
    <row r="1258" spans="1:16" x14ac:dyDescent="0.25">
      <c r="A1258" s="3" t="s">
        <v>1113</v>
      </c>
      <c r="B1258">
        <v>45.69</v>
      </c>
      <c r="C1258" t="str" cm="1">
        <f t="array" ref="C1258">_xlfn.IFS(B1258&lt;=18.5,  "Underweight",B1258&lt;=24.9,"Normal weight",B1258&lt;=29.9, "Over weight",B1258&gt;=30,"Obesity")</f>
        <v>Obesity</v>
      </c>
      <c r="D1258">
        <v>4.43</v>
      </c>
      <c r="E1258" t="str" cm="1">
        <f t="array" ref="E1258">_xlfn.IFS(D1258&lt;5.7,"Normal",D1258&lt;=6.4,"Prediabetes",D1258&gt;=6.5,"Diabetes")</f>
        <v>Normal</v>
      </c>
      <c r="F1258" s="3" t="s">
        <v>2382</v>
      </c>
      <c r="G1258" s="3" t="s">
        <v>2379</v>
      </c>
      <c r="H1258" s="3" t="s">
        <v>2379</v>
      </c>
      <c r="I1258" s="1" t="s">
        <v>2380</v>
      </c>
      <c r="J1258">
        <v>0</v>
      </c>
      <c r="K1258" s="3" t="s">
        <v>2379</v>
      </c>
      <c r="P1258" s="3"/>
    </row>
    <row r="1259" spans="1:16" x14ac:dyDescent="0.25">
      <c r="A1259" s="3" t="s">
        <v>1112</v>
      </c>
      <c r="B1259">
        <v>21.03</v>
      </c>
      <c r="C1259" t="str" cm="1">
        <f t="array" ref="C1259">_xlfn.IFS(B1259&lt;=18.5,  "Underweight",B1259&lt;=24.9,"Normal weight",B1259&lt;=29.9, "Over weight",B1259&gt;=30,"Obesity")</f>
        <v>Normal weight</v>
      </c>
      <c r="D1259">
        <v>6.5</v>
      </c>
      <c r="E1259" t="str" cm="1">
        <f t="array" ref="E1259">_xlfn.IFS(D1259&lt;5.7,"Normal",D1259&lt;=6.4,"Prediabetes",D1259&gt;=6.5,"Diabetes")</f>
        <v>Diabetes</v>
      </c>
      <c r="F1259" s="3" t="s">
        <v>2379</v>
      </c>
      <c r="G1259" s="3" t="s">
        <v>2379</v>
      </c>
      <c r="H1259" s="3" t="s">
        <v>2379</v>
      </c>
      <c r="I1259" s="1" t="s">
        <v>2380</v>
      </c>
      <c r="J1259">
        <v>0</v>
      </c>
      <c r="K1259" s="3" t="s">
        <v>2379</v>
      </c>
      <c r="P1259" s="3"/>
    </row>
    <row r="1260" spans="1:16" x14ac:dyDescent="0.25">
      <c r="A1260" s="3" t="s">
        <v>1111</v>
      </c>
      <c r="B1260">
        <v>37</v>
      </c>
      <c r="C1260" t="str" cm="1">
        <f t="array" ref="C1260">_xlfn.IFS(B1260&lt;=18.5,  "Underweight",B1260&lt;=24.9,"Normal weight",B1260&lt;=29.9, "Over weight",B1260&gt;=30,"Obesity")</f>
        <v>Obesity</v>
      </c>
      <c r="D1260">
        <v>8.75</v>
      </c>
      <c r="E1260" t="str" cm="1">
        <f t="array" ref="E1260">_xlfn.IFS(D1260&lt;5.7,"Normal",D1260&lt;=6.4,"Prediabetes",D1260&gt;=6.5,"Diabetes")</f>
        <v>Diabetes</v>
      </c>
      <c r="F1260" s="3" t="s">
        <v>2379</v>
      </c>
      <c r="G1260" s="3" t="s">
        <v>2379</v>
      </c>
      <c r="H1260" s="3" t="s">
        <v>2379</v>
      </c>
      <c r="I1260" s="1" t="s">
        <v>2380</v>
      </c>
      <c r="J1260">
        <v>0</v>
      </c>
      <c r="K1260" s="3" t="s">
        <v>2379</v>
      </c>
      <c r="P1260" s="3"/>
    </row>
    <row r="1261" spans="1:16" x14ac:dyDescent="0.25">
      <c r="A1261" s="3" t="s">
        <v>1110</v>
      </c>
      <c r="B1261">
        <v>25.4</v>
      </c>
      <c r="C1261" t="str" cm="1">
        <f t="array" ref="C1261">_xlfn.IFS(B1261&lt;=18.5,  "Underweight",B1261&lt;=24.9,"Normal weight",B1261&lt;=29.9, "Over weight",B1261&gt;=30,"Obesity")</f>
        <v>Over weight</v>
      </c>
      <c r="D1261">
        <v>11.96</v>
      </c>
      <c r="E1261" t="str" cm="1">
        <f t="array" ref="E1261">_xlfn.IFS(D1261&lt;5.7,"Normal",D1261&lt;=6.4,"Prediabetes",D1261&gt;=6.5,"Diabetes")</f>
        <v>Diabetes</v>
      </c>
      <c r="F1261" s="3" t="s">
        <v>2379</v>
      </c>
      <c r="G1261" s="3" t="s">
        <v>2379</v>
      </c>
      <c r="H1261" s="3" t="s">
        <v>2379</v>
      </c>
      <c r="I1261" s="1" t="s">
        <v>2380</v>
      </c>
      <c r="J1261">
        <v>0</v>
      </c>
      <c r="K1261" s="3" t="s">
        <v>2379</v>
      </c>
      <c r="P1261" s="3"/>
    </row>
    <row r="1262" spans="1:16" x14ac:dyDescent="0.25">
      <c r="A1262" s="3" t="s">
        <v>1109</v>
      </c>
      <c r="B1262">
        <v>32.299999999999997</v>
      </c>
      <c r="C1262" t="str" cm="1">
        <f t="array" ref="C1262">_xlfn.IFS(B1262&lt;=18.5,  "Underweight",B1262&lt;=24.9,"Normal weight",B1262&lt;=29.9, "Over weight",B1262&gt;=30,"Obesity")</f>
        <v>Obesity</v>
      </c>
      <c r="D1262">
        <v>10.54</v>
      </c>
      <c r="E1262" t="str" cm="1">
        <f t="array" ref="E1262">_xlfn.IFS(D1262&lt;5.7,"Normal",D1262&lt;=6.4,"Prediabetes",D1262&gt;=6.5,"Diabetes")</f>
        <v>Diabetes</v>
      </c>
      <c r="F1262" s="3" t="s">
        <v>2379</v>
      </c>
      <c r="G1262" s="3" t="s">
        <v>2379</v>
      </c>
      <c r="H1262" s="3" t="s">
        <v>2379</v>
      </c>
      <c r="I1262" s="1" t="s">
        <v>2380</v>
      </c>
      <c r="J1262">
        <v>0</v>
      </c>
      <c r="K1262" s="3" t="s">
        <v>2379</v>
      </c>
      <c r="P1262" s="3"/>
    </row>
    <row r="1263" spans="1:16" x14ac:dyDescent="0.25">
      <c r="A1263" s="3" t="s">
        <v>1108</v>
      </c>
      <c r="B1263">
        <v>23.94</v>
      </c>
      <c r="C1263" t="str" cm="1">
        <f t="array" ref="C1263">_xlfn.IFS(B1263&lt;=18.5,  "Underweight",B1263&lt;=24.9,"Normal weight",B1263&lt;=29.9, "Over weight",B1263&gt;=30,"Obesity")</f>
        <v>Normal weight</v>
      </c>
      <c r="D1263">
        <v>4.54</v>
      </c>
      <c r="E1263" t="str" cm="1">
        <f t="array" ref="E1263">_xlfn.IFS(D1263&lt;5.7,"Normal",D1263&lt;=6.4,"Prediabetes",D1263&gt;=6.5,"Diabetes")</f>
        <v>Normal</v>
      </c>
      <c r="F1263" s="3" t="s">
        <v>2382</v>
      </c>
      <c r="G1263" s="3" t="s">
        <v>2379</v>
      </c>
      <c r="H1263" s="3" t="s">
        <v>2382</v>
      </c>
      <c r="I1263" s="1">
        <v>1</v>
      </c>
      <c r="J1263">
        <v>1</v>
      </c>
      <c r="K1263" s="3" t="s">
        <v>2379</v>
      </c>
      <c r="P1263" s="3"/>
    </row>
    <row r="1264" spans="1:16" x14ac:dyDescent="0.25">
      <c r="A1264" s="3" t="s">
        <v>1107</v>
      </c>
      <c r="B1264">
        <v>46.4</v>
      </c>
      <c r="C1264" t="str" cm="1">
        <f t="array" ref="C1264">_xlfn.IFS(B1264&lt;=18.5,  "Underweight",B1264&lt;=24.9,"Normal weight",B1264&lt;=29.9, "Over weight",B1264&gt;=30,"Obesity")</f>
        <v>Obesity</v>
      </c>
      <c r="D1264">
        <v>5.71</v>
      </c>
      <c r="E1264" t="str" cm="1">
        <f t="array" ref="E1264">_xlfn.IFS(D1264&lt;5.7,"Normal",D1264&lt;=6.4,"Prediabetes",D1264&gt;=6.5,"Diabetes")</f>
        <v>Prediabetes</v>
      </c>
      <c r="F1264" s="3" t="s">
        <v>2379</v>
      </c>
      <c r="G1264" s="3" t="s">
        <v>2379</v>
      </c>
      <c r="H1264" s="3" t="s">
        <v>2379</v>
      </c>
      <c r="I1264" s="1" t="s">
        <v>2380</v>
      </c>
      <c r="J1264">
        <v>0</v>
      </c>
      <c r="K1264" s="3" t="s">
        <v>2379</v>
      </c>
      <c r="P1264" s="3"/>
    </row>
    <row r="1265" spans="1:16" x14ac:dyDescent="0.25">
      <c r="A1265" s="3" t="s">
        <v>1106</v>
      </c>
      <c r="B1265">
        <v>40.375</v>
      </c>
      <c r="C1265" t="str" cm="1">
        <f t="array" ref="C1265">_xlfn.IFS(B1265&lt;=18.5,  "Underweight",B1265&lt;=24.9,"Normal weight",B1265&lt;=29.9, "Over weight",B1265&gt;=30,"Obesity")</f>
        <v>Obesity</v>
      </c>
      <c r="D1265">
        <v>6.25</v>
      </c>
      <c r="E1265" t="str" cm="1">
        <f t="array" ref="E1265">_xlfn.IFS(D1265&lt;5.7,"Normal",D1265&lt;=6.4,"Prediabetes",D1265&gt;=6.5,"Diabetes")</f>
        <v>Prediabetes</v>
      </c>
      <c r="F1265" s="3" t="s">
        <v>2382</v>
      </c>
      <c r="G1265" s="3" t="s">
        <v>2379</v>
      </c>
      <c r="H1265" s="3" t="s">
        <v>2379</v>
      </c>
      <c r="I1265" s="1" t="s">
        <v>2380</v>
      </c>
      <c r="J1265">
        <v>0</v>
      </c>
      <c r="K1265" s="3" t="s">
        <v>2379</v>
      </c>
      <c r="P1265" s="3"/>
    </row>
    <row r="1266" spans="1:16" x14ac:dyDescent="0.25">
      <c r="A1266" s="3" t="s">
        <v>1105</v>
      </c>
      <c r="B1266">
        <v>28.7</v>
      </c>
      <c r="C1266" t="str" cm="1">
        <f t="array" ref="C1266">_xlfn.IFS(B1266&lt;=18.5,  "Underweight",B1266&lt;=24.9,"Normal weight",B1266&lt;=29.9, "Over weight",B1266&gt;=30,"Obesity")</f>
        <v>Over weight</v>
      </c>
      <c r="D1266">
        <v>9.4700000000000006</v>
      </c>
      <c r="E1266" t="str" cm="1">
        <f t="array" ref="E1266">_xlfn.IFS(D1266&lt;5.7,"Normal",D1266&lt;=6.4,"Prediabetes",D1266&gt;=6.5,"Diabetes")</f>
        <v>Diabetes</v>
      </c>
      <c r="F1266" s="3" t="s">
        <v>2379</v>
      </c>
      <c r="G1266" s="3" t="s">
        <v>2379</v>
      </c>
      <c r="H1266" s="3" t="s">
        <v>2379</v>
      </c>
      <c r="I1266" s="1">
        <v>2</v>
      </c>
      <c r="J1266">
        <v>2</v>
      </c>
      <c r="K1266" s="3" t="s">
        <v>2379</v>
      </c>
      <c r="P1266" s="3"/>
    </row>
    <row r="1267" spans="1:16" x14ac:dyDescent="0.25">
      <c r="A1267" s="3" t="s">
        <v>1104</v>
      </c>
      <c r="B1267">
        <v>26.63</v>
      </c>
      <c r="C1267" t="str" cm="1">
        <f t="array" ref="C1267">_xlfn.IFS(B1267&lt;=18.5,  "Underweight",B1267&lt;=24.9,"Normal weight",B1267&lt;=29.9, "Over weight",B1267&gt;=30,"Obesity")</f>
        <v>Over weight</v>
      </c>
      <c r="D1267">
        <v>5.7</v>
      </c>
      <c r="E1267" t="str" cm="1">
        <f t="array" ref="E1267">_xlfn.IFS(D1267&lt;5.7,"Normal",D1267&lt;=6.4,"Prediabetes",D1267&gt;=6.5,"Diabetes")</f>
        <v>Prediabetes</v>
      </c>
      <c r="F1267" s="3" t="s">
        <v>2379</v>
      </c>
      <c r="G1267" s="3" t="s">
        <v>2379</v>
      </c>
      <c r="H1267" s="3" t="s">
        <v>2379</v>
      </c>
      <c r="I1267" s="1" t="s">
        <v>2380</v>
      </c>
      <c r="J1267">
        <v>0</v>
      </c>
      <c r="K1267" s="3" t="s">
        <v>2379</v>
      </c>
      <c r="P1267" s="3"/>
    </row>
    <row r="1268" spans="1:16" x14ac:dyDescent="0.25">
      <c r="A1268" s="3" t="s">
        <v>1103</v>
      </c>
      <c r="B1268">
        <v>22.515000000000001</v>
      </c>
      <c r="C1268" t="str" cm="1">
        <f t="array" ref="C1268">_xlfn.IFS(B1268&lt;=18.5,  "Underweight",B1268&lt;=24.9,"Normal weight",B1268&lt;=29.9, "Over weight",B1268&gt;=30,"Obesity")</f>
        <v>Normal weight</v>
      </c>
      <c r="D1268">
        <v>11.18</v>
      </c>
      <c r="E1268" t="str" cm="1">
        <f t="array" ref="E1268">_xlfn.IFS(D1268&lt;5.7,"Normal",D1268&lt;=6.4,"Prediabetes",D1268&gt;=6.5,"Diabetes")</f>
        <v>Diabetes</v>
      </c>
      <c r="F1268" s="3" t="s">
        <v>2379</v>
      </c>
      <c r="G1268" s="3" t="s">
        <v>2379</v>
      </c>
      <c r="H1268" s="3" t="s">
        <v>2379</v>
      </c>
      <c r="I1268" s="1">
        <v>2</v>
      </c>
      <c r="J1268">
        <v>2</v>
      </c>
      <c r="K1268" s="3" t="s">
        <v>2379</v>
      </c>
      <c r="P1268" s="3"/>
    </row>
    <row r="1269" spans="1:16" x14ac:dyDescent="0.25">
      <c r="A1269" s="3" t="s">
        <v>1102</v>
      </c>
      <c r="B1269">
        <v>36.575000000000003</v>
      </c>
      <c r="C1269" t="str" cm="1">
        <f t="array" ref="C1269">_xlfn.IFS(B1269&lt;=18.5,  "Underweight",B1269&lt;=24.9,"Normal weight",B1269&lt;=29.9, "Over weight",B1269&gt;=30,"Obesity")</f>
        <v>Obesity</v>
      </c>
      <c r="D1269">
        <v>10.98</v>
      </c>
      <c r="E1269" t="str" cm="1">
        <f t="array" ref="E1269">_xlfn.IFS(D1269&lt;5.7,"Normal",D1269&lt;=6.4,"Prediabetes",D1269&gt;=6.5,"Diabetes")</f>
        <v>Diabetes</v>
      </c>
      <c r="F1269" s="3" t="s">
        <v>2379</v>
      </c>
      <c r="G1269" s="3" t="s">
        <v>2379</v>
      </c>
      <c r="H1269" s="3" t="s">
        <v>2379</v>
      </c>
      <c r="I1269" s="1" t="s">
        <v>2380</v>
      </c>
      <c r="J1269">
        <v>0</v>
      </c>
      <c r="K1269" s="3" t="s">
        <v>2379</v>
      </c>
      <c r="P1269" s="3"/>
    </row>
    <row r="1270" spans="1:16" x14ac:dyDescent="0.25">
      <c r="A1270" s="3" t="s">
        <v>1101</v>
      </c>
      <c r="B1270">
        <v>23.66</v>
      </c>
      <c r="C1270" t="str" cm="1">
        <f t="array" ref="C1270">_xlfn.IFS(B1270&lt;=18.5,  "Underweight",B1270&lt;=24.9,"Normal weight",B1270&lt;=29.9, "Over weight",B1270&gt;=30,"Obesity")</f>
        <v>Normal weight</v>
      </c>
      <c r="D1270">
        <v>5.1100000000000003</v>
      </c>
      <c r="E1270" t="str" cm="1">
        <f t="array" ref="E1270">_xlfn.IFS(D1270&lt;5.7,"Normal",D1270&lt;=6.4,"Prediabetes",D1270&gt;=6.5,"Diabetes")</f>
        <v>Normal</v>
      </c>
      <c r="F1270" s="3" t="s">
        <v>2382</v>
      </c>
      <c r="G1270" s="3" t="s">
        <v>2379</v>
      </c>
      <c r="H1270" s="3" t="s">
        <v>2382</v>
      </c>
      <c r="I1270" s="1">
        <v>1</v>
      </c>
      <c r="J1270">
        <v>1</v>
      </c>
      <c r="K1270" s="3" t="s">
        <v>2379</v>
      </c>
      <c r="P1270" s="3"/>
    </row>
    <row r="1271" spans="1:16" x14ac:dyDescent="0.25">
      <c r="A1271" s="3" t="s">
        <v>1100</v>
      </c>
      <c r="B1271">
        <v>18.62</v>
      </c>
      <c r="C1271" t="str" cm="1">
        <f t="array" ref="C1271">_xlfn.IFS(B1271&lt;=18.5,  "Underweight",B1271&lt;=24.9,"Normal weight",B1271&lt;=29.9, "Over weight",B1271&gt;=30,"Obesity")</f>
        <v>Normal weight</v>
      </c>
      <c r="D1271">
        <v>10.24</v>
      </c>
      <c r="E1271" t="str" cm="1">
        <f t="array" ref="E1271">_xlfn.IFS(D1271&lt;5.7,"Normal",D1271&lt;=6.4,"Prediabetes",D1271&gt;=6.5,"Diabetes")</f>
        <v>Diabetes</v>
      </c>
      <c r="F1271" s="3" t="s">
        <v>2379</v>
      </c>
      <c r="G1271" s="3" t="s">
        <v>2379</v>
      </c>
      <c r="H1271" s="3" t="s">
        <v>2379</v>
      </c>
      <c r="I1271" s="1" t="s">
        <v>2380</v>
      </c>
      <c r="J1271">
        <v>0</v>
      </c>
      <c r="K1271" s="3" t="s">
        <v>2379</v>
      </c>
      <c r="P1271" s="3"/>
    </row>
    <row r="1272" spans="1:16" x14ac:dyDescent="0.25">
      <c r="A1272" s="3" t="s">
        <v>1099</v>
      </c>
      <c r="B1272">
        <v>19.190000000000001</v>
      </c>
      <c r="C1272" t="str" cm="1">
        <f t="array" ref="C1272">_xlfn.IFS(B1272&lt;=18.5,  "Underweight",B1272&lt;=24.9,"Normal weight",B1272&lt;=29.9, "Over weight",B1272&gt;=30,"Obesity")</f>
        <v>Normal weight</v>
      </c>
      <c r="D1272">
        <v>7.71</v>
      </c>
      <c r="E1272" t="str" cm="1">
        <f t="array" ref="E1272">_xlfn.IFS(D1272&lt;5.7,"Normal",D1272&lt;=6.4,"Prediabetes",D1272&gt;=6.5,"Diabetes")</f>
        <v>Diabetes</v>
      </c>
      <c r="F1272" s="3" t="s">
        <v>2382</v>
      </c>
      <c r="G1272" s="3" t="s">
        <v>2379</v>
      </c>
      <c r="H1272" s="3" t="s">
        <v>2379</v>
      </c>
      <c r="I1272" s="1">
        <v>1</v>
      </c>
      <c r="J1272">
        <v>1</v>
      </c>
      <c r="K1272" s="3" t="s">
        <v>2379</v>
      </c>
      <c r="P1272" s="3"/>
    </row>
    <row r="1273" spans="1:16" x14ac:dyDescent="0.25">
      <c r="A1273" s="3" t="s">
        <v>1098</v>
      </c>
      <c r="B1273">
        <v>27.5</v>
      </c>
      <c r="C1273" t="str" cm="1">
        <f t="array" ref="C1273">_xlfn.IFS(B1273&lt;=18.5,  "Underweight",B1273&lt;=24.9,"Normal weight",B1273&lt;=29.9, "Over weight",B1273&gt;=30,"Obesity")</f>
        <v>Over weight</v>
      </c>
      <c r="D1273">
        <v>6.03</v>
      </c>
      <c r="E1273" t="str" cm="1">
        <f t="array" ref="E1273">_xlfn.IFS(D1273&lt;5.7,"Normal",D1273&lt;=6.4,"Prediabetes",D1273&gt;=6.5,"Diabetes")</f>
        <v>Prediabetes</v>
      </c>
      <c r="F1273" s="3" t="s">
        <v>2379</v>
      </c>
      <c r="G1273" s="3" t="s">
        <v>2379</v>
      </c>
      <c r="H1273" s="3" t="s">
        <v>2379</v>
      </c>
      <c r="I1273" s="1" t="s">
        <v>2380</v>
      </c>
      <c r="J1273">
        <v>0</v>
      </c>
      <c r="K1273" s="3" t="s">
        <v>2379</v>
      </c>
      <c r="P1273" s="3"/>
    </row>
    <row r="1274" spans="1:16" x14ac:dyDescent="0.25">
      <c r="A1274" s="3" t="s">
        <v>1097</v>
      </c>
      <c r="B1274">
        <v>27.36</v>
      </c>
      <c r="C1274" t="str" cm="1">
        <f t="array" ref="C1274">_xlfn.IFS(B1274&lt;=18.5,  "Underweight",B1274&lt;=24.9,"Normal weight",B1274&lt;=29.9, "Over weight",B1274&gt;=30,"Obesity")</f>
        <v>Over weight</v>
      </c>
      <c r="D1274">
        <v>5.96</v>
      </c>
      <c r="E1274" t="str" cm="1">
        <f t="array" ref="E1274">_xlfn.IFS(D1274&lt;5.7,"Normal",D1274&lt;=6.4,"Prediabetes",D1274&gt;=6.5,"Diabetes")</f>
        <v>Prediabetes</v>
      </c>
      <c r="F1274" s="3" t="s">
        <v>2379</v>
      </c>
      <c r="G1274" s="3" t="s">
        <v>2379</v>
      </c>
      <c r="H1274" s="3" t="s">
        <v>2382</v>
      </c>
      <c r="I1274" s="1">
        <v>1</v>
      </c>
      <c r="J1274">
        <v>1</v>
      </c>
      <c r="K1274" s="3" t="s">
        <v>2379</v>
      </c>
      <c r="P1274" s="3"/>
    </row>
    <row r="1275" spans="1:16" x14ac:dyDescent="0.25">
      <c r="A1275" s="3" t="s">
        <v>1096</v>
      </c>
      <c r="B1275">
        <v>20.350000000000001</v>
      </c>
      <c r="C1275" t="str" cm="1">
        <f t="array" ref="C1275">_xlfn.IFS(B1275&lt;=18.5,  "Underweight",B1275&lt;=24.9,"Normal weight",B1275&lt;=29.9, "Over weight",B1275&gt;=30,"Obesity")</f>
        <v>Normal weight</v>
      </c>
      <c r="D1275">
        <v>4.16</v>
      </c>
      <c r="E1275" t="str" cm="1">
        <f t="array" ref="E1275">_xlfn.IFS(D1275&lt;5.7,"Normal",D1275&lt;=6.4,"Prediabetes",D1275&gt;=6.5,"Diabetes")</f>
        <v>Normal</v>
      </c>
      <c r="F1275" s="3" t="s">
        <v>2379</v>
      </c>
      <c r="G1275" s="3" t="s">
        <v>2379</v>
      </c>
      <c r="H1275" s="3" t="s">
        <v>2379</v>
      </c>
      <c r="I1275" s="1" t="s">
        <v>2380</v>
      </c>
      <c r="J1275">
        <v>0</v>
      </c>
      <c r="K1275" s="3" t="s">
        <v>2379</v>
      </c>
      <c r="P1275" s="3"/>
    </row>
    <row r="1276" spans="1:16" x14ac:dyDescent="0.25">
      <c r="A1276" s="3" t="s">
        <v>1095</v>
      </c>
      <c r="B1276">
        <v>24.035</v>
      </c>
      <c r="C1276" t="str" cm="1">
        <f t="array" ref="C1276">_xlfn.IFS(B1276&lt;=18.5,  "Underweight",B1276&lt;=24.9,"Normal weight",B1276&lt;=29.9, "Over weight",B1276&gt;=30,"Obesity")</f>
        <v>Normal weight</v>
      </c>
      <c r="D1276">
        <v>6.11</v>
      </c>
      <c r="E1276" t="str" cm="1">
        <f t="array" ref="E1276">_xlfn.IFS(D1276&lt;5.7,"Normal",D1276&lt;=6.4,"Prediabetes",D1276&gt;=6.5,"Diabetes")</f>
        <v>Prediabetes</v>
      </c>
      <c r="F1276" s="3" t="s">
        <v>2379</v>
      </c>
      <c r="G1276" s="3" t="s">
        <v>2379</v>
      </c>
      <c r="H1276" s="3" t="s">
        <v>2379</v>
      </c>
      <c r="I1276" s="1" t="s">
        <v>2380</v>
      </c>
      <c r="J1276">
        <v>0</v>
      </c>
      <c r="K1276" s="3" t="s">
        <v>2379</v>
      </c>
      <c r="P1276" s="3"/>
    </row>
    <row r="1277" spans="1:16" x14ac:dyDescent="0.25">
      <c r="A1277" s="3" t="s">
        <v>1094</v>
      </c>
      <c r="B1277">
        <v>23.56</v>
      </c>
      <c r="C1277" t="str" cm="1">
        <f t="array" ref="C1277">_xlfn.IFS(B1277&lt;=18.5,  "Underweight",B1277&lt;=24.9,"Normal weight",B1277&lt;=29.9, "Over weight",B1277&gt;=30,"Obesity")</f>
        <v>Normal weight</v>
      </c>
      <c r="D1277">
        <v>5.97</v>
      </c>
      <c r="E1277" t="str" cm="1">
        <f t="array" ref="E1277">_xlfn.IFS(D1277&lt;5.7,"Normal",D1277&lt;=6.4,"Prediabetes",D1277&gt;=6.5,"Diabetes")</f>
        <v>Prediabetes</v>
      </c>
      <c r="F1277" s="3" t="s">
        <v>2379</v>
      </c>
      <c r="G1277" s="3" t="s">
        <v>2379</v>
      </c>
      <c r="H1277" s="3" t="s">
        <v>2379</v>
      </c>
      <c r="I1277" s="1" t="s">
        <v>2380</v>
      </c>
      <c r="J1277">
        <v>0</v>
      </c>
      <c r="K1277" s="3" t="s">
        <v>2379</v>
      </c>
      <c r="P1277" s="3"/>
    </row>
    <row r="1278" spans="1:16" x14ac:dyDescent="0.25">
      <c r="A1278" s="3" t="s">
        <v>1093</v>
      </c>
      <c r="B1278">
        <v>27.17</v>
      </c>
      <c r="C1278" t="str" cm="1">
        <f t="array" ref="C1278">_xlfn.IFS(B1278&lt;=18.5,  "Underweight",B1278&lt;=24.9,"Normal weight",B1278&lt;=29.9, "Over weight",B1278&gt;=30,"Obesity")</f>
        <v>Over weight</v>
      </c>
      <c r="D1278">
        <v>10.81</v>
      </c>
      <c r="E1278" t="str" cm="1">
        <f t="array" ref="E1278">_xlfn.IFS(D1278&lt;5.7,"Normal",D1278&lt;=6.4,"Prediabetes",D1278&gt;=6.5,"Diabetes")</f>
        <v>Diabetes</v>
      </c>
      <c r="F1278" s="3" t="s">
        <v>2379</v>
      </c>
      <c r="G1278" s="3" t="s">
        <v>2379</v>
      </c>
      <c r="H1278" s="3" t="s">
        <v>2379</v>
      </c>
      <c r="I1278" s="1">
        <v>2</v>
      </c>
      <c r="J1278">
        <v>2</v>
      </c>
      <c r="K1278" s="3" t="s">
        <v>2379</v>
      </c>
      <c r="P1278" s="3"/>
    </row>
    <row r="1279" spans="1:16" x14ac:dyDescent="0.25">
      <c r="A1279" s="3" t="s">
        <v>1092</v>
      </c>
      <c r="B1279">
        <v>34.32</v>
      </c>
      <c r="C1279" t="str" cm="1">
        <f t="array" ref="C1279">_xlfn.IFS(B1279&lt;=18.5,  "Underweight",B1279&lt;=24.9,"Normal weight",B1279&lt;=29.9, "Over weight",B1279&gt;=30,"Obesity")</f>
        <v>Obesity</v>
      </c>
      <c r="D1279">
        <v>5.7</v>
      </c>
      <c r="E1279" t="str" cm="1">
        <f t="array" ref="E1279">_xlfn.IFS(D1279&lt;5.7,"Normal",D1279&lt;=6.4,"Prediabetes",D1279&gt;=6.5,"Diabetes")</f>
        <v>Prediabetes</v>
      </c>
      <c r="F1279" s="3" t="s">
        <v>2382</v>
      </c>
      <c r="G1279" s="3" t="s">
        <v>2379</v>
      </c>
      <c r="H1279" s="3" t="s">
        <v>2382</v>
      </c>
      <c r="I1279" s="1">
        <v>1</v>
      </c>
      <c r="J1279">
        <v>1</v>
      </c>
      <c r="K1279" s="3" t="s">
        <v>2379</v>
      </c>
      <c r="P1279" s="3"/>
    </row>
    <row r="1280" spans="1:16" x14ac:dyDescent="0.25">
      <c r="A1280" s="3" t="s">
        <v>1091</v>
      </c>
      <c r="B1280">
        <v>23.87</v>
      </c>
      <c r="C1280" t="str" cm="1">
        <f t="array" ref="C1280">_xlfn.IFS(B1280&lt;=18.5,  "Underweight",B1280&lt;=24.9,"Normal weight",B1280&lt;=29.9, "Over weight",B1280&gt;=30,"Obesity")</f>
        <v>Normal weight</v>
      </c>
      <c r="D1280">
        <v>4.7699999999999996</v>
      </c>
      <c r="E1280" t="str" cm="1">
        <f t="array" ref="E1280">_xlfn.IFS(D1280&lt;5.7,"Normal",D1280&lt;=6.4,"Prediabetes",D1280&gt;=6.5,"Diabetes")</f>
        <v>Normal</v>
      </c>
      <c r="F1280" s="3" t="s">
        <v>2382</v>
      </c>
      <c r="G1280" s="3" t="s">
        <v>2379</v>
      </c>
      <c r="H1280" s="3" t="s">
        <v>2382</v>
      </c>
      <c r="I1280" s="1">
        <v>1</v>
      </c>
      <c r="J1280">
        <v>1</v>
      </c>
      <c r="K1280" s="3" t="s">
        <v>2379</v>
      </c>
      <c r="P1280" s="3"/>
    </row>
    <row r="1281" spans="1:16" x14ac:dyDescent="0.25">
      <c r="A1281" s="3" t="s">
        <v>1090</v>
      </c>
      <c r="B1281">
        <v>30.15</v>
      </c>
      <c r="C1281" t="str" cm="1">
        <f t="array" ref="C1281">_xlfn.IFS(B1281&lt;=18.5,  "Underweight",B1281&lt;=24.9,"Normal weight",B1281&lt;=29.9, "Over weight",B1281&gt;=30,"Obesity")</f>
        <v>Obesity</v>
      </c>
      <c r="D1281">
        <v>4.25</v>
      </c>
      <c r="E1281" t="str" cm="1">
        <f t="array" ref="E1281">_xlfn.IFS(D1281&lt;5.7,"Normal",D1281&lt;=6.4,"Prediabetes",D1281&gt;=6.5,"Diabetes")</f>
        <v>Normal</v>
      </c>
      <c r="F1281" s="3" t="s">
        <v>2379</v>
      </c>
      <c r="G1281" s="3" t="s">
        <v>2379</v>
      </c>
      <c r="H1281" s="3" t="s">
        <v>2379</v>
      </c>
      <c r="I1281" s="1">
        <v>1</v>
      </c>
      <c r="J1281">
        <v>1</v>
      </c>
      <c r="K1281" s="3" t="s">
        <v>2379</v>
      </c>
      <c r="P1281" s="3"/>
    </row>
    <row r="1282" spans="1:16" x14ac:dyDescent="0.25">
      <c r="A1282" s="3" t="s">
        <v>1089</v>
      </c>
      <c r="B1282">
        <v>26.36</v>
      </c>
      <c r="C1282" t="str" cm="1">
        <f t="array" ref="C1282">_xlfn.IFS(B1282&lt;=18.5,  "Underweight",B1282&lt;=24.9,"Normal weight",B1282&lt;=29.9, "Over weight",B1282&gt;=30,"Obesity")</f>
        <v>Over weight</v>
      </c>
      <c r="D1282">
        <v>5.52</v>
      </c>
      <c r="E1282" t="str" cm="1">
        <f t="array" ref="E1282">_xlfn.IFS(D1282&lt;5.7,"Normal",D1282&lt;=6.4,"Prediabetes",D1282&gt;=6.5,"Diabetes")</f>
        <v>Normal</v>
      </c>
      <c r="F1282" s="3" t="s">
        <v>2379</v>
      </c>
      <c r="G1282" s="3" t="s">
        <v>2379</v>
      </c>
      <c r="H1282" s="3" t="s">
        <v>2379</v>
      </c>
      <c r="I1282" s="1" t="s">
        <v>2380</v>
      </c>
      <c r="J1282">
        <v>0</v>
      </c>
      <c r="K1282" s="3" t="s">
        <v>2379</v>
      </c>
      <c r="P1282" s="3"/>
    </row>
    <row r="1283" spans="1:16" x14ac:dyDescent="0.25">
      <c r="A1283" s="3" t="s">
        <v>1088</v>
      </c>
      <c r="B1283">
        <v>45.32</v>
      </c>
      <c r="C1283" t="str" cm="1">
        <f t="array" ref="C1283">_xlfn.IFS(B1283&lt;=18.5,  "Underweight",B1283&lt;=24.9,"Normal weight",B1283&lt;=29.9, "Over weight",B1283&gt;=30,"Obesity")</f>
        <v>Obesity</v>
      </c>
      <c r="D1283">
        <v>6.53</v>
      </c>
      <c r="E1283" t="str" cm="1">
        <f t="array" ref="E1283">_xlfn.IFS(D1283&lt;5.7,"Normal",D1283&lt;=6.4,"Prediabetes",D1283&gt;=6.5,"Diabetes")</f>
        <v>Diabetes</v>
      </c>
      <c r="F1283" s="3" t="s">
        <v>2382</v>
      </c>
      <c r="G1283" s="3" t="s">
        <v>2379</v>
      </c>
      <c r="H1283" s="3" t="s">
        <v>2379</v>
      </c>
      <c r="I1283" s="1">
        <v>1</v>
      </c>
      <c r="J1283">
        <v>1</v>
      </c>
      <c r="K1283" s="3" t="s">
        <v>2379</v>
      </c>
      <c r="P1283" s="3"/>
    </row>
    <row r="1284" spans="1:16" x14ac:dyDescent="0.25">
      <c r="A1284" s="3" t="s">
        <v>1087</v>
      </c>
      <c r="B1284">
        <v>31.93</v>
      </c>
      <c r="C1284" t="str" cm="1">
        <f t="array" ref="C1284">_xlfn.IFS(B1284&lt;=18.5,  "Underweight",B1284&lt;=24.9,"Normal weight",B1284&lt;=29.9, "Over weight",B1284&gt;=30,"Obesity")</f>
        <v>Obesity</v>
      </c>
      <c r="D1284">
        <v>4.82</v>
      </c>
      <c r="E1284" t="str" cm="1">
        <f t="array" ref="E1284">_xlfn.IFS(D1284&lt;5.7,"Normal",D1284&lt;=6.4,"Prediabetes",D1284&gt;=6.5,"Diabetes")</f>
        <v>Normal</v>
      </c>
      <c r="F1284" s="3" t="s">
        <v>2382</v>
      </c>
      <c r="G1284" s="3" t="s">
        <v>2379</v>
      </c>
      <c r="H1284" s="3" t="s">
        <v>2379</v>
      </c>
      <c r="I1284" s="1">
        <v>1</v>
      </c>
      <c r="J1284">
        <v>1</v>
      </c>
      <c r="K1284" s="3" t="s">
        <v>2379</v>
      </c>
      <c r="P1284" s="3"/>
    </row>
    <row r="1285" spans="1:16" x14ac:dyDescent="0.25">
      <c r="A1285" s="3" t="s">
        <v>1086</v>
      </c>
      <c r="B1285">
        <v>36</v>
      </c>
      <c r="C1285" t="str" cm="1">
        <f t="array" ref="C1285">_xlfn.IFS(B1285&lt;=18.5,  "Underweight",B1285&lt;=24.9,"Normal weight",B1285&lt;=29.9, "Over weight",B1285&gt;=30,"Obesity")</f>
        <v>Obesity</v>
      </c>
      <c r="D1285">
        <v>11.94</v>
      </c>
      <c r="E1285" t="str" cm="1">
        <f t="array" ref="E1285">_xlfn.IFS(D1285&lt;5.7,"Normal",D1285&lt;=6.4,"Prediabetes",D1285&gt;=6.5,"Diabetes")</f>
        <v>Diabetes</v>
      </c>
      <c r="F1285" s="3" t="s">
        <v>2382</v>
      </c>
      <c r="G1285" s="3" t="s">
        <v>2379</v>
      </c>
      <c r="H1285" s="3" t="s">
        <v>2379</v>
      </c>
      <c r="I1285" s="1">
        <v>1</v>
      </c>
      <c r="J1285">
        <v>1</v>
      </c>
      <c r="K1285" s="3" t="s">
        <v>2379</v>
      </c>
      <c r="P1285" s="3"/>
    </row>
    <row r="1286" spans="1:16" x14ac:dyDescent="0.25">
      <c r="A1286" s="3" t="s">
        <v>1085</v>
      </c>
      <c r="B1286">
        <v>32</v>
      </c>
      <c r="C1286" t="str" cm="1">
        <f t="array" ref="C1286">_xlfn.IFS(B1286&lt;=18.5,  "Underweight",B1286&lt;=24.9,"Normal weight",B1286&lt;=29.9, "Over weight",B1286&gt;=30,"Obesity")</f>
        <v>Obesity</v>
      </c>
      <c r="D1286">
        <v>7.85</v>
      </c>
      <c r="E1286" t="str" cm="1">
        <f t="array" ref="E1286">_xlfn.IFS(D1286&lt;5.7,"Normal",D1286&lt;=6.4,"Prediabetes",D1286&gt;=6.5,"Diabetes")</f>
        <v>Diabetes</v>
      </c>
      <c r="F1286" s="3" t="s">
        <v>2382</v>
      </c>
      <c r="G1286" s="3" t="s">
        <v>2379</v>
      </c>
      <c r="H1286" s="3" t="s">
        <v>2379</v>
      </c>
      <c r="I1286" s="1">
        <v>1</v>
      </c>
      <c r="J1286">
        <v>1</v>
      </c>
      <c r="K1286" s="3" t="s">
        <v>2379</v>
      </c>
      <c r="P1286" s="3"/>
    </row>
    <row r="1287" spans="1:16" x14ac:dyDescent="0.25">
      <c r="A1287" s="3" t="s">
        <v>1084</v>
      </c>
      <c r="B1287">
        <v>29.37</v>
      </c>
      <c r="C1287" t="str" cm="1">
        <f t="array" ref="C1287">_xlfn.IFS(B1287&lt;=18.5,  "Underweight",B1287&lt;=24.9,"Normal weight",B1287&lt;=29.9, "Over weight",B1287&gt;=30,"Obesity")</f>
        <v>Over weight</v>
      </c>
      <c r="D1287">
        <v>8.01</v>
      </c>
      <c r="E1287" t="str" cm="1">
        <f t="array" ref="E1287">_xlfn.IFS(D1287&lt;5.7,"Normal",D1287&lt;=6.4,"Prediabetes",D1287&gt;=6.5,"Diabetes")</f>
        <v>Diabetes</v>
      </c>
      <c r="F1287" s="3" t="s">
        <v>2382</v>
      </c>
      <c r="G1287" s="3" t="s">
        <v>2379</v>
      </c>
      <c r="H1287" s="3" t="s">
        <v>2379</v>
      </c>
      <c r="I1287" s="1">
        <v>1</v>
      </c>
      <c r="J1287">
        <v>1</v>
      </c>
      <c r="K1287" s="3" t="s">
        <v>2379</v>
      </c>
      <c r="P1287" s="3"/>
    </row>
    <row r="1288" spans="1:16" x14ac:dyDescent="0.25">
      <c r="A1288" s="3" t="s">
        <v>1083</v>
      </c>
      <c r="B1288">
        <v>23.6</v>
      </c>
      <c r="C1288" t="str" cm="1">
        <f t="array" ref="C1288">_xlfn.IFS(B1288&lt;=18.5,  "Underweight",B1288&lt;=24.9,"Normal weight",B1288&lt;=29.9, "Over weight",B1288&gt;=30,"Obesity")</f>
        <v>Normal weight</v>
      </c>
      <c r="D1288">
        <v>7.4</v>
      </c>
      <c r="E1288" t="str" cm="1">
        <f t="array" ref="E1288">_xlfn.IFS(D1288&lt;5.7,"Normal",D1288&lt;=6.4,"Prediabetes",D1288&gt;=6.5,"Diabetes")</f>
        <v>Diabetes</v>
      </c>
      <c r="F1288" s="3" t="s">
        <v>2382</v>
      </c>
      <c r="G1288" s="3" t="s">
        <v>2379</v>
      </c>
      <c r="H1288" s="3" t="s">
        <v>2379</v>
      </c>
      <c r="I1288" s="1">
        <v>1</v>
      </c>
      <c r="J1288">
        <v>1</v>
      </c>
      <c r="K1288" s="3" t="s">
        <v>2379</v>
      </c>
      <c r="P1288" s="3"/>
    </row>
    <row r="1289" spans="1:16" x14ac:dyDescent="0.25">
      <c r="A1289" s="3" t="s">
        <v>1082</v>
      </c>
      <c r="B1289">
        <v>33.155000000000001</v>
      </c>
      <c r="C1289" t="str" cm="1">
        <f t="array" ref="C1289">_xlfn.IFS(B1289&lt;=18.5,  "Underweight",B1289&lt;=24.9,"Normal weight",B1289&lt;=29.9, "Over weight",B1289&gt;=30,"Obesity")</f>
        <v>Obesity</v>
      </c>
      <c r="D1289">
        <v>8.3800000000000008</v>
      </c>
      <c r="E1289" t="str" cm="1">
        <f t="array" ref="E1289">_xlfn.IFS(D1289&lt;5.7,"Normal",D1289&lt;=6.4,"Prediabetes",D1289&gt;=6.5,"Diabetes")</f>
        <v>Diabetes</v>
      </c>
      <c r="F1289" s="3" t="s">
        <v>2382</v>
      </c>
      <c r="G1289" s="3" t="s">
        <v>2379</v>
      </c>
      <c r="H1289" s="3" t="s">
        <v>2379</v>
      </c>
      <c r="I1289" s="1" t="s">
        <v>2380</v>
      </c>
      <c r="J1289">
        <v>0</v>
      </c>
      <c r="K1289" s="3" t="s">
        <v>2379</v>
      </c>
      <c r="P1289" s="3"/>
    </row>
    <row r="1290" spans="1:16" x14ac:dyDescent="0.25">
      <c r="A1290" s="3" t="s">
        <v>1081</v>
      </c>
      <c r="B1290">
        <v>24.32</v>
      </c>
      <c r="C1290" t="str" cm="1">
        <f t="array" ref="C1290">_xlfn.IFS(B1290&lt;=18.5,  "Underweight",B1290&lt;=24.9,"Normal weight",B1290&lt;=29.9, "Over weight",B1290&gt;=30,"Obesity")</f>
        <v>Normal weight</v>
      </c>
      <c r="D1290">
        <v>11.56</v>
      </c>
      <c r="E1290" t="str" cm="1">
        <f t="array" ref="E1290">_xlfn.IFS(D1290&lt;5.7,"Normal",D1290&lt;=6.4,"Prediabetes",D1290&gt;=6.5,"Diabetes")</f>
        <v>Diabetes</v>
      </c>
      <c r="F1290" s="3" t="s">
        <v>2382</v>
      </c>
      <c r="G1290" s="3" t="s">
        <v>2379</v>
      </c>
      <c r="H1290" s="3" t="s">
        <v>2379</v>
      </c>
      <c r="I1290" s="1">
        <v>1</v>
      </c>
      <c r="J1290">
        <v>1</v>
      </c>
      <c r="K1290" s="3" t="s">
        <v>2379</v>
      </c>
      <c r="P1290" s="3"/>
    </row>
    <row r="1291" spans="1:16" x14ac:dyDescent="0.25">
      <c r="A1291" s="3" t="s">
        <v>1080</v>
      </c>
      <c r="B1291">
        <v>36.299999999999997</v>
      </c>
      <c r="C1291" t="str" cm="1">
        <f t="array" ref="C1291">_xlfn.IFS(B1291&lt;=18.5,  "Underweight",B1291&lt;=24.9,"Normal weight",B1291&lt;=29.9, "Over weight",B1291&gt;=30,"Obesity")</f>
        <v>Obesity</v>
      </c>
      <c r="D1291">
        <v>4.6100000000000003</v>
      </c>
      <c r="E1291" t="str" cm="1">
        <f t="array" ref="E1291">_xlfn.IFS(D1291&lt;5.7,"Normal",D1291&lt;=6.4,"Prediabetes",D1291&gt;=6.5,"Diabetes")</f>
        <v>Normal</v>
      </c>
      <c r="F1291" s="3" t="s">
        <v>2379</v>
      </c>
      <c r="G1291" s="3" t="s">
        <v>2379</v>
      </c>
      <c r="H1291" s="3" t="s">
        <v>2379</v>
      </c>
      <c r="I1291" s="1" t="s">
        <v>2380</v>
      </c>
      <c r="J1291">
        <v>0</v>
      </c>
      <c r="K1291" s="3" t="s">
        <v>2379</v>
      </c>
      <c r="P1291" s="3"/>
    </row>
    <row r="1292" spans="1:16" x14ac:dyDescent="0.25">
      <c r="A1292" s="3" t="s">
        <v>1079</v>
      </c>
      <c r="B1292">
        <v>34.4</v>
      </c>
      <c r="C1292" t="str" cm="1">
        <f t="array" ref="C1292">_xlfn.IFS(B1292&lt;=18.5,  "Underweight",B1292&lt;=24.9,"Normal weight",B1292&lt;=29.9, "Over weight",B1292&gt;=30,"Obesity")</f>
        <v>Obesity</v>
      </c>
      <c r="D1292">
        <v>4.95</v>
      </c>
      <c r="E1292" t="str" cm="1">
        <f t="array" ref="E1292">_xlfn.IFS(D1292&lt;5.7,"Normal",D1292&lt;=6.4,"Prediabetes",D1292&gt;=6.5,"Diabetes")</f>
        <v>Normal</v>
      </c>
      <c r="F1292" s="3" t="s">
        <v>2379</v>
      </c>
      <c r="G1292" s="3" t="s">
        <v>2379</v>
      </c>
      <c r="H1292" s="3" t="s">
        <v>2382</v>
      </c>
      <c r="I1292" s="1">
        <v>1</v>
      </c>
      <c r="J1292">
        <v>1</v>
      </c>
      <c r="K1292" s="3" t="s">
        <v>2379</v>
      </c>
      <c r="P1292" s="3"/>
    </row>
    <row r="1293" spans="1:16" x14ac:dyDescent="0.25">
      <c r="A1293" s="3" t="s">
        <v>1078</v>
      </c>
      <c r="B1293">
        <v>30.9</v>
      </c>
      <c r="C1293" t="str" cm="1">
        <f t="array" ref="C1293">_xlfn.IFS(B1293&lt;=18.5,  "Underweight",B1293&lt;=24.9,"Normal weight",B1293&lt;=29.9, "Over weight",B1293&gt;=30,"Obesity")</f>
        <v>Obesity</v>
      </c>
      <c r="D1293">
        <v>5.04</v>
      </c>
      <c r="E1293" t="str" cm="1">
        <f t="array" ref="E1293">_xlfn.IFS(D1293&lt;5.7,"Normal",D1293&lt;=6.4,"Prediabetes",D1293&gt;=6.5,"Diabetes")</f>
        <v>Normal</v>
      </c>
      <c r="F1293" s="3" t="s">
        <v>2379</v>
      </c>
      <c r="G1293" s="3" t="s">
        <v>2379</v>
      </c>
      <c r="H1293" s="3" t="s">
        <v>2379</v>
      </c>
      <c r="I1293" s="1" t="s">
        <v>2380</v>
      </c>
      <c r="J1293">
        <v>0</v>
      </c>
      <c r="K1293" s="3" t="s">
        <v>2379</v>
      </c>
      <c r="P1293" s="3"/>
    </row>
    <row r="1294" spans="1:16" x14ac:dyDescent="0.25">
      <c r="A1294" s="3" t="s">
        <v>1077</v>
      </c>
      <c r="B1294">
        <v>28.6</v>
      </c>
      <c r="C1294" t="str" cm="1">
        <f t="array" ref="C1294">_xlfn.IFS(B1294&lt;=18.5,  "Underweight",B1294&lt;=24.9,"Normal weight",B1294&lt;=29.9, "Over weight",B1294&gt;=30,"Obesity")</f>
        <v>Over weight</v>
      </c>
      <c r="D1294">
        <v>5.42</v>
      </c>
      <c r="E1294" t="str" cm="1">
        <f t="array" ref="E1294">_xlfn.IFS(D1294&lt;5.7,"Normal",D1294&lt;=6.4,"Prediabetes",D1294&gt;=6.5,"Diabetes")</f>
        <v>Normal</v>
      </c>
      <c r="F1294" s="3" t="s">
        <v>2379</v>
      </c>
      <c r="G1294" s="3" t="s">
        <v>2379</v>
      </c>
      <c r="H1294" s="3" t="s">
        <v>2379</v>
      </c>
      <c r="I1294" s="1" t="s">
        <v>2380</v>
      </c>
      <c r="J1294">
        <v>0</v>
      </c>
      <c r="K1294" s="3" t="s">
        <v>2379</v>
      </c>
      <c r="P1294" s="3"/>
    </row>
    <row r="1295" spans="1:16" x14ac:dyDescent="0.25">
      <c r="A1295" s="3" t="s">
        <v>1076</v>
      </c>
      <c r="B1295">
        <v>27.83</v>
      </c>
      <c r="C1295" t="str" cm="1">
        <f t="array" ref="C1295">_xlfn.IFS(B1295&lt;=18.5,  "Underweight",B1295&lt;=24.9,"Normal weight",B1295&lt;=29.9, "Over weight",B1295&gt;=30,"Obesity")</f>
        <v>Over weight</v>
      </c>
      <c r="D1295">
        <v>5.39</v>
      </c>
      <c r="E1295" t="str" cm="1">
        <f t="array" ref="E1295">_xlfn.IFS(D1295&lt;5.7,"Normal",D1295&lt;=6.4,"Prediabetes",D1295&gt;=6.5,"Diabetes")</f>
        <v>Normal</v>
      </c>
      <c r="F1295" s="3" t="s">
        <v>2379</v>
      </c>
      <c r="G1295" s="3" t="s">
        <v>2379</v>
      </c>
      <c r="H1295" s="3" t="s">
        <v>2379</v>
      </c>
      <c r="I1295" s="1" t="s">
        <v>2380</v>
      </c>
      <c r="J1295">
        <v>0</v>
      </c>
      <c r="K1295" s="3" t="s">
        <v>2379</v>
      </c>
      <c r="P1295" s="3"/>
    </row>
    <row r="1296" spans="1:16" x14ac:dyDescent="0.25">
      <c r="A1296" s="3" t="s">
        <v>1075</v>
      </c>
      <c r="B1296">
        <v>39.64</v>
      </c>
      <c r="C1296" t="str" cm="1">
        <f t="array" ref="C1296">_xlfn.IFS(B1296&lt;=18.5,  "Underweight",B1296&lt;=24.9,"Normal weight",B1296&lt;=29.9, "Over weight",B1296&gt;=30,"Obesity")</f>
        <v>Obesity</v>
      </c>
      <c r="D1296">
        <v>6</v>
      </c>
      <c r="E1296" t="str" cm="1">
        <f t="array" ref="E1296">_xlfn.IFS(D1296&lt;5.7,"Normal",D1296&lt;=6.4,"Prediabetes",D1296&gt;=6.5,"Diabetes")</f>
        <v>Prediabetes</v>
      </c>
      <c r="F1296" s="3" t="s">
        <v>2379</v>
      </c>
      <c r="G1296" s="3" t="s">
        <v>2379</v>
      </c>
      <c r="H1296" s="3" t="s">
        <v>2382</v>
      </c>
      <c r="I1296" s="1">
        <v>1</v>
      </c>
      <c r="J1296">
        <v>1</v>
      </c>
      <c r="K1296" s="3" t="s">
        <v>2379</v>
      </c>
      <c r="P1296" s="3"/>
    </row>
    <row r="1297" spans="1:16" x14ac:dyDescent="0.25">
      <c r="A1297" s="3" t="s">
        <v>1074</v>
      </c>
      <c r="B1297">
        <v>38.479999999999997</v>
      </c>
      <c r="C1297" t="str" cm="1">
        <f t="array" ref="C1297">_xlfn.IFS(B1297&lt;=18.5,  "Underweight",B1297&lt;=24.9,"Normal weight",B1297&lt;=29.9, "Over weight",B1297&gt;=30,"Obesity")</f>
        <v>Obesity</v>
      </c>
      <c r="D1297">
        <v>6.02</v>
      </c>
      <c r="E1297" t="str" cm="1">
        <f t="array" ref="E1297">_xlfn.IFS(D1297&lt;5.7,"Normal",D1297&lt;=6.4,"Prediabetes",D1297&gt;=6.5,"Diabetes")</f>
        <v>Prediabetes</v>
      </c>
      <c r="F1297" s="3" t="s">
        <v>2379</v>
      </c>
      <c r="G1297" s="3" t="s">
        <v>2379</v>
      </c>
      <c r="H1297" s="3" t="s">
        <v>2379</v>
      </c>
      <c r="I1297" s="1">
        <v>1</v>
      </c>
      <c r="J1297">
        <v>1</v>
      </c>
      <c r="K1297" s="3" t="s">
        <v>2379</v>
      </c>
      <c r="P1297" s="3"/>
    </row>
    <row r="1298" spans="1:16" x14ac:dyDescent="0.25">
      <c r="A1298" s="3" t="s">
        <v>1073</v>
      </c>
      <c r="B1298">
        <v>36.200000000000003</v>
      </c>
      <c r="C1298" t="str" cm="1">
        <f t="array" ref="C1298">_xlfn.IFS(B1298&lt;=18.5,  "Underweight",B1298&lt;=24.9,"Normal weight",B1298&lt;=29.9, "Over weight",B1298&gt;=30,"Obesity")</f>
        <v>Obesity</v>
      </c>
      <c r="D1298">
        <v>4.62</v>
      </c>
      <c r="E1298" t="str" cm="1">
        <f t="array" ref="E1298">_xlfn.IFS(D1298&lt;5.7,"Normal",D1298&lt;=6.4,"Prediabetes",D1298&gt;=6.5,"Diabetes")</f>
        <v>Normal</v>
      </c>
      <c r="F1298" s="3" t="s">
        <v>2379</v>
      </c>
      <c r="G1298" s="3" t="s">
        <v>2379</v>
      </c>
      <c r="H1298" s="3" t="s">
        <v>2379</v>
      </c>
      <c r="I1298" s="1">
        <v>2</v>
      </c>
      <c r="J1298">
        <v>2</v>
      </c>
      <c r="K1298" s="3" t="s">
        <v>2379</v>
      </c>
      <c r="P1298" s="3"/>
    </row>
    <row r="1299" spans="1:16" x14ac:dyDescent="0.25">
      <c r="A1299" s="3" t="s">
        <v>1072</v>
      </c>
      <c r="B1299">
        <v>27.13</v>
      </c>
      <c r="C1299" t="str" cm="1">
        <f t="array" ref="C1299">_xlfn.IFS(B1299&lt;=18.5,  "Underweight",B1299&lt;=24.9,"Normal weight",B1299&lt;=29.9, "Over weight",B1299&gt;=30,"Obesity")</f>
        <v>Over weight</v>
      </c>
      <c r="D1299">
        <v>5.59</v>
      </c>
      <c r="E1299" t="str" cm="1">
        <f t="array" ref="E1299">_xlfn.IFS(D1299&lt;5.7,"Normal",D1299&lt;=6.4,"Prediabetes",D1299&gt;=6.5,"Diabetes")</f>
        <v>Normal</v>
      </c>
      <c r="F1299" s="3" t="s">
        <v>2379</v>
      </c>
      <c r="G1299" s="3" t="s">
        <v>2379</v>
      </c>
      <c r="H1299" s="3" t="s">
        <v>2379</v>
      </c>
      <c r="I1299" s="1">
        <v>1</v>
      </c>
      <c r="J1299">
        <v>1</v>
      </c>
      <c r="K1299" s="3" t="s">
        <v>2379</v>
      </c>
      <c r="P1299" s="3"/>
    </row>
    <row r="1300" spans="1:16" x14ac:dyDescent="0.25">
      <c r="A1300" s="3" t="s">
        <v>1071</v>
      </c>
      <c r="B1300">
        <v>20.75</v>
      </c>
      <c r="C1300" t="str" cm="1">
        <f t="array" ref="C1300">_xlfn.IFS(B1300&lt;=18.5,  "Underweight",B1300&lt;=24.9,"Normal weight",B1300&lt;=29.9, "Over weight",B1300&gt;=30,"Obesity")</f>
        <v>Normal weight</v>
      </c>
      <c r="D1300">
        <v>5.18</v>
      </c>
      <c r="E1300" t="str" cm="1">
        <f t="array" ref="E1300">_xlfn.IFS(D1300&lt;5.7,"Normal",D1300&lt;=6.4,"Prediabetes",D1300&gt;=6.5,"Diabetes")</f>
        <v>Normal</v>
      </c>
      <c r="F1300" s="3" t="s">
        <v>2382</v>
      </c>
      <c r="G1300" s="3" t="s">
        <v>2379</v>
      </c>
      <c r="H1300" s="3" t="s">
        <v>2379</v>
      </c>
      <c r="I1300" s="1">
        <v>2</v>
      </c>
      <c r="J1300">
        <v>2</v>
      </c>
      <c r="K1300" s="3" t="s">
        <v>2379</v>
      </c>
      <c r="P1300" s="3"/>
    </row>
    <row r="1301" spans="1:16" x14ac:dyDescent="0.25">
      <c r="A1301" s="3" t="s">
        <v>1070</v>
      </c>
      <c r="B1301">
        <v>26.6</v>
      </c>
      <c r="C1301" t="str" cm="1">
        <f t="array" ref="C1301">_xlfn.IFS(B1301&lt;=18.5,  "Underweight",B1301&lt;=24.9,"Normal weight",B1301&lt;=29.9, "Over weight",B1301&gt;=30,"Obesity")</f>
        <v>Over weight</v>
      </c>
      <c r="D1301">
        <v>6.29</v>
      </c>
      <c r="E1301" t="str" cm="1">
        <f t="array" ref="E1301">_xlfn.IFS(D1301&lt;5.7,"Normal",D1301&lt;=6.4,"Prediabetes",D1301&gt;=6.5,"Diabetes")</f>
        <v>Prediabetes</v>
      </c>
      <c r="F1301" s="3" t="s">
        <v>2379</v>
      </c>
      <c r="G1301" s="3" t="s">
        <v>2379</v>
      </c>
      <c r="H1301" s="3" t="s">
        <v>2379</v>
      </c>
      <c r="I1301" s="1">
        <v>2</v>
      </c>
      <c r="J1301">
        <v>2</v>
      </c>
      <c r="K1301" s="3" t="s">
        <v>2379</v>
      </c>
      <c r="P1301" s="3"/>
    </row>
    <row r="1302" spans="1:16" x14ac:dyDescent="0.25">
      <c r="A1302" s="3" t="s">
        <v>1069</v>
      </c>
      <c r="B1302">
        <v>25.3</v>
      </c>
      <c r="C1302" t="str" cm="1">
        <f t="array" ref="C1302">_xlfn.IFS(B1302&lt;=18.5,  "Underweight",B1302&lt;=24.9,"Normal weight",B1302&lt;=29.9, "Over weight",B1302&gt;=30,"Obesity")</f>
        <v>Over weight</v>
      </c>
      <c r="D1302">
        <v>4.49</v>
      </c>
      <c r="E1302" t="str" cm="1">
        <f t="array" ref="E1302">_xlfn.IFS(D1302&lt;5.7,"Normal",D1302&lt;=6.4,"Prediabetes",D1302&gt;=6.5,"Diabetes")</f>
        <v>Normal</v>
      </c>
      <c r="F1302" s="3" t="s">
        <v>2379</v>
      </c>
      <c r="G1302" s="3" t="s">
        <v>2379</v>
      </c>
      <c r="H1302" s="3" t="s">
        <v>2379</v>
      </c>
      <c r="I1302" s="1">
        <v>2</v>
      </c>
      <c r="J1302">
        <v>2</v>
      </c>
      <c r="K1302" s="3" t="s">
        <v>2379</v>
      </c>
      <c r="P1302" s="3"/>
    </row>
    <row r="1303" spans="1:16" x14ac:dyDescent="0.25">
      <c r="A1303" s="3" t="s">
        <v>1068</v>
      </c>
      <c r="B1303">
        <v>18.84</v>
      </c>
      <c r="C1303" t="str" cm="1">
        <f t="array" ref="C1303">_xlfn.IFS(B1303&lt;=18.5,  "Underweight",B1303&lt;=24.9,"Normal weight",B1303&lt;=29.9, "Over weight",B1303&gt;=30,"Obesity")</f>
        <v>Normal weight</v>
      </c>
      <c r="D1303">
        <v>11.82</v>
      </c>
      <c r="E1303" t="str" cm="1">
        <f t="array" ref="E1303">_xlfn.IFS(D1303&lt;5.7,"Normal",D1303&lt;=6.4,"Prediabetes",D1303&gt;=6.5,"Diabetes")</f>
        <v>Diabetes</v>
      </c>
      <c r="F1303" s="3" t="s">
        <v>2382</v>
      </c>
      <c r="G1303" s="3" t="s">
        <v>2379</v>
      </c>
      <c r="H1303" s="3" t="s">
        <v>2382</v>
      </c>
      <c r="I1303" s="1">
        <v>1</v>
      </c>
      <c r="J1303">
        <v>1</v>
      </c>
      <c r="K1303" s="3" t="s">
        <v>2379</v>
      </c>
      <c r="P1303" s="3"/>
    </row>
    <row r="1304" spans="1:16" x14ac:dyDescent="0.25">
      <c r="A1304" s="3" t="s">
        <v>1067</v>
      </c>
      <c r="B1304">
        <v>19.57</v>
      </c>
      <c r="C1304" t="str" cm="1">
        <f t="array" ref="C1304">_xlfn.IFS(B1304&lt;=18.5,  "Underweight",B1304&lt;=24.9,"Normal weight",B1304&lt;=29.9, "Over weight",B1304&gt;=30,"Obesity")</f>
        <v>Normal weight</v>
      </c>
      <c r="D1304">
        <v>7.41</v>
      </c>
      <c r="E1304" t="str" cm="1">
        <f t="array" ref="E1304">_xlfn.IFS(D1304&lt;5.7,"Normal",D1304&lt;=6.4,"Prediabetes",D1304&gt;=6.5,"Diabetes")</f>
        <v>Diabetes</v>
      </c>
      <c r="F1304" s="3" t="s">
        <v>2382</v>
      </c>
      <c r="G1304" s="3" t="s">
        <v>2379</v>
      </c>
      <c r="H1304" s="3" t="s">
        <v>2379</v>
      </c>
      <c r="I1304" s="1">
        <v>1</v>
      </c>
      <c r="J1304">
        <v>1</v>
      </c>
      <c r="K1304" s="3" t="s">
        <v>2379</v>
      </c>
      <c r="P1304" s="3"/>
    </row>
    <row r="1305" spans="1:16" x14ac:dyDescent="0.25">
      <c r="A1305" s="3" t="s">
        <v>1066</v>
      </c>
      <c r="B1305">
        <v>30.495000000000001</v>
      </c>
      <c r="C1305" t="str" cm="1">
        <f t="array" ref="C1305">_xlfn.IFS(B1305&lt;=18.5,  "Underweight",B1305&lt;=24.9,"Normal weight",B1305&lt;=29.9, "Over weight",B1305&gt;=30,"Obesity")</f>
        <v>Obesity</v>
      </c>
      <c r="D1305">
        <v>5.97</v>
      </c>
      <c r="E1305" t="str" cm="1">
        <f t="array" ref="E1305">_xlfn.IFS(D1305&lt;5.7,"Normal",D1305&lt;=6.4,"Prediabetes",D1305&gt;=6.5,"Diabetes")</f>
        <v>Prediabetes</v>
      </c>
      <c r="F1305" s="3" t="s">
        <v>2379</v>
      </c>
      <c r="G1305" s="3" t="s">
        <v>2379</v>
      </c>
      <c r="H1305" s="3" t="s">
        <v>2379</v>
      </c>
      <c r="I1305" s="1" t="s">
        <v>2380</v>
      </c>
      <c r="J1305">
        <v>0</v>
      </c>
      <c r="K1305" s="3" t="s">
        <v>2379</v>
      </c>
      <c r="P1305" s="3"/>
    </row>
    <row r="1306" spans="1:16" x14ac:dyDescent="0.25">
      <c r="A1306" s="3" t="s">
        <v>1065</v>
      </c>
      <c r="B1306">
        <v>30.114999999999998</v>
      </c>
      <c r="C1306" t="str" cm="1">
        <f t="array" ref="C1306">_xlfn.IFS(B1306&lt;=18.5,  "Underweight",B1306&lt;=24.9,"Normal weight",B1306&lt;=29.9, "Over weight",B1306&gt;=30,"Obesity")</f>
        <v>Obesity</v>
      </c>
      <c r="D1306">
        <v>5.74</v>
      </c>
      <c r="E1306" t="str" cm="1">
        <f t="array" ref="E1306">_xlfn.IFS(D1306&lt;5.7,"Normal",D1306&lt;=6.4,"Prediabetes",D1306&gt;=6.5,"Diabetes")</f>
        <v>Prediabetes</v>
      </c>
      <c r="F1306" s="3" t="s">
        <v>2379</v>
      </c>
      <c r="G1306" s="3" t="s">
        <v>2379</v>
      </c>
      <c r="H1306" s="3" t="s">
        <v>2382</v>
      </c>
      <c r="I1306" s="1">
        <v>1</v>
      </c>
      <c r="J1306">
        <v>1</v>
      </c>
      <c r="K1306" s="3" t="s">
        <v>2379</v>
      </c>
      <c r="P1306" s="3"/>
    </row>
    <row r="1307" spans="1:16" x14ac:dyDescent="0.25">
      <c r="A1307" s="3" t="s">
        <v>1064</v>
      </c>
      <c r="B1307">
        <v>24.78</v>
      </c>
      <c r="C1307" t="str" cm="1">
        <f t="array" ref="C1307">_xlfn.IFS(B1307&lt;=18.5,  "Underweight",B1307&lt;=24.9,"Normal weight",B1307&lt;=29.9, "Over weight",B1307&gt;=30,"Obesity")</f>
        <v>Normal weight</v>
      </c>
      <c r="D1307">
        <v>9.85</v>
      </c>
      <c r="E1307" t="str" cm="1">
        <f t="array" ref="E1307">_xlfn.IFS(D1307&lt;5.7,"Normal",D1307&lt;=6.4,"Prediabetes",D1307&gt;=6.5,"Diabetes")</f>
        <v>Diabetes</v>
      </c>
      <c r="F1307" s="3" t="s">
        <v>2379</v>
      </c>
      <c r="G1307" s="3" t="s">
        <v>2379</v>
      </c>
      <c r="H1307" s="3" t="s">
        <v>2379</v>
      </c>
      <c r="I1307" s="1" t="s">
        <v>2380</v>
      </c>
      <c r="J1307">
        <v>0</v>
      </c>
      <c r="K1307" s="3" t="s">
        <v>2379</v>
      </c>
      <c r="P1307" s="3"/>
    </row>
    <row r="1308" spans="1:16" x14ac:dyDescent="0.25">
      <c r="A1308" s="3" t="s">
        <v>1063</v>
      </c>
      <c r="B1308">
        <v>24.77</v>
      </c>
      <c r="C1308" t="str" cm="1">
        <f t="array" ref="C1308">_xlfn.IFS(B1308&lt;=18.5,  "Underweight",B1308&lt;=24.9,"Normal weight",B1308&lt;=29.9, "Over weight",B1308&gt;=30,"Obesity")</f>
        <v>Normal weight</v>
      </c>
      <c r="D1308">
        <v>7.59</v>
      </c>
      <c r="E1308" t="str" cm="1">
        <f t="array" ref="E1308">_xlfn.IFS(D1308&lt;5.7,"Normal",D1308&lt;=6.4,"Prediabetes",D1308&gt;=6.5,"Diabetes")</f>
        <v>Diabetes</v>
      </c>
      <c r="F1308" s="3" t="s">
        <v>2379</v>
      </c>
      <c r="G1308" s="3" t="s">
        <v>2379</v>
      </c>
      <c r="H1308" s="3" t="s">
        <v>2379</v>
      </c>
      <c r="I1308" s="1" t="s">
        <v>2380</v>
      </c>
      <c r="J1308">
        <v>0</v>
      </c>
      <c r="K1308" s="3" t="s">
        <v>2379</v>
      </c>
      <c r="P1308" s="3"/>
    </row>
    <row r="1309" spans="1:16" x14ac:dyDescent="0.25">
      <c r="A1309" s="3" t="s">
        <v>1062</v>
      </c>
      <c r="B1309">
        <v>16.579999999999998</v>
      </c>
      <c r="C1309" t="str" cm="1">
        <f t="array" ref="C1309">_xlfn.IFS(B1309&lt;=18.5,  "Underweight",B1309&lt;=24.9,"Normal weight",B1309&lt;=29.9, "Over weight",B1309&gt;=30,"Obesity")</f>
        <v>Underweight</v>
      </c>
      <c r="D1309">
        <v>6.98</v>
      </c>
      <c r="E1309" t="str" cm="1">
        <f t="array" ref="E1309">_xlfn.IFS(D1309&lt;5.7,"Normal",D1309&lt;=6.4,"Prediabetes",D1309&gt;=6.5,"Diabetes")</f>
        <v>Diabetes</v>
      </c>
      <c r="F1309" s="3" t="s">
        <v>2382</v>
      </c>
      <c r="G1309" s="3" t="s">
        <v>2379</v>
      </c>
      <c r="H1309" s="3" t="s">
        <v>2382</v>
      </c>
      <c r="I1309" s="1">
        <v>1</v>
      </c>
      <c r="J1309">
        <v>1</v>
      </c>
      <c r="K1309" s="3" t="s">
        <v>2379</v>
      </c>
      <c r="P1309" s="3"/>
    </row>
    <row r="1310" spans="1:16" x14ac:dyDescent="0.25">
      <c r="A1310" s="3" t="s">
        <v>1061</v>
      </c>
      <c r="B1310">
        <v>38.17</v>
      </c>
      <c r="C1310" t="str" cm="1">
        <f t="array" ref="C1310">_xlfn.IFS(B1310&lt;=18.5,  "Underweight",B1310&lt;=24.9,"Normal weight",B1310&lt;=29.9, "Over weight",B1310&gt;=30,"Obesity")</f>
        <v>Obesity</v>
      </c>
      <c r="D1310">
        <v>4.7300000000000004</v>
      </c>
      <c r="E1310" t="str" cm="1">
        <f t="array" ref="E1310">_xlfn.IFS(D1310&lt;5.7,"Normal",D1310&lt;=6.4,"Prediabetes",D1310&gt;=6.5,"Diabetes")</f>
        <v>Normal</v>
      </c>
      <c r="F1310" s="3" t="s">
        <v>2382</v>
      </c>
      <c r="G1310" s="3" t="s">
        <v>2379</v>
      </c>
      <c r="H1310" s="3" t="s">
        <v>2379</v>
      </c>
      <c r="I1310" s="1" t="s">
        <v>2380</v>
      </c>
      <c r="J1310">
        <v>0</v>
      </c>
      <c r="K1310" s="3" t="s">
        <v>2379</v>
      </c>
      <c r="P1310" s="3"/>
    </row>
    <row r="1311" spans="1:16" x14ac:dyDescent="0.25">
      <c r="A1311" s="3" t="s">
        <v>1060</v>
      </c>
      <c r="B1311">
        <v>39.424999999999997</v>
      </c>
      <c r="C1311" t="str" cm="1">
        <f t="array" ref="C1311">_xlfn.IFS(B1311&lt;=18.5,  "Underweight",B1311&lt;=24.9,"Normal weight",B1311&lt;=29.9, "Over weight",B1311&gt;=30,"Obesity")</f>
        <v>Obesity</v>
      </c>
      <c r="D1311">
        <v>4.76</v>
      </c>
      <c r="E1311" t="str" cm="1">
        <f t="array" ref="E1311">_xlfn.IFS(D1311&lt;5.7,"Normal",D1311&lt;=6.4,"Prediabetes",D1311&gt;=6.5,"Diabetes")</f>
        <v>Normal</v>
      </c>
      <c r="F1311" s="3" t="s">
        <v>2382</v>
      </c>
      <c r="G1311" s="3" t="s">
        <v>2379</v>
      </c>
      <c r="H1311" s="3" t="s">
        <v>2379</v>
      </c>
      <c r="I1311" s="1" t="s">
        <v>2380</v>
      </c>
      <c r="J1311">
        <v>0</v>
      </c>
      <c r="K1311" s="3" t="s">
        <v>2379</v>
      </c>
      <c r="P1311" s="3"/>
    </row>
    <row r="1312" spans="1:16" x14ac:dyDescent="0.25">
      <c r="A1312" s="3" t="s">
        <v>1059</v>
      </c>
      <c r="B1312">
        <v>33.44</v>
      </c>
      <c r="C1312" t="str" cm="1">
        <f t="array" ref="C1312">_xlfn.IFS(B1312&lt;=18.5,  "Underweight",B1312&lt;=24.9,"Normal weight",B1312&lt;=29.9, "Over weight",B1312&gt;=30,"Obesity")</f>
        <v>Obesity</v>
      </c>
      <c r="D1312">
        <v>6.24</v>
      </c>
      <c r="E1312" t="str" cm="1">
        <f t="array" ref="E1312">_xlfn.IFS(D1312&lt;5.7,"Normal",D1312&lt;=6.4,"Prediabetes",D1312&gt;=6.5,"Diabetes")</f>
        <v>Prediabetes</v>
      </c>
      <c r="F1312" s="3" t="s">
        <v>2382</v>
      </c>
      <c r="G1312" s="3" t="s">
        <v>2379</v>
      </c>
      <c r="H1312" s="3" t="s">
        <v>2379</v>
      </c>
      <c r="I1312" s="1" t="s">
        <v>2380</v>
      </c>
      <c r="J1312">
        <v>0</v>
      </c>
      <c r="K1312" s="3" t="s">
        <v>2379</v>
      </c>
      <c r="P1312" s="3"/>
    </row>
    <row r="1313" spans="1:16" x14ac:dyDescent="0.25">
      <c r="A1313" s="3" t="s">
        <v>1058</v>
      </c>
      <c r="B1313">
        <v>33.344999999999999</v>
      </c>
      <c r="C1313" t="str" cm="1">
        <f t="array" ref="C1313">_xlfn.IFS(B1313&lt;=18.5,  "Underweight",B1313&lt;=24.9,"Normal weight",B1313&lt;=29.9, "Over weight",B1313&gt;=30,"Obesity")</f>
        <v>Obesity</v>
      </c>
      <c r="D1313">
        <v>5.44</v>
      </c>
      <c r="E1313" t="str" cm="1">
        <f t="array" ref="E1313">_xlfn.IFS(D1313&lt;5.7,"Normal",D1313&lt;=6.4,"Prediabetes",D1313&gt;=6.5,"Diabetes")</f>
        <v>Normal</v>
      </c>
      <c r="F1313" s="3" t="s">
        <v>2382</v>
      </c>
      <c r="G1313" s="3" t="s">
        <v>2379</v>
      </c>
      <c r="H1313" s="3" t="s">
        <v>2379</v>
      </c>
      <c r="I1313" s="1" t="s">
        <v>2380</v>
      </c>
      <c r="J1313">
        <v>0</v>
      </c>
      <c r="K1313" s="3" t="s">
        <v>2379</v>
      </c>
      <c r="P1313" s="3"/>
    </row>
    <row r="1314" spans="1:16" x14ac:dyDescent="0.25">
      <c r="A1314" s="3" t="s">
        <v>1057</v>
      </c>
      <c r="B1314">
        <v>38.79</v>
      </c>
      <c r="C1314" t="str" cm="1">
        <f t="array" ref="C1314">_xlfn.IFS(B1314&lt;=18.5,  "Underweight",B1314&lt;=24.9,"Normal weight",B1314&lt;=29.9, "Over weight",B1314&gt;=30,"Obesity")</f>
        <v>Obesity</v>
      </c>
      <c r="D1314">
        <v>5.08</v>
      </c>
      <c r="E1314" t="str" cm="1">
        <f t="array" ref="E1314">_xlfn.IFS(D1314&lt;5.7,"Normal",D1314&lt;=6.4,"Prediabetes",D1314&gt;=6.5,"Diabetes")</f>
        <v>Normal</v>
      </c>
      <c r="F1314" s="3" t="s">
        <v>2379</v>
      </c>
      <c r="G1314" s="3" t="s">
        <v>2379</v>
      </c>
      <c r="H1314" s="3" t="s">
        <v>2382</v>
      </c>
      <c r="I1314" s="1">
        <v>1</v>
      </c>
      <c r="J1314">
        <v>1</v>
      </c>
      <c r="K1314" s="3" t="s">
        <v>2379</v>
      </c>
      <c r="P1314" s="3"/>
    </row>
    <row r="1315" spans="1:16" x14ac:dyDescent="0.25">
      <c r="A1315" s="3" t="s">
        <v>1056</v>
      </c>
      <c r="B1315">
        <v>30.684999999999999</v>
      </c>
      <c r="C1315" t="str" cm="1">
        <f t="array" ref="C1315">_xlfn.IFS(B1315&lt;=18.5,  "Underweight",B1315&lt;=24.9,"Normal weight",B1315&lt;=29.9, "Over weight",B1315&gt;=30,"Obesity")</f>
        <v>Obesity</v>
      </c>
      <c r="D1315">
        <v>4.87</v>
      </c>
      <c r="E1315" t="str" cm="1">
        <f t="array" ref="E1315">_xlfn.IFS(D1315&lt;5.7,"Normal",D1315&lt;=6.4,"Prediabetes",D1315&gt;=6.5,"Diabetes")</f>
        <v>Normal</v>
      </c>
      <c r="F1315" s="3" t="s">
        <v>2379</v>
      </c>
      <c r="G1315" s="3" t="s">
        <v>2379</v>
      </c>
      <c r="H1315" s="3" t="s">
        <v>2382</v>
      </c>
      <c r="I1315" s="1">
        <v>1</v>
      </c>
      <c r="J1315">
        <v>1</v>
      </c>
      <c r="K1315" s="3" t="s">
        <v>2379</v>
      </c>
      <c r="P1315" s="3"/>
    </row>
    <row r="1316" spans="1:16" x14ac:dyDescent="0.25">
      <c r="A1316" s="3" t="s">
        <v>1055</v>
      </c>
      <c r="B1316">
        <v>22.135000000000002</v>
      </c>
      <c r="C1316" t="str" cm="1">
        <f t="array" ref="C1316">_xlfn.IFS(B1316&lt;=18.5,  "Underweight",B1316&lt;=24.9,"Normal weight",B1316&lt;=29.9, "Over weight",B1316&gt;=30,"Obesity")</f>
        <v>Normal weight</v>
      </c>
      <c r="D1316">
        <v>8.17</v>
      </c>
      <c r="E1316" t="str" cm="1">
        <f t="array" ref="E1316">_xlfn.IFS(D1316&lt;5.7,"Normal",D1316&lt;=6.4,"Prediabetes",D1316&gt;=6.5,"Diabetes")</f>
        <v>Diabetes</v>
      </c>
      <c r="F1316" s="3" t="s">
        <v>2379</v>
      </c>
      <c r="G1316" s="3" t="s">
        <v>2379</v>
      </c>
      <c r="H1316" s="3" t="s">
        <v>2379</v>
      </c>
      <c r="I1316" s="1" t="s">
        <v>2380</v>
      </c>
      <c r="J1316">
        <v>0</v>
      </c>
      <c r="K1316" s="3" t="s">
        <v>2379</v>
      </c>
      <c r="P1316" s="3"/>
    </row>
    <row r="1317" spans="1:16" x14ac:dyDescent="0.25">
      <c r="A1317" s="3" t="s">
        <v>1054</v>
      </c>
      <c r="B1317">
        <v>33.33</v>
      </c>
      <c r="C1317" t="str" cm="1">
        <f t="array" ref="C1317">_xlfn.IFS(B1317&lt;=18.5,  "Underweight",B1317&lt;=24.9,"Normal weight",B1317&lt;=29.9, "Over weight",B1317&gt;=30,"Obesity")</f>
        <v>Obesity</v>
      </c>
      <c r="D1317">
        <v>7.61</v>
      </c>
      <c r="E1317" t="str" cm="1">
        <f t="array" ref="E1317">_xlfn.IFS(D1317&lt;5.7,"Normal",D1317&lt;=6.4,"Prediabetes",D1317&gt;=6.5,"Diabetes")</f>
        <v>Diabetes</v>
      </c>
      <c r="F1317" s="3" t="s">
        <v>2379</v>
      </c>
      <c r="G1317" s="3" t="s">
        <v>2379</v>
      </c>
      <c r="H1317" s="3" t="s">
        <v>2379</v>
      </c>
      <c r="I1317" s="1" t="s">
        <v>2380</v>
      </c>
      <c r="J1317">
        <v>0</v>
      </c>
      <c r="K1317" s="3" t="s">
        <v>2379</v>
      </c>
      <c r="P1317" s="3"/>
    </row>
    <row r="1318" spans="1:16" x14ac:dyDescent="0.25">
      <c r="A1318" s="3" t="s">
        <v>1053</v>
      </c>
      <c r="B1318">
        <v>31.13</v>
      </c>
      <c r="C1318" t="str" cm="1">
        <f t="array" ref="C1318">_xlfn.IFS(B1318&lt;=18.5,  "Underweight",B1318&lt;=24.9,"Normal weight",B1318&lt;=29.9, "Over weight",B1318&gt;=30,"Obesity")</f>
        <v>Obesity</v>
      </c>
      <c r="D1318">
        <v>10.1</v>
      </c>
      <c r="E1318" t="str" cm="1">
        <f t="array" ref="E1318">_xlfn.IFS(D1318&lt;5.7,"Normal",D1318&lt;=6.4,"Prediabetes",D1318&gt;=6.5,"Diabetes")</f>
        <v>Diabetes</v>
      </c>
      <c r="F1318" s="3" t="s">
        <v>2379</v>
      </c>
      <c r="G1318" s="3" t="s">
        <v>2379</v>
      </c>
      <c r="H1318" s="3" t="s">
        <v>2379</v>
      </c>
      <c r="I1318" s="1" t="s">
        <v>2380</v>
      </c>
      <c r="J1318">
        <v>0</v>
      </c>
      <c r="K1318" s="3" t="s">
        <v>2379</v>
      </c>
      <c r="P1318" s="3"/>
    </row>
    <row r="1319" spans="1:16" x14ac:dyDescent="0.25">
      <c r="A1319" s="3" t="s">
        <v>1052</v>
      </c>
      <c r="B1319">
        <v>28.9</v>
      </c>
      <c r="C1319" t="str" cm="1">
        <f t="array" ref="C1319">_xlfn.IFS(B1319&lt;=18.5,  "Underweight",B1319&lt;=24.9,"Normal weight",B1319&lt;=29.9, "Over weight",B1319&gt;=30,"Obesity")</f>
        <v>Over weight</v>
      </c>
      <c r="D1319">
        <v>11.24</v>
      </c>
      <c r="E1319" t="str" cm="1">
        <f t="array" ref="E1319">_xlfn.IFS(D1319&lt;5.7,"Normal",D1319&lt;=6.4,"Prediabetes",D1319&gt;=6.5,"Diabetes")</f>
        <v>Diabetes</v>
      </c>
      <c r="F1319" s="3" t="s">
        <v>2379</v>
      </c>
      <c r="G1319" s="3" t="s">
        <v>2379</v>
      </c>
      <c r="H1319" s="3" t="s">
        <v>2379</v>
      </c>
      <c r="I1319" s="1" t="s">
        <v>2380</v>
      </c>
      <c r="J1319">
        <v>0</v>
      </c>
      <c r="K1319" s="3" t="s">
        <v>2379</v>
      </c>
      <c r="P1319" s="3"/>
    </row>
    <row r="1320" spans="1:16" x14ac:dyDescent="0.25">
      <c r="A1320" s="3" t="s">
        <v>1051</v>
      </c>
      <c r="B1320">
        <v>43.31</v>
      </c>
      <c r="C1320" t="str" cm="1">
        <f t="array" ref="C1320">_xlfn.IFS(B1320&lt;=18.5,  "Underweight",B1320&lt;=24.9,"Normal weight",B1320&lt;=29.9, "Over weight",B1320&gt;=30,"Obesity")</f>
        <v>Obesity</v>
      </c>
      <c r="D1320">
        <v>6.1</v>
      </c>
      <c r="E1320" t="str" cm="1">
        <f t="array" ref="E1320">_xlfn.IFS(D1320&lt;5.7,"Normal",D1320&lt;=6.4,"Prediabetes",D1320&gt;=6.5,"Diabetes")</f>
        <v>Prediabetes</v>
      </c>
      <c r="F1320" s="3" t="s">
        <v>2382</v>
      </c>
      <c r="G1320" s="3" t="s">
        <v>2381</v>
      </c>
      <c r="H1320" s="3" t="s">
        <v>2379</v>
      </c>
      <c r="I1320" s="1">
        <v>1</v>
      </c>
      <c r="J1320">
        <v>1</v>
      </c>
      <c r="K1320" s="3" t="s">
        <v>2379</v>
      </c>
      <c r="P1320" s="3"/>
    </row>
    <row r="1321" spans="1:16" x14ac:dyDescent="0.25">
      <c r="A1321" s="3" t="s">
        <v>1050</v>
      </c>
      <c r="B1321">
        <v>22.8</v>
      </c>
      <c r="C1321" t="str" cm="1">
        <f t="array" ref="C1321">_xlfn.IFS(B1321&lt;=18.5,  "Underweight",B1321&lt;=24.9,"Normal weight",B1321&lt;=29.9, "Over weight",B1321&gt;=30,"Obesity")</f>
        <v>Normal weight</v>
      </c>
      <c r="D1321">
        <v>6.98</v>
      </c>
      <c r="E1321" t="str" cm="1">
        <f t="array" ref="E1321">_xlfn.IFS(D1321&lt;5.7,"Normal",D1321&lt;=6.4,"Prediabetes",D1321&gt;=6.5,"Diabetes")</f>
        <v>Diabetes</v>
      </c>
      <c r="F1321" s="3" t="s">
        <v>2379</v>
      </c>
      <c r="G1321" s="3" t="s">
        <v>2379</v>
      </c>
      <c r="H1321" s="3" t="s">
        <v>2379</v>
      </c>
      <c r="I1321" s="1" t="s">
        <v>2380</v>
      </c>
      <c r="J1321">
        <v>0</v>
      </c>
      <c r="K1321" s="3" t="s">
        <v>2379</v>
      </c>
      <c r="P1321" s="3"/>
    </row>
    <row r="1322" spans="1:16" x14ac:dyDescent="0.25">
      <c r="A1322" s="3" t="s">
        <v>1049</v>
      </c>
      <c r="B1322">
        <v>19.09</v>
      </c>
      <c r="C1322" t="str" cm="1">
        <f t="array" ref="C1322">_xlfn.IFS(B1322&lt;=18.5,  "Underweight",B1322&lt;=24.9,"Normal weight",B1322&lt;=29.9, "Over weight",B1322&gt;=30,"Obesity")</f>
        <v>Normal weight</v>
      </c>
      <c r="D1322">
        <v>4</v>
      </c>
      <c r="E1322" t="str" cm="1">
        <f t="array" ref="E1322">_xlfn.IFS(D1322&lt;5.7,"Normal",D1322&lt;=6.4,"Prediabetes",D1322&gt;=6.5,"Diabetes")</f>
        <v>Normal</v>
      </c>
      <c r="F1322" s="3" t="s">
        <v>2382</v>
      </c>
      <c r="G1322" s="3" t="s">
        <v>2379</v>
      </c>
      <c r="H1322" s="3" t="s">
        <v>2379</v>
      </c>
      <c r="I1322" s="1">
        <v>1</v>
      </c>
      <c r="J1322">
        <v>1</v>
      </c>
      <c r="K1322" s="3" t="s">
        <v>2379</v>
      </c>
      <c r="P1322" s="3"/>
    </row>
    <row r="1323" spans="1:16" x14ac:dyDescent="0.25">
      <c r="A1323" s="3" t="s">
        <v>1048</v>
      </c>
      <c r="B1323">
        <v>23.37</v>
      </c>
      <c r="C1323" t="str" cm="1">
        <f t="array" ref="C1323">_xlfn.IFS(B1323&lt;=18.5,  "Underweight",B1323&lt;=24.9,"Normal weight",B1323&lt;=29.9, "Over weight",B1323&gt;=30,"Obesity")</f>
        <v>Normal weight</v>
      </c>
      <c r="D1323">
        <v>4.2300000000000004</v>
      </c>
      <c r="E1323" t="str" cm="1">
        <f t="array" ref="E1323">_xlfn.IFS(D1323&lt;5.7,"Normal",D1323&lt;=6.4,"Prediabetes",D1323&gt;=6.5,"Diabetes")</f>
        <v>Normal</v>
      </c>
      <c r="F1323" s="3" t="s">
        <v>2379</v>
      </c>
      <c r="G1323" s="3" t="s">
        <v>2379</v>
      </c>
      <c r="H1323" s="3" t="s">
        <v>2379</v>
      </c>
      <c r="I1323" s="1" t="s">
        <v>2380</v>
      </c>
      <c r="J1323">
        <v>0</v>
      </c>
      <c r="K1323" s="3" t="s">
        <v>2379</v>
      </c>
      <c r="P1323" s="3"/>
    </row>
    <row r="1324" spans="1:16" x14ac:dyDescent="0.25">
      <c r="A1324" s="3" t="s">
        <v>1047</v>
      </c>
      <c r="B1324">
        <v>33.44</v>
      </c>
      <c r="C1324" t="str" cm="1">
        <f t="array" ref="C1324">_xlfn.IFS(B1324&lt;=18.5,  "Underweight",B1324&lt;=24.9,"Normal weight",B1324&lt;=29.9, "Over weight",B1324&gt;=30,"Obesity")</f>
        <v>Obesity</v>
      </c>
      <c r="D1324">
        <v>4.72</v>
      </c>
      <c r="E1324" t="str" cm="1">
        <f t="array" ref="E1324">_xlfn.IFS(D1324&lt;5.7,"Normal",D1324&lt;=6.4,"Prediabetes",D1324&gt;=6.5,"Diabetes")</f>
        <v>Normal</v>
      </c>
      <c r="F1324" s="3" t="s">
        <v>2382</v>
      </c>
      <c r="G1324" s="3" t="s">
        <v>2379</v>
      </c>
      <c r="H1324" s="3" t="s">
        <v>2379</v>
      </c>
      <c r="I1324" s="1" t="s">
        <v>2380</v>
      </c>
      <c r="J1324">
        <v>0</v>
      </c>
      <c r="K1324" s="3" t="s">
        <v>2379</v>
      </c>
      <c r="P1324" s="3"/>
    </row>
    <row r="1325" spans="1:16" x14ac:dyDescent="0.25">
      <c r="A1325" s="3" t="s">
        <v>1046</v>
      </c>
      <c r="B1325">
        <v>28.05</v>
      </c>
      <c r="C1325" t="str" cm="1">
        <f t="array" ref="C1325">_xlfn.IFS(B1325&lt;=18.5,  "Underweight",B1325&lt;=24.9,"Normal weight",B1325&lt;=29.9, "Over weight",B1325&gt;=30,"Obesity")</f>
        <v>Over weight</v>
      </c>
      <c r="D1325">
        <v>5.63</v>
      </c>
      <c r="E1325" t="str" cm="1">
        <f t="array" ref="E1325">_xlfn.IFS(D1325&lt;5.7,"Normal",D1325&lt;=6.4,"Prediabetes",D1325&gt;=6.5,"Diabetes")</f>
        <v>Normal</v>
      </c>
      <c r="F1325" s="3" t="s">
        <v>2382</v>
      </c>
      <c r="G1325" s="3" t="s">
        <v>2379</v>
      </c>
      <c r="H1325" s="3" t="s">
        <v>2379</v>
      </c>
      <c r="I1325" s="1" t="s">
        <v>2380</v>
      </c>
      <c r="J1325">
        <v>0</v>
      </c>
      <c r="K1325" s="3" t="s">
        <v>2379</v>
      </c>
      <c r="P1325" s="3"/>
    </row>
    <row r="1326" spans="1:16" x14ac:dyDescent="0.25">
      <c r="A1326" s="3" t="s">
        <v>1045</v>
      </c>
      <c r="B1326">
        <v>27.72</v>
      </c>
      <c r="C1326" t="str" cm="1">
        <f t="array" ref="C1326">_xlfn.IFS(B1326&lt;=18.5,  "Underweight",B1326&lt;=24.9,"Normal weight",B1326&lt;=29.9, "Over weight",B1326&gt;=30,"Obesity")</f>
        <v>Over weight</v>
      </c>
      <c r="D1326">
        <v>5.83</v>
      </c>
      <c r="E1326" t="str" cm="1">
        <f t="array" ref="E1326">_xlfn.IFS(D1326&lt;5.7,"Normal",D1326&lt;=6.4,"Prediabetes",D1326&gt;=6.5,"Diabetes")</f>
        <v>Prediabetes</v>
      </c>
      <c r="F1326" s="3" t="s">
        <v>2382</v>
      </c>
      <c r="G1326" s="3" t="s">
        <v>2379</v>
      </c>
      <c r="H1326" s="3" t="s">
        <v>2379</v>
      </c>
      <c r="I1326" s="1" t="s">
        <v>2380</v>
      </c>
      <c r="J1326">
        <v>0</v>
      </c>
      <c r="K1326" s="3" t="s">
        <v>2379</v>
      </c>
      <c r="P1326" s="3"/>
    </row>
    <row r="1327" spans="1:16" x14ac:dyDescent="0.25">
      <c r="A1327" s="3" t="s">
        <v>1044</v>
      </c>
      <c r="B1327">
        <v>29.81</v>
      </c>
      <c r="C1327" t="str" cm="1">
        <f t="array" ref="C1327">_xlfn.IFS(B1327&lt;=18.5,  "Underweight",B1327&lt;=24.9,"Normal weight",B1327&lt;=29.9, "Over weight",B1327&gt;=30,"Obesity")</f>
        <v>Over weight</v>
      </c>
      <c r="D1327">
        <v>9.23</v>
      </c>
      <c r="E1327" t="str" cm="1">
        <f t="array" ref="E1327">_xlfn.IFS(D1327&lt;5.7,"Normal",D1327&lt;=6.4,"Prediabetes",D1327&gt;=6.5,"Diabetes")</f>
        <v>Diabetes</v>
      </c>
      <c r="F1327" s="3" t="s">
        <v>2379</v>
      </c>
      <c r="G1327" s="3" t="s">
        <v>2379</v>
      </c>
      <c r="H1327" s="3" t="s">
        <v>2379</v>
      </c>
      <c r="I1327" s="1" t="s">
        <v>2380</v>
      </c>
      <c r="J1327">
        <v>0</v>
      </c>
      <c r="K1327" s="3" t="s">
        <v>2379</v>
      </c>
      <c r="P1327" s="3"/>
    </row>
    <row r="1328" spans="1:16" x14ac:dyDescent="0.25">
      <c r="A1328" s="3" t="s">
        <v>1043</v>
      </c>
      <c r="B1328">
        <v>23.98</v>
      </c>
      <c r="C1328" t="str" cm="1">
        <f t="array" ref="C1328">_xlfn.IFS(B1328&lt;=18.5,  "Underweight",B1328&lt;=24.9,"Normal weight",B1328&lt;=29.9, "Over weight",B1328&gt;=30,"Obesity")</f>
        <v>Normal weight</v>
      </c>
      <c r="D1328">
        <v>9.89</v>
      </c>
      <c r="E1328" t="str" cm="1">
        <f t="array" ref="E1328">_xlfn.IFS(D1328&lt;5.7,"Normal",D1328&lt;=6.4,"Prediabetes",D1328&gt;=6.5,"Diabetes")</f>
        <v>Diabetes</v>
      </c>
      <c r="F1328" s="3" t="s">
        <v>2379</v>
      </c>
      <c r="G1328" s="3" t="s">
        <v>2379</v>
      </c>
      <c r="H1328" s="3" t="s">
        <v>2379</v>
      </c>
      <c r="I1328" s="1" t="s">
        <v>2380</v>
      </c>
      <c r="J1328">
        <v>0</v>
      </c>
      <c r="K1328" s="3" t="s">
        <v>2379</v>
      </c>
      <c r="P1328" s="3"/>
    </row>
    <row r="1329" spans="1:16" x14ac:dyDescent="0.25">
      <c r="A1329" s="3" t="s">
        <v>1042</v>
      </c>
      <c r="B1329">
        <v>17.34</v>
      </c>
      <c r="C1329" t="str" cm="1">
        <f t="array" ref="C1329">_xlfn.IFS(B1329&lt;=18.5,  "Underweight",B1329&lt;=24.9,"Normal weight",B1329&lt;=29.9, "Over weight",B1329&gt;=30,"Obesity")</f>
        <v>Underweight</v>
      </c>
      <c r="D1329">
        <v>12</v>
      </c>
      <c r="E1329" t="str" cm="1">
        <f t="array" ref="E1329">_xlfn.IFS(D1329&lt;5.7,"Normal",D1329&lt;=6.4,"Prediabetes",D1329&gt;=6.5,"Diabetes")</f>
        <v>Diabetes</v>
      </c>
      <c r="F1329" s="3" t="s">
        <v>2379</v>
      </c>
      <c r="G1329" s="3" t="s">
        <v>2379</v>
      </c>
      <c r="H1329" s="3" t="s">
        <v>2379</v>
      </c>
      <c r="I1329" s="1" t="s">
        <v>2380</v>
      </c>
      <c r="J1329">
        <v>0</v>
      </c>
      <c r="K1329" s="3" t="s">
        <v>2379</v>
      </c>
      <c r="P1329" s="3"/>
    </row>
    <row r="1330" spans="1:16" x14ac:dyDescent="0.25">
      <c r="A1330" s="3" t="s">
        <v>1041</v>
      </c>
      <c r="B1330">
        <v>40.39</v>
      </c>
      <c r="C1330" t="str" cm="1">
        <f t="array" ref="C1330">_xlfn.IFS(B1330&lt;=18.5,  "Underweight",B1330&lt;=24.9,"Normal weight",B1330&lt;=29.9, "Over weight",B1330&gt;=30,"Obesity")</f>
        <v>Obesity</v>
      </c>
      <c r="D1330">
        <v>4.24</v>
      </c>
      <c r="E1330" t="str" cm="1">
        <f t="array" ref="E1330">_xlfn.IFS(D1330&lt;5.7,"Normal",D1330&lt;=6.4,"Prediabetes",D1330&gt;=6.5,"Diabetes")</f>
        <v>Normal</v>
      </c>
      <c r="F1330" s="3" t="s">
        <v>2382</v>
      </c>
      <c r="G1330" s="3" t="s">
        <v>2379</v>
      </c>
      <c r="H1330" s="3" t="s">
        <v>2382</v>
      </c>
      <c r="I1330" s="1">
        <v>1</v>
      </c>
      <c r="J1330">
        <v>1</v>
      </c>
      <c r="K1330" s="3" t="s">
        <v>2379</v>
      </c>
      <c r="P1330" s="3"/>
    </row>
    <row r="1331" spans="1:16" x14ac:dyDescent="0.25">
      <c r="A1331" s="3" t="s">
        <v>1040</v>
      </c>
      <c r="B1331">
        <v>25.96</v>
      </c>
      <c r="C1331" t="str" cm="1">
        <f t="array" ref="C1331">_xlfn.IFS(B1331&lt;=18.5,  "Underweight",B1331&lt;=24.9,"Normal weight",B1331&lt;=29.9, "Over weight",B1331&gt;=30,"Obesity")</f>
        <v>Over weight</v>
      </c>
      <c r="D1331">
        <v>4.68</v>
      </c>
      <c r="E1331" t="str" cm="1">
        <f t="array" ref="E1331">_xlfn.IFS(D1331&lt;5.7,"Normal",D1331&lt;=6.4,"Prediabetes",D1331&gt;=6.5,"Diabetes")</f>
        <v>Normal</v>
      </c>
      <c r="F1331" s="3" t="s">
        <v>2382</v>
      </c>
      <c r="G1331" s="3" t="s">
        <v>2379</v>
      </c>
      <c r="H1331" s="3" t="s">
        <v>2382</v>
      </c>
      <c r="I1331" s="1">
        <v>1</v>
      </c>
      <c r="J1331">
        <v>1</v>
      </c>
      <c r="K1331" s="3" t="s">
        <v>2379</v>
      </c>
      <c r="P1331" s="3"/>
    </row>
    <row r="1332" spans="1:16" x14ac:dyDescent="0.25">
      <c r="A1332" s="3" t="s">
        <v>1039</v>
      </c>
      <c r="B1332">
        <v>17.68</v>
      </c>
      <c r="C1332" t="str" cm="1">
        <f t="array" ref="C1332">_xlfn.IFS(B1332&lt;=18.5,  "Underweight",B1332&lt;=24.9,"Normal weight",B1332&lt;=29.9, "Over weight",B1332&gt;=30,"Obesity")</f>
        <v>Underweight</v>
      </c>
      <c r="D1332">
        <v>8.57</v>
      </c>
      <c r="E1332" t="str" cm="1">
        <f t="array" ref="E1332">_xlfn.IFS(D1332&lt;5.7,"Normal",D1332&lt;=6.4,"Prediabetes",D1332&gt;=6.5,"Diabetes")</f>
        <v>Diabetes</v>
      </c>
      <c r="F1332" s="3" t="s">
        <v>2382</v>
      </c>
      <c r="G1332" s="3" t="s">
        <v>2379</v>
      </c>
      <c r="H1332" s="3" t="s">
        <v>2382</v>
      </c>
      <c r="I1332" s="1">
        <v>1</v>
      </c>
      <c r="J1332">
        <v>1</v>
      </c>
      <c r="K1332" s="3" t="s">
        <v>2379</v>
      </c>
      <c r="P1332" s="3"/>
    </row>
    <row r="1333" spans="1:16" x14ac:dyDescent="0.25">
      <c r="A1333" s="3" t="s">
        <v>1038</v>
      </c>
      <c r="B1333">
        <v>30.875</v>
      </c>
      <c r="C1333" t="str" cm="1">
        <f t="array" ref="C1333">_xlfn.IFS(B1333&lt;=18.5,  "Underweight",B1333&lt;=24.9,"Normal weight",B1333&lt;=29.9, "Over weight",B1333&gt;=30,"Obesity")</f>
        <v>Obesity</v>
      </c>
      <c r="D1333">
        <v>4.0999999999999996</v>
      </c>
      <c r="E1333" t="str" cm="1">
        <f t="array" ref="E1333">_xlfn.IFS(D1333&lt;5.7,"Normal",D1333&lt;=6.4,"Prediabetes",D1333&gt;=6.5,"Diabetes")</f>
        <v>Normal</v>
      </c>
      <c r="F1333" s="3" t="s">
        <v>2379</v>
      </c>
      <c r="G1333" s="3" t="s">
        <v>2379</v>
      </c>
      <c r="H1333" s="3" t="s">
        <v>2379</v>
      </c>
      <c r="I1333" s="1" t="s">
        <v>2380</v>
      </c>
      <c r="J1333">
        <v>0</v>
      </c>
      <c r="K1333" s="3" t="s">
        <v>2379</v>
      </c>
      <c r="P1333" s="3"/>
    </row>
    <row r="1334" spans="1:16" x14ac:dyDescent="0.25">
      <c r="A1334" s="3" t="s">
        <v>1037</v>
      </c>
      <c r="B1334">
        <v>30.81</v>
      </c>
      <c r="C1334" t="str" cm="1">
        <f t="array" ref="C1334">_xlfn.IFS(B1334&lt;=18.5,  "Underweight",B1334&lt;=24.9,"Normal weight",B1334&lt;=29.9, "Over weight",B1334&gt;=30,"Obesity")</f>
        <v>Obesity</v>
      </c>
      <c r="D1334">
        <v>4.49</v>
      </c>
      <c r="E1334" t="str" cm="1">
        <f t="array" ref="E1334">_xlfn.IFS(D1334&lt;5.7,"Normal",D1334&lt;=6.4,"Prediabetes",D1334&gt;=6.5,"Diabetes")</f>
        <v>Normal</v>
      </c>
      <c r="F1334" s="3" t="s">
        <v>2379</v>
      </c>
      <c r="G1334" s="3" t="s">
        <v>2379</v>
      </c>
      <c r="H1334" s="3" t="s">
        <v>2379</v>
      </c>
      <c r="I1334" s="1" t="s">
        <v>2380</v>
      </c>
      <c r="J1334">
        <v>0</v>
      </c>
      <c r="K1334" s="3" t="s">
        <v>2379</v>
      </c>
      <c r="P1334" s="3"/>
    </row>
    <row r="1335" spans="1:16" x14ac:dyDescent="0.25">
      <c r="A1335" s="3" t="s">
        <v>1036</v>
      </c>
      <c r="B1335">
        <v>36.85</v>
      </c>
      <c r="C1335" t="str" cm="1">
        <f t="array" ref="C1335">_xlfn.IFS(B1335&lt;=18.5,  "Underweight",B1335&lt;=24.9,"Normal weight",B1335&lt;=29.9, "Over weight",B1335&gt;=30,"Obesity")</f>
        <v>Obesity</v>
      </c>
      <c r="D1335">
        <v>8.8000000000000007</v>
      </c>
      <c r="E1335" t="str" cm="1">
        <f t="array" ref="E1335">_xlfn.IFS(D1335&lt;5.7,"Normal",D1335&lt;=6.4,"Prediabetes",D1335&gt;=6.5,"Diabetes")</f>
        <v>Diabetes</v>
      </c>
      <c r="F1335" s="3" t="s">
        <v>2379</v>
      </c>
      <c r="G1335" s="3" t="s">
        <v>2379</v>
      </c>
      <c r="H1335" s="3" t="s">
        <v>2379</v>
      </c>
      <c r="I1335" s="1">
        <v>2</v>
      </c>
      <c r="J1335">
        <v>2</v>
      </c>
      <c r="K1335" s="3" t="s">
        <v>2379</v>
      </c>
      <c r="P1335" s="3"/>
    </row>
    <row r="1336" spans="1:16" x14ac:dyDescent="0.25">
      <c r="A1336" s="3" t="s">
        <v>1035</v>
      </c>
      <c r="B1336">
        <v>35.86</v>
      </c>
      <c r="C1336" t="str" cm="1">
        <f t="array" ref="C1336">_xlfn.IFS(B1336&lt;=18.5,  "Underweight",B1336&lt;=24.9,"Normal weight",B1336&lt;=29.9, "Over weight",B1336&gt;=30,"Obesity")</f>
        <v>Obesity</v>
      </c>
      <c r="D1336">
        <v>7.93</v>
      </c>
      <c r="E1336" t="str" cm="1">
        <f t="array" ref="E1336">_xlfn.IFS(D1336&lt;5.7,"Normal",D1336&lt;=6.4,"Prediabetes",D1336&gt;=6.5,"Diabetes")</f>
        <v>Diabetes</v>
      </c>
      <c r="F1336" s="3" t="s">
        <v>2379</v>
      </c>
      <c r="G1336" s="3" t="s">
        <v>2379</v>
      </c>
      <c r="H1336" s="3" t="s">
        <v>2379</v>
      </c>
      <c r="I1336" s="1">
        <v>2</v>
      </c>
      <c r="J1336">
        <v>2</v>
      </c>
      <c r="K1336" s="3" t="s">
        <v>2379</v>
      </c>
      <c r="P1336" s="3"/>
    </row>
    <row r="1337" spans="1:16" x14ac:dyDescent="0.25">
      <c r="A1337" s="3" t="s">
        <v>1034</v>
      </c>
      <c r="B1337">
        <v>30.3</v>
      </c>
      <c r="C1337" t="str" cm="1">
        <f t="array" ref="C1337">_xlfn.IFS(B1337&lt;=18.5,  "Underweight",B1337&lt;=24.9,"Normal weight",B1337&lt;=29.9, "Over weight",B1337&gt;=30,"Obesity")</f>
        <v>Obesity</v>
      </c>
      <c r="D1337">
        <v>9.4499999999999993</v>
      </c>
      <c r="E1337" t="str" cm="1">
        <f t="array" ref="E1337">_xlfn.IFS(D1337&lt;5.7,"Normal",D1337&lt;=6.4,"Prediabetes",D1337&gt;=6.5,"Diabetes")</f>
        <v>Diabetes</v>
      </c>
      <c r="F1337" s="3" t="s">
        <v>2379</v>
      </c>
      <c r="G1337" s="3" t="s">
        <v>2379</v>
      </c>
      <c r="H1337" s="3" t="s">
        <v>2379</v>
      </c>
      <c r="I1337" s="1">
        <v>2</v>
      </c>
      <c r="J1337">
        <v>2</v>
      </c>
      <c r="K1337" s="3" t="s">
        <v>2379</v>
      </c>
      <c r="P1337" s="3"/>
    </row>
    <row r="1338" spans="1:16" x14ac:dyDescent="0.25">
      <c r="A1338" s="3" t="s">
        <v>1033</v>
      </c>
      <c r="B1338">
        <v>32.015000000000001</v>
      </c>
      <c r="C1338" t="str" cm="1">
        <f t="array" ref="C1338">_xlfn.IFS(B1338&lt;=18.5,  "Underweight",B1338&lt;=24.9,"Normal weight",B1338&lt;=29.9, "Over weight",B1338&gt;=30,"Obesity")</f>
        <v>Obesity</v>
      </c>
      <c r="D1338">
        <v>7.67</v>
      </c>
      <c r="E1338" t="str" cm="1">
        <f t="array" ref="E1338">_xlfn.IFS(D1338&lt;5.7,"Normal",D1338&lt;=6.4,"Prediabetes",D1338&gt;=6.5,"Diabetes")</f>
        <v>Diabetes</v>
      </c>
      <c r="F1338" s="3" t="s">
        <v>2379</v>
      </c>
      <c r="G1338" s="3" t="s">
        <v>2379</v>
      </c>
      <c r="H1338" s="3" t="s">
        <v>2379</v>
      </c>
      <c r="I1338" s="1" t="s">
        <v>2380</v>
      </c>
      <c r="J1338">
        <v>0</v>
      </c>
      <c r="K1338" s="3" t="s">
        <v>2379</v>
      </c>
      <c r="P1338" s="3"/>
    </row>
    <row r="1339" spans="1:16" x14ac:dyDescent="0.25">
      <c r="A1339" s="3" t="s">
        <v>1032</v>
      </c>
      <c r="B1339">
        <v>25.06</v>
      </c>
      <c r="C1339" t="str" cm="1">
        <f t="array" ref="C1339">_xlfn.IFS(B1339&lt;=18.5,  "Underweight",B1339&lt;=24.9,"Normal weight",B1339&lt;=29.9, "Over weight",B1339&gt;=30,"Obesity")</f>
        <v>Over weight</v>
      </c>
      <c r="D1339">
        <v>10.53</v>
      </c>
      <c r="E1339" t="str" cm="1">
        <f t="array" ref="E1339">_xlfn.IFS(D1339&lt;5.7,"Normal",D1339&lt;=6.4,"Prediabetes",D1339&gt;=6.5,"Diabetes")</f>
        <v>Diabetes</v>
      </c>
      <c r="F1339" s="3" t="s">
        <v>2379</v>
      </c>
      <c r="G1339" s="3" t="s">
        <v>2379</v>
      </c>
      <c r="H1339" s="3" t="s">
        <v>2379</v>
      </c>
      <c r="I1339" s="1">
        <v>2</v>
      </c>
      <c r="J1339">
        <v>2</v>
      </c>
      <c r="K1339" s="3" t="s">
        <v>2379</v>
      </c>
      <c r="P1339" s="3"/>
    </row>
    <row r="1340" spans="1:16" x14ac:dyDescent="0.25">
      <c r="A1340" s="3" t="s">
        <v>1031</v>
      </c>
      <c r="B1340">
        <v>18.829999999999998</v>
      </c>
      <c r="C1340" t="str" cm="1">
        <f t="array" ref="C1340">_xlfn.IFS(B1340&lt;=18.5,  "Underweight",B1340&lt;=24.9,"Normal weight",B1340&lt;=29.9, "Over weight",B1340&gt;=30,"Obesity")</f>
        <v>Normal weight</v>
      </c>
      <c r="D1340">
        <v>10.08</v>
      </c>
      <c r="E1340" t="str" cm="1">
        <f t="array" ref="E1340">_xlfn.IFS(D1340&lt;5.7,"Normal",D1340&lt;=6.4,"Prediabetes",D1340&gt;=6.5,"Diabetes")</f>
        <v>Diabetes</v>
      </c>
      <c r="F1340" s="3" t="s">
        <v>2382</v>
      </c>
      <c r="G1340" s="3" t="s">
        <v>2379</v>
      </c>
      <c r="H1340" s="3" t="s">
        <v>2379</v>
      </c>
      <c r="I1340" s="1" t="s">
        <v>2380</v>
      </c>
      <c r="J1340">
        <v>0</v>
      </c>
      <c r="K1340" s="3" t="s">
        <v>2379</v>
      </c>
      <c r="P1340" s="3"/>
    </row>
    <row r="1341" spans="1:16" x14ac:dyDescent="0.25">
      <c r="A1341" s="3" t="s">
        <v>1030</v>
      </c>
      <c r="B1341">
        <v>47.52</v>
      </c>
      <c r="C1341" t="str" cm="1">
        <f t="array" ref="C1341">_xlfn.IFS(B1341&lt;=18.5,  "Underweight",B1341&lt;=24.9,"Normal weight",B1341&lt;=29.9, "Over weight",B1341&gt;=30,"Obesity")</f>
        <v>Obesity</v>
      </c>
      <c r="D1341">
        <v>11.39</v>
      </c>
      <c r="E1341" t="str" cm="1">
        <f t="array" ref="E1341">_xlfn.IFS(D1341&lt;5.7,"Normal",D1341&lt;=6.4,"Prediabetes",D1341&gt;=6.5,"Diabetes")</f>
        <v>Diabetes</v>
      </c>
      <c r="F1341" s="3" t="s">
        <v>2382</v>
      </c>
      <c r="G1341" s="3" t="s">
        <v>2379</v>
      </c>
      <c r="H1341" s="3" t="s">
        <v>2379</v>
      </c>
      <c r="I1341" s="1">
        <v>1</v>
      </c>
      <c r="J1341">
        <v>1</v>
      </c>
      <c r="K1341" s="3" t="s">
        <v>2379</v>
      </c>
      <c r="P1341" s="3"/>
    </row>
    <row r="1342" spans="1:16" x14ac:dyDescent="0.25">
      <c r="A1342" s="3" t="s">
        <v>1029</v>
      </c>
      <c r="B1342">
        <v>37.82</v>
      </c>
      <c r="C1342" t="str" cm="1">
        <f t="array" ref="C1342">_xlfn.IFS(B1342&lt;=18.5,  "Underweight",B1342&lt;=24.9,"Normal weight",B1342&lt;=29.9, "Over weight",B1342&gt;=30,"Obesity")</f>
        <v>Obesity</v>
      </c>
      <c r="D1342">
        <v>6.36</v>
      </c>
      <c r="E1342" t="str" cm="1">
        <f t="array" ref="E1342">_xlfn.IFS(D1342&lt;5.7,"Normal",D1342&lt;=6.4,"Prediabetes",D1342&gt;=6.5,"Diabetes")</f>
        <v>Prediabetes</v>
      </c>
      <c r="F1342" s="3" t="s">
        <v>2379</v>
      </c>
      <c r="G1342" s="3" t="s">
        <v>2379</v>
      </c>
      <c r="H1342" s="3" t="s">
        <v>2379</v>
      </c>
      <c r="I1342" s="1" t="s">
        <v>2380</v>
      </c>
      <c r="J1342">
        <v>0</v>
      </c>
      <c r="K1342" s="3" t="s">
        <v>2379</v>
      </c>
      <c r="P1342" s="3"/>
    </row>
    <row r="1343" spans="1:16" x14ac:dyDescent="0.25">
      <c r="A1343" s="3" t="s">
        <v>1028</v>
      </c>
      <c r="B1343">
        <v>44.16</v>
      </c>
      <c r="C1343" t="str" cm="1">
        <f t="array" ref="C1343">_xlfn.IFS(B1343&lt;=18.5,  "Underweight",B1343&lt;=24.9,"Normal weight",B1343&lt;=29.9, "Over weight",B1343&gt;=30,"Obesity")</f>
        <v>Obesity</v>
      </c>
      <c r="D1343">
        <v>5.31</v>
      </c>
      <c r="E1343" t="str" cm="1">
        <f t="array" ref="E1343">_xlfn.IFS(D1343&lt;5.7,"Normal",D1343&lt;=6.4,"Prediabetes",D1343&gt;=6.5,"Diabetes")</f>
        <v>Normal</v>
      </c>
      <c r="F1343" s="3" t="s">
        <v>2382</v>
      </c>
      <c r="G1343" s="3" t="s">
        <v>2379</v>
      </c>
      <c r="H1343" s="3" t="s">
        <v>2379</v>
      </c>
      <c r="I1343" s="1" t="s">
        <v>2380</v>
      </c>
      <c r="J1343">
        <v>0</v>
      </c>
      <c r="K1343" s="3" t="s">
        <v>2379</v>
      </c>
      <c r="P1343" s="3"/>
    </row>
    <row r="1344" spans="1:16" x14ac:dyDescent="0.25">
      <c r="A1344" s="3" t="s">
        <v>1027</v>
      </c>
      <c r="B1344">
        <v>37.049999999999997</v>
      </c>
      <c r="C1344" t="str" cm="1">
        <f t="array" ref="C1344">_xlfn.IFS(B1344&lt;=18.5,  "Underweight",B1344&lt;=24.9,"Normal weight",B1344&lt;=29.9, "Over weight",B1344&gt;=30,"Obesity")</f>
        <v>Obesity</v>
      </c>
      <c r="D1344">
        <v>4.74</v>
      </c>
      <c r="E1344" t="str" cm="1">
        <f t="array" ref="E1344">_xlfn.IFS(D1344&lt;5.7,"Normal",D1344&lt;=6.4,"Prediabetes",D1344&gt;=6.5,"Diabetes")</f>
        <v>Normal</v>
      </c>
      <c r="F1344" s="3" t="s">
        <v>2379</v>
      </c>
      <c r="G1344" s="3" t="s">
        <v>2379</v>
      </c>
      <c r="H1344" s="3" t="s">
        <v>2382</v>
      </c>
      <c r="I1344" s="1">
        <v>1</v>
      </c>
      <c r="J1344">
        <v>1</v>
      </c>
      <c r="K1344" s="3" t="s">
        <v>2379</v>
      </c>
      <c r="P1344" s="3"/>
    </row>
    <row r="1345" spans="1:16" x14ac:dyDescent="0.25">
      <c r="A1345" s="3" t="s">
        <v>1026</v>
      </c>
      <c r="B1345">
        <v>18.66</v>
      </c>
      <c r="C1345" t="str" cm="1">
        <f t="array" ref="C1345">_xlfn.IFS(B1345&lt;=18.5,  "Underweight",B1345&lt;=24.9,"Normal weight",B1345&lt;=29.9, "Over weight",B1345&gt;=30,"Obesity")</f>
        <v>Normal weight</v>
      </c>
      <c r="D1345">
        <v>11.35</v>
      </c>
      <c r="E1345" t="str" cm="1">
        <f t="array" ref="E1345">_xlfn.IFS(D1345&lt;5.7,"Normal",D1345&lt;=6.4,"Prediabetes",D1345&gt;=6.5,"Diabetes")</f>
        <v>Diabetes</v>
      </c>
      <c r="F1345" s="3" t="s">
        <v>2379</v>
      </c>
      <c r="G1345" s="3" t="s">
        <v>2379</v>
      </c>
      <c r="H1345" s="3" t="s">
        <v>2379</v>
      </c>
      <c r="I1345" s="1" t="s">
        <v>2380</v>
      </c>
      <c r="J1345">
        <v>0</v>
      </c>
      <c r="K1345" s="3" t="s">
        <v>2379</v>
      </c>
      <c r="P1345" s="3"/>
    </row>
    <row r="1346" spans="1:16" x14ac:dyDescent="0.25">
      <c r="A1346" s="3" t="s">
        <v>1025</v>
      </c>
      <c r="B1346">
        <v>36.200000000000003</v>
      </c>
      <c r="C1346" t="str" cm="1">
        <f t="array" ref="C1346">_xlfn.IFS(B1346&lt;=18.5,  "Underweight",B1346&lt;=24.9,"Normal weight",B1346&lt;=29.9, "Over weight",B1346&gt;=30,"Obesity")</f>
        <v>Obesity</v>
      </c>
      <c r="D1346">
        <v>6.81</v>
      </c>
      <c r="E1346" t="str" cm="1">
        <f t="array" ref="E1346">_xlfn.IFS(D1346&lt;5.7,"Normal",D1346&lt;=6.4,"Prediabetes",D1346&gt;=6.5,"Diabetes")</f>
        <v>Diabetes</v>
      </c>
      <c r="F1346" s="3" t="s">
        <v>2382</v>
      </c>
      <c r="G1346" s="3" t="s">
        <v>2379</v>
      </c>
      <c r="H1346" s="3" t="s">
        <v>2379</v>
      </c>
      <c r="I1346" s="1">
        <v>1</v>
      </c>
      <c r="J1346">
        <v>1</v>
      </c>
      <c r="K1346" s="3" t="s">
        <v>2379</v>
      </c>
      <c r="P1346" s="3"/>
    </row>
    <row r="1347" spans="1:16" x14ac:dyDescent="0.25">
      <c r="A1347" s="3" t="s">
        <v>1024</v>
      </c>
      <c r="B1347">
        <v>18.87</v>
      </c>
      <c r="C1347" t="str" cm="1">
        <f t="array" ref="C1347">_xlfn.IFS(B1347&lt;=18.5,  "Underweight",B1347&lt;=24.9,"Normal weight",B1347&lt;=29.9, "Over weight",B1347&gt;=30,"Obesity")</f>
        <v>Normal weight</v>
      </c>
      <c r="D1347">
        <v>8.06</v>
      </c>
      <c r="E1347" t="str" cm="1">
        <f t="array" ref="E1347">_xlfn.IFS(D1347&lt;5.7,"Normal",D1347&lt;=6.4,"Prediabetes",D1347&gt;=6.5,"Diabetes")</f>
        <v>Diabetes</v>
      </c>
      <c r="F1347" s="3" t="s">
        <v>2379</v>
      </c>
      <c r="G1347" s="3" t="s">
        <v>2379</v>
      </c>
      <c r="H1347" s="3" t="s">
        <v>2379</v>
      </c>
      <c r="I1347" s="1" t="s">
        <v>2380</v>
      </c>
      <c r="J1347">
        <v>0</v>
      </c>
      <c r="K1347" s="3" t="s">
        <v>2379</v>
      </c>
      <c r="P1347" s="3"/>
    </row>
    <row r="1348" spans="1:16" x14ac:dyDescent="0.25">
      <c r="A1348" s="3" t="s">
        <v>1023</v>
      </c>
      <c r="B1348">
        <v>32.299999999999997</v>
      </c>
      <c r="C1348" t="str" cm="1">
        <f t="array" ref="C1348">_xlfn.IFS(B1348&lt;=18.5,  "Underweight",B1348&lt;=24.9,"Normal weight",B1348&lt;=29.9, "Over weight",B1348&gt;=30,"Obesity")</f>
        <v>Obesity</v>
      </c>
      <c r="D1348">
        <v>6.74</v>
      </c>
      <c r="E1348" t="str" cm="1">
        <f t="array" ref="E1348">_xlfn.IFS(D1348&lt;5.7,"Normal",D1348&lt;=6.4,"Prediabetes",D1348&gt;=6.5,"Diabetes")</f>
        <v>Diabetes</v>
      </c>
      <c r="F1348" s="3" t="s">
        <v>2382</v>
      </c>
      <c r="G1348" s="3" t="s">
        <v>2379</v>
      </c>
      <c r="H1348" s="3" t="s">
        <v>2379</v>
      </c>
      <c r="I1348" s="1">
        <v>1</v>
      </c>
      <c r="J1348">
        <v>1</v>
      </c>
      <c r="K1348" s="3" t="s">
        <v>2379</v>
      </c>
      <c r="P1348" s="3"/>
    </row>
    <row r="1349" spans="1:16" x14ac:dyDescent="0.25">
      <c r="A1349" s="3" t="s">
        <v>1022</v>
      </c>
      <c r="B1349">
        <v>22.64</v>
      </c>
      <c r="C1349" t="str" cm="1">
        <f t="array" ref="C1349">_xlfn.IFS(B1349&lt;=18.5,  "Underweight",B1349&lt;=24.9,"Normal weight",B1349&lt;=29.9, "Over weight",B1349&gt;=30,"Obesity")</f>
        <v>Normal weight</v>
      </c>
      <c r="D1349">
        <v>6.54</v>
      </c>
      <c r="E1349" t="str" cm="1">
        <f t="array" ref="E1349">_xlfn.IFS(D1349&lt;5.7,"Normal",D1349&lt;=6.4,"Prediabetes",D1349&gt;=6.5,"Diabetes")</f>
        <v>Diabetes</v>
      </c>
      <c r="F1349" s="3" t="s">
        <v>2382</v>
      </c>
      <c r="G1349" s="3" t="s">
        <v>2379</v>
      </c>
      <c r="H1349" s="3" t="s">
        <v>2379</v>
      </c>
      <c r="I1349" s="1">
        <v>2</v>
      </c>
      <c r="J1349">
        <v>2</v>
      </c>
      <c r="K1349" s="3" t="s">
        <v>2379</v>
      </c>
      <c r="P1349" s="3"/>
    </row>
    <row r="1350" spans="1:16" x14ac:dyDescent="0.25">
      <c r="A1350" s="3" t="s">
        <v>1021</v>
      </c>
      <c r="B1350">
        <v>28.69</v>
      </c>
      <c r="C1350" t="str" cm="1">
        <f t="array" ref="C1350">_xlfn.IFS(B1350&lt;=18.5,  "Underweight",B1350&lt;=24.9,"Normal weight",B1350&lt;=29.9, "Over weight",B1350&gt;=30,"Obesity")</f>
        <v>Over weight</v>
      </c>
      <c r="D1350">
        <v>5.4</v>
      </c>
      <c r="E1350" t="str" cm="1">
        <f t="array" ref="E1350">_xlfn.IFS(D1350&lt;5.7,"Normal",D1350&lt;=6.4,"Prediabetes",D1350&gt;=6.5,"Diabetes")</f>
        <v>Normal</v>
      </c>
      <c r="F1350" s="3" t="s">
        <v>2379</v>
      </c>
      <c r="G1350" s="3" t="s">
        <v>2379</v>
      </c>
      <c r="H1350" s="3" t="s">
        <v>2379</v>
      </c>
      <c r="I1350" s="1" t="s">
        <v>2380</v>
      </c>
      <c r="J1350">
        <v>0</v>
      </c>
      <c r="K1350" s="3" t="s">
        <v>2379</v>
      </c>
      <c r="P1350" s="3"/>
    </row>
    <row r="1351" spans="1:16" x14ac:dyDescent="0.25">
      <c r="A1351" s="3" t="s">
        <v>1020</v>
      </c>
      <c r="B1351">
        <v>28.16</v>
      </c>
      <c r="C1351" t="str" cm="1">
        <f t="array" ref="C1351">_xlfn.IFS(B1351&lt;=18.5,  "Underweight",B1351&lt;=24.9,"Normal weight",B1351&lt;=29.9, "Over weight",B1351&gt;=30,"Obesity")</f>
        <v>Over weight</v>
      </c>
      <c r="D1351">
        <v>5.58</v>
      </c>
      <c r="E1351" t="str" cm="1">
        <f t="array" ref="E1351">_xlfn.IFS(D1351&lt;5.7,"Normal",D1351&lt;=6.4,"Prediabetes",D1351&gt;=6.5,"Diabetes")</f>
        <v>Normal</v>
      </c>
      <c r="F1351" s="3" t="s">
        <v>2382</v>
      </c>
      <c r="G1351" s="3" t="s">
        <v>2379</v>
      </c>
      <c r="H1351" s="3" t="s">
        <v>2379</v>
      </c>
      <c r="I1351" s="1" t="s">
        <v>2380</v>
      </c>
      <c r="J1351">
        <v>0</v>
      </c>
      <c r="K1351" s="3" t="s">
        <v>2379</v>
      </c>
      <c r="P1351" s="3"/>
    </row>
    <row r="1352" spans="1:16" x14ac:dyDescent="0.25">
      <c r="A1352" s="3" t="s">
        <v>1019</v>
      </c>
      <c r="B1352">
        <v>45.54</v>
      </c>
      <c r="C1352" t="str" cm="1">
        <f t="array" ref="C1352">_xlfn.IFS(B1352&lt;=18.5,  "Underweight",B1352&lt;=24.9,"Normal weight",B1352&lt;=29.9, "Over weight",B1352&gt;=30,"Obesity")</f>
        <v>Obesity</v>
      </c>
      <c r="D1352">
        <v>5.84</v>
      </c>
      <c r="E1352" t="str" cm="1">
        <f t="array" ref="E1352">_xlfn.IFS(D1352&lt;5.7,"Normal",D1352&lt;=6.4,"Prediabetes",D1352&gt;=6.5,"Diabetes")</f>
        <v>Prediabetes</v>
      </c>
      <c r="F1352" s="3" t="s">
        <v>2379</v>
      </c>
      <c r="G1352" s="3" t="s">
        <v>2379</v>
      </c>
      <c r="H1352" s="3" t="s">
        <v>2382</v>
      </c>
      <c r="I1352" s="1">
        <v>1</v>
      </c>
      <c r="J1352">
        <v>1</v>
      </c>
      <c r="K1352" s="3" t="s">
        <v>2379</v>
      </c>
      <c r="P1352" s="3"/>
    </row>
    <row r="1353" spans="1:16" x14ac:dyDescent="0.25">
      <c r="A1353" s="3" t="s">
        <v>1018</v>
      </c>
      <c r="B1353">
        <v>28.7</v>
      </c>
      <c r="C1353" t="str" cm="1">
        <f t="array" ref="C1353">_xlfn.IFS(B1353&lt;=18.5,  "Underweight",B1353&lt;=24.9,"Normal weight",B1353&lt;=29.9, "Over weight",B1353&gt;=30,"Obesity")</f>
        <v>Over weight</v>
      </c>
      <c r="D1353">
        <v>4.2</v>
      </c>
      <c r="E1353" t="str" cm="1">
        <f t="array" ref="E1353">_xlfn.IFS(D1353&lt;5.7,"Normal",D1353&lt;=6.4,"Prediabetes",D1353&gt;=6.5,"Diabetes")</f>
        <v>Normal</v>
      </c>
      <c r="F1353" s="3" t="s">
        <v>2379</v>
      </c>
      <c r="G1353" s="3" t="s">
        <v>2379</v>
      </c>
      <c r="H1353" s="3" t="s">
        <v>2379</v>
      </c>
      <c r="I1353" s="1" t="s">
        <v>2380</v>
      </c>
      <c r="J1353">
        <v>0</v>
      </c>
      <c r="K1353" s="3" t="s">
        <v>2379</v>
      </c>
      <c r="P1353" s="3"/>
    </row>
    <row r="1354" spans="1:16" x14ac:dyDescent="0.25">
      <c r="A1354" s="3" t="s">
        <v>1017</v>
      </c>
      <c r="B1354">
        <v>27.74</v>
      </c>
      <c r="C1354" t="str" cm="1">
        <f t="array" ref="C1354">_xlfn.IFS(B1354&lt;=18.5,  "Underweight",B1354&lt;=24.9,"Normal weight",B1354&lt;=29.9, "Over weight",B1354&gt;=30,"Obesity")</f>
        <v>Over weight</v>
      </c>
      <c r="D1354">
        <v>6.06</v>
      </c>
      <c r="E1354" t="str" cm="1">
        <f t="array" ref="E1354">_xlfn.IFS(D1354&lt;5.7,"Normal",D1354&lt;=6.4,"Prediabetes",D1354&gt;=6.5,"Diabetes")</f>
        <v>Prediabetes</v>
      </c>
      <c r="F1354" s="3" t="s">
        <v>2382</v>
      </c>
      <c r="G1354" s="3" t="s">
        <v>2379</v>
      </c>
      <c r="H1354" s="3" t="s">
        <v>2379</v>
      </c>
      <c r="I1354" s="1" t="s">
        <v>2380</v>
      </c>
      <c r="J1354">
        <v>0</v>
      </c>
      <c r="K1354" s="3" t="s">
        <v>2379</v>
      </c>
      <c r="P1354" s="3"/>
    </row>
    <row r="1355" spans="1:16" x14ac:dyDescent="0.25">
      <c r="A1355" s="3" t="s">
        <v>1016</v>
      </c>
      <c r="B1355">
        <v>36.954999999999998</v>
      </c>
      <c r="C1355" t="str" cm="1">
        <f t="array" ref="C1355">_xlfn.IFS(B1355&lt;=18.5,  "Underweight",B1355&lt;=24.9,"Normal weight",B1355&lt;=29.9, "Over weight",B1355&gt;=30,"Obesity")</f>
        <v>Obesity</v>
      </c>
      <c r="D1355">
        <v>7.57</v>
      </c>
      <c r="E1355" t="str" cm="1">
        <f t="array" ref="E1355">_xlfn.IFS(D1355&lt;5.7,"Normal",D1355&lt;=6.4,"Prediabetes",D1355&gt;=6.5,"Diabetes")</f>
        <v>Diabetes</v>
      </c>
      <c r="F1355" s="3" t="s">
        <v>2379</v>
      </c>
      <c r="G1355" s="3" t="s">
        <v>2379</v>
      </c>
      <c r="H1355" s="3" t="s">
        <v>2379</v>
      </c>
      <c r="I1355" s="1" t="s">
        <v>2380</v>
      </c>
      <c r="J1355">
        <v>0</v>
      </c>
      <c r="K1355" s="3" t="s">
        <v>2379</v>
      </c>
      <c r="P1355" s="3"/>
    </row>
    <row r="1356" spans="1:16" x14ac:dyDescent="0.25">
      <c r="A1356" s="3" t="s">
        <v>1015</v>
      </c>
      <c r="B1356">
        <v>30.69</v>
      </c>
      <c r="C1356" t="str" cm="1">
        <f t="array" ref="C1356">_xlfn.IFS(B1356&lt;=18.5,  "Underweight",B1356&lt;=24.9,"Normal weight",B1356&lt;=29.9, "Over weight",B1356&gt;=30,"Obesity")</f>
        <v>Obesity</v>
      </c>
      <c r="D1356">
        <v>6.15</v>
      </c>
      <c r="E1356" t="str" cm="1">
        <f t="array" ref="E1356">_xlfn.IFS(D1356&lt;5.7,"Normal",D1356&lt;=6.4,"Prediabetes",D1356&gt;=6.5,"Diabetes")</f>
        <v>Prediabetes</v>
      </c>
      <c r="F1356" s="3" t="s">
        <v>2379</v>
      </c>
      <c r="G1356" s="3" t="s">
        <v>2379</v>
      </c>
      <c r="H1356" s="3" t="s">
        <v>2379</v>
      </c>
      <c r="I1356" s="1" t="s">
        <v>2380</v>
      </c>
      <c r="J1356">
        <v>0</v>
      </c>
      <c r="K1356" s="3" t="s">
        <v>2379</v>
      </c>
      <c r="P1356" s="3"/>
    </row>
    <row r="1357" spans="1:16" x14ac:dyDescent="0.25">
      <c r="A1357" s="3" t="s">
        <v>1014</v>
      </c>
      <c r="B1357">
        <v>24.984999999999999</v>
      </c>
      <c r="C1357" t="str" cm="1">
        <f t="array" ref="C1357">_xlfn.IFS(B1357&lt;=18.5,  "Underweight",B1357&lt;=24.9,"Normal weight",B1357&lt;=29.9, "Over weight",B1357&gt;=30,"Obesity")</f>
        <v>Over weight</v>
      </c>
      <c r="D1357">
        <v>4.5599999999999996</v>
      </c>
      <c r="E1357" t="str" cm="1">
        <f t="array" ref="E1357">_xlfn.IFS(D1357&lt;5.7,"Normal",D1357&lt;=6.4,"Prediabetes",D1357&gt;=6.5,"Diabetes")</f>
        <v>Normal</v>
      </c>
      <c r="F1357" s="3" t="s">
        <v>2379</v>
      </c>
      <c r="G1357" s="3" t="s">
        <v>2379</v>
      </c>
      <c r="H1357" s="3" t="s">
        <v>2379</v>
      </c>
      <c r="I1357" s="1" t="s">
        <v>2380</v>
      </c>
      <c r="J1357">
        <v>0</v>
      </c>
      <c r="K1357" s="3" t="s">
        <v>2379</v>
      </c>
      <c r="P1357" s="3"/>
    </row>
    <row r="1358" spans="1:16" x14ac:dyDescent="0.25">
      <c r="A1358" s="3" t="s">
        <v>1013</v>
      </c>
      <c r="B1358">
        <v>39.42</v>
      </c>
      <c r="C1358" t="str" cm="1">
        <f t="array" ref="C1358">_xlfn.IFS(B1358&lt;=18.5,  "Underweight",B1358&lt;=24.9,"Normal weight",B1358&lt;=29.9, "Over weight",B1358&gt;=30,"Obesity")</f>
        <v>Obesity</v>
      </c>
      <c r="D1358">
        <v>4.72</v>
      </c>
      <c r="E1358" t="str" cm="1">
        <f t="array" ref="E1358">_xlfn.IFS(D1358&lt;5.7,"Normal",D1358&lt;=6.4,"Prediabetes",D1358&gt;=6.5,"Diabetes")</f>
        <v>Normal</v>
      </c>
      <c r="F1358" s="3" t="s">
        <v>2382</v>
      </c>
      <c r="G1358" s="3" t="s">
        <v>2379</v>
      </c>
      <c r="H1358" s="3" t="s">
        <v>2379</v>
      </c>
      <c r="I1358" s="1">
        <v>1</v>
      </c>
      <c r="J1358">
        <v>1</v>
      </c>
      <c r="K1358" s="3" t="s">
        <v>2379</v>
      </c>
      <c r="P1358" s="3"/>
    </row>
    <row r="1359" spans="1:16" x14ac:dyDescent="0.25">
      <c r="A1359" s="3" t="s">
        <v>1012</v>
      </c>
      <c r="B1359">
        <v>16.8</v>
      </c>
      <c r="C1359" t="str" cm="1">
        <f t="array" ref="C1359">_xlfn.IFS(B1359&lt;=18.5,  "Underweight",B1359&lt;=24.9,"Normal weight",B1359&lt;=29.9, "Over weight",B1359&gt;=30,"Obesity")</f>
        <v>Underweight</v>
      </c>
      <c r="D1359">
        <v>7.98</v>
      </c>
      <c r="E1359" t="str" cm="1">
        <f t="array" ref="E1359">_xlfn.IFS(D1359&lt;5.7,"Normal",D1359&lt;=6.4,"Prediabetes",D1359&gt;=6.5,"Diabetes")</f>
        <v>Diabetes</v>
      </c>
      <c r="F1359" s="3" t="s">
        <v>2379</v>
      </c>
      <c r="G1359" s="3" t="s">
        <v>2379</v>
      </c>
      <c r="H1359" s="3" t="s">
        <v>2379</v>
      </c>
      <c r="I1359" s="1" t="s">
        <v>2380</v>
      </c>
      <c r="J1359">
        <v>0</v>
      </c>
      <c r="K1359" s="3" t="s">
        <v>2379</v>
      </c>
      <c r="P1359" s="3"/>
    </row>
    <row r="1360" spans="1:16" x14ac:dyDescent="0.25">
      <c r="A1360" s="3" t="s">
        <v>1011</v>
      </c>
      <c r="B1360">
        <v>23.274999999999999</v>
      </c>
      <c r="C1360" t="str" cm="1">
        <f t="array" ref="C1360">_xlfn.IFS(B1360&lt;=18.5,  "Underweight",B1360&lt;=24.9,"Normal weight",B1360&lt;=29.9, "Over weight",B1360&gt;=30,"Obesity")</f>
        <v>Normal weight</v>
      </c>
      <c r="D1360">
        <v>6.26</v>
      </c>
      <c r="E1360" t="str" cm="1">
        <f t="array" ref="E1360">_xlfn.IFS(D1360&lt;5.7,"Normal",D1360&lt;=6.4,"Prediabetes",D1360&gt;=6.5,"Diabetes")</f>
        <v>Prediabetes</v>
      </c>
      <c r="F1360" s="3" t="s">
        <v>2382</v>
      </c>
      <c r="G1360" s="3" t="s">
        <v>2379</v>
      </c>
      <c r="H1360" s="3" t="s">
        <v>2382</v>
      </c>
      <c r="I1360" s="1">
        <v>1</v>
      </c>
      <c r="J1360">
        <v>1</v>
      </c>
      <c r="K1360" s="3" t="s">
        <v>2379</v>
      </c>
      <c r="P1360" s="3"/>
    </row>
    <row r="1361" spans="1:16" x14ac:dyDescent="0.25">
      <c r="A1361" s="3" t="s">
        <v>1010</v>
      </c>
      <c r="B1361">
        <v>22.8</v>
      </c>
      <c r="C1361" t="str" cm="1">
        <f t="array" ref="C1361">_xlfn.IFS(B1361&lt;=18.5,  "Underweight",B1361&lt;=24.9,"Normal weight",B1361&lt;=29.9, "Over weight",B1361&gt;=30,"Obesity")</f>
        <v>Normal weight</v>
      </c>
      <c r="D1361">
        <v>4.29</v>
      </c>
      <c r="E1361" t="str" cm="1">
        <f t="array" ref="E1361">_xlfn.IFS(D1361&lt;5.7,"Normal",D1361&lt;=6.4,"Prediabetes",D1361&gt;=6.5,"Diabetes")</f>
        <v>Normal</v>
      </c>
      <c r="F1361" s="3" t="s">
        <v>2382</v>
      </c>
      <c r="G1361" s="3" t="s">
        <v>2379</v>
      </c>
      <c r="H1361" s="3" t="s">
        <v>2382</v>
      </c>
      <c r="I1361" s="1">
        <v>1</v>
      </c>
      <c r="J1361">
        <v>1</v>
      </c>
      <c r="K1361" s="3" t="s">
        <v>2379</v>
      </c>
      <c r="P1361" s="3"/>
    </row>
    <row r="1362" spans="1:16" x14ac:dyDescent="0.25">
      <c r="A1362" s="3" t="s">
        <v>1009</v>
      </c>
      <c r="B1362">
        <v>24.3</v>
      </c>
      <c r="C1362" t="str" cm="1">
        <f t="array" ref="C1362">_xlfn.IFS(B1362&lt;=18.5,  "Underweight",B1362&lt;=24.9,"Normal weight",B1362&lt;=29.9, "Over weight",B1362&gt;=30,"Obesity")</f>
        <v>Normal weight</v>
      </c>
      <c r="D1362">
        <v>5.43</v>
      </c>
      <c r="E1362" t="str" cm="1">
        <f t="array" ref="E1362">_xlfn.IFS(D1362&lt;5.7,"Normal",D1362&lt;=6.4,"Prediabetes",D1362&gt;=6.5,"Diabetes")</f>
        <v>Normal</v>
      </c>
      <c r="F1362" s="3" t="s">
        <v>2379</v>
      </c>
      <c r="G1362" s="3" t="s">
        <v>2379</v>
      </c>
      <c r="H1362" s="3" t="s">
        <v>2379</v>
      </c>
      <c r="I1362" s="1">
        <v>2</v>
      </c>
      <c r="J1362">
        <v>2</v>
      </c>
      <c r="K1362" s="3" t="s">
        <v>2379</v>
      </c>
      <c r="P1362" s="3"/>
    </row>
    <row r="1363" spans="1:16" x14ac:dyDescent="0.25">
      <c r="A1363" s="3" t="s">
        <v>1008</v>
      </c>
      <c r="B1363">
        <v>25.13</v>
      </c>
      <c r="C1363" t="str" cm="1">
        <f t="array" ref="C1363">_xlfn.IFS(B1363&lt;=18.5,  "Underweight",B1363&lt;=24.9,"Normal weight",B1363&lt;=29.9, "Over weight",B1363&gt;=30,"Obesity")</f>
        <v>Over weight</v>
      </c>
      <c r="D1363">
        <v>8</v>
      </c>
      <c r="E1363" t="str" cm="1">
        <f t="array" ref="E1363">_xlfn.IFS(D1363&lt;5.7,"Normal",D1363&lt;=6.4,"Prediabetes",D1363&gt;=6.5,"Diabetes")</f>
        <v>Diabetes</v>
      </c>
      <c r="F1363" s="3" t="s">
        <v>2382</v>
      </c>
      <c r="G1363" s="3" t="s">
        <v>2379</v>
      </c>
      <c r="H1363" s="3" t="s">
        <v>2379</v>
      </c>
      <c r="I1363" s="1">
        <v>1</v>
      </c>
      <c r="J1363">
        <v>1</v>
      </c>
      <c r="K1363" s="3" t="s">
        <v>2379</v>
      </c>
      <c r="P1363" s="3"/>
    </row>
    <row r="1364" spans="1:16" x14ac:dyDescent="0.25">
      <c r="A1364" s="3" t="s">
        <v>1007</v>
      </c>
      <c r="B1364">
        <v>22.72</v>
      </c>
      <c r="C1364" t="str" cm="1">
        <f t="array" ref="C1364">_xlfn.IFS(B1364&lt;=18.5,  "Underweight",B1364&lt;=24.9,"Normal weight",B1364&lt;=29.9, "Over weight",B1364&gt;=30,"Obesity")</f>
        <v>Normal weight</v>
      </c>
      <c r="D1364">
        <v>9.9600000000000009</v>
      </c>
      <c r="E1364" t="str" cm="1">
        <f t="array" ref="E1364">_xlfn.IFS(D1364&lt;5.7,"Normal",D1364&lt;=6.4,"Prediabetes",D1364&gt;=6.5,"Diabetes")</f>
        <v>Diabetes</v>
      </c>
      <c r="F1364" s="3" t="s">
        <v>2382</v>
      </c>
      <c r="G1364" s="3" t="s">
        <v>2379</v>
      </c>
      <c r="H1364" s="3" t="s">
        <v>2379</v>
      </c>
      <c r="I1364" s="1">
        <v>2</v>
      </c>
      <c r="J1364">
        <v>2</v>
      </c>
      <c r="K1364" s="3" t="s">
        <v>2379</v>
      </c>
      <c r="P1364" s="3"/>
    </row>
    <row r="1365" spans="1:16" x14ac:dyDescent="0.25">
      <c r="A1365" s="3" t="s">
        <v>1006</v>
      </c>
      <c r="B1365">
        <v>32.6</v>
      </c>
      <c r="C1365" t="str" cm="1">
        <f t="array" ref="C1365">_xlfn.IFS(B1365&lt;=18.5,  "Underweight",B1365&lt;=24.9,"Normal weight",B1365&lt;=29.9, "Over weight",B1365&gt;=30,"Obesity")</f>
        <v>Obesity</v>
      </c>
      <c r="D1365">
        <v>6.8</v>
      </c>
      <c r="E1365" t="str" cm="1">
        <f t="array" ref="E1365">_xlfn.IFS(D1365&lt;5.7,"Normal",D1365&lt;=6.4,"Prediabetes",D1365&gt;=6.5,"Diabetes")</f>
        <v>Diabetes</v>
      </c>
      <c r="F1365" s="3" t="s">
        <v>2382</v>
      </c>
      <c r="G1365" s="3" t="s">
        <v>2379</v>
      </c>
      <c r="H1365" s="3" t="s">
        <v>2379</v>
      </c>
      <c r="I1365" s="1" t="s">
        <v>2380</v>
      </c>
      <c r="J1365">
        <v>0</v>
      </c>
      <c r="K1365" s="3" t="s">
        <v>2379</v>
      </c>
      <c r="P1365" s="3"/>
    </row>
    <row r="1366" spans="1:16" x14ac:dyDescent="0.25">
      <c r="A1366" s="3" t="s">
        <v>1005</v>
      </c>
      <c r="B1366">
        <v>17.28</v>
      </c>
      <c r="C1366" t="str" cm="1">
        <f t="array" ref="C1366">_xlfn.IFS(B1366&lt;=18.5,  "Underweight",B1366&lt;=24.9,"Normal weight",B1366&lt;=29.9, "Over weight",B1366&gt;=30,"Obesity")</f>
        <v>Underweight</v>
      </c>
      <c r="D1366">
        <v>6.22</v>
      </c>
      <c r="E1366" t="str" cm="1">
        <f t="array" ref="E1366">_xlfn.IFS(D1366&lt;5.7,"Normal",D1366&lt;=6.4,"Prediabetes",D1366&gt;=6.5,"Diabetes")</f>
        <v>Prediabetes</v>
      </c>
      <c r="F1366" s="3" t="s">
        <v>2382</v>
      </c>
      <c r="G1366" s="3" t="s">
        <v>2379</v>
      </c>
      <c r="H1366" s="3" t="s">
        <v>2379</v>
      </c>
      <c r="I1366" s="1">
        <v>2</v>
      </c>
      <c r="J1366">
        <v>2</v>
      </c>
      <c r="K1366" s="3" t="s">
        <v>2379</v>
      </c>
      <c r="P1366" s="3"/>
    </row>
    <row r="1367" spans="1:16" x14ac:dyDescent="0.25">
      <c r="A1367" s="3" t="s">
        <v>1004</v>
      </c>
      <c r="B1367">
        <v>27.92</v>
      </c>
      <c r="C1367" t="str" cm="1">
        <f t="array" ref="C1367">_xlfn.IFS(B1367&lt;=18.5,  "Underweight",B1367&lt;=24.9,"Normal weight",B1367&lt;=29.9, "Over weight",B1367&gt;=30,"Obesity")</f>
        <v>Over weight</v>
      </c>
      <c r="D1367">
        <v>5.79</v>
      </c>
      <c r="E1367" t="str" cm="1">
        <f t="array" ref="E1367">_xlfn.IFS(D1367&lt;5.7,"Normal",D1367&lt;=6.4,"Prediabetes",D1367&gt;=6.5,"Diabetes")</f>
        <v>Prediabetes</v>
      </c>
      <c r="F1367" s="3" t="s">
        <v>2379</v>
      </c>
      <c r="G1367" s="3" t="s">
        <v>2379</v>
      </c>
      <c r="H1367" s="3" t="s">
        <v>2379</v>
      </c>
      <c r="I1367" s="1">
        <v>1</v>
      </c>
      <c r="J1367">
        <v>1</v>
      </c>
      <c r="K1367" s="3" t="s">
        <v>2379</v>
      </c>
      <c r="P1367" s="3"/>
    </row>
    <row r="1368" spans="1:16" x14ac:dyDescent="0.25">
      <c r="A1368" s="3" t="s">
        <v>1003</v>
      </c>
      <c r="B1368">
        <v>38.284999999999997</v>
      </c>
      <c r="C1368" t="str" cm="1">
        <f t="array" ref="C1368">_xlfn.IFS(B1368&lt;=18.5,  "Underweight",B1368&lt;=24.9,"Normal weight",B1368&lt;=29.9, "Over weight",B1368&gt;=30,"Obesity")</f>
        <v>Obesity</v>
      </c>
      <c r="D1368">
        <v>5.41</v>
      </c>
      <c r="E1368" t="str" cm="1">
        <f t="array" ref="E1368">_xlfn.IFS(D1368&lt;5.7,"Normal",D1368&lt;=6.4,"Prediabetes",D1368&gt;=6.5,"Diabetes")</f>
        <v>Normal</v>
      </c>
      <c r="F1368" s="3" t="s">
        <v>2379</v>
      </c>
      <c r="G1368" s="3" t="s">
        <v>2379</v>
      </c>
      <c r="H1368" s="3" t="s">
        <v>2379</v>
      </c>
      <c r="I1368" s="1" t="s">
        <v>2380</v>
      </c>
      <c r="J1368">
        <v>0</v>
      </c>
      <c r="K1368" s="3" t="s">
        <v>2379</v>
      </c>
      <c r="P1368" s="3"/>
    </row>
    <row r="1369" spans="1:16" x14ac:dyDescent="0.25">
      <c r="A1369" s="3" t="s">
        <v>1002</v>
      </c>
      <c r="B1369">
        <v>16.48</v>
      </c>
      <c r="C1369" t="str" cm="1">
        <f t="array" ref="C1369">_xlfn.IFS(B1369&lt;=18.5,  "Underweight",B1369&lt;=24.9,"Normal weight",B1369&lt;=29.9, "Over weight",B1369&gt;=30,"Obesity")</f>
        <v>Underweight</v>
      </c>
      <c r="D1369">
        <v>11.05</v>
      </c>
      <c r="E1369" t="str" cm="1">
        <f t="array" ref="E1369">_xlfn.IFS(D1369&lt;5.7,"Normal",D1369&lt;=6.4,"Prediabetes",D1369&gt;=6.5,"Diabetes")</f>
        <v>Diabetes</v>
      </c>
      <c r="F1369" s="3" t="s">
        <v>2379</v>
      </c>
      <c r="G1369" s="3" t="s">
        <v>2379</v>
      </c>
      <c r="H1369" s="3" t="s">
        <v>2379</v>
      </c>
      <c r="I1369" s="1" t="s">
        <v>2380</v>
      </c>
      <c r="J1369">
        <v>0</v>
      </c>
      <c r="K1369" s="3" t="s">
        <v>2379</v>
      </c>
      <c r="P1369" s="3"/>
    </row>
    <row r="1370" spans="1:16" x14ac:dyDescent="0.25">
      <c r="A1370" s="3" t="s">
        <v>1001</v>
      </c>
      <c r="B1370">
        <v>38.57</v>
      </c>
      <c r="C1370" t="str" cm="1">
        <f t="array" ref="C1370">_xlfn.IFS(B1370&lt;=18.5,  "Underweight",B1370&lt;=24.9,"Normal weight",B1370&lt;=29.9, "Over weight",B1370&gt;=30,"Obesity")</f>
        <v>Obesity</v>
      </c>
      <c r="D1370">
        <v>6.27</v>
      </c>
      <c r="E1370" t="str" cm="1">
        <f t="array" ref="E1370">_xlfn.IFS(D1370&lt;5.7,"Normal",D1370&lt;=6.4,"Prediabetes",D1370&gt;=6.5,"Diabetes")</f>
        <v>Prediabetes</v>
      </c>
      <c r="F1370" s="3" t="s">
        <v>2379</v>
      </c>
      <c r="G1370" s="3" t="s">
        <v>2379</v>
      </c>
      <c r="H1370" s="3" t="s">
        <v>2379</v>
      </c>
      <c r="I1370" s="1" t="s">
        <v>2380</v>
      </c>
      <c r="J1370">
        <v>0</v>
      </c>
      <c r="K1370" s="3" t="s">
        <v>2379</v>
      </c>
      <c r="P1370" s="3"/>
    </row>
    <row r="1371" spans="1:16" x14ac:dyDescent="0.25">
      <c r="A1371" s="3" t="s">
        <v>1000</v>
      </c>
      <c r="B1371">
        <v>43.85</v>
      </c>
      <c r="C1371" t="str" cm="1">
        <f t="array" ref="C1371">_xlfn.IFS(B1371&lt;=18.5,  "Underweight",B1371&lt;=24.9,"Normal weight",B1371&lt;=29.9, "Over weight",B1371&gt;=30,"Obesity")</f>
        <v>Obesity</v>
      </c>
      <c r="D1371">
        <v>4.7699999999999996</v>
      </c>
      <c r="E1371" t="str" cm="1">
        <f t="array" ref="E1371">_xlfn.IFS(D1371&lt;5.7,"Normal",D1371&lt;=6.4,"Prediabetes",D1371&gt;=6.5,"Diabetes")</f>
        <v>Normal</v>
      </c>
      <c r="F1371" s="3" t="s">
        <v>2382</v>
      </c>
      <c r="G1371" s="3" t="s">
        <v>2379</v>
      </c>
      <c r="H1371" s="3" t="s">
        <v>2379</v>
      </c>
      <c r="I1371" s="1" t="s">
        <v>2380</v>
      </c>
      <c r="J1371">
        <v>0</v>
      </c>
      <c r="K1371" s="3" t="s">
        <v>2379</v>
      </c>
      <c r="P1371" s="3"/>
    </row>
    <row r="1372" spans="1:16" x14ac:dyDescent="0.25">
      <c r="A1372" s="3" t="s">
        <v>999</v>
      </c>
      <c r="B1372">
        <v>30.11</v>
      </c>
      <c r="C1372" t="str" cm="1">
        <f t="array" ref="C1372">_xlfn.IFS(B1372&lt;=18.5,  "Underweight",B1372&lt;=24.9,"Normal weight",B1372&lt;=29.9, "Over weight",B1372&gt;=30,"Obesity")</f>
        <v>Obesity</v>
      </c>
      <c r="D1372">
        <v>4.08</v>
      </c>
      <c r="E1372" t="str" cm="1">
        <f t="array" ref="E1372">_xlfn.IFS(D1372&lt;5.7,"Normal",D1372&lt;=6.4,"Prediabetes",D1372&gt;=6.5,"Diabetes")</f>
        <v>Normal</v>
      </c>
      <c r="F1372" s="3" t="s">
        <v>2379</v>
      </c>
      <c r="G1372" s="3" t="s">
        <v>2379</v>
      </c>
      <c r="H1372" s="3" t="s">
        <v>2379</v>
      </c>
      <c r="I1372" s="1" t="s">
        <v>2380</v>
      </c>
      <c r="J1372">
        <v>0</v>
      </c>
      <c r="K1372" s="3" t="s">
        <v>2379</v>
      </c>
      <c r="P1372" s="3"/>
    </row>
    <row r="1373" spans="1:16" x14ac:dyDescent="0.25">
      <c r="A1373" s="3" t="s">
        <v>998</v>
      </c>
      <c r="B1373">
        <v>31.59</v>
      </c>
      <c r="C1373" t="str" cm="1">
        <f t="array" ref="C1373">_xlfn.IFS(B1373&lt;=18.5,  "Underweight",B1373&lt;=24.9,"Normal weight",B1373&lt;=29.9, "Over weight",B1373&gt;=30,"Obesity")</f>
        <v>Obesity</v>
      </c>
      <c r="D1373">
        <v>6.01</v>
      </c>
      <c r="E1373" t="str" cm="1">
        <f t="array" ref="E1373">_xlfn.IFS(D1373&lt;5.7,"Normal",D1373&lt;=6.4,"Prediabetes",D1373&gt;=6.5,"Diabetes")</f>
        <v>Prediabetes</v>
      </c>
      <c r="F1373" s="3" t="s">
        <v>2379</v>
      </c>
      <c r="G1373" s="3" t="s">
        <v>2379</v>
      </c>
      <c r="H1373" s="3" t="s">
        <v>2379</v>
      </c>
      <c r="I1373" s="1" t="s">
        <v>2380</v>
      </c>
      <c r="J1373">
        <v>0</v>
      </c>
      <c r="K1373" s="3" t="s">
        <v>2379</v>
      </c>
      <c r="P1373" s="3"/>
    </row>
    <row r="1374" spans="1:16" x14ac:dyDescent="0.25">
      <c r="A1374" s="3" t="s">
        <v>997</v>
      </c>
      <c r="B1374">
        <v>40.15</v>
      </c>
      <c r="C1374" t="str" cm="1">
        <f t="array" ref="C1374">_xlfn.IFS(B1374&lt;=18.5,  "Underweight",B1374&lt;=24.9,"Normal weight",B1374&lt;=29.9, "Over weight",B1374&gt;=30,"Obesity")</f>
        <v>Obesity</v>
      </c>
      <c r="D1374">
        <v>11.84</v>
      </c>
      <c r="E1374" t="str" cm="1">
        <f t="array" ref="E1374">_xlfn.IFS(D1374&lt;5.7,"Normal",D1374&lt;=6.4,"Prediabetes",D1374&gt;=6.5,"Diabetes")</f>
        <v>Diabetes</v>
      </c>
      <c r="F1374" s="3" t="s">
        <v>2379</v>
      </c>
      <c r="G1374" s="3" t="s">
        <v>2379</v>
      </c>
      <c r="H1374" s="3" t="s">
        <v>2379</v>
      </c>
      <c r="I1374" s="1" t="s">
        <v>2380</v>
      </c>
      <c r="J1374">
        <v>0</v>
      </c>
      <c r="K1374" s="3" t="s">
        <v>2379</v>
      </c>
      <c r="P1374" s="3"/>
    </row>
    <row r="1375" spans="1:16" x14ac:dyDescent="0.25">
      <c r="A1375" s="3" t="s">
        <v>996</v>
      </c>
      <c r="B1375">
        <v>40.700000000000003</v>
      </c>
      <c r="C1375" t="str" cm="1">
        <f t="array" ref="C1375">_xlfn.IFS(B1375&lt;=18.5,  "Underweight",B1375&lt;=24.9,"Normal weight",B1375&lt;=29.9, "Over weight",B1375&gt;=30,"Obesity")</f>
        <v>Obesity</v>
      </c>
      <c r="D1375">
        <v>6.27</v>
      </c>
      <c r="E1375" t="str" cm="1">
        <f t="array" ref="E1375">_xlfn.IFS(D1375&lt;5.7,"Normal",D1375&lt;=6.4,"Prediabetes",D1375&gt;=6.5,"Diabetes")</f>
        <v>Prediabetes</v>
      </c>
      <c r="F1375" s="3" t="s">
        <v>2382</v>
      </c>
      <c r="G1375" s="3" t="s">
        <v>2379</v>
      </c>
      <c r="H1375" s="3" t="s">
        <v>2382</v>
      </c>
      <c r="I1375" s="1">
        <v>1</v>
      </c>
      <c r="J1375">
        <v>1</v>
      </c>
      <c r="K1375" s="3" t="s">
        <v>2379</v>
      </c>
      <c r="P1375" s="3"/>
    </row>
    <row r="1376" spans="1:16" x14ac:dyDescent="0.25">
      <c r="A1376" s="3" t="s">
        <v>995</v>
      </c>
      <c r="B1376">
        <v>40.76</v>
      </c>
      <c r="C1376" t="str" cm="1">
        <f t="array" ref="C1376">_xlfn.IFS(B1376&lt;=18.5,  "Underweight",B1376&lt;=24.9,"Normal weight",B1376&lt;=29.9, "Over weight",B1376&gt;=30,"Obesity")</f>
        <v>Obesity</v>
      </c>
      <c r="D1376">
        <v>5.28</v>
      </c>
      <c r="E1376" t="str" cm="1">
        <f t="array" ref="E1376">_xlfn.IFS(D1376&lt;5.7,"Normal",D1376&lt;=6.4,"Prediabetes",D1376&gt;=6.5,"Diabetes")</f>
        <v>Normal</v>
      </c>
      <c r="F1376" s="3" t="s">
        <v>2379</v>
      </c>
      <c r="G1376" s="3" t="s">
        <v>2379</v>
      </c>
      <c r="H1376" s="3" t="s">
        <v>2379</v>
      </c>
      <c r="I1376" s="1" t="s">
        <v>2380</v>
      </c>
      <c r="J1376">
        <v>0</v>
      </c>
      <c r="K1376" s="3" t="s">
        <v>2379</v>
      </c>
      <c r="P1376" s="3"/>
    </row>
    <row r="1377" spans="1:16" x14ac:dyDescent="0.25">
      <c r="A1377" s="3" t="s">
        <v>994</v>
      </c>
      <c r="B1377">
        <v>29.7</v>
      </c>
      <c r="C1377" t="str" cm="1">
        <f t="array" ref="C1377">_xlfn.IFS(B1377&lt;=18.5,  "Underweight",B1377&lt;=24.9,"Normal weight",B1377&lt;=29.9, "Over weight",B1377&gt;=30,"Obesity")</f>
        <v>Over weight</v>
      </c>
      <c r="D1377">
        <v>7.03</v>
      </c>
      <c r="E1377" t="str" cm="1">
        <f t="array" ref="E1377">_xlfn.IFS(D1377&lt;5.7,"Normal",D1377&lt;=6.4,"Prediabetes",D1377&gt;=6.5,"Diabetes")</f>
        <v>Diabetes</v>
      </c>
      <c r="F1377" s="3" t="s">
        <v>2379</v>
      </c>
      <c r="G1377" s="3" t="s">
        <v>2379</v>
      </c>
      <c r="H1377" s="3" t="s">
        <v>2379</v>
      </c>
      <c r="I1377" s="1" t="s">
        <v>2380</v>
      </c>
      <c r="J1377">
        <v>0</v>
      </c>
      <c r="K1377" s="3" t="s">
        <v>2379</v>
      </c>
      <c r="P1377" s="3"/>
    </row>
    <row r="1378" spans="1:16" x14ac:dyDescent="0.25">
      <c r="A1378" s="3" t="s">
        <v>993</v>
      </c>
      <c r="B1378">
        <v>40.58</v>
      </c>
      <c r="C1378" t="str" cm="1">
        <f t="array" ref="C1378">_xlfn.IFS(B1378&lt;=18.5,  "Underweight",B1378&lt;=24.9,"Normal weight",B1378&lt;=29.9, "Over weight",B1378&gt;=30,"Obesity")</f>
        <v>Obesity</v>
      </c>
      <c r="D1378">
        <v>5.32</v>
      </c>
      <c r="E1378" t="str" cm="1">
        <f t="array" ref="E1378">_xlfn.IFS(D1378&lt;5.7,"Normal",D1378&lt;=6.4,"Prediabetes",D1378&gt;=6.5,"Diabetes")</f>
        <v>Normal</v>
      </c>
      <c r="F1378" s="3" t="s">
        <v>2382</v>
      </c>
      <c r="G1378" s="3" t="s">
        <v>2379</v>
      </c>
      <c r="H1378" s="3" t="s">
        <v>2382</v>
      </c>
      <c r="I1378" s="1">
        <v>1</v>
      </c>
      <c r="J1378">
        <v>1</v>
      </c>
      <c r="K1378" s="3" t="s">
        <v>2379</v>
      </c>
      <c r="P1378" s="3"/>
    </row>
    <row r="1379" spans="1:16" x14ac:dyDescent="0.25">
      <c r="A1379" s="3" t="s">
        <v>992</v>
      </c>
      <c r="B1379">
        <v>33.06</v>
      </c>
      <c r="C1379" t="str" cm="1">
        <f t="array" ref="C1379">_xlfn.IFS(B1379&lt;=18.5,  "Underweight",B1379&lt;=24.9,"Normal weight",B1379&lt;=29.9, "Over weight",B1379&gt;=30,"Obesity")</f>
        <v>Obesity</v>
      </c>
      <c r="D1379">
        <v>9.59</v>
      </c>
      <c r="E1379" t="str" cm="1">
        <f t="array" ref="E1379">_xlfn.IFS(D1379&lt;5.7,"Normal",D1379&lt;=6.4,"Prediabetes",D1379&gt;=6.5,"Diabetes")</f>
        <v>Diabetes</v>
      </c>
      <c r="F1379" s="3" t="s">
        <v>2382</v>
      </c>
      <c r="G1379" s="3" t="s">
        <v>2379</v>
      </c>
      <c r="H1379" s="3" t="s">
        <v>2379</v>
      </c>
      <c r="I1379" s="1" t="s">
        <v>2380</v>
      </c>
      <c r="J1379">
        <v>0</v>
      </c>
      <c r="K1379" s="3" t="s">
        <v>2379</v>
      </c>
      <c r="P1379" s="3"/>
    </row>
    <row r="1380" spans="1:16" x14ac:dyDescent="0.25">
      <c r="A1380" s="3" t="s">
        <v>991</v>
      </c>
      <c r="B1380">
        <v>26.62</v>
      </c>
      <c r="C1380" t="str" cm="1">
        <f t="array" ref="C1380">_xlfn.IFS(B1380&lt;=18.5,  "Underweight",B1380&lt;=24.9,"Normal weight",B1380&lt;=29.9, "Over weight",B1380&gt;=30,"Obesity")</f>
        <v>Over weight</v>
      </c>
      <c r="D1380">
        <v>6.15</v>
      </c>
      <c r="E1380" t="str" cm="1">
        <f t="array" ref="E1380">_xlfn.IFS(D1380&lt;5.7,"Normal",D1380&lt;=6.4,"Prediabetes",D1380&gt;=6.5,"Diabetes")</f>
        <v>Prediabetes</v>
      </c>
      <c r="F1380" s="3" t="s">
        <v>2382</v>
      </c>
      <c r="G1380" s="3" t="s">
        <v>2379</v>
      </c>
      <c r="H1380" s="3" t="s">
        <v>2379</v>
      </c>
      <c r="I1380" s="1" t="s">
        <v>2380</v>
      </c>
      <c r="J1380">
        <v>0</v>
      </c>
      <c r="K1380" s="3" t="s">
        <v>2379</v>
      </c>
      <c r="P1380" s="3"/>
    </row>
    <row r="1381" spans="1:16" x14ac:dyDescent="0.25">
      <c r="A1381" s="3" t="s">
        <v>990</v>
      </c>
      <c r="B1381">
        <v>37.1</v>
      </c>
      <c r="C1381" t="str" cm="1">
        <f t="array" ref="C1381">_xlfn.IFS(B1381&lt;=18.5,  "Underweight",B1381&lt;=24.9,"Normal weight",B1381&lt;=29.9, "Over weight",B1381&gt;=30,"Obesity")</f>
        <v>Obesity</v>
      </c>
      <c r="D1381">
        <v>11.08</v>
      </c>
      <c r="E1381" t="str" cm="1">
        <f t="array" ref="E1381">_xlfn.IFS(D1381&lt;5.7,"Normal",D1381&lt;=6.4,"Prediabetes",D1381&gt;=6.5,"Diabetes")</f>
        <v>Diabetes</v>
      </c>
      <c r="F1381" s="3" t="s">
        <v>2379</v>
      </c>
      <c r="G1381" s="3" t="s">
        <v>2379</v>
      </c>
      <c r="H1381" s="3" t="s">
        <v>2379</v>
      </c>
      <c r="I1381" s="1" t="s">
        <v>2380</v>
      </c>
      <c r="J1381">
        <v>0</v>
      </c>
      <c r="K1381" s="3" t="s">
        <v>2379</v>
      </c>
      <c r="P1381" s="3"/>
    </row>
    <row r="1382" spans="1:16" x14ac:dyDescent="0.25">
      <c r="A1382" s="3" t="s">
        <v>989</v>
      </c>
      <c r="B1382">
        <v>18.28</v>
      </c>
      <c r="C1382" t="str" cm="1">
        <f t="array" ref="C1382">_xlfn.IFS(B1382&lt;=18.5,  "Underweight",B1382&lt;=24.9,"Normal weight",B1382&lt;=29.9, "Over weight",B1382&gt;=30,"Obesity")</f>
        <v>Underweight</v>
      </c>
      <c r="D1382">
        <v>7.95</v>
      </c>
      <c r="E1382" t="str" cm="1">
        <f t="array" ref="E1382">_xlfn.IFS(D1382&lt;5.7,"Normal",D1382&lt;=6.4,"Prediabetes",D1382&gt;=6.5,"Diabetes")</f>
        <v>Diabetes</v>
      </c>
      <c r="F1382" s="3" t="s">
        <v>2379</v>
      </c>
      <c r="G1382" s="3" t="s">
        <v>2379</v>
      </c>
      <c r="H1382" s="3" t="s">
        <v>2379</v>
      </c>
      <c r="I1382" s="1" t="s">
        <v>2380</v>
      </c>
      <c r="J1382">
        <v>0</v>
      </c>
      <c r="K1382" s="3" t="s">
        <v>2379</v>
      </c>
      <c r="P1382" s="3"/>
    </row>
    <row r="1383" spans="1:16" x14ac:dyDescent="0.25">
      <c r="A1383" s="3" t="s">
        <v>988</v>
      </c>
      <c r="B1383">
        <v>35.814999999999998</v>
      </c>
      <c r="C1383" t="str" cm="1">
        <f t="array" ref="C1383">_xlfn.IFS(B1383&lt;=18.5,  "Underweight",B1383&lt;=24.9,"Normal weight",B1383&lt;=29.9, "Over weight",B1383&gt;=30,"Obesity")</f>
        <v>Obesity</v>
      </c>
      <c r="D1383">
        <v>6.23</v>
      </c>
      <c r="E1383" t="str" cm="1">
        <f t="array" ref="E1383">_xlfn.IFS(D1383&lt;5.7,"Normal",D1383&lt;=6.4,"Prediabetes",D1383&gt;=6.5,"Diabetes")</f>
        <v>Prediabetes</v>
      </c>
      <c r="F1383" s="3" t="s">
        <v>2379</v>
      </c>
      <c r="G1383" s="3" t="s">
        <v>2379</v>
      </c>
      <c r="H1383" s="3" t="s">
        <v>2379</v>
      </c>
      <c r="I1383" s="1" t="s">
        <v>2380</v>
      </c>
      <c r="J1383">
        <v>0</v>
      </c>
      <c r="K1383" s="3" t="s">
        <v>2379</v>
      </c>
      <c r="P1383" s="3"/>
    </row>
    <row r="1384" spans="1:16" x14ac:dyDescent="0.25">
      <c r="A1384" s="3" t="s">
        <v>987</v>
      </c>
      <c r="B1384">
        <v>30.69</v>
      </c>
      <c r="C1384" t="str" cm="1">
        <f t="array" ref="C1384">_xlfn.IFS(B1384&lt;=18.5,  "Underweight",B1384&lt;=24.9,"Normal weight",B1384&lt;=29.9, "Over weight",B1384&gt;=30,"Obesity")</f>
        <v>Obesity</v>
      </c>
      <c r="D1384">
        <v>6.5</v>
      </c>
      <c r="E1384" t="str" cm="1">
        <f t="array" ref="E1384">_xlfn.IFS(D1384&lt;5.7,"Normal",D1384&lt;=6.4,"Prediabetes",D1384&gt;=6.5,"Diabetes")</f>
        <v>Diabetes</v>
      </c>
      <c r="F1384" s="3" t="s">
        <v>2379</v>
      </c>
      <c r="G1384" s="3" t="s">
        <v>2379</v>
      </c>
      <c r="H1384" s="3" t="s">
        <v>2379</v>
      </c>
      <c r="I1384" s="1" t="s">
        <v>2380</v>
      </c>
      <c r="J1384">
        <v>0</v>
      </c>
      <c r="K1384" s="3" t="s">
        <v>2379</v>
      </c>
      <c r="P1384" s="3"/>
    </row>
    <row r="1385" spans="1:16" x14ac:dyDescent="0.25">
      <c r="A1385" s="3" t="s">
        <v>986</v>
      </c>
      <c r="B1385">
        <v>26.125</v>
      </c>
      <c r="C1385" t="str" cm="1">
        <f t="array" ref="C1385">_xlfn.IFS(B1385&lt;=18.5,  "Underweight",B1385&lt;=24.9,"Normal weight",B1385&lt;=29.9, "Over weight",B1385&gt;=30,"Obesity")</f>
        <v>Over weight</v>
      </c>
      <c r="D1385">
        <v>5.22</v>
      </c>
      <c r="E1385" t="str" cm="1">
        <f t="array" ref="E1385">_xlfn.IFS(D1385&lt;5.7,"Normal",D1385&lt;=6.4,"Prediabetes",D1385&gt;=6.5,"Diabetes")</f>
        <v>Normal</v>
      </c>
      <c r="F1385" s="3" t="s">
        <v>2379</v>
      </c>
      <c r="G1385" s="3" t="s">
        <v>2379</v>
      </c>
      <c r="H1385" s="3" t="s">
        <v>2379</v>
      </c>
      <c r="I1385" s="1" t="s">
        <v>2380</v>
      </c>
      <c r="J1385">
        <v>0</v>
      </c>
      <c r="K1385" s="3" t="s">
        <v>2379</v>
      </c>
      <c r="P1385" s="3"/>
    </row>
    <row r="1386" spans="1:16" x14ac:dyDescent="0.25">
      <c r="A1386" s="3" t="s">
        <v>985</v>
      </c>
      <c r="B1386">
        <v>34.58</v>
      </c>
      <c r="C1386" t="str" cm="1">
        <f t="array" ref="C1386">_xlfn.IFS(B1386&lt;=18.5,  "Underweight",B1386&lt;=24.9,"Normal weight",B1386&lt;=29.9, "Over weight",B1386&gt;=30,"Obesity")</f>
        <v>Obesity</v>
      </c>
      <c r="D1386">
        <v>6.3</v>
      </c>
      <c r="E1386" t="str" cm="1">
        <f t="array" ref="E1386">_xlfn.IFS(D1386&lt;5.7,"Normal",D1386&lt;=6.4,"Prediabetes",D1386&gt;=6.5,"Diabetes")</f>
        <v>Prediabetes</v>
      </c>
      <c r="F1386" s="3" t="s">
        <v>2379</v>
      </c>
      <c r="G1386" s="3" t="s">
        <v>2379</v>
      </c>
      <c r="H1386" s="3" t="s">
        <v>2382</v>
      </c>
      <c r="I1386" s="1">
        <v>1</v>
      </c>
      <c r="J1386">
        <v>1</v>
      </c>
      <c r="K1386" s="3" t="s">
        <v>2379</v>
      </c>
      <c r="P1386" s="3"/>
    </row>
    <row r="1387" spans="1:16" x14ac:dyDescent="0.25">
      <c r="A1387" s="3" t="s">
        <v>984</v>
      </c>
      <c r="B1387">
        <v>27.4</v>
      </c>
      <c r="C1387" t="str" cm="1">
        <f t="array" ref="C1387">_xlfn.IFS(B1387&lt;=18.5,  "Underweight",B1387&lt;=24.9,"Normal weight",B1387&lt;=29.9, "Over weight",B1387&gt;=30,"Obesity")</f>
        <v>Over weight</v>
      </c>
      <c r="D1387">
        <v>8.84</v>
      </c>
      <c r="E1387" t="str" cm="1">
        <f t="array" ref="E1387">_xlfn.IFS(D1387&lt;5.7,"Normal",D1387&lt;=6.4,"Prediabetes",D1387&gt;=6.5,"Diabetes")</f>
        <v>Diabetes</v>
      </c>
      <c r="F1387" s="3" t="s">
        <v>2379</v>
      </c>
      <c r="G1387" s="3" t="s">
        <v>2379</v>
      </c>
      <c r="H1387" s="3" t="s">
        <v>2379</v>
      </c>
      <c r="I1387" s="1" t="s">
        <v>2380</v>
      </c>
      <c r="J1387">
        <v>0</v>
      </c>
      <c r="K1387" s="3" t="s">
        <v>2379</v>
      </c>
      <c r="P1387" s="3"/>
    </row>
    <row r="1388" spans="1:16" x14ac:dyDescent="0.25">
      <c r="A1388" s="3" t="s">
        <v>983</v>
      </c>
      <c r="B1388">
        <v>27.53</v>
      </c>
      <c r="C1388" t="str" cm="1">
        <f t="array" ref="C1388">_xlfn.IFS(B1388&lt;=18.5,  "Underweight",B1388&lt;=24.9,"Normal weight",B1388&lt;=29.9, "Over weight",B1388&gt;=30,"Obesity")</f>
        <v>Over weight</v>
      </c>
      <c r="D1388">
        <v>4.1100000000000003</v>
      </c>
      <c r="E1388" t="str" cm="1">
        <f t="array" ref="E1388">_xlfn.IFS(D1388&lt;5.7,"Normal",D1388&lt;=6.4,"Prediabetes",D1388&gt;=6.5,"Diabetes")</f>
        <v>Normal</v>
      </c>
      <c r="F1388" s="3" t="s">
        <v>2379</v>
      </c>
      <c r="G1388" s="3" t="s">
        <v>2379</v>
      </c>
      <c r="H1388" s="3" t="s">
        <v>2379</v>
      </c>
      <c r="I1388" s="1">
        <v>1</v>
      </c>
      <c r="J1388">
        <v>1</v>
      </c>
      <c r="K1388" s="3" t="s">
        <v>2379</v>
      </c>
      <c r="P1388" s="3"/>
    </row>
    <row r="1389" spans="1:16" x14ac:dyDescent="0.25">
      <c r="A1389" s="3" t="s">
        <v>982</v>
      </c>
      <c r="B1389">
        <v>33</v>
      </c>
      <c r="C1389" t="str" cm="1">
        <f t="array" ref="C1389">_xlfn.IFS(B1389&lt;=18.5,  "Underweight",B1389&lt;=24.9,"Normal weight",B1389&lt;=29.9, "Over weight",B1389&gt;=30,"Obesity")</f>
        <v>Obesity</v>
      </c>
      <c r="D1389">
        <v>4.57</v>
      </c>
      <c r="E1389" t="str" cm="1">
        <f t="array" ref="E1389">_xlfn.IFS(D1389&lt;5.7,"Normal",D1389&lt;=6.4,"Prediabetes",D1389&gt;=6.5,"Diabetes")</f>
        <v>Normal</v>
      </c>
      <c r="F1389" s="3" t="s">
        <v>2379</v>
      </c>
      <c r="G1389" s="3" t="s">
        <v>2379</v>
      </c>
      <c r="H1389" s="3" t="s">
        <v>2379</v>
      </c>
      <c r="I1389" s="1" t="s">
        <v>2380</v>
      </c>
      <c r="J1389">
        <v>0</v>
      </c>
      <c r="K1389" s="3" t="s">
        <v>2379</v>
      </c>
      <c r="P1389" s="3"/>
    </row>
    <row r="1390" spans="1:16" x14ac:dyDescent="0.25">
      <c r="A1390" s="3" t="s">
        <v>981</v>
      </c>
      <c r="B1390">
        <v>25.78</v>
      </c>
      <c r="C1390" t="str" cm="1">
        <f t="array" ref="C1390">_xlfn.IFS(B1390&lt;=18.5,  "Underweight",B1390&lt;=24.9,"Normal weight",B1390&lt;=29.9, "Over weight",B1390&gt;=30,"Obesity")</f>
        <v>Over weight</v>
      </c>
      <c r="D1390">
        <v>11.06</v>
      </c>
      <c r="E1390" t="str" cm="1">
        <f t="array" ref="E1390">_xlfn.IFS(D1390&lt;5.7,"Normal",D1390&lt;=6.4,"Prediabetes",D1390&gt;=6.5,"Diabetes")</f>
        <v>Diabetes</v>
      </c>
      <c r="F1390" s="3" t="s">
        <v>2382</v>
      </c>
      <c r="G1390" s="3" t="s">
        <v>2379</v>
      </c>
      <c r="H1390" s="3" t="s">
        <v>2379</v>
      </c>
      <c r="I1390" s="1" t="s">
        <v>2380</v>
      </c>
      <c r="J1390">
        <v>0</v>
      </c>
      <c r="K1390" s="3" t="s">
        <v>2379</v>
      </c>
      <c r="P1390" s="3"/>
    </row>
    <row r="1391" spans="1:16" x14ac:dyDescent="0.25">
      <c r="A1391" s="3" t="s">
        <v>980</v>
      </c>
      <c r="B1391">
        <v>22.66</v>
      </c>
      <c r="C1391" t="str" cm="1">
        <f t="array" ref="C1391">_xlfn.IFS(B1391&lt;=18.5,  "Underweight",B1391&lt;=24.9,"Normal weight",B1391&lt;=29.9, "Over weight",B1391&gt;=30,"Obesity")</f>
        <v>Normal weight</v>
      </c>
      <c r="D1391">
        <v>10.68</v>
      </c>
      <c r="E1391" t="str" cm="1">
        <f t="array" ref="E1391">_xlfn.IFS(D1391&lt;5.7,"Normal",D1391&lt;=6.4,"Prediabetes",D1391&gt;=6.5,"Diabetes")</f>
        <v>Diabetes</v>
      </c>
      <c r="F1391" s="3" t="s">
        <v>2379</v>
      </c>
      <c r="G1391" s="3" t="s">
        <v>2379</v>
      </c>
      <c r="H1391" s="3" t="s">
        <v>2379</v>
      </c>
      <c r="I1391" s="1" t="s">
        <v>2380</v>
      </c>
      <c r="J1391">
        <v>0</v>
      </c>
      <c r="K1391" s="3" t="s">
        <v>2379</v>
      </c>
      <c r="P1391" s="3"/>
    </row>
    <row r="1392" spans="1:16" x14ac:dyDescent="0.25">
      <c r="A1392" s="3" t="s">
        <v>979</v>
      </c>
      <c r="B1392">
        <v>38.81</v>
      </c>
      <c r="C1392" t="str" cm="1">
        <f t="array" ref="C1392">_xlfn.IFS(B1392&lt;=18.5,  "Underweight",B1392&lt;=24.9,"Normal weight",B1392&lt;=29.9, "Over weight",B1392&gt;=30,"Obesity")</f>
        <v>Obesity</v>
      </c>
      <c r="D1392">
        <v>6.14</v>
      </c>
      <c r="E1392" t="str" cm="1">
        <f t="array" ref="E1392">_xlfn.IFS(D1392&lt;5.7,"Normal",D1392&lt;=6.4,"Prediabetes",D1392&gt;=6.5,"Diabetes")</f>
        <v>Prediabetes</v>
      </c>
      <c r="F1392" s="3" t="s">
        <v>2382</v>
      </c>
      <c r="G1392" s="3" t="s">
        <v>2379</v>
      </c>
      <c r="H1392" s="3" t="s">
        <v>2379</v>
      </c>
      <c r="I1392" s="1">
        <v>1</v>
      </c>
      <c r="J1392">
        <v>1</v>
      </c>
      <c r="K1392" s="3" t="s">
        <v>2379</v>
      </c>
      <c r="P1392" s="3"/>
    </row>
    <row r="1393" spans="1:16" x14ac:dyDescent="0.25">
      <c r="A1393" s="3" t="s">
        <v>978</v>
      </c>
      <c r="B1393">
        <v>38.51</v>
      </c>
      <c r="C1393" t="str" cm="1">
        <f t="array" ref="C1393">_xlfn.IFS(B1393&lt;=18.5,  "Underweight",B1393&lt;=24.9,"Normal weight",B1393&lt;=29.9, "Over weight",B1393&gt;=30,"Obesity")</f>
        <v>Obesity</v>
      </c>
      <c r="D1393">
        <v>5.45</v>
      </c>
      <c r="E1393" t="str" cm="1">
        <f t="array" ref="E1393">_xlfn.IFS(D1393&lt;5.7,"Normal",D1393&lt;=6.4,"Prediabetes",D1393&gt;=6.5,"Diabetes")</f>
        <v>Normal</v>
      </c>
      <c r="F1393" s="3" t="s">
        <v>2382</v>
      </c>
      <c r="G1393" s="3" t="s">
        <v>2379</v>
      </c>
      <c r="H1393" s="3" t="s">
        <v>2379</v>
      </c>
      <c r="I1393" s="1" t="s">
        <v>2380</v>
      </c>
      <c r="J1393">
        <v>0</v>
      </c>
      <c r="K1393" s="3" t="s">
        <v>2379</v>
      </c>
      <c r="P1393" s="3"/>
    </row>
    <row r="1394" spans="1:16" x14ac:dyDescent="0.25">
      <c r="A1394" s="3" t="s">
        <v>977</v>
      </c>
      <c r="B1394">
        <v>22.98</v>
      </c>
      <c r="C1394" t="str" cm="1">
        <f t="array" ref="C1394">_xlfn.IFS(B1394&lt;=18.5,  "Underweight",B1394&lt;=24.9,"Normal weight",B1394&lt;=29.9, "Over weight",B1394&gt;=30,"Obesity")</f>
        <v>Normal weight</v>
      </c>
      <c r="D1394">
        <v>6.14</v>
      </c>
      <c r="E1394" t="str" cm="1">
        <f t="array" ref="E1394">_xlfn.IFS(D1394&lt;5.7,"Normal",D1394&lt;=6.4,"Prediabetes",D1394&gt;=6.5,"Diabetes")</f>
        <v>Prediabetes</v>
      </c>
      <c r="F1394" s="3" t="s">
        <v>2382</v>
      </c>
      <c r="G1394" s="3" t="s">
        <v>2379</v>
      </c>
      <c r="H1394" s="3" t="s">
        <v>2379</v>
      </c>
      <c r="I1394" s="1" t="s">
        <v>2380</v>
      </c>
      <c r="J1394">
        <v>0</v>
      </c>
      <c r="K1394" s="3" t="s">
        <v>2379</v>
      </c>
      <c r="P1394" s="3"/>
    </row>
    <row r="1395" spans="1:16" x14ac:dyDescent="0.25">
      <c r="A1395" s="3" t="s">
        <v>976</v>
      </c>
      <c r="B1395">
        <v>15.65</v>
      </c>
      <c r="C1395" t="str" cm="1">
        <f t="array" ref="C1395">_xlfn.IFS(B1395&lt;=18.5,  "Underweight",B1395&lt;=24.9,"Normal weight",B1395&lt;=29.9, "Over weight",B1395&gt;=30,"Obesity")</f>
        <v>Underweight</v>
      </c>
      <c r="D1395">
        <v>7.85</v>
      </c>
      <c r="E1395" t="str" cm="1">
        <f t="array" ref="E1395">_xlfn.IFS(D1395&lt;5.7,"Normal",D1395&lt;=6.4,"Prediabetes",D1395&gt;=6.5,"Diabetes")</f>
        <v>Diabetes</v>
      </c>
      <c r="F1395" s="3" t="s">
        <v>2379</v>
      </c>
      <c r="G1395" s="3" t="s">
        <v>2379</v>
      </c>
      <c r="H1395" s="3" t="s">
        <v>2379</v>
      </c>
      <c r="I1395" s="1" t="s">
        <v>2380</v>
      </c>
      <c r="J1395">
        <v>0</v>
      </c>
      <c r="K1395" s="3" t="s">
        <v>2379</v>
      </c>
      <c r="P1395" s="3"/>
    </row>
    <row r="1396" spans="1:16" x14ac:dyDescent="0.25">
      <c r="A1396" s="3" t="s">
        <v>975</v>
      </c>
      <c r="B1396">
        <v>39.97</v>
      </c>
      <c r="C1396" t="str" cm="1">
        <f t="array" ref="C1396">_xlfn.IFS(B1396&lt;=18.5,  "Underweight",B1396&lt;=24.9,"Normal weight",B1396&lt;=29.9, "Over weight",B1396&gt;=30,"Obesity")</f>
        <v>Obesity</v>
      </c>
      <c r="D1396">
        <v>4.09</v>
      </c>
      <c r="E1396" t="str" cm="1">
        <f t="array" ref="E1396">_xlfn.IFS(D1396&lt;5.7,"Normal",D1396&lt;=6.4,"Prediabetes",D1396&gt;=6.5,"Diabetes")</f>
        <v>Normal</v>
      </c>
      <c r="F1396" s="3" t="s">
        <v>2379</v>
      </c>
      <c r="G1396" s="3" t="s">
        <v>2379</v>
      </c>
      <c r="H1396" s="3" t="s">
        <v>2379</v>
      </c>
      <c r="I1396" s="1">
        <v>1</v>
      </c>
      <c r="J1396">
        <v>1</v>
      </c>
      <c r="K1396" s="3" t="s">
        <v>2379</v>
      </c>
      <c r="P1396" s="3"/>
    </row>
    <row r="1397" spans="1:16" x14ac:dyDescent="0.25">
      <c r="A1397" s="3" t="s">
        <v>974</v>
      </c>
      <c r="B1397">
        <v>37.22</v>
      </c>
      <c r="C1397" t="str" cm="1">
        <f t="array" ref="C1397">_xlfn.IFS(B1397&lt;=18.5,  "Underweight",B1397&lt;=24.9,"Normal weight",B1397&lt;=29.9, "Over weight",B1397&gt;=30,"Obesity")</f>
        <v>Obesity</v>
      </c>
      <c r="D1397">
        <v>4.62</v>
      </c>
      <c r="E1397" t="str" cm="1">
        <f t="array" ref="E1397">_xlfn.IFS(D1397&lt;5.7,"Normal",D1397&lt;=6.4,"Prediabetes",D1397&gt;=6.5,"Diabetes")</f>
        <v>Normal</v>
      </c>
      <c r="F1397" s="3" t="s">
        <v>2379</v>
      </c>
      <c r="G1397" s="3" t="s">
        <v>2379</v>
      </c>
      <c r="H1397" s="3" t="s">
        <v>2382</v>
      </c>
      <c r="I1397" s="1">
        <v>1</v>
      </c>
      <c r="J1397">
        <v>1</v>
      </c>
      <c r="K1397" s="3" t="s">
        <v>2379</v>
      </c>
      <c r="P1397" s="3"/>
    </row>
    <row r="1398" spans="1:16" x14ac:dyDescent="0.25">
      <c r="A1398" s="3" t="s">
        <v>973</v>
      </c>
      <c r="B1398">
        <v>41.325000000000003</v>
      </c>
      <c r="C1398" t="str" cm="1">
        <f t="array" ref="C1398">_xlfn.IFS(B1398&lt;=18.5,  "Underweight",B1398&lt;=24.9,"Normal weight",B1398&lt;=29.9, "Over weight",B1398&gt;=30,"Obesity")</f>
        <v>Obesity</v>
      </c>
      <c r="D1398">
        <v>5.77</v>
      </c>
      <c r="E1398" t="str" cm="1">
        <f t="array" ref="E1398">_xlfn.IFS(D1398&lt;5.7,"Normal",D1398&lt;=6.4,"Prediabetes",D1398&gt;=6.5,"Diabetes")</f>
        <v>Prediabetes</v>
      </c>
      <c r="F1398" s="3" t="s">
        <v>2379</v>
      </c>
      <c r="G1398" s="3" t="s">
        <v>2379</v>
      </c>
      <c r="H1398" s="3" t="s">
        <v>2379</v>
      </c>
      <c r="I1398" s="1" t="s">
        <v>2380</v>
      </c>
      <c r="J1398">
        <v>0</v>
      </c>
      <c r="K1398" s="3" t="s">
        <v>2379</v>
      </c>
      <c r="P1398" s="3"/>
    </row>
    <row r="1399" spans="1:16" x14ac:dyDescent="0.25">
      <c r="A1399" s="3" t="s">
        <v>972</v>
      </c>
      <c r="B1399">
        <v>40.31</v>
      </c>
      <c r="C1399" t="str" cm="1">
        <f t="array" ref="C1399">_xlfn.IFS(B1399&lt;=18.5,  "Underweight",B1399&lt;=24.9,"Normal weight",B1399&lt;=29.9, "Over weight",B1399&gt;=30,"Obesity")</f>
        <v>Obesity</v>
      </c>
      <c r="D1399">
        <v>5.84</v>
      </c>
      <c r="E1399" t="str" cm="1">
        <f t="array" ref="E1399">_xlfn.IFS(D1399&lt;5.7,"Normal",D1399&lt;=6.4,"Prediabetes",D1399&gt;=6.5,"Diabetes")</f>
        <v>Prediabetes</v>
      </c>
      <c r="F1399" s="3" t="s">
        <v>2379</v>
      </c>
      <c r="G1399" s="3" t="s">
        <v>2379</v>
      </c>
      <c r="H1399" s="3" t="s">
        <v>2379</v>
      </c>
      <c r="I1399" s="1" t="s">
        <v>2380</v>
      </c>
      <c r="J1399">
        <v>0</v>
      </c>
      <c r="K1399" s="3" t="s">
        <v>2379</v>
      </c>
      <c r="P1399" s="3"/>
    </row>
    <row r="1400" spans="1:16" x14ac:dyDescent="0.25">
      <c r="A1400" s="3" t="s">
        <v>971</v>
      </c>
      <c r="B1400">
        <v>29.48</v>
      </c>
      <c r="C1400" t="str" cm="1">
        <f t="array" ref="C1400">_xlfn.IFS(B1400&lt;=18.5,  "Underweight",B1400&lt;=24.9,"Normal weight",B1400&lt;=29.9, "Over weight",B1400&gt;=30,"Obesity")</f>
        <v>Over weight</v>
      </c>
      <c r="D1400">
        <v>4.91</v>
      </c>
      <c r="E1400" t="str" cm="1">
        <f t="array" ref="E1400">_xlfn.IFS(D1400&lt;5.7,"Normal",D1400&lt;=6.4,"Prediabetes",D1400&gt;=6.5,"Diabetes")</f>
        <v>Normal</v>
      </c>
      <c r="F1400" s="3" t="s">
        <v>2379</v>
      </c>
      <c r="G1400" s="3" t="s">
        <v>2379</v>
      </c>
      <c r="H1400" s="3" t="s">
        <v>2379</v>
      </c>
      <c r="I1400" s="1" t="s">
        <v>2380</v>
      </c>
      <c r="J1400">
        <v>0</v>
      </c>
      <c r="K1400" s="3" t="s">
        <v>2379</v>
      </c>
      <c r="P1400" s="3"/>
    </row>
    <row r="1401" spans="1:16" x14ac:dyDescent="0.25">
      <c r="A1401" s="3" t="s">
        <v>970</v>
      </c>
      <c r="B1401">
        <v>33.155000000000001</v>
      </c>
      <c r="C1401" t="str" cm="1">
        <f t="array" ref="C1401">_xlfn.IFS(B1401&lt;=18.5,  "Underweight",B1401&lt;=24.9,"Normal weight",B1401&lt;=29.9, "Over weight",B1401&gt;=30,"Obesity")</f>
        <v>Obesity</v>
      </c>
      <c r="D1401">
        <v>5.07</v>
      </c>
      <c r="E1401" t="str" cm="1">
        <f t="array" ref="E1401">_xlfn.IFS(D1401&lt;5.7,"Normal",D1401&lt;=6.4,"Prediabetes",D1401&gt;=6.5,"Diabetes")</f>
        <v>Normal</v>
      </c>
      <c r="F1401" s="3" t="s">
        <v>2379</v>
      </c>
      <c r="G1401" s="3" t="s">
        <v>2379</v>
      </c>
      <c r="H1401" s="3" t="s">
        <v>2379</v>
      </c>
      <c r="I1401" s="1" t="s">
        <v>2380</v>
      </c>
      <c r="J1401">
        <v>0</v>
      </c>
      <c r="K1401" s="3" t="s">
        <v>2379</v>
      </c>
      <c r="P1401" s="3"/>
    </row>
    <row r="1402" spans="1:16" x14ac:dyDescent="0.25">
      <c r="A1402" s="3" t="s">
        <v>969</v>
      </c>
      <c r="B1402">
        <v>42.85</v>
      </c>
      <c r="C1402" t="str" cm="1">
        <f t="array" ref="C1402">_xlfn.IFS(B1402&lt;=18.5,  "Underweight",B1402&lt;=24.9,"Normal weight",B1402&lt;=29.9, "Over weight",B1402&gt;=30,"Obesity")</f>
        <v>Obesity</v>
      </c>
      <c r="D1402">
        <v>5.81</v>
      </c>
      <c r="E1402" t="str" cm="1">
        <f t="array" ref="E1402">_xlfn.IFS(D1402&lt;5.7,"Normal",D1402&lt;=6.4,"Prediabetes",D1402&gt;=6.5,"Diabetes")</f>
        <v>Prediabetes</v>
      </c>
      <c r="F1402" s="3" t="s">
        <v>2382</v>
      </c>
      <c r="G1402" s="3" t="s">
        <v>2379</v>
      </c>
      <c r="H1402" s="3" t="s">
        <v>2379</v>
      </c>
      <c r="I1402" s="1" t="s">
        <v>2380</v>
      </c>
      <c r="J1402">
        <v>0</v>
      </c>
      <c r="K1402" s="3" t="s">
        <v>2379</v>
      </c>
      <c r="P1402" s="3"/>
    </row>
    <row r="1403" spans="1:16" x14ac:dyDescent="0.25">
      <c r="A1403" s="3" t="s">
        <v>968</v>
      </c>
      <c r="B1403">
        <v>32.340000000000003</v>
      </c>
      <c r="C1403" t="str" cm="1">
        <f t="array" ref="C1403">_xlfn.IFS(B1403&lt;=18.5,  "Underweight",B1403&lt;=24.9,"Normal weight",B1403&lt;=29.9, "Over weight",B1403&gt;=30,"Obesity")</f>
        <v>Obesity</v>
      </c>
      <c r="D1403">
        <v>11.2</v>
      </c>
      <c r="E1403" t="str" cm="1">
        <f t="array" ref="E1403">_xlfn.IFS(D1403&lt;5.7,"Normal",D1403&lt;=6.4,"Prediabetes",D1403&gt;=6.5,"Diabetes")</f>
        <v>Diabetes</v>
      </c>
      <c r="F1403" s="3" t="s">
        <v>2379</v>
      </c>
      <c r="G1403" s="3" t="s">
        <v>2379</v>
      </c>
      <c r="H1403" s="3" t="s">
        <v>2379</v>
      </c>
      <c r="I1403" s="1" t="s">
        <v>2380</v>
      </c>
      <c r="J1403">
        <v>0</v>
      </c>
      <c r="K1403" s="3" t="s">
        <v>2379</v>
      </c>
      <c r="P1403" s="3"/>
    </row>
    <row r="1404" spans="1:16" x14ac:dyDescent="0.25">
      <c r="A1404" s="3" t="s">
        <v>967</v>
      </c>
      <c r="B1404">
        <v>27.5</v>
      </c>
      <c r="C1404" t="str" cm="1">
        <f t="array" ref="C1404">_xlfn.IFS(B1404&lt;=18.5,  "Underweight",B1404&lt;=24.9,"Normal weight",B1404&lt;=29.9, "Over weight",B1404&gt;=30,"Obesity")</f>
        <v>Over weight</v>
      </c>
      <c r="D1404">
        <v>10.75</v>
      </c>
      <c r="E1404" t="str" cm="1">
        <f t="array" ref="E1404">_xlfn.IFS(D1404&lt;5.7,"Normal",D1404&lt;=6.4,"Prediabetes",D1404&gt;=6.5,"Diabetes")</f>
        <v>Diabetes</v>
      </c>
      <c r="F1404" s="3" t="s">
        <v>2379</v>
      </c>
      <c r="G1404" s="3" t="s">
        <v>2379</v>
      </c>
      <c r="H1404" s="3" t="s">
        <v>2379</v>
      </c>
      <c r="I1404" s="1" t="s">
        <v>2380</v>
      </c>
      <c r="J1404">
        <v>0</v>
      </c>
      <c r="K1404" s="3" t="s">
        <v>2379</v>
      </c>
      <c r="P1404" s="3"/>
    </row>
    <row r="1405" spans="1:16" x14ac:dyDescent="0.25">
      <c r="A1405" s="3" t="s">
        <v>966</v>
      </c>
      <c r="B1405">
        <v>25.8</v>
      </c>
      <c r="C1405" t="str" cm="1">
        <f t="array" ref="C1405">_xlfn.IFS(B1405&lt;=18.5,  "Underweight",B1405&lt;=24.9,"Normal weight",B1405&lt;=29.9, "Over weight",B1405&gt;=30,"Obesity")</f>
        <v>Over weight</v>
      </c>
      <c r="D1405">
        <v>7.8</v>
      </c>
      <c r="E1405" t="str" cm="1">
        <f t="array" ref="E1405">_xlfn.IFS(D1405&lt;5.7,"Normal",D1405&lt;=6.4,"Prediabetes",D1405&gt;=6.5,"Diabetes")</f>
        <v>Diabetes</v>
      </c>
      <c r="F1405" s="3" t="s">
        <v>2379</v>
      </c>
      <c r="G1405" s="3" t="s">
        <v>2379</v>
      </c>
      <c r="H1405" s="3" t="s">
        <v>2379</v>
      </c>
      <c r="I1405" s="1" t="s">
        <v>2380</v>
      </c>
      <c r="J1405">
        <v>0</v>
      </c>
      <c r="K1405" s="3" t="s">
        <v>2379</v>
      </c>
      <c r="P1405" s="3"/>
    </row>
    <row r="1406" spans="1:16" x14ac:dyDescent="0.25">
      <c r="A1406" s="3" t="s">
        <v>965</v>
      </c>
      <c r="B1406">
        <v>25</v>
      </c>
      <c r="C1406" t="str" cm="1">
        <f t="array" ref="C1406">_xlfn.IFS(B1406&lt;=18.5,  "Underweight",B1406&lt;=24.9,"Normal weight",B1406&lt;=29.9, "Over weight",B1406&gt;=30,"Obesity")</f>
        <v>Over weight</v>
      </c>
      <c r="D1406">
        <v>7.04</v>
      </c>
      <c r="E1406" t="str" cm="1">
        <f t="array" ref="E1406">_xlfn.IFS(D1406&lt;5.7,"Normal",D1406&lt;=6.4,"Prediabetes",D1406&gt;=6.5,"Diabetes")</f>
        <v>Diabetes</v>
      </c>
      <c r="F1406" s="3" t="s">
        <v>2379</v>
      </c>
      <c r="G1406" s="3" t="s">
        <v>2379</v>
      </c>
      <c r="H1406" s="3" t="s">
        <v>2379</v>
      </c>
      <c r="I1406" s="1" t="s">
        <v>2380</v>
      </c>
      <c r="J1406">
        <v>0</v>
      </c>
      <c r="K1406" s="3" t="s">
        <v>2379</v>
      </c>
      <c r="P1406" s="3"/>
    </row>
    <row r="1407" spans="1:16" x14ac:dyDescent="0.25">
      <c r="A1407" s="3" t="s">
        <v>964</v>
      </c>
      <c r="B1407">
        <v>41.2</v>
      </c>
      <c r="C1407" t="str" cm="1">
        <f t="array" ref="C1407">_xlfn.IFS(B1407&lt;=18.5,  "Underweight",B1407&lt;=24.9,"Normal weight",B1407&lt;=29.9, "Over weight",B1407&gt;=30,"Obesity")</f>
        <v>Obesity</v>
      </c>
      <c r="D1407">
        <v>4.18</v>
      </c>
      <c r="E1407" t="str" cm="1">
        <f t="array" ref="E1407">_xlfn.IFS(D1407&lt;5.7,"Normal",D1407&lt;=6.4,"Prediabetes",D1407&gt;=6.5,"Diabetes")</f>
        <v>Normal</v>
      </c>
      <c r="F1407" s="3" t="s">
        <v>2382</v>
      </c>
      <c r="G1407" s="3" t="s">
        <v>2379</v>
      </c>
      <c r="H1407" s="3" t="s">
        <v>2379</v>
      </c>
      <c r="I1407" s="1" t="s">
        <v>2380</v>
      </c>
      <c r="J1407">
        <v>0</v>
      </c>
      <c r="K1407" s="3" t="s">
        <v>2379</v>
      </c>
      <c r="P1407" s="3"/>
    </row>
    <row r="1408" spans="1:16" x14ac:dyDescent="0.25">
      <c r="A1408" s="3" t="s">
        <v>963</v>
      </c>
      <c r="B1408">
        <v>17.78</v>
      </c>
      <c r="C1408" t="str" cm="1">
        <f t="array" ref="C1408">_xlfn.IFS(B1408&lt;=18.5,  "Underweight",B1408&lt;=24.9,"Normal weight",B1408&lt;=29.9, "Over weight",B1408&gt;=30,"Obesity")</f>
        <v>Underweight</v>
      </c>
      <c r="D1408">
        <v>8.19</v>
      </c>
      <c r="E1408" t="str" cm="1">
        <f t="array" ref="E1408">_xlfn.IFS(D1408&lt;5.7,"Normal",D1408&lt;=6.4,"Prediabetes",D1408&gt;=6.5,"Diabetes")</f>
        <v>Diabetes</v>
      </c>
      <c r="F1408" s="3" t="s">
        <v>2379</v>
      </c>
      <c r="G1408" s="3" t="s">
        <v>2379</v>
      </c>
      <c r="H1408" s="3" t="s">
        <v>2379</v>
      </c>
      <c r="I1408" s="1" t="s">
        <v>2380</v>
      </c>
      <c r="J1408">
        <v>0</v>
      </c>
      <c r="K1408" s="3" t="s">
        <v>2379</v>
      </c>
      <c r="P1408" s="3"/>
    </row>
    <row r="1409" spans="1:16" x14ac:dyDescent="0.25">
      <c r="A1409" s="3" t="s">
        <v>962</v>
      </c>
      <c r="B1409">
        <v>40.119999999999997</v>
      </c>
      <c r="C1409" t="str" cm="1">
        <f t="array" ref="C1409">_xlfn.IFS(B1409&lt;=18.5,  "Underweight",B1409&lt;=24.9,"Normal weight",B1409&lt;=29.9, "Over weight",B1409&gt;=30,"Obesity")</f>
        <v>Obesity</v>
      </c>
      <c r="D1409">
        <v>6.22</v>
      </c>
      <c r="E1409" t="str" cm="1">
        <f t="array" ref="E1409">_xlfn.IFS(D1409&lt;5.7,"Normal",D1409&lt;=6.4,"Prediabetes",D1409&gt;=6.5,"Diabetes")</f>
        <v>Prediabetes</v>
      </c>
      <c r="F1409" s="3" t="s">
        <v>2382</v>
      </c>
      <c r="G1409" s="3" t="s">
        <v>2379</v>
      </c>
      <c r="H1409" s="3" t="s">
        <v>2382</v>
      </c>
      <c r="I1409" s="1">
        <v>1</v>
      </c>
      <c r="J1409">
        <v>1</v>
      </c>
      <c r="K1409" s="3" t="s">
        <v>2379</v>
      </c>
      <c r="P1409" s="3"/>
    </row>
    <row r="1410" spans="1:16" x14ac:dyDescent="0.25">
      <c r="A1410" s="3" t="s">
        <v>961</v>
      </c>
      <c r="B1410">
        <v>19.350000000000001</v>
      </c>
      <c r="C1410" t="str" cm="1">
        <f t="array" ref="C1410">_xlfn.IFS(B1410&lt;=18.5,  "Underweight",B1410&lt;=24.9,"Normal weight",B1410&lt;=29.9, "Over weight",B1410&gt;=30,"Obesity")</f>
        <v>Normal weight</v>
      </c>
      <c r="D1410">
        <v>8.2200000000000006</v>
      </c>
      <c r="E1410" t="str" cm="1">
        <f t="array" ref="E1410">_xlfn.IFS(D1410&lt;5.7,"Normal",D1410&lt;=6.4,"Prediabetes",D1410&gt;=6.5,"Diabetes")</f>
        <v>Diabetes</v>
      </c>
      <c r="F1410" s="3" t="s">
        <v>2382</v>
      </c>
      <c r="G1410" s="3" t="s">
        <v>2379</v>
      </c>
      <c r="H1410" s="3" t="s">
        <v>2379</v>
      </c>
      <c r="I1410" s="1" t="s">
        <v>2380</v>
      </c>
      <c r="J1410">
        <v>0</v>
      </c>
      <c r="K1410" s="3" t="s">
        <v>2379</v>
      </c>
      <c r="P1410" s="3"/>
    </row>
    <row r="1411" spans="1:16" x14ac:dyDescent="0.25">
      <c r="A1411" s="3" t="s">
        <v>960</v>
      </c>
      <c r="B1411">
        <v>36.69</v>
      </c>
      <c r="C1411" t="str" cm="1">
        <f t="array" ref="C1411">_xlfn.IFS(B1411&lt;=18.5,  "Underweight",B1411&lt;=24.9,"Normal weight",B1411&lt;=29.9, "Over weight",B1411&gt;=30,"Obesity")</f>
        <v>Obesity</v>
      </c>
      <c r="D1411">
        <v>6.15</v>
      </c>
      <c r="E1411" t="str" cm="1">
        <f t="array" ref="E1411">_xlfn.IFS(D1411&lt;5.7,"Normal",D1411&lt;=6.4,"Prediabetes",D1411&gt;=6.5,"Diabetes")</f>
        <v>Prediabetes</v>
      </c>
      <c r="F1411" s="3" t="s">
        <v>2379</v>
      </c>
      <c r="G1411" s="3" t="s">
        <v>2379</v>
      </c>
      <c r="H1411" s="3" t="s">
        <v>2379</v>
      </c>
      <c r="I1411" s="1" t="s">
        <v>2380</v>
      </c>
      <c r="J1411">
        <v>0</v>
      </c>
      <c r="K1411" s="3" t="s">
        <v>2379</v>
      </c>
      <c r="P1411" s="3"/>
    </row>
    <row r="1412" spans="1:16" x14ac:dyDescent="0.25">
      <c r="A1412" s="3" t="s">
        <v>959</v>
      </c>
      <c r="B1412">
        <v>28.51</v>
      </c>
      <c r="C1412" t="str" cm="1">
        <f t="array" ref="C1412">_xlfn.IFS(B1412&lt;=18.5,  "Underweight",B1412&lt;=24.9,"Normal weight",B1412&lt;=29.9, "Over weight",B1412&gt;=30,"Obesity")</f>
        <v>Over weight</v>
      </c>
      <c r="D1412">
        <v>5.65</v>
      </c>
      <c r="E1412" t="str" cm="1">
        <f t="array" ref="E1412">_xlfn.IFS(D1412&lt;5.7,"Normal",D1412&lt;=6.4,"Prediabetes",D1412&gt;=6.5,"Diabetes")</f>
        <v>Normal</v>
      </c>
      <c r="F1412" s="3" t="s">
        <v>2382</v>
      </c>
      <c r="G1412" s="3" t="s">
        <v>2379</v>
      </c>
      <c r="H1412" s="3" t="s">
        <v>2379</v>
      </c>
      <c r="I1412" s="1">
        <v>1</v>
      </c>
      <c r="J1412">
        <v>1</v>
      </c>
      <c r="K1412" s="3" t="s">
        <v>2379</v>
      </c>
      <c r="P1412" s="3"/>
    </row>
    <row r="1413" spans="1:16" x14ac:dyDescent="0.25">
      <c r="A1413" s="3" t="s">
        <v>958</v>
      </c>
      <c r="B1413">
        <v>30.21</v>
      </c>
      <c r="C1413" t="str" cm="1">
        <f t="array" ref="C1413">_xlfn.IFS(B1413&lt;=18.5,  "Underweight",B1413&lt;=24.9,"Normal weight",B1413&lt;=29.9, "Over weight",B1413&gt;=30,"Obesity")</f>
        <v>Obesity</v>
      </c>
      <c r="D1413">
        <v>5.5</v>
      </c>
      <c r="E1413" t="str" cm="1">
        <f t="array" ref="E1413">_xlfn.IFS(D1413&lt;5.7,"Normal",D1413&lt;=6.4,"Prediabetes",D1413&gt;=6.5,"Diabetes")</f>
        <v>Normal</v>
      </c>
      <c r="F1413" s="3" t="s">
        <v>2379</v>
      </c>
      <c r="G1413" s="3" t="s">
        <v>2379</v>
      </c>
      <c r="H1413" s="3" t="s">
        <v>2379</v>
      </c>
      <c r="I1413" s="1">
        <v>1</v>
      </c>
      <c r="J1413">
        <v>1</v>
      </c>
      <c r="K1413" s="3" t="s">
        <v>2379</v>
      </c>
      <c r="P1413" s="3"/>
    </row>
    <row r="1414" spans="1:16" x14ac:dyDescent="0.25">
      <c r="A1414" s="3" t="s">
        <v>957</v>
      </c>
      <c r="B1414">
        <v>24.33</v>
      </c>
      <c r="C1414" t="str" cm="1">
        <f t="array" ref="C1414">_xlfn.IFS(B1414&lt;=18.5,  "Underweight",B1414&lt;=24.9,"Normal weight",B1414&lt;=29.9, "Over weight",B1414&gt;=30,"Obesity")</f>
        <v>Normal weight</v>
      </c>
      <c r="D1414">
        <v>8</v>
      </c>
      <c r="E1414" t="str" cm="1">
        <f t="array" ref="E1414">_xlfn.IFS(D1414&lt;5.7,"Normal",D1414&lt;=6.4,"Prediabetes",D1414&gt;=6.5,"Diabetes")</f>
        <v>Diabetes</v>
      </c>
      <c r="F1414" s="3" t="s">
        <v>2379</v>
      </c>
      <c r="G1414" s="3" t="s">
        <v>2379</v>
      </c>
      <c r="H1414" s="3" t="s">
        <v>2379</v>
      </c>
      <c r="I1414" s="1" t="s">
        <v>2380</v>
      </c>
      <c r="J1414">
        <v>0</v>
      </c>
      <c r="K1414" s="3" t="s">
        <v>2379</v>
      </c>
      <c r="P1414" s="3"/>
    </row>
    <row r="1415" spans="1:16" x14ac:dyDescent="0.25">
      <c r="A1415" s="3" t="s">
        <v>956</v>
      </c>
      <c r="B1415">
        <v>19.855</v>
      </c>
      <c r="C1415" t="str" cm="1">
        <f t="array" ref="C1415">_xlfn.IFS(B1415&lt;=18.5,  "Underweight",B1415&lt;=24.9,"Normal weight",B1415&lt;=29.9, "Over weight",B1415&gt;=30,"Obesity")</f>
        <v>Normal weight</v>
      </c>
      <c r="D1415">
        <v>5.71</v>
      </c>
      <c r="E1415" t="str" cm="1">
        <f t="array" ref="E1415">_xlfn.IFS(D1415&lt;5.7,"Normal",D1415&lt;=6.4,"Prediabetes",D1415&gt;=6.5,"Diabetes")</f>
        <v>Prediabetes</v>
      </c>
      <c r="F1415" s="3" t="s">
        <v>2382</v>
      </c>
      <c r="G1415" s="3" t="s">
        <v>2379</v>
      </c>
      <c r="H1415" s="3" t="s">
        <v>2379</v>
      </c>
      <c r="I1415" s="1" t="s">
        <v>2380</v>
      </c>
      <c r="J1415">
        <v>0</v>
      </c>
      <c r="K1415" s="3" t="s">
        <v>2379</v>
      </c>
      <c r="P1415" s="3"/>
    </row>
    <row r="1416" spans="1:16" x14ac:dyDescent="0.25">
      <c r="A1416" s="3" t="s">
        <v>955</v>
      </c>
      <c r="B1416">
        <v>25.364999999999998</v>
      </c>
      <c r="C1416" t="str" cm="1">
        <f t="array" ref="C1416">_xlfn.IFS(B1416&lt;=18.5,  "Underweight",B1416&lt;=24.9,"Normal weight",B1416&lt;=29.9, "Over weight",B1416&gt;=30,"Obesity")</f>
        <v>Over weight</v>
      </c>
      <c r="D1416">
        <v>11.71</v>
      </c>
      <c r="E1416" t="str" cm="1">
        <f t="array" ref="E1416">_xlfn.IFS(D1416&lt;5.7,"Normal",D1416&lt;=6.4,"Prediabetes",D1416&gt;=6.5,"Diabetes")</f>
        <v>Diabetes</v>
      </c>
      <c r="F1416" s="3" t="s">
        <v>2379</v>
      </c>
      <c r="G1416" s="3" t="s">
        <v>2379</v>
      </c>
      <c r="H1416" s="3" t="s">
        <v>2379</v>
      </c>
      <c r="I1416" s="1" t="s">
        <v>2380</v>
      </c>
      <c r="J1416">
        <v>0</v>
      </c>
      <c r="K1416" s="3" t="s">
        <v>2379</v>
      </c>
      <c r="P1416" s="3"/>
    </row>
    <row r="1417" spans="1:16" x14ac:dyDescent="0.25">
      <c r="A1417" s="3" t="s">
        <v>954</v>
      </c>
      <c r="B1417">
        <v>29.6</v>
      </c>
      <c r="C1417" t="str" cm="1">
        <f t="array" ref="C1417">_xlfn.IFS(B1417&lt;=18.5,  "Underweight",B1417&lt;=24.9,"Normal weight",B1417&lt;=29.9, "Over weight",B1417&gt;=30,"Obesity")</f>
        <v>Over weight</v>
      </c>
      <c r="D1417">
        <v>6.17</v>
      </c>
      <c r="E1417" t="str" cm="1">
        <f t="array" ref="E1417">_xlfn.IFS(D1417&lt;5.7,"Normal",D1417&lt;=6.4,"Prediabetes",D1417&gt;=6.5,"Diabetes")</f>
        <v>Prediabetes</v>
      </c>
      <c r="F1417" s="3" t="s">
        <v>2382</v>
      </c>
      <c r="G1417" s="3" t="s">
        <v>2379</v>
      </c>
      <c r="H1417" s="3" t="s">
        <v>2382</v>
      </c>
      <c r="I1417" s="1">
        <v>1</v>
      </c>
      <c r="J1417">
        <v>1</v>
      </c>
      <c r="K1417" s="3" t="s">
        <v>2379</v>
      </c>
      <c r="P1417" s="3"/>
    </row>
    <row r="1418" spans="1:16" x14ac:dyDescent="0.25">
      <c r="A1418" s="3" t="s">
        <v>953</v>
      </c>
      <c r="B1418">
        <v>39.43</v>
      </c>
      <c r="C1418" t="str" cm="1">
        <f t="array" ref="C1418">_xlfn.IFS(B1418&lt;=18.5,  "Underweight",B1418&lt;=24.9,"Normal weight",B1418&lt;=29.9, "Over weight",B1418&gt;=30,"Obesity")</f>
        <v>Obesity</v>
      </c>
      <c r="D1418">
        <v>6.1</v>
      </c>
      <c r="E1418" t="str" cm="1">
        <f t="array" ref="E1418">_xlfn.IFS(D1418&lt;5.7,"Normal",D1418&lt;=6.4,"Prediabetes",D1418&gt;=6.5,"Diabetes")</f>
        <v>Prediabetes</v>
      </c>
      <c r="F1418" s="3" t="s">
        <v>2382</v>
      </c>
      <c r="G1418" s="3" t="s">
        <v>2379</v>
      </c>
      <c r="H1418" s="3" t="s">
        <v>2382</v>
      </c>
      <c r="I1418" s="1">
        <v>1</v>
      </c>
      <c r="J1418">
        <v>1</v>
      </c>
      <c r="K1418" s="3" t="s">
        <v>2379</v>
      </c>
      <c r="P1418" s="3"/>
    </row>
    <row r="1419" spans="1:16" x14ac:dyDescent="0.25">
      <c r="A1419" s="3" t="s">
        <v>952</v>
      </c>
      <c r="B1419">
        <v>27.34</v>
      </c>
      <c r="C1419" t="str" cm="1">
        <f t="array" ref="C1419">_xlfn.IFS(B1419&lt;=18.5,  "Underweight",B1419&lt;=24.9,"Normal weight",B1419&lt;=29.9, "Over weight",B1419&gt;=30,"Obesity")</f>
        <v>Over weight</v>
      </c>
      <c r="D1419">
        <v>5.19</v>
      </c>
      <c r="E1419" t="str" cm="1">
        <f t="array" ref="E1419">_xlfn.IFS(D1419&lt;5.7,"Normal",D1419&lt;=6.4,"Prediabetes",D1419&gt;=6.5,"Diabetes")</f>
        <v>Normal</v>
      </c>
      <c r="F1419" s="3" t="s">
        <v>2382</v>
      </c>
      <c r="G1419" s="3" t="s">
        <v>2379</v>
      </c>
      <c r="H1419" s="3" t="s">
        <v>2379</v>
      </c>
      <c r="I1419" s="1">
        <v>1</v>
      </c>
      <c r="J1419">
        <v>1</v>
      </c>
      <c r="K1419" s="3" t="s">
        <v>2379</v>
      </c>
      <c r="P1419" s="3"/>
    </row>
    <row r="1420" spans="1:16" x14ac:dyDescent="0.25">
      <c r="A1420" s="3" t="s">
        <v>951</v>
      </c>
      <c r="B1420">
        <v>39.01</v>
      </c>
      <c r="C1420" t="str" cm="1">
        <f t="array" ref="C1420">_xlfn.IFS(B1420&lt;=18.5,  "Underweight",B1420&lt;=24.9,"Normal weight",B1420&lt;=29.9, "Over weight",B1420&gt;=30,"Obesity")</f>
        <v>Obesity</v>
      </c>
      <c r="D1420">
        <v>5.37</v>
      </c>
      <c r="E1420" t="str" cm="1">
        <f t="array" ref="E1420">_xlfn.IFS(D1420&lt;5.7,"Normal",D1420&lt;=6.4,"Prediabetes",D1420&gt;=6.5,"Diabetes")</f>
        <v>Normal</v>
      </c>
      <c r="F1420" s="3" t="s">
        <v>2382</v>
      </c>
      <c r="G1420" s="3" t="s">
        <v>2379</v>
      </c>
      <c r="H1420" s="3" t="s">
        <v>2379</v>
      </c>
      <c r="I1420" s="1" t="s">
        <v>2380</v>
      </c>
      <c r="J1420">
        <v>0</v>
      </c>
      <c r="K1420" s="3" t="s">
        <v>2379</v>
      </c>
      <c r="P1420" s="3"/>
    </row>
    <row r="1421" spans="1:16" x14ac:dyDescent="0.25">
      <c r="A1421" s="3" t="s">
        <v>950</v>
      </c>
      <c r="B1421">
        <v>18.989999999999998</v>
      </c>
      <c r="C1421" t="str" cm="1">
        <f t="array" ref="C1421">_xlfn.IFS(B1421&lt;=18.5,  "Underweight",B1421&lt;=24.9,"Normal weight",B1421&lt;=29.9, "Over weight",B1421&gt;=30,"Obesity")</f>
        <v>Normal weight</v>
      </c>
      <c r="D1421">
        <v>10.82</v>
      </c>
      <c r="E1421" t="str" cm="1">
        <f t="array" ref="E1421">_xlfn.IFS(D1421&lt;5.7,"Normal",D1421&lt;=6.4,"Prediabetes",D1421&gt;=6.5,"Diabetes")</f>
        <v>Diabetes</v>
      </c>
      <c r="F1421" s="3" t="s">
        <v>2382</v>
      </c>
      <c r="G1421" s="3" t="s">
        <v>2379</v>
      </c>
      <c r="H1421" s="3" t="s">
        <v>2379</v>
      </c>
      <c r="I1421" s="1" t="s">
        <v>2380</v>
      </c>
      <c r="J1421">
        <v>0</v>
      </c>
      <c r="K1421" s="3" t="s">
        <v>2379</v>
      </c>
      <c r="P1421" s="3"/>
    </row>
    <row r="1422" spans="1:16" x14ac:dyDescent="0.25">
      <c r="A1422" s="3" t="s">
        <v>949</v>
      </c>
      <c r="B1422">
        <v>42.3</v>
      </c>
      <c r="C1422" t="str" cm="1">
        <f t="array" ref="C1422">_xlfn.IFS(B1422&lt;=18.5,  "Underweight",B1422&lt;=24.9,"Normal weight",B1422&lt;=29.9, "Over weight",B1422&gt;=30,"Obesity")</f>
        <v>Obesity</v>
      </c>
      <c r="D1422">
        <v>6.06</v>
      </c>
      <c r="E1422" t="str" cm="1">
        <f t="array" ref="E1422">_xlfn.IFS(D1422&lt;5.7,"Normal",D1422&lt;=6.4,"Prediabetes",D1422&gt;=6.5,"Diabetes")</f>
        <v>Prediabetes</v>
      </c>
      <c r="F1422" s="3" t="s">
        <v>2382</v>
      </c>
      <c r="G1422" s="3" t="s">
        <v>2379</v>
      </c>
      <c r="H1422" s="3" t="s">
        <v>2379</v>
      </c>
      <c r="I1422" s="1" t="s">
        <v>2380</v>
      </c>
      <c r="J1422">
        <v>0</v>
      </c>
      <c r="K1422" s="3" t="s">
        <v>2379</v>
      </c>
      <c r="P1422" s="3"/>
    </row>
    <row r="1423" spans="1:16" x14ac:dyDescent="0.25">
      <c r="A1423" s="3" t="s">
        <v>948</v>
      </c>
      <c r="B1423">
        <v>39.805</v>
      </c>
      <c r="C1423" t="str" cm="1">
        <f t="array" ref="C1423">_xlfn.IFS(B1423&lt;=18.5,  "Underweight",B1423&lt;=24.9,"Normal weight",B1423&lt;=29.9, "Over weight",B1423&gt;=30,"Obesity")</f>
        <v>Obesity</v>
      </c>
      <c r="D1423">
        <v>5.91</v>
      </c>
      <c r="E1423" t="str" cm="1">
        <f t="array" ref="E1423">_xlfn.IFS(D1423&lt;5.7,"Normal",D1423&lt;=6.4,"Prediabetes",D1423&gt;=6.5,"Diabetes")</f>
        <v>Prediabetes</v>
      </c>
      <c r="F1423" s="3" t="s">
        <v>2379</v>
      </c>
      <c r="G1423" s="3" t="s">
        <v>2379</v>
      </c>
      <c r="H1423" s="3" t="s">
        <v>2379</v>
      </c>
      <c r="I1423" s="1" t="s">
        <v>2380</v>
      </c>
      <c r="J1423">
        <v>0</v>
      </c>
      <c r="K1423" s="3" t="s">
        <v>2379</v>
      </c>
      <c r="P1423" s="3"/>
    </row>
    <row r="1424" spans="1:16" x14ac:dyDescent="0.25">
      <c r="A1424" s="3" t="s">
        <v>947</v>
      </c>
      <c r="B1424">
        <v>33.700000000000003</v>
      </c>
      <c r="C1424" t="str" cm="1">
        <f t="array" ref="C1424">_xlfn.IFS(B1424&lt;=18.5,  "Underweight",B1424&lt;=24.9,"Normal weight",B1424&lt;=29.9, "Over weight",B1424&gt;=30,"Obesity")</f>
        <v>Obesity</v>
      </c>
      <c r="D1424">
        <v>5.87</v>
      </c>
      <c r="E1424" t="str" cm="1">
        <f t="array" ref="E1424">_xlfn.IFS(D1424&lt;5.7,"Normal",D1424&lt;=6.4,"Prediabetes",D1424&gt;=6.5,"Diabetes")</f>
        <v>Prediabetes</v>
      </c>
      <c r="F1424" s="3" t="s">
        <v>2379</v>
      </c>
      <c r="G1424" s="3" t="s">
        <v>2379</v>
      </c>
      <c r="H1424" s="3" t="s">
        <v>2379</v>
      </c>
      <c r="I1424" s="1" t="s">
        <v>2380</v>
      </c>
      <c r="J1424">
        <v>0</v>
      </c>
      <c r="K1424" s="3" t="s">
        <v>2379</v>
      </c>
      <c r="P1424" s="3"/>
    </row>
    <row r="1425" spans="1:16" x14ac:dyDescent="0.25">
      <c r="A1425" s="3" t="s">
        <v>946</v>
      </c>
      <c r="B1425">
        <v>36.195</v>
      </c>
      <c r="C1425" t="str" cm="1">
        <f t="array" ref="C1425">_xlfn.IFS(B1425&lt;=18.5,  "Underweight",B1425&lt;=24.9,"Normal weight",B1425&lt;=29.9, "Over weight",B1425&gt;=30,"Obesity")</f>
        <v>Obesity</v>
      </c>
      <c r="D1425">
        <v>6.22</v>
      </c>
      <c r="E1425" t="str" cm="1">
        <f t="array" ref="E1425">_xlfn.IFS(D1425&lt;5.7,"Normal",D1425&lt;=6.4,"Prediabetes",D1425&gt;=6.5,"Diabetes")</f>
        <v>Prediabetes</v>
      </c>
      <c r="F1425" s="3" t="s">
        <v>2379</v>
      </c>
      <c r="G1425" s="3" t="s">
        <v>2379</v>
      </c>
      <c r="H1425" s="3" t="s">
        <v>2379</v>
      </c>
      <c r="I1425" s="1" t="s">
        <v>2380</v>
      </c>
      <c r="J1425">
        <v>0</v>
      </c>
      <c r="K1425" s="3" t="s">
        <v>2379</v>
      </c>
      <c r="P1425" s="3"/>
    </row>
    <row r="1426" spans="1:16" x14ac:dyDescent="0.25">
      <c r="A1426" s="3" t="s">
        <v>945</v>
      </c>
      <c r="B1426">
        <v>32.6</v>
      </c>
      <c r="C1426" t="str" cm="1">
        <f t="array" ref="C1426">_xlfn.IFS(B1426&lt;=18.5,  "Underweight",B1426&lt;=24.9,"Normal weight",B1426&lt;=29.9, "Over weight",B1426&gt;=30,"Obesity")</f>
        <v>Obesity</v>
      </c>
      <c r="D1426">
        <v>5.73</v>
      </c>
      <c r="E1426" t="str" cm="1">
        <f t="array" ref="E1426">_xlfn.IFS(D1426&lt;5.7,"Normal",D1426&lt;=6.4,"Prediabetes",D1426&gt;=6.5,"Diabetes")</f>
        <v>Prediabetes</v>
      </c>
      <c r="F1426" s="3" t="s">
        <v>2379</v>
      </c>
      <c r="G1426" s="3" t="s">
        <v>2379</v>
      </c>
      <c r="H1426" s="3" t="s">
        <v>2382</v>
      </c>
      <c r="I1426" s="1">
        <v>1</v>
      </c>
      <c r="J1426">
        <v>1</v>
      </c>
      <c r="K1426" s="3" t="s">
        <v>2379</v>
      </c>
      <c r="P1426" s="3"/>
    </row>
    <row r="1427" spans="1:16" x14ac:dyDescent="0.25">
      <c r="A1427" s="3" t="s">
        <v>944</v>
      </c>
      <c r="B1427">
        <v>30.2</v>
      </c>
      <c r="C1427" t="str" cm="1">
        <f t="array" ref="C1427">_xlfn.IFS(B1427&lt;=18.5,  "Underweight",B1427&lt;=24.9,"Normal weight",B1427&lt;=29.9, "Over weight",B1427&gt;=30,"Obesity")</f>
        <v>Obesity</v>
      </c>
      <c r="D1427">
        <v>5.7</v>
      </c>
      <c r="E1427" t="str" cm="1">
        <f t="array" ref="E1427">_xlfn.IFS(D1427&lt;5.7,"Normal",D1427&lt;=6.4,"Prediabetes",D1427&gt;=6.5,"Diabetes")</f>
        <v>Prediabetes</v>
      </c>
      <c r="F1427" s="3" t="s">
        <v>2379</v>
      </c>
      <c r="G1427" s="3" t="s">
        <v>2379</v>
      </c>
      <c r="H1427" s="3" t="s">
        <v>2379</v>
      </c>
      <c r="I1427" s="1" t="s">
        <v>2380</v>
      </c>
      <c r="J1427">
        <v>0</v>
      </c>
      <c r="K1427" s="3" t="s">
        <v>2379</v>
      </c>
      <c r="P1427" s="3"/>
    </row>
    <row r="1428" spans="1:16" x14ac:dyDescent="0.25">
      <c r="A1428" s="3" t="s">
        <v>943</v>
      </c>
      <c r="B1428">
        <v>27.645</v>
      </c>
      <c r="C1428" t="str" cm="1">
        <f t="array" ref="C1428">_xlfn.IFS(B1428&lt;=18.5,  "Underweight",B1428&lt;=24.9,"Normal weight",B1428&lt;=29.9, "Over weight",B1428&gt;=30,"Obesity")</f>
        <v>Over weight</v>
      </c>
      <c r="D1428">
        <v>9.91</v>
      </c>
      <c r="E1428" t="str" cm="1">
        <f t="array" ref="E1428">_xlfn.IFS(D1428&lt;5.7,"Normal",D1428&lt;=6.4,"Prediabetes",D1428&gt;=6.5,"Diabetes")</f>
        <v>Diabetes</v>
      </c>
      <c r="F1428" s="3" t="s">
        <v>2379</v>
      </c>
      <c r="G1428" s="3" t="s">
        <v>2379</v>
      </c>
      <c r="H1428" s="3" t="s">
        <v>2379</v>
      </c>
      <c r="I1428" s="1" t="s">
        <v>2380</v>
      </c>
      <c r="J1428">
        <v>0</v>
      </c>
      <c r="K1428" s="3" t="s">
        <v>2379</v>
      </c>
      <c r="P1428" s="3"/>
    </row>
    <row r="1429" spans="1:16" x14ac:dyDescent="0.25">
      <c r="A1429" s="3" t="s">
        <v>942</v>
      </c>
      <c r="B1429">
        <v>26.41</v>
      </c>
      <c r="C1429" t="str" cm="1">
        <f t="array" ref="C1429">_xlfn.IFS(B1429&lt;=18.5,  "Underweight",B1429&lt;=24.9,"Normal weight",B1429&lt;=29.9, "Over weight",B1429&gt;=30,"Obesity")</f>
        <v>Over weight</v>
      </c>
      <c r="D1429">
        <v>11.4</v>
      </c>
      <c r="E1429" t="str" cm="1">
        <f t="array" ref="E1429">_xlfn.IFS(D1429&lt;5.7,"Normal",D1429&lt;=6.4,"Prediabetes",D1429&gt;=6.5,"Diabetes")</f>
        <v>Diabetes</v>
      </c>
      <c r="F1429" s="3" t="s">
        <v>2379</v>
      </c>
      <c r="G1429" s="3" t="s">
        <v>2379</v>
      </c>
      <c r="H1429" s="3" t="s">
        <v>2379</v>
      </c>
      <c r="I1429" s="1" t="s">
        <v>2380</v>
      </c>
      <c r="J1429">
        <v>0</v>
      </c>
      <c r="K1429" s="3" t="s">
        <v>2379</v>
      </c>
      <c r="P1429" s="3"/>
    </row>
    <row r="1430" spans="1:16" x14ac:dyDescent="0.25">
      <c r="A1430" s="3" t="s">
        <v>941</v>
      </c>
      <c r="B1430">
        <v>34.1</v>
      </c>
      <c r="C1430" t="str" cm="1">
        <f t="array" ref="C1430">_xlfn.IFS(B1430&lt;=18.5,  "Underweight",B1430&lt;=24.9,"Normal weight",B1430&lt;=29.9, "Over weight",B1430&gt;=30,"Obesity")</f>
        <v>Obesity</v>
      </c>
      <c r="D1430">
        <v>6.29</v>
      </c>
      <c r="E1430" t="str" cm="1">
        <f t="array" ref="E1430">_xlfn.IFS(D1430&lt;5.7,"Normal",D1430&lt;=6.4,"Prediabetes",D1430&gt;=6.5,"Diabetes")</f>
        <v>Prediabetes</v>
      </c>
      <c r="F1430" s="3" t="s">
        <v>2382</v>
      </c>
      <c r="G1430" s="3" t="s">
        <v>2379</v>
      </c>
      <c r="H1430" s="3" t="s">
        <v>2382</v>
      </c>
      <c r="I1430" s="1">
        <v>1</v>
      </c>
      <c r="J1430">
        <v>1</v>
      </c>
      <c r="K1430" s="3" t="s">
        <v>2379</v>
      </c>
      <c r="P1430" s="3"/>
    </row>
    <row r="1431" spans="1:16" x14ac:dyDescent="0.25">
      <c r="A1431" s="3" t="s">
        <v>940</v>
      </c>
      <c r="B1431">
        <v>17.3</v>
      </c>
      <c r="C1431" t="str" cm="1">
        <f t="array" ref="C1431">_xlfn.IFS(B1431&lt;=18.5,  "Underweight",B1431&lt;=24.9,"Normal weight",B1431&lt;=29.9, "Over weight",B1431&gt;=30,"Obesity")</f>
        <v>Underweight</v>
      </c>
      <c r="D1431">
        <v>9.2799999999999994</v>
      </c>
      <c r="E1431" t="str" cm="1">
        <f t="array" ref="E1431">_xlfn.IFS(D1431&lt;5.7,"Normal",D1431&lt;=6.4,"Prediabetes",D1431&gt;=6.5,"Diabetes")</f>
        <v>Diabetes</v>
      </c>
      <c r="F1431" s="3" t="s">
        <v>2379</v>
      </c>
      <c r="G1431" s="3" t="s">
        <v>2379</v>
      </c>
      <c r="H1431" s="3" t="s">
        <v>2379</v>
      </c>
      <c r="I1431" s="1" t="s">
        <v>2380</v>
      </c>
      <c r="J1431">
        <v>0</v>
      </c>
      <c r="K1431" s="3" t="s">
        <v>2379</v>
      </c>
      <c r="P1431" s="3"/>
    </row>
    <row r="1432" spans="1:16" x14ac:dyDescent="0.25">
      <c r="A1432" s="3" t="s">
        <v>939</v>
      </c>
      <c r="B1432">
        <v>35.020000000000003</v>
      </c>
      <c r="C1432" t="str" cm="1">
        <f t="array" ref="C1432">_xlfn.IFS(B1432&lt;=18.5,  "Underweight",B1432&lt;=24.9,"Normal weight",B1432&lt;=29.9, "Over weight",B1432&gt;=30,"Obesity")</f>
        <v>Obesity</v>
      </c>
      <c r="D1432">
        <v>4.78</v>
      </c>
      <c r="E1432" t="str" cm="1">
        <f t="array" ref="E1432">_xlfn.IFS(D1432&lt;5.7,"Normal",D1432&lt;=6.4,"Prediabetes",D1432&gt;=6.5,"Diabetes")</f>
        <v>Normal</v>
      </c>
      <c r="F1432" s="3" t="s">
        <v>2379</v>
      </c>
      <c r="G1432" s="3" t="s">
        <v>2379</v>
      </c>
      <c r="H1432" s="3" t="s">
        <v>2382</v>
      </c>
      <c r="I1432" s="1">
        <v>1</v>
      </c>
      <c r="J1432">
        <v>1</v>
      </c>
      <c r="K1432" s="3" t="s">
        <v>2379</v>
      </c>
      <c r="P1432" s="3"/>
    </row>
    <row r="1433" spans="1:16" x14ac:dyDescent="0.25">
      <c r="A1433" s="3" t="s">
        <v>938</v>
      </c>
      <c r="B1433">
        <v>37.1</v>
      </c>
      <c r="C1433" t="str" cm="1">
        <f t="array" ref="C1433">_xlfn.IFS(B1433&lt;=18.5,  "Underweight",B1433&lt;=24.9,"Normal weight",B1433&lt;=29.9, "Over weight",B1433&gt;=30,"Obesity")</f>
        <v>Obesity</v>
      </c>
      <c r="D1433">
        <v>8.8699999999999992</v>
      </c>
      <c r="E1433" t="str" cm="1">
        <f t="array" ref="E1433">_xlfn.IFS(D1433&lt;5.7,"Normal",D1433&lt;=6.4,"Prediabetes",D1433&gt;=6.5,"Diabetes")</f>
        <v>Diabetes</v>
      </c>
      <c r="F1433" s="3" t="s">
        <v>2382</v>
      </c>
      <c r="G1433" s="3" t="s">
        <v>2379</v>
      </c>
      <c r="H1433" s="3" t="s">
        <v>2379</v>
      </c>
      <c r="I1433" s="1" t="s">
        <v>2380</v>
      </c>
      <c r="J1433">
        <v>0</v>
      </c>
      <c r="K1433" s="3" t="s">
        <v>2379</v>
      </c>
      <c r="P1433" s="3"/>
    </row>
    <row r="1434" spans="1:16" x14ac:dyDescent="0.25">
      <c r="A1434" s="3" t="s">
        <v>937</v>
      </c>
      <c r="B1434">
        <v>16.79</v>
      </c>
      <c r="C1434" t="str" cm="1">
        <f t="array" ref="C1434">_xlfn.IFS(B1434&lt;=18.5,  "Underweight",B1434&lt;=24.9,"Normal weight",B1434&lt;=29.9, "Over weight",B1434&gt;=30,"Obesity")</f>
        <v>Underweight</v>
      </c>
      <c r="D1434">
        <v>11.4</v>
      </c>
      <c r="E1434" t="str" cm="1">
        <f t="array" ref="E1434">_xlfn.IFS(D1434&lt;5.7,"Normal",D1434&lt;=6.4,"Prediabetes",D1434&gt;=6.5,"Diabetes")</f>
        <v>Diabetes</v>
      </c>
      <c r="F1434" s="3" t="s">
        <v>2379</v>
      </c>
      <c r="G1434" s="3" t="s">
        <v>2379</v>
      </c>
      <c r="H1434" s="3" t="s">
        <v>2379</v>
      </c>
      <c r="I1434" s="1" t="s">
        <v>2380</v>
      </c>
      <c r="J1434">
        <v>0</v>
      </c>
      <c r="K1434" s="3" t="s">
        <v>2379</v>
      </c>
      <c r="P1434" s="3"/>
    </row>
    <row r="1435" spans="1:16" x14ac:dyDescent="0.25">
      <c r="A1435" s="3" t="s">
        <v>936</v>
      </c>
      <c r="B1435">
        <v>31.635000000000002</v>
      </c>
      <c r="C1435" t="str" cm="1">
        <f t="array" ref="C1435">_xlfn.IFS(B1435&lt;=18.5,  "Underweight",B1435&lt;=24.9,"Normal weight",B1435&lt;=29.9, "Over weight",B1435&gt;=30,"Obesity")</f>
        <v>Obesity</v>
      </c>
      <c r="D1435">
        <v>9.1300000000000008</v>
      </c>
      <c r="E1435" t="str" cm="1">
        <f t="array" ref="E1435">_xlfn.IFS(D1435&lt;5.7,"Normal",D1435&lt;=6.4,"Prediabetes",D1435&gt;=6.5,"Diabetes")</f>
        <v>Diabetes</v>
      </c>
      <c r="F1435" s="3" t="s">
        <v>2382</v>
      </c>
      <c r="G1435" s="3" t="s">
        <v>2379</v>
      </c>
      <c r="H1435" s="3" t="s">
        <v>2379</v>
      </c>
      <c r="I1435" s="1" t="s">
        <v>2380</v>
      </c>
      <c r="J1435">
        <v>0</v>
      </c>
      <c r="K1435" s="3" t="s">
        <v>2379</v>
      </c>
      <c r="P1435" s="3"/>
    </row>
    <row r="1436" spans="1:16" x14ac:dyDescent="0.25">
      <c r="A1436" s="3" t="s">
        <v>935</v>
      </c>
      <c r="B1436">
        <v>24.19</v>
      </c>
      <c r="C1436" t="str" cm="1">
        <f t="array" ref="C1436">_xlfn.IFS(B1436&lt;=18.5,  "Underweight",B1436&lt;=24.9,"Normal weight",B1436&lt;=29.9, "Over weight",B1436&gt;=30,"Obesity")</f>
        <v>Normal weight</v>
      </c>
      <c r="D1436">
        <v>6.22</v>
      </c>
      <c r="E1436" t="str" cm="1">
        <f t="array" ref="E1436">_xlfn.IFS(D1436&lt;5.7,"Normal",D1436&lt;=6.4,"Prediabetes",D1436&gt;=6.5,"Diabetes")</f>
        <v>Prediabetes</v>
      </c>
      <c r="F1436" s="3" t="s">
        <v>2382</v>
      </c>
      <c r="G1436" s="3" t="s">
        <v>2379</v>
      </c>
      <c r="H1436" s="3" t="s">
        <v>2382</v>
      </c>
      <c r="I1436" s="1">
        <v>1</v>
      </c>
      <c r="J1436">
        <v>1</v>
      </c>
      <c r="K1436" s="3" t="s">
        <v>2379</v>
      </c>
      <c r="P1436" s="3"/>
    </row>
    <row r="1437" spans="1:16" x14ac:dyDescent="0.25">
      <c r="A1437" s="3" t="s">
        <v>934</v>
      </c>
      <c r="B1437">
        <v>35.29</v>
      </c>
      <c r="C1437" t="str" cm="1">
        <f t="array" ref="C1437">_xlfn.IFS(B1437&lt;=18.5,  "Underweight",B1437&lt;=24.9,"Normal weight",B1437&lt;=29.9, "Over weight",B1437&gt;=30,"Obesity")</f>
        <v>Obesity</v>
      </c>
      <c r="D1437">
        <v>5.9</v>
      </c>
      <c r="E1437" t="str" cm="1">
        <f t="array" ref="E1437">_xlfn.IFS(D1437&lt;5.7,"Normal",D1437&lt;=6.4,"Prediabetes",D1437&gt;=6.5,"Diabetes")</f>
        <v>Prediabetes</v>
      </c>
      <c r="F1437" s="3" t="s">
        <v>2379</v>
      </c>
      <c r="G1437" s="3" t="s">
        <v>2379</v>
      </c>
      <c r="H1437" s="3" t="s">
        <v>2382</v>
      </c>
      <c r="I1437" s="1">
        <v>1</v>
      </c>
      <c r="J1437">
        <v>1</v>
      </c>
      <c r="K1437" s="3" t="s">
        <v>2379</v>
      </c>
      <c r="P1437" s="3"/>
    </row>
    <row r="1438" spans="1:16" x14ac:dyDescent="0.25">
      <c r="A1438" s="3" t="s">
        <v>933</v>
      </c>
      <c r="B1438">
        <v>35.299999999999997</v>
      </c>
      <c r="C1438" t="str" cm="1">
        <f t="array" ref="C1438">_xlfn.IFS(B1438&lt;=18.5,  "Underweight",B1438&lt;=24.9,"Normal weight",B1438&lt;=29.9, "Over weight",B1438&gt;=30,"Obesity")</f>
        <v>Obesity</v>
      </c>
      <c r="D1438">
        <v>4.45</v>
      </c>
      <c r="E1438" t="str" cm="1">
        <f t="array" ref="E1438">_xlfn.IFS(D1438&lt;5.7,"Normal",D1438&lt;=6.4,"Prediabetes",D1438&gt;=6.5,"Diabetes")</f>
        <v>Normal</v>
      </c>
      <c r="F1438" s="3" t="s">
        <v>2379</v>
      </c>
      <c r="G1438" s="3" t="s">
        <v>2379</v>
      </c>
      <c r="H1438" s="3" t="s">
        <v>2379</v>
      </c>
      <c r="I1438" s="1" t="s">
        <v>2380</v>
      </c>
      <c r="J1438">
        <v>0</v>
      </c>
      <c r="K1438" s="3" t="s">
        <v>2379</v>
      </c>
      <c r="P1438" s="3"/>
    </row>
    <row r="1439" spans="1:16" x14ac:dyDescent="0.25">
      <c r="A1439" s="3" t="s">
        <v>932</v>
      </c>
      <c r="B1439">
        <v>35.64</v>
      </c>
      <c r="C1439" t="str" cm="1">
        <f t="array" ref="C1439">_xlfn.IFS(B1439&lt;=18.5,  "Underweight",B1439&lt;=24.9,"Normal weight",B1439&lt;=29.9, "Over weight",B1439&gt;=30,"Obesity")</f>
        <v>Obesity</v>
      </c>
      <c r="D1439">
        <v>6.17</v>
      </c>
      <c r="E1439" t="str" cm="1">
        <f t="array" ref="E1439">_xlfn.IFS(D1439&lt;5.7,"Normal",D1439&lt;=6.4,"Prediabetes",D1439&gt;=6.5,"Diabetes")</f>
        <v>Prediabetes</v>
      </c>
      <c r="F1439" s="3" t="s">
        <v>2379</v>
      </c>
      <c r="G1439" s="3" t="s">
        <v>2379</v>
      </c>
      <c r="H1439" s="3" t="s">
        <v>2382</v>
      </c>
      <c r="I1439" s="1">
        <v>1</v>
      </c>
      <c r="J1439">
        <v>1</v>
      </c>
      <c r="K1439" s="3" t="s">
        <v>2379</v>
      </c>
      <c r="P1439" s="3"/>
    </row>
    <row r="1440" spans="1:16" x14ac:dyDescent="0.25">
      <c r="A1440" s="3" t="s">
        <v>931</v>
      </c>
      <c r="B1440">
        <v>33.1</v>
      </c>
      <c r="C1440" t="str" cm="1">
        <f t="array" ref="C1440">_xlfn.IFS(B1440&lt;=18.5,  "Underweight",B1440&lt;=24.9,"Normal weight",B1440&lt;=29.9, "Over weight",B1440&gt;=30,"Obesity")</f>
        <v>Obesity</v>
      </c>
      <c r="D1440">
        <v>4.93</v>
      </c>
      <c r="E1440" t="str" cm="1">
        <f t="array" ref="E1440">_xlfn.IFS(D1440&lt;5.7,"Normal",D1440&lt;=6.4,"Prediabetes",D1440&gt;=6.5,"Diabetes")</f>
        <v>Normal</v>
      </c>
      <c r="F1440" s="3" t="s">
        <v>2379</v>
      </c>
      <c r="G1440" s="3" t="s">
        <v>2379</v>
      </c>
      <c r="H1440" s="3" t="s">
        <v>2379</v>
      </c>
      <c r="I1440" s="1" t="s">
        <v>2380</v>
      </c>
      <c r="J1440">
        <v>0</v>
      </c>
      <c r="K1440" s="3" t="s">
        <v>2379</v>
      </c>
      <c r="P1440" s="3"/>
    </row>
    <row r="1441" spans="1:16" x14ac:dyDescent="0.25">
      <c r="A1441" s="3" t="s">
        <v>930</v>
      </c>
      <c r="B1441">
        <v>26.41</v>
      </c>
      <c r="C1441" t="str" cm="1">
        <f t="array" ref="C1441">_xlfn.IFS(B1441&lt;=18.5,  "Underweight",B1441&lt;=24.9,"Normal weight",B1441&lt;=29.9, "Over weight",B1441&gt;=30,"Obesity")</f>
        <v>Over weight</v>
      </c>
      <c r="D1441">
        <v>7.32</v>
      </c>
      <c r="E1441" t="str" cm="1">
        <f t="array" ref="E1441">_xlfn.IFS(D1441&lt;5.7,"Normal",D1441&lt;=6.4,"Prediabetes",D1441&gt;=6.5,"Diabetes")</f>
        <v>Diabetes</v>
      </c>
      <c r="F1441" s="3" t="s">
        <v>2382</v>
      </c>
      <c r="G1441" s="3" t="s">
        <v>2379</v>
      </c>
      <c r="H1441" s="3" t="s">
        <v>2379</v>
      </c>
      <c r="I1441" s="1">
        <v>1</v>
      </c>
      <c r="J1441">
        <v>1</v>
      </c>
      <c r="K1441" s="3" t="s">
        <v>2379</v>
      </c>
      <c r="P1441" s="3"/>
    </row>
    <row r="1442" spans="1:16" x14ac:dyDescent="0.25">
      <c r="A1442" s="3" t="s">
        <v>929</v>
      </c>
      <c r="B1442">
        <v>29.9</v>
      </c>
      <c r="C1442" t="str" cm="1">
        <f t="array" ref="C1442">_xlfn.IFS(B1442&lt;=18.5,  "Underweight",B1442&lt;=24.9,"Normal weight",B1442&lt;=29.9, "Over weight",B1442&gt;=30,"Obesity")</f>
        <v>Over weight</v>
      </c>
      <c r="D1442">
        <v>5.27</v>
      </c>
      <c r="E1442" t="str" cm="1">
        <f t="array" ref="E1442">_xlfn.IFS(D1442&lt;5.7,"Normal",D1442&lt;=6.4,"Prediabetes",D1442&gt;=6.5,"Diabetes")</f>
        <v>Normal</v>
      </c>
      <c r="F1442" s="3" t="s">
        <v>2379</v>
      </c>
      <c r="G1442" s="3" t="s">
        <v>2379</v>
      </c>
      <c r="H1442" s="3" t="s">
        <v>2382</v>
      </c>
      <c r="I1442" s="1">
        <v>1</v>
      </c>
      <c r="J1442">
        <v>1</v>
      </c>
      <c r="K1442" s="3" t="s">
        <v>2379</v>
      </c>
      <c r="P1442" s="3"/>
    </row>
    <row r="1443" spans="1:16" x14ac:dyDescent="0.25">
      <c r="A1443" s="3" t="s">
        <v>928</v>
      </c>
      <c r="B1443">
        <v>25.24</v>
      </c>
      <c r="C1443" t="str" cm="1">
        <f t="array" ref="C1443">_xlfn.IFS(B1443&lt;=18.5,  "Underweight",B1443&lt;=24.9,"Normal weight",B1443&lt;=29.9, "Over weight",B1443&gt;=30,"Obesity")</f>
        <v>Over weight</v>
      </c>
      <c r="D1443">
        <v>5.82</v>
      </c>
      <c r="E1443" t="str" cm="1">
        <f t="array" ref="E1443">_xlfn.IFS(D1443&lt;5.7,"Normal",D1443&lt;=6.4,"Prediabetes",D1443&gt;=6.5,"Diabetes")</f>
        <v>Prediabetes</v>
      </c>
      <c r="F1443" s="3" t="s">
        <v>2379</v>
      </c>
      <c r="G1443" s="3" t="s">
        <v>2379</v>
      </c>
      <c r="H1443" s="3" t="s">
        <v>2379</v>
      </c>
      <c r="I1443" s="1">
        <v>1</v>
      </c>
      <c r="J1443">
        <v>1</v>
      </c>
      <c r="K1443" s="3" t="s">
        <v>2379</v>
      </c>
      <c r="P1443" s="3"/>
    </row>
    <row r="1444" spans="1:16" x14ac:dyDescent="0.25">
      <c r="A1444" s="3" t="s">
        <v>927</v>
      </c>
      <c r="B1444">
        <v>25.08</v>
      </c>
      <c r="C1444" t="str" cm="1">
        <f t="array" ref="C1444">_xlfn.IFS(B1444&lt;=18.5,  "Underweight",B1444&lt;=24.9,"Normal weight",B1444&lt;=29.9, "Over weight",B1444&gt;=30,"Obesity")</f>
        <v>Over weight</v>
      </c>
      <c r="D1444">
        <v>5.8</v>
      </c>
      <c r="E1444" t="str" cm="1">
        <f t="array" ref="E1444">_xlfn.IFS(D1444&lt;5.7,"Normal",D1444&lt;=6.4,"Prediabetes",D1444&gt;=6.5,"Diabetes")</f>
        <v>Prediabetes</v>
      </c>
      <c r="F1444" s="3" t="s">
        <v>2379</v>
      </c>
      <c r="G1444" s="3" t="s">
        <v>2379</v>
      </c>
      <c r="H1444" s="3" t="s">
        <v>2382</v>
      </c>
      <c r="I1444" s="1">
        <v>1</v>
      </c>
      <c r="J1444">
        <v>1</v>
      </c>
      <c r="K1444" s="3" t="s">
        <v>2379</v>
      </c>
      <c r="P1444" s="3"/>
    </row>
    <row r="1445" spans="1:16" x14ac:dyDescent="0.25">
      <c r="A1445" s="3" t="s">
        <v>926</v>
      </c>
      <c r="B1445">
        <v>29.164999999999999</v>
      </c>
      <c r="C1445" t="str" cm="1">
        <f t="array" ref="C1445">_xlfn.IFS(B1445&lt;=18.5,  "Underweight",B1445&lt;=24.9,"Normal weight",B1445&lt;=29.9, "Over weight",B1445&gt;=30,"Obesity")</f>
        <v>Over weight</v>
      </c>
      <c r="D1445">
        <v>4.87</v>
      </c>
      <c r="E1445" t="str" cm="1">
        <f t="array" ref="E1445">_xlfn.IFS(D1445&lt;5.7,"Normal",D1445&lt;=6.4,"Prediabetes",D1445&gt;=6.5,"Diabetes")</f>
        <v>Normal</v>
      </c>
      <c r="F1445" s="3" t="s">
        <v>2379</v>
      </c>
      <c r="G1445" s="3" t="s">
        <v>2381</v>
      </c>
      <c r="H1445" s="3" t="s">
        <v>2379</v>
      </c>
      <c r="I1445" s="1">
        <v>1</v>
      </c>
      <c r="J1445">
        <v>1</v>
      </c>
      <c r="K1445" s="3" t="s">
        <v>2379</v>
      </c>
      <c r="P1445" s="3"/>
    </row>
    <row r="1446" spans="1:16" x14ac:dyDescent="0.25">
      <c r="A1446" s="3" t="s">
        <v>925</v>
      </c>
      <c r="B1446">
        <v>15.05</v>
      </c>
      <c r="C1446" t="str" cm="1">
        <f t="array" ref="C1446">_xlfn.IFS(B1446&lt;=18.5,  "Underweight",B1446&lt;=24.9,"Normal weight",B1446&lt;=29.9, "Over weight",B1446&gt;=30,"Obesity")</f>
        <v>Underweight</v>
      </c>
      <c r="D1446">
        <v>8.1199999999999992</v>
      </c>
      <c r="E1446" t="str" cm="1">
        <f t="array" ref="E1446">_xlfn.IFS(D1446&lt;5.7,"Normal",D1446&lt;=6.4,"Prediabetes",D1446&gt;=6.5,"Diabetes")</f>
        <v>Diabetes</v>
      </c>
      <c r="F1446" s="3" t="s">
        <v>2379</v>
      </c>
      <c r="G1446" s="3" t="s">
        <v>2379</v>
      </c>
      <c r="H1446" s="3" t="s">
        <v>2379</v>
      </c>
      <c r="I1446" s="1" t="s">
        <v>2380</v>
      </c>
      <c r="J1446">
        <v>0</v>
      </c>
      <c r="K1446" s="3" t="s">
        <v>2379</v>
      </c>
      <c r="P1446" s="3"/>
    </row>
    <row r="1447" spans="1:16" x14ac:dyDescent="0.25">
      <c r="A1447" s="3" t="s">
        <v>924</v>
      </c>
      <c r="B1447">
        <v>19.95</v>
      </c>
      <c r="C1447" t="str" cm="1">
        <f t="array" ref="C1447">_xlfn.IFS(B1447&lt;=18.5,  "Underweight",B1447&lt;=24.9,"Normal weight",B1447&lt;=29.9, "Over weight",B1447&gt;=30,"Obesity")</f>
        <v>Normal weight</v>
      </c>
      <c r="D1447">
        <v>4.3600000000000003</v>
      </c>
      <c r="E1447" t="str" cm="1">
        <f t="array" ref="E1447">_xlfn.IFS(D1447&lt;5.7,"Normal",D1447&lt;=6.4,"Prediabetes",D1447&gt;=6.5,"Diabetes")</f>
        <v>Normal</v>
      </c>
      <c r="F1447" s="3" t="s">
        <v>2379</v>
      </c>
      <c r="G1447" s="3" t="s">
        <v>2379</v>
      </c>
      <c r="H1447" s="3" t="s">
        <v>2379</v>
      </c>
      <c r="I1447" s="1">
        <v>2</v>
      </c>
      <c r="J1447">
        <v>2</v>
      </c>
      <c r="K1447" s="3" t="s">
        <v>2379</v>
      </c>
      <c r="P1447" s="3"/>
    </row>
    <row r="1448" spans="1:16" x14ac:dyDescent="0.25">
      <c r="A1448" s="3" t="s">
        <v>923</v>
      </c>
      <c r="B1448">
        <v>16.66</v>
      </c>
      <c r="C1448" t="str" cm="1">
        <f t="array" ref="C1448">_xlfn.IFS(B1448&lt;=18.5,  "Underweight",B1448&lt;=24.9,"Normal weight",B1448&lt;=29.9, "Over weight",B1448&gt;=30,"Obesity")</f>
        <v>Underweight</v>
      </c>
      <c r="D1448">
        <v>9.16</v>
      </c>
      <c r="E1448" t="str" cm="1">
        <f t="array" ref="E1448">_xlfn.IFS(D1448&lt;5.7,"Normal",D1448&lt;=6.4,"Prediabetes",D1448&gt;=6.5,"Diabetes")</f>
        <v>Diabetes</v>
      </c>
      <c r="F1448" s="3" t="s">
        <v>2379</v>
      </c>
      <c r="G1448" s="3" t="s">
        <v>2379</v>
      </c>
      <c r="H1448" s="3" t="s">
        <v>2379</v>
      </c>
      <c r="I1448" s="1" t="s">
        <v>2380</v>
      </c>
      <c r="J1448">
        <v>0</v>
      </c>
      <c r="K1448" s="3" t="s">
        <v>2379</v>
      </c>
      <c r="P1448" s="3"/>
    </row>
    <row r="1449" spans="1:16" x14ac:dyDescent="0.25">
      <c r="A1449" s="3" t="s">
        <v>922</v>
      </c>
      <c r="B1449">
        <v>16.62</v>
      </c>
      <c r="C1449" t="str" cm="1">
        <f t="array" ref="C1449">_xlfn.IFS(B1449&lt;=18.5,  "Underweight",B1449&lt;=24.9,"Normal weight",B1449&lt;=29.9, "Over weight",B1449&gt;=30,"Obesity")</f>
        <v>Underweight</v>
      </c>
      <c r="D1449">
        <v>9.14</v>
      </c>
      <c r="E1449" t="str" cm="1">
        <f t="array" ref="E1449">_xlfn.IFS(D1449&lt;5.7,"Normal",D1449&lt;=6.4,"Prediabetes",D1449&gt;=6.5,"Diabetes")</f>
        <v>Diabetes</v>
      </c>
      <c r="F1449" s="3" t="s">
        <v>2379</v>
      </c>
      <c r="G1449" s="3" t="s">
        <v>2379</v>
      </c>
      <c r="H1449" s="3" t="s">
        <v>2379</v>
      </c>
      <c r="I1449" s="1" t="s">
        <v>2380</v>
      </c>
      <c r="J1449">
        <v>0</v>
      </c>
      <c r="K1449" s="3" t="s">
        <v>2379</v>
      </c>
      <c r="P1449" s="3"/>
    </row>
    <row r="1450" spans="1:16" x14ac:dyDescent="0.25">
      <c r="A1450" s="3" t="s">
        <v>921</v>
      </c>
      <c r="B1450">
        <v>15.36</v>
      </c>
      <c r="C1450" t="str" cm="1">
        <f t="array" ref="C1450">_xlfn.IFS(B1450&lt;=18.5,  "Underweight",B1450&lt;=24.9,"Normal weight",B1450&lt;=29.9, "Over weight",B1450&gt;=30,"Obesity")</f>
        <v>Underweight</v>
      </c>
      <c r="D1450">
        <v>5.49</v>
      </c>
      <c r="E1450" t="str" cm="1">
        <f t="array" ref="E1450">_xlfn.IFS(D1450&lt;5.7,"Normal",D1450&lt;=6.4,"Prediabetes",D1450&gt;=6.5,"Diabetes")</f>
        <v>Normal</v>
      </c>
      <c r="F1450" s="3" t="s">
        <v>2382</v>
      </c>
      <c r="G1450" s="3" t="s">
        <v>2379</v>
      </c>
      <c r="H1450" s="3" t="s">
        <v>2379</v>
      </c>
      <c r="I1450" s="1">
        <v>2</v>
      </c>
      <c r="J1450">
        <v>2</v>
      </c>
      <c r="K1450" s="3" t="s">
        <v>2379</v>
      </c>
      <c r="P1450" s="3"/>
    </row>
    <row r="1451" spans="1:16" x14ac:dyDescent="0.25">
      <c r="A1451" s="3" t="s">
        <v>920</v>
      </c>
      <c r="B1451">
        <v>27.74</v>
      </c>
      <c r="C1451" t="str" cm="1">
        <f t="array" ref="C1451">_xlfn.IFS(B1451&lt;=18.5,  "Underweight",B1451&lt;=24.9,"Normal weight",B1451&lt;=29.9, "Over weight",B1451&gt;=30,"Obesity")</f>
        <v>Over weight</v>
      </c>
      <c r="D1451">
        <v>5.96</v>
      </c>
      <c r="E1451" t="str" cm="1">
        <f t="array" ref="E1451">_xlfn.IFS(D1451&lt;5.7,"Normal",D1451&lt;=6.4,"Prediabetes",D1451&gt;=6.5,"Diabetes")</f>
        <v>Prediabetes</v>
      </c>
      <c r="F1451" s="3" t="s">
        <v>2382</v>
      </c>
      <c r="G1451" s="3" t="s">
        <v>2379</v>
      </c>
      <c r="H1451" s="3" t="s">
        <v>2379</v>
      </c>
      <c r="I1451" s="1" t="s">
        <v>2380</v>
      </c>
      <c r="J1451">
        <v>0</v>
      </c>
      <c r="K1451" s="3" t="s">
        <v>2379</v>
      </c>
      <c r="P1451" s="3"/>
    </row>
    <row r="1452" spans="1:16" x14ac:dyDescent="0.25">
      <c r="A1452" s="3" t="s">
        <v>919</v>
      </c>
      <c r="B1452">
        <v>22.44</v>
      </c>
      <c r="C1452" t="str" cm="1">
        <f t="array" ref="C1452">_xlfn.IFS(B1452&lt;=18.5,  "Underweight",B1452&lt;=24.9,"Normal weight",B1452&lt;=29.9, "Over weight",B1452&gt;=30,"Obesity")</f>
        <v>Normal weight</v>
      </c>
      <c r="D1452">
        <v>4.62</v>
      </c>
      <c r="E1452" t="str" cm="1">
        <f t="array" ref="E1452">_xlfn.IFS(D1452&lt;5.7,"Normal",D1452&lt;=6.4,"Prediabetes",D1452&gt;=6.5,"Diabetes")</f>
        <v>Normal</v>
      </c>
      <c r="F1452" s="3" t="s">
        <v>2382</v>
      </c>
      <c r="G1452" s="3" t="s">
        <v>2379</v>
      </c>
      <c r="H1452" s="3" t="s">
        <v>2379</v>
      </c>
      <c r="I1452" s="1" t="s">
        <v>2380</v>
      </c>
      <c r="J1452">
        <v>0</v>
      </c>
      <c r="K1452" s="3" t="s">
        <v>2379</v>
      </c>
      <c r="P1452" s="3"/>
    </row>
    <row r="1453" spans="1:16" x14ac:dyDescent="0.25">
      <c r="A1453" s="3" t="s">
        <v>918</v>
      </c>
      <c r="B1453">
        <v>37.049999999999997</v>
      </c>
      <c r="C1453" t="str" cm="1">
        <f t="array" ref="C1453">_xlfn.IFS(B1453&lt;=18.5,  "Underweight",B1453&lt;=24.9,"Normal weight",B1453&lt;=29.9, "Over weight",B1453&gt;=30,"Obesity")</f>
        <v>Obesity</v>
      </c>
      <c r="D1453">
        <v>9.9600000000000009</v>
      </c>
      <c r="E1453" t="str" cm="1">
        <f t="array" ref="E1453">_xlfn.IFS(D1453&lt;5.7,"Normal",D1453&lt;=6.4,"Prediabetes",D1453&gt;=6.5,"Diabetes")</f>
        <v>Diabetes</v>
      </c>
      <c r="F1453" s="3" t="s">
        <v>2382</v>
      </c>
      <c r="G1453" s="3" t="s">
        <v>2379</v>
      </c>
      <c r="H1453" s="3" t="s">
        <v>2379</v>
      </c>
      <c r="I1453" s="1" t="s">
        <v>2380</v>
      </c>
      <c r="J1453">
        <v>0</v>
      </c>
      <c r="K1453" s="3" t="s">
        <v>2379</v>
      </c>
      <c r="P1453" s="3"/>
    </row>
    <row r="1454" spans="1:16" x14ac:dyDescent="0.25">
      <c r="A1454" s="3" t="s">
        <v>917</v>
      </c>
      <c r="B1454">
        <v>22.95</v>
      </c>
      <c r="C1454" t="str" cm="1">
        <f t="array" ref="C1454">_xlfn.IFS(B1454&lt;=18.5,  "Underweight",B1454&lt;=24.9,"Normal weight",B1454&lt;=29.9, "Over weight",B1454&gt;=30,"Obesity")</f>
        <v>Normal weight</v>
      </c>
      <c r="D1454">
        <v>10.53</v>
      </c>
      <c r="E1454" t="str" cm="1">
        <f t="array" ref="E1454">_xlfn.IFS(D1454&lt;5.7,"Normal",D1454&lt;=6.4,"Prediabetes",D1454&gt;=6.5,"Diabetes")</f>
        <v>Diabetes</v>
      </c>
      <c r="F1454" s="3" t="s">
        <v>2379</v>
      </c>
      <c r="G1454" s="3" t="s">
        <v>2379</v>
      </c>
      <c r="H1454" s="3" t="s">
        <v>2379</v>
      </c>
      <c r="I1454" s="1">
        <v>2</v>
      </c>
      <c r="J1454">
        <v>2</v>
      </c>
      <c r="K1454" s="3" t="s">
        <v>2379</v>
      </c>
      <c r="P1454" s="3"/>
    </row>
    <row r="1455" spans="1:16" x14ac:dyDescent="0.25">
      <c r="A1455" s="3" t="s">
        <v>916</v>
      </c>
      <c r="B1455">
        <v>34.200000000000003</v>
      </c>
      <c r="C1455" t="str" cm="1">
        <f t="array" ref="C1455">_xlfn.IFS(B1455&lt;=18.5,  "Underweight",B1455&lt;=24.9,"Normal weight",B1455&lt;=29.9, "Over weight",B1455&gt;=30,"Obesity")</f>
        <v>Obesity</v>
      </c>
      <c r="D1455">
        <v>6.69</v>
      </c>
      <c r="E1455" t="str" cm="1">
        <f t="array" ref="E1455">_xlfn.IFS(D1455&lt;5.7,"Normal",D1455&lt;=6.4,"Prediabetes",D1455&gt;=6.5,"Diabetes")</f>
        <v>Diabetes</v>
      </c>
      <c r="F1455" s="3" t="s">
        <v>2382</v>
      </c>
      <c r="G1455" s="3" t="s">
        <v>2379</v>
      </c>
      <c r="H1455" s="3" t="s">
        <v>2379</v>
      </c>
      <c r="I1455" s="1" t="s">
        <v>2380</v>
      </c>
      <c r="J1455">
        <v>0</v>
      </c>
      <c r="K1455" s="3" t="s">
        <v>2379</v>
      </c>
      <c r="P1455" s="3"/>
    </row>
    <row r="1456" spans="1:16" x14ac:dyDescent="0.25">
      <c r="A1456" s="3" t="s">
        <v>915</v>
      </c>
      <c r="B1456">
        <v>30.59</v>
      </c>
      <c r="C1456" t="str" cm="1">
        <f t="array" ref="C1456">_xlfn.IFS(B1456&lt;=18.5,  "Underweight",B1456&lt;=24.9,"Normal weight",B1456&lt;=29.9, "Over weight",B1456&gt;=30,"Obesity")</f>
        <v>Obesity</v>
      </c>
      <c r="D1456">
        <v>9.5500000000000007</v>
      </c>
      <c r="E1456" t="str" cm="1">
        <f t="array" ref="E1456">_xlfn.IFS(D1456&lt;5.7,"Normal",D1456&lt;=6.4,"Prediabetes",D1456&gt;=6.5,"Diabetes")</f>
        <v>Diabetes</v>
      </c>
      <c r="F1456" s="3" t="s">
        <v>2382</v>
      </c>
      <c r="G1456" s="3" t="s">
        <v>2379</v>
      </c>
      <c r="H1456" s="3" t="s">
        <v>2379</v>
      </c>
      <c r="I1456" s="1" t="s">
        <v>2380</v>
      </c>
      <c r="J1456">
        <v>0</v>
      </c>
      <c r="K1456" s="3" t="s">
        <v>2379</v>
      </c>
      <c r="P1456" s="3"/>
    </row>
    <row r="1457" spans="1:16" x14ac:dyDescent="0.25">
      <c r="A1457" s="3" t="s">
        <v>914</v>
      </c>
      <c r="B1457">
        <v>25.51</v>
      </c>
      <c r="C1457" t="str" cm="1">
        <f t="array" ref="C1457">_xlfn.IFS(B1457&lt;=18.5,  "Underweight",B1457&lt;=24.9,"Normal weight",B1457&lt;=29.9, "Over weight",B1457&gt;=30,"Obesity")</f>
        <v>Over weight</v>
      </c>
      <c r="D1457">
        <v>6.05</v>
      </c>
      <c r="E1457" t="str" cm="1">
        <f t="array" ref="E1457">_xlfn.IFS(D1457&lt;5.7,"Normal",D1457&lt;=6.4,"Prediabetes",D1457&gt;=6.5,"Diabetes")</f>
        <v>Prediabetes</v>
      </c>
      <c r="F1457" s="3" t="s">
        <v>2379</v>
      </c>
      <c r="G1457" s="3" t="s">
        <v>2379</v>
      </c>
      <c r="H1457" s="3" t="s">
        <v>2379</v>
      </c>
      <c r="I1457" s="1" t="s">
        <v>2380</v>
      </c>
      <c r="J1457">
        <v>0</v>
      </c>
      <c r="K1457" s="3" t="s">
        <v>2379</v>
      </c>
      <c r="P1457" s="3"/>
    </row>
    <row r="1458" spans="1:16" x14ac:dyDescent="0.25">
      <c r="A1458" s="3" t="s">
        <v>913</v>
      </c>
      <c r="B1458">
        <v>29.04</v>
      </c>
      <c r="C1458" t="str" cm="1">
        <f t="array" ref="C1458">_xlfn.IFS(B1458&lt;=18.5,  "Underweight",B1458&lt;=24.9,"Normal weight",B1458&lt;=29.9, "Over weight",B1458&gt;=30,"Obesity")</f>
        <v>Over weight</v>
      </c>
      <c r="D1458">
        <v>10.56</v>
      </c>
      <c r="E1458" t="str" cm="1">
        <f t="array" ref="E1458">_xlfn.IFS(D1458&lt;5.7,"Normal",D1458&lt;=6.4,"Prediabetes",D1458&gt;=6.5,"Diabetes")</f>
        <v>Diabetes</v>
      </c>
      <c r="F1458" s="3" t="s">
        <v>2382</v>
      </c>
      <c r="G1458" s="3" t="s">
        <v>2379</v>
      </c>
      <c r="H1458" s="3" t="s">
        <v>2379</v>
      </c>
      <c r="I1458" s="1">
        <v>1</v>
      </c>
      <c r="J1458">
        <v>1</v>
      </c>
      <c r="K1458" s="3" t="s">
        <v>2379</v>
      </c>
      <c r="P1458" s="3"/>
    </row>
    <row r="1459" spans="1:16" x14ac:dyDescent="0.25">
      <c r="A1459" s="3" t="s">
        <v>912</v>
      </c>
      <c r="B1459">
        <v>22.135000000000002</v>
      </c>
      <c r="C1459" t="str" cm="1">
        <f t="array" ref="C1459">_xlfn.IFS(B1459&lt;=18.5,  "Underweight",B1459&lt;=24.9,"Normal weight",B1459&lt;=29.9, "Over weight",B1459&gt;=30,"Obesity")</f>
        <v>Normal weight</v>
      </c>
      <c r="D1459">
        <v>10.81</v>
      </c>
      <c r="E1459" t="str" cm="1">
        <f t="array" ref="E1459">_xlfn.IFS(D1459&lt;5.7,"Normal",D1459&lt;=6.4,"Prediabetes",D1459&gt;=6.5,"Diabetes")</f>
        <v>Diabetes</v>
      </c>
      <c r="F1459" s="3" t="s">
        <v>2382</v>
      </c>
      <c r="G1459" s="3" t="s">
        <v>2379</v>
      </c>
      <c r="H1459" s="3" t="s">
        <v>2379</v>
      </c>
      <c r="I1459" s="1">
        <v>1</v>
      </c>
      <c r="J1459">
        <v>1</v>
      </c>
      <c r="K1459" s="3" t="s">
        <v>2379</v>
      </c>
      <c r="P1459" s="3"/>
    </row>
    <row r="1460" spans="1:16" x14ac:dyDescent="0.25">
      <c r="A1460" s="3" t="s">
        <v>911</v>
      </c>
      <c r="B1460">
        <v>21.375</v>
      </c>
      <c r="C1460" t="str" cm="1">
        <f t="array" ref="C1460">_xlfn.IFS(B1460&lt;=18.5,  "Underweight",B1460&lt;=24.9,"Normal weight",B1460&lt;=29.9, "Over weight",B1460&gt;=30,"Obesity")</f>
        <v>Normal weight</v>
      </c>
      <c r="D1460">
        <v>4.32</v>
      </c>
      <c r="E1460" t="str" cm="1">
        <f t="array" ref="E1460">_xlfn.IFS(D1460&lt;5.7,"Normal",D1460&lt;=6.4,"Prediabetes",D1460&gt;=6.5,"Diabetes")</f>
        <v>Normal</v>
      </c>
      <c r="F1460" s="3" t="s">
        <v>2379</v>
      </c>
      <c r="G1460" s="3" t="s">
        <v>2379</v>
      </c>
      <c r="H1460" s="3" t="s">
        <v>2379</v>
      </c>
      <c r="I1460" s="1" t="s">
        <v>2380</v>
      </c>
      <c r="J1460">
        <v>0</v>
      </c>
      <c r="K1460" s="3" t="s">
        <v>2379</v>
      </c>
      <c r="P1460" s="3"/>
    </row>
    <row r="1461" spans="1:16" x14ac:dyDescent="0.25">
      <c r="A1461" s="3" t="s">
        <v>910</v>
      </c>
      <c r="B1461">
        <v>29.19</v>
      </c>
      <c r="C1461" t="str" cm="1">
        <f t="array" ref="C1461">_xlfn.IFS(B1461&lt;=18.5,  "Underweight",B1461&lt;=24.9,"Normal weight",B1461&lt;=29.9, "Over weight",B1461&gt;=30,"Obesity")</f>
        <v>Over weight</v>
      </c>
      <c r="D1461">
        <v>4.37</v>
      </c>
      <c r="E1461" t="str" cm="1">
        <f t="array" ref="E1461">_xlfn.IFS(D1461&lt;5.7,"Normal",D1461&lt;=6.4,"Prediabetes",D1461&gt;=6.5,"Diabetes")</f>
        <v>Normal</v>
      </c>
      <c r="F1461" s="3" t="s">
        <v>2379</v>
      </c>
      <c r="G1461" s="3" t="s">
        <v>2379</v>
      </c>
      <c r="H1461" s="3" t="s">
        <v>2379</v>
      </c>
      <c r="I1461" s="1" t="s">
        <v>2380</v>
      </c>
      <c r="J1461">
        <v>0</v>
      </c>
      <c r="K1461" s="3" t="s">
        <v>2379</v>
      </c>
      <c r="P1461" s="3"/>
    </row>
    <row r="1462" spans="1:16" x14ac:dyDescent="0.25">
      <c r="A1462" s="3" t="s">
        <v>909</v>
      </c>
      <c r="B1462">
        <v>31.92</v>
      </c>
      <c r="C1462" t="str" cm="1">
        <f t="array" ref="C1462">_xlfn.IFS(B1462&lt;=18.5,  "Underweight",B1462&lt;=24.9,"Normal weight",B1462&lt;=29.9, "Over weight",B1462&gt;=30,"Obesity")</f>
        <v>Obesity</v>
      </c>
      <c r="D1462">
        <v>4.8099999999999996</v>
      </c>
      <c r="E1462" t="str" cm="1">
        <f t="array" ref="E1462">_xlfn.IFS(D1462&lt;5.7,"Normal",D1462&lt;=6.4,"Prediabetes",D1462&gt;=6.5,"Diabetes")</f>
        <v>Normal</v>
      </c>
      <c r="F1462" s="3" t="s">
        <v>2382</v>
      </c>
      <c r="G1462" s="3" t="s">
        <v>2379</v>
      </c>
      <c r="H1462" s="3" t="s">
        <v>2382</v>
      </c>
      <c r="I1462" s="1">
        <v>1</v>
      </c>
      <c r="J1462">
        <v>1</v>
      </c>
      <c r="K1462" s="3" t="s">
        <v>2379</v>
      </c>
      <c r="P1462" s="3"/>
    </row>
    <row r="1463" spans="1:16" x14ac:dyDescent="0.25">
      <c r="A1463" s="3" t="s">
        <v>908</v>
      </c>
      <c r="B1463">
        <v>26.315000000000001</v>
      </c>
      <c r="C1463" t="str" cm="1">
        <f t="array" ref="C1463">_xlfn.IFS(B1463&lt;=18.5,  "Underweight",B1463&lt;=24.9,"Normal weight",B1463&lt;=29.9, "Over weight",B1463&gt;=30,"Obesity")</f>
        <v>Over weight</v>
      </c>
      <c r="D1463">
        <v>4.5599999999999996</v>
      </c>
      <c r="E1463" t="str" cm="1">
        <f t="array" ref="E1463">_xlfn.IFS(D1463&lt;5.7,"Normal",D1463&lt;=6.4,"Prediabetes",D1463&gt;=6.5,"Diabetes")</f>
        <v>Normal</v>
      </c>
      <c r="F1463" s="3" t="s">
        <v>2382</v>
      </c>
      <c r="G1463" s="3" t="s">
        <v>2379</v>
      </c>
      <c r="H1463" s="3" t="s">
        <v>2382</v>
      </c>
      <c r="I1463" s="1">
        <v>1</v>
      </c>
      <c r="J1463">
        <v>1</v>
      </c>
      <c r="K1463" s="3" t="s">
        <v>2379</v>
      </c>
      <c r="P1463" s="3"/>
    </row>
    <row r="1464" spans="1:16" x14ac:dyDescent="0.25">
      <c r="A1464" s="3" t="s">
        <v>907</v>
      </c>
      <c r="B1464">
        <v>35.299999999999997</v>
      </c>
      <c r="C1464" t="str" cm="1">
        <f t="array" ref="C1464">_xlfn.IFS(B1464&lt;=18.5,  "Underweight",B1464&lt;=24.9,"Normal weight",B1464&lt;=29.9, "Over weight",B1464&gt;=30,"Obesity")</f>
        <v>Obesity</v>
      </c>
      <c r="D1464">
        <v>4.3899999999999997</v>
      </c>
      <c r="E1464" t="str" cm="1">
        <f t="array" ref="E1464">_xlfn.IFS(D1464&lt;5.7,"Normal",D1464&lt;=6.4,"Prediabetes",D1464&gt;=6.5,"Diabetes")</f>
        <v>Normal</v>
      </c>
      <c r="F1464" s="3" t="s">
        <v>2379</v>
      </c>
      <c r="G1464" s="3" t="s">
        <v>2379</v>
      </c>
      <c r="H1464" s="3" t="s">
        <v>2379</v>
      </c>
      <c r="I1464" s="1" t="s">
        <v>2380</v>
      </c>
      <c r="J1464">
        <v>0</v>
      </c>
      <c r="K1464" s="3" t="s">
        <v>2379</v>
      </c>
      <c r="P1464" s="3"/>
    </row>
    <row r="1465" spans="1:16" x14ac:dyDescent="0.25">
      <c r="A1465" s="3" t="s">
        <v>906</v>
      </c>
      <c r="B1465">
        <v>18.91</v>
      </c>
      <c r="C1465" t="str" cm="1">
        <f t="array" ref="C1465">_xlfn.IFS(B1465&lt;=18.5,  "Underweight",B1465&lt;=24.9,"Normal weight",B1465&lt;=29.9, "Over weight",B1465&gt;=30,"Obesity")</f>
        <v>Normal weight</v>
      </c>
      <c r="D1465">
        <v>11.44</v>
      </c>
      <c r="E1465" t="str" cm="1">
        <f t="array" ref="E1465">_xlfn.IFS(D1465&lt;5.7,"Normal",D1465&lt;=6.4,"Prediabetes",D1465&gt;=6.5,"Diabetes")</f>
        <v>Diabetes</v>
      </c>
      <c r="F1465" s="3" t="s">
        <v>2379</v>
      </c>
      <c r="G1465" s="3" t="s">
        <v>2379</v>
      </c>
      <c r="H1465" s="3" t="s">
        <v>2379</v>
      </c>
      <c r="I1465" s="1" t="s">
        <v>2380</v>
      </c>
      <c r="J1465">
        <v>0</v>
      </c>
      <c r="K1465" s="3" t="s">
        <v>2379</v>
      </c>
      <c r="P1465" s="3"/>
    </row>
    <row r="1466" spans="1:16" x14ac:dyDescent="0.25">
      <c r="A1466" s="3" t="s">
        <v>905</v>
      </c>
      <c r="B1466">
        <v>22.41</v>
      </c>
      <c r="C1466" t="str" cm="1">
        <f t="array" ref="C1466">_xlfn.IFS(B1466&lt;=18.5,  "Underweight",B1466&lt;=24.9,"Normal weight",B1466&lt;=29.9, "Over weight",B1466&gt;=30,"Obesity")</f>
        <v>Normal weight</v>
      </c>
      <c r="D1466">
        <v>11.37</v>
      </c>
      <c r="E1466" t="str" cm="1">
        <f t="array" ref="E1466">_xlfn.IFS(D1466&lt;5.7,"Normal",D1466&lt;=6.4,"Prediabetes",D1466&gt;=6.5,"Diabetes")</f>
        <v>Diabetes</v>
      </c>
      <c r="F1466" s="3" t="s">
        <v>2382</v>
      </c>
      <c r="G1466" s="3" t="s">
        <v>2379</v>
      </c>
      <c r="H1466" s="3" t="s">
        <v>2379</v>
      </c>
      <c r="I1466" s="1">
        <v>1</v>
      </c>
      <c r="J1466">
        <v>1</v>
      </c>
      <c r="K1466" s="3" t="s">
        <v>2379</v>
      </c>
      <c r="P1466" s="3"/>
    </row>
    <row r="1467" spans="1:16" x14ac:dyDescent="0.25">
      <c r="A1467" s="3" t="s">
        <v>904</v>
      </c>
      <c r="B1467">
        <v>22.704999999999998</v>
      </c>
      <c r="C1467" t="str" cm="1">
        <f t="array" ref="C1467">_xlfn.IFS(B1467&lt;=18.5,  "Underweight",B1467&lt;=24.9,"Normal weight",B1467&lt;=29.9, "Over weight",B1467&gt;=30,"Obesity")</f>
        <v>Normal weight</v>
      </c>
      <c r="D1467">
        <v>6.14</v>
      </c>
      <c r="E1467" t="str" cm="1">
        <f t="array" ref="E1467">_xlfn.IFS(D1467&lt;5.7,"Normal",D1467&lt;=6.4,"Prediabetes",D1467&gt;=6.5,"Diabetes")</f>
        <v>Prediabetes</v>
      </c>
      <c r="F1467" s="3" t="s">
        <v>2379</v>
      </c>
      <c r="G1467" s="3" t="s">
        <v>2379</v>
      </c>
      <c r="H1467" s="3" t="s">
        <v>2379</v>
      </c>
      <c r="I1467" s="1" t="s">
        <v>2380</v>
      </c>
      <c r="J1467">
        <v>0</v>
      </c>
      <c r="K1467" s="3" t="s">
        <v>2379</v>
      </c>
      <c r="P1467" s="3"/>
    </row>
    <row r="1468" spans="1:16" x14ac:dyDescent="0.25">
      <c r="A1468" s="3" t="s">
        <v>903</v>
      </c>
      <c r="B1468">
        <v>37.18</v>
      </c>
      <c r="C1468" t="str" cm="1">
        <f t="array" ref="C1468">_xlfn.IFS(B1468&lt;=18.5,  "Underweight",B1468&lt;=24.9,"Normal weight",B1468&lt;=29.9, "Over weight",B1468&gt;=30,"Obesity")</f>
        <v>Obesity</v>
      </c>
      <c r="D1468">
        <v>4.8899999999999997</v>
      </c>
      <c r="E1468" t="str" cm="1">
        <f t="array" ref="E1468">_xlfn.IFS(D1468&lt;5.7,"Normal",D1468&lt;=6.4,"Prediabetes",D1468&gt;=6.5,"Diabetes")</f>
        <v>Normal</v>
      </c>
      <c r="F1468" s="3" t="s">
        <v>2379</v>
      </c>
      <c r="G1468" s="3" t="s">
        <v>2379</v>
      </c>
      <c r="H1468" s="3" t="s">
        <v>2379</v>
      </c>
      <c r="I1468" s="1" t="s">
        <v>2380</v>
      </c>
      <c r="J1468">
        <v>0</v>
      </c>
      <c r="K1468" s="3" t="s">
        <v>2379</v>
      </c>
      <c r="P1468" s="3"/>
    </row>
    <row r="1469" spans="1:16" x14ac:dyDescent="0.25">
      <c r="A1469" s="3" t="s">
        <v>902</v>
      </c>
      <c r="B1469">
        <v>35.97</v>
      </c>
      <c r="C1469" t="str" cm="1">
        <f t="array" ref="C1469">_xlfn.IFS(B1469&lt;=18.5,  "Underweight",B1469&lt;=24.9,"Normal weight",B1469&lt;=29.9, "Over weight",B1469&gt;=30,"Obesity")</f>
        <v>Obesity</v>
      </c>
      <c r="D1469">
        <v>4.5999999999999996</v>
      </c>
      <c r="E1469" t="str" cm="1">
        <f t="array" ref="E1469">_xlfn.IFS(D1469&lt;5.7,"Normal",D1469&lt;=6.4,"Prediabetes",D1469&gt;=6.5,"Diabetes")</f>
        <v>Normal</v>
      </c>
      <c r="F1469" s="3" t="s">
        <v>2379</v>
      </c>
      <c r="G1469" s="3" t="s">
        <v>2379</v>
      </c>
      <c r="H1469" s="3" t="s">
        <v>2379</v>
      </c>
      <c r="I1469" s="1" t="s">
        <v>2380</v>
      </c>
      <c r="J1469">
        <v>0</v>
      </c>
      <c r="K1469" s="3" t="s">
        <v>2379</v>
      </c>
      <c r="P1469" s="3"/>
    </row>
    <row r="1470" spans="1:16" x14ac:dyDescent="0.25">
      <c r="A1470" s="3" t="s">
        <v>901</v>
      </c>
      <c r="B1470">
        <v>35.799999999999997</v>
      </c>
      <c r="C1470" t="str" cm="1">
        <f t="array" ref="C1470">_xlfn.IFS(B1470&lt;=18.5,  "Underweight",B1470&lt;=24.9,"Normal weight",B1470&lt;=29.9, "Over weight",B1470&gt;=30,"Obesity")</f>
        <v>Obesity</v>
      </c>
      <c r="D1470">
        <v>4.42</v>
      </c>
      <c r="E1470" t="str" cm="1">
        <f t="array" ref="E1470">_xlfn.IFS(D1470&lt;5.7,"Normal",D1470&lt;=6.4,"Prediabetes",D1470&gt;=6.5,"Diabetes")</f>
        <v>Normal</v>
      </c>
      <c r="F1470" s="3" t="s">
        <v>2379</v>
      </c>
      <c r="G1470" s="3" t="s">
        <v>2379</v>
      </c>
      <c r="H1470" s="3" t="s">
        <v>2379</v>
      </c>
      <c r="I1470" s="1" t="s">
        <v>2380</v>
      </c>
      <c r="J1470">
        <v>0</v>
      </c>
      <c r="K1470" s="3" t="s">
        <v>2379</v>
      </c>
      <c r="P1470" s="3"/>
    </row>
    <row r="1471" spans="1:16" x14ac:dyDescent="0.25">
      <c r="A1471" s="3" t="s">
        <v>900</v>
      </c>
      <c r="B1471">
        <v>28.31</v>
      </c>
      <c r="C1471" t="str" cm="1">
        <f t="array" ref="C1471">_xlfn.IFS(B1471&lt;=18.5,  "Underweight",B1471&lt;=24.9,"Normal weight",B1471&lt;=29.9, "Over weight",B1471&gt;=30,"Obesity")</f>
        <v>Over weight</v>
      </c>
      <c r="D1471">
        <v>7.48</v>
      </c>
      <c r="E1471" t="str" cm="1">
        <f t="array" ref="E1471">_xlfn.IFS(D1471&lt;5.7,"Normal",D1471&lt;=6.4,"Prediabetes",D1471&gt;=6.5,"Diabetes")</f>
        <v>Diabetes</v>
      </c>
      <c r="F1471" s="3" t="s">
        <v>2382</v>
      </c>
      <c r="G1471" s="3" t="s">
        <v>2379</v>
      </c>
      <c r="H1471" s="3" t="s">
        <v>2379</v>
      </c>
      <c r="I1471" s="1" t="s">
        <v>2380</v>
      </c>
      <c r="J1471">
        <v>0</v>
      </c>
      <c r="K1471" s="3" t="s">
        <v>2379</v>
      </c>
      <c r="P1471" s="3"/>
    </row>
    <row r="1472" spans="1:16" x14ac:dyDescent="0.25">
      <c r="A1472" s="3" t="s">
        <v>899</v>
      </c>
      <c r="B1472">
        <v>38.06</v>
      </c>
      <c r="C1472" t="str" cm="1">
        <f t="array" ref="C1472">_xlfn.IFS(B1472&lt;=18.5,  "Underweight",B1472&lt;=24.9,"Normal weight",B1472&lt;=29.9, "Over weight",B1472&gt;=30,"Obesity")</f>
        <v>Obesity</v>
      </c>
      <c r="D1472">
        <v>10.74</v>
      </c>
      <c r="E1472" t="str" cm="1">
        <f t="array" ref="E1472">_xlfn.IFS(D1472&lt;5.7,"Normal",D1472&lt;=6.4,"Prediabetes",D1472&gt;=6.5,"Diabetes")</f>
        <v>Diabetes</v>
      </c>
      <c r="F1472" s="3" t="s">
        <v>2379</v>
      </c>
      <c r="G1472" s="3" t="s">
        <v>2379</v>
      </c>
      <c r="H1472" s="3" t="s">
        <v>2379</v>
      </c>
      <c r="I1472" s="1" t="s">
        <v>2380</v>
      </c>
      <c r="J1472">
        <v>0</v>
      </c>
      <c r="K1472" s="3" t="s">
        <v>2379</v>
      </c>
      <c r="P1472" s="3"/>
    </row>
    <row r="1473" spans="1:16" x14ac:dyDescent="0.25">
      <c r="A1473" s="3" t="s">
        <v>898</v>
      </c>
      <c r="B1473">
        <v>28</v>
      </c>
      <c r="C1473" t="str" cm="1">
        <f t="array" ref="C1473">_xlfn.IFS(B1473&lt;=18.5,  "Underweight",B1473&lt;=24.9,"Normal weight",B1473&lt;=29.9, "Over weight",B1473&gt;=30,"Obesity")</f>
        <v>Over weight</v>
      </c>
      <c r="D1473">
        <v>5.19</v>
      </c>
      <c r="E1473" t="str" cm="1">
        <f t="array" ref="E1473">_xlfn.IFS(D1473&lt;5.7,"Normal",D1473&lt;=6.4,"Prediabetes",D1473&gt;=6.5,"Diabetes")</f>
        <v>Normal</v>
      </c>
      <c r="F1473" s="3" t="s">
        <v>2379</v>
      </c>
      <c r="G1473" s="3" t="s">
        <v>2379</v>
      </c>
      <c r="H1473" s="3" t="s">
        <v>2379</v>
      </c>
      <c r="I1473" s="1">
        <v>1</v>
      </c>
      <c r="J1473">
        <v>1</v>
      </c>
      <c r="K1473" s="3" t="s">
        <v>2379</v>
      </c>
      <c r="P1473" s="3"/>
    </row>
    <row r="1474" spans="1:16" x14ac:dyDescent="0.25">
      <c r="A1474" s="3" t="s">
        <v>897</v>
      </c>
      <c r="B1474">
        <v>34.32</v>
      </c>
      <c r="C1474" t="str" cm="1">
        <f t="array" ref="C1474">_xlfn.IFS(B1474&lt;=18.5,  "Underweight",B1474&lt;=24.9,"Normal weight",B1474&lt;=29.9, "Over weight",B1474&gt;=30,"Obesity")</f>
        <v>Obesity</v>
      </c>
      <c r="D1474">
        <v>9.17</v>
      </c>
      <c r="E1474" t="str" cm="1">
        <f t="array" ref="E1474">_xlfn.IFS(D1474&lt;5.7,"Normal",D1474&lt;=6.4,"Prediabetes",D1474&gt;=6.5,"Diabetes")</f>
        <v>Diabetes</v>
      </c>
      <c r="F1474" s="3" t="s">
        <v>2379</v>
      </c>
      <c r="G1474" s="3" t="s">
        <v>2379</v>
      </c>
      <c r="H1474" s="3" t="s">
        <v>2379</v>
      </c>
      <c r="I1474" s="1" t="s">
        <v>2380</v>
      </c>
      <c r="J1474">
        <v>0</v>
      </c>
      <c r="K1474" s="3" t="s">
        <v>2379</v>
      </c>
      <c r="P1474" s="3"/>
    </row>
    <row r="1475" spans="1:16" x14ac:dyDescent="0.25">
      <c r="A1475" s="3" t="s">
        <v>896</v>
      </c>
      <c r="B1475">
        <v>22.3</v>
      </c>
      <c r="C1475" t="str" cm="1">
        <f t="array" ref="C1475">_xlfn.IFS(B1475&lt;=18.5,  "Underweight",B1475&lt;=24.9,"Normal weight",B1475&lt;=29.9, "Over weight",B1475&gt;=30,"Obesity")</f>
        <v>Normal weight</v>
      </c>
      <c r="D1475">
        <v>4.95</v>
      </c>
      <c r="E1475" t="str" cm="1">
        <f t="array" ref="E1475">_xlfn.IFS(D1475&lt;5.7,"Normal",D1475&lt;=6.4,"Prediabetes",D1475&gt;=6.5,"Diabetes")</f>
        <v>Normal</v>
      </c>
      <c r="F1475" s="3" t="s">
        <v>2382</v>
      </c>
      <c r="G1475" s="3" t="s">
        <v>2379</v>
      </c>
      <c r="H1475" s="3" t="s">
        <v>2379</v>
      </c>
      <c r="I1475" s="1" t="s">
        <v>2380</v>
      </c>
      <c r="J1475">
        <v>0</v>
      </c>
      <c r="K1475" s="3" t="s">
        <v>2379</v>
      </c>
      <c r="P1475" s="3"/>
    </row>
    <row r="1476" spans="1:16" x14ac:dyDescent="0.25">
      <c r="A1476" s="3" t="s">
        <v>895</v>
      </c>
      <c r="B1476">
        <v>27.835000000000001</v>
      </c>
      <c r="C1476" t="str" cm="1">
        <f t="array" ref="C1476">_xlfn.IFS(B1476&lt;=18.5,  "Underweight",B1476&lt;=24.9,"Normal weight",B1476&lt;=29.9, "Over weight",B1476&gt;=30,"Obesity")</f>
        <v>Over weight</v>
      </c>
      <c r="D1476">
        <v>6.03</v>
      </c>
      <c r="E1476" t="str" cm="1">
        <f t="array" ref="E1476">_xlfn.IFS(D1476&lt;5.7,"Normal",D1476&lt;=6.4,"Prediabetes",D1476&gt;=6.5,"Diabetes")</f>
        <v>Prediabetes</v>
      </c>
      <c r="F1476" s="3" t="s">
        <v>2379</v>
      </c>
      <c r="G1476" s="3" t="s">
        <v>2379</v>
      </c>
      <c r="H1476" s="3" t="s">
        <v>2379</v>
      </c>
      <c r="I1476" s="1">
        <v>1</v>
      </c>
      <c r="J1476">
        <v>1</v>
      </c>
      <c r="K1476" s="3" t="s">
        <v>2379</v>
      </c>
      <c r="P1476" s="3"/>
    </row>
    <row r="1477" spans="1:16" x14ac:dyDescent="0.25">
      <c r="A1477" s="3" t="s">
        <v>894</v>
      </c>
      <c r="B1477">
        <v>39.229999999999997</v>
      </c>
      <c r="C1477" t="str" cm="1">
        <f t="array" ref="C1477">_xlfn.IFS(B1477&lt;=18.5,  "Underweight",B1477&lt;=24.9,"Normal weight",B1477&lt;=29.9, "Over weight",B1477&gt;=30,"Obesity")</f>
        <v>Obesity</v>
      </c>
      <c r="D1477">
        <v>5.36</v>
      </c>
      <c r="E1477" t="str" cm="1">
        <f t="array" ref="E1477">_xlfn.IFS(D1477&lt;5.7,"Normal",D1477&lt;=6.4,"Prediabetes",D1477&gt;=6.5,"Diabetes")</f>
        <v>Normal</v>
      </c>
      <c r="F1477" s="3" t="s">
        <v>2379</v>
      </c>
      <c r="G1477" s="3" t="s">
        <v>2379</v>
      </c>
      <c r="H1477" s="3" t="s">
        <v>2379</v>
      </c>
      <c r="I1477" s="1" t="s">
        <v>2380</v>
      </c>
      <c r="J1477">
        <v>0</v>
      </c>
      <c r="K1477" s="3" t="s">
        <v>2379</v>
      </c>
      <c r="P1477" s="3"/>
    </row>
    <row r="1478" spans="1:16" x14ac:dyDescent="0.25">
      <c r="A1478" s="3" t="s">
        <v>893</v>
      </c>
      <c r="B1478">
        <v>19.95</v>
      </c>
      <c r="C1478" t="str" cm="1">
        <f t="array" ref="C1478">_xlfn.IFS(B1478&lt;=18.5,  "Underweight",B1478&lt;=24.9,"Normal weight",B1478&lt;=29.9, "Over weight",B1478&gt;=30,"Obesity")</f>
        <v>Normal weight</v>
      </c>
      <c r="D1478">
        <v>6.11</v>
      </c>
      <c r="E1478" t="str" cm="1">
        <f t="array" ref="E1478">_xlfn.IFS(D1478&lt;5.7,"Normal",D1478&lt;=6.4,"Prediabetes",D1478&gt;=6.5,"Diabetes")</f>
        <v>Prediabetes</v>
      </c>
      <c r="F1478" s="3" t="s">
        <v>2379</v>
      </c>
      <c r="G1478" s="3" t="s">
        <v>2379</v>
      </c>
      <c r="H1478" s="3" t="s">
        <v>2379</v>
      </c>
      <c r="I1478" s="1">
        <v>1</v>
      </c>
      <c r="J1478">
        <v>1</v>
      </c>
      <c r="K1478" s="3" t="s">
        <v>2379</v>
      </c>
      <c r="P1478" s="3"/>
    </row>
    <row r="1479" spans="1:16" x14ac:dyDescent="0.25">
      <c r="A1479" s="3" t="s">
        <v>892</v>
      </c>
      <c r="B1479">
        <v>34.64</v>
      </c>
      <c r="C1479" t="str" cm="1">
        <f t="array" ref="C1479">_xlfn.IFS(B1479&lt;=18.5,  "Underweight",B1479&lt;=24.9,"Normal weight",B1479&lt;=29.9, "Over weight",B1479&gt;=30,"Obesity")</f>
        <v>Obesity</v>
      </c>
      <c r="D1479">
        <v>4.88</v>
      </c>
      <c r="E1479" t="str" cm="1">
        <f t="array" ref="E1479">_xlfn.IFS(D1479&lt;5.7,"Normal",D1479&lt;=6.4,"Prediabetes",D1479&gt;=6.5,"Diabetes")</f>
        <v>Normal</v>
      </c>
      <c r="F1479" s="3" t="s">
        <v>2379</v>
      </c>
      <c r="G1479" s="3" t="s">
        <v>2379</v>
      </c>
      <c r="H1479" s="3" t="s">
        <v>2382</v>
      </c>
      <c r="I1479" s="1">
        <v>1</v>
      </c>
      <c r="J1479">
        <v>1</v>
      </c>
      <c r="K1479" s="3" t="s">
        <v>2379</v>
      </c>
      <c r="P1479" s="3"/>
    </row>
    <row r="1480" spans="1:16" x14ac:dyDescent="0.25">
      <c r="A1480" s="3" t="s">
        <v>891</v>
      </c>
      <c r="B1480">
        <v>18.75</v>
      </c>
      <c r="C1480" t="str" cm="1">
        <f t="array" ref="C1480">_xlfn.IFS(B1480&lt;=18.5,  "Underweight",B1480&lt;=24.9,"Normal weight",B1480&lt;=29.9, "Over weight",B1480&gt;=30,"Obesity")</f>
        <v>Normal weight</v>
      </c>
      <c r="D1480">
        <v>6.72</v>
      </c>
      <c r="E1480" t="str" cm="1">
        <f t="array" ref="E1480">_xlfn.IFS(D1480&lt;5.7,"Normal",D1480&lt;=6.4,"Prediabetes",D1480&gt;=6.5,"Diabetes")</f>
        <v>Diabetes</v>
      </c>
      <c r="F1480" s="3" t="s">
        <v>2379</v>
      </c>
      <c r="G1480" s="3" t="s">
        <v>2379</v>
      </c>
      <c r="H1480" s="3" t="s">
        <v>2379</v>
      </c>
      <c r="I1480" s="1" t="s">
        <v>2380</v>
      </c>
      <c r="J1480">
        <v>0</v>
      </c>
      <c r="K1480" s="3" t="s">
        <v>2379</v>
      </c>
      <c r="P1480" s="3"/>
    </row>
    <row r="1481" spans="1:16" x14ac:dyDescent="0.25">
      <c r="A1481" s="3" t="s">
        <v>890</v>
      </c>
      <c r="B1481">
        <v>26.48</v>
      </c>
      <c r="C1481" t="str" cm="1">
        <f t="array" ref="C1481">_xlfn.IFS(B1481&lt;=18.5,  "Underweight",B1481&lt;=24.9,"Normal weight",B1481&lt;=29.9, "Over weight",B1481&gt;=30,"Obesity")</f>
        <v>Over weight</v>
      </c>
      <c r="D1481">
        <v>4.2</v>
      </c>
      <c r="E1481" t="str" cm="1">
        <f t="array" ref="E1481">_xlfn.IFS(D1481&lt;5.7,"Normal",D1481&lt;=6.4,"Prediabetes",D1481&gt;=6.5,"Diabetes")</f>
        <v>Normal</v>
      </c>
      <c r="F1481" s="3" t="s">
        <v>2379</v>
      </c>
      <c r="G1481" s="3" t="s">
        <v>2379</v>
      </c>
      <c r="H1481" s="3" t="s">
        <v>2379</v>
      </c>
      <c r="I1481" s="1">
        <v>1</v>
      </c>
      <c r="J1481">
        <v>1</v>
      </c>
      <c r="K1481" s="3" t="s">
        <v>2379</v>
      </c>
      <c r="P1481" s="3"/>
    </row>
    <row r="1482" spans="1:16" x14ac:dyDescent="0.25">
      <c r="A1482" s="3" t="s">
        <v>889</v>
      </c>
      <c r="B1482">
        <v>34.83</v>
      </c>
      <c r="C1482" t="str" cm="1">
        <f t="array" ref="C1482">_xlfn.IFS(B1482&lt;=18.5,  "Underweight",B1482&lt;=24.9,"Normal weight",B1482&lt;=29.9, "Over weight",B1482&gt;=30,"Obesity")</f>
        <v>Obesity</v>
      </c>
      <c r="D1482">
        <v>5.79</v>
      </c>
      <c r="E1482" t="str" cm="1">
        <f t="array" ref="E1482">_xlfn.IFS(D1482&lt;5.7,"Normal",D1482&lt;=6.4,"Prediabetes",D1482&gt;=6.5,"Diabetes")</f>
        <v>Prediabetes</v>
      </c>
      <c r="F1482" s="3" t="s">
        <v>2379</v>
      </c>
      <c r="G1482" s="3" t="s">
        <v>2379</v>
      </c>
      <c r="H1482" s="3" t="s">
        <v>2379</v>
      </c>
      <c r="I1482" s="1">
        <v>1</v>
      </c>
      <c r="J1482">
        <v>1</v>
      </c>
      <c r="K1482" s="3" t="s">
        <v>2379</v>
      </c>
      <c r="P1482" s="3"/>
    </row>
    <row r="1483" spans="1:16" x14ac:dyDescent="0.25">
      <c r="A1483" s="3" t="s">
        <v>888</v>
      </c>
      <c r="B1483">
        <v>25.46</v>
      </c>
      <c r="C1483" t="str" cm="1">
        <f t="array" ref="C1483">_xlfn.IFS(B1483&lt;=18.5,  "Underweight",B1483&lt;=24.9,"Normal weight",B1483&lt;=29.9, "Over weight",B1483&gt;=30,"Obesity")</f>
        <v>Over weight</v>
      </c>
      <c r="D1483">
        <v>4.29</v>
      </c>
      <c r="E1483" t="str" cm="1">
        <f t="array" ref="E1483">_xlfn.IFS(D1483&lt;5.7,"Normal",D1483&lt;=6.4,"Prediabetes",D1483&gt;=6.5,"Diabetes")</f>
        <v>Normal</v>
      </c>
      <c r="F1483" s="3" t="s">
        <v>2379</v>
      </c>
      <c r="G1483" s="3" t="s">
        <v>2379</v>
      </c>
      <c r="H1483" s="3" t="s">
        <v>2379</v>
      </c>
      <c r="I1483" s="1" t="s">
        <v>2380</v>
      </c>
      <c r="J1483">
        <v>0</v>
      </c>
      <c r="K1483" s="3" t="s">
        <v>2379</v>
      </c>
      <c r="P1483" s="3"/>
    </row>
    <row r="1484" spans="1:16" x14ac:dyDescent="0.25">
      <c r="A1484" s="3" t="s">
        <v>887</v>
      </c>
      <c r="B1484">
        <v>23.31</v>
      </c>
      <c r="C1484" t="str" cm="1">
        <f t="array" ref="C1484">_xlfn.IFS(B1484&lt;=18.5,  "Underweight",B1484&lt;=24.9,"Normal weight",B1484&lt;=29.9, "Over weight",B1484&gt;=30,"Obesity")</f>
        <v>Normal weight</v>
      </c>
      <c r="D1484">
        <v>8.27</v>
      </c>
      <c r="E1484" t="str" cm="1">
        <f t="array" ref="E1484">_xlfn.IFS(D1484&lt;5.7,"Normal",D1484&lt;=6.4,"Prediabetes",D1484&gt;=6.5,"Diabetes")</f>
        <v>Diabetes</v>
      </c>
      <c r="F1484" s="3" t="s">
        <v>2379</v>
      </c>
      <c r="G1484" s="3" t="s">
        <v>2379</v>
      </c>
      <c r="H1484" s="3" t="s">
        <v>2379</v>
      </c>
      <c r="I1484" s="1" t="s">
        <v>2380</v>
      </c>
      <c r="J1484">
        <v>0</v>
      </c>
      <c r="K1484" s="3" t="s">
        <v>2379</v>
      </c>
      <c r="P1484" s="3"/>
    </row>
    <row r="1485" spans="1:16" x14ac:dyDescent="0.25">
      <c r="A1485" s="3" t="s">
        <v>886</v>
      </c>
      <c r="B1485">
        <v>29</v>
      </c>
      <c r="C1485" t="str" cm="1">
        <f t="array" ref="C1485">_xlfn.IFS(B1485&lt;=18.5,  "Underweight",B1485&lt;=24.9,"Normal weight",B1485&lt;=29.9, "Over weight",B1485&gt;=30,"Obesity")</f>
        <v>Over weight</v>
      </c>
      <c r="D1485">
        <v>4.5599999999999996</v>
      </c>
      <c r="E1485" t="str" cm="1">
        <f t="array" ref="E1485">_xlfn.IFS(D1485&lt;5.7,"Normal",D1485&lt;=6.4,"Prediabetes",D1485&gt;=6.5,"Diabetes")</f>
        <v>Normal</v>
      </c>
      <c r="F1485" s="3" t="s">
        <v>2379</v>
      </c>
      <c r="G1485" s="3" t="s">
        <v>2379</v>
      </c>
      <c r="H1485" s="3" t="s">
        <v>2379</v>
      </c>
      <c r="I1485" s="1" t="s">
        <v>2380</v>
      </c>
      <c r="J1485">
        <v>0</v>
      </c>
      <c r="K1485" s="3" t="s">
        <v>2379</v>
      </c>
      <c r="P1485" s="3"/>
    </row>
    <row r="1486" spans="1:16" x14ac:dyDescent="0.25">
      <c r="A1486" s="3" t="s">
        <v>885</v>
      </c>
      <c r="B1486">
        <v>32.869999999999997</v>
      </c>
      <c r="C1486" t="str" cm="1">
        <f t="array" ref="C1486">_xlfn.IFS(B1486&lt;=18.5,  "Underweight",B1486&lt;=24.9,"Normal weight",B1486&lt;=29.9, "Over weight",B1486&gt;=30,"Obesity")</f>
        <v>Obesity</v>
      </c>
      <c r="D1486">
        <v>5.33</v>
      </c>
      <c r="E1486" t="str" cm="1">
        <f t="array" ref="E1486">_xlfn.IFS(D1486&lt;5.7,"Normal",D1486&lt;=6.4,"Prediabetes",D1486&gt;=6.5,"Diabetes")</f>
        <v>Normal</v>
      </c>
      <c r="F1486" s="3" t="s">
        <v>2379</v>
      </c>
      <c r="G1486" s="3" t="s">
        <v>2379</v>
      </c>
      <c r="H1486" s="3" t="s">
        <v>2379</v>
      </c>
      <c r="I1486" s="1" t="s">
        <v>2380</v>
      </c>
      <c r="J1486">
        <v>0</v>
      </c>
      <c r="K1486" s="3" t="s">
        <v>2379</v>
      </c>
      <c r="P1486" s="3"/>
    </row>
    <row r="1487" spans="1:16" x14ac:dyDescent="0.25">
      <c r="A1487" s="3" t="s">
        <v>884</v>
      </c>
      <c r="B1487">
        <v>26.18</v>
      </c>
      <c r="C1487" t="str" cm="1">
        <f t="array" ref="C1487">_xlfn.IFS(B1487&lt;=18.5,  "Underweight",B1487&lt;=24.9,"Normal weight",B1487&lt;=29.9, "Over weight",B1487&gt;=30,"Obesity")</f>
        <v>Over weight</v>
      </c>
      <c r="D1487">
        <v>5.63</v>
      </c>
      <c r="E1487" t="str" cm="1">
        <f t="array" ref="E1487">_xlfn.IFS(D1487&lt;5.7,"Normal",D1487&lt;=6.4,"Prediabetes",D1487&gt;=6.5,"Diabetes")</f>
        <v>Normal</v>
      </c>
      <c r="F1487" s="3" t="s">
        <v>2379</v>
      </c>
      <c r="G1487" s="3" t="s">
        <v>2379</v>
      </c>
      <c r="H1487" s="3" t="s">
        <v>2379</v>
      </c>
      <c r="I1487" s="1" t="s">
        <v>2380</v>
      </c>
      <c r="J1487">
        <v>0</v>
      </c>
      <c r="K1487" s="3" t="s">
        <v>2379</v>
      </c>
      <c r="P1487" s="3"/>
    </row>
    <row r="1488" spans="1:16" x14ac:dyDescent="0.25">
      <c r="A1488" s="3" t="s">
        <v>883</v>
      </c>
      <c r="B1488">
        <v>25.3</v>
      </c>
      <c r="C1488" t="str" cm="1">
        <f t="array" ref="C1488">_xlfn.IFS(B1488&lt;=18.5,  "Underweight",B1488&lt;=24.9,"Normal weight",B1488&lt;=29.9, "Over weight",B1488&gt;=30,"Obesity")</f>
        <v>Over weight</v>
      </c>
      <c r="D1488">
        <v>5.12</v>
      </c>
      <c r="E1488" t="str" cm="1">
        <f t="array" ref="E1488">_xlfn.IFS(D1488&lt;5.7,"Normal",D1488&lt;=6.4,"Prediabetes",D1488&gt;=6.5,"Diabetes")</f>
        <v>Normal</v>
      </c>
      <c r="F1488" s="3" t="s">
        <v>2379</v>
      </c>
      <c r="G1488" s="3" t="s">
        <v>2379</v>
      </c>
      <c r="H1488" s="3" t="s">
        <v>2379</v>
      </c>
      <c r="I1488" s="1" t="s">
        <v>2380</v>
      </c>
      <c r="J1488">
        <v>0</v>
      </c>
      <c r="K1488" s="3" t="s">
        <v>2379</v>
      </c>
      <c r="P1488" s="3"/>
    </row>
    <row r="1489" spans="1:16" x14ac:dyDescent="0.25">
      <c r="A1489" s="3" t="s">
        <v>882</v>
      </c>
      <c r="B1489">
        <v>36.94</v>
      </c>
      <c r="C1489" t="str" cm="1">
        <f t="array" ref="C1489">_xlfn.IFS(B1489&lt;=18.5,  "Underweight",B1489&lt;=24.9,"Normal weight",B1489&lt;=29.9, "Over weight",B1489&gt;=30,"Obesity")</f>
        <v>Obesity</v>
      </c>
      <c r="D1489">
        <v>5.15</v>
      </c>
      <c r="E1489" t="str" cm="1">
        <f t="array" ref="E1489">_xlfn.IFS(D1489&lt;5.7,"Normal",D1489&lt;=6.4,"Prediabetes",D1489&gt;=6.5,"Diabetes")</f>
        <v>Normal</v>
      </c>
      <c r="F1489" s="3" t="s">
        <v>2382</v>
      </c>
      <c r="G1489" s="3" t="s">
        <v>2379</v>
      </c>
      <c r="H1489" s="3" t="s">
        <v>2379</v>
      </c>
      <c r="I1489" s="1">
        <v>1</v>
      </c>
      <c r="J1489">
        <v>1</v>
      </c>
      <c r="K1489" s="3" t="s">
        <v>2379</v>
      </c>
      <c r="P1489" s="3"/>
    </row>
    <row r="1490" spans="1:16" x14ac:dyDescent="0.25">
      <c r="A1490" s="3" t="s">
        <v>881</v>
      </c>
      <c r="B1490">
        <v>22.86</v>
      </c>
      <c r="C1490" t="str" cm="1">
        <f t="array" ref="C1490">_xlfn.IFS(B1490&lt;=18.5,  "Underweight",B1490&lt;=24.9,"Normal weight",B1490&lt;=29.9, "Over weight",B1490&gt;=30,"Obesity")</f>
        <v>Normal weight</v>
      </c>
      <c r="D1490">
        <v>7.5</v>
      </c>
      <c r="E1490" t="str" cm="1">
        <f t="array" ref="E1490">_xlfn.IFS(D1490&lt;5.7,"Normal",D1490&lt;=6.4,"Prediabetes",D1490&gt;=6.5,"Diabetes")</f>
        <v>Diabetes</v>
      </c>
      <c r="F1490" s="3" t="s">
        <v>2379</v>
      </c>
      <c r="G1490" s="3" t="s">
        <v>2379</v>
      </c>
      <c r="H1490" s="3" t="s">
        <v>2379</v>
      </c>
      <c r="I1490" s="1" t="s">
        <v>2380</v>
      </c>
      <c r="J1490">
        <v>0</v>
      </c>
      <c r="K1490" s="3" t="s">
        <v>2379</v>
      </c>
      <c r="P1490" s="3"/>
    </row>
    <row r="1491" spans="1:16" x14ac:dyDescent="0.25">
      <c r="A1491" s="3" t="s">
        <v>880</v>
      </c>
      <c r="B1491">
        <v>18.760000000000002</v>
      </c>
      <c r="C1491" t="str" cm="1">
        <f t="array" ref="C1491">_xlfn.IFS(B1491&lt;=18.5,  "Underweight",B1491&lt;=24.9,"Normal weight",B1491&lt;=29.9, "Over weight",B1491&gt;=30,"Obesity")</f>
        <v>Normal weight</v>
      </c>
      <c r="D1491">
        <v>4.88</v>
      </c>
      <c r="E1491" t="str" cm="1">
        <f t="array" ref="E1491">_xlfn.IFS(D1491&lt;5.7,"Normal",D1491&lt;=6.4,"Prediabetes",D1491&gt;=6.5,"Diabetes")</f>
        <v>Normal</v>
      </c>
      <c r="F1491" s="3" t="s">
        <v>2382</v>
      </c>
      <c r="G1491" s="3" t="s">
        <v>2379</v>
      </c>
      <c r="H1491" s="3" t="s">
        <v>2382</v>
      </c>
      <c r="I1491" s="1">
        <v>1</v>
      </c>
      <c r="J1491">
        <v>1</v>
      </c>
      <c r="K1491" s="3" t="s">
        <v>2379</v>
      </c>
      <c r="P1491" s="3"/>
    </row>
    <row r="1492" spans="1:16" x14ac:dyDescent="0.25">
      <c r="A1492" s="3" t="s">
        <v>879</v>
      </c>
      <c r="B1492">
        <v>24.36</v>
      </c>
      <c r="C1492" t="str" cm="1">
        <f t="array" ref="C1492">_xlfn.IFS(B1492&lt;=18.5,  "Underweight",B1492&lt;=24.9,"Normal weight",B1492&lt;=29.9, "Over weight",B1492&gt;=30,"Obesity")</f>
        <v>Normal weight</v>
      </c>
      <c r="D1492">
        <v>5.57</v>
      </c>
      <c r="E1492" t="str" cm="1">
        <f t="array" ref="E1492">_xlfn.IFS(D1492&lt;5.7,"Normal",D1492&lt;=6.4,"Prediabetes",D1492&gt;=6.5,"Diabetes")</f>
        <v>Normal</v>
      </c>
      <c r="F1492" s="3" t="s">
        <v>2379</v>
      </c>
      <c r="G1492" s="3" t="s">
        <v>2379</v>
      </c>
      <c r="H1492" s="3" t="s">
        <v>2379</v>
      </c>
      <c r="I1492" s="1" t="s">
        <v>2380</v>
      </c>
      <c r="J1492">
        <v>0</v>
      </c>
      <c r="K1492" s="3" t="s">
        <v>2379</v>
      </c>
      <c r="P1492" s="3"/>
    </row>
    <row r="1493" spans="1:16" x14ac:dyDescent="0.25">
      <c r="A1493" s="3" t="s">
        <v>878</v>
      </c>
      <c r="B1493">
        <v>32.299999999999997</v>
      </c>
      <c r="C1493" t="str" cm="1">
        <f t="array" ref="C1493">_xlfn.IFS(B1493&lt;=18.5,  "Underweight",B1493&lt;=24.9,"Normal weight",B1493&lt;=29.9, "Over weight",B1493&gt;=30,"Obesity")</f>
        <v>Obesity</v>
      </c>
      <c r="D1493">
        <v>5.31</v>
      </c>
      <c r="E1493" t="str" cm="1">
        <f t="array" ref="E1493">_xlfn.IFS(D1493&lt;5.7,"Normal",D1493&lt;=6.4,"Prediabetes",D1493&gt;=6.5,"Diabetes")</f>
        <v>Normal</v>
      </c>
      <c r="F1493" s="3" t="s">
        <v>2379</v>
      </c>
      <c r="G1493" s="3" t="s">
        <v>2379</v>
      </c>
      <c r="H1493" s="3" t="s">
        <v>2379</v>
      </c>
      <c r="I1493" s="1" t="s">
        <v>2380</v>
      </c>
      <c r="J1493">
        <v>0</v>
      </c>
      <c r="K1493" s="3" t="s">
        <v>2379</v>
      </c>
      <c r="P1493" s="3"/>
    </row>
    <row r="1494" spans="1:16" x14ac:dyDescent="0.25">
      <c r="A1494" s="3" t="s">
        <v>877</v>
      </c>
      <c r="B1494">
        <v>22.704999999999998</v>
      </c>
      <c r="C1494" t="str" cm="1">
        <f t="array" ref="C1494">_xlfn.IFS(B1494&lt;=18.5,  "Underweight",B1494&lt;=24.9,"Normal weight",B1494&lt;=29.9, "Over weight",B1494&gt;=30,"Obesity")</f>
        <v>Normal weight</v>
      </c>
      <c r="D1494">
        <v>4.57</v>
      </c>
      <c r="E1494" t="str" cm="1">
        <f t="array" ref="E1494">_xlfn.IFS(D1494&lt;5.7,"Normal",D1494&lt;=6.4,"Prediabetes",D1494&gt;=6.5,"Diabetes")</f>
        <v>Normal</v>
      </c>
      <c r="F1494" s="3" t="s">
        <v>2382</v>
      </c>
      <c r="G1494" s="3" t="s">
        <v>2379</v>
      </c>
      <c r="H1494" s="3" t="s">
        <v>2379</v>
      </c>
      <c r="I1494" s="1" t="s">
        <v>2380</v>
      </c>
      <c r="J1494">
        <v>0</v>
      </c>
      <c r="K1494" s="3" t="s">
        <v>2379</v>
      </c>
      <c r="P1494" s="3"/>
    </row>
    <row r="1495" spans="1:16" x14ac:dyDescent="0.25">
      <c r="A1495" s="3" t="s">
        <v>876</v>
      </c>
      <c r="B1495">
        <v>21.79</v>
      </c>
      <c r="C1495" t="str" cm="1">
        <f t="array" ref="C1495">_xlfn.IFS(B1495&lt;=18.5,  "Underweight",B1495&lt;=24.9,"Normal weight",B1495&lt;=29.9, "Over weight",B1495&gt;=30,"Obesity")</f>
        <v>Normal weight</v>
      </c>
      <c r="D1495">
        <v>8.6999999999999993</v>
      </c>
      <c r="E1495" t="str" cm="1">
        <f t="array" ref="E1495">_xlfn.IFS(D1495&lt;5.7,"Normal",D1495&lt;=6.4,"Prediabetes",D1495&gt;=6.5,"Diabetes")</f>
        <v>Diabetes</v>
      </c>
      <c r="F1495" s="3" t="s">
        <v>2382</v>
      </c>
      <c r="G1495" s="3" t="s">
        <v>2379</v>
      </c>
      <c r="H1495" s="3" t="s">
        <v>2379</v>
      </c>
      <c r="I1495" s="1">
        <v>1</v>
      </c>
      <c r="J1495">
        <v>1</v>
      </c>
      <c r="K1495" s="3" t="s">
        <v>2379</v>
      </c>
      <c r="P1495" s="3"/>
    </row>
    <row r="1496" spans="1:16" x14ac:dyDescent="0.25">
      <c r="A1496" s="3" t="s">
        <v>875</v>
      </c>
      <c r="B1496">
        <v>24.52</v>
      </c>
      <c r="C1496" t="str" cm="1">
        <f t="array" ref="C1496">_xlfn.IFS(B1496&lt;=18.5,  "Underweight",B1496&lt;=24.9,"Normal weight",B1496&lt;=29.9, "Over weight",B1496&gt;=30,"Obesity")</f>
        <v>Normal weight</v>
      </c>
      <c r="D1496">
        <v>4.76</v>
      </c>
      <c r="E1496" t="str" cm="1">
        <f t="array" ref="E1496">_xlfn.IFS(D1496&lt;5.7,"Normal",D1496&lt;=6.4,"Prediabetes",D1496&gt;=6.5,"Diabetes")</f>
        <v>Normal</v>
      </c>
      <c r="F1496" s="3" t="s">
        <v>2379</v>
      </c>
      <c r="G1496" s="3" t="s">
        <v>2379</v>
      </c>
      <c r="H1496" s="3" t="s">
        <v>2379</v>
      </c>
      <c r="I1496" s="1" t="s">
        <v>2380</v>
      </c>
      <c r="J1496">
        <v>0</v>
      </c>
      <c r="K1496" s="3" t="s">
        <v>2379</v>
      </c>
      <c r="P1496" s="3"/>
    </row>
    <row r="1497" spans="1:16" x14ac:dyDescent="0.25">
      <c r="A1497" s="3" t="s">
        <v>874</v>
      </c>
      <c r="B1497">
        <v>39.520000000000003</v>
      </c>
      <c r="C1497" t="str" cm="1">
        <f t="array" ref="C1497">_xlfn.IFS(B1497&lt;=18.5,  "Underweight",B1497&lt;=24.9,"Normal weight",B1497&lt;=29.9, "Over weight",B1497&gt;=30,"Obesity")</f>
        <v>Obesity</v>
      </c>
      <c r="D1497">
        <v>11.81</v>
      </c>
      <c r="E1497" t="str" cm="1">
        <f t="array" ref="E1497">_xlfn.IFS(D1497&lt;5.7,"Normal",D1497&lt;=6.4,"Prediabetes",D1497&gt;=6.5,"Diabetes")</f>
        <v>Diabetes</v>
      </c>
      <c r="F1497" s="3" t="s">
        <v>2379</v>
      </c>
      <c r="G1497" s="3" t="s">
        <v>2379</v>
      </c>
      <c r="H1497" s="3" t="s">
        <v>2379</v>
      </c>
      <c r="I1497" s="1" t="s">
        <v>2380</v>
      </c>
      <c r="J1497">
        <v>0</v>
      </c>
      <c r="K1497" s="3" t="s">
        <v>2379</v>
      </c>
      <c r="P1497" s="3"/>
    </row>
    <row r="1498" spans="1:16" x14ac:dyDescent="0.25">
      <c r="A1498" s="3" t="s">
        <v>873</v>
      </c>
      <c r="B1498">
        <v>24.49</v>
      </c>
      <c r="C1498" t="str" cm="1">
        <f t="array" ref="C1498">_xlfn.IFS(B1498&lt;=18.5,  "Underweight",B1498&lt;=24.9,"Normal weight",B1498&lt;=29.9, "Over weight",B1498&gt;=30,"Obesity")</f>
        <v>Normal weight</v>
      </c>
      <c r="D1498">
        <v>4.67</v>
      </c>
      <c r="E1498" t="str" cm="1">
        <f t="array" ref="E1498">_xlfn.IFS(D1498&lt;5.7,"Normal",D1498&lt;=6.4,"Prediabetes",D1498&gt;=6.5,"Diabetes")</f>
        <v>Normal</v>
      </c>
      <c r="F1498" s="3" t="s">
        <v>2379</v>
      </c>
      <c r="G1498" s="3" t="s">
        <v>2379</v>
      </c>
      <c r="H1498" s="3" t="s">
        <v>2379</v>
      </c>
      <c r="I1498" s="1" t="s">
        <v>2380</v>
      </c>
      <c r="J1498">
        <v>0</v>
      </c>
      <c r="K1498" s="3" t="s">
        <v>2379</v>
      </c>
      <c r="P1498" s="3"/>
    </row>
    <row r="1499" spans="1:16" x14ac:dyDescent="0.25">
      <c r="A1499" s="3" t="s">
        <v>872</v>
      </c>
      <c r="B1499">
        <v>26.315000000000001</v>
      </c>
      <c r="C1499" t="str" cm="1">
        <f t="array" ref="C1499">_xlfn.IFS(B1499&lt;=18.5,  "Underweight",B1499&lt;=24.9,"Normal weight",B1499&lt;=29.9, "Over weight",B1499&gt;=30,"Obesity")</f>
        <v>Over weight</v>
      </c>
      <c r="D1499">
        <v>6.02</v>
      </c>
      <c r="E1499" t="str" cm="1">
        <f t="array" ref="E1499">_xlfn.IFS(D1499&lt;5.7,"Normal",D1499&lt;=6.4,"Prediabetes",D1499&gt;=6.5,"Diabetes")</f>
        <v>Prediabetes</v>
      </c>
      <c r="F1499" s="3" t="s">
        <v>2379</v>
      </c>
      <c r="G1499" s="3" t="s">
        <v>2379</v>
      </c>
      <c r="H1499" s="3" t="s">
        <v>2379</v>
      </c>
      <c r="I1499" s="1" t="s">
        <v>2380</v>
      </c>
      <c r="J1499">
        <v>0</v>
      </c>
      <c r="K1499" s="3" t="s">
        <v>2379</v>
      </c>
      <c r="P1499" s="3"/>
    </row>
    <row r="1500" spans="1:16" x14ac:dyDescent="0.25">
      <c r="A1500" s="3" t="s">
        <v>871</v>
      </c>
      <c r="B1500">
        <v>22.58</v>
      </c>
      <c r="C1500" t="str" cm="1">
        <f t="array" ref="C1500">_xlfn.IFS(B1500&lt;=18.5,  "Underweight",B1500&lt;=24.9,"Normal weight",B1500&lt;=29.9, "Over weight",B1500&gt;=30,"Obesity")</f>
        <v>Normal weight</v>
      </c>
      <c r="D1500">
        <v>7.46</v>
      </c>
      <c r="E1500" t="str" cm="1">
        <f t="array" ref="E1500">_xlfn.IFS(D1500&lt;5.7,"Normal",D1500&lt;=6.4,"Prediabetes",D1500&gt;=6.5,"Diabetes")</f>
        <v>Diabetes</v>
      </c>
      <c r="F1500" s="3" t="s">
        <v>2379</v>
      </c>
      <c r="G1500" s="3" t="s">
        <v>2379</v>
      </c>
      <c r="H1500" s="3" t="s">
        <v>2379</v>
      </c>
      <c r="I1500" s="1" t="s">
        <v>2380</v>
      </c>
      <c r="J1500">
        <v>0</v>
      </c>
      <c r="K1500" s="3" t="s">
        <v>2379</v>
      </c>
      <c r="P1500" s="3"/>
    </row>
    <row r="1501" spans="1:16" x14ac:dyDescent="0.25">
      <c r="A1501" s="3" t="s">
        <v>870</v>
      </c>
      <c r="B1501">
        <v>19.475000000000001</v>
      </c>
      <c r="C1501" t="str" cm="1">
        <f t="array" ref="C1501">_xlfn.IFS(B1501&lt;=18.5,  "Underweight",B1501&lt;=24.9,"Normal weight",B1501&lt;=29.9, "Over weight",B1501&gt;=30,"Obesity")</f>
        <v>Normal weight</v>
      </c>
      <c r="D1501">
        <v>4.74</v>
      </c>
      <c r="E1501" t="str" cm="1">
        <f t="array" ref="E1501">_xlfn.IFS(D1501&lt;5.7,"Normal",D1501&lt;=6.4,"Prediabetes",D1501&gt;=6.5,"Diabetes")</f>
        <v>Normal</v>
      </c>
      <c r="F1501" s="3" t="s">
        <v>2379</v>
      </c>
      <c r="G1501" s="3" t="s">
        <v>2379</v>
      </c>
      <c r="H1501" s="3" t="s">
        <v>2379</v>
      </c>
      <c r="I1501" s="1">
        <v>1</v>
      </c>
      <c r="J1501">
        <v>1</v>
      </c>
      <c r="K1501" s="3" t="s">
        <v>2379</v>
      </c>
      <c r="P1501" s="3"/>
    </row>
    <row r="1502" spans="1:16" x14ac:dyDescent="0.25">
      <c r="A1502" s="3" t="s">
        <v>869</v>
      </c>
      <c r="B1502">
        <v>26.33</v>
      </c>
      <c r="C1502" t="str" cm="1">
        <f t="array" ref="C1502">_xlfn.IFS(B1502&lt;=18.5,  "Underweight",B1502&lt;=24.9,"Normal weight",B1502&lt;=29.9, "Over weight",B1502&gt;=30,"Obesity")</f>
        <v>Over weight</v>
      </c>
      <c r="D1502">
        <v>4.79</v>
      </c>
      <c r="E1502" t="str" cm="1">
        <f t="array" ref="E1502">_xlfn.IFS(D1502&lt;5.7,"Normal",D1502&lt;=6.4,"Prediabetes",D1502&gt;=6.5,"Diabetes")</f>
        <v>Normal</v>
      </c>
      <c r="F1502" s="3" t="s">
        <v>2379</v>
      </c>
      <c r="G1502" s="3" t="s">
        <v>2379</v>
      </c>
      <c r="H1502" s="3" t="s">
        <v>2379</v>
      </c>
      <c r="I1502" s="1" t="s">
        <v>2380</v>
      </c>
      <c r="J1502">
        <v>0</v>
      </c>
      <c r="K1502" s="3" t="s">
        <v>2379</v>
      </c>
      <c r="P1502" s="3"/>
    </row>
    <row r="1503" spans="1:16" x14ac:dyDescent="0.25">
      <c r="A1503" s="3" t="s">
        <v>868</v>
      </c>
      <c r="B1503">
        <v>17.29</v>
      </c>
      <c r="C1503" t="str" cm="1">
        <f t="array" ref="C1503">_xlfn.IFS(B1503&lt;=18.5,  "Underweight",B1503&lt;=24.9,"Normal weight",B1503&lt;=29.9, "Over weight",B1503&gt;=30,"Obesity")</f>
        <v>Underweight</v>
      </c>
      <c r="D1503">
        <v>5.35</v>
      </c>
      <c r="E1503" t="str" cm="1">
        <f t="array" ref="E1503">_xlfn.IFS(D1503&lt;5.7,"Normal",D1503&lt;=6.4,"Prediabetes",D1503&gt;=6.5,"Diabetes")</f>
        <v>Normal</v>
      </c>
      <c r="F1503" s="3" t="s">
        <v>2382</v>
      </c>
      <c r="G1503" s="3" t="s">
        <v>2379</v>
      </c>
      <c r="H1503" s="3" t="s">
        <v>2379</v>
      </c>
      <c r="I1503" s="1" t="s">
        <v>2380</v>
      </c>
      <c r="J1503">
        <v>0</v>
      </c>
      <c r="K1503" s="3" t="s">
        <v>2379</v>
      </c>
      <c r="P1503" s="3"/>
    </row>
    <row r="1504" spans="1:16" x14ac:dyDescent="0.25">
      <c r="A1504" s="3" t="s">
        <v>867</v>
      </c>
      <c r="B1504">
        <v>42.88</v>
      </c>
      <c r="C1504" t="str" cm="1">
        <f t="array" ref="C1504">_xlfn.IFS(B1504&lt;=18.5,  "Underweight",B1504&lt;=24.9,"Normal weight",B1504&lt;=29.9, "Over weight",B1504&gt;=30,"Obesity")</f>
        <v>Obesity</v>
      </c>
      <c r="D1504">
        <v>4.87</v>
      </c>
      <c r="E1504" t="str" cm="1">
        <f t="array" ref="E1504">_xlfn.IFS(D1504&lt;5.7,"Normal",D1504&lt;=6.4,"Prediabetes",D1504&gt;=6.5,"Diabetes")</f>
        <v>Normal</v>
      </c>
      <c r="F1504" s="3" t="s">
        <v>2379</v>
      </c>
      <c r="G1504" s="3" t="s">
        <v>2381</v>
      </c>
      <c r="H1504" s="3" t="s">
        <v>2379</v>
      </c>
      <c r="I1504" s="1">
        <v>1</v>
      </c>
      <c r="J1504">
        <v>1</v>
      </c>
      <c r="K1504" s="3" t="s">
        <v>2379</v>
      </c>
      <c r="P1504" s="3"/>
    </row>
    <row r="1505" spans="1:16" x14ac:dyDescent="0.25">
      <c r="A1505" s="3" t="s">
        <v>866</v>
      </c>
      <c r="B1505">
        <v>32.200000000000003</v>
      </c>
      <c r="C1505" t="str" cm="1">
        <f t="array" ref="C1505">_xlfn.IFS(B1505&lt;=18.5,  "Underweight",B1505&lt;=24.9,"Normal weight",B1505&lt;=29.9, "Over weight",B1505&gt;=30,"Obesity")</f>
        <v>Obesity</v>
      </c>
      <c r="D1505">
        <v>10.09</v>
      </c>
      <c r="E1505" t="str" cm="1">
        <f t="array" ref="E1505">_xlfn.IFS(D1505&lt;5.7,"Normal",D1505&lt;=6.4,"Prediabetes",D1505&gt;=6.5,"Diabetes")</f>
        <v>Diabetes</v>
      </c>
      <c r="F1505" s="3" t="s">
        <v>2382</v>
      </c>
      <c r="G1505" s="3" t="s">
        <v>2379</v>
      </c>
      <c r="H1505" s="3" t="s">
        <v>2379</v>
      </c>
      <c r="I1505" s="1" t="s">
        <v>2380</v>
      </c>
      <c r="J1505">
        <v>0</v>
      </c>
      <c r="K1505" s="3" t="s">
        <v>2379</v>
      </c>
      <c r="P1505" s="3"/>
    </row>
    <row r="1506" spans="1:16" x14ac:dyDescent="0.25">
      <c r="A1506" s="3" t="s">
        <v>865</v>
      </c>
      <c r="B1506">
        <v>18.75</v>
      </c>
      <c r="C1506" t="str" cm="1">
        <f t="array" ref="C1506">_xlfn.IFS(B1506&lt;=18.5,  "Underweight",B1506&lt;=24.9,"Normal weight",B1506&lt;=29.9, "Over weight",B1506&gt;=30,"Obesity")</f>
        <v>Normal weight</v>
      </c>
      <c r="D1506">
        <v>5.47</v>
      </c>
      <c r="E1506" t="str" cm="1">
        <f t="array" ref="E1506">_xlfn.IFS(D1506&lt;5.7,"Normal",D1506&lt;=6.4,"Prediabetes",D1506&gt;=6.5,"Diabetes")</f>
        <v>Normal</v>
      </c>
      <c r="F1506" s="3" t="s">
        <v>2382</v>
      </c>
      <c r="G1506" s="3" t="s">
        <v>2379</v>
      </c>
      <c r="H1506" s="3" t="s">
        <v>2382</v>
      </c>
      <c r="I1506" s="1">
        <v>1</v>
      </c>
      <c r="J1506">
        <v>1</v>
      </c>
      <c r="K1506" s="3" t="s">
        <v>2379</v>
      </c>
      <c r="P1506" s="3"/>
    </row>
    <row r="1507" spans="1:16" x14ac:dyDescent="0.25">
      <c r="A1507" s="3" t="s">
        <v>864</v>
      </c>
      <c r="B1507">
        <v>22.36</v>
      </c>
      <c r="C1507" t="str" cm="1">
        <f t="array" ref="C1507">_xlfn.IFS(B1507&lt;=18.5,  "Underweight",B1507&lt;=24.9,"Normal weight",B1507&lt;=29.9, "Over weight",B1507&gt;=30,"Obesity")</f>
        <v>Normal weight</v>
      </c>
      <c r="D1507">
        <v>8.6</v>
      </c>
      <c r="E1507" t="str" cm="1">
        <f t="array" ref="E1507">_xlfn.IFS(D1507&lt;5.7,"Normal",D1507&lt;=6.4,"Prediabetes",D1507&gt;=6.5,"Diabetes")</f>
        <v>Diabetes</v>
      </c>
      <c r="F1507" s="3" t="s">
        <v>2379</v>
      </c>
      <c r="G1507" s="3" t="s">
        <v>2379</v>
      </c>
      <c r="H1507" s="3" t="s">
        <v>2379</v>
      </c>
      <c r="I1507" s="1" t="s">
        <v>2380</v>
      </c>
      <c r="J1507">
        <v>0</v>
      </c>
      <c r="K1507" s="3" t="s">
        <v>2379</v>
      </c>
      <c r="P1507" s="3"/>
    </row>
    <row r="1508" spans="1:16" x14ac:dyDescent="0.25">
      <c r="A1508" s="3" t="s">
        <v>863</v>
      </c>
      <c r="B1508">
        <v>23.94</v>
      </c>
      <c r="C1508" t="str" cm="1">
        <f t="array" ref="C1508">_xlfn.IFS(B1508&lt;=18.5,  "Underweight",B1508&lt;=24.9,"Normal weight",B1508&lt;=29.9, "Over weight",B1508&gt;=30,"Obesity")</f>
        <v>Normal weight</v>
      </c>
      <c r="D1508">
        <v>10.74</v>
      </c>
      <c r="E1508" t="str" cm="1">
        <f t="array" ref="E1508">_xlfn.IFS(D1508&lt;5.7,"Normal",D1508&lt;=6.4,"Prediabetes",D1508&gt;=6.5,"Diabetes")</f>
        <v>Diabetes</v>
      </c>
      <c r="F1508" s="3" t="s">
        <v>2382</v>
      </c>
      <c r="G1508" s="3" t="s">
        <v>2379</v>
      </c>
      <c r="H1508" s="3" t="s">
        <v>2379</v>
      </c>
      <c r="I1508" s="1" t="s">
        <v>2380</v>
      </c>
      <c r="J1508">
        <v>0</v>
      </c>
      <c r="K1508" s="3" t="s">
        <v>2379</v>
      </c>
      <c r="P1508" s="3"/>
    </row>
    <row r="1509" spans="1:16" x14ac:dyDescent="0.25">
      <c r="A1509" s="3" t="s">
        <v>862</v>
      </c>
      <c r="B1509">
        <v>30.1</v>
      </c>
      <c r="C1509" t="str" cm="1">
        <f t="array" ref="C1509">_xlfn.IFS(B1509&lt;=18.5,  "Underweight",B1509&lt;=24.9,"Normal weight",B1509&lt;=29.9, "Over weight",B1509&gt;=30,"Obesity")</f>
        <v>Obesity</v>
      </c>
      <c r="D1509">
        <v>4.3899999999999997</v>
      </c>
      <c r="E1509" t="str" cm="1">
        <f t="array" ref="E1509">_xlfn.IFS(D1509&lt;5.7,"Normal",D1509&lt;=6.4,"Prediabetes",D1509&gt;=6.5,"Diabetes")</f>
        <v>Normal</v>
      </c>
      <c r="F1509" s="3" t="s">
        <v>2379</v>
      </c>
      <c r="G1509" s="3" t="s">
        <v>2379</v>
      </c>
      <c r="H1509" s="3" t="s">
        <v>2382</v>
      </c>
      <c r="I1509" s="1">
        <v>1</v>
      </c>
      <c r="J1509">
        <v>1</v>
      </c>
      <c r="K1509" s="3" t="s">
        <v>2379</v>
      </c>
      <c r="P1509" s="3"/>
    </row>
    <row r="1510" spans="1:16" x14ac:dyDescent="0.25">
      <c r="A1510" s="3" t="s">
        <v>861</v>
      </c>
      <c r="B1510">
        <v>21.93</v>
      </c>
      <c r="C1510" t="str" cm="1">
        <f t="array" ref="C1510">_xlfn.IFS(B1510&lt;=18.5,  "Underweight",B1510&lt;=24.9,"Normal weight",B1510&lt;=29.9, "Over weight",B1510&gt;=30,"Obesity")</f>
        <v>Normal weight</v>
      </c>
      <c r="D1510">
        <v>6.3</v>
      </c>
      <c r="E1510" t="str" cm="1">
        <f t="array" ref="E1510">_xlfn.IFS(D1510&lt;5.7,"Normal",D1510&lt;=6.4,"Prediabetes",D1510&gt;=6.5,"Diabetes")</f>
        <v>Prediabetes</v>
      </c>
      <c r="F1510" s="3" t="s">
        <v>2379</v>
      </c>
      <c r="G1510" s="3" t="s">
        <v>2379</v>
      </c>
      <c r="H1510" s="3" t="s">
        <v>2379</v>
      </c>
      <c r="I1510" s="1" t="s">
        <v>2380</v>
      </c>
      <c r="J1510">
        <v>0</v>
      </c>
      <c r="K1510" s="3" t="s">
        <v>2379</v>
      </c>
      <c r="P1510" s="3"/>
    </row>
    <row r="1511" spans="1:16" x14ac:dyDescent="0.25">
      <c r="A1511" s="3" t="s">
        <v>860</v>
      </c>
      <c r="B1511">
        <v>39.75</v>
      </c>
      <c r="C1511" t="str" cm="1">
        <f t="array" ref="C1511">_xlfn.IFS(B1511&lt;=18.5,  "Underweight",B1511&lt;=24.9,"Normal weight",B1511&lt;=29.9, "Over weight",B1511&gt;=30,"Obesity")</f>
        <v>Obesity</v>
      </c>
      <c r="D1511">
        <v>5.41</v>
      </c>
      <c r="E1511" t="str" cm="1">
        <f t="array" ref="E1511">_xlfn.IFS(D1511&lt;5.7,"Normal",D1511&lt;=6.4,"Prediabetes",D1511&gt;=6.5,"Diabetes")</f>
        <v>Normal</v>
      </c>
      <c r="F1511" s="3" t="s">
        <v>2379</v>
      </c>
      <c r="G1511" s="3" t="s">
        <v>2381</v>
      </c>
      <c r="H1511" s="3" t="s">
        <v>2379</v>
      </c>
      <c r="I1511" s="1">
        <v>1</v>
      </c>
      <c r="J1511">
        <v>1</v>
      </c>
      <c r="K1511" s="3" t="s">
        <v>2379</v>
      </c>
      <c r="P1511" s="3"/>
    </row>
    <row r="1512" spans="1:16" x14ac:dyDescent="0.25">
      <c r="A1512" s="3" t="s">
        <v>859</v>
      </c>
      <c r="B1512">
        <v>26.03</v>
      </c>
      <c r="C1512" t="str" cm="1">
        <f t="array" ref="C1512">_xlfn.IFS(B1512&lt;=18.5,  "Underweight",B1512&lt;=24.9,"Normal weight",B1512&lt;=29.9, "Over weight",B1512&gt;=30,"Obesity")</f>
        <v>Over weight</v>
      </c>
      <c r="D1512">
        <v>4.47</v>
      </c>
      <c r="E1512" t="str" cm="1">
        <f t="array" ref="E1512">_xlfn.IFS(D1512&lt;5.7,"Normal",D1512&lt;=6.4,"Prediabetes",D1512&gt;=6.5,"Diabetes")</f>
        <v>Normal</v>
      </c>
      <c r="F1512" s="3" t="s">
        <v>2379</v>
      </c>
      <c r="G1512" s="3" t="s">
        <v>2379</v>
      </c>
      <c r="H1512" s="3" t="s">
        <v>2382</v>
      </c>
      <c r="I1512" s="1">
        <v>1</v>
      </c>
      <c r="J1512">
        <v>1</v>
      </c>
      <c r="K1512" s="3" t="s">
        <v>2379</v>
      </c>
      <c r="P1512" s="3"/>
    </row>
    <row r="1513" spans="1:16" x14ac:dyDescent="0.25">
      <c r="A1513" s="3" t="s">
        <v>858</v>
      </c>
      <c r="B1513">
        <v>34.51</v>
      </c>
      <c r="C1513" t="str" cm="1">
        <f t="array" ref="C1513">_xlfn.IFS(B1513&lt;=18.5,  "Underweight",B1513&lt;=24.9,"Normal weight",B1513&lt;=29.9, "Over weight",B1513&gt;=30,"Obesity")</f>
        <v>Obesity</v>
      </c>
      <c r="D1513">
        <v>6.26</v>
      </c>
      <c r="E1513" t="str" cm="1">
        <f t="array" ref="E1513">_xlfn.IFS(D1513&lt;5.7,"Normal",D1513&lt;=6.4,"Prediabetes",D1513&gt;=6.5,"Diabetes")</f>
        <v>Prediabetes</v>
      </c>
      <c r="F1513" s="3" t="s">
        <v>2379</v>
      </c>
      <c r="G1513" s="3" t="s">
        <v>2379</v>
      </c>
      <c r="H1513" s="3" t="s">
        <v>2379</v>
      </c>
      <c r="I1513" s="1" t="s">
        <v>2380</v>
      </c>
      <c r="J1513">
        <v>0</v>
      </c>
      <c r="K1513" s="3" t="s">
        <v>2379</v>
      </c>
      <c r="P1513" s="3"/>
    </row>
    <row r="1514" spans="1:16" x14ac:dyDescent="0.25">
      <c r="A1514" s="3" t="s">
        <v>857</v>
      </c>
      <c r="B1514">
        <v>19.32</v>
      </c>
      <c r="C1514" t="str" cm="1">
        <f t="array" ref="C1514">_xlfn.IFS(B1514&lt;=18.5,  "Underweight",B1514&lt;=24.9,"Normal weight",B1514&lt;=29.9, "Over weight",B1514&gt;=30,"Obesity")</f>
        <v>Normal weight</v>
      </c>
      <c r="D1514">
        <v>11.58</v>
      </c>
      <c r="E1514" t="str" cm="1">
        <f t="array" ref="E1514">_xlfn.IFS(D1514&lt;5.7,"Normal",D1514&lt;=6.4,"Prediabetes",D1514&gt;=6.5,"Diabetes")</f>
        <v>Diabetes</v>
      </c>
      <c r="F1514" s="3" t="s">
        <v>2382</v>
      </c>
      <c r="G1514" s="3" t="s">
        <v>2379</v>
      </c>
      <c r="H1514" s="3" t="s">
        <v>2379</v>
      </c>
      <c r="I1514" s="1">
        <v>1</v>
      </c>
      <c r="J1514">
        <v>1</v>
      </c>
      <c r="K1514" s="3" t="s">
        <v>2379</v>
      </c>
      <c r="P1514" s="3"/>
    </row>
    <row r="1515" spans="1:16" x14ac:dyDescent="0.25">
      <c r="A1515" s="3" t="s">
        <v>856</v>
      </c>
      <c r="B1515">
        <v>28.5</v>
      </c>
      <c r="C1515" t="str" cm="1">
        <f t="array" ref="C1515">_xlfn.IFS(B1515&lt;=18.5,  "Underweight",B1515&lt;=24.9,"Normal weight",B1515&lt;=29.9, "Over weight",B1515&gt;=30,"Obesity")</f>
        <v>Over weight</v>
      </c>
      <c r="D1515">
        <v>4.3600000000000003</v>
      </c>
      <c r="E1515" t="str" cm="1">
        <f t="array" ref="E1515">_xlfn.IFS(D1515&lt;5.7,"Normal",D1515&lt;=6.4,"Prediabetes",D1515&gt;=6.5,"Diabetes")</f>
        <v>Normal</v>
      </c>
      <c r="F1515" s="3" t="s">
        <v>2379</v>
      </c>
      <c r="G1515" s="3" t="s">
        <v>2379</v>
      </c>
      <c r="H1515" s="3" t="s">
        <v>2379</v>
      </c>
      <c r="I1515" s="1" t="s">
        <v>2380</v>
      </c>
      <c r="J1515">
        <v>0</v>
      </c>
      <c r="K1515" s="3" t="s">
        <v>2379</v>
      </c>
      <c r="P1515" s="3"/>
    </row>
    <row r="1516" spans="1:16" x14ac:dyDescent="0.25">
      <c r="A1516" s="3" t="s">
        <v>855</v>
      </c>
      <c r="B1516">
        <v>30.875</v>
      </c>
      <c r="C1516" t="str" cm="1">
        <f t="array" ref="C1516">_xlfn.IFS(B1516&lt;=18.5,  "Underweight",B1516&lt;=24.9,"Normal weight",B1516&lt;=29.9, "Over weight",B1516&gt;=30,"Obesity")</f>
        <v>Obesity</v>
      </c>
      <c r="D1516">
        <v>4.1399999999999997</v>
      </c>
      <c r="E1516" t="str" cm="1">
        <f t="array" ref="E1516">_xlfn.IFS(D1516&lt;5.7,"Normal",D1516&lt;=6.4,"Prediabetes",D1516&gt;=6.5,"Diabetes")</f>
        <v>Normal</v>
      </c>
      <c r="F1516" s="3" t="s">
        <v>2382</v>
      </c>
      <c r="G1516" s="3" t="s">
        <v>2379</v>
      </c>
      <c r="H1516" s="3" t="s">
        <v>2379</v>
      </c>
      <c r="I1516" s="1" t="s">
        <v>2380</v>
      </c>
      <c r="J1516">
        <v>0</v>
      </c>
      <c r="K1516" s="3" t="s">
        <v>2379</v>
      </c>
      <c r="P1516" s="3"/>
    </row>
    <row r="1517" spans="1:16" x14ac:dyDescent="0.25">
      <c r="A1517" s="3" t="s">
        <v>854</v>
      </c>
      <c r="B1517">
        <v>24.02</v>
      </c>
      <c r="C1517" t="str" cm="1">
        <f t="array" ref="C1517">_xlfn.IFS(B1517&lt;=18.5,  "Underweight",B1517&lt;=24.9,"Normal weight",B1517&lt;=29.9, "Over weight",B1517&gt;=30,"Obesity")</f>
        <v>Normal weight</v>
      </c>
      <c r="D1517">
        <v>4.38</v>
      </c>
      <c r="E1517" t="str" cm="1">
        <f t="array" ref="E1517">_xlfn.IFS(D1517&lt;5.7,"Normal",D1517&lt;=6.4,"Prediabetes",D1517&gt;=6.5,"Diabetes")</f>
        <v>Normal</v>
      </c>
      <c r="F1517" s="3" t="s">
        <v>2379</v>
      </c>
      <c r="G1517" s="3" t="s">
        <v>2379</v>
      </c>
      <c r="H1517" s="3" t="s">
        <v>2379</v>
      </c>
      <c r="I1517" s="1" t="s">
        <v>2380</v>
      </c>
      <c r="J1517">
        <v>0</v>
      </c>
      <c r="K1517" s="3" t="s">
        <v>2379</v>
      </c>
      <c r="P1517" s="3"/>
    </row>
    <row r="1518" spans="1:16" x14ac:dyDescent="0.25">
      <c r="A1518" s="3" t="s">
        <v>853</v>
      </c>
      <c r="B1518">
        <v>36.08</v>
      </c>
      <c r="C1518" t="str" cm="1">
        <f t="array" ref="C1518">_xlfn.IFS(B1518&lt;=18.5,  "Underweight",B1518&lt;=24.9,"Normal weight",B1518&lt;=29.9, "Over weight",B1518&gt;=30,"Obesity")</f>
        <v>Obesity</v>
      </c>
      <c r="D1518">
        <v>11.61</v>
      </c>
      <c r="E1518" t="str" cm="1">
        <f t="array" ref="E1518">_xlfn.IFS(D1518&lt;5.7,"Normal",D1518&lt;=6.4,"Prediabetes",D1518&gt;=6.5,"Diabetes")</f>
        <v>Diabetes</v>
      </c>
      <c r="F1518" s="3" t="s">
        <v>2382</v>
      </c>
      <c r="G1518" s="3" t="s">
        <v>2379</v>
      </c>
      <c r="H1518" s="3" t="s">
        <v>2379</v>
      </c>
      <c r="I1518" s="1" t="s">
        <v>2380</v>
      </c>
      <c r="J1518">
        <v>0</v>
      </c>
      <c r="K1518" s="3" t="s">
        <v>2379</v>
      </c>
      <c r="P1518" s="3"/>
    </row>
    <row r="1519" spans="1:16" x14ac:dyDescent="0.25">
      <c r="A1519" s="3" t="s">
        <v>852</v>
      </c>
      <c r="B1519">
        <v>32.200000000000003</v>
      </c>
      <c r="C1519" t="str" cm="1">
        <f t="array" ref="C1519">_xlfn.IFS(B1519&lt;=18.5,  "Underweight",B1519&lt;=24.9,"Normal weight",B1519&lt;=29.9, "Over weight",B1519&gt;=30,"Obesity")</f>
        <v>Obesity</v>
      </c>
      <c r="D1519">
        <v>10.59</v>
      </c>
      <c r="E1519" t="str" cm="1">
        <f t="array" ref="E1519">_xlfn.IFS(D1519&lt;5.7,"Normal",D1519&lt;=6.4,"Prediabetes",D1519&gt;=6.5,"Diabetes")</f>
        <v>Diabetes</v>
      </c>
      <c r="F1519" s="3" t="s">
        <v>2382</v>
      </c>
      <c r="G1519" s="3" t="s">
        <v>2379</v>
      </c>
      <c r="H1519" s="3" t="s">
        <v>2379</v>
      </c>
      <c r="I1519" s="1" t="s">
        <v>2380</v>
      </c>
      <c r="J1519">
        <v>0</v>
      </c>
      <c r="K1519" s="3" t="s">
        <v>2379</v>
      </c>
      <c r="P1519" s="3"/>
    </row>
    <row r="1520" spans="1:16" x14ac:dyDescent="0.25">
      <c r="A1520" s="3" t="s">
        <v>851</v>
      </c>
      <c r="B1520">
        <v>28.05</v>
      </c>
      <c r="C1520" t="str" cm="1">
        <f t="array" ref="C1520">_xlfn.IFS(B1520&lt;=18.5,  "Underweight",B1520&lt;=24.9,"Normal weight",B1520&lt;=29.9, "Over weight",B1520&gt;=30,"Obesity")</f>
        <v>Over weight</v>
      </c>
      <c r="D1520">
        <v>11.85</v>
      </c>
      <c r="E1520" t="str" cm="1">
        <f t="array" ref="E1520">_xlfn.IFS(D1520&lt;5.7,"Normal",D1520&lt;=6.4,"Prediabetes",D1520&gt;=6.5,"Diabetes")</f>
        <v>Diabetes</v>
      </c>
      <c r="F1520" s="3" t="s">
        <v>2382</v>
      </c>
      <c r="G1520" s="3" t="s">
        <v>2379</v>
      </c>
      <c r="H1520" s="3" t="s">
        <v>2379</v>
      </c>
      <c r="I1520" s="1" t="s">
        <v>2380</v>
      </c>
      <c r="J1520">
        <v>0</v>
      </c>
      <c r="K1520" s="3" t="s">
        <v>2379</v>
      </c>
      <c r="P1520" s="3"/>
    </row>
    <row r="1521" spans="1:16" x14ac:dyDescent="0.25">
      <c r="A1521" s="3" t="s">
        <v>850</v>
      </c>
      <c r="B1521">
        <v>19</v>
      </c>
      <c r="C1521" t="str" cm="1">
        <f t="array" ref="C1521">_xlfn.IFS(B1521&lt;=18.5,  "Underweight",B1521&lt;=24.9,"Normal weight",B1521&lt;=29.9, "Over weight",B1521&gt;=30,"Obesity")</f>
        <v>Normal weight</v>
      </c>
      <c r="D1521">
        <v>5.46</v>
      </c>
      <c r="E1521" t="str" cm="1">
        <f t="array" ref="E1521">_xlfn.IFS(D1521&lt;5.7,"Normal",D1521&lt;=6.4,"Prediabetes",D1521&gt;=6.5,"Diabetes")</f>
        <v>Normal</v>
      </c>
      <c r="F1521" s="3" t="s">
        <v>2382</v>
      </c>
      <c r="G1521" s="3" t="s">
        <v>2379</v>
      </c>
      <c r="H1521" s="3" t="s">
        <v>2379</v>
      </c>
      <c r="I1521" s="1">
        <v>1</v>
      </c>
      <c r="J1521">
        <v>1</v>
      </c>
      <c r="K1521" s="3" t="s">
        <v>2379</v>
      </c>
      <c r="P1521" s="3"/>
    </row>
    <row r="1522" spans="1:16" x14ac:dyDescent="0.25">
      <c r="A1522" s="3" t="s">
        <v>849</v>
      </c>
      <c r="B1522">
        <v>16.13</v>
      </c>
      <c r="C1522" t="str" cm="1">
        <f t="array" ref="C1522">_xlfn.IFS(B1522&lt;=18.5,  "Underweight",B1522&lt;=24.9,"Normal weight",B1522&lt;=29.9, "Over weight",B1522&gt;=30,"Obesity")</f>
        <v>Underweight</v>
      </c>
      <c r="D1522">
        <v>4.54</v>
      </c>
      <c r="E1522" t="str" cm="1">
        <f t="array" ref="E1522">_xlfn.IFS(D1522&lt;5.7,"Normal",D1522&lt;=6.4,"Prediabetes",D1522&gt;=6.5,"Diabetes")</f>
        <v>Normal</v>
      </c>
      <c r="F1522" s="3" t="s">
        <v>2382</v>
      </c>
      <c r="G1522" s="3" t="s">
        <v>2379</v>
      </c>
      <c r="H1522" s="3" t="s">
        <v>2379</v>
      </c>
      <c r="I1522" s="1">
        <v>2</v>
      </c>
      <c r="J1522">
        <v>2</v>
      </c>
      <c r="K1522" s="3" t="s">
        <v>2379</v>
      </c>
      <c r="P1522" s="3"/>
    </row>
    <row r="1523" spans="1:16" x14ac:dyDescent="0.25">
      <c r="A1523" s="3" t="s">
        <v>848</v>
      </c>
      <c r="B1523">
        <v>18.77</v>
      </c>
      <c r="C1523" t="str" cm="1">
        <f t="array" ref="C1523">_xlfn.IFS(B1523&lt;=18.5,  "Underweight",B1523&lt;=24.9,"Normal weight",B1523&lt;=29.9, "Over weight",B1523&gt;=30,"Obesity")</f>
        <v>Normal weight</v>
      </c>
      <c r="D1523">
        <v>11.98</v>
      </c>
      <c r="E1523" t="str" cm="1">
        <f t="array" ref="E1523">_xlfn.IFS(D1523&lt;5.7,"Normal",D1523&lt;=6.4,"Prediabetes",D1523&gt;=6.5,"Diabetes")</f>
        <v>Diabetes</v>
      </c>
      <c r="F1523" s="3" t="s">
        <v>2382</v>
      </c>
      <c r="G1523" s="3" t="s">
        <v>2379</v>
      </c>
      <c r="H1523" s="3" t="s">
        <v>2379</v>
      </c>
      <c r="I1523" s="1">
        <v>2</v>
      </c>
      <c r="J1523">
        <v>2</v>
      </c>
      <c r="K1523" s="3" t="s">
        <v>2379</v>
      </c>
      <c r="P1523" s="3"/>
    </row>
    <row r="1524" spans="1:16" x14ac:dyDescent="0.25">
      <c r="A1524" s="3" t="s">
        <v>847</v>
      </c>
      <c r="B1524">
        <v>28.88</v>
      </c>
      <c r="C1524" t="str" cm="1">
        <f t="array" ref="C1524">_xlfn.IFS(B1524&lt;=18.5,  "Underweight",B1524&lt;=24.9,"Normal weight",B1524&lt;=29.9, "Over weight",B1524&gt;=30,"Obesity")</f>
        <v>Over weight</v>
      </c>
      <c r="D1524">
        <v>6.59</v>
      </c>
      <c r="E1524" t="str" cm="1">
        <f t="array" ref="E1524">_xlfn.IFS(D1524&lt;5.7,"Normal",D1524&lt;=6.4,"Prediabetes",D1524&gt;=6.5,"Diabetes")</f>
        <v>Diabetes</v>
      </c>
      <c r="F1524" s="3" t="s">
        <v>2382</v>
      </c>
      <c r="G1524" s="3" t="s">
        <v>2379</v>
      </c>
      <c r="H1524" s="3" t="s">
        <v>2379</v>
      </c>
      <c r="I1524" s="1">
        <v>1</v>
      </c>
      <c r="J1524">
        <v>1</v>
      </c>
      <c r="K1524" s="3" t="s">
        <v>2379</v>
      </c>
      <c r="P1524" s="3"/>
    </row>
    <row r="1525" spans="1:16" x14ac:dyDescent="0.25">
      <c r="A1525" s="3" t="s">
        <v>846</v>
      </c>
      <c r="B1525">
        <v>27.55</v>
      </c>
      <c r="C1525" t="str" cm="1">
        <f t="array" ref="C1525">_xlfn.IFS(B1525&lt;=18.5,  "Underweight",B1525&lt;=24.9,"Normal weight",B1525&lt;=29.9, "Over weight",B1525&gt;=30,"Obesity")</f>
        <v>Over weight</v>
      </c>
      <c r="D1525">
        <v>10.83</v>
      </c>
      <c r="E1525" t="str" cm="1">
        <f t="array" ref="E1525">_xlfn.IFS(D1525&lt;5.7,"Normal",D1525&lt;=6.4,"Prediabetes",D1525&gt;=6.5,"Diabetes")</f>
        <v>Diabetes</v>
      </c>
      <c r="F1525" s="3" t="s">
        <v>2382</v>
      </c>
      <c r="G1525" s="3" t="s">
        <v>2379</v>
      </c>
      <c r="H1525" s="3" t="s">
        <v>2379</v>
      </c>
      <c r="I1525" s="1">
        <v>1</v>
      </c>
      <c r="J1525">
        <v>1</v>
      </c>
      <c r="K1525" s="3" t="s">
        <v>2379</v>
      </c>
      <c r="P1525" s="3"/>
    </row>
    <row r="1526" spans="1:16" x14ac:dyDescent="0.25">
      <c r="A1526" s="3" t="s">
        <v>845</v>
      </c>
      <c r="B1526">
        <v>15.6</v>
      </c>
      <c r="C1526" t="str" cm="1">
        <f t="array" ref="C1526">_xlfn.IFS(B1526&lt;=18.5,  "Underweight",B1526&lt;=24.9,"Normal weight",B1526&lt;=29.9, "Over weight",B1526&gt;=30,"Obesity")</f>
        <v>Underweight</v>
      </c>
      <c r="D1526">
        <v>8.6</v>
      </c>
      <c r="E1526" t="str" cm="1">
        <f t="array" ref="E1526">_xlfn.IFS(D1526&lt;5.7,"Normal",D1526&lt;=6.4,"Prediabetes",D1526&gt;=6.5,"Diabetes")</f>
        <v>Diabetes</v>
      </c>
      <c r="F1526" s="3" t="s">
        <v>2379</v>
      </c>
      <c r="G1526" s="3" t="s">
        <v>2379</v>
      </c>
      <c r="H1526" s="3" t="s">
        <v>2379</v>
      </c>
      <c r="I1526" s="1" t="s">
        <v>2380</v>
      </c>
      <c r="J1526">
        <v>0</v>
      </c>
      <c r="K1526" s="3" t="s">
        <v>2379</v>
      </c>
      <c r="P1526" s="3"/>
    </row>
    <row r="1527" spans="1:16" x14ac:dyDescent="0.25">
      <c r="A1527" s="3" t="s">
        <v>844</v>
      </c>
      <c r="B1527">
        <v>21.99</v>
      </c>
      <c r="C1527" t="str" cm="1">
        <f t="array" ref="C1527">_xlfn.IFS(B1527&lt;=18.5,  "Underweight",B1527&lt;=24.9,"Normal weight",B1527&lt;=29.9, "Over weight",B1527&gt;=30,"Obesity")</f>
        <v>Normal weight</v>
      </c>
      <c r="D1527">
        <v>11.17</v>
      </c>
      <c r="E1527" t="str" cm="1">
        <f t="array" ref="E1527">_xlfn.IFS(D1527&lt;5.7,"Normal",D1527&lt;=6.4,"Prediabetes",D1527&gt;=6.5,"Diabetes")</f>
        <v>Diabetes</v>
      </c>
      <c r="F1527" s="3" t="s">
        <v>2379</v>
      </c>
      <c r="G1527" s="3" t="s">
        <v>2379</v>
      </c>
      <c r="H1527" s="3" t="s">
        <v>2379</v>
      </c>
      <c r="I1527" s="1" t="s">
        <v>2380</v>
      </c>
      <c r="J1527">
        <v>0</v>
      </c>
      <c r="K1527" s="3" t="s">
        <v>2379</v>
      </c>
      <c r="P1527" s="3"/>
    </row>
    <row r="1528" spans="1:16" x14ac:dyDescent="0.25">
      <c r="A1528" s="3" t="s">
        <v>843</v>
      </c>
      <c r="B1528">
        <v>34.85</v>
      </c>
      <c r="C1528" t="str" cm="1">
        <f t="array" ref="C1528">_xlfn.IFS(B1528&lt;=18.5,  "Underweight",B1528&lt;=24.9,"Normal weight",B1528&lt;=29.9, "Over weight",B1528&gt;=30,"Obesity")</f>
        <v>Obesity</v>
      </c>
      <c r="D1528">
        <v>5.75</v>
      </c>
      <c r="E1528" t="str" cm="1">
        <f t="array" ref="E1528">_xlfn.IFS(D1528&lt;5.7,"Normal",D1528&lt;=6.4,"Prediabetes",D1528&gt;=6.5,"Diabetes")</f>
        <v>Prediabetes</v>
      </c>
      <c r="F1528" s="3" t="s">
        <v>2379</v>
      </c>
      <c r="G1528" s="3" t="s">
        <v>2379</v>
      </c>
      <c r="H1528" s="3" t="s">
        <v>2379</v>
      </c>
      <c r="I1528" s="1" t="s">
        <v>2380</v>
      </c>
      <c r="J1528">
        <v>0</v>
      </c>
      <c r="K1528" s="3" t="s">
        <v>2379</v>
      </c>
      <c r="P1528" s="3"/>
    </row>
    <row r="1529" spans="1:16" x14ac:dyDescent="0.25">
      <c r="A1529" s="3" t="s">
        <v>842</v>
      </c>
      <c r="B1529">
        <v>24.51</v>
      </c>
      <c r="C1529" t="str" cm="1">
        <f t="array" ref="C1529">_xlfn.IFS(B1529&lt;=18.5,  "Underweight",B1529&lt;=24.9,"Normal weight",B1529&lt;=29.9, "Over weight",B1529&gt;=30,"Obesity")</f>
        <v>Normal weight</v>
      </c>
      <c r="D1529">
        <v>4.83</v>
      </c>
      <c r="E1529" t="str" cm="1">
        <f t="array" ref="E1529">_xlfn.IFS(D1529&lt;5.7,"Normal",D1529&lt;=6.4,"Prediabetes",D1529&gt;=6.5,"Diabetes")</f>
        <v>Normal</v>
      </c>
      <c r="F1529" s="3" t="s">
        <v>2382</v>
      </c>
      <c r="G1529" s="3" t="s">
        <v>2379</v>
      </c>
      <c r="H1529" s="3" t="s">
        <v>2382</v>
      </c>
      <c r="I1529" s="1">
        <v>1</v>
      </c>
      <c r="J1529">
        <v>1</v>
      </c>
      <c r="K1529" s="3" t="s">
        <v>2379</v>
      </c>
      <c r="P1529" s="3"/>
    </row>
    <row r="1530" spans="1:16" x14ac:dyDescent="0.25">
      <c r="A1530" s="3" t="s">
        <v>841</v>
      </c>
      <c r="B1530">
        <v>19.399999999999999</v>
      </c>
      <c r="C1530" t="str" cm="1">
        <f t="array" ref="C1530">_xlfn.IFS(B1530&lt;=18.5,  "Underweight",B1530&lt;=24.9,"Normal weight",B1530&lt;=29.9, "Over weight",B1530&gt;=30,"Obesity")</f>
        <v>Normal weight</v>
      </c>
      <c r="D1530">
        <v>11.93</v>
      </c>
      <c r="E1530" t="str" cm="1">
        <f t="array" ref="E1530">_xlfn.IFS(D1530&lt;5.7,"Normal",D1530&lt;=6.4,"Prediabetes",D1530&gt;=6.5,"Diabetes")</f>
        <v>Diabetes</v>
      </c>
      <c r="F1530" s="3" t="s">
        <v>2379</v>
      </c>
      <c r="G1530" s="3" t="s">
        <v>2379</v>
      </c>
      <c r="H1530" s="3" t="s">
        <v>2379</v>
      </c>
      <c r="I1530" s="1" t="s">
        <v>2380</v>
      </c>
      <c r="J1530">
        <v>0</v>
      </c>
      <c r="K1530" s="3" t="s">
        <v>2379</v>
      </c>
      <c r="P1530" s="3"/>
    </row>
    <row r="1531" spans="1:16" x14ac:dyDescent="0.25">
      <c r="A1531" s="3" t="s">
        <v>840</v>
      </c>
      <c r="B1531">
        <v>15.1</v>
      </c>
      <c r="C1531" t="str" cm="1">
        <f t="array" ref="C1531">_xlfn.IFS(B1531&lt;=18.5,  "Underweight",B1531&lt;=24.9,"Normal weight",B1531&lt;=29.9, "Over weight",B1531&gt;=30,"Obesity")</f>
        <v>Underweight</v>
      </c>
      <c r="D1531">
        <v>8.41</v>
      </c>
      <c r="E1531" t="str" cm="1">
        <f t="array" ref="E1531">_xlfn.IFS(D1531&lt;5.7,"Normal",D1531&lt;=6.4,"Prediabetes",D1531&gt;=6.5,"Diabetes")</f>
        <v>Diabetes</v>
      </c>
      <c r="F1531" s="3" t="s">
        <v>2379</v>
      </c>
      <c r="G1531" s="3" t="s">
        <v>2379</v>
      </c>
      <c r="H1531" s="3" t="s">
        <v>2379</v>
      </c>
      <c r="I1531" s="1" t="s">
        <v>2380</v>
      </c>
      <c r="J1531">
        <v>0</v>
      </c>
      <c r="K1531" s="3" t="s">
        <v>2379</v>
      </c>
      <c r="P1531" s="3"/>
    </row>
    <row r="1532" spans="1:16" x14ac:dyDescent="0.25">
      <c r="A1532" s="3" t="s">
        <v>839</v>
      </c>
      <c r="B1532">
        <v>23.37</v>
      </c>
      <c r="C1532" t="str" cm="1">
        <f t="array" ref="C1532">_xlfn.IFS(B1532&lt;=18.5,  "Underweight",B1532&lt;=24.9,"Normal weight",B1532&lt;=29.9, "Over weight",B1532&gt;=30,"Obesity")</f>
        <v>Normal weight</v>
      </c>
      <c r="D1532">
        <v>5.59</v>
      </c>
      <c r="E1532" t="str" cm="1">
        <f t="array" ref="E1532">_xlfn.IFS(D1532&lt;5.7,"Normal",D1532&lt;=6.4,"Prediabetes",D1532&gt;=6.5,"Diabetes")</f>
        <v>Normal</v>
      </c>
      <c r="F1532" s="3" t="s">
        <v>2382</v>
      </c>
      <c r="G1532" s="3" t="s">
        <v>2379</v>
      </c>
      <c r="H1532" s="3" t="s">
        <v>2379</v>
      </c>
      <c r="I1532" s="1" t="s">
        <v>2380</v>
      </c>
      <c r="J1532">
        <v>0</v>
      </c>
      <c r="K1532" s="3" t="s">
        <v>2379</v>
      </c>
      <c r="P1532" s="3"/>
    </row>
    <row r="1533" spans="1:16" x14ac:dyDescent="0.25">
      <c r="A1533" s="3" t="s">
        <v>838</v>
      </c>
      <c r="B1533">
        <v>42.4</v>
      </c>
      <c r="C1533" t="str" cm="1">
        <f t="array" ref="C1533">_xlfn.IFS(B1533&lt;=18.5,  "Underweight",B1533&lt;=24.9,"Normal weight",B1533&lt;=29.9, "Over weight",B1533&gt;=30,"Obesity")</f>
        <v>Obesity</v>
      </c>
      <c r="D1533">
        <v>4.0599999999999996</v>
      </c>
      <c r="E1533" t="str" cm="1">
        <f t="array" ref="E1533">_xlfn.IFS(D1533&lt;5.7,"Normal",D1533&lt;=6.4,"Prediabetes",D1533&gt;=6.5,"Diabetes")</f>
        <v>Normal</v>
      </c>
      <c r="F1533" s="3" t="s">
        <v>2379</v>
      </c>
      <c r="G1533" s="3" t="s">
        <v>2379</v>
      </c>
      <c r="H1533" s="3" t="s">
        <v>2379</v>
      </c>
      <c r="I1533" s="1" t="s">
        <v>2380</v>
      </c>
      <c r="J1533">
        <v>0</v>
      </c>
      <c r="K1533" s="3" t="s">
        <v>2379</v>
      </c>
      <c r="P1533" s="3"/>
    </row>
    <row r="1534" spans="1:16" x14ac:dyDescent="0.25">
      <c r="A1534" s="3" t="s">
        <v>837</v>
      </c>
      <c r="B1534">
        <v>28.405000000000001</v>
      </c>
      <c r="C1534" t="str" cm="1">
        <f t="array" ref="C1534">_xlfn.IFS(B1534&lt;=18.5,  "Underweight",B1534&lt;=24.9,"Normal weight",B1534&lt;=29.9, "Over weight",B1534&gt;=30,"Obesity")</f>
        <v>Over weight</v>
      </c>
      <c r="D1534">
        <v>7.02</v>
      </c>
      <c r="E1534" t="str" cm="1">
        <f t="array" ref="E1534">_xlfn.IFS(D1534&lt;5.7,"Normal",D1534&lt;=6.4,"Prediabetes",D1534&gt;=6.5,"Diabetes")</f>
        <v>Diabetes</v>
      </c>
      <c r="F1534" s="3" t="s">
        <v>2382</v>
      </c>
      <c r="G1534" s="3" t="s">
        <v>2379</v>
      </c>
      <c r="H1534" s="3" t="s">
        <v>2379</v>
      </c>
      <c r="I1534" s="1" t="s">
        <v>2380</v>
      </c>
      <c r="J1534">
        <v>0</v>
      </c>
      <c r="K1534" s="3" t="s">
        <v>2379</v>
      </c>
      <c r="P1534" s="3"/>
    </row>
    <row r="1535" spans="1:16" x14ac:dyDescent="0.25">
      <c r="A1535" s="3" t="s">
        <v>836</v>
      </c>
      <c r="B1535">
        <v>23.4</v>
      </c>
      <c r="C1535" t="str" cm="1">
        <f t="array" ref="C1535">_xlfn.IFS(B1535&lt;=18.5,  "Underweight",B1535&lt;=24.9,"Normal weight",B1535&lt;=29.9, "Over weight",B1535&gt;=30,"Obesity")</f>
        <v>Normal weight</v>
      </c>
      <c r="D1535">
        <v>4.47</v>
      </c>
      <c r="E1535" t="str" cm="1">
        <f t="array" ref="E1535">_xlfn.IFS(D1535&lt;5.7,"Normal",D1535&lt;=6.4,"Prediabetes",D1535&gt;=6.5,"Diabetes")</f>
        <v>Normal</v>
      </c>
      <c r="F1535" s="3" t="s">
        <v>2379</v>
      </c>
      <c r="G1535" s="3" t="s">
        <v>2379</v>
      </c>
      <c r="H1535" s="3" t="s">
        <v>2379</v>
      </c>
      <c r="I1535" s="1" t="s">
        <v>2380</v>
      </c>
      <c r="J1535">
        <v>0</v>
      </c>
      <c r="K1535" s="3" t="s">
        <v>2379</v>
      </c>
      <c r="P1535" s="3"/>
    </row>
    <row r="1536" spans="1:16" x14ac:dyDescent="0.25">
      <c r="A1536" s="3" t="s">
        <v>835</v>
      </c>
      <c r="B1536">
        <v>33.44</v>
      </c>
      <c r="C1536" t="str" cm="1">
        <f t="array" ref="C1536">_xlfn.IFS(B1536&lt;=18.5,  "Underweight",B1536&lt;=24.9,"Normal weight",B1536&lt;=29.9, "Over weight",B1536&gt;=30,"Obesity")</f>
        <v>Obesity</v>
      </c>
      <c r="D1536">
        <v>4.54</v>
      </c>
      <c r="E1536" t="str" cm="1">
        <f t="array" ref="E1536">_xlfn.IFS(D1536&lt;5.7,"Normal",D1536&lt;=6.4,"Prediabetes",D1536&gt;=6.5,"Diabetes")</f>
        <v>Normal</v>
      </c>
      <c r="F1536" s="3" t="s">
        <v>2379</v>
      </c>
      <c r="G1536" s="3" t="s">
        <v>2379</v>
      </c>
      <c r="H1536" s="3" t="s">
        <v>2379</v>
      </c>
      <c r="I1536" s="1" t="s">
        <v>2380</v>
      </c>
      <c r="J1536">
        <v>0</v>
      </c>
      <c r="K1536" s="3" t="s">
        <v>2379</v>
      </c>
      <c r="P1536" s="3"/>
    </row>
    <row r="1537" spans="1:16" x14ac:dyDescent="0.25">
      <c r="A1537" s="3" t="s">
        <v>834</v>
      </c>
      <c r="B1537">
        <v>21.12</v>
      </c>
      <c r="C1537" t="str" cm="1">
        <f t="array" ref="C1537">_xlfn.IFS(B1537&lt;=18.5,  "Underweight",B1537&lt;=24.9,"Normal weight",B1537&lt;=29.9, "Over weight",B1537&gt;=30,"Obesity")</f>
        <v>Normal weight</v>
      </c>
      <c r="D1537">
        <v>4.99</v>
      </c>
      <c r="E1537" t="str" cm="1">
        <f t="array" ref="E1537">_xlfn.IFS(D1537&lt;5.7,"Normal",D1537&lt;=6.4,"Prediabetes",D1537&gt;=6.5,"Diabetes")</f>
        <v>Normal</v>
      </c>
      <c r="F1537" s="3" t="s">
        <v>2379</v>
      </c>
      <c r="G1537" s="3" t="s">
        <v>2379</v>
      </c>
      <c r="H1537" s="3" t="s">
        <v>2379</v>
      </c>
      <c r="I1537" s="1">
        <v>1</v>
      </c>
      <c r="J1537">
        <v>1</v>
      </c>
      <c r="K1537" s="3" t="s">
        <v>2379</v>
      </c>
      <c r="P1537" s="3"/>
    </row>
    <row r="1538" spans="1:16" x14ac:dyDescent="0.25">
      <c r="A1538" s="3" t="s">
        <v>833</v>
      </c>
      <c r="B1538">
        <v>18.48</v>
      </c>
      <c r="C1538" t="str" cm="1">
        <f t="array" ref="C1538">_xlfn.IFS(B1538&lt;=18.5,  "Underweight",B1538&lt;=24.9,"Normal weight",B1538&lt;=29.9, "Over weight",B1538&gt;=30,"Obesity")</f>
        <v>Underweight</v>
      </c>
      <c r="D1538">
        <v>10.84</v>
      </c>
      <c r="E1538" t="str" cm="1">
        <f t="array" ref="E1538">_xlfn.IFS(D1538&lt;5.7,"Normal",D1538&lt;=6.4,"Prediabetes",D1538&gt;=6.5,"Diabetes")</f>
        <v>Diabetes</v>
      </c>
      <c r="F1538" s="3" t="s">
        <v>2382</v>
      </c>
      <c r="G1538" s="3" t="s">
        <v>2379</v>
      </c>
      <c r="H1538" s="3" t="s">
        <v>2379</v>
      </c>
      <c r="I1538" s="1">
        <v>2</v>
      </c>
      <c r="J1538">
        <v>2</v>
      </c>
      <c r="K1538" s="3" t="s">
        <v>2379</v>
      </c>
      <c r="P1538" s="3"/>
    </row>
    <row r="1539" spans="1:16" x14ac:dyDescent="0.25">
      <c r="A1539" s="3" t="s">
        <v>832</v>
      </c>
      <c r="B1539">
        <v>16.815000000000001</v>
      </c>
      <c r="C1539" t="str" cm="1">
        <f t="array" ref="C1539">_xlfn.IFS(B1539&lt;=18.5,  "Underweight",B1539&lt;=24.9,"Normal weight",B1539&lt;=29.9, "Over weight",B1539&gt;=30,"Obesity")</f>
        <v>Underweight</v>
      </c>
      <c r="D1539">
        <v>5.63</v>
      </c>
      <c r="E1539" t="str" cm="1">
        <f t="array" ref="E1539">_xlfn.IFS(D1539&lt;5.7,"Normal",D1539&lt;=6.4,"Prediabetes",D1539&gt;=6.5,"Diabetes")</f>
        <v>Normal</v>
      </c>
      <c r="F1539" s="3" t="s">
        <v>2379</v>
      </c>
      <c r="G1539" s="3" t="s">
        <v>2379</v>
      </c>
      <c r="H1539" s="3" t="s">
        <v>2379</v>
      </c>
      <c r="I1539" s="1">
        <v>1</v>
      </c>
      <c r="J1539">
        <v>1</v>
      </c>
      <c r="K1539" s="3" t="s">
        <v>2379</v>
      </c>
      <c r="P1539" s="3"/>
    </row>
    <row r="1540" spans="1:16" x14ac:dyDescent="0.25">
      <c r="A1540" s="3" t="s">
        <v>831</v>
      </c>
      <c r="B1540">
        <v>26.72</v>
      </c>
      <c r="C1540" t="str" cm="1">
        <f t="array" ref="C1540">_xlfn.IFS(B1540&lt;=18.5,  "Underweight",B1540&lt;=24.9,"Normal weight",B1540&lt;=29.9, "Over weight",B1540&gt;=30,"Obesity")</f>
        <v>Over weight</v>
      </c>
      <c r="D1540">
        <v>4.1399999999999997</v>
      </c>
      <c r="E1540" t="str" cm="1">
        <f t="array" ref="E1540">_xlfn.IFS(D1540&lt;5.7,"Normal",D1540&lt;=6.4,"Prediabetes",D1540&gt;=6.5,"Diabetes")</f>
        <v>Normal</v>
      </c>
      <c r="F1540" s="3" t="s">
        <v>2379</v>
      </c>
      <c r="G1540" s="3" t="s">
        <v>2379</v>
      </c>
      <c r="H1540" s="3" t="s">
        <v>2379</v>
      </c>
      <c r="I1540" s="1" t="s">
        <v>2380</v>
      </c>
      <c r="J1540">
        <v>0</v>
      </c>
      <c r="K1540" s="3" t="s">
        <v>2379</v>
      </c>
      <c r="P1540" s="3"/>
    </row>
    <row r="1541" spans="1:16" x14ac:dyDescent="0.25">
      <c r="A1541" s="3" t="s">
        <v>830</v>
      </c>
      <c r="B1541">
        <v>41.42</v>
      </c>
      <c r="C1541" t="str" cm="1">
        <f t="array" ref="C1541">_xlfn.IFS(B1541&lt;=18.5,  "Underweight",B1541&lt;=24.9,"Normal weight",B1541&lt;=29.9, "Over weight",B1541&gt;=30,"Obesity")</f>
        <v>Obesity</v>
      </c>
      <c r="D1541">
        <v>5.17</v>
      </c>
      <c r="E1541" t="str" cm="1">
        <f t="array" ref="E1541">_xlfn.IFS(D1541&lt;5.7,"Normal",D1541&lt;=6.4,"Prediabetes",D1541&gt;=6.5,"Diabetes")</f>
        <v>Normal</v>
      </c>
      <c r="F1541" s="3" t="s">
        <v>2379</v>
      </c>
      <c r="G1541" s="3" t="s">
        <v>2379</v>
      </c>
      <c r="H1541" s="3" t="s">
        <v>2382</v>
      </c>
      <c r="I1541" s="1">
        <v>1</v>
      </c>
      <c r="J1541">
        <v>1</v>
      </c>
      <c r="K1541" s="3" t="s">
        <v>2379</v>
      </c>
      <c r="P1541" s="3"/>
    </row>
    <row r="1542" spans="1:16" x14ac:dyDescent="0.25">
      <c r="A1542" s="3" t="s">
        <v>829</v>
      </c>
      <c r="B1542">
        <v>20.69</v>
      </c>
      <c r="C1542" t="str" cm="1">
        <f t="array" ref="C1542">_xlfn.IFS(B1542&lt;=18.5,  "Underweight",B1542&lt;=24.9,"Normal weight",B1542&lt;=29.9, "Over weight",B1542&gt;=30,"Obesity")</f>
        <v>Normal weight</v>
      </c>
      <c r="D1542">
        <v>6.93</v>
      </c>
      <c r="E1542" t="str" cm="1">
        <f t="array" ref="E1542">_xlfn.IFS(D1542&lt;5.7,"Normal",D1542&lt;=6.4,"Prediabetes",D1542&gt;=6.5,"Diabetes")</f>
        <v>Diabetes</v>
      </c>
      <c r="F1542" s="3" t="s">
        <v>2379</v>
      </c>
      <c r="G1542" s="3" t="s">
        <v>2379</v>
      </c>
      <c r="H1542" s="3" t="s">
        <v>2379</v>
      </c>
      <c r="I1542" s="1">
        <v>2</v>
      </c>
      <c r="J1542">
        <v>2</v>
      </c>
      <c r="K1542" s="3" t="s">
        <v>2379</v>
      </c>
      <c r="P1542" s="3"/>
    </row>
    <row r="1543" spans="1:16" x14ac:dyDescent="0.25">
      <c r="A1543" s="3" t="s">
        <v>828</v>
      </c>
      <c r="B1543">
        <v>41.23</v>
      </c>
      <c r="C1543" t="str" cm="1">
        <f t="array" ref="C1543">_xlfn.IFS(B1543&lt;=18.5,  "Underweight",B1543&lt;=24.9,"Normal weight",B1543&lt;=29.9, "Over weight",B1543&gt;=30,"Obesity")</f>
        <v>Obesity</v>
      </c>
      <c r="D1543">
        <v>4.24</v>
      </c>
      <c r="E1543" t="str" cm="1">
        <f t="array" ref="E1543">_xlfn.IFS(D1543&lt;5.7,"Normal",D1543&lt;=6.4,"Prediabetes",D1543&gt;=6.5,"Diabetes")</f>
        <v>Normal</v>
      </c>
      <c r="F1543" s="3" t="s">
        <v>2379</v>
      </c>
      <c r="G1543" s="3" t="s">
        <v>2379</v>
      </c>
      <c r="H1543" s="3" t="s">
        <v>2379</v>
      </c>
      <c r="I1543" s="1" t="s">
        <v>2380</v>
      </c>
      <c r="J1543">
        <v>0</v>
      </c>
      <c r="K1543" s="3" t="s">
        <v>2379</v>
      </c>
      <c r="P1543" s="3"/>
    </row>
    <row r="1544" spans="1:16" x14ac:dyDescent="0.25">
      <c r="A1544" s="3" t="s">
        <v>827</v>
      </c>
      <c r="B1544">
        <v>29.9</v>
      </c>
      <c r="C1544" t="str" cm="1">
        <f t="array" ref="C1544">_xlfn.IFS(B1544&lt;=18.5,  "Underweight",B1544&lt;=24.9,"Normal weight",B1544&lt;=29.9, "Over weight",B1544&gt;=30,"Obesity")</f>
        <v>Over weight</v>
      </c>
      <c r="D1544">
        <v>5.91</v>
      </c>
      <c r="E1544" t="str" cm="1">
        <f t="array" ref="E1544">_xlfn.IFS(D1544&lt;5.7,"Normal",D1544&lt;=6.4,"Prediabetes",D1544&gt;=6.5,"Diabetes")</f>
        <v>Prediabetes</v>
      </c>
      <c r="F1544" s="3" t="s">
        <v>2379</v>
      </c>
      <c r="G1544" s="3" t="s">
        <v>2379</v>
      </c>
      <c r="H1544" s="3" t="s">
        <v>2379</v>
      </c>
      <c r="I1544" s="1" t="s">
        <v>2380</v>
      </c>
      <c r="J1544">
        <v>0</v>
      </c>
      <c r="K1544" s="3" t="s">
        <v>2379</v>
      </c>
      <c r="P1544" s="3"/>
    </row>
    <row r="1545" spans="1:16" x14ac:dyDescent="0.25">
      <c r="A1545" s="3" t="s">
        <v>826</v>
      </c>
      <c r="B1545">
        <v>34.104999999999997</v>
      </c>
      <c r="C1545" t="str" cm="1">
        <f t="array" ref="C1545">_xlfn.IFS(B1545&lt;=18.5,  "Underweight",B1545&lt;=24.9,"Normal weight",B1545&lt;=29.9, "Over weight",B1545&gt;=30,"Obesity")</f>
        <v>Obesity</v>
      </c>
      <c r="D1545">
        <v>5.93</v>
      </c>
      <c r="E1545" t="str" cm="1">
        <f t="array" ref="E1545">_xlfn.IFS(D1545&lt;5.7,"Normal",D1545&lt;=6.4,"Prediabetes",D1545&gt;=6.5,"Diabetes")</f>
        <v>Prediabetes</v>
      </c>
      <c r="F1545" s="3" t="s">
        <v>2379</v>
      </c>
      <c r="G1545" s="3" t="s">
        <v>2379</v>
      </c>
      <c r="H1545" s="3" t="s">
        <v>2379</v>
      </c>
      <c r="I1545" s="1" t="s">
        <v>2380</v>
      </c>
      <c r="J1545">
        <v>0</v>
      </c>
      <c r="K1545" s="3" t="s">
        <v>2379</v>
      </c>
      <c r="P1545" s="3"/>
    </row>
    <row r="1546" spans="1:16" x14ac:dyDescent="0.25">
      <c r="A1546" s="3" t="s">
        <v>825</v>
      </c>
      <c r="B1546">
        <v>24.97</v>
      </c>
      <c r="C1546" t="str" cm="1">
        <f t="array" ref="C1546">_xlfn.IFS(B1546&lt;=18.5,  "Underweight",B1546&lt;=24.9,"Normal weight",B1546&lt;=29.9, "Over weight",B1546&gt;=30,"Obesity")</f>
        <v>Over weight</v>
      </c>
      <c r="D1546">
        <v>5.66</v>
      </c>
      <c r="E1546" t="str" cm="1">
        <f t="array" ref="E1546">_xlfn.IFS(D1546&lt;5.7,"Normal",D1546&lt;=6.4,"Prediabetes",D1546&gt;=6.5,"Diabetes")</f>
        <v>Normal</v>
      </c>
      <c r="F1546" s="3" t="s">
        <v>2379</v>
      </c>
      <c r="G1546" s="3" t="s">
        <v>2379</v>
      </c>
      <c r="H1546" s="3" t="s">
        <v>2379</v>
      </c>
      <c r="I1546" s="1" t="s">
        <v>2380</v>
      </c>
      <c r="J1546">
        <v>0</v>
      </c>
      <c r="K1546" s="3" t="s">
        <v>2379</v>
      </c>
      <c r="P1546" s="3"/>
    </row>
    <row r="1547" spans="1:16" x14ac:dyDescent="0.25">
      <c r="A1547" s="3" t="s">
        <v>824</v>
      </c>
      <c r="B1547">
        <v>34.799999999999997</v>
      </c>
      <c r="C1547" t="str" cm="1">
        <f t="array" ref="C1547">_xlfn.IFS(B1547&lt;=18.5,  "Underweight",B1547&lt;=24.9,"Normal weight",B1547&lt;=29.9, "Over weight",B1547&gt;=30,"Obesity")</f>
        <v>Obesity</v>
      </c>
      <c r="D1547">
        <v>4.1900000000000004</v>
      </c>
      <c r="E1547" t="str" cm="1">
        <f t="array" ref="E1547">_xlfn.IFS(D1547&lt;5.7,"Normal",D1547&lt;=6.4,"Prediabetes",D1547&gt;=6.5,"Diabetes")</f>
        <v>Normal</v>
      </c>
      <c r="F1547" s="3" t="s">
        <v>2379</v>
      </c>
      <c r="G1547" s="3" t="s">
        <v>2379</v>
      </c>
      <c r="H1547" s="3" t="s">
        <v>2379</v>
      </c>
      <c r="I1547" s="1">
        <v>1</v>
      </c>
      <c r="J1547">
        <v>1</v>
      </c>
      <c r="K1547" s="3" t="s">
        <v>2379</v>
      </c>
      <c r="P1547" s="3"/>
    </row>
    <row r="1548" spans="1:16" x14ac:dyDescent="0.25">
      <c r="A1548" s="3" t="s">
        <v>823</v>
      </c>
      <c r="B1548">
        <v>32.965000000000003</v>
      </c>
      <c r="C1548" t="str" cm="1">
        <f t="array" ref="C1548">_xlfn.IFS(B1548&lt;=18.5,  "Underweight",B1548&lt;=24.9,"Normal weight",B1548&lt;=29.9, "Over weight",B1548&gt;=30,"Obesity")</f>
        <v>Obesity</v>
      </c>
      <c r="D1548">
        <v>9.2100000000000009</v>
      </c>
      <c r="E1548" t="str" cm="1">
        <f t="array" ref="E1548">_xlfn.IFS(D1548&lt;5.7,"Normal",D1548&lt;=6.4,"Prediabetes",D1548&gt;=6.5,"Diabetes")</f>
        <v>Diabetes</v>
      </c>
      <c r="F1548" s="3" t="s">
        <v>2382</v>
      </c>
      <c r="G1548" s="3" t="s">
        <v>2379</v>
      </c>
      <c r="H1548" s="3" t="s">
        <v>2379</v>
      </c>
      <c r="I1548" s="1" t="s">
        <v>2380</v>
      </c>
      <c r="J1548">
        <v>0</v>
      </c>
      <c r="K1548" s="3" t="s">
        <v>2379</v>
      </c>
      <c r="P1548" s="3"/>
    </row>
    <row r="1549" spans="1:16" x14ac:dyDescent="0.25">
      <c r="A1549" s="3" t="s">
        <v>822</v>
      </c>
      <c r="B1549">
        <v>27.265000000000001</v>
      </c>
      <c r="C1549" t="str" cm="1">
        <f t="array" ref="C1549">_xlfn.IFS(B1549&lt;=18.5,  "Underweight",B1549&lt;=24.9,"Normal weight",B1549&lt;=29.9, "Over weight",B1549&gt;=30,"Obesity")</f>
        <v>Over weight</v>
      </c>
      <c r="D1549">
        <v>5.51</v>
      </c>
      <c r="E1549" t="str" cm="1">
        <f t="array" ref="E1549">_xlfn.IFS(D1549&lt;5.7,"Normal",D1549&lt;=6.4,"Prediabetes",D1549&gt;=6.5,"Diabetes")</f>
        <v>Normal</v>
      </c>
      <c r="F1549" s="3" t="s">
        <v>2379</v>
      </c>
      <c r="G1549" s="3" t="s">
        <v>2379</v>
      </c>
      <c r="H1549" s="3" t="s">
        <v>2379</v>
      </c>
      <c r="I1549" s="1">
        <v>1</v>
      </c>
      <c r="J1549">
        <v>1</v>
      </c>
      <c r="K1549" s="3" t="s">
        <v>2379</v>
      </c>
      <c r="P1549" s="3"/>
    </row>
    <row r="1550" spans="1:16" x14ac:dyDescent="0.25">
      <c r="A1550" s="3" t="s">
        <v>821</v>
      </c>
      <c r="B1550">
        <v>17.059999999999999</v>
      </c>
      <c r="C1550" t="str" cm="1">
        <f t="array" ref="C1550">_xlfn.IFS(B1550&lt;=18.5,  "Underweight",B1550&lt;=24.9,"Normal weight",B1550&lt;=29.9, "Over weight",B1550&gt;=30,"Obesity")</f>
        <v>Underweight</v>
      </c>
      <c r="D1550">
        <v>8.5</v>
      </c>
      <c r="E1550" t="str" cm="1">
        <f t="array" ref="E1550">_xlfn.IFS(D1550&lt;5.7,"Normal",D1550&lt;=6.4,"Prediabetes",D1550&gt;=6.5,"Diabetes")</f>
        <v>Diabetes</v>
      </c>
      <c r="F1550" s="3" t="s">
        <v>2379</v>
      </c>
      <c r="G1550" s="3" t="s">
        <v>2379</v>
      </c>
      <c r="H1550" s="3" t="s">
        <v>2379</v>
      </c>
      <c r="I1550" s="1" t="s">
        <v>2380</v>
      </c>
      <c r="J1550">
        <v>0</v>
      </c>
      <c r="K1550" s="3" t="s">
        <v>2379</v>
      </c>
      <c r="P1550" s="3"/>
    </row>
    <row r="1551" spans="1:16" x14ac:dyDescent="0.25">
      <c r="A1551" s="3" t="s">
        <v>820</v>
      </c>
      <c r="B1551">
        <v>36.29</v>
      </c>
      <c r="C1551" t="str" cm="1">
        <f t="array" ref="C1551">_xlfn.IFS(B1551&lt;=18.5,  "Underweight",B1551&lt;=24.9,"Normal weight",B1551&lt;=29.9, "Over weight",B1551&gt;=30,"Obesity")</f>
        <v>Obesity</v>
      </c>
      <c r="D1551">
        <v>6.23</v>
      </c>
      <c r="E1551" t="str" cm="1">
        <f t="array" ref="E1551">_xlfn.IFS(D1551&lt;5.7,"Normal",D1551&lt;=6.4,"Prediabetes",D1551&gt;=6.5,"Diabetes")</f>
        <v>Prediabetes</v>
      </c>
      <c r="F1551" s="3" t="s">
        <v>2379</v>
      </c>
      <c r="G1551" s="3" t="s">
        <v>2379</v>
      </c>
      <c r="H1551" s="3" t="s">
        <v>2379</v>
      </c>
      <c r="I1551" s="1" t="s">
        <v>2380</v>
      </c>
      <c r="J1551">
        <v>0</v>
      </c>
      <c r="K1551" s="3" t="s">
        <v>2379</v>
      </c>
      <c r="P1551" s="3"/>
    </row>
    <row r="1552" spans="1:16" x14ac:dyDescent="0.25">
      <c r="A1552" s="3" t="s">
        <v>819</v>
      </c>
      <c r="B1552">
        <v>28.594999999999999</v>
      </c>
      <c r="C1552" t="str" cm="1">
        <f t="array" ref="C1552">_xlfn.IFS(B1552&lt;=18.5,  "Underweight",B1552&lt;=24.9,"Normal weight",B1552&lt;=29.9, "Over weight",B1552&gt;=30,"Obesity")</f>
        <v>Over weight</v>
      </c>
      <c r="D1552">
        <v>8.5299999999999994</v>
      </c>
      <c r="E1552" t="str" cm="1">
        <f t="array" ref="E1552">_xlfn.IFS(D1552&lt;5.7,"Normal",D1552&lt;=6.4,"Prediabetes",D1552&gt;=6.5,"Diabetes")</f>
        <v>Diabetes</v>
      </c>
      <c r="F1552" s="3" t="s">
        <v>2382</v>
      </c>
      <c r="G1552" s="3" t="s">
        <v>2379</v>
      </c>
      <c r="H1552" s="3" t="s">
        <v>2379</v>
      </c>
      <c r="I1552" s="1">
        <v>1</v>
      </c>
      <c r="J1552">
        <v>1</v>
      </c>
      <c r="K1552" s="3" t="s">
        <v>2379</v>
      </c>
      <c r="P1552" s="3"/>
    </row>
    <row r="1553" spans="1:16" x14ac:dyDescent="0.25">
      <c r="A1553" s="3" t="s">
        <v>818</v>
      </c>
      <c r="B1553">
        <v>17.8</v>
      </c>
      <c r="C1553" t="str" cm="1">
        <f t="array" ref="C1553">_xlfn.IFS(B1553&lt;=18.5,  "Underweight",B1553&lt;=24.9,"Normal weight",B1553&lt;=29.9, "Over weight",B1553&gt;=30,"Obesity")</f>
        <v>Underweight</v>
      </c>
      <c r="D1553">
        <v>5.75</v>
      </c>
      <c r="E1553" t="str" cm="1">
        <f t="array" ref="E1553">_xlfn.IFS(D1553&lt;5.7,"Normal",D1553&lt;=6.4,"Prediabetes",D1553&gt;=6.5,"Diabetes")</f>
        <v>Prediabetes</v>
      </c>
      <c r="F1553" s="3" t="s">
        <v>2382</v>
      </c>
      <c r="G1553" s="3" t="s">
        <v>2379</v>
      </c>
      <c r="H1553" s="3" t="s">
        <v>2382</v>
      </c>
      <c r="I1553" s="1">
        <v>1</v>
      </c>
      <c r="J1553">
        <v>1</v>
      </c>
      <c r="K1553" s="3" t="s">
        <v>2379</v>
      </c>
      <c r="P1553" s="3"/>
    </row>
    <row r="1554" spans="1:16" x14ac:dyDescent="0.25">
      <c r="A1554" s="3" t="s">
        <v>817</v>
      </c>
      <c r="B1554">
        <v>21.4</v>
      </c>
      <c r="C1554" t="str" cm="1">
        <f t="array" ref="C1554">_xlfn.IFS(B1554&lt;=18.5,  "Underweight",B1554&lt;=24.9,"Normal weight",B1554&lt;=29.9, "Over weight",B1554&gt;=30,"Obesity")</f>
        <v>Normal weight</v>
      </c>
      <c r="D1554">
        <v>5.6</v>
      </c>
      <c r="E1554" t="str" cm="1">
        <f t="array" ref="E1554">_xlfn.IFS(D1554&lt;5.7,"Normal",D1554&lt;=6.4,"Prediabetes",D1554&gt;=6.5,"Diabetes")</f>
        <v>Normal</v>
      </c>
      <c r="F1554" s="3" t="s">
        <v>2379</v>
      </c>
      <c r="G1554" s="3" t="s">
        <v>2379</v>
      </c>
      <c r="H1554" s="3" t="s">
        <v>2379</v>
      </c>
      <c r="I1554" s="1" t="s">
        <v>2380</v>
      </c>
      <c r="J1554">
        <v>0</v>
      </c>
      <c r="K1554" s="3" t="s">
        <v>2379</v>
      </c>
      <c r="P1554" s="3"/>
    </row>
    <row r="1555" spans="1:16" x14ac:dyDescent="0.25">
      <c r="A1555" s="3" t="s">
        <v>816</v>
      </c>
      <c r="B1555">
        <v>23.01</v>
      </c>
      <c r="C1555" t="str" cm="1">
        <f t="array" ref="C1555">_xlfn.IFS(B1555&lt;=18.5,  "Underweight",B1555&lt;=24.9,"Normal weight",B1555&lt;=29.9, "Over weight",B1555&gt;=30,"Obesity")</f>
        <v>Normal weight</v>
      </c>
      <c r="D1555">
        <v>4.68</v>
      </c>
      <c r="E1555" t="str" cm="1">
        <f t="array" ref="E1555">_xlfn.IFS(D1555&lt;5.7,"Normal",D1555&lt;=6.4,"Prediabetes",D1555&gt;=6.5,"Diabetes")</f>
        <v>Normal</v>
      </c>
      <c r="F1555" s="3" t="s">
        <v>2379</v>
      </c>
      <c r="G1555" s="3" t="s">
        <v>2379</v>
      </c>
      <c r="H1555" s="3" t="s">
        <v>2379</v>
      </c>
      <c r="I1555" s="1" t="s">
        <v>2380</v>
      </c>
      <c r="J1555">
        <v>0</v>
      </c>
      <c r="K1555" s="3" t="s">
        <v>2379</v>
      </c>
      <c r="P1555" s="3"/>
    </row>
    <row r="1556" spans="1:16" x14ac:dyDescent="0.25">
      <c r="A1556" s="3" t="s">
        <v>815</v>
      </c>
      <c r="B1556">
        <v>19.86</v>
      </c>
      <c r="C1556" t="str" cm="1">
        <f t="array" ref="C1556">_xlfn.IFS(B1556&lt;=18.5,  "Underweight",B1556&lt;=24.9,"Normal weight",B1556&lt;=29.9, "Over weight",B1556&gt;=30,"Obesity")</f>
        <v>Normal weight</v>
      </c>
      <c r="D1556">
        <v>5.62</v>
      </c>
      <c r="E1556" t="str" cm="1">
        <f t="array" ref="E1556">_xlfn.IFS(D1556&lt;5.7,"Normal",D1556&lt;=6.4,"Prediabetes",D1556&gt;=6.5,"Diabetes")</f>
        <v>Normal</v>
      </c>
      <c r="F1556" s="3" t="s">
        <v>2382</v>
      </c>
      <c r="G1556" s="3" t="s">
        <v>2379</v>
      </c>
      <c r="H1556" s="3" t="s">
        <v>2379</v>
      </c>
      <c r="I1556" s="1" t="s">
        <v>2380</v>
      </c>
      <c r="J1556">
        <v>0</v>
      </c>
      <c r="K1556" s="3" t="s">
        <v>2379</v>
      </c>
      <c r="P1556" s="3"/>
    </row>
    <row r="1557" spans="1:16" x14ac:dyDescent="0.25">
      <c r="A1557" s="3" t="s">
        <v>814</v>
      </c>
      <c r="B1557">
        <v>33.58</v>
      </c>
      <c r="C1557" t="str" cm="1">
        <f t="array" ref="C1557">_xlfn.IFS(B1557&lt;=18.5,  "Underweight",B1557&lt;=24.9,"Normal weight",B1557&lt;=29.9, "Over weight",B1557&gt;=30,"Obesity")</f>
        <v>Obesity</v>
      </c>
      <c r="D1557">
        <v>5.08</v>
      </c>
      <c r="E1557" t="str" cm="1">
        <f t="array" ref="E1557">_xlfn.IFS(D1557&lt;5.7,"Normal",D1557&lt;=6.4,"Prediabetes",D1557&gt;=6.5,"Diabetes")</f>
        <v>Normal</v>
      </c>
      <c r="F1557" s="3" t="s">
        <v>2379</v>
      </c>
      <c r="G1557" s="3" t="s">
        <v>2379</v>
      </c>
      <c r="H1557" s="3" t="s">
        <v>2379</v>
      </c>
      <c r="I1557" s="1" t="s">
        <v>2380</v>
      </c>
      <c r="J1557">
        <v>0</v>
      </c>
      <c r="K1557" s="3" t="s">
        <v>2379</v>
      </c>
      <c r="P1557" s="3"/>
    </row>
    <row r="1558" spans="1:16" x14ac:dyDescent="0.25">
      <c r="A1558" s="3" t="s">
        <v>813</v>
      </c>
      <c r="B1558">
        <v>29.81</v>
      </c>
      <c r="C1558" t="str" cm="1">
        <f t="array" ref="C1558">_xlfn.IFS(B1558&lt;=18.5,  "Underweight",B1558&lt;=24.9,"Normal weight",B1558&lt;=29.9, "Over weight",B1558&gt;=30,"Obesity")</f>
        <v>Over weight</v>
      </c>
      <c r="D1558">
        <v>5.28</v>
      </c>
      <c r="E1558" t="str" cm="1">
        <f t="array" ref="E1558">_xlfn.IFS(D1558&lt;5.7,"Normal",D1558&lt;=6.4,"Prediabetes",D1558&gt;=6.5,"Diabetes")</f>
        <v>Normal</v>
      </c>
      <c r="F1558" s="3" t="s">
        <v>2379</v>
      </c>
      <c r="G1558" s="3" t="s">
        <v>2379</v>
      </c>
      <c r="H1558" s="3" t="s">
        <v>2379</v>
      </c>
      <c r="I1558" s="1" t="s">
        <v>2380</v>
      </c>
      <c r="J1558">
        <v>0</v>
      </c>
      <c r="K1558" s="3" t="s">
        <v>2379</v>
      </c>
      <c r="P1558" s="3"/>
    </row>
    <row r="1559" spans="1:16" x14ac:dyDescent="0.25">
      <c r="A1559" s="3" t="s">
        <v>812</v>
      </c>
      <c r="B1559">
        <v>27.4</v>
      </c>
      <c r="C1559" t="str" cm="1">
        <f t="array" ref="C1559">_xlfn.IFS(B1559&lt;=18.5,  "Underweight",B1559&lt;=24.9,"Normal weight",B1559&lt;=29.9, "Over weight",B1559&gt;=30,"Obesity")</f>
        <v>Over weight</v>
      </c>
      <c r="D1559">
        <v>4.6100000000000003</v>
      </c>
      <c r="E1559" t="str" cm="1">
        <f t="array" ref="E1559">_xlfn.IFS(D1559&lt;5.7,"Normal",D1559&lt;=6.4,"Prediabetes",D1559&gt;=6.5,"Diabetes")</f>
        <v>Normal</v>
      </c>
      <c r="F1559" s="3" t="s">
        <v>2379</v>
      </c>
      <c r="G1559" s="3" t="s">
        <v>2379</v>
      </c>
      <c r="H1559" s="3" t="s">
        <v>2379</v>
      </c>
      <c r="I1559" s="1" t="s">
        <v>2380</v>
      </c>
      <c r="J1559">
        <v>0</v>
      </c>
      <c r="K1559" s="3" t="s">
        <v>2379</v>
      </c>
      <c r="P1559" s="3"/>
    </row>
    <row r="1560" spans="1:16" x14ac:dyDescent="0.25">
      <c r="A1560" s="3" t="s">
        <v>811</v>
      </c>
      <c r="B1560">
        <v>17.98</v>
      </c>
      <c r="C1560" t="str" cm="1">
        <f t="array" ref="C1560">_xlfn.IFS(B1560&lt;=18.5,  "Underweight",B1560&lt;=24.9,"Normal weight",B1560&lt;=29.9, "Over weight",B1560&gt;=30,"Obesity")</f>
        <v>Underweight</v>
      </c>
      <c r="D1560">
        <v>6.57</v>
      </c>
      <c r="E1560" t="str" cm="1">
        <f t="array" ref="E1560">_xlfn.IFS(D1560&lt;5.7,"Normal",D1560&lt;=6.4,"Prediabetes",D1560&gt;=6.5,"Diabetes")</f>
        <v>Diabetes</v>
      </c>
      <c r="F1560" s="3" t="s">
        <v>2382</v>
      </c>
      <c r="G1560" s="3" t="s">
        <v>2379</v>
      </c>
      <c r="H1560" s="3" t="s">
        <v>2379</v>
      </c>
      <c r="I1560" s="1">
        <v>2</v>
      </c>
      <c r="J1560">
        <v>2</v>
      </c>
      <c r="K1560" s="3" t="s">
        <v>2379</v>
      </c>
      <c r="P1560" s="3"/>
    </row>
    <row r="1561" spans="1:16" x14ac:dyDescent="0.25">
      <c r="A1561" s="3" t="s">
        <v>810</v>
      </c>
      <c r="B1561">
        <v>37.9</v>
      </c>
      <c r="C1561" t="str" cm="1">
        <f t="array" ref="C1561">_xlfn.IFS(B1561&lt;=18.5,  "Underweight",B1561&lt;=24.9,"Normal weight",B1561&lt;=29.9, "Over weight",B1561&gt;=30,"Obesity")</f>
        <v>Obesity</v>
      </c>
      <c r="D1561">
        <v>5.83</v>
      </c>
      <c r="E1561" t="str" cm="1">
        <f t="array" ref="E1561">_xlfn.IFS(D1561&lt;5.7,"Normal",D1561&lt;=6.4,"Prediabetes",D1561&gt;=6.5,"Diabetes")</f>
        <v>Prediabetes</v>
      </c>
      <c r="F1561" s="3" t="s">
        <v>2379</v>
      </c>
      <c r="G1561" s="3" t="s">
        <v>2379</v>
      </c>
      <c r="H1561" s="3" t="s">
        <v>2379</v>
      </c>
      <c r="I1561" s="1" t="s">
        <v>2380</v>
      </c>
      <c r="J1561">
        <v>0</v>
      </c>
      <c r="K1561" s="3" t="s">
        <v>2379</v>
      </c>
      <c r="P1561" s="3"/>
    </row>
    <row r="1562" spans="1:16" x14ac:dyDescent="0.25">
      <c r="A1562" s="3" t="s">
        <v>809</v>
      </c>
      <c r="B1562">
        <v>25.27</v>
      </c>
      <c r="C1562" t="str" cm="1">
        <f t="array" ref="C1562">_xlfn.IFS(B1562&lt;=18.5,  "Underweight",B1562&lt;=24.9,"Normal weight",B1562&lt;=29.9, "Over weight",B1562&gt;=30,"Obesity")</f>
        <v>Over weight</v>
      </c>
      <c r="D1562">
        <v>6.98</v>
      </c>
      <c r="E1562" t="str" cm="1">
        <f t="array" ref="E1562">_xlfn.IFS(D1562&lt;5.7,"Normal",D1562&lt;=6.4,"Prediabetes",D1562&gt;=6.5,"Diabetes")</f>
        <v>Diabetes</v>
      </c>
      <c r="F1562" s="3" t="s">
        <v>2382</v>
      </c>
      <c r="G1562" s="3" t="s">
        <v>2379</v>
      </c>
      <c r="H1562" s="3" t="s">
        <v>2379</v>
      </c>
      <c r="I1562" s="1" t="s">
        <v>2380</v>
      </c>
      <c r="J1562">
        <v>0</v>
      </c>
      <c r="K1562" s="3" t="s">
        <v>2379</v>
      </c>
      <c r="P1562" s="3"/>
    </row>
    <row r="1563" spans="1:16" x14ac:dyDescent="0.25">
      <c r="A1563" s="3" t="s">
        <v>808</v>
      </c>
      <c r="B1563">
        <v>29.26</v>
      </c>
      <c r="C1563" t="str" cm="1">
        <f t="array" ref="C1563">_xlfn.IFS(B1563&lt;=18.5,  "Underweight",B1563&lt;=24.9,"Normal weight",B1563&lt;=29.9, "Over weight",B1563&gt;=30,"Obesity")</f>
        <v>Over weight</v>
      </c>
      <c r="D1563">
        <v>4.03</v>
      </c>
      <c r="E1563" t="str" cm="1">
        <f t="array" ref="E1563">_xlfn.IFS(D1563&lt;5.7,"Normal",D1563&lt;=6.4,"Prediabetes",D1563&gt;=6.5,"Diabetes")</f>
        <v>Normal</v>
      </c>
      <c r="F1563" s="3" t="s">
        <v>2379</v>
      </c>
      <c r="G1563" s="3" t="s">
        <v>2379</v>
      </c>
      <c r="H1563" s="3" t="s">
        <v>2379</v>
      </c>
      <c r="I1563" s="1">
        <v>1</v>
      </c>
      <c r="J1563">
        <v>1</v>
      </c>
      <c r="K1563" s="3" t="s">
        <v>2379</v>
      </c>
      <c r="P1563" s="3"/>
    </row>
    <row r="1564" spans="1:16" x14ac:dyDescent="0.25">
      <c r="A1564" s="3" t="s">
        <v>807</v>
      </c>
      <c r="B1564">
        <v>27.835000000000001</v>
      </c>
      <c r="C1564" t="str" cm="1">
        <f t="array" ref="C1564">_xlfn.IFS(B1564&lt;=18.5,  "Underweight",B1564&lt;=24.9,"Normal weight",B1564&lt;=29.9, "Over weight",B1564&gt;=30,"Obesity")</f>
        <v>Over weight</v>
      </c>
      <c r="D1564">
        <v>4.5599999999999996</v>
      </c>
      <c r="E1564" t="str" cm="1">
        <f t="array" ref="E1564">_xlfn.IFS(D1564&lt;5.7,"Normal",D1564&lt;=6.4,"Prediabetes",D1564&gt;=6.5,"Diabetes")</f>
        <v>Normal</v>
      </c>
      <c r="F1564" s="3" t="s">
        <v>2379</v>
      </c>
      <c r="G1564" s="3" t="s">
        <v>2379</v>
      </c>
      <c r="H1564" s="3" t="s">
        <v>2379</v>
      </c>
      <c r="I1564" s="1">
        <v>1</v>
      </c>
      <c r="J1564">
        <v>1</v>
      </c>
      <c r="K1564" s="3" t="s">
        <v>2379</v>
      </c>
      <c r="P1564" s="3"/>
    </row>
    <row r="1565" spans="1:16" x14ac:dyDescent="0.25">
      <c r="A1565" s="3" t="s">
        <v>806</v>
      </c>
      <c r="B1565">
        <v>46.53</v>
      </c>
      <c r="C1565" t="str" cm="1">
        <f t="array" ref="C1565">_xlfn.IFS(B1565&lt;=18.5,  "Underweight",B1565&lt;=24.9,"Normal weight",B1565&lt;=29.9, "Over weight",B1565&gt;=30,"Obesity")</f>
        <v>Obesity</v>
      </c>
      <c r="D1565">
        <v>5.38</v>
      </c>
      <c r="E1565" t="str" cm="1">
        <f t="array" ref="E1565">_xlfn.IFS(D1565&lt;5.7,"Normal",D1565&lt;=6.4,"Prediabetes",D1565&gt;=6.5,"Diabetes")</f>
        <v>Normal</v>
      </c>
      <c r="F1565" s="3" t="s">
        <v>2382</v>
      </c>
      <c r="G1565" s="3" t="s">
        <v>2379</v>
      </c>
      <c r="H1565" s="3" t="s">
        <v>2379</v>
      </c>
      <c r="I1565" s="1" t="s">
        <v>2380</v>
      </c>
      <c r="J1565">
        <v>0</v>
      </c>
      <c r="K1565" s="3" t="s">
        <v>2379</v>
      </c>
      <c r="P1565" s="3"/>
    </row>
    <row r="1566" spans="1:16" x14ac:dyDescent="0.25">
      <c r="A1566" s="3" t="s">
        <v>805</v>
      </c>
      <c r="B1566">
        <v>20.58</v>
      </c>
      <c r="C1566" t="str" cm="1">
        <f t="array" ref="C1566">_xlfn.IFS(B1566&lt;=18.5,  "Underweight",B1566&lt;=24.9,"Normal weight",B1566&lt;=29.9, "Over weight",B1566&gt;=30,"Obesity")</f>
        <v>Normal weight</v>
      </c>
      <c r="D1566">
        <v>11.04</v>
      </c>
      <c r="E1566" t="str" cm="1">
        <f t="array" ref="E1566">_xlfn.IFS(D1566&lt;5.7,"Normal",D1566&lt;=6.4,"Prediabetes",D1566&gt;=6.5,"Diabetes")</f>
        <v>Diabetes</v>
      </c>
      <c r="F1566" s="3" t="s">
        <v>2382</v>
      </c>
      <c r="G1566" s="3" t="s">
        <v>2379</v>
      </c>
      <c r="H1566" s="3" t="s">
        <v>2379</v>
      </c>
      <c r="I1566" s="1">
        <v>1</v>
      </c>
      <c r="J1566">
        <v>1</v>
      </c>
      <c r="K1566" s="3" t="s">
        <v>2379</v>
      </c>
      <c r="P1566" s="3"/>
    </row>
    <row r="1567" spans="1:16" x14ac:dyDescent="0.25">
      <c r="A1567" s="3" t="s">
        <v>804</v>
      </c>
      <c r="B1567">
        <v>19.53</v>
      </c>
      <c r="C1567" t="str" cm="1">
        <f t="array" ref="C1567">_xlfn.IFS(B1567&lt;=18.5,  "Underweight",B1567&lt;=24.9,"Normal weight",B1567&lt;=29.9, "Over weight",B1567&gt;=30,"Obesity")</f>
        <v>Normal weight</v>
      </c>
      <c r="D1567">
        <v>6.09</v>
      </c>
      <c r="E1567" t="str" cm="1">
        <f t="array" ref="E1567">_xlfn.IFS(D1567&lt;5.7,"Normal",D1567&lt;=6.4,"Prediabetes",D1567&gt;=6.5,"Diabetes")</f>
        <v>Prediabetes</v>
      </c>
      <c r="F1567" s="3" t="s">
        <v>2382</v>
      </c>
      <c r="G1567" s="3" t="s">
        <v>2379</v>
      </c>
      <c r="H1567" s="3" t="s">
        <v>2379</v>
      </c>
      <c r="I1567" s="1" t="s">
        <v>2380</v>
      </c>
      <c r="J1567">
        <v>0</v>
      </c>
      <c r="K1567" s="3" t="s">
        <v>2379</v>
      </c>
      <c r="P1567" s="3"/>
    </row>
    <row r="1568" spans="1:16" x14ac:dyDescent="0.25">
      <c r="A1568" s="3" t="s">
        <v>803</v>
      </c>
      <c r="B1568">
        <v>27.7</v>
      </c>
      <c r="C1568" t="str" cm="1">
        <f t="array" ref="C1568">_xlfn.IFS(B1568&lt;=18.5,  "Underweight",B1568&lt;=24.9,"Normal weight",B1568&lt;=29.9, "Over weight",B1568&gt;=30,"Obesity")</f>
        <v>Over weight</v>
      </c>
      <c r="D1568">
        <v>4.71</v>
      </c>
      <c r="E1568" t="str" cm="1">
        <f t="array" ref="E1568">_xlfn.IFS(D1568&lt;5.7,"Normal",D1568&lt;=6.4,"Prediabetes",D1568&gt;=6.5,"Diabetes")</f>
        <v>Normal</v>
      </c>
      <c r="F1568" s="3" t="s">
        <v>2379</v>
      </c>
      <c r="G1568" s="3" t="s">
        <v>2379</v>
      </c>
      <c r="H1568" s="3" t="s">
        <v>2379</v>
      </c>
      <c r="I1568" s="1">
        <v>1</v>
      </c>
      <c r="J1568">
        <v>1</v>
      </c>
      <c r="K1568" s="3" t="s">
        <v>2379</v>
      </c>
      <c r="P1568" s="3"/>
    </row>
    <row r="1569" spans="1:16" x14ac:dyDescent="0.25">
      <c r="A1569" s="3" t="s">
        <v>802</v>
      </c>
      <c r="B1569">
        <v>18.920000000000002</v>
      </c>
      <c r="C1569" t="str" cm="1">
        <f t="array" ref="C1569">_xlfn.IFS(B1569&lt;=18.5,  "Underweight",B1569&lt;=24.9,"Normal weight",B1569&lt;=29.9, "Over weight",B1569&gt;=30,"Obesity")</f>
        <v>Normal weight</v>
      </c>
      <c r="D1569">
        <v>8.18</v>
      </c>
      <c r="E1569" t="str" cm="1">
        <f t="array" ref="E1569">_xlfn.IFS(D1569&lt;5.7,"Normal",D1569&lt;=6.4,"Prediabetes",D1569&gt;=6.5,"Diabetes")</f>
        <v>Diabetes</v>
      </c>
      <c r="F1569" s="3" t="s">
        <v>2379</v>
      </c>
      <c r="G1569" s="3" t="s">
        <v>2379</v>
      </c>
      <c r="H1569" s="3" t="s">
        <v>2379</v>
      </c>
      <c r="I1569" s="1" t="s">
        <v>2380</v>
      </c>
      <c r="J1569">
        <v>0</v>
      </c>
      <c r="K1569" s="3" t="s">
        <v>2379</v>
      </c>
      <c r="P1569" s="3"/>
    </row>
    <row r="1570" spans="1:16" x14ac:dyDescent="0.25">
      <c r="A1570" s="3" t="s">
        <v>801</v>
      </c>
      <c r="B1570">
        <v>17.760000000000002</v>
      </c>
      <c r="C1570" t="str" cm="1">
        <f t="array" ref="C1570">_xlfn.IFS(B1570&lt;=18.5,  "Underweight",B1570&lt;=24.9,"Normal weight",B1570&lt;=29.9, "Over weight",B1570&gt;=30,"Obesity")</f>
        <v>Underweight</v>
      </c>
      <c r="D1570">
        <v>11.18</v>
      </c>
      <c r="E1570" t="str" cm="1">
        <f t="array" ref="E1570">_xlfn.IFS(D1570&lt;5.7,"Normal",D1570&lt;=6.4,"Prediabetes",D1570&gt;=6.5,"Diabetes")</f>
        <v>Diabetes</v>
      </c>
      <c r="F1570" s="3" t="s">
        <v>2382</v>
      </c>
      <c r="G1570" s="3" t="s">
        <v>2379</v>
      </c>
      <c r="H1570" s="3" t="s">
        <v>2379</v>
      </c>
      <c r="I1570" s="1">
        <v>2</v>
      </c>
      <c r="J1570">
        <v>2</v>
      </c>
      <c r="K1570" s="3" t="s">
        <v>2379</v>
      </c>
      <c r="P1570" s="3"/>
    </row>
    <row r="1571" spans="1:16" x14ac:dyDescent="0.25">
      <c r="A1571" s="3" t="s">
        <v>800</v>
      </c>
      <c r="B1571">
        <v>29.83</v>
      </c>
      <c r="C1571" t="str" cm="1">
        <f t="array" ref="C1571">_xlfn.IFS(B1571&lt;=18.5,  "Underweight",B1571&lt;=24.9,"Normal weight",B1571&lt;=29.9, "Over weight",B1571&gt;=30,"Obesity")</f>
        <v>Over weight</v>
      </c>
      <c r="D1571">
        <v>5.03</v>
      </c>
      <c r="E1571" t="str" cm="1">
        <f t="array" ref="E1571">_xlfn.IFS(D1571&lt;5.7,"Normal",D1571&lt;=6.4,"Prediabetes",D1571&gt;=6.5,"Diabetes")</f>
        <v>Normal</v>
      </c>
      <c r="F1571" s="3" t="s">
        <v>2382</v>
      </c>
      <c r="G1571" s="3" t="s">
        <v>2379</v>
      </c>
      <c r="H1571" s="3" t="s">
        <v>2379</v>
      </c>
      <c r="I1571" s="1" t="s">
        <v>2380</v>
      </c>
      <c r="J1571">
        <v>0</v>
      </c>
      <c r="K1571" s="3" t="s">
        <v>2379</v>
      </c>
      <c r="P1571" s="3"/>
    </row>
    <row r="1572" spans="1:16" x14ac:dyDescent="0.25">
      <c r="A1572" s="3" t="s">
        <v>799</v>
      </c>
      <c r="B1572">
        <v>23.465</v>
      </c>
      <c r="C1572" t="str" cm="1">
        <f t="array" ref="C1572">_xlfn.IFS(B1572&lt;=18.5,  "Underweight",B1572&lt;=24.9,"Normal weight",B1572&lt;=29.9, "Over weight",B1572&gt;=30,"Obesity")</f>
        <v>Normal weight</v>
      </c>
      <c r="D1572">
        <v>5.56</v>
      </c>
      <c r="E1572" t="str" cm="1">
        <f t="array" ref="E1572">_xlfn.IFS(D1572&lt;5.7,"Normal",D1572&lt;=6.4,"Prediabetes",D1572&gt;=6.5,"Diabetes")</f>
        <v>Normal</v>
      </c>
      <c r="F1572" s="3" t="s">
        <v>2379</v>
      </c>
      <c r="G1572" s="3" t="s">
        <v>2379</v>
      </c>
      <c r="H1572" s="3" t="s">
        <v>2379</v>
      </c>
      <c r="I1572" s="1">
        <v>1</v>
      </c>
      <c r="J1572">
        <v>1</v>
      </c>
      <c r="K1572" s="3" t="s">
        <v>2379</v>
      </c>
      <c r="P1572" s="3"/>
    </row>
    <row r="1573" spans="1:16" x14ac:dyDescent="0.25">
      <c r="A1573" s="3" t="s">
        <v>798</v>
      </c>
      <c r="B1573">
        <v>29.355</v>
      </c>
      <c r="C1573" t="str" cm="1">
        <f t="array" ref="C1573">_xlfn.IFS(B1573&lt;=18.5,  "Underweight",B1573&lt;=24.9,"Normal weight",B1573&lt;=29.9, "Over weight",B1573&gt;=30,"Obesity")</f>
        <v>Over weight</v>
      </c>
      <c r="D1573">
        <v>4.33</v>
      </c>
      <c r="E1573" t="str" cm="1">
        <f t="array" ref="E1573">_xlfn.IFS(D1573&lt;5.7,"Normal",D1573&lt;=6.4,"Prediabetes",D1573&gt;=6.5,"Diabetes")</f>
        <v>Normal</v>
      </c>
      <c r="F1573" s="3" t="s">
        <v>2379</v>
      </c>
      <c r="G1573" s="3" t="s">
        <v>2379</v>
      </c>
      <c r="H1573" s="3" t="s">
        <v>2379</v>
      </c>
      <c r="I1573" s="1" t="s">
        <v>2380</v>
      </c>
      <c r="J1573">
        <v>0</v>
      </c>
      <c r="K1573" s="3" t="s">
        <v>2379</v>
      </c>
      <c r="P1573" s="3"/>
    </row>
    <row r="1574" spans="1:16" x14ac:dyDescent="0.25">
      <c r="A1574" s="3" t="s">
        <v>797</v>
      </c>
      <c r="B1574">
        <v>35.49</v>
      </c>
      <c r="C1574" t="str" cm="1">
        <f t="array" ref="C1574">_xlfn.IFS(B1574&lt;=18.5,  "Underweight",B1574&lt;=24.9,"Normal weight",B1574&lt;=29.9, "Over weight",B1574&gt;=30,"Obesity")</f>
        <v>Obesity</v>
      </c>
      <c r="D1574">
        <v>5.21</v>
      </c>
      <c r="E1574" t="str" cm="1">
        <f t="array" ref="E1574">_xlfn.IFS(D1574&lt;5.7,"Normal",D1574&lt;=6.4,"Prediabetes",D1574&gt;=6.5,"Diabetes")</f>
        <v>Normal</v>
      </c>
      <c r="F1574" s="3" t="s">
        <v>2382</v>
      </c>
      <c r="G1574" s="3" t="s">
        <v>2379</v>
      </c>
      <c r="H1574" s="3" t="s">
        <v>2382</v>
      </c>
      <c r="I1574" s="1">
        <v>1</v>
      </c>
      <c r="J1574">
        <v>1</v>
      </c>
      <c r="K1574" s="3" t="s">
        <v>2379</v>
      </c>
      <c r="P1574" s="3"/>
    </row>
    <row r="1575" spans="1:16" x14ac:dyDescent="0.25">
      <c r="A1575" s="3" t="s">
        <v>796</v>
      </c>
      <c r="B1575">
        <v>26.315000000000001</v>
      </c>
      <c r="C1575" t="str" cm="1">
        <f t="array" ref="C1575">_xlfn.IFS(B1575&lt;=18.5,  "Underweight",B1575&lt;=24.9,"Normal weight",B1575&lt;=29.9, "Over weight",B1575&gt;=30,"Obesity")</f>
        <v>Over weight</v>
      </c>
      <c r="D1575">
        <v>5.89</v>
      </c>
      <c r="E1575" t="str" cm="1">
        <f t="array" ref="E1575">_xlfn.IFS(D1575&lt;5.7,"Normal",D1575&lt;=6.4,"Prediabetes",D1575&gt;=6.5,"Diabetes")</f>
        <v>Prediabetes</v>
      </c>
      <c r="F1575" s="3" t="s">
        <v>2379</v>
      </c>
      <c r="G1575" s="3" t="s">
        <v>2379</v>
      </c>
      <c r="H1575" s="3" t="s">
        <v>2379</v>
      </c>
      <c r="I1575" s="1" t="s">
        <v>2380</v>
      </c>
      <c r="J1575">
        <v>0</v>
      </c>
      <c r="K1575" s="3" t="s">
        <v>2379</v>
      </c>
      <c r="P1575" s="3"/>
    </row>
    <row r="1576" spans="1:16" x14ac:dyDescent="0.25">
      <c r="A1576" s="3" t="s">
        <v>795</v>
      </c>
      <c r="B1576">
        <v>19.79</v>
      </c>
      <c r="C1576" t="str" cm="1">
        <f t="array" ref="C1576">_xlfn.IFS(B1576&lt;=18.5,  "Underweight",B1576&lt;=24.9,"Normal weight",B1576&lt;=29.9, "Over weight",B1576&gt;=30,"Obesity")</f>
        <v>Normal weight</v>
      </c>
      <c r="D1576">
        <v>4.8099999999999996</v>
      </c>
      <c r="E1576" t="str" cm="1">
        <f t="array" ref="E1576">_xlfn.IFS(D1576&lt;5.7,"Normal",D1576&lt;=6.4,"Prediabetes",D1576&gt;=6.5,"Diabetes")</f>
        <v>Normal</v>
      </c>
      <c r="F1576" s="3" t="s">
        <v>2382</v>
      </c>
      <c r="G1576" s="3" t="s">
        <v>2379</v>
      </c>
      <c r="H1576" s="3" t="s">
        <v>2379</v>
      </c>
      <c r="I1576" s="1" t="s">
        <v>2380</v>
      </c>
      <c r="J1576">
        <v>0</v>
      </c>
      <c r="K1576" s="3" t="s">
        <v>2379</v>
      </c>
      <c r="P1576" s="3"/>
    </row>
    <row r="1577" spans="1:16" x14ac:dyDescent="0.25">
      <c r="A1577" s="3" t="s">
        <v>794</v>
      </c>
      <c r="B1577">
        <v>40.564999999999998</v>
      </c>
      <c r="C1577" t="str" cm="1">
        <f t="array" ref="C1577">_xlfn.IFS(B1577&lt;=18.5,  "Underweight",B1577&lt;=24.9,"Normal weight",B1577&lt;=29.9, "Over weight",B1577&gt;=30,"Obesity")</f>
        <v>Obesity</v>
      </c>
      <c r="D1577">
        <v>5.66</v>
      </c>
      <c r="E1577" t="str" cm="1">
        <f t="array" ref="E1577">_xlfn.IFS(D1577&lt;5.7,"Normal",D1577&lt;=6.4,"Prediabetes",D1577&gt;=6.5,"Diabetes")</f>
        <v>Normal</v>
      </c>
      <c r="F1577" s="3" t="s">
        <v>2379</v>
      </c>
      <c r="G1577" s="3" t="s">
        <v>2379</v>
      </c>
      <c r="H1577" s="3" t="s">
        <v>2379</v>
      </c>
      <c r="I1577" s="1">
        <v>1</v>
      </c>
      <c r="J1577">
        <v>1</v>
      </c>
      <c r="K1577" s="3" t="s">
        <v>2379</v>
      </c>
      <c r="P1577" s="3"/>
    </row>
    <row r="1578" spans="1:16" x14ac:dyDescent="0.25">
      <c r="A1578" s="3" t="s">
        <v>793</v>
      </c>
      <c r="B1578">
        <v>18.03</v>
      </c>
      <c r="C1578" t="str" cm="1">
        <f t="array" ref="C1578">_xlfn.IFS(B1578&lt;=18.5,  "Underweight",B1578&lt;=24.9,"Normal weight",B1578&lt;=29.9, "Over weight",B1578&gt;=30,"Obesity")</f>
        <v>Underweight</v>
      </c>
      <c r="D1578">
        <v>10.66</v>
      </c>
      <c r="E1578" t="str" cm="1">
        <f t="array" ref="E1578">_xlfn.IFS(D1578&lt;5.7,"Normal",D1578&lt;=6.4,"Prediabetes",D1578&gt;=6.5,"Diabetes")</f>
        <v>Diabetes</v>
      </c>
      <c r="F1578" s="3" t="s">
        <v>2382</v>
      </c>
      <c r="G1578" s="3" t="s">
        <v>2379</v>
      </c>
      <c r="H1578" s="3" t="s">
        <v>2379</v>
      </c>
      <c r="I1578" s="1">
        <v>2</v>
      </c>
      <c r="J1578">
        <v>2</v>
      </c>
      <c r="K1578" s="3" t="s">
        <v>2379</v>
      </c>
      <c r="P1578" s="3"/>
    </row>
    <row r="1579" spans="1:16" x14ac:dyDescent="0.25">
      <c r="A1579" s="3" t="s">
        <v>792</v>
      </c>
      <c r="B1579">
        <v>34.65</v>
      </c>
      <c r="C1579" t="str" cm="1">
        <f t="array" ref="C1579">_xlfn.IFS(B1579&lt;=18.5,  "Underweight",B1579&lt;=24.9,"Normal weight",B1579&lt;=29.9, "Over weight",B1579&gt;=30,"Obesity")</f>
        <v>Obesity</v>
      </c>
      <c r="D1579">
        <v>5.98</v>
      </c>
      <c r="E1579" t="str" cm="1">
        <f t="array" ref="E1579">_xlfn.IFS(D1579&lt;5.7,"Normal",D1579&lt;=6.4,"Prediabetes",D1579&gt;=6.5,"Diabetes")</f>
        <v>Prediabetes</v>
      </c>
      <c r="F1579" s="3" t="s">
        <v>2382</v>
      </c>
      <c r="G1579" s="3" t="s">
        <v>2379</v>
      </c>
      <c r="H1579" s="3" t="s">
        <v>2379</v>
      </c>
      <c r="I1579" s="1" t="s">
        <v>2380</v>
      </c>
      <c r="J1579">
        <v>0</v>
      </c>
      <c r="K1579" s="3" t="s">
        <v>2379</v>
      </c>
      <c r="P1579" s="3"/>
    </row>
    <row r="1580" spans="1:16" x14ac:dyDescent="0.25">
      <c r="A1580" s="3" t="s">
        <v>791</v>
      </c>
      <c r="B1580">
        <v>42.94</v>
      </c>
      <c r="C1580" t="str" cm="1">
        <f t="array" ref="C1580">_xlfn.IFS(B1580&lt;=18.5,  "Underweight",B1580&lt;=24.9,"Normal weight",B1580&lt;=29.9, "Over weight",B1580&gt;=30,"Obesity")</f>
        <v>Obesity</v>
      </c>
      <c r="D1580">
        <v>4.34</v>
      </c>
      <c r="E1580" t="str" cm="1">
        <f t="array" ref="E1580">_xlfn.IFS(D1580&lt;5.7,"Normal",D1580&lt;=6.4,"Prediabetes",D1580&gt;=6.5,"Diabetes")</f>
        <v>Normal</v>
      </c>
      <c r="F1580" s="3" t="s">
        <v>2379</v>
      </c>
      <c r="G1580" s="3" t="s">
        <v>2379</v>
      </c>
      <c r="H1580" s="3" t="s">
        <v>2379</v>
      </c>
      <c r="I1580" s="1" t="s">
        <v>2380</v>
      </c>
      <c r="J1580">
        <v>0</v>
      </c>
      <c r="K1580" s="3" t="s">
        <v>2379</v>
      </c>
      <c r="P1580" s="3"/>
    </row>
    <row r="1581" spans="1:16" x14ac:dyDescent="0.25">
      <c r="A1581" s="3" t="s">
        <v>790</v>
      </c>
      <c r="B1581">
        <v>31.254999999999999</v>
      </c>
      <c r="C1581" t="str" cm="1">
        <f t="array" ref="C1581">_xlfn.IFS(B1581&lt;=18.5,  "Underweight",B1581&lt;=24.9,"Normal weight",B1581&lt;=29.9, "Over weight",B1581&gt;=30,"Obesity")</f>
        <v>Obesity</v>
      </c>
      <c r="D1581">
        <v>5.17</v>
      </c>
      <c r="E1581" t="str" cm="1">
        <f t="array" ref="E1581">_xlfn.IFS(D1581&lt;5.7,"Normal",D1581&lt;=6.4,"Prediabetes",D1581&gt;=6.5,"Diabetes")</f>
        <v>Normal</v>
      </c>
      <c r="F1581" s="3" t="s">
        <v>2379</v>
      </c>
      <c r="G1581" s="3" t="s">
        <v>2379</v>
      </c>
      <c r="H1581" s="3" t="s">
        <v>2379</v>
      </c>
      <c r="I1581" s="1" t="s">
        <v>2380</v>
      </c>
      <c r="J1581">
        <v>0</v>
      </c>
      <c r="K1581" s="3" t="s">
        <v>2379</v>
      </c>
      <c r="P1581" s="3"/>
    </row>
    <row r="1582" spans="1:16" x14ac:dyDescent="0.25">
      <c r="A1582" s="3" t="s">
        <v>789</v>
      </c>
      <c r="B1582">
        <v>45.43</v>
      </c>
      <c r="C1582" t="str" cm="1">
        <f t="array" ref="C1582">_xlfn.IFS(B1582&lt;=18.5,  "Underweight",B1582&lt;=24.9,"Normal weight",B1582&lt;=29.9, "Over weight",B1582&gt;=30,"Obesity")</f>
        <v>Obesity</v>
      </c>
      <c r="D1582">
        <v>4.2300000000000004</v>
      </c>
      <c r="E1582" t="str" cm="1">
        <f t="array" ref="E1582">_xlfn.IFS(D1582&lt;5.7,"Normal",D1582&lt;=6.4,"Prediabetes",D1582&gt;=6.5,"Diabetes")</f>
        <v>Normal</v>
      </c>
      <c r="F1582" s="3" t="s">
        <v>2382</v>
      </c>
      <c r="G1582" s="3" t="s">
        <v>2379</v>
      </c>
      <c r="H1582" s="3" t="s">
        <v>2382</v>
      </c>
      <c r="I1582" s="1">
        <v>1</v>
      </c>
      <c r="J1582">
        <v>1</v>
      </c>
      <c r="K1582" s="3" t="s">
        <v>2379</v>
      </c>
      <c r="P1582" s="3"/>
    </row>
    <row r="1583" spans="1:16" x14ac:dyDescent="0.25">
      <c r="A1583" s="3" t="s">
        <v>788</v>
      </c>
      <c r="B1583">
        <v>32.340000000000003</v>
      </c>
      <c r="C1583" t="str" cm="1">
        <f t="array" ref="C1583">_xlfn.IFS(B1583&lt;=18.5,  "Underweight",B1583&lt;=24.9,"Normal weight",B1583&lt;=29.9, "Over weight",B1583&gt;=30,"Obesity")</f>
        <v>Obesity</v>
      </c>
      <c r="D1583">
        <v>4.88</v>
      </c>
      <c r="E1583" t="str" cm="1">
        <f t="array" ref="E1583">_xlfn.IFS(D1583&lt;5.7,"Normal",D1583&lt;=6.4,"Prediabetes",D1583&gt;=6.5,"Diabetes")</f>
        <v>Normal</v>
      </c>
      <c r="F1583" s="3" t="s">
        <v>2382</v>
      </c>
      <c r="G1583" s="3" t="s">
        <v>2379</v>
      </c>
      <c r="H1583" s="3" t="s">
        <v>2382</v>
      </c>
      <c r="I1583" s="1">
        <v>1</v>
      </c>
      <c r="J1583">
        <v>1</v>
      </c>
      <c r="K1583" s="3" t="s">
        <v>2379</v>
      </c>
      <c r="P1583" s="3"/>
    </row>
    <row r="1584" spans="1:16" x14ac:dyDescent="0.25">
      <c r="A1584" s="3" t="s">
        <v>787</v>
      </c>
      <c r="B1584">
        <v>25.46</v>
      </c>
      <c r="C1584" t="str" cm="1">
        <f t="array" ref="C1584">_xlfn.IFS(B1584&lt;=18.5,  "Underweight",B1584&lt;=24.9,"Normal weight",B1584&lt;=29.9, "Over weight",B1584&gt;=30,"Obesity")</f>
        <v>Over weight</v>
      </c>
      <c r="D1584">
        <v>9.7100000000000009</v>
      </c>
      <c r="E1584" t="str" cm="1">
        <f t="array" ref="E1584">_xlfn.IFS(D1584&lt;5.7,"Normal",D1584&lt;=6.4,"Prediabetes",D1584&gt;=6.5,"Diabetes")</f>
        <v>Diabetes</v>
      </c>
      <c r="F1584" s="3" t="s">
        <v>2382</v>
      </c>
      <c r="G1584" s="3" t="s">
        <v>2379</v>
      </c>
      <c r="H1584" s="3" t="s">
        <v>2379</v>
      </c>
      <c r="I1584" s="1">
        <v>1</v>
      </c>
      <c r="J1584">
        <v>1</v>
      </c>
      <c r="K1584" s="3" t="s">
        <v>2379</v>
      </c>
      <c r="P1584" s="3"/>
    </row>
    <row r="1585" spans="1:16" x14ac:dyDescent="0.25">
      <c r="A1585" s="3" t="s">
        <v>786</v>
      </c>
      <c r="B1585">
        <v>37.145000000000003</v>
      </c>
      <c r="C1585" t="str" cm="1">
        <f t="array" ref="C1585">_xlfn.IFS(B1585&lt;=18.5,  "Underweight",B1585&lt;=24.9,"Normal weight",B1585&lt;=29.9, "Over weight",B1585&gt;=30,"Obesity")</f>
        <v>Obesity</v>
      </c>
      <c r="D1585">
        <v>5.32</v>
      </c>
      <c r="E1585" t="str" cm="1">
        <f t="array" ref="E1585">_xlfn.IFS(D1585&lt;5.7,"Normal",D1585&lt;=6.4,"Prediabetes",D1585&gt;=6.5,"Diabetes")</f>
        <v>Normal</v>
      </c>
      <c r="F1585" s="3" t="s">
        <v>2379</v>
      </c>
      <c r="G1585" s="3" t="s">
        <v>2379</v>
      </c>
      <c r="H1585" s="3" t="s">
        <v>2379</v>
      </c>
      <c r="I1585" s="1" t="s">
        <v>2380</v>
      </c>
      <c r="J1585">
        <v>0</v>
      </c>
      <c r="K1585" s="3" t="s">
        <v>2379</v>
      </c>
      <c r="P1585" s="3"/>
    </row>
    <row r="1586" spans="1:16" x14ac:dyDescent="0.25">
      <c r="A1586" s="3" t="s">
        <v>785</v>
      </c>
      <c r="B1586">
        <v>30.8</v>
      </c>
      <c r="C1586" t="str" cm="1">
        <f t="array" ref="C1586">_xlfn.IFS(B1586&lt;=18.5,  "Underweight",B1586&lt;=24.9,"Normal weight",B1586&lt;=29.9, "Over weight",B1586&gt;=30,"Obesity")</f>
        <v>Obesity</v>
      </c>
      <c r="D1586">
        <v>5.83</v>
      </c>
      <c r="E1586" t="str" cm="1">
        <f t="array" ref="E1586">_xlfn.IFS(D1586&lt;5.7,"Normal",D1586&lt;=6.4,"Prediabetes",D1586&gt;=6.5,"Diabetes")</f>
        <v>Prediabetes</v>
      </c>
      <c r="F1586" s="3" t="s">
        <v>2382</v>
      </c>
      <c r="G1586" s="3" t="s">
        <v>2379</v>
      </c>
      <c r="H1586" s="3" t="s">
        <v>2379</v>
      </c>
      <c r="I1586" s="1" t="s">
        <v>2380</v>
      </c>
      <c r="J1586">
        <v>0</v>
      </c>
      <c r="K1586" s="3" t="s">
        <v>2379</v>
      </c>
      <c r="P1586" s="3"/>
    </row>
    <row r="1587" spans="1:16" x14ac:dyDescent="0.25">
      <c r="A1587" s="3" t="s">
        <v>784</v>
      </c>
      <c r="B1587">
        <v>29.5</v>
      </c>
      <c r="C1587" t="str" cm="1">
        <f t="array" ref="C1587">_xlfn.IFS(B1587&lt;=18.5,  "Underweight",B1587&lt;=24.9,"Normal weight",B1587&lt;=29.9, "Over weight",B1587&gt;=30,"Obesity")</f>
        <v>Over weight</v>
      </c>
      <c r="D1587">
        <v>5.54</v>
      </c>
      <c r="E1587" t="str" cm="1">
        <f t="array" ref="E1587">_xlfn.IFS(D1587&lt;5.7,"Normal",D1587&lt;=6.4,"Prediabetes",D1587&gt;=6.5,"Diabetes")</f>
        <v>Normal</v>
      </c>
      <c r="F1587" s="3" t="s">
        <v>2382</v>
      </c>
      <c r="G1587" s="3" t="s">
        <v>2379</v>
      </c>
      <c r="H1587" s="3" t="s">
        <v>2379</v>
      </c>
      <c r="I1587" s="1" t="s">
        <v>2380</v>
      </c>
      <c r="J1587">
        <v>0</v>
      </c>
      <c r="K1587" s="3" t="s">
        <v>2379</v>
      </c>
      <c r="P1587" s="3"/>
    </row>
    <row r="1588" spans="1:16" x14ac:dyDescent="0.25">
      <c r="A1588" s="3" t="s">
        <v>783</v>
      </c>
      <c r="B1588">
        <v>43.39</v>
      </c>
      <c r="C1588" t="str" cm="1">
        <f t="array" ref="C1588">_xlfn.IFS(B1588&lt;=18.5,  "Underweight",B1588&lt;=24.9,"Normal weight",B1588&lt;=29.9, "Over weight",B1588&gt;=30,"Obesity")</f>
        <v>Obesity</v>
      </c>
      <c r="D1588">
        <v>5.85</v>
      </c>
      <c r="E1588" t="str" cm="1">
        <f t="array" ref="E1588">_xlfn.IFS(D1588&lt;5.7,"Normal",D1588&lt;=6.4,"Prediabetes",D1588&gt;=6.5,"Diabetes")</f>
        <v>Prediabetes</v>
      </c>
      <c r="F1588" s="3" t="s">
        <v>2379</v>
      </c>
      <c r="G1588" s="3" t="s">
        <v>2381</v>
      </c>
      <c r="H1588" s="3" t="s">
        <v>2379</v>
      </c>
      <c r="I1588" s="1">
        <v>1</v>
      </c>
      <c r="J1588">
        <v>1</v>
      </c>
      <c r="K1588" s="3" t="s">
        <v>2379</v>
      </c>
      <c r="P1588" s="3"/>
    </row>
    <row r="1589" spans="1:16" x14ac:dyDescent="0.25">
      <c r="A1589" s="3" t="s">
        <v>782</v>
      </c>
      <c r="B1589">
        <v>15.08</v>
      </c>
      <c r="C1589" t="str" cm="1">
        <f t="array" ref="C1589">_xlfn.IFS(B1589&lt;=18.5,  "Underweight",B1589&lt;=24.9,"Normal weight",B1589&lt;=29.9, "Over weight",B1589&gt;=30,"Obesity")</f>
        <v>Underweight</v>
      </c>
      <c r="D1589">
        <v>4.8499999999999996</v>
      </c>
      <c r="E1589" t="str" cm="1">
        <f t="array" ref="E1589">_xlfn.IFS(D1589&lt;5.7,"Normal",D1589&lt;=6.4,"Prediabetes",D1589&gt;=6.5,"Diabetes")</f>
        <v>Normal</v>
      </c>
      <c r="F1589" s="3" t="s">
        <v>2382</v>
      </c>
      <c r="G1589" s="3" t="s">
        <v>2379</v>
      </c>
      <c r="H1589" s="3" t="s">
        <v>2382</v>
      </c>
      <c r="I1589" s="1">
        <v>1</v>
      </c>
      <c r="J1589">
        <v>1</v>
      </c>
      <c r="K1589" s="3" t="s">
        <v>2379</v>
      </c>
      <c r="P1589" s="3"/>
    </row>
    <row r="1590" spans="1:16" x14ac:dyDescent="0.25">
      <c r="A1590" s="3" t="s">
        <v>781</v>
      </c>
      <c r="B1590">
        <v>20.48</v>
      </c>
      <c r="C1590" t="str" cm="1">
        <f t="array" ref="C1590">_xlfn.IFS(B1590&lt;=18.5,  "Underweight",B1590&lt;=24.9,"Normal weight",B1590&lt;=29.9, "Over weight",B1590&gt;=30,"Obesity")</f>
        <v>Normal weight</v>
      </c>
      <c r="D1590">
        <v>11.09</v>
      </c>
      <c r="E1590" t="str" cm="1">
        <f t="array" ref="E1590">_xlfn.IFS(D1590&lt;5.7,"Normal",D1590&lt;=6.4,"Prediabetes",D1590&gt;=6.5,"Diabetes")</f>
        <v>Diabetes</v>
      </c>
      <c r="F1590" s="3" t="s">
        <v>2379</v>
      </c>
      <c r="G1590" s="3" t="s">
        <v>2379</v>
      </c>
      <c r="H1590" s="3" t="s">
        <v>2379</v>
      </c>
      <c r="I1590" s="1" t="s">
        <v>2380</v>
      </c>
      <c r="J1590">
        <v>0</v>
      </c>
      <c r="K1590" s="3" t="s">
        <v>2379</v>
      </c>
      <c r="P1590" s="3"/>
    </row>
    <row r="1591" spans="1:16" x14ac:dyDescent="0.25">
      <c r="A1591" s="3" t="s">
        <v>780</v>
      </c>
      <c r="B1591">
        <v>34.450000000000003</v>
      </c>
      <c r="C1591" t="str" cm="1">
        <f t="array" ref="C1591">_xlfn.IFS(B1591&lt;=18.5,  "Underweight",B1591&lt;=24.9,"Normal weight",B1591&lt;=29.9, "Over weight",B1591&gt;=30,"Obesity")</f>
        <v>Obesity</v>
      </c>
      <c r="D1591">
        <v>5.58</v>
      </c>
      <c r="E1591" t="str" cm="1">
        <f t="array" ref="E1591">_xlfn.IFS(D1591&lt;5.7,"Normal",D1591&lt;=6.4,"Prediabetes",D1591&gt;=6.5,"Diabetes")</f>
        <v>Normal</v>
      </c>
      <c r="F1591" s="3" t="s">
        <v>2382</v>
      </c>
      <c r="G1591" s="3" t="s">
        <v>2379</v>
      </c>
      <c r="H1591" s="3" t="s">
        <v>2379</v>
      </c>
      <c r="I1591" s="1" t="s">
        <v>2380</v>
      </c>
      <c r="J1591">
        <v>0</v>
      </c>
      <c r="K1591" s="3" t="s">
        <v>2379</v>
      </c>
      <c r="P1591" s="3"/>
    </row>
    <row r="1592" spans="1:16" x14ac:dyDescent="0.25">
      <c r="A1592" s="3" t="s">
        <v>779</v>
      </c>
      <c r="B1592">
        <v>34.21</v>
      </c>
      <c r="C1592" t="str" cm="1">
        <f t="array" ref="C1592">_xlfn.IFS(B1592&lt;=18.5,  "Underweight",B1592&lt;=24.9,"Normal weight",B1592&lt;=29.9, "Over weight",B1592&gt;=30,"Obesity")</f>
        <v>Obesity</v>
      </c>
      <c r="D1592">
        <v>9.7200000000000006</v>
      </c>
      <c r="E1592" t="str" cm="1">
        <f t="array" ref="E1592">_xlfn.IFS(D1592&lt;5.7,"Normal",D1592&lt;=6.4,"Prediabetes",D1592&gt;=6.5,"Diabetes")</f>
        <v>Diabetes</v>
      </c>
      <c r="F1592" s="3" t="s">
        <v>2382</v>
      </c>
      <c r="G1592" s="3" t="s">
        <v>2379</v>
      </c>
      <c r="H1592" s="3" t="s">
        <v>2379</v>
      </c>
      <c r="I1592" s="1" t="s">
        <v>2380</v>
      </c>
      <c r="J1592">
        <v>0</v>
      </c>
      <c r="K1592" s="3" t="s">
        <v>2379</v>
      </c>
      <c r="P1592" s="3"/>
    </row>
    <row r="1593" spans="1:16" x14ac:dyDescent="0.25">
      <c r="A1593" s="3" t="s">
        <v>778</v>
      </c>
      <c r="B1593">
        <v>28.8</v>
      </c>
      <c r="C1593" t="str" cm="1">
        <f t="array" ref="C1593">_xlfn.IFS(B1593&lt;=18.5,  "Underweight",B1593&lt;=24.9,"Normal weight",B1593&lt;=29.9, "Over weight",B1593&gt;=30,"Obesity")</f>
        <v>Over weight</v>
      </c>
      <c r="D1593">
        <v>11.41</v>
      </c>
      <c r="E1593" t="str" cm="1">
        <f t="array" ref="E1593">_xlfn.IFS(D1593&lt;5.7,"Normal",D1593&lt;=6.4,"Prediabetes",D1593&gt;=6.5,"Diabetes")</f>
        <v>Diabetes</v>
      </c>
      <c r="F1593" s="3" t="s">
        <v>2382</v>
      </c>
      <c r="G1593" s="3" t="s">
        <v>2379</v>
      </c>
      <c r="H1593" s="3" t="s">
        <v>2379</v>
      </c>
      <c r="I1593" s="1" t="s">
        <v>2380</v>
      </c>
      <c r="J1593">
        <v>0</v>
      </c>
      <c r="K1593" s="3" t="s">
        <v>2379</v>
      </c>
      <c r="P1593" s="3"/>
    </row>
    <row r="1594" spans="1:16" x14ac:dyDescent="0.25">
      <c r="A1594" s="3" t="s">
        <v>777</v>
      </c>
      <c r="B1594">
        <v>31.74</v>
      </c>
      <c r="C1594" t="str" cm="1">
        <f t="array" ref="C1594">_xlfn.IFS(B1594&lt;=18.5,  "Underweight",B1594&lt;=24.9,"Normal weight",B1594&lt;=29.9, "Over weight",B1594&gt;=30,"Obesity")</f>
        <v>Obesity</v>
      </c>
      <c r="D1594">
        <v>4.46</v>
      </c>
      <c r="E1594" t="str" cm="1">
        <f t="array" ref="E1594">_xlfn.IFS(D1594&lt;5.7,"Normal",D1594&lt;=6.4,"Prediabetes",D1594&gt;=6.5,"Diabetes")</f>
        <v>Normal</v>
      </c>
      <c r="F1594" s="3" t="s">
        <v>2379</v>
      </c>
      <c r="G1594" s="3" t="s">
        <v>2379</v>
      </c>
      <c r="H1594" s="3" t="s">
        <v>2382</v>
      </c>
      <c r="I1594" s="1">
        <v>1</v>
      </c>
      <c r="J1594">
        <v>1</v>
      </c>
      <c r="K1594" s="3" t="s">
        <v>2379</v>
      </c>
      <c r="P1594" s="3"/>
    </row>
    <row r="1595" spans="1:16" x14ac:dyDescent="0.25">
      <c r="A1595" s="3" t="s">
        <v>776</v>
      </c>
      <c r="B1595">
        <v>21.78</v>
      </c>
      <c r="C1595" t="str" cm="1">
        <f t="array" ref="C1595">_xlfn.IFS(B1595&lt;=18.5,  "Underweight",B1595&lt;=24.9,"Normal weight",B1595&lt;=29.9, "Over weight",B1595&gt;=30,"Obesity")</f>
        <v>Normal weight</v>
      </c>
      <c r="D1595">
        <v>9.31</v>
      </c>
      <c r="E1595" t="str" cm="1">
        <f t="array" ref="E1595">_xlfn.IFS(D1595&lt;5.7,"Normal",D1595&lt;=6.4,"Prediabetes",D1595&gt;=6.5,"Diabetes")</f>
        <v>Diabetes</v>
      </c>
      <c r="F1595" s="3" t="s">
        <v>2382</v>
      </c>
      <c r="G1595" s="3" t="s">
        <v>2379</v>
      </c>
      <c r="H1595" s="3" t="s">
        <v>2379</v>
      </c>
      <c r="I1595" s="1" t="s">
        <v>2380</v>
      </c>
      <c r="J1595">
        <v>0</v>
      </c>
      <c r="K1595" s="3" t="s">
        <v>2379</v>
      </c>
      <c r="P1595" s="3"/>
    </row>
    <row r="1596" spans="1:16" x14ac:dyDescent="0.25">
      <c r="A1596" s="3" t="s">
        <v>775</v>
      </c>
      <c r="B1596">
        <v>23.75</v>
      </c>
      <c r="C1596" t="str" cm="1">
        <f t="array" ref="C1596">_xlfn.IFS(B1596&lt;=18.5,  "Underweight",B1596&lt;=24.9,"Normal weight",B1596&lt;=29.9, "Over weight",B1596&gt;=30,"Obesity")</f>
        <v>Normal weight</v>
      </c>
      <c r="D1596">
        <v>5.03</v>
      </c>
      <c r="E1596" t="str" cm="1">
        <f t="array" ref="E1596">_xlfn.IFS(D1596&lt;5.7,"Normal",D1596&lt;=6.4,"Prediabetes",D1596&gt;=6.5,"Diabetes")</f>
        <v>Normal</v>
      </c>
      <c r="F1596" s="3" t="s">
        <v>2379</v>
      </c>
      <c r="G1596" s="3" t="s">
        <v>2379</v>
      </c>
      <c r="H1596" s="3" t="s">
        <v>2379</v>
      </c>
      <c r="I1596" s="1">
        <v>1</v>
      </c>
      <c r="J1596">
        <v>1</v>
      </c>
      <c r="K1596" s="3" t="s">
        <v>2379</v>
      </c>
      <c r="P1596" s="3"/>
    </row>
    <row r="1597" spans="1:16" x14ac:dyDescent="0.25">
      <c r="A1597" s="3" t="s">
        <v>774</v>
      </c>
      <c r="B1597">
        <v>33.21</v>
      </c>
      <c r="C1597" t="str" cm="1">
        <f t="array" ref="C1597">_xlfn.IFS(B1597&lt;=18.5,  "Underweight",B1597&lt;=24.9,"Normal weight",B1597&lt;=29.9, "Over weight",B1597&gt;=30,"Obesity")</f>
        <v>Obesity</v>
      </c>
      <c r="D1597">
        <v>5.07</v>
      </c>
      <c r="E1597" t="str" cm="1">
        <f t="array" ref="E1597">_xlfn.IFS(D1597&lt;5.7,"Normal",D1597&lt;=6.4,"Prediabetes",D1597&gt;=6.5,"Diabetes")</f>
        <v>Normal</v>
      </c>
      <c r="F1597" s="3" t="s">
        <v>2382</v>
      </c>
      <c r="G1597" s="3" t="s">
        <v>2379</v>
      </c>
      <c r="H1597" s="3" t="s">
        <v>2379</v>
      </c>
      <c r="I1597" s="1">
        <v>1</v>
      </c>
      <c r="J1597">
        <v>1</v>
      </c>
      <c r="K1597" s="3" t="s">
        <v>2379</v>
      </c>
      <c r="P1597" s="3"/>
    </row>
    <row r="1598" spans="1:16" x14ac:dyDescent="0.25">
      <c r="A1598" s="3" t="s">
        <v>773</v>
      </c>
      <c r="B1598">
        <v>17.7</v>
      </c>
      <c r="C1598" t="str" cm="1">
        <f t="array" ref="C1598">_xlfn.IFS(B1598&lt;=18.5,  "Underweight",B1598&lt;=24.9,"Normal weight",B1598&lt;=29.9, "Over weight",B1598&gt;=30,"Obesity")</f>
        <v>Underweight</v>
      </c>
      <c r="D1598">
        <v>10.42</v>
      </c>
      <c r="E1598" t="str" cm="1">
        <f t="array" ref="E1598">_xlfn.IFS(D1598&lt;5.7,"Normal",D1598&lt;=6.4,"Prediabetes",D1598&gt;=6.5,"Diabetes")</f>
        <v>Diabetes</v>
      </c>
      <c r="F1598" s="3" t="s">
        <v>2382</v>
      </c>
      <c r="G1598" s="3" t="s">
        <v>2379</v>
      </c>
      <c r="H1598" s="3" t="s">
        <v>2379</v>
      </c>
      <c r="I1598" s="1">
        <v>2</v>
      </c>
      <c r="J1598">
        <v>2</v>
      </c>
      <c r="K1598" s="3" t="s">
        <v>2379</v>
      </c>
      <c r="P1598" s="3"/>
    </row>
    <row r="1599" spans="1:16" x14ac:dyDescent="0.25">
      <c r="A1599" s="3" t="s">
        <v>772</v>
      </c>
      <c r="B1599">
        <v>17.2</v>
      </c>
      <c r="C1599" t="str" cm="1">
        <f t="array" ref="C1599">_xlfn.IFS(B1599&lt;=18.5,  "Underweight",B1599&lt;=24.9,"Normal weight",B1599&lt;=29.9, "Over weight",B1599&gt;=30,"Obesity")</f>
        <v>Underweight</v>
      </c>
      <c r="D1599">
        <v>6.45</v>
      </c>
      <c r="E1599" t="e" cm="1">
        <f t="array" ref="E1599">_xlfn.IFS(D1599&lt;5.7,"Normal",D1599&lt;=6.4,"Prediabetes",D1599&gt;=6.5,"Diabetes")</f>
        <v>#N/A</v>
      </c>
      <c r="F1599" s="3" t="s">
        <v>2379</v>
      </c>
      <c r="G1599" s="3" t="s">
        <v>2379</v>
      </c>
      <c r="H1599" s="3" t="s">
        <v>2379</v>
      </c>
      <c r="I1599" s="1">
        <v>2</v>
      </c>
      <c r="J1599">
        <v>2</v>
      </c>
      <c r="K1599" s="3" t="s">
        <v>2379</v>
      </c>
      <c r="P1599" s="3"/>
    </row>
    <row r="1600" spans="1:16" x14ac:dyDescent="0.25">
      <c r="A1600" s="3" t="s">
        <v>771</v>
      </c>
      <c r="B1600">
        <v>19.21</v>
      </c>
      <c r="C1600" t="str" cm="1">
        <f t="array" ref="C1600">_xlfn.IFS(B1600&lt;=18.5,  "Underweight",B1600&lt;=24.9,"Normal weight",B1600&lt;=29.9, "Over weight",B1600&gt;=30,"Obesity")</f>
        <v>Normal weight</v>
      </c>
      <c r="D1600">
        <v>5.52</v>
      </c>
      <c r="E1600" t="str" cm="1">
        <f t="array" ref="E1600">_xlfn.IFS(D1600&lt;5.7,"Normal",D1600&lt;=6.4,"Prediabetes",D1600&gt;=6.5,"Diabetes")</f>
        <v>Normal</v>
      </c>
      <c r="F1600" s="3" t="s">
        <v>2379</v>
      </c>
      <c r="G1600" s="3" t="s">
        <v>2379</v>
      </c>
      <c r="H1600" s="3" t="s">
        <v>2379</v>
      </c>
      <c r="I1600" s="1">
        <v>2</v>
      </c>
      <c r="J1600">
        <v>2</v>
      </c>
      <c r="K1600" s="3" t="s">
        <v>2379</v>
      </c>
      <c r="P1600" s="3"/>
    </row>
    <row r="1601" spans="1:16" x14ac:dyDescent="0.25">
      <c r="A1601" s="3" t="s">
        <v>770</v>
      </c>
      <c r="B1601">
        <v>23.2</v>
      </c>
      <c r="C1601" t="str" cm="1">
        <f t="array" ref="C1601">_xlfn.IFS(B1601&lt;=18.5,  "Underweight",B1601&lt;=24.9,"Normal weight",B1601&lt;=29.9, "Over weight",B1601&gt;=30,"Obesity")</f>
        <v>Normal weight</v>
      </c>
      <c r="D1601">
        <v>4.41</v>
      </c>
      <c r="E1601" t="str" cm="1">
        <f t="array" ref="E1601">_xlfn.IFS(D1601&lt;5.7,"Normal",D1601&lt;=6.4,"Prediabetes",D1601&gt;=6.5,"Diabetes")</f>
        <v>Normal</v>
      </c>
      <c r="F1601" s="3" t="s">
        <v>2379</v>
      </c>
      <c r="G1601" s="3" t="s">
        <v>2379</v>
      </c>
      <c r="H1601" s="3" t="s">
        <v>2382</v>
      </c>
      <c r="I1601" s="1">
        <v>1</v>
      </c>
      <c r="J1601">
        <v>1</v>
      </c>
      <c r="K1601" s="3" t="s">
        <v>2379</v>
      </c>
      <c r="P1601" s="3"/>
    </row>
    <row r="1602" spans="1:16" x14ac:dyDescent="0.25">
      <c r="A1602" s="3" t="s">
        <v>769</v>
      </c>
      <c r="B1602">
        <v>32.5</v>
      </c>
      <c r="C1602" t="str" cm="1">
        <f t="array" ref="C1602">_xlfn.IFS(B1602&lt;=18.5,  "Underweight",B1602&lt;=24.9,"Normal weight",B1602&lt;=29.9, "Over weight",B1602&gt;=30,"Obesity")</f>
        <v>Obesity</v>
      </c>
      <c r="D1602">
        <v>4.6900000000000004</v>
      </c>
      <c r="E1602" t="str" cm="1">
        <f t="array" ref="E1602">_xlfn.IFS(D1602&lt;5.7,"Normal",D1602&lt;=6.4,"Prediabetes",D1602&gt;=6.5,"Diabetes")</f>
        <v>Normal</v>
      </c>
      <c r="F1602" s="3" t="s">
        <v>2382</v>
      </c>
      <c r="G1602" s="3" t="s">
        <v>2379</v>
      </c>
      <c r="H1602" s="3" t="s">
        <v>2382</v>
      </c>
      <c r="I1602" s="1">
        <v>1</v>
      </c>
      <c r="J1602">
        <v>1</v>
      </c>
      <c r="K1602" s="3" t="s">
        <v>2379</v>
      </c>
      <c r="P1602" s="3"/>
    </row>
    <row r="1603" spans="1:16" x14ac:dyDescent="0.25">
      <c r="A1603" s="3" t="s">
        <v>768</v>
      </c>
      <c r="B1603">
        <v>20.9</v>
      </c>
      <c r="C1603" t="str" cm="1">
        <f t="array" ref="C1603">_xlfn.IFS(B1603&lt;=18.5,  "Underweight",B1603&lt;=24.9,"Normal weight",B1603&lt;=29.9, "Over weight",B1603&gt;=30,"Obesity")</f>
        <v>Normal weight</v>
      </c>
      <c r="D1603">
        <v>6.94</v>
      </c>
      <c r="E1603" t="str" cm="1">
        <f t="array" ref="E1603">_xlfn.IFS(D1603&lt;5.7,"Normal",D1603&lt;=6.4,"Prediabetes",D1603&gt;=6.5,"Diabetes")</f>
        <v>Diabetes</v>
      </c>
      <c r="F1603" s="3" t="s">
        <v>2379</v>
      </c>
      <c r="G1603" s="3" t="s">
        <v>2379</v>
      </c>
      <c r="H1603" s="3" t="s">
        <v>2379</v>
      </c>
      <c r="I1603" s="1" t="s">
        <v>2380</v>
      </c>
      <c r="J1603">
        <v>0</v>
      </c>
      <c r="K1603" s="3" t="s">
        <v>2379</v>
      </c>
      <c r="P1603" s="3"/>
    </row>
    <row r="1604" spans="1:16" x14ac:dyDescent="0.25">
      <c r="A1604" s="3" t="s">
        <v>767</v>
      </c>
      <c r="B1604">
        <v>19.11</v>
      </c>
      <c r="C1604" t="str" cm="1">
        <f t="array" ref="C1604">_xlfn.IFS(B1604&lt;=18.5,  "Underweight",B1604&lt;=24.9,"Normal weight",B1604&lt;=29.9, "Over weight",B1604&gt;=30,"Obesity")</f>
        <v>Normal weight</v>
      </c>
      <c r="D1604">
        <v>4.3499999999999996</v>
      </c>
      <c r="E1604" t="str" cm="1">
        <f t="array" ref="E1604">_xlfn.IFS(D1604&lt;5.7,"Normal",D1604&lt;=6.4,"Prediabetes",D1604&gt;=6.5,"Diabetes")</f>
        <v>Normal</v>
      </c>
      <c r="F1604" s="3" t="s">
        <v>2379</v>
      </c>
      <c r="G1604" s="3" t="s">
        <v>2379</v>
      </c>
      <c r="H1604" s="3" t="s">
        <v>2379</v>
      </c>
      <c r="I1604" s="1">
        <v>2</v>
      </c>
      <c r="J1604">
        <v>2</v>
      </c>
      <c r="K1604" s="3" t="s">
        <v>2379</v>
      </c>
      <c r="P1604" s="3"/>
    </row>
    <row r="1605" spans="1:16" x14ac:dyDescent="0.25">
      <c r="A1605" s="3" t="s">
        <v>766</v>
      </c>
      <c r="B1605">
        <v>31.17</v>
      </c>
      <c r="C1605" t="str" cm="1">
        <f t="array" ref="C1605">_xlfn.IFS(B1605&lt;=18.5,  "Underweight",B1605&lt;=24.9,"Normal weight",B1605&lt;=29.9, "Over weight",B1605&gt;=30,"Obesity")</f>
        <v>Obesity</v>
      </c>
      <c r="D1605">
        <v>5.28</v>
      </c>
      <c r="E1605" t="str" cm="1">
        <f t="array" ref="E1605">_xlfn.IFS(D1605&lt;5.7,"Normal",D1605&lt;=6.4,"Prediabetes",D1605&gt;=6.5,"Diabetes")</f>
        <v>Normal</v>
      </c>
      <c r="F1605" s="3" t="s">
        <v>2379</v>
      </c>
      <c r="G1605" s="3" t="s">
        <v>2379</v>
      </c>
      <c r="H1605" s="3" t="s">
        <v>2379</v>
      </c>
      <c r="I1605" s="1">
        <v>1</v>
      </c>
      <c r="J1605">
        <v>1</v>
      </c>
      <c r="K1605" s="3" t="s">
        <v>2379</v>
      </c>
      <c r="P1605" s="3"/>
    </row>
    <row r="1606" spans="1:16" x14ac:dyDescent="0.25">
      <c r="A1606" s="3" t="s">
        <v>765</v>
      </c>
      <c r="B1606">
        <v>36.08</v>
      </c>
      <c r="C1606" t="str" cm="1">
        <f t="array" ref="C1606">_xlfn.IFS(B1606&lt;=18.5,  "Underweight",B1606&lt;=24.9,"Normal weight",B1606&lt;=29.9, "Over weight",B1606&gt;=30,"Obesity")</f>
        <v>Obesity</v>
      </c>
      <c r="D1606">
        <v>4.29</v>
      </c>
      <c r="E1606" t="str" cm="1">
        <f t="array" ref="E1606">_xlfn.IFS(D1606&lt;5.7,"Normal",D1606&lt;=6.4,"Prediabetes",D1606&gt;=6.5,"Diabetes")</f>
        <v>Normal</v>
      </c>
      <c r="F1606" s="3" t="s">
        <v>2379</v>
      </c>
      <c r="G1606" s="3" t="s">
        <v>2379</v>
      </c>
      <c r="H1606" s="3" t="s">
        <v>2379</v>
      </c>
      <c r="I1606" s="1" t="s">
        <v>2380</v>
      </c>
      <c r="J1606">
        <v>0</v>
      </c>
      <c r="K1606" s="3" t="s">
        <v>2379</v>
      </c>
      <c r="P1606" s="3"/>
    </row>
    <row r="1607" spans="1:16" x14ac:dyDescent="0.25">
      <c r="A1607" s="3" t="s">
        <v>764</v>
      </c>
      <c r="B1607">
        <v>28.024999999999999</v>
      </c>
      <c r="C1607" t="str" cm="1">
        <f t="array" ref="C1607">_xlfn.IFS(B1607&lt;=18.5,  "Underweight",B1607&lt;=24.9,"Normal weight",B1607&lt;=29.9, "Over weight",B1607&gt;=30,"Obesity")</f>
        <v>Over weight</v>
      </c>
      <c r="D1607">
        <v>5.69</v>
      </c>
      <c r="E1607" t="str" cm="1">
        <f t="array" ref="E1607">_xlfn.IFS(D1607&lt;5.7,"Normal",D1607&lt;=6.4,"Prediabetes",D1607&gt;=6.5,"Diabetes")</f>
        <v>Normal</v>
      </c>
      <c r="F1607" s="3" t="s">
        <v>2382</v>
      </c>
      <c r="G1607" s="3" t="s">
        <v>2379</v>
      </c>
      <c r="H1607" s="3" t="s">
        <v>2379</v>
      </c>
      <c r="I1607" s="1" t="s">
        <v>2380</v>
      </c>
      <c r="J1607">
        <v>0</v>
      </c>
      <c r="K1607" s="3" t="s">
        <v>2379</v>
      </c>
      <c r="P1607" s="3"/>
    </row>
    <row r="1608" spans="1:16" x14ac:dyDescent="0.25">
      <c r="A1608" s="3" t="s">
        <v>763</v>
      </c>
      <c r="B1608">
        <v>24.32</v>
      </c>
      <c r="C1608" t="str" cm="1">
        <f t="array" ref="C1608">_xlfn.IFS(B1608&lt;=18.5,  "Underweight",B1608&lt;=24.9,"Normal weight",B1608&lt;=29.9, "Over weight",B1608&gt;=30,"Obesity")</f>
        <v>Normal weight</v>
      </c>
      <c r="D1608">
        <v>5.56</v>
      </c>
      <c r="E1608" t="str" cm="1">
        <f t="array" ref="E1608">_xlfn.IFS(D1608&lt;5.7,"Normal",D1608&lt;=6.4,"Prediabetes",D1608&gt;=6.5,"Diabetes")</f>
        <v>Normal</v>
      </c>
      <c r="F1608" s="3" t="s">
        <v>2382</v>
      </c>
      <c r="G1608" s="3" t="s">
        <v>2379</v>
      </c>
      <c r="H1608" s="3" t="s">
        <v>2379</v>
      </c>
      <c r="I1608" s="1" t="s">
        <v>2380</v>
      </c>
      <c r="J1608">
        <v>0</v>
      </c>
      <c r="K1608" s="3" t="s">
        <v>2379</v>
      </c>
      <c r="P1608" s="3"/>
    </row>
    <row r="1609" spans="1:16" x14ac:dyDescent="0.25">
      <c r="A1609" s="3" t="s">
        <v>762</v>
      </c>
      <c r="B1609">
        <v>38</v>
      </c>
      <c r="C1609" t="str" cm="1">
        <f t="array" ref="C1609">_xlfn.IFS(B1609&lt;=18.5,  "Underweight",B1609&lt;=24.9,"Normal weight",B1609&lt;=29.9, "Over weight",B1609&gt;=30,"Obesity")</f>
        <v>Obesity</v>
      </c>
      <c r="D1609">
        <v>5.41</v>
      </c>
      <c r="E1609" t="str" cm="1">
        <f t="array" ref="E1609">_xlfn.IFS(D1609&lt;5.7,"Normal",D1609&lt;=6.4,"Prediabetes",D1609&gt;=6.5,"Diabetes")</f>
        <v>Normal</v>
      </c>
      <c r="F1609" s="3" t="s">
        <v>2382</v>
      </c>
      <c r="G1609" s="3" t="s">
        <v>2379</v>
      </c>
      <c r="H1609" s="3" t="s">
        <v>2379</v>
      </c>
      <c r="I1609" s="1">
        <v>1</v>
      </c>
      <c r="J1609">
        <v>1</v>
      </c>
      <c r="K1609" s="3" t="s">
        <v>2379</v>
      </c>
      <c r="P1609" s="3"/>
    </row>
    <row r="1610" spans="1:16" x14ac:dyDescent="0.25">
      <c r="A1610" s="3" t="s">
        <v>761</v>
      </c>
      <c r="B1610">
        <v>31.6</v>
      </c>
      <c r="C1610" t="str" cm="1">
        <f t="array" ref="C1610">_xlfn.IFS(B1610&lt;=18.5,  "Underweight",B1610&lt;=24.9,"Normal weight",B1610&lt;=29.9, "Over weight",B1610&gt;=30,"Obesity")</f>
        <v>Obesity</v>
      </c>
      <c r="D1610">
        <v>10.85</v>
      </c>
      <c r="E1610" t="str" cm="1">
        <f t="array" ref="E1610">_xlfn.IFS(D1610&lt;5.7,"Normal",D1610&lt;=6.4,"Prediabetes",D1610&gt;=6.5,"Diabetes")</f>
        <v>Diabetes</v>
      </c>
      <c r="F1610" s="3" t="s">
        <v>2382</v>
      </c>
      <c r="G1610" s="3" t="s">
        <v>2379</v>
      </c>
      <c r="H1610" s="3" t="s">
        <v>2379</v>
      </c>
      <c r="I1610" s="1" t="s">
        <v>2380</v>
      </c>
      <c r="J1610">
        <v>0</v>
      </c>
      <c r="K1610" s="3" t="s">
        <v>2379</v>
      </c>
      <c r="P1610" s="3"/>
    </row>
    <row r="1611" spans="1:16" x14ac:dyDescent="0.25">
      <c r="A1611" s="3" t="s">
        <v>760</v>
      </c>
      <c r="B1611">
        <v>31.02</v>
      </c>
      <c r="C1611" t="str" cm="1">
        <f t="array" ref="C1611">_xlfn.IFS(B1611&lt;=18.5,  "Underweight",B1611&lt;=24.9,"Normal weight",B1611&lt;=29.9, "Over weight",B1611&gt;=30,"Obesity")</f>
        <v>Obesity</v>
      </c>
      <c r="D1611">
        <v>11.63</v>
      </c>
      <c r="E1611" t="str" cm="1">
        <f t="array" ref="E1611">_xlfn.IFS(D1611&lt;5.7,"Normal",D1611&lt;=6.4,"Prediabetes",D1611&gt;=6.5,"Diabetes")</f>
        <v>Diabetes</v>
      </c>
      <c r="F1611" s="3" t="s">
        <v>2382</v>
      </c>
      <c r="G1611" s="3" t="s">
        <v>2379</v>
      </c>
      <c r="H1611" s="3" t="s">
        <v>2379</v>
      </c>
      <c r="I1611" s="1" t="s">
        <v>2380</v>
      </c>
      <c r="J1611">
        <v>0</v>
      </c>
      <c r="K1611" s="3" t="s">
        <v>2379</v>
      </c>
      <c r="P1611" s="3"/>
    </row>
    <row r="1612" spans="1:16" x14ac:dyDescent="0.25">
      <c r="A1612" s="3" t="s">
        <v>759</v>
      </c>
      <c r="B1612">
        <v>29.26</v>
      </c>
      <c r="C1612" t="str" cm="1">
        <f t="array" ref="C1612">_xlfn.IFS(B1612&lt;=18.5,  "Underweight",B1612&lt;=24.9,"Normal weight",B1612&lt;=29.9, "Over weight",B1612&gt;=30,"Obesity")</f>
        <v>Over weight</v>
      </c>
      <c r="D1612">
        <v>5.68</v>
      </c>
      <c r="E1612" t="str" cm="1">
        <f t="array" ref="E1612">_xlfn.IFS(D1612&lt;5.7,"Normal",D1612&lt;=6.4,"Prediabetes",D1612&gt;=6.5,"Diabetes")</f>
        <v>Normal</v>
      </c>
      <c r="F1612" s="3" t="s">
        <v>2382</v>
      </c>
      <c r="G1612" s="3" t="s">
        <v>2379</v>
      </c>
      <c r="H1612" s="3" t="s">
        <v>2379</v>
      </c>
      <c r="I1612" s="1">
        <v>1</v>
      </c>
      <c r="J1612">
        <v>1</v>
      </c>
      <c r="K1612" s="3" t="s">
        <v>2379</v>
      </c>
      <c r="P1612" s="3"/>
    </row>
    <row r="1613" spans="1:16" x14ac:dyDescent="0.25">
      <c r="A1613" s="3" t="s">
        <v>758</v>
      </c>
      <c r="B1613">
        <v>15.09</v>
      </c>
      <c r="C1613" t="str" cm="1">
        <f t="array" ref="C1613">_xlfn.IFS(B1613&lt;=18.5,  "Underweight",B1613&lt;=24.9,"Normal weight",B1613&lt;=29.9, "Over weight",B1613&gt;=30,"Obesity")</f>
        <v>Underweight</v>
      </c>
      <c r="D1613">
        <v>7.59</v>
      </c>
      <c r="E1613" t="str" cm="1">
        <f t="array" ref="E1613">_xlfn.IFS(D1613&lt;5.7,"Normal",D1613&lt;=6.4,"Prediabetes",D1613&gt;=6.5,"Diabetes")</f>
        <v>Diabetes</v>
      </c>
      <c r="F1613" s="3" t="s">
        <v>2382</v>
      </c>
      <c r="G1613" s="3" t="s">
        <v>2379</v>
      </c>
      <c r="H1613" s="3" t="s">
        <v>2379</v>
      </c>
      <c r="I1613" s="1">
        <v>2</v>
      </c>
      <c r="J1613">
        <v>2</v>
      </c>
      <c r="K1613" s="3" t="s">
        <v>2379</v>
      </c>
      <c r="P1613" s="3"/>
    </row>
    <row r="1614" spans="1:16" x14ac:dyDescent="0.25">
      <c r="A1614" s="3" t="s">
        <v>757</v>
      </c>
      <c r="B1614">
        <v>22.63</v>
      </c>
      <c r="C1614" t="str" cm="1">
        <f t="array" ref="C1614">_xlfn.IFS(B1614&lt;=18.5,  "Underweight",B1614&lt;=24.9,"Normal weight",B1614&lt;=29.9, "Over weight",B1614&gt;=30,"Obesity")</f>
        <v>Normal weight</v>
      </c>
      <c r="D1614">
        <v>5.09</v>
      </c>
      <c r="E1614" t="str" cm="1">
        <f t="array" ref="E1614">_xlfn.IFS(D1614&lt;5.7,"Normal",D1614&lt;=6.4,"Prediabetes",D1614&gt;=6.5,"Diabetes")</f>
        <v>Normal</v>
      </c>
      <c r="F1614" s="3" t="s">
        <v>2382</v>
      </c>
      <c r="G1614" s="3" t="s">
        <v>2379</v>
      </c>
      <c r="H1614" s="3" t="s">
        <v>2379</v>
      </c>
      <c r="I1614" s="1" t="s">
        <v>2380</v>
      </c>
      <c r="J1614">
        <v>0</v>
      </c>
      <c r="K1614" s="3" t="s">
        <v>2379</v>
      </c>
      <c r="P1614" s="3"/>
    </row>
    <row r="1615" spans="1:16" x14ac:dyDescent="0.25">
      <c r="A1615" s="3" t="s">
        <v>756</v>
      </c>
      <c r="B1615">
        <v>23.46</v>
      </c>
      <c r="C1615" t="str" cm="1">
        <f t="array" ref="C1615">_xlfn.IFS(B1615&lt;=18.5,  "Underweight",B1615&lt;=24.9,"Normal weight",B1615&lt;=29.9, "Over weight",B1615&gt;=30,"Obesity")</f>
        <v>Normal weight</v>
      </c>
      <c r="D1615">
        <v>4.21</v>
      </c>
      <c r="E1615" t="str" cm="1">
        <f t="array" ref="E1615">_xlfn.IFS(D1615&lt;5.7,"Normal",D1615&lt;=6.4,"Prediabetes",D1615&gt;=6.5,"Diabetes")</f>
        <v>Normal</v>
      </c>
      <c r="F1615" s="3" t="s">
        <v>2379</v>
      </c>
      <c r="G1615" s="3" t="s">
        <v>2379</v>
      </c>
      <c r="H1615" s="3" t="s">
        <v>2379</v>
      </c>
      <c r="I1615" s="1">
        <v>1</v>
      </c>
      <c r="J1615">
        <v>1</v>
      </c>
      <c r="K1615" s="3" t="s">
        <v>2379</v>
      </c>
      <c r="P1615" s="3"/>
    </row>
    <row r="1616" spans="1:16" x14ac:dyDescent="0.25">
      <c r="A1616" s="3" t="s">
        <v>755</v>
      </c>
      <c r="B1616">
        <v>22.56</v>
      </c>
      <c r="C1616" t="str" cm="1">
        <f t="array" ref="C1616">_xlfn.IFS(B1616&lt;=18.5,  "Underweight",B1616&lt;=24.9,"Normal weight",B1616&lt;=29.9, "Over weight",B1616&gt;=30,"Obesity")</f>
        <v>Normal weight</v>
      </c>
      <c r="D1616">
        <v>4.34</v>
      </c>
      <c r="E1616" t="str" cm="1">
        <f t="array" ref="E1616">_xlfn.IFS(D1616&lt;5.7,"Normal",D1616&lt;=6.4,"Prediabetes",D1616&gt;=6.5,"Diabetes")</f>
        <v>Normal</v>
      </c>
      <c r="F1616" s="3" t="s">
        <v>2382</v>
      </c>
      <c r="G1616" s="3" t="s">
        <v>2379</v>
      </c>
      <c r="H1616" s="3" t="s">
        <v>2379</v>
      </c>
      <c r="I1616" s="1" t="s">
        <v>2380</v>
      </c>
      <c r="J1616">
        <v>0</v>
      </c>
      <c r="K1616" s="3" t="s">
        <v>2379</v>
      </c>
      <c r="P1616" s="3"/>
    </row>
    <row r="1617" spans="1:16" x14ac:dyDescent="0.25">
      <c r="A1617" s="3" t="s">
        <v>754</v>
      </c>
      <c r="B1617">
        <v>19.28</v>
      </c>
      <c r="C1617" t="str" cm="1">
        <f t="array" ref="C1617">_xlfn.IFS(B1617&lt;=18.5,  "Underweight",B1617&lt;=24.9,"Normal weight",B1617&lt;=29.9, "Over weight",B1617&gt;=30,"Obesity")</f>
        <v>Normal weight</v>
      </c>
      <c r="D1617">
        <v>11.85</v>
      </c>
      <c r="E1617" t="str" cm="1">
        <f t="array" ref="E1617">_xlfn.IFS(D1617&lt;5.7,"Normal",D1617&lt;=6.4,"Prediabetes",D1617&gt;=6.5,"Diabetes")</f>
        <v>Diabetes</v>
      </c>
      <c r="F1617" s="3" t="s">
        <v>2379</v>
      </c>
      <c r="G1617" s="3" t="s">
        <v>2379</v>
      </c>
      <c r="H1617" s="3" t="s">
        <v>2379</v>
      </c>
      <c r="I1617" s="1">
        <v>2</v>
      </c>
      <c r="J1617">
        <v>2</v>
      </c>
      <c r="K1617" s="3" t="s">
        <v>2379</v>
      </c>
      <c r="P1617" s="3"/>
    </row>
    <row r="1618" spans="1:16" x14ac:dyDescent="0.25">
      <c r="A1618" s="3" t="s">
        <v>753</v>
      </c>
      <c r="B1618">
        <v>15.37</v>
      </c>
      <c r="C1618" t="str" cm="1">
        <f t="array" ref="C1618">_xlfn.IFS(B1618&lt;=18.5,  "Underweight",B1618&lt;=24.9,"Normal weight",B1618&lt;=29.9, "Over weight",B1618&gt;=30,"Obesity")</f>
        <v>Underweight</v>
      </c>
      <c r="D1618">
        <v>9.61</v>
      </c>
      <c r="E1618" t="str" cm="1">
        <f t="array" ref="E1618">_xlfn.IFS(D1618&lt;5.7,"Normal",D1618&lt;=6.4,"Prediabetes",D1618&gt;=6.5,"Diabetes")</f>
        <v>Diabetes</v>
      </c>
      <c r="F1618" s="3" t="s">
        <v>2382</v>
      </c>
      <c r="G1618" s="3" t="s">
        <v>2379</v>
      </c>
      <c r="H1618" s="3" t="s">
        <v>2379</v>
      </c>
      <c r="I1618" s="1">
        <v>2</v>
      </c>
      <c r="J1618">
        <v>2</v>
      </c>
      <c r="K1618" s="3" t="s">
        <v>2379</v>
      </c>
      <c r="P1618" s="3"/>
    </row>
    <row r="1619" spans="1:16" x14ac:dyDescent="0.25">
      <c r="A1619" s="3" t="s">
        <v>752</v>
      </c>
      <c r="B1619">
        <v>18.71</v>
      </c>
      <c r="C1619" t="str" cm="1">
        <f t="array" ref="C1619">_xlfn.IFS(B1619&lt;=18.5,  "Underweight",B1619&lt;=24.9,"Normal weight",B1619&lt;=29.9, "Over weight",B1619&gt;=30,"Obesity")</f>
        <v>Normal weight</v>
      </c>
      <c r="D1619">
        <v>5.29</v>
      </c>
      <c r="E1619" t="str" cm="1">
        <f t="array" ref="E1619">_xlfn.IFS(D1619&lt;5.7,"Normal",D1619&lt;=6.4,"Prediabetes",D1619&gt;=6.5,"Diabetes")</f>
        <v>Normal</v>
      </c>
      <c r="F1619" s="3" t="s">
        <v>2382</v>
      </c>
      <c r="G1619" s="3" t="s">
        <v>2379</v>
      </c>
      <c r="H1619" s="3" t="s">
        <v>2379</v>
      </c>
      <c r="I1619" s="1" t="s">
        <v>2380</v>
      </c>
      <c r="J1619">
        <v>0</v>
      </c>
      <c r="K1619" s="3" t="s">
        <v>2379</v>
      </c>
      <c r="P1619" s="3"/>
    </row>
    <row r="1620" spans="1:16" x14ac:dyDescent="0.25">
      <c r="A1620" s="3" t="s">
        <v>751</v>
      </c>
      <c r="B1620">
        <v>20.61</v>
      </c>
      <c r="C1620" t="str" cm="1">
        <f t="array" ref="C1620">_xlfn.IFS(B1620&lt;=18.5,  "Underweight",B1620&lt;=24.9,"Normal weight",B1620&lt;=29.9, "Over weight",B1620&gt;=30,"Obesity")</f>
        <v>Normal weight</v>
      </c>
      <c r="D1620">
        <v>6.89</v>
      </c>
      <c r="E1620" t="str" cm="1">
        <f t="array" ref="E1620">_xlfn.IFS(D1620&lt;5.7,"Normal",D1620&lt;=6.4,"Prediabetes",D1620&gt;=6.5,"Diabetes")</f>
        <v>Diabetes</v>
      </c>
      <c r="F1620" s="3" t="s">
        <v>2379</v>
      </c>
      <c r="G1620" s="3" t="s">
        <v>2379</v>
      </c>
      <c r="H1620" s="3" t="s">
        <v>2379</v>
      </c>
      <c r="I1620" s="1" t="s">
        <v>2380</v>
      </c>
      <c r="J1620">
        <v>0</v>
      </c>
      <c r="K1620" s="3" t="s">
        <v>2379</v>
      </c>
      <c r="P1620" s="3"/>
    </row>
    <row r="1621" spans="1:16" x14ac:dyDescent="0.25">
      <c r="A1621" s="3" t="s">
        <v>750</v>
      </c>
      <c r="B1621">
        <v>15.99</v>
      </c>
      <c r="C1621" t="str" cm="1">
        <f t="array" ref="C1621">_xlfn.IFS(B1621&lt;=18.5,  "Underweight",B1621&lt;=24.9,"Normal weight",B1621&lt;=29.9, "Over weight",B1621&gt;=30,"Obesity")</f>
        <v>Underweight</v>
      </c>
      <c r="D1621">
        <v>4.57</v>
      </c>
      <c r="E1621" t="str" cm="1">
        <f t="array" ref="E1621">_xlfn.IFS(D1621&lt;5.7,"Normal",D1621&lt;=6.4,"Prediabetes",D1621&gt;=6.5,"Diabetes")</f>
        <v>Normal</v>
      </c>
      <c r="F1621" s="3" t="s">
        <v>2382</v>
      </c>
      <c r="G1621" s="3" t="s">
        <v>2379</v>
      </c>
      <c r="H1621" s="3" t="s">
        <v>2382</v>
      </c>
      <c r="I1621" s="1">
        <v>1</v>
      </c>
      <c r="J1621">
        <v>1</v>
      </c>
      <c r="K1621" s="3" t="s">
        <v>2379</v>
      </c>
      <c r="P1621" s="3"/>
    </row>
    <row r="1622" spans="1:16" x14ac:dyDescent="0.25">
      <c r="A1622" s="3" t="s">
        <v>749</v>
      </c>
      <c r="B1622">
        <v>33.155000000000001</v>
      </c>
      <c r="C1622" t="str" cm="1">
        <f t="array" ref="C1622">_xlfn.IFS(B1622&lt;=18.5,  "Underweight",B1622&lt;=24.9,"Normal weight",B1622&lt;=29.9, "Over weight",B1622&gt;=30,"Obesity")</f>
        <v>Obesity</v>
      </c>
      <c r="D1622">
        <v>4.32</v>
      </c>
      <c r="E1622" t="str" cm="1">
        <f t="array" ref="E1622">_xlfn.IFS(D1622&lt;5.7,"Normal",D1622&lt;=6.4,"Prediabetes",D1622&gt;=6.5,"Diabetes")</f>
        <v>Normal</v>
      </c>
      <c r="F1622" s="3" t="s">
        <v>2379</v>
      </c>
      <c r="G1622" s="3" t="s">
        <v>2379</v>
      </c>
      <c r="H1622" s="3" t="s">
        <v>2379</v>
      </c>
      <c r="I1622" s="1" t="s">
        <v>2380</v>
      </c>
      <c r="J1622">
        <v>0</v>
      </c>
      <c r="K1622" s="3" t="s">
        <v>2379</v>
      </c>
      <c r="P1622" s="3"/>
    </row>
    <row r="1623" spans="1:16" x14ac:dyDescent="0.25">
      <c r="A1623" s="3" t="s">
        <v>748</v>
      </c>
      <c r="B1623">
        <v>26.22</v>
      </c>
      <c r="C1623" t="str" cm="1">
        <f t="array" ref="C1623">_xlfn.IFS(B1623&lt;=18.5,  "Underweight",B1623&lt;=24.9,"Normal weight",B1623&lt;=29.9, "Over weight",B1623&gt;=30,"Obesity")</f>
        <v>Over weight</v>
      </c>
      <c r="D1623">
        <v>5.57</v>
      </c>
      <c r="E1623" t="str" cm="1">
        <f t="array" ref="E1623">_xlfn.IFS(D1623&lt;5.7,"Normal",D1623&lt;=6.4,"Prediabetes",D1623&gt;=6.5,"Diabetes")</f>
        <v>Normal</v>
      </c>
      <c r="F1623" s="3" t="s">
        <v>2382</v>
      </c>
      <c r="G1623" s="3" t="s">
        <v>2379</v>
      </c>
      <c r="H1623" s="3" t="s">
        <v>2382</v>
      </c>
      <c r="I1623" s="1">
        <v>1</v>
      </c>
      <c r="J1623">
        <v>1</v>
      </c>
      <c r="K1623" s="3" t="s">
        <v>2379</v>
      </c>
      <c r="P1623" s="3"/>
    </row>
    <row r="1624" spans="1:16" x14ac:dyDescent="0.25">
      <c r="A1624" s="3" t="s">
        <v>747</v>
      </c>
      <c r="B1624">
        <v>21.85</v>
      </c>
      <c r="C1624" t="str" cm="1">
        <f t="array" ref="C1624">_xlfn.IFS(B1624&lt;=18.5,  "Underweight",B1624&lt;=24.9,"Normal weight",B1624&lt;=29.9, "Over weight",B1624&gt;=30,"Obesity")</f>
        <v>Normal weight</v>
      </c>
      <c r="D1624">
        <v>5.26</v>
      </c>
      <c r="E1624" t="str" cm="1">
        <f t="array" ref="E1624">_xlfn.IFS(D1624&lt;5.7,"Normal",D1624&lt;=6.4,"Prediabetes",D1624&gt;=6.5,"Diabetes")</f>
        <v>Normal</v>
      </c>
      <c r="F1624" s="3" t="s">
        <v>2382</v>
      </c>
      <c r="G1624" s="3" t="s">
        <v>2379</v>
      </c>
      <c r="H1624" s="3" t="s">
        <v>2382</v>
      </c>
      <c r="I1624" s="1">
        <v>1</v>
      </c>
      <c r="J1624">
        <v>1</v>
      </c>
      <c r="K1624" s="3" t="s">
        <v>2379</v>
      </c>
      <c r="P1624" s="3"/>
    </row>
    <row r="1625" spans="1:16" x14ac:dyDescent="0.25">
      <c r="A1625" s="3" t="s">
        <v>746</v>
      </c>
      <c r="B1625">
        <v>30.495000000000001</v>
      </c>
      <c r="C1625" t="str" cm="1">
        <f t="array" ref="C1625">_xlfn.IFS(B1625&lt;=18.5,  "Underweight",B1625&lt;=24.9,"Normal weight",B1625&lt;=29.9, "Over weight",B1625&gt;=30,"Obesity")</f>
        <v>Obesity</v>
      </c>
      <c r="D1625">
        <v>6.25</v>
      </c>
      <c r="E1625" t="str" cm="1">
        <f t="array" ref="E1625">_xlfn.IFS(D1625&lt;5.7,"Normal",D1625&lt;=6.4,"Prediabetes",D1625&gt;=6.5,"Diabetes")</f>
        <v>Prediabetes</v>
      </c>
      <c r="F1625" s="3" t="s">
        <v>2379</v>
      </c>
      <c r="G1625" s="3" t="s">
        <v>2379</v>
      </c>
      <c r="H1625" s="3" t="s">
        <v>2379</v>
      </c>
      <c r="I1625" s="1" t="s">
        <v>2380</v>
      </c>
      <c r="J1625">
        <v>0</v>
      </c>
      <c r="K1625" s="3" t="s">
        <v>2379</v>
      </c>
      <c r="P1625" s="3"/>
    </row>
    <row r="1626" spans="1:16" x14ac:dyDescent="0.25">
      <c r="A1626" s="3" t="s">
        <v>745</v>
      </c>
      <c r="B1626">
        <v>34.104999999999997</v>
      </c>
      <c r="C1626" t="str" cm="1">
        <f t="array" ref="C1626">_xlfn.IFS(B1626&lt;=18.5,  "Underweight",B1626&lt;=24.9,"Normal weight",B1626&lt;=29.9, "Over weight",B1626&gt;=30,"Obesity")</f>
        <v>Obesity</v>
      </c>
      <c r="D1626">
        <v>5.67</v>
      </c>
      <c r="E1626" t="str" cm="1">
        <f t="array" ref="E1626">_xlfn.IFS(D1626&lt;5.7,"Normal",D1626&lt;=6.4,"Prediabetes",D1626&gt;=6.5,"Diabetes")</f>
        <v>Normal</v>
      </c>
      <c r="F1626" s="3" t="s">
        <v>2382</v>
      </c>
      <c r="G1626" s="3" t="s">
        <v>2379</v>
      </c>
      <c r="H1626" s="3" t="s">
        <v>2379</v>
      </c>
      <c r="I1626" s="1" t="s">
        <v>2380</v>
      </c>
      <c r="J1626">
        <v>0</v>
      </c>
      <c r="K1626" s="3" t="s">
        <v>2379</v>
      </c>
      <c r="P1626" s="3"/>
    </row>
    <row r="1627" spans="1:16" x14ac:dyDescent="0.25">
      <c r="A1627" s="3" t="s">
        <v>744</v>
      </c>
      <c r="B1627">
        <v>32.770000000000003</v>
      </c>
      <c r="C1627" t="str" cm="1">
        <f t="array" ref="C1627">_xlfn.IFS(B1627&lt;=18.5,  "Underweight",B1627&lt;=24.9,"Normal weight",B1627&lt;=29.9, "Over weight",B1627&gt;=30,"Obesity")</f>
        <v>Obesity</v>
      </c>
      <c r="D1627">
        <v>4.42</v>
      </c>
      <c r="E1627" t="str" cm="1">
        <f t="array" ref="E1627">_xlfn.IFS(D1627&lt;5.7,"Normal",D1627&lt;=6.4,"Prediabetes",D1627&gt;=6.5,"Diabetes")</f>
        <v>Normal</v>
      </c>
      <c r="F1627" s="3" t="s">
        <v>2382</v>
      </c>
      <c r="G1627" s="3" t="s">
        <v>2379</v>
      </c>
      <c r="H1627" s="3" t="s">
        <v>2379</v>
      </c>
      <c r="I1627" s="1">
        <v>1</v>
      </c>
      <c r="J1627">
        <v>1</v>
      </c>
      <c r="K1627" s="3" t="s">
        <v>2379</v>
      </c>
      <c r="P1627" s="3"/>
    </row>
    <row r="1628" spans="1:16" x14ac:dyDescent="0.25">
      <c r="A1628" s="3" t="s">
        <v>743</v>
      </c>
      <c r="B1628">
        <v>16.850000000000001</v>
      </c>
      <c r="C1628" t="str" cm="1">
        <f t="array" ref="C1628">_xlfn.IFS(B1628&lt;=18.5,  "Underweight",B1628&lt;=24.9,"Normal weight",B1628&lt;=29.9, "Over weight",B1628&gt;=30,"Obesity")</f>
        <v>Underweight</v>
      </c>
      <c r="D1628">
        <v>11.75</v>
      </c>
      <c r="E1628" t="str" cm="1">
        <f t="array" ref="E1628">_xlfn.IFS(D1628&lt;5.7,"Normal",D1628&lt;=6.4,"Prediabetes",D1628&gt;=6.5,"Diabetes")</f>
        <v>Diabetes</v>
      </c>
      <c r="F1628" s="3" t="s">
        <v>2382</v>
      </c>
      <c r="G1628" s="3" t="s">
        <v>2379</v>
      </c>
      <c r="H1628" s="3" t="s">
        <v>2379</v>
      </c>
      <c r="I1628" s="1">
        <v>2</v>
      </c>
      <c r="J1628">
        <v>2</v>
      </c>
      <c r="K1628" s="3" t="s">
        <v>2379</v>
      </c>
      <c r="P1628" s="3"/>
    </row>
    <row r="1629" spans="1:16" x14ac:dyDescent="0.25">
      <c r="A1629" s="3" t="s">
        <v>742</v>
      </c>
      <c r="B1629">
        <v>34.700000000000003</v>
      </c>
      <c r="C1629" t="str" cm="1">
        <f t="array" ref="C1629">_xlfn.IFS(B1629&lt;=18.5,  "Underweight",B1629&lt;=24.9,"Normal weight",B1629&lt;=29.9, "Over weight",B1629&gt;=30,"Obesity")</f>
        <v>Obesity</v>
      </c>
      <c r="D1629">
        <v>6.06</v>
      </c>
      <c r="E1629" t="str" cm="1">
        <f t="array" ref="E1629">_xlfn.IFS(D1629&lt;5.7,"Normal",D1629&lt;=6.4,"Prediabetes",D1629&gt;=6.5,"Diabetes")</f>
        <v>Prediabetes</v>
      </c>
      <c r="F1629" s="3" t="s">
        <v>2379</v>
      </c>
      <c r="G1629" s="3" t="s">
        <v>2379</v>
      </c>
      <c r="H1629" s="3" t="s">
        <v>2379</v>
      </c>
      <c r="I1629" s="1">
        <v>1</v>
      </c>
      <c r="J1629">
        <v>1</v>
      </c>
      <c r="K1629" s="3" t="s">
        <v>2379</v>
      </c>
      <c r="P1629" s="3"/>
    </row>
    <row r="1630" spans="1:16" x14ac:dyDescent="0.25">
      <c r="A1630" s="3" t="s">
        <v>741</v>
      </c>
      <c r="B1630">
        <v>37.049999999999997</v>
      </c>
      <c r="C1630" t="str" cm="1">
        <f t="array" ref="C1630">_xlfn.IFS(B1630&lt;=18.5,  "Underweight",B1630&lt;=24.9,"Normal weight",B1630&lt;=29.9, "Over weight",B1630&gt;=30,"Obesity")</f>
        <v>Obesity</v>
      </c>
      <c r="D1630">
        <v>5.48</v>
      </c>
      <c r="E1630" t="str" cm="1">
        <f t="array" ref="E1630">_xlfn.IFS(D1630&lt;5.7,"Normal",D1630&lt;=6.4,"Prediabetes",D1630&gt;=6.5,"Diabetes")</f>
        <v>Normal</v>
      </c>
      <c r="F1630" s="3" t="s">
        <v>2379</v>
      </c>
      <c r="G1630" s="3" t="s">
        <v>2379</v>
      </c>
      <c r="H1630" s="3" t="s">
        <v>2379</v>
      </c>
      <c r="I1630" s="1">
        <v>1</v>
      </c>
      <c r="J1630">
        <v>1</v>
      </c>
      <c r="K1630" s="3" t="s">
        <v>2379</v>
      </c>
      <c r="P1630" s="3"/>
    </row>
    <row r="1631" spans="1:16" x14ac:dyDescent="0.25">
      <c r="A1631" s="3" t="s">
        <v>740</v>
      </c>
      <c r="B1631">
        <v>18.78</v>
      </c>
      <c r="C1631" t="str" cm="1">
        <f t="array" ref="C1631">_xlfn.IFS(B1631&lt;=18.5,  "Underweight",B1631&lt;=24.9,"Normal weight",B1631&lt;=29.9, "Over weight",B1631&gt;=30,"Obesity")</f>
        <v>Normal weight</v>
      </c>
      <c r="D1631">
        <v>4.45</v>
      </c>
      <c r="E1631" t="str" cm="1">
        <f t="array" ref="E1631">_xlfn.IFS(D1631&lt;5.7,"Normal",D1631&lt;=6.4,"Prediabetes",D1631&gt;=6.5,"Diabetes")</f>
        <v>Normal</v>
      </c>
      <c r="F1631" s="3" t="s">
        <v>2379</v>
      </c>
      <c r="G1631" s="3" t="s">
        <v>2379</v>
      </c>
      <c r="H1631" s="3" t="s">
        <v>2382</v>
      </c>
      <c r="I1631" s="1">
        <v>1</v>
      </c>
      <c r="J1631">
        <v>1</v>
      </c>
      <c r="K1631" s="3" t="s">
        <v>2379</v>
      </c>
      <c r="P1631" s="3"/>
    </row>
    <row r="1632" spans="1:16" x14ac:dyDescent="0.25">
      <c r="A1632" s="3" t="s">
        <v>739</v>
      </c>
      <c r="B1632">
        <v>28.024999999999999</v>
      </c>
      <c r="C1632" t="str" cm="1">
        <f t="array" ref="C1632">_xlfn.IFS(B1632&lt;=18.5,  "Underweight",B1632&lt;=24.9,"Normal weight",B1632&lt;=29.9, "Over weight",B1632&gt;=30,"Obesity")</f>
        <v>Over weight</v>
      </c>
      <c r="D1632">
        <v>5</v>
      </c>
      <c r="E1632" t="str" cm="1">
        <f t="array" ref="E1632">_xlfn.IFS(D1632&lt;5.7,"Normal",D1632&lt;=6.4,"Prediabetes",D1632&gt;=6.5,"Diabetes")</f>
        <v>Normal</v>
      </c>
      <c r="F1632" s="3" t="s">
        <v>2379</v>
      </c>
      <c r="G1632" s="3" t="s">
        <v>2379</v>
      </c>
      <c r="H1632" s="3" t="s">
        <v>2379</v>
      </c>
      <c r="I1632" s="1">
        <v>1</v>
      </c>
      <c r="J1632">
        <v>1</v>
      </c>
      <c r="K1632" s="3" t="s">
        <v>2379</v>
      </c>
      <c r="P1632" s="3"/>
    </row>
    <row r="1633" spans="1:16" x14ac:dyDescent="0.25">
      <c r="A1633" s="3" t="s">
        <v>738</v>
      </c>
      <c r="B1633">
        <v>35.090000000000003</v>
      </c>
      <c r="C1633" t="str" cm="1">
        <f t="array" ref="C1633">_xlfn.IFS(B1633&lt;=18.5,  "Underweight",B1633&lt;=24.9,"Normal weight",B1633&lt;=29.9, "Over weight",B1633&gt;=30,"Obesity")</f>
        <v>Obesity</v>
      </c>
      <c r="D1633">
        <v>5.84</v>
      </c>
      <c r="E1633" t="str" cm="1">
        <f t="array" ref="E1633">_xlfn.IFS(D1633&lt;5.7,"Normal",D1633&lt;=6.4,"Prediabetes",D1633&gt;=6.5,"Diabetes")</f>
        <v>Prediabetes</v>
      </c>
      <c r="F1633" s="3" t="s">
        <v>2379</v>
      </c>
      <c r="G1633" s="3" t="s">
        <v>2379</v>
      </c>
      <c r="H1633" s="3" t="s">
        <v>2379</v>
      </c>
      <c r="I1633" s="1" t="s">
        <v>2380</v>
      </c>
      <c r="J1633">
        <v>0</v>
      </c>
      <c r="K1633" s="3" t="s">
        <v>2379</v>
      </c>
      <c r="P1633" s="3"/>
    </row>
    <row r="1634" spans="1:16" x14ac:dyDescent="0.25">
      <c r="A1634" s="3" t="s">
        <v>737</v>
      </c>
      <c r="B1634">
        <v>34.42</v>
      </c>
      <c r="C1634" t="str" cm="1">
        <f t="array" ref="C1634">_xlfn.IFS(B1634&lt;=18.5,  "Underweight",B1634&lt;=24.9,"Normal weight",B1634&lt;=29.9, "Over weight",B1634&gt;=30,"Obesity")</f>
        <v>Obesity</v>
      </c>
      <c r="D1634">
        <v>5.21</v>
      </c>
      <c r="E1634" t="str" cm="1">
        <f t="array" ref="E1634">_xlfn.IFS(D1634&lt;5.7,"Normal",D1634&lt;=6.4,"Prediabetes",D1634&gt;=6.5,"Diabetes")</f>
        <v>Normal</v>
      </c>
      <c r="F1634" s="3" t="s">
        <v>2382</v>
      </c>
      <c r="G1634" s="3" t="s">
        <v>2379</v>
      </c>
      <c r="H1634" s="3" t="s">
        <v>2379</v>
      </c>
      <c r="I1634" s="1" t="s">
        <v>2380</v>
      </c>
      <c r="J1634">
        <v>0</v>
      </c>
      <c r="K1634" s="3" t="s">
        <v>2379</v>
      </c>
      <c r="P1634" s="3"/>
    </row>
    <row r="1635" spans="1:16" x14ac:dyDescent="0.25">
      <c r="A1635" s="3" t="s">
        <v>736</v>
      </c>
      <c r="B1635">
        <v>29.4</v>
      </c>
      <c r="C1635" t="str" cm="1">
        <f t="array" ref="C1635">_xlfn.IFS(B1635&lt;=18.5,  "Underweight",B1635&lt;=24.9,"Normal weight",B1635&lt;=29.9, "Over weight",B1635&gt;=30,"Obesity")</f>
        <v>Over weight</v>
      </c>
      <c r="D1635">
        <v>4.26</v>
      </c>
      <c r="E1635" t="str" cm="1">
        <f t="array" ref="E1635">_xlfn.IFS(D1635&lt;5.7,"Normal",D1635&lt;=6.4,"Prediabetes",D1635&gt;=6.5,"Diabetes")</f>
        <v>Normal</v>
      </c>
      <c r="F1635" s="3" t="s">
        <v>2379</v>
      </c>
      <c r="G1635" s="3" t="s">
        <v>2379</v>
      </c>
      <c r="H1635" s="3" t="s">
        <v>2379</v>
      </c>
      <c r="I1635" s="1" t="s">
        <v>2380</v>
      </c>
      <c r="J1635">
        <v>0</v>
      </c>
      <c r="K1635" s="3" t="s">
        <v>2379</v>
      </c>
      <c r="P1635" s="3"/>
    </row>
    <row r="1636" spans="1:16" x14ac:dyDescent="0.25">
      <c r="A1636" s="3" t="s">
        <v>735</v>
      </c>
      <c r="B1636">
        <v>21.31</v>
      </c>
      <c r="C1636" t="str" cm="1">
        <f t="array" ref="C1636">_xlfn.IFS(B1636&lt;=18.5,  "Underweight",B1636&lt;=24.9,"Normal weight",B1636&lt;=29.9, "Over weight",B1636&gt;=30,"Obesity")</f>
        <v>Normal weight</v>
      </c>
      <c r="D1636">
        <v>4.17</v>
      </c>
      <c r="E1636" t="str" cm="1">
        <f t="array" ref="E1636">_xlfn.IFS(D1636&lt;5.7,"Normal",D1636&lt;=6.4,"Prediabetes",D1636&gt;=6.5,"Diabetes")</f>
        <v>Normal</v>
      </c>
      <c r="F1636" s="3" t="s">
        <v>2379</v>
      </c>
      <c r="G1636" s="3" t="s">
        <v>2379</v>
      </c>
      <c r="H1636" s="3" t="s">
        <v>2379</v>
      </c>
      <c r="I1636" s="1" t="s">
        <v>2380</v>
      </c>
      <c r="J1636">
        <v>0</v>
      </c>
      <c r="K1636" s="3" t="s">
        <v>2379</v>
      </c>
      <c r="P1636" s="3"/>
    </row>
    <row r="1637" spans="1:16" x14ac:dyDescent="0.25">
      <c r="A1637" s="3" t="s">
        <v>734</v>
      </c>
      <c r="B1637">
        <v>19.559999999999999</v>
      </c>
      <c r="C1637" t="str" cm="1">
        <f t="array" ref="C1637">_xlfn.IFS(B1637&lt;=18.5,  "Underweight",B1637&lt;=24.9,"Normal weight",B1637&lt;=29.9, "Over weight",B1637&gt;=30,"Obesity")</f>
        <v>Normal weight</v>
      </c>
      <c r="D1637">
        <v>11.96</v>
      </c>
      <c r="E1637" t="str" cm="1">
        <f t="array" ref="E1637">_xlfn.IFS(D1637&lt;5.7,"Normal",D1637&lt;=6.4,"Prediabetes",D1637&gt;=6.5,"Diabetes")</f>
        <v>Diabetes</v>
      </c>
      <c r="F1637" s="3" t="s">
        <v>2379</v>
      </c>
      <c r="G1637" s="3" t="s">
        <v>2379</v>
      </c>
      <c r="H1637" s="3" t="s">
        <v>2379</v>
      </c>
      <c r="I1637" s="1" t="s">
        <v>2380</v>
      </c>
      <c r="J1637">
        <v>0</v>
      </c>
      <c r="K1637" s="3" t="s">
        <v>2379</v>
      </c>
      <c r="P1637" s="3"/>
    </row>
    <row r="1638" spans="1:16" x14ac:dyDescent="0.25">
      <c r="A1638" s="3" t="s">
        <v>733</v>
      </c>
      <c r="B1638">
        <v>37.335000000000001</v>
      </c>
      <c r="C1638" t="str" cm="1">
        <f t="array" ref="C1638">_xlfn.IFS(B1638&lt;=18.5,  "Underweight",B1638&lt;=24.9,"Normal weight",B1638&lt;=29.9, "Over weight",B1638&gt;=30,"Obesity")</f>
        <v>Obesity</v>
      </c>
      <c r="D1638">
        <v>6.26</v>
      </c>
      <c r="E1638" t="str" cm="1">
        <f t="array" ref="E1638">_xlfn.IFS(D1638&lt;5.7,"Normal",D1638&lt;=6.4,"Prediabetes",D1638&gt;=6.5,"Diabetes")</f>
        <v>Prediabetes</v>
      </c>
      <c r="F1638" s="3" t="s">
        <v>2382</v>
      </c>
      <c r="G1638" s="3" t="s">
        <v>2379</v>
      </c>
      <c r="H1638" s="3" t="s">
        <v>2379</v>
      </c>
      <c r="I1638" s="1">
        <v>1</v>
      </c>
      <c r="J1638">
        <v>1</v>
      </c>
      <c r="K1638" s="3" t="s">
        <v>2379</v>
      </c>
      <c r="P1638" s="3"/>
    </row>
    <row r="1639" spans="1:16" x14ac:dyDescent="0.25">
      <c r="A1639" s="3" t="s">
        <v>732</v>
      </c>
      <c r="B1639">
        <v>19.53</v>
      </c>
      <c r="C1639" t="str" cm="1">
        <f t="array" ref="C1639">_xlfn.IFS(B1639&lt;=18.5,  "Underweight",B1639&lt;=24.9,"Normal weight",B1639&lt;=29.9, "Over weight",B1639&gt;=30,"Obesity")</f>
        <v>Normal weight</v>
      </c>
      <c r="D1639">
        <v>11.68</v>
      </c>
      <c r="E1639" t="str" cm="1">
        <f t="array" ref="E1639">_xlfn.IFS(D1639&lt;5.7,"Normal",D1639&lt;=6.4,"Prediabetes",D1639&gt;=6.5,"Diabetes")</f>
        <v>Diabetes</v>
      </c>
      <c r="F1639" s="3" t="s">
        <v>2379</v>
      </c>
      <c r="G1639" s="3" t="s">
        <v>2379</v>
      </c>
      <c r="H1639" s="3" t="s">
        <v>2379</v>
      </c>
      <c r="I1639" s="1" t="s">
        <v>2380</v>
      </c>
      <c r="J1639">
        <v>0</v>
      </c>
      <c r="K1639" s="3" t="s">
        <v>2379</v>
      </c>
      <c r="P1639" s="3"/>
    </row>
    <row r="1640" spans="1:16" x14ac:dyDescent="0.25">
      <c r="A1640" s="3" t="s">
        <v>731</v>
      </c>
      <c r="B1640">
        <v>34.1</v>
      </c>
      <c r="C1640" t="str" cm="1">
        <f t="array" ref="C1640">_xlfn.IFS(B1640&lt;=18.5,  "Underweight",B1640&lt;=24.9,"Normal weight",B1640&lt;=29.9, "Over weight",B1640&gt;=30,"Obesity")</f>
        <v>Obesity</v>
      </c>
      <c r="D1640">
        <v>5.16</v>
      </c>
      <c r="E1640" t="str" cm="1">
        <f t="array" ref="E1640">_xlfn.IFS(D1640&lt;5.7,"Normal",D1640&lt;=6.4,"Prediabetes",D1640&gt;=6.5,"Diabetes")</f>
        <v>Normal</v>
      </c>
      <c r="F1640" s="3" t="s">
        <v>2379</v>
      </c>
      <c r="G1640" s="3" t="s">
        <v>2379</v>
      </c>
      <c r="H1640" s="3" t="s">
        <v>2379</v>
      </c>
      <c r="I1640" s="1" t="s">
        <v>2380</v>
      </c>
      <c r="J1640">
        <v>0</v>
      </c>
      <c r="K1640" s="3" t="s">
        <v>2379</v>
      </c>
      <c r="P1640" s="3"/>
    </row>
    <row r="1641" spans="1:16" x14ac:dyDescent="0.25">
      <c r="A1641" s="3" t="s">
        <v>730</v>
      </c>
      <c r="B1641">
        <v>16.5</v>
      </c>
      <c r="C1641" t="str" cm="1">
        <f t="array" ref="C1641">_xlfn.IFS(B1641&lt;=18.5,  "Underweight",B1641&lt;=24.9,"Normal weight",B1641&lt;=29.9, "Over weight",B1641&gt;=30,"Obesity")</f>
        <v>Underweight</v>
      </c>
      <c r="D1641">
        <v>6.9</v>
      </c>
      <c r="E1641" t="str" cm="1">
        <f t="array" ref="E1641">_xlfn.IFS(D1641&lt;5.7,"Normal",D1641&lt;=6.4,"Prediabetes",D1641&gt;=6.5,"Diabetes")</f>
        <v>Diabetes</v>
      </c>
      <c r="F1641" s="3" t="s">
        <v>2382</v>
      </c>
      <c r="G1641" s="3" t="s">
        <v>2379</v>
      </c>
      <c r="H1641" s="3" t="s">
        <v>2379</v>
      </c>
      <c r="I1641" s="1">
        <v>2</v>
      </c>
      <c r="J1641">
        <v>2</v>
      </c>
      <c r="K1641" s="3" t="s">
        <v>2379</v>
      </c>
      <c r="P1641" s="3"/>
    </row>
    <row r="1642" spans="1:16" x14ac:dyDescent="0.25">
      <c r="A1642" s="3" t="s">
        <v>729</v>
      </c>
      <c r="B1642">
        <v>30.69</v>
      </c>
      <c r="C1642" t="str" cm="1">
        <f t="array" ref="C1642">_xlfn.IFS(B1642&lt;=18.5,  "Underweight",B1642&lt;=24.9,"Normal weight",B1642&lt;=29.9, "Over weight",B1642&gt;=30,"Obesity")</f>
        <v>Obesity</v>
      </c>
      <c r="D1642">
        <v>4.83</v>
      </c>
      <c r="E1642" t="str" cm="1">
        <f t="array" ref="E1642">_xlfn.IFS(D1642&lt;5.7,"Normal",D1642&lt;=6.4,"Prediabetes",D1642&gt;=6.5,"Diabetes")</f>
        <v>Normal</v>
      </c>
      <c r="F1642" s="3" t="s">
        <v>2379</v>
      </c>
      <c r="G1642" s="3" t="s">
        <v>2379</v>
      </c>
      <c r="H1642" s="3" t="s">
        <v>2379</v>
      </c>
      <c r="I1642" s="1">
        <v>1</v>
      </c>
      <c r="J1642">
        <v>1</v>
      </c>
      <c r="K1642" s="3" t="s">
        <v>2379</v>
      </c>
      <c r="P1642" s="3"/>
    </row>
    <row r="1643" spans="1:16" x14ac:dyDescent="0.25">
      <c r="A1643" s="3" t="s">
        <v>728</v>
      </c>
      <c r="B1643">
        <v>28.93</v>
      </c>
      <c r="C1643" t="str" cm="1">
        <f t="array" ref="C1643">_xlfn.IFS(B1643&lt;=18.5,  "Underweight",B1643&lt;=24.9,"Normal weight",B1643&lt;=29.9, "Over weight",B1643&gt;=30,"Obesity")</f>
        <v>Over weight</v>
      </c>
      <c r="D1643">
        <v>4.87</v>
      </c>
      <c r="E1643" t="str" cm="1">
        <f t="array" ref="E1643">_xlfn.IFS(D1643&lt;5.7,"Normal",D1643&lt;=6.4,"Prediabetes",D1643&gt;=6.5,"Diabetes")</f>
        <v>Normal</v>
      </c>
      <c r="F1643" s="3" t="s">
        <v>2379</v>
      </c>
      <c r="G1643" s="3" t="s">
        <v>2379</v>
      </c>
      <c r="H1643" s="3" t="s">
        <v>2379</v>
      </c>
      <c r="I1643" s="1">
        <v>1</v>
      </c>
      <c r="J1643">
        <v>1</v>
      </c>
      <c r="K1643" s="3" t="s">
        <v>2379</v>
      </c>
      <c r="P1643" s="3"/>
    </row>
    <row r="1644" spans="1:16" x14ac:dyDescent="0.25">
      <c r="A1644" s="3" t="s">
        <v>727</v>
      </c>
      <c r="B1644">
        <v>38.9</v>
      </c>
      <c r="C1644" t="str" cm="1">
        <f t="array" ref="C1644">_xlfn.IFS(B1644&lt;=18.5,  "Underweight",B1644&lt;=24.9,"Normal weight",B1644&lt;=29.9, "Over weight",B1644&gt;=30,"Obesity")</f>
        <v>Obesity</v>
      </c>
      <c r="D1644">
        <v>4.28</v>
      </c>
      <c r="E1644" t="str" cm="1">
        <f t="array" ref="E1644">_xlfn.IFS(D1644&lt;5.7,"Normal",D1644&lt;=6.4,"Prediabetes",D1644&gt;=6.5,"Diabetes")</f>
        <v>Normal</v>
      </c>
      <c r="F1644" s="3" t="s">
        <v>2379</v>
      </c>
      <c r="G1644" s="3" t="s">
        <v>2379</v>
      </c>
      <c r="H1644" s="3" t="s">
        <v>2379</v>
      </c>
      <c r="I1644" s="1" t="s">
        <v>2380</v>
      </c>
      <c r="J1644">
        <v>0</v>
      </c>
      <c r="K1644" s="3" t="s">
        <v>2379</v>
      </c>
      <c r="P1644" s="3"/>
    </row>
    <row r="1645" spans="1:16" x14ac:dyDescent="0.25">
      <c r="A1645" s="3" t="s">
        <v>726</v>
      </c>
      <c r="B1645">
        <v>26.9</v>
      </c>
      <c r="C1645" t="str" cm="1">
        <f t="array" ref="C1645">_xlfn.IFS(B1645&lt;=18.5,  "Underweight",B1645&lt;=24.9,"Normal weight",B1645&lt;=29.9, "Over weight",B1645&gt;=30,"Obesity")</f>
        <v>Over weight</v>
      </c>
      <c r="D1645">
        <v>4.07</v>
      </c>
      <c r="E1645" t="str" cm="1">
        <f t="array" ref="E1645">_xlfn.IFS(D1645&lt;5.7,"Normal",D1645&lt;=6.4,"Prediabetes",D1645&gt;=6.5,"Diabetes")</f>
        <v>Normal</v>
      </c>
      <c r="F1645" s="3" t="s">
        <v>2379</v>
      </c>
      <c r="G1645" s="3" t="s">
        <v>2379</v>
      </c>
      <c r="H1645" s="3" t="s">
        <v>2379</v>
      </c>
      <c r="I1645" s="1" t="s">
        <v>2380</v>
      </c>
      <c r="J1645">
        <v>0</v>
      </c>
      <c r="K1645" s="3" t="s">
        <v>2379</v>
      </c>
      <c r="P1645" s="3"/>
    </row>
    <row r="1646" spans="1:16" x14ac:dyDescent="0.25">
      <c r="A1646" s="3" t="s">
        <v>725</v>
      </c>
      <c r="B1646">
        <v>24.86</v>
      </c>
      <c r="C1646" t="str" cm="1">
        <f t="array" ref="C1646">_xlfn.IFS(B1646&lt;=18.5,  "Underweight",B1646&lt;=24.9,"Normal weight",B1646&lt;=29.9, "Over weight",B1646&gt;=30,"Obesity")</f>
        <v>Normal weight</v>
      </c>
      <c r="D1646">
        <v>6.23</v>
      </c>
      <c r="E1646" t="str" cm="1">
        <f t="array" ref="E1646">_xlfn.IFS(D1646&lt;5.7,"Normal",D1646&lt;=6.4,"Prediabetes",D1646&gt;=6.5,"Diabetes")</f>
        <v>Prediabetes</v>
      </c>
      <c r="F1646" s="3" t="s">
        <v>2379</v>
      </c>
      <c r="G1646" s="3" t="s">
        <v>2379</v>
      </c>
      <c r="H1646" s="3" t="s">
        <v>2379</v>
      </c>
      <c r="I1646" s="1" t="s">
        <v>2380</v>
      </c>
      <c r="J1646">
        <v>0</v>
      </c>
      <c r="K1646" s="3" t="s">
        <v>2379</v>
      </c>
      <c r="P1646" s="3"/>
    </row>
    <row r="1647" spans="1:16" x14ac:dyDescent="0.25">
      <c r="A1647" s="3" t="s">
        <v>724</v>
      </c>
      <c r="B1647">
        <v>39.14</v>
      </c>
      <c r="C1647" t="str" cm="1">
        <f t="array" ref="C1647">_xlfn.IFS(B1647&lt;=18.5,  "Underweight",B1647&lt;=24.9,"Normal weight",B1647&lt;=29.9, "Over weight",B1647&gt;=30,"Obesity")</f>
        <v>Obesity</v>
      </c>
      <c r="D1647">
        <v>6.24</v>
      </c>
      <c r="E1647" t="str" cm="1">
        <f t="array" ref="E1647">_xlfn.IFS(D1647&lt;5.7,"Normal",D1647&lt;=6.4,"Prediabetes",D1647&gt;=6.5,"Diabetes")</f>
        <v>Prediabetes</v>
      </c>
      <c r="F1647" s="3" t="s">
        <v>2379</v>
      </c>
      <c r="G1647" s="3" t="s">
        <v>2381</v>
      </c>
      <c r="H1647" s="3" t="s">
        <v>2379</v>
      </c>
      <c r="I1647" s="1">
        <v>1</v>
      </c>
      <c r="J1647">
        <v>1</v>
      </c>
      <c r="K1647" s="3" t="s">
        <v>2379</v>
      </c>
      <c r="P1647" s="3"/>
    </row>
    <row r="1648" spans="1:16" x14ac:dyDescent="0.25">
      <c r="A1648" s="3" t="s">
        <v>723</v>
      </c>
      <c r="B1648">
        <v>39.799999999999997</v>
      </c>
      <c r="C1648" t="str" cm="1">
        <f t="array" ref="C1648">_xlfn.IFS(B1648&lt;=18.5,  "Underweight",B1648&lt;=24.9,"Normal weight",B1648&lt;=29.9, "Over weight",B1648&gt;=30,"Obesity")</f>
        <v>Obesity</v>
      </c>
      <c r="D1648">
        <v>6.17</v>
      </c>
      <c r="E1648" t="str" cm="1">
        <f t="array" ref="E1648">_xlfn.IFS(D1648&lt;5.7,"Normal",D1648&lt;=6.4,"Prediabetes",D1648&gt;=6.5,"Diabetes")</f>
        <v>Prediabetes</v>
      </c>
      <c r="F1648" s="3" t="s">
        <v>2379</v>
      </c>
      <c r="G1648" s="3" t="s">
        <v>2379</v>
      </c>
      <c r="H1648" s="3" t="s">
        <v>2382</v>
      </c>
      <c r="I1648" s="1">
        <v>1</v>
      </c>
      <c r="J1648">
        <v>1</v>
      </c>
      <c r="K1648" s="3" t="s">
        <v>2379</v>
      </c>
      <c r="P1648" s="3"/>
    </row>
    <row r="1649" spans="1:16" x14ac:dyDescent="0.25">
      <c r="A1649" s="3" t="s">
        <v>722</v>
      </c>
      <c r="B1649">
        <v>34.32</v>
      </c>
      <c r="C1649" t="str" cm="1">
        <f t="array" ref="C1649">_xlfn.IFS(B1649&lt;=18.5,  "Underweight",B1649&lt;=24.9,"Normal weight",B1649&lt;=29.9, "Over weight",B1649&gt;=30,"Obesity")</f>
        <v>Obesity</v>
      </c>
      <c r="D1649">
        <v>5.16</v>
      </c>
      <c r="E1649" t="str" cm="1">
        <f t="array" ref="E1649">_xlfn.IFS(D1649&lt;5.7,"Normal",D1649&lt;=6.4,"Prediabetes",D1649&gt;=6.5,"Diabetes")</f>
        <v>Normal</v>
      </c>
      <c r="F1649" s="3" t="s">
        <v>2379</v>
      </c>
      <c r="G1649" s="3" t="s">
        <v>2379</v>
      </c>
      <c r="H1649" s="3" t="s">
        <v>2379</v>
      </c>
      <c r="I1649" s="1">
        <v>1</v>
      </c>
      <c r="J1649">
        <v>1</v>
      </c>
      <c r="K1649" s="3" t="s">
        <v>2379</v>
      </c>
      <c r="P1649" s="3"/>
    </row>
    <row r="1650" spans="1:16" x14ac:dyDescent="0.25">
      <c r="A1650" s="3" t="s">
        <v>721</v>
      </c>
      <c r="B1650">
        <v>32.51</v>
      </c>
      <c r="C1650" t="str" cm="1">
        <f t="array" ref="C1650">_xlfn.IFS(B1650&lt;=18.5,  "Underweight",B1650&lt;=24.9,"Normal weight",B1650&lt;=29.9, "Over weight",B1650&gt;=30,"Obesity")</f>
        <v>Obesity</v>
      </c>
      <c r="D1650">
        <v>4.3</v>
      </c>
      <c r="E1650" t="str" cm="1">
        <f t="array" ref="E1650">_xlfn.IFS(D1650&lt;5.7,"Normal",D1650&lt;=6.4,"Prediabetes",D1650&gt;=6.5,"Diabetes")</f>
        <v>Normal</v>
      </c>
      <c r="F1650" s="3" t="s">
        <v>2379</v>
      </c>
      <c r="G1650" s="3" t="s">
        <v>2379</v>
      </c>
      <c r="H1650" s="3" t="s">
        <v>2379</v>
      </c>
      <c r="I1650" s="1" t="s">
        <v>2380</v>
      </c>
      <c r="J1650">
        <v>0</v>
      </c>
      <c r="K1650" s="3" t="s">
        <v>2379</v>
      </c>
      <c r="P1650" s="3"/>
    </row>
    <row r="1651" spans="1:16" x14ac:dyDescent="0.25">
      <c r="A1651" s="3" t="s">
        <v>720</v>
      </c>
      <c r="B1651">
        <v>30.71</v>
      </c>
      <c r="C1651" t="str" cm="1">
        <f t="array" ref="C1651">_xlfn.IFS(B1651&lt;=18.5,  "Underweight",B1651&lt;=24.9,"Normal weight",B1651&lt;=29.9, "Over weight",B1651&gt;=30,"Obesity")</f>
        <v>Obesity</v>
      </c>
      <c r="D1651">
        <v>6.14</v>
      </c>
      <c r="E1651" t="str" cm="1">
        <f t="array" ref="E1651">_xlfn.IFS(D1651&lt;5.7,"Normal",D1651&lt;=6.4,"Prediabetes",D1651&gt;=6.5,"Diabetes")</f>
        <v>Prediabetes</v>
      </c>
      <c r="F1651" s="3" t="s">
        <v>2379</v>
      </c>
      <c r="G1651" s="3" t="s">
        <v>2379</v>
      </c>
      <c r="H1651" s="3" t="s">
        <v>2382</v>
      </c>
      <c r="I1651" s="1">
        <v>1</v>
      </c>
      <c r="J1651">
        <v>1</v>
      </c>
      <c r="K1651" s="3" t="s">
        <v>2379</v>
      </c>
      <c r="P1651" s="3"/>
    </row>
    <row r="1652" spans="1:16" x14ac:dyDescent="0.25">
      <c r="A1652" s="3" t="s">
        <v>719</v>
      </c>
      <c r="B1652">
        <v>28.9</v>
      </c>
      <c r="C1652" t="str" cm="1">
        <f t="array" ref="C1652">_xlfn.IFS(B1652&lt;=18.5,  "Underweight",B1652&lt;=24.9,"Normal weight",B1652&lt;=29.9, "Over weight",B1652&gt;=30,"Obesity")</f>
        <v>Over weight</v>
      </c>
      <c r="D1652">
        <v>5.36</v>
      </c>
      <c r="E1652" t="str" cm="1">
        <f t="array" ref="E1652">_xlfn.IFS(D1652&lt;5.7,"Normal",D1652&lt;=6.4,"Prediabetes",D1652&gt;=6.5,"Diabetes")</f>
        <v>Normal</v>
      </c>
      <c r="F1652" s="3" t="s">
        <v>2379</v>
      </c>
      <c r="G1652" s="3" t="s">
        <v>2379</v>
      </c>
      <c r="H1652" s="3" t="s">
        <v>2379</v>
      </c>
      <c r="I1652" s="1">
        <v>1</v>
      </c>
      <c r="J1652">
        <v>1</v>
      </c>
      <c r="K1652" s="3" t="s">
        <v>2379</v>
      </c>
      <c r="P1652" s="3"/>
    </row>
    <row r="1653" spans="1:16" x14ac:dyDescent="0.25">
      <c r="A1653" s="3" t="s">
        <v>718</v>
      </c>
      <c r="B1653">
        <v>36.19</v>
      </c>
      <c r="C1653" t="str" cm="1">
        <f t="array" ref="C1653">_xlfn.IFS(B1653&lt;=18.5,  "Underweight",B1653&lt;=24.9,"Normal weight",B1653&lt;=29.9, "Over weight",B1653&gt;=30,"Obesity")</f>
        <v>Obesity</v>
      </c>
      <c r="D1653">
        <v>4.3</v>
      </c>
      <c r="E1653" t="str" cm="1">
        <f t="array" ref="E1653">_xlfn.IFS(D1653&lt;5.7,"Normal",D1653&lt;=6.4,"Prediabetes",D1653&gt;=6.5,"Diabetes")</f>
        <v>Normal</v>
      </c>
      <c r="F1653" s="3" t="s">
        <v>2379</v>
      </c>
      <c r="G1653" s="3" t="s">
        <v>2379</v>
      </c>
      <c r="H1653" s="3" t="s">
        <v>2379</v>
      </c>
      <c r="I1653" s="1" t="s">
        <v>2380</v>
      </c>
      <c r="J1653">
        <v>0</v>
      </c>
      <c r="K1653" s="3" t="s">
        <v>2379</v>
      </c>
      <c r="P1653" s="3"/>
    </row>
    <row r="1654" spans="1:16" x14ac:dyDescent="0.25">
      <c r="A1654" s="3" t="s">
        <v>717</v>
      </c>
      <c r="B1654">
        <v>29.6</v>
      </c>
      <c r="C1654" t="str" cm="1">
        <f t="array" ref="C1654">_xlfn.IFS(B1654&lt;=18.5,  "Underweight",B1654&lt;=24.9,"Normal weight",B1654&lt;=29.9, "Over weight",B1654&gt;=30,"Obesity")</f>
        <v>Over weight</v>
      </c>
      <c r="D1654">
        <v>4.09</v>
      </c>
      <c r="E1654" t="str" cm="1">
        <f t="array" ref="E1654">_xlfn.IFS(D1654&lt;5.7,"Normal",D1654&lt;=6.4,"Prediabetes",D1654&gt;=6.5,"Diabetes")</f>
        <v>Normal</v>
      </c>
      <c r="F1654" s="3" t="s">
        <v>2379</v>
      </c>
      <c r="G1654" s="3" t="s">
        <v>2379</v>
      </c>
      <c r="H1654" s="3" t="s">
        <v>2379</v>
      </c>
      <c r="I1654" s="1" t="s">
        <v>2380</v>
      </c>
      <c r="J1654">
        <v>0</v>
      </c>
      <c r="K1654" s="3" t="s">
        <v>2379</v>
      </c>
      <c r="P1654" s="3"/>
    </row>
    <row r="1655" spans="1:16" x14ac:dyDescent="0.25">
      <c r="A1655" s="3" t="s">
        <v>716</v>
      </c>
      <c r="B1655">
        <v>30.95</v>
      </c>
      <c r="C1655" t="str" cm="1">
        <f t="array" ref="C1655">_xlfn.IFS(B1655&lt;=18.5,  "Underweight",B1655&lt;=24.9,"Normal weight",B1655&lt;=29.9, "Over weight",B1655&gt;=30,"Obesity")</f>
        <v>Obesity</v>
      </c>
      <c r="D1655">
        <v>6.27</v>
      </c>
      <c r="E1655" t="str" cm="1">
        <f t="array" ref="E1655">_xlfn.IFS(D1655&lt;5.7,"Normal",D1655&lt;=6.4,"Prediabetes",D1655&gt;=6.5,"Diabetes")</f>
        <v>Prediabetes</v>
      </c>
      <c r="F1655" s="3" t="s">
        <v>2379</v>
      </c>
      <c r="G1655" s="3" t="s">
        <v>2379</v>
      </c>
      <c r="H1655" s="3" t="s">
        <v>2382</v>
      </c>
      <c r="I1655" s="1">
        <v>1</v>
      </c>
      <c r="J1655">
        <v>1</v>
      </c>
      <c r="K1655" s="3" t="s">
        <v>2379</v>
      </c>
      <c r="P1655" s="3"/>
    </row>
    <row r="1656" spans="1:16" x14ac:dyDescent="0.25">
      <c r="A1656" s="3" t="s">
        <v>715</v>
      </c>
      <c r="B1656">
        <v>19.95</v>
      </c>
      <c r="C1656" t="str" cm="1">
        <f t="array" ref="C1656">_xlfn.IFS(B1656&lt;=18.5,  "Underweight",B1656&lt;=24.9,"Normal weight",B1656&lt;=29.9, "Over weight",B1656&gt;=30,"Obesity")</f>
        <v>Normal weight</v>
      </c>
      <c r="D1656">
        <v>5.39</v>
      </c>
      <c r="E1656" t="str" cm="1">
        <f t="array" ref="E1656">_xlfn.IFS(D1656&lt;5.7,"Normal",D1656&lt;=6.4,"Prediabetes",D1656&gt;=6.5,"Diabetes")</f>
        <v>Normal</v>
      </c>
      <c r="F1656" s="3" t="s">
        <v>2379</v>
      </c>
      <c r="G1656" s="3" t="s">
        <v>2379</v>
      </c>
      <c r="H1656" s="3" t="s">
        <v>2379</v>
      </c>
      <c r="I1656" s="1">
        <v>1</v>
      </c>
      <c r="J1656">
        <v>1</v>
      </c>
      <c r="K1656" s="3" t="s">
        <v>2379</v>
      </c>
      <c r="P1656" s="3"/>
    </row>
    <row r="1657" spans="1:16" x14ac:dyDescent="0.25">
      <c r="A1657" s="3" t="s">
        <v>714</v>
      </c>
      <c r="B1657">
        <v>23.65</v>
      </c>
      <c r="C1657" t="str" cm="1">
        <f t="array" ref="C1657">_xlfn.IFS(B1657&lt;=18.5,  "Underweight",B1657&lt;=24.9,"Normal weight",B1657&lt;=29.9, "Over weight",B1657&gt;=30,"Obesity")</f>
        <v>Normal weight</v>
      </c>
      <c r="D1657">
        <v>5.75</v>
      </c>
      <c r="E1657" t="str" cm="1">
        <f t="array" ref="E1657">_xlfn.IFS(D1657&lt;5.7,"Normal",D1657&lt;=6.4,"Prediabetes",D1657&gt;=6.5,"Diabetes")</f>
        <v>Prediabetes</v>
      </c>
      <c r="F1657" s="3" t="s">
        <v>2382</v>
      </c>
      <c r="G1657" s="3" t="s">
        <v>2379</v>
      </c>
      <c r="H1657" s="3" t="s">
        <v>2379</v>
      </c>
      <c r="I1657" s="1" t="s">
        <v>2380</v>
      </c>
      <c r="J1657">
        <v>0</v>
      </c>
      <c r="K1657" s="3" t="s">
        <v>2379</v>
      </c>
      <c r="P1657" s="3"/>
    </row>
    <row r="1658" spans="1:16" x14ac:dyDescent="0.25">
      <c r="A1658" s="3" t="s">
        <v>713</v>
      </c>
      <c r="B1658">
        <v>43.34</v>
      </c>
      <c r="C1658" t="str" cm="1">
        <f t="array" ref="C1658">_xlfn.IFS(B1658&lt;=18.5,  "Underweight",B1658&lt;=24.9,"Normal weight",B1658&lt;=29.9, "Over weight",B1658&gt;=30,"Obesity")</f>
        <v>Obesity</v>
      </c>
      <c r="D1658">
        <v>4.91</v>
      </c>
      <c r="E1658" t="str" cm="1">
        <f t="array" ref="E1658">_xlfn.IFS(D1658&lt;5.7,"Normal",D1658&lt;=6.4,"Prediabetes",D1658&gt;=6.5,"Diabetes")</f>
        <v>Normal</v>
      </c>
      <c r="F1658" s="3" t="s">
        <v>2379</v>
      </c>
      <c r="G1658" s="3" t="s">
        <v>2379</v>
      </c>
      <c r="H1658" s="3" t="s">
        <v>2379</v>
      </c>
      <c r="I1658" s="1">
        <v>1</v>
      </c>
      <c r="J1658">
        <v>1</v>
      </c>
      <c r="K1658" s="3" t="s">
        <v>2379</v>
      </c>
      <c r="P1658" s="3"/>
    </row>
    <row r="1659" spans="1:16" x14ac:dyDescent="0.25">
      <c r="A1659" s="3" t="s">
        <v>712</v>
      </c>
      <c r="B1659">
        <v>31.98</v>
      </c>
      <c r="C1659" t="str" cm="1">
        <f t="array" ref="C1659">_xlfn.IFS(B1659&lt;=18.5,  "Underweight",B1659&lt;=24.9,"Normal weight",B1659&lt;=29.9, "Over weight",B1659&gt;=30,"Obesity")</f>
        <v>Obesity</v>
      </c>
      <c r="D1659">
        <v>4.46</v>
      </c>
      <c r="E1659" t="str" cm="1">
        <f t="array" ref="E1659">_xlfn.IFS(D1659&lt;5.7,"Normal",D1659&lt;=6.4,"Prediabetes",D1659&gt;=6.5,"Diabetes")</f>
        <v>Normal</v>
      </c>
      <c r="F1659" s="3" t="s">
        <v>2382</v>
      </c>
      <c r="G1659" s="3" t="s">
        <v>2379</v>
      </c>
      <c r="H1659" s="3" t="s">
        <v>2379</v>
      </c>
      <c r="I1659" s="1">
        <v>1</v>
      </c>
      <c r="J1659">
        <v>1</v>
      </c>
      <c r="K1659" s="3" t="s">
        <v>2379</v>
      </c>
      <c r="P1659" s="3"/>
    </row>
    <row r="1660" spans="1:16" x14ac:dyDescent="0.25">
      <c r="A1660" s="3" t="s">
        <v>711</v>
      </c>
      <c r="B1660">
        <v>35.86</v>
      </c>
      <c r="C1660" t="str" cm="1">
        <f t="array" ref="C1660">_xlfn.IFS(B1660&lt;=18.5,  "Underweight",B1660&lt;=24.9,"Normal weight",B1660&lt;=29.9, "Over weight",B1660&gt;=30,"Obesity")</f>
        <v>Obesity</v>
      </c>
      <c r="D1660">
        <v>6.22</v>
      </c>
      <c r="E1660" t="str" cm="1">
        <f t="array" ref="E1660">_xlfn.IFS(D1660&lt;5.7,"Normal",D1660&lt;=6.4,"Prediabetes",D1660&gt;=6.5,"Diabetes")</f>
        <v>Prediabetes</v>
      </c>
      <c r="F1660" s="3" t="s">
        <v>2379</v>
      </c>
      <c r="G1660" s="3" t="s">
        <v>2379</v>
      </c>
      <c r="H1660" s="3" t="s">
        <v>2379</v>
      </c>
      <c r="I1660" s="1">
        <v>1</v>
      </c>
      <c r="J1660">
        <v>1</v>
      </c>
      <c r="K1660" s="3" t="s">
        <v>2379</v>
      </c>
      <c r="P1660" s="3"/>
    </row>
    <row r="1661" spans="1:16" x14ac:dyDescent="0.25">
      <c r="A1661" s="3" t="s">
        <v>710</v>
      </c>
      <c r="B1661">
        <v>15.2</v>
      </c>
      <c r="C1661" t="str" cm="1">
        <f t="array" ref="C1661">_xlfn.IFS(B1661&lt;=18.5,  "Underweight",B1661&lt;=24.9,"Normal weight",B1661&lt;=29.9, "Over weight",B1661&gt;=30,"Obesity")</f>
        <v>Underweight</v>
      </c>
      <c r="D1661">
        <v>8.82</v>
      </c>
      <c r="E1661" t="str" cm="1">
        <f t="array" ref="E1661">_xlfn.IFS(D1661&lt;5.7,"Normal",D1661&lt;=6.4,"Prediabetes",D1661&gt;=6.5,"Diabetes")</f>
        <v>Diabetes</v>
      </c>
      <c r="F1661" s="3" t="s">
        <v>2379</v>
      </c>
      <c r="G1661" s="3" t="s">
        <v>2379</v>
      </c>
      <c r="H1661" s="3" t="s">
        <v>2379</v>
      </c>
      <c r="I1661" s="1" t="s">
        <v>2380</v>
      </c>
      <c r="J1661">
        <v>0</v>
      </c>
      <c r="K1661" s="3" t="s">
        <v>2379</v>
      </c>
      <c r="P1661" s="3"/>
    </row>
    <row r="1662" spans="1:16" x14ac:dyDescent="0.25">
      <c r="A1662" s="3" t="s">
        <v>709</v>
      </c>
      <c r="B1662">
        <v>37.200000000000003</v>
      </c>
      <c r="C1662" t="str" cm="1">
        <f t="array" ref="C1662">_xlfn.IFS(B1662&lt;=18.5,  "Underweight",B1662&lt;=24.9,"Normal weight",B1662&lt;=29.9, "Over weight",B1662&gt;=30,"Obesity")</f>
        <v>Obesity</v>
      </c>
      <c r="D1662">
        <v>10.14</v>
      </c>
      <c r="E1662" t="str" cm="1">
        <f t="array" ref="E1662">_xlfn.IFS(D1662&lt;5.7,"Normal",D1662&lt;=6.4,"Prediabetes",D1662&gt;=6.5,"Diabetes")</f>
        <v>Diabetes</v>
      </c>
      <c r="F1662" s="3" t="s">
        <v>2379</v>
      </c>
      <c r="G1662" s="3" t="s">
        <v>2379</v>
      </c>
      <c r="H1662" s="3" t="s">
        <v>2379</v>
      </c>
      <c r="I1662" s="1" t="s">
        <v>2380</v>
      </c>
      <c r="J1662">
        <v>0</v>
      </c>
      <c r="K1662" s="3" t="s">
        <v>2379</v>
      </c>
      <c r="P1662" s="3"/>
    </row>
    <row r="1663" spans="1:16" x14ac:dyDescent="0.25">
      <c r="A1663" s="3" t="s">
        <v>708</v>
      </c>
      <c r="B1663">
        <v>17.91</v>
      </c>
      <c r="C1663" t="str" cm="1">
        <f t="array" ref="C1663">_xlfn.IFS(B1663&lt;=18.5,  "Underweight",B1663&lt;=24.9,"Normal weight",B1663&lt;=29.9, "Over weight",B1663&gt;=30,"Obesity")</f>
        <v>Underweight</v>
      </c>
      <c r="D1663">
        <v>4.66</v>
      </c>
      <c r="E1663" t="str" cm="1">
        <f t="array" ref="E1663">_xlfn.IFS(D1663&lt;5.7,"Normal",D1663&lt;=6.4,"Prediabetes",D1663&gt;=6.5,"Diabetes")</f>
        <v>Normal</v>
      </c>
      <c r="F1663" s="3" t="s">
        <v>2379</v>
      </c>
      <c r="G1663" s="3" t="s">
        <v>2379</v>
      </c>
      <c r="H1663" s="3" t="s">
        <v>2379</v>
      </c>
      <c r="I1663" s="1">
        <v>2</v>
      </c>
      <c r="J1663">
        <v>2</v>
      </c>
      <c r="K1663" s="3" t="s">
        <v>2379</v>
      </c>
      <c r="P1663" s="3"/>
    </row>
    <row r="1664" spans="1:16" x14ac:dyDescent="0.25">
      <c r="A1664" s="3" t="s">
        <v>707</v>
      </c>
      <c r="B1664">
        <v>20.76</v>
      </c>
      <c r="C1664" t="str" cm="1">
        <f t="array" ref="C1664">_xlfn.IFS(B1664&lt;=18.5,  "Underweight",B1664&lt;=24.9,"Normal weight",B1664&lt;=29.9, "Over weight",B1664&gt;=30,"Obesity")</f>
        <v>Normal weight</v>
      </c>
      <c r="D1664">
        <v>6.26</v>
      </c>
      <c r="E1664" t="str" cm="1">
        <f t="array" ref="E1664">_xlfn.IFS(D1664&lt;5.7,"Normal",D1664&lt;=6.4,"Prediabetes",D1664&gt;=6.5,"Diabetes")</f>
        <v>Prediabetes</v>
      </c>
      <c r="F1664" s="3" t="s">
        <v>2379</v>
      </c>
      <c r="G1664" s="3" t="s">
        <v>2379</v>
      </c>
      <c r="H1664" s="3" t="s">
        <v>2379</v>
      </c>
      <c r="I1664" s="1" t="s">
        <v>2380</v>
      </c>
      <c r="J1664">
        <v>0</v>
      </c>
      <c r="K1664" s="3" t="s">
        <v>2379</v>
      </c>
      <c r="P1664" s="3"/>
    </row>
    <row r="1665" spans="1:16" x14ac:dyDescent="0.25">
      <c r="A1665" s="3" t="s">
        <v>706</v>
      </c>
      <c r="B1665">
        <v>38.99</v>
      </c>
      <c r="C1665" t="str" cm="1">
        <f t="array" ref="C1665">_xlfn.IFS(B1665&lt;=18.5,  "Underweight",B1665&lt;=24.9,"Normal weight",B1665&lt;=29.9, "Over weight",B1665&gt;=30,"Obesity")</f>
        <v>Obesity</v>
      </c>
      <c r="D1665">
        <v>5.21</v>
      </c>
      <c r="E1665" t="str" cm="1">
        <f t="array" ref="E1665">_xlfn.IFS(D1665&lt;5.7,"Normal",D1665&lt;=6.4,"Prediabetes",D1665&gt;=6.5,"Diabetes")</f>
        <v>Normal</v>
      </c>
      <c r="F1665" s="3" t="s">
        <v>2379</v>
      </c>
      <c r="G1665" s="3" t="s">
        <v>2381</v>
      </c>
      <c r="H1665" s="3" t="s">
        <v>2379</v>
      </c>
      <c r="I1665" s="1">
        <v>1</v>
      </c>
      <c r="J1665">
        <v>1</v>
      </c>
      <c r="K1665" s="3" t="s">
        <v>2379</v>
      </c>
      <c r="P1665" s="3"/>
    </row>
    <row r="1666" spans="1:16" x14ac:dyDescent="0.25">
      <c r="A1666" s="3" t="s">
        <v>705</v>
      </c>
      <c r="B1666">
        <v>42.655000000000001</v>
      </c>
      <c r="C1666" t="str" cm="1">
        <f t="array" ref="C1666">_xlfn.IFS(B1666&lt;=18.5,  "Underweight",B1666&lt;=24.9,"Normal weight",B1666&lt;=29.9, "Over weight",B1666&gt;=30,"Obesity")</f>
        <v>Obesity</v>
      </c>
      <c r="D1666">
        <v>5.94</v>
      </c>
      <c r="E1666" t="str" cm="1">
        <f t="array" ref="E1666">_xlfn.IFS(D1666&lt;5.7,"Normal",D1666&lt;=6.4,"Prediabetes",D1666&gt;=6.5,"Diabetes")</f>
        <v>Prediabetes</v>
      </c>
      <c r="F1666" s="3" t="s">
        <v>2382</v>
      </c>
      <c r="G1666" s="3" t="s">
        <v>2379</v>
      </c>
      <c r="H1666" s="3" t="s">
        <v>2382</v>
      </c>
      <c r="I1666" s="1">
        <v>1</v>
      </c>
      <c r="J1666">
        <v>1</v>
      </c>
      <c r="K1666" s="3" t="s">
        <v>2379</v>
      </c>
      <c r="P1666" s="3"/>
    </row>
    <row r="1667" spans="1:16" x14ac:dyDescent="0.25">
      <c r="A1667" s="3" t="s">
        <v>704</v>
      </c>
      <c r="B1667">
        <v>30.57</v>
      </c>
      <c r="C1667" t="str" cm="1">
        <f t="array" ref="C1667">_xlfn.IFS(B1667&lt;=18.5,  "Underweight",B1667&lt;=24.9,"Normal weight",B1667&lt;=29.9, "Over weight",B1667&gt;=30,"Obesity")</f>
        <v>Obesity</v>
      </c>
      <c r="D1667">
        <v>5.34</v>
      </c>
      <c r="E1667" t="str" cm="1">
        <f t="array" ref="E1667">_xlfn.IFS(D1667&lt;5.7,"Normal",D1667&lt;=6.4,"Prediabetes",D1667&gt;=6.5,"Diabetes")</f>
        <v>Normal</v>
      </c>
      <c r="F1667" s="3" t="s">
        <v>2379</v>
      </c>
      <c r="G1667" s="3" t="s">
        <v>2379</v>
      </c>
      <c r="H1667" s="3" t="s">
        <v>2382</v>
      </c>
      <c r="I1667" s="1">
        <v>1</v>
      </c>
      <c r="J1667">
        <v>1</v>
      </c>
      <c r="K1667" s="3" t="s">
        <v>2379</v>
      </c>
      <c r="P1667" s="3"/>
    </row>
    <row r="1668" spans="1:16" x14ac:dyDescent="0.25">
      <c r="A1668" s="3" t="s">
        <v>703</v>
      </c>
      <c r="B1668">
        <v>17.7</v>
      </c>
      <c r="C1668" t="str" cm="1">
        <f t="array" ref="C1668">_xlfn.IFS(B1668&lt;=18.5,  "Underweight",B1668&lt;=24.9,"Normal weight",B1668&lt;=29.9, "Over weight",B1668&gt;=30,"Obesity")</f>
        <v>Underweight</v>
      </c>
      <c r="D1668">
        <v>6.38</v>
      </c>
      <c r="E1668" t="str" cm="1">
        <f t="array" ref="E1668">_xlfn.IFS(D1668&lt;5.7,"Normal",D1668&lt;=6.4,"Prediabetes",D1668&gt;=6.5,"Diabetes")</f>
        <v>Prediabetes</v>
      </c>
      <c r="F1668" s="3" t="s">
        <v>2379</v>
      </c>
      <c r="G1668" s="3" t="s">
        <v>2379</v>
      </c>
      <c r="H1668" s="3" t="s">
        <v>2379</v>
      </c>
      <c r="I1668" s="1">
        <v>2</v>
      </c>
      <c r="J1668">
        <v>2</v>
      </c>
      <c r="K1668" s="3" t="s">
        <v>2379</v>
      </c>
      <c r="P1668" s="3"/>
    </row>
    <row r="1669" spans="1:16" x14ac:dyDescent="0.25">
      <c r="A1669" s="3" t="s">
        <v>702</v>
      </c>
      <c r="B1669">
        <v>34.770000000000003</v>
      </c>
      <c r="C1669" t="str" cm="1">
        <f t="array" ref="C1669">_xlfn.IFS(B1669&lt;=18.5,  "Underweight",B1669&lt;=24.9,"Normal weight",B1669&lt;=29.9, "Over weight",B1669&gt;=30,"Obesity")</f>
        <v>Obesity</v>
      </c>
      <c r="D1669">
        <v>4.47</v>
      </c>
      <c r="E1669" t="str" cm="1">
        <f t="array" ref="E1669">_xlfn.IFS(D1669&lt;5.7,"Normal",D1669&lt;=6.4,"Prediabetes",D1669&gt;=6.5,"Diabetes")</f>
        <v>Normal</v>
      </c>
      <c r="F1669" s="3" t="s">
        <v>2379</v>
      </c>
      <c r="G1669" s="3" t="s">
        <v>2379</v>
      </c>
      <c r="H1669" s="3" t="s">
        <v>2379</v>
      </c>
      <c r="I1669" s="1">
        <v>1</v>
      </c>
      <c r="J1669">
        <v>1</v>
      </c>
      <c r="K1669" s="3" t="s">
        <v>2379</v>
      </c>
      <c r="P1669" s="3"/>
    </row>
    <row r="1670" spans="1:16" x14ac:dyDescent="0.25">
      <c r="A1670" s="3" t="s">
        <v>701</v>
      </c>
      <c r="B1670">
        <v>16.88</v>
      </c>
      <c r="C1670" t="str" cm="1">
        <f t="array" ref="C1670">_xlfn.IFS(B1670&lt;=18.5,  "Underweight",B1670&lt;=24.9,"Normal weight",B1670&lt;=29.9, "Over weight",B1670&gt;=30,"Obesity")</f>
        <v>Underweight</v>
      </c>
      <c r="D1670">
        <v>9.9600000000000009</v>
      </c>
      <c r="E1670" t="str" cm="1">
        <f t="array" ref="E1670">_xlfn.IFS(D1670&lt;5.7,"Normal",D1670&lt;=6.4,"Prediabetes",D1670&gt;=6.5,"Diabetes")</f>
        <v>Diabetes</v>
      </c>
      <c r="F1670" s="3" t="s">
        <v>2379</v>
      </c>
      <c r="G1670" s="3" t="s">
        <v>2379</v>
      </c>
      <c r="H1670" s="3" t="s">
        <v>2379</v>
      </c>
      <c r="I1670" s="1" t="s">
        <v>2380</v>
      </c>
      <c r="J1670">
        <v>0</v>
      </c>
      <c r="K1670" s="3" t="s">
        <v>2379</v>
      </c>
      <c r="P1670" s="3"/>
    </row>
    <row r="1671" spans="1:16" x14ac:dyDescent="0.25">
      <c r="A1671" s="3" t="s">
        <v>700</v>
      </c>
      <c r="B1671">
        <v>40.26</v>
      </c>
      <c r="C1671" t="str" cm="1">
        <f t="array" ref="C1671">_xlfn.IFS(B1671&lt;=18.5,  "Underweight",B1671&lt;=24.9,"Normal weight",B1671&lt;=29.9, "Over weight",B1671&gt;=30,"Obesity")</f>
        <v>Obesity</v>
      </c>
      <c r="D1671">
        <v>9.92</v>
      </c>
      <c r="E1671" t="str" cm="1">
        <f t="array" ref="E1671">_xlfn.IFS(D1671&lt;5.7,"Normal",D1671&lt;=6.4,"Prediabetes",D1671&gt;=6.5,"Diabetes")</f>
        <v>Diabetes</v>
      </c>
      <c r="F1671" s="3" t="s">
        <v>2382</v>
      </c>
      <c r="G1671" s="3" t="s">
        <v>2379</v>
      </c>
      <c r="H1671" s="3" t="s">
        <v>2379</v>
      </c>
      <c r="I1671" s="1" t="s">
        <v>2380</v>
      </c>
      <c r="J1671">
        <v>0</v>
      </c>
      <c r="K1671" s="3" t="s">
        <v>2379</v>
      </c>
      <c r="P1671" s="3"/>
    </row>
    <row r="1672" spans="1:16" x14ac:dyDescent="0.25">
      <c r="A1672" s="3" t="s">
        <v>699</v>
      </c>
      <c r="B1672">
        <v>25.6</v>
      </c>
      <c r="C1672" t="str" cm="1">
        <f t="array" ref="C1672">_xlfn.IFS(B1672&lt;=18.5,  "Underweight",B1672&lt;=24.9,"Normal weight",B1672&lt;=29.9, "Over weight",B1672&gt;=30,"Obesity")</f>
        <v>Over weight</v>
      </c>
      <c r="D1672">
        <v>6.03</v>
      </c>
      <c r="E1672" t="str" cm="1">
        <f t="array" ref="E1672">_xlfn.IFS(D1672&lt;5.7,"Normal",D1672&lt;=6.4,"Prediabetes",D1672&gt;=6.5,"Diabetes")</f>
        <v>Prediabetes</v>
      </c>
      <c r="F1672" s="3" t="s">
        <v>2379</v>
      </c>
      <c r="G1672" s="3" t="s">
        <v>2379</v>
      </c>
      <c r="H1672" s="3" t="s">
        <v>2382</v>
      </c>
      <c r="I1672" s="1">
        <v>1</v>
      </c>
      <c r="J1672">
        <v>1</v>
      </c>
      <c r="K1672" s="3" t="s">
        <v>2379</v>
      </c>
      <c r="P1672" s="3"/>
    </row>
    <row r="1673" spans="1:16" x14ac:dyDescent="0.25">
      <c r="A1673" s="3" t="s">
        <v>698</v>
      </c>
      <c r="B1673">
        <v>33.549999999999997</v>
      </c>
      <c r="C1673" t="str" cm="1">
        <f t="array" ref="C1673">_xlfn.IFS(B1673&lt;=18.5,  "Underweight",B1673&lt;=24.9,"Normal weight",B1673&lt;=29.9, "Over weight",B1673&gt;=30,"Obesity")</f>
        <v>Obesity</v>
      </c>
      <c r="D1673">
        <v>10.9</v>
      </c>
      <c r="E1673" t="str" cm="1">
        <f t="array" ref="E1673">_xlfn.IFS(D1673&lt;5.7,"Normal",D1673&lt;=6.4,"Prediabetes",D1673&gt;=6.5,"Diabetes")</f>
        <v>Diabetes</v>
      </c>
      <c r="F1673" s="3" t="s">
        <v>2382</v>
      </c>
      <c r="G1673" s="3" t="s">
        <v>2379</v>
      </c>
      <c r="H1673" s="3" t="s">
        <v>2379</v>
      </c>
      <c r="I1673" s="1" t="s">
        <v>2380</v>
      </c>
      <c r="J1673">
        <v>0</v>
      </c>
      <c r="K1673" s="3" t="s">
        <v>2379</v>
      </c>
      <c r="P1673" s="3"/>
    </row>
    <row r="1674" spans="1:16" x14ac:dyDescent="0.25">
      <c r="A1674" s="3" t="s">
        <v>697</v>
      </c>
      <c r="B1674">
        <v>16.690000000000001</v>
      </c>
      <c r="C1674" t="str" cm="1">
        <f t="array" ref="C1674">_xlfn.IFS(B1674&lt;=18.5,  "Underweight",B1674&lt;=24.9,"Normal weight",B1674&lt;=29.9, "Over weight",B1674&gt;=30,"Obesity")</f>
        <v>Underweight</v>
      </c>
      <c r="D1674">
        <v>10.66</v>
      </c>
      <c r="E1674" t="str" cm="1">
        <f t="array" ref="E1674">_xlfn.IFS(D1674&lt;5.7,"Normal",D1674&lt;=6.4,"Prediabetes",D1674&gt;=6.5,"Diabetes")</f>
        <v>Diabetes</v>
      </c>
      <c r="F1674" s="3" t="s">
        <v>2379</v>
      </c>
      <c r="G1674" s="3" t="s">
        <v>2379</v>
      </c>
      <c r="H1674" s="3" t="s">
        <v>2379</v>
      </c>
      <c r="I1674" s="1" t="s">
        <v>2380</v>
      </c>
      <c r="J1674">
        <v>0</v>
      </c>
      <c r="K1674" s="3" t="s">
        <v>2379</v>
      </c>
      <c r="P1674" s="3"/>
    </row>
    <row r="1675" spans="1:16" x14ac:dyDescent="0.25">
      <c r="A1675" s="3" t="s">
        <v>696</v>
      </c>
      <c r="B1675">
        <v>19.95</v>
      </c>
      <c r="C1675" t="str" cm="1">
        <f t="array" ref="C1675">_xlfn.IFS(B1675&lt;=18.5,  "Underweight",B1675&lt;=24.9,"Normal weight",B1675&lt;=29.9, "Over weight",B1675&gt;=30,"Obesity")</f>
        <v>Normal weight</v>
      </c>
      <c r="D1675">
        <v>4.05</v>
      </c>
      <c r="E1675" t="str" cm="1">
        <f t="array" ref="E1675">_xlfn.IFS(D1675&lt;5.7,"Normal",D1675&lt;=6.4,"Prediabetes",D1675&gt;=6.5,"Diabetes")</f>
        <v>Normal</v>
      </c>
      <c r="F1675" s="3" t="s">
        <v>2379</v>
      </c>
      <c r="G1675" s="3" t="s">
        <v>2379</v>
      </c>
      <c r="H1675" s="3" t="s">
        <v>2379</v>
      </c>
      <c r="I1675" s="1">
        <v>1</v>
      </c>
      <c r="J1675">
        <v>1</v>
      </c>
      <c r="K1675" s="3" t="s">
        <v>2379</v>
      </c>
      <c r="P1675" s="3"/>
    </row>
    <row r="1676" spans="1:16" x14ac:dyDescent="0.25">
      <c r="A1676" s="3" t="s">
        <v>695</v>
      </c>
      <c r="B1676">
        <v>17.55</v>
      </c>
      <c r="C1676" t="str" cm="1">
        <f t="array" ref="C1676">_xlfn.IFS(B1676&lt;=18.5,  "Underweight",B1676&lt;=24.9,"Normal weight",B1676&lt;=29.9, "Over weight",B1676&gt;=30,"Obesity")</f>
        <v>Underweight</v>
      </c>
      <c r="D1676">
        <v>4.2300000000000004</v>
      </c>
      <c r="E1676" t="str" cm="1">
        <f t="array" ref="E1676">_xlfn.IFS(D1676&lt;5.7,"Normal",D1676&lt;=6.4,"Prediabetes",D1676&gt;=6.5,"Diabetes")</f>
        <v>Normal</v>
      </c>
      <c r="F1676" s="3" t="s">
        <v>2379</v>
      </c>
      <c r="G1676" s="3" t="s">
        <v>2379</v>
      </c>
      <c r="H1676" s="3" t="s">
        <v>2379</v>
      </c>
      <c r="I1676" s="1">
        <v>2</v>
      </c>
      <c r="J1676">
        <v>2</v>
      </c>
      <c r="K1676" s="3" t="s">
        <v>2379</v>
      </c>
      <c r="P1676" s="3"/>
    </row>
    <row r="1677" spans="1:16" x14ac:dyDescent="0.25">
      <c r="A1677" s="3" t="s">
        <v>694</v>
      </c>
      <c r="B1677">
        <v>22.01</v>
      </c>
      <c r="C1677" t="str" cm="1">
        <f t="array" ref="C1677">_xlfn.IFS(B1677&lt;=18.5,  "Underweight",B1677&lt;=24.9,"Normal weight",B1677&lt;=29.9, "Over weight",B1677&gt;=30,"Obesity")</f>
        <v>Normal weight</v>
      </c>
      <c r="D1677">
        <v>5.01</v>
      </c>
      <c r="E1677" t="str" cm="1">
        <f t="array" ref="E1677">_xlfn.IFS(D1677&lt;5.7,"Normal",D1677&lt;=6.4,"Prediabetes",D1677&gt;=6.5,"Diabetes")</f>
        <v>Normal</v>
      </c>
      <c r="F1677" s="3" t="s">
        <v>2379</v>
      </c>
      <c r="G1677" s="3" t="s">
        <v>2379</v>
      </c>
      <c r="H1677" s="3" t="s">
        <v>2379</v>
      </c>
      <c r="I1677" s="1">
        <v>1</v>
      </c>
      <c r="J1677">
        <v>1</v>
      </c>
      <c r="K1677" s="3" t="s">
        <v>2379</v>
      </c>
      <c r="P1677" s="3"/>
    </row>
    <row r="1678" spans="1:16" x14ac:dyDescent="0.25">
      <c r="A1678" s="3" t="s">
        <v>693</v>
      </c>
      <c r="B1678">
        <v>41.8</v>
      </c>
      <c r="C1678" t="str" cm="1">
        <f t="array" ref="C1678">_xlfn.IFS(B1678&lt;=18.5,  "Underweight",B1678&lt;=24.9,"Normal weight",B1678&lt;=29.9, "Over weight",B1678&gt;=30,"Obesity")</f>
        <v>Obesity</v>
      </c>
      <c r="D1678">
        <v>5.82</v>
      </c>
      <c r="E1678" t="str" cm="1">
        <f t="array" ref="E1678">_xlfn.IFS(D1678&lt;5.7,"Normal",D1678&lt;=6.4,"Prediabetes",D1678&gt;=6.5,"Diabetes")</f>
        <v>Prediabetes</v>
      </c>
      <c r="F1678" s="3" t="s">
        <v>2382</v>
      </c>
      <c r="G1678" s="3" t="s">
        <v>2379</v>
      </c>
      <c r="H1678" s="3" t="s">
        <v>2382</v>
      </c>
      <c r="I1678" s="1">
        <v>1</v>
      </c>
      <c r="J1678">
        <v>1</v>
      </c>
      <c r="K1678" s="3" t="s">
        <v>2379</v>
      </c>
      <c r="P1678" s="3"/>
    </row>
    <row r="1679" spans="1:16" x14ac:dyDescent="0.25">
      <c r="A1679" s="3" t="s">
        <v>692</v>
      </c>
      <c r="B1679">
        <v>19.170000000000002</v>
      </c>
      <c r="C1679" t="str" cm="1">
        <f t="array" ref="C1679">_xlfn.IFS(B1679&lt;=18.5,  "Underweight",B1679&lt;=24.9,"Normal weight",B1679&lt;=29.9, "Over weight",B1679&gt;=30,"Obesity")</f>
        <v>Normal weight</v>
      </c>
      <c r="D1679">
        <v>7.94</v>
      </c>
      <c r="E1679" t="str" cm="1">
        <f t="array" ref="E1679">_xlfn.IFS(D1679&lt;5.7,"Normal",D1679&lt;=6.4,"Prediabetes",D1679&gt;=6.5,"Diabetes")</f>
        <v>Diabetes</v>
      </c>
      <c r="F1679" s="3" t="s">
        <v>2379</v>
      </c>
      <c r="G1679" s="3" t="s">
        <v>2379</v>
      </c>
      <c r="H1679" s="3" t="s">
        <v>2379</v>
      </c>
      <c r="I1679" s="1" t="s">
        <v>2380</v>
      </c>
      <c r="J1679">
        <v>0</v>
      </c>
      <c r="K1679" s="3" t="s">
        <v>2379</v>
      </c>
      <c r="P1679" s="3"/>
    </row>
    <row r="1680" spans="1:16" x14ac:dyDescent="0.25">
      <c r="A1680" s="3" t="s">
        <v>691</v>
      </c>
      <c r="B1680">
        <v>32.799999999999997</v>
      </c>
      <c r="C1680" t="str" cm="1">
        <f t="array" ref="C1680">_xlfn.IFS(B1680&lt;=18.5,  "Underweight",B1680&lt;=24.9,"Normal weight",B1680&lt;=29.9, "Over weight",B1680&gt;=30,"Obesity")</f>
        <v>Obesity</v>
      </c>
      <c r="D1680">
        <v>6.16</v>
      </c>
      <c r="E1680" t="str" cm="1">
        <f t="array" ref="E1680">_xlfn.IFS(D1680&lt;5.7,"Normal",D1680&lt;=6.4,"Prediabetes",D1680&gt;=6.5,"Diabetes")</f>
        <v>Prediabetes</v>
      </c>
      <c r="F1680" s="3" t="s">
        <v>2382</v>
      </c>
      <c r="G1680" s="3" t="s">
        <v>2379</v>
      </c>
      <c r="H1680" s="3" t="s">
        <v>2382</v>
      </c>
      <c r="I1680" s="1">
        <v>1</v>
      </c>
      <c r="J1680">
        <v>1</v>
      </c>
      <c r="K1680" s="3" t="s">
        <v>2379</v>
      </c>
      <c r="P1680" s="3"/>
    </row>
    <row r="1681" spans="1:16" x14ac:dyDescent="0.25">
      <c r="A1681" s="3" t="s">
        <v>690</v>
      </c>
      <c r="B1681">
        <v>35.814999999999998</v>
      </c>
      <c r="C1681" t="str" cm="1">
        <f t="array" ref="C1681">_xlfn.IFS(B1681&lt;=18.5,  "Underweight",B1681&lt;=24.9,"Normal weight",B1681&lt;=29.9, "Over weight",B1681&gt;=30,"Obesity")</f>
        <v>Obesity</v>
      </c>
      <c r="D1681">
        <v>4.1500000000000004</v>
      </c>
      <c r="E1681" t="str" cm="1">
        <f t="array" ref="E1681">_xlfn.IFS(D1681&lt;5.7,"Normal",D1681&lt;=6.4,"Prediabetes",D1681&gt;=6.5,"Diabetes")</f>
        <v>Normal</v>
      </c>
      <c r="F1681" s="3" t="s">
        <v>2379</v>
      </c>
      <c r="G1681" s="3" t="s">
        <v>2379</v>
      </c>
      <c r="H1681" s="3" t="s">
        <v>2379</v>
      </c>
      <c r="I1681" s="1">
        <v>1</v>
      </c>
      <c r="J1681">
        <v>1</v>
      </c>
      <c r="K1681" s="3" t="s">
        <v>2379</v>
      </c>
      <c r="P1681" s="3"/>
    </row>
    <row r="1682" spans="1:16" x14ac:dyDescent="0.25">
      <c r="A1682" s="3" t="s">
        <v>689</v>
      </c>
      <c r="B1682">
        <v>24.3</v>
      </c>
      <c r="C1682" t="str" cm="1">
        <f t="array" ref="C1682">_xlfn.IFS(B1682&lt;=18.5,  "Underweight",B1682&lt;=24.9,"Normal weight",B1682&lt;=29.9, "Over weight",B1682&gt;=30,"Obesity")</f>
        <v>Normal weight</v>
      </c>
      <c r="D1682">
        <v>6.23</v>
      </c>
      <c r="E1682" t="str" cm="1">
        <f t="array" ref="E1682">_xlfn.IFS(D1682&lt;5.7,"Normal",D1682&lt;=6.4,"Prediabetes",D1682&gt;=6.5,"Diabetes")</f>
        <v>Prediabetes</v>
      </c>
      <c r="F1682" s="3" t="s">
        <v>2379</v>
      </c>
      <c r="G1682" s="3" t="s">
        <v>2379</v>
      </c>
      <c r="H1682" s="3" t="s">
        <v>2379</v>
      </c>
      <c r="I1682" s="1" t="s">
        <v>2380</v>
      </c>
      <c r="J1682">
        <v>0</v>
      </c>
      <c r="K1682" s="3" t="s">
        <v>2379</v>
      </c>
      <c r="P1682" s="3"/>
    </row>
    <row r="1683" spans="1:16" x14ac:dyDescent="0.25">
      <c r="A1683" s="3" t="s">
        <v>688</v>
      </c>
      <c r="B1683">
        <v>19.059999999999999</v>
      </c>
      <c r="C1683" t="str" cm="1">
        <f t="array" ref="C1683">_xlfn.IFS(B1683&lt;=18.5,  "Underweight",B1683&lt;=24.9,"Normal weight",B1683&lt;=29.9, "Over weight",B1683&gt;=30,"Obesity")</f>
        <v>Normal weight</v>
      </c>
      <c r="D1683">
        <v>7.41</v>
      </c>
      <c r="E1683" t="str" cm="1">
        <f t="array" ref="E1683">_xlfn.IFS(D1683&lt;5.7,"Normal",D1683&lt;=6.4,"Prediabetes",D1683&gt;=6.5,"Diabetes")</f>
        <v>Diabetes</v>
      </c>
      <c r="F1683" s="3" t="s">
        <v>2379</v>
      </c>
      <c r="G1683" s="3" t="s">
        <v>2379</v>
      </c>
      <c r="H1683" s="3" t="s">
        <v>2379</v>
      </c>
      <c r="I1683" s="1" t="s">
        <v>2380</v>
      </c>
      <c r="J1683">
        <v>0</v>
      </c>
      <c r="K1683" s="3" t="s">
        <v>2379</v>
      </c>
      <c r="P1683" s="3"/>
    </row>
    <row r="1684" spans="1:16" x14ac:dyDescent="0.25">
      <c r="A1684" s="3" t="s">
        <v>687</v>
      </c>
      <c r="B1684">
        <v>33.25</v>
      </c>
      <c r="C1684" t="str" cm="1">
        <f t="array" ref="C1684">_xlfn.IFS(B1684&lt;=18.5,  "Underweight",B1684&lt;=24.9,"Normal weight",B1684&lt;=29.9, "Over weight",B1684&gt;=30,"Obesity")</f>
        <v>Obesity</v>
      </c>
      <c r="D1684">
        <v>5.62</v>
      </c>
      <c r="E1684" t="str" cm="1">
        <f t="array" ref="E1684">_xlfn.IFS(D1684&lt;5.7,"Normal",D1684&lt;=6.4,"Prediabetes",D1684&gt;=6.5,"Diabetes")</f>
        <v>Normal</v>
      </c>
      <c r="F1684" s="3" t="s">
        <v>2382</v>
      </c>
      <c r="G1684" s="3" t="s">
        <v>2379</v>
      </c>
      <c r="H1684" s="3" t="s">
        <v>2379</v>
      </c>
      <c r="I1684" s="1">
        <v>1</v>
      </c>
      <c r="J1684">
        <v>1</v>
      </c>
      <c r="K1684" s="3" t="s">
        <v>2379</v>
      </c>
      <c r="P1684" s="3"/>
    </row>
    <row r="1685" spans="1:16" x14ac:dyDescent="0.25">
      <c r="A1685" s="3" t="s">
        <v>686</v>
      </c>
      <c r="B1685">
        <v>21.37</v>
      </c>
      <c r="C1685" t="str" cm="1">
        <f t="array" ref="C1685">_xlfn.IFS(B1685&lt;=18.5,  "Underweight",B1685&lt;=24.9,"Normal weight",B1685&lt;=29.9, "Over weight",B1685&gt;=30,"Obesity")</f>
        <v>Normal weight</v>
      </c>
      <c r="D1685">
        <v>4.54</v>
      </c>
      <c r="E1685" t="str" cm="1">
        <f t="array" ref="E1685">_xlfn.IFS(D1685&lt;5.7,"Normal",D1685&lt;=6.4,"Prediabetes",D1685&gt;=6.5,"Diabetes")</f>
        <v>Normal</v>
      </c>
      <c r="F1685" s="3" t="s">
        <v>2382</v>
      </c>
      <c r="G1685" s="3" t="s">
        <v>2379</v>
      </c>
      <c r="H1685" s="3" t="s">
        <v>2382</v>
      </c>
      <c r="I1685" s="1">
        <v>1</v>
      </c>
      <c r="J1685">
        <v>1</v>
      </c>
      <c r="K1685" s="3" t="s">
        <v>2379</v>
      </c>
      <c r="P1685" s="3"/>
    </row>
    <row r="1686" spans="1:16" x14ac:dyDescent="0.25">
      <c r="A1686" s="3" t="s">
        <v>685</v>
      </c>
      <c r="B1686">
        <v>34.43</v>
      </c>
      <c r="C1686" t="str" cm="1">
        <f t="array" ref="C1686">_xlfn.IFS(B1686&lt;=18.5,  "Underweight",B1686&lt;=24.9,"Normal weight",B1686&lt;=29.9, "Over weight",B1686&gt;=30,"Obesity")</f>
        <v>Obesity</v>
      </c>
      <c r="D1686">
        <v>8.6199999999999992</v>
      </c>
      <c r="E1686" t="str" cm="1">
        <f t="array" ref="E1686">_xlfn.IFS(D1686&lt;5.7,"Normal",D1686&lt;=6.4,"Prediabetes",D1686&gt;=6.5,"Diabetes")</f>
        <v>Diabetes</v>
      </c>
      <c r="F1686" s="3" t="s">
        <v>2382</v>
      </c>
      <c r="G1686" s="3" t="s">
        <v>2379</v>
      </c>
      <c r="H1686" s="3" t="s">
        <v>2379</v>
      </c>
      <c r="I1686" s="1">
        <v>1</v>
      </c>
      <c r="J1686">
        <v>1</v>
      </c>
      <c r="K1686" s="3" t="s">
        <v>2379</v>
      </c>
      <c r="P1686" s="3"/>
    </row>
    <row r="1687" spans="1:16" x14ac:dyDescent="0.25">
      <c r="A1687" s="3" t="s">
        <v>684</v>
      </c>
      <c r="B1687">
        <v>20.86</v>
      </c>
      <c r="C1687" t="str" cm="1">
        <f t="array" ref="C1687">_xlfn.IFS(B1687&lt;=18.5,  "Underweight",B1687&lt;=24.9,"Normal weight",B1687&lt;=29.9, "Over weight",B1687&gt;=30,"Obesity")</f>
        <v>Normal weight</v>
      </c>
      <c r="D1687">
        <v>4.3600000000000003</v>
      </c>
      <c r="E1687" t="str" cm="1">
        <f t="array" ref="E1687">_xlfn.IFS(D1687&lt;5.7,"Normal",D1687&lt;=6.4,"Prediabetes",D1687&gt;=6.5,"Diabetes")</f>
        <v>Normal</v>
      </c>
      <c r="F1687" s="3" t="s">
        <v>2382</v>
      </c>
      <c r="G1687" s="3" t="s">
        <v>2379</v>
      </c>
      <c r="H1687" s="3" t="s">
        <v>2379</v>
      </c>
      <c r="I1687" s="1" t="s">
        <v>2380</v>
      </c>
      <c r="J1687">
        <v>0</v>
      </c>
      <c r="K1687" s="3" t="s">
        <v>2379</v>
      </c>
      <c r="P1687" s="3"/>
    </row>
    <row r="1688" spans="1:16" x14ac:dyDescent="0.25">
      <c r="A1688" s="3" t="s">
        <v>683</v>
      </c>
      <c r="B1688">
        <v>18.34</v>
      </c>
      <c r="C1688" t="str" cm="1">
        <f t="array" ref="C1688">_xlfn.IFS(B1688&lt;=18.5,  "Underweight",B1688&lt;=24.9,"Normal weight",B1688&lt;=29.9, "Over weight",B1688&gt;=30,"Obesity")</f>
        <v>Underweight</v>
      </c>
      <c r="D1688">
        <v>10.01</v>
      </c>
      <c r="E1688" t="str" cm="1">
        <f t="array" ref="E1688">_xlfn.IFS(D1688&lt;5.7,"Normal",D1688&lt;=6.4,"Prediabetes",D1688&gt;=6.5,"Diabetes")</f>
        <v>Diabetes</v>
      </c>
      <c r="F1688" s="3" t="s">
        <v>2379</v>
      </c>
      <c r="G1688" s="3" t="s">
        <v>2379</v>
      </c>
      <c r="H1688" s="3" t="s">
        <v>2379</v>
      </c>
      <c r="I1688" s="1" t="s">
        <v>2380</v>
      </c>
      <c r="J1688">
        <v>0</v>
      </c>
      <c r="K1688" s="3" t="s">
        <v>2379</v>
      </c>
      <c r="P1688" s="3"/>
    </row>
    <row r="1689" spans="1:16" x14ac:dyDescent="0.25">
      <c r="A1689" s="3" t="s">
        <v>682</v>
      </c>
      <c r="B1689">
        <v>34.15</v>
      </c>
      <c r="C1689" t="str" cm="1">
        <f t="array" ref="C1689">_xlfn.IFS(B1689&lt;=18.5,  "Underweight",B1689&lt;=24.9,"Normal weight",B1689&lt;=29.9, "Over weight",B1689&gt;=30,"Obesity")</f>
        <v>Obesity</v>
      </c>
      <c r="D1689">
        <v>5.42</v>
      </c>
      <c r="E1689" t="str" cm="1">
        <f t="array" ref="E1689">_xlfn.IFS(D1689&lt;5.7,"Normal",D1689&lt;=6.4,"Prediabetes",D1689&gt;=6.5,"Diabetes")</f>
        <v>Normal</v>
      </c>
      <c r="F1689" s="3" t="s">
        <v>2379</v>
      </c>
      <c r="G1689" s="3" t="s">
        <v>2379</v>
      </c>
      <c r="H1689" s="3" t="s">
        <v>2379</v>
      </c>
      <c r="I1689" s="1" t="s">
        <v>2380</v>
      </c>
      <c r="J1689">
        <v>0</v>
      </c>
      <c r="K1689" s="3" t="s">
        <v>2379</v>
      </c>
      <c r="P1689" s="3"/>
    </row>
    <row r="1690" spans="1:16" x14ac:dyDescent="0.25">
      <c r="A1690" s="3" t="s">
        <v>681</v>
      </c>
      <c r="B1690">
        <v>18.350000000000001</v>
      </c>
      <c r="C1690" t="str" cm="1">
        <f t="array" ref="C1690">_xlfn.IFS(B1690&lt;=18.5,  "Underweight",B1690&lt;=24.9,"Normal weight",B1690&lt;=29.9, "Over weight",B1690&gt;=30,"Obesity")</f>
        <v>Underweight</v>
      </c>
      <c r="D1690">
        <v>5.12</v>
      </c>
      <c r="E1690" t="str" cm="1">
        <f t="array" ref="E1690">_xlfn.IFS(D1690&lt;5.7,"Normal",D1690&lt;=6.4,"Prediabetes",D1690&gt;=6.5,"Diabetes")</f>
        <v>Normal</v>
      </c>
      <c r="F1690" s="3" t="s">
        <v>2379</v>
      </c>
      <c r="G1690" s="3" t="s">
        <v>2379</v>
      </c>
      <c r="H1690" s="3" t="s">
        <v>2379</v>
      </c>
      <c r="I1690" s="1" t="s">
        <v>2380</v>
      </c>
      <c r="J1690">
        <v>0</v>
      </c>
      <c r="K1690" s="3" t="s">
        <v>2379</v>
      </c>
      <c r="P1690" s="3"/>
    </row>
    <row r="1691" spans="1:16" x14ac:dyDescent="0.25">
      <c r="A1691" s="3" t="s">
        <v>680</v>
      </c>
      <c r="B1691">
        <v>22.13</v>
      </c>
      <c r="C1691" t="str" cm="1">
        <f t="array" ref="C1691">_xlfn.IFS(B1691&lt;=18.5,  "Underweight",B1691&lt;=24.9,"Normal weight",B1691&lt;=29.9, "Over weight",B1691&gt;=30,"Obesity")</f>
        <v>Normal weight</v>
      </c>
      <c r="D1691">
        <v>9.1999999999999993</v>
      </c>
      <c r="E1691" t="str" cm="1">
        <f t="array" ref="E1691">_xlfn.IFS(D1691&lt;5.7,"Normal",D1691&lt;=6.4,"Prediabetes",D1691&gt;=6.5,"Diabetes")</f>
        <v>Diabetes</v>
      </c>
      <c r="F1691" s="3" t="s">
        <v>2382</v>
      </c>
      <c r="G1691" s="3" t="s">
        <v>2379</v>
      </c>
      <c r="H1691" s="3" t="s">
        <v>2379</v>
      </c>
      <c r="I1691" s="1" t="s">
        <v>2380</v>
      </c>
      <c r="J1691">
        <v>0</v>
      </c>
      <c r="K1691" s="3" t="s">
        <v>2379</v>
      </c>
      <c r="P1691" s="3"/>
    </row>
    <row r="1692" spans="1:16" x14ac:dyDescent="0.25">
      <c r="A1692" s="3" t="s">
        <v>679</v>
      </c>
      <c r="B1692">
        <v>22.51</v>
      </c>
      <c r="C1692" t="str" cm="1">
        <f t="array" ref="C1692">_xlfn.IFS(B1692&lt;=18.5,  "Underweight",B1692&lt;=24.9,"Normal weight",B1692&lt;=29.9, "Over weight",B1692&gt;=30,"Obesity")</f>
        <v>Normal weight</v>
      </c>
      <c r="D1692">
        <v>6.08</v>
      </c>
      <c r="E1692" t="str" cm="1">
        <f t="array" ref="E1692">_xlfn.IFS(D1692&lt;5.7,"Normal",D1692&lt;=6.4,"Prediabetes",D1692&gt;=6.5,"Diabetes")</f>
        <v>Prediabetes</v>
      </c>
      <c r="F1692" s="3" t="s">
        <v>2382</v>
      </c>
      <c r="G1692" s="3" t="s">
        <v>2379</v>
      </c>
      <c r="H1692" s="3" t="s">
        <v>2379</v>
      </c>
      <c r="I1692" s="1">
        <v>1</v>
      </c>
      <c r="J1692">
        <v>1</v>
      </c>
      <c r="K1692" s="3" t="s">
        <v>2379</v>
      </c>
      <c r="P1692" s="3"/>
    </row>
    <row r="1693" spans="1:16" x14ac:dyDescent="0.25">
      <c r="A1693" s="3" t="s">
        <v>678</v>
      </c>
      <c r="B1693">
        <v>31</v>
      </c>
      <c r="C1693" t="str" cm="1">
        <f t="array" ref="C1693">_xlfn.IFS(B1693&lt;=18.5,  "Underweight",B1693&lt;=24.9,"Normal weight",B1693&lt;=29.9, "Over weight",B1693&gt;=30,"Obesity")</f>
        <v>Obesity</v>
      </c>
      <c r="D1693">
        <v>4.7699999999999996</v>
      </c>
      <c r="E1693" t="str" cm="1">
        <f t="array" ref="E1693">_xlfn.IFS(D1693&lt;5.7,"Normal",D1693&lt;=6.4,"Prediabetes",D1693&gt;=6.5,"Diabetes")</f>
        <v>Normal</v>
      </c>
      <c r="F1693" s="3" t="s">
        <v>2379</v>
      </c>
      <c r="G1693" s="3" t="s">
        <v>2379</v>
      </c>
      <c r="H1693" s="3" t="s">
        <v>2379</v>
      </c>
      <c r="I1693" s="1">
        <v>1</v>
      </c>
      <c r="J1693">
        <v>1</v>
      </c>
      <c r="K1693" s="3" t="s">
        <v>2379</v>
      </c>
      <c r="P1693" s="3"/>
    </row>
    <row r="1694" spans="1:16" x14ac:dyDescent="0.25">
      <c r="A1694" s="3" t="s">
        <v>677</v>
      </c>
      <c r="B1694">
        <v>28.27</v>
      </c>
      <c r="C1694" t="str" cm="1">
        <f t="array" ref="C1694">_xlfn.IFS(B1694&lt;=18.5,  "Underweight",B1694&lt;=24.9,"Normal weight",B1694&lt;=29.9, "Over weight",B1694&gt;=30,"Obesity")</f>
        <v>Over weight</v>
      </c>
      <c r="D1694">
        <v>4.62</v>
      </c>
      <c r="E1694" t="str" cm="1">
        <f t="array" ref="E1694">_xlfn.IFS(D1694&lt;5.7,"Normal",D1694&lt;=6.4,"Prediabetes",D1694&gt;=6.5,"Diabetes")</f>
        <v>Normal</v>
      </c>
      <c r="F1694" s="3" t="s">
        <v>2379</v>
      </c>
      <c r="G1694" s="3" t="s">
        <v>2379</v>
      </c>
      <c r="H1694" s="3" t="s">
        <v>2379</v>
      </c>
      <c r="I1694" s="1">
        <v>1</v>
      </c>
      <c r="J1694">
        <v>1</v>
      </c>
      <c r="K1694" s="3" t="s">
        <v>2379</v>
      </c>
      <c r="P1694" s="3"/>
    </row>
    <row r="1695" spans="1:16" x14ac:dyDescent="0.25">
      <c r="A1695" s="3" t="s">
        <v>676</v>
      </c>
      <c r="B1695">
        <v>29.92</v>
      </c>
      <c r="C1695" t="e" cm="1">
        <f t="array" ref="C1695">_xlfn.IFS(B1695&lt;=18.5,  "Underweight",B1695&lt;=24.9,"Normal weight",B1695&lt;=29.9, "Over weight",B1695&gt;=30,"Obesity")</f>
        <v>#N/A</v>
      </c>
      <c r="D1695">
        <v>9.07</v>
      </c>
      <c r="E1695" t="str" cm="1">
        <f t="array" ref="E1695">_xlfn.IFS(D1695&lt;5.7,"Normal",D1695&lt;=6.4,"Prediabetes",D1695&gt;=6.5,"Diabetes")</f>
        <v>Diabetes</v>
      </c>
      <c r="F1695" s="3" t="s">
        <v>2382</v>
      </c>
      <c r="G1695" s="3" t="s">
        <v>2379</v>
      </c>
      <c r="H1695" s="3" t="s">
        <v>2379</v>
      </c>
      <c r="I1695" s="1">
        <v>1</v>
      </c>
      <c r="J1695">
        <v>1</v>
      </c>
      <c r="K1695" s="3" t="s">
        <v>2379</v>
      </c>
      <c r="P1695" s="3"/>
    </row>
    <row r="1696" spans="1:16" x14ac:dyDescent="0.25">
      <c r="A1696" s="3" t="s">
        <v>675</v>
      </c>
      <c r="B1696">
        <v>25.9</v>
      </c>
      <c r="C1696" t="str" cm="1">
        <f t="array" ref="C1696">_xlfn.IFS(B1696&lt;=18.5,  "Underweight",B1696&lt;=24.9,"Normal weight",B1696&lt;=29.9, "Over weight",B1696&gt;=30,"Obesity")</f>
        <v>Over weight</v>
      </c>
      <c r="D1696">
        <v>9.1199999999999992</v>
      </c>
      <c r="E1696" t="str" cm="1">
        <f t="array" ref="E1696">_xlfn.IFS(D1696&lt;5.7,"Normal",D1696&lt;=6.4,"Prediabetes",D1696&gt;=6.5,"Diabetes")</f>
        <v>Diabetes</v>
      </c>
      <c r="F1696" s="3" t="s">
        <v>2382</v>
      </c>
      <c r="G1696" s="3" t="s">
        <v>2379</v>
      </c>
      <c r="H1696" s="3" t="s">
        <v>2379</v>
      </c>
      <c r="I1696" s="1">
        <v>1</v>
      </c>
      <c r="J1696">
        <v>1</v>
      </c>
      <c r="K1696" s="3" t="s">
        <v>2379</v>
      </c>
      <c r="P1696" s="3"/>
    </row>
    <row r="1697" spans="1:16" x14ac:dyDescent="0.25">
      <c r="A1697" s="3" t="s">
        <v>674</v>
      </c>
      <c r="B1697">
        <v>27.74</v>
      </c>
      <c r="C1697" t="str" cm="1">
        <f t="array" ref="C1697">_xlfn.IFS(B1697&lt;=18.5,  "Underweight",B1697&lt;=24.9,"Normal weight",B1697&lt;=29.9, "Over weight",B1697&gt;=30,"Obesity")</f>
        <v>Over weight</v>
      </c>
      <c r="D1697">
        <v>7.32</v>
      </c>
      <c r="E1697" t="str" cm="1">
        <f t="array" ref="E1697">_xlfn.IFS(D1697&lt;5.7,"Normal",D1697&lt;=6.4,"Prediabetes",D1697&gt;=6.5,"Diabetes")</f>
        <v>Diabetes</v>
      </c>
      <c r="F1697" s="3" t="s">
        <v>2382</v>
      </c>
      <c r="G1697" s="3" t="s">
        <v>2379</v>
      </c>
      <c r="H1697" s="3" t="s">
        <v>2379</v>
      </c>
      <c r="I1697" s="1">
        <v>1</v>
      </c>
      <c r="J1697">
        <v>1</v>
      </c>
      <c r="K1697" s="3" t="s">
        <v>2379</v>
      </c>
      <c r="P1697" s="3"/>
    </row>
    <row r="1698" spans="1:16" x14ac:dyDescent="0.25">
      <c r="A1698" s="3" t="s">
        <v>673</v>
      </c>
      <c r="B1698">
        <v>17.260000000000002</v>
      </c>
      <c r="C1698" t="str" cm="1">
        <f t="array" ref="C1698">_xlfn.IFS(B1698&lt;=18.5,  "Underweight",B1698&lt;=24.9,"Normal weight",B1698&lt;=29.9, "Over weight",B1698&gt;=30,"Obesity")</f>
        <v>Underweight</v>
      </c>
      <c r="D1698">
        <v>11.73</v>
      </c>
      <c r="E1698" t="str" cm="1">
        <f t="array" ref="E1698">_xlfn.IFS(D1698&lt;5.7,"Normal",D1698&lt;=6.4,"Prediabetes",D1698&gt;=6.5,"Diabetes")</f>
        <v>Diabetes</v>
      </c>
      <c r="F1698" s="3" t="s">
        <v>2379</v>
      </c>
      <c r="G1698" s="3" t="s">
        <v>2379</v>
      </c>
      <c r="H1698" s="3" t="s">
        <v>2379</v>
      </c>
      <c r="I1698" s="1">
        <v>2</v>
      </c>
      <c r="J1698">
        <v>2</v>
      </c>
      <c r="K1698" s="3" t="s">
        <v>2379</v>
      </c>
      <c r="P1698" s="3"/>
    </row>
    <row r="1699" spans="1:16" x14ac:dyDescent="0.25">
      <c r="A1699" s="3" t="s">
        <v>672</v>
      </c>
      <c r="B1699">
        <v>19.855</v>
      </c>
      <c r="C1699" t="str" cm="1">
        <f t="array" ref="C1699">_xlfn.IFS(B1699&lt;=18.5,  "Underweight",B1699&lt;=24.9,"Normal weight",B1699&lt;=29.9, "Over weight",B1699&gt;=30,"Obesity")</f>
        <v>Normal weight</v>
      </c>
      <c r="D1699">
        <v>6.64</v>
      </c>
      <c r="E1699" t="str" cm="1">
        <f t="array" ref="E1699">_xlfn.IFS(D1699&lt;5.7,"Normal",D1699&lt;=6.4,"Prediabetes",D1699&gt;=6.5,"Diabetes")</f>
        <v>Diabetes</v>
      </c>
      <c r="F1699" s="3" t="s">
        <v>2382</v>
      </c>
      <c r="G1699" s="3" t="s">
        <v>2379</v>
      </c>
      <c r="H1699" s="3" t="s">
        <v>2379</v>
      </c>
      <c r="I1699" s="1">
        <v>1</v>
      </c>
      <c r="J1699">
        <v>1</v>
      </c>
      <c r="K1699" s="3" t="s">
        <v>2379</v>
      </c>
      <c r="P1699" s="3"/>
    </row>
    <row r="1700" spans="1:16" x14ac:dyDescent="0.25">
      <c r="A1700" s="3" t="s">
        <v>671</v>
      </c>
      <c r="B1700">
        <v>41.69</v>
      </c>
      <c r="C1700" t="str" cm="1">
        <f t="array" ref="C1700">_xlfn.IFS(B1700&lt;=18.5,  "Underweight",B1700&lt;=24.9,"Normal weight",B1700&lt;=29.9, "Over weight",B1700&gt;=30,"Obesity")</f>
        <v>Obesity</v>
      </c>
      <c r="D1700">
        <v>5.78</v>
      </c>
      <c r="E1700" t="str" cm="1">
        <f t="array" ref="E1700">_xlfn.IFS(D1700&lt;5.7,"Normal",D1700&lt;=6.4,"Prediabetes",D1700&gt;=6.5,"Diabetes")</f>
        <v>Prediabetes</v>
      </c>
      <c r="F1700" s="3" t="s">
        <v>2379</v>
      </c>
      <c r="G1700" s="3" t="s">
        <v>2379</v>
      </c>
      <c r="H1700" s="3" t="s">
        <v>2379</v>
      </c>
      <c r="I1700" s="1" t="s">
        <v>2380</v>
      </c>
      <c r="J1700">
        <v>0</v>
      </c>
      <c r="K1700" s="3" t="s">
        <v>2379</v>
      </c>
      <c r="P1700" s="3"/>
    </row>
    <row r="1701" spans="1:16" x14ac:dyDescent="0.25">
      <c r="A1701" s="3" t="s">
        <v>670</v>
      </c>
      <c r="B1701">
        <v>16.12</v>
      </c>
      <c r="C1701" t="str" cm="1">
        <f t="array" ref="C1701">_xlfn.IFS(B1701&lt;=18.5,  "Underweight",B1701&lt;=24.9,"Normal weight",B1701&lt;=29.9, "Over weight",B1701&gt;=30,"Obesity")</f>
        <v>Underweight</v>
      </c>
      <c r="D1701">
        <v>10.45</v>
      </c>
      <c r="E1701" t="str" cm="1">
        <f t="array" ref="E1701">_xlfn.IFS(D1701&lt;5.7,"Normal",D1701&lt;=6.4,"Prediabetes",D1701&gt;=6.5,"Diabetes")</f>
        <v>Diabetes</v>
      </c>
      <c r="F1701" s="3" t="s">
        <v>2379</v>
      </c>
      <c r="G1701" s="3" t="s">
        <v>2379</v>
      </c>
      <c r="H1701" s="3" t="s">
        <v>2379</v>
      </c>
      <c r="I1701" s="1" t="s">
        <v>2380</v>
      </c>
      <c r="J1701">
        <v>0</v>
      </c>
      <c r="K1701" s="3" t="s">
        <v>2379</v>
      </c>
      <c r="P1701" s="3"/>
    </row>
    <row r="1702" spans="1:16" x14ac:dyDescent="0.25">
      <c r="A1702" s="3" t="s">
        <v>669</v>
      </c>
      <c r="B1702">
        <v>37.43</v>
      </c>
      <c r="C1702" t="str" cm="1">
        <f t="array" ref="C1702">_xlfn.IFS(B1702&lt;=18.5,  "Underweight",B1702&lt;=24.9,"Normal weight",B1702&lt;=29.9, "Over weight",B1702&gt;=30,"Obesity")</f>
        <v>Obesity</v>
      </c>
      <c r="D1702">
        <v>4.5199999999999996</v>
      </c>
      <c r="E1702" t="str" cm="1">
        <f t="array" ref="E1702">_xlfn.IFS(D1702&lt;5.7,"Normal",D1702&lt;=6.4,"Prediabetes",D1702&gt;=6.5,"Diabetes")</f>
        <v>Normal</v>
      </c>
      <c r="F1702" s="3" t="s">
        <v>2379</v>
      </c>
      <c r="G1702" s="3" t="s">
        <v>2379</v>
      </c>
      <c r="H1702" s="3" t="s">
        <v>2379</v>
      </c>
      <c r="I1702" s="1">
        <v>1</v>
      </c>
      <c r="J1702">
        <v>1</v>
      </c>
      <c r="K1702" s="3" t="s">
        <v>2379</v>
      </c>
      <c r="P1702" s="3"/>
    </row>
    <row r="1703" spans="1:16" x14ac:dyDescent="0.25">
      <c r="A1703" s="3" t="s">
        <v>668</v>
      </c>
      <c r="B1703">
        <v>31.065000000000001</v>
      </c>
      <c r="C1703" t="str" cm="1">
        <f t="array" ref="C1703">_xlfn.IFS(B1703&lt;=18.5,  "Underweight",B1703&lt;=24.9,"Normal weight",B1703&lt;=29.9, "Over weight",B1703&gt;=30,"Obesity")</f>
        <v>Obesity</v>
      </c>
      <c r="D1703">
        <v>5.71</v>
      </c>
      <c r="E1703" t="str" cm="1">
        <f t="array" ref="E1703">_xlfn.IFS(D1703&lt;5.7,"Normal",D1703&lt;=6.4,"Prediabetes",D1703&gt;=6.5,"Diabetes")</f>
        <v>Prediabetes</v>
      </c>
      <c r="F1703" s="3" t="s">
        <v>2379</v>
      </c>
      <c r="G1703" s="3" t="s">
        <v>2379</v>
      </c>
      <c r="H1703" s="3" t="s">
        <v>2379</v>
      </c>
      <c r="I1703" s="1" t="s">
        <v>2380</v>
      </c>
      <c r="J1703">
        <v>0</v>
      </c>
      <c r="K1703" s="3" t="s">
        <v>2379</v>
      </c>
      <c r="P1703" s="3"/>
    </row>
    <row r="1704" spans="1:16" x14ac:dyDescent="0.25">
      <c r="A1704" s="3" t="s">
        <v>667</v>
      </c>
      <c r="B1704">
        <v>25.08</v>
      </c>
      <c r="C1704" t="str" cm="1">
        <f t="array" ref="C1704">_xlfn.IFS(B1704&lt;=18.5,  "Underweight",B1704&lt;=24.9,"Normal weight",B1704&lt;=29.9, "Over weight",B1704&gt;=30,"Obesity")</f>
        <v>Over weight</v>
      </c>
      <c r="D1704">
        <v>4.7699999999999996</v>
      </c>
      <c r="E1704" t="str" cm="1">
        <f t="array" ref="E1704">_xlfn.IFS(D1704&lt;5.7,"Normal",D1704&lt;=6.4,"Prediabetes",D1704&gt;=6.5,"Diabetes")</f>
        <v>Normal</v>
      </c>
      <c r="F1704" s="3" t="s">
        <v>2379</v>
      </c>
      <c r="G1704" s="3" t="s">
        <v>2379</v>
      </c>
      <c r="H1704" s="3" t="s">
        <v>2379</v>
      </c>
      <c r="I1704" s="1" t="s">
        <v>2380</v>
      </c>
      <c r="J1704">
        <v>0</v>
      </c>
      <c r="K1704" s="3" t="s">
        <v>2379</v>
      </c>
      <c r="P1704" s="3"/>
    </row>
    <row r="1705" spans="1:16" x14ac:dyDescent="0.25">
      <c r="A1705" s="3" t="s">
        <v>666</v>
      </c>
      <c r="B1705">
        <v>15.2</v>
      </c>
      <c r="C1705" t="str" cm="1">
        <f t="array" ref="C1705">_xlfn.IFS(B1705&lt;=18.5,  "Underweight",B1705&lt;=24.9,"Normal weight",B1705&lt;=29.9, "Over weight",B1705&gt;=30,"Obesity")</f>
        <v>Underweight</v>
      </c>
      <c r="D1705">
        <v>7.81</v>
      </c>
      <c r="E1705" t="str" cm="1">
        <f t="array" ref="E1705">_xlfn.IFS(D1705&lt;5.7,"Normal",D1705&lt;=6.4,"Prediabetes",D1705&gt;=6.5,"Diabetes")</f>
        <v>Diabetes</v>
      </c>
      <c r="F1705" s="3" t="s">
        <v>2382</v>
      </c>
      <c r="G1705" s="3" t="s">
        <v>2379</v>
      </c>
      <c r="H1705" s="3" t="s">
        <v>2379</v>
      </c>
      <c r="I1705" s="1">
        <v>1</v>
      </c>
      <c r="J1705">
        <v>1</v>
      </c>
      <c r="K1705" s="3" t="s">
        <v>2379</v>
      </c>
      <c r="P1705" s="3"/>
    </row>
    <row r="1706" spans="1:16" x14ac:dyDescent="0.25">
      <c r="A1706" s="3" t="s">
        <v>665</v>
      </c>
      <c r="B1706">
        <v>22.34</v>
      </c>
      <c r="C1706" t="str" cm="1">
        <f t="array" ref="C1706">_xlfn.IFS(B1706&lt;=18.5,  "Underweight",B1706&lt;=24.9,"Normal weight",B1706&lt;=29.9, "Over weight",B1706&gt;=30,"Obesity")</f>
        <v>Normal weight</v>
      </c>
      <c r="D1706">
        <v>5.19</v>
      </c>
      <c r="E1706" t="str" cm="1">
        <f t="array" ref="E1706">_xlfn.IFS(D1706&lt;5.7,"Normal",D1706&lt;=6.4,"Prediabetes",D1706&gt;=6.5,"Diabetes")</f>
        <v>Normal</v>
      </c>
      <c r="F1706" s="3" t="s">
        <v>2382</v>
      </c>
      <c r="G1706" s="3" t="s">
        <v>2379</v>
      </c>
      <c r="H1706" s="3" t="s">
        <v>2379</v>
      </c>
      <c r="I1706" s="1" t="s">
        <v>2380</v>
      </c>
      <c r="J1706">
        <v>0</v>
      </c>
      <c r="K1706" s="3" t="s">
        <v>2379</v>
      </c>
      <c r="P1706" s="3"/>
    </row>
    <row r="1707" spans="1:16" x14ac:dyDescent="0.25">
      <c r="A1707" s="3" t="s">
        <v>664</v>
      </c>
      <c r="B1707">
        <v>40.15</v>
      </c>
      <c r="C1707" t="str" cm="1">
        <f t="array" ref="C1707">_xlfn.IFS(B1707&lt;=18.5,  "Underweight",B1707&lt;=24.9,"Normal weight",B1707&lt;=29.9, "Over weight",B1707&gt;=30,"Obesity")</f>
        <v>Obesity</v>
      </c>
      <c r="D1707">
        <v>5.93</v>
      </c>
      <c r="E1707" t="str" cm="1">
        <f t="array" ref="E1707">_xlfn.IFS(D1707&lt;5.7,"Normal",D1707&lt;=6.4,"Prediabetes",D1707&gt;=6.5,"Diabetes")</f>
        <v>Prediabetes</v>
      </c>
      <c r="F1707" s="3" t="s">
        <v>2379</v>
      </c>
      <c r="G1707" s="3" t="s">
        <v>2379</v>
      </c>
      <c r="H1707" s="3" t="s">
        <v>2379</v>
      </c>
      <c r="I1707" s="1">
        <v>1</v>
      </c>
      <c r="J1707">
        <v>1</v>
      </c>
      <c r="K1707" s="3" t="s">
        <v>2379</v>
      </c>
      <c r="P1707" s="3"/>
    </row>
    <row r="1708" spans="1:16" x14ac:dyDescent="0.25">
      <c r="A1708" s="3" t="s">
        <v>663</v>
      </c>
      <c r="B1708">
        <v>37.729999999999997</v>
      </c>
      <c r="C1708" t="str" cm="1">
        <f t="array" ref="C1708">_xlfn.IFS(B1708&lt;=18.5,  "Underweight",B1708&lt;=24.9,"Normal weight",B1708&lt;=29.9, "Over weight",B1708&gt;=30,"Obesity")</f>
        <v>Obesity</v>
      </c>
      <c r="D1708">
        <v>6.29</v>
      </c>
      <c r="E1708" t="str" cm="1">
        <f t="array" ref="E1708">_xlfn.IFS(D1708&lt;5.7,"Normal",D1708&lt;=6.4,"Prediabetes",D1708&gt;=6.5,"Diabetes")</f>
        <v>Prediabetes</v>
      </c>
      <c r="F1708" s="3" t="s">
        <v>2379</v>
      </c>
      <c r="G1708" s="3" t="s">
        <v>2379</v>
      </c>
      <c r="H1708" s="3" t="s">
        <v>2379</v>
      </c>
      <c r="I1708" s="1">
        <v>1</v>
      </c>
      <c r="J1708">
        <v>1</v>
      </c>
      <c r="K1708" s="3" t="s">
        <v>2379</v>
      </c>
      <c r="P1708" s="3"/>
    </row>
    <row r="1709" spans="1:16" x14ac:dyDescent="0.25">
      <c r="A1709" s="3" t="s">
        <v>662</v>
      </c>
      <c r="B1709">
        <v>25.35</v>
      </c>
      <c r="C1709" t="str" cm="1">
        <f t="array" ref="C1709">_xlfn.IFS(B1709&lt;=18.5,  "Underweight",B1709&lt;=24.9,"Normal weight",B1709&lt;=29.9, "Over weight",B1709&gt;=30,"Obesity")</f>
        <v>Over weight</v>
      </c>
      <c r="D1709">
        <v>4.9000000000000004</v>
      </c>
      <c r="E1709" t="str" cm="1">
        <f t="array" ref="E1709">_xlfn.IFS(D1709&lt;5.7,"Normal",D1709&lt;=6.4,"Prediabetes",D1709&gt;=6.5,"Diabetes")</f>
        <v>Normal</v>
      </c>
      <c r="F1709" s="3" t="s">
        <v>2379</v>
      </c>
      <c r="G1709" s="3" t="s">
        <v>2379</v>
      </c>
      <c r="H1709" s="3" t="s">
        <v>2379</v>
      </c>
      <c r="I1709" s="1" t="s">
        <v>2380</v>
      </c>
      <c r="J1709">
        <v>0</v>
      </c>
      <c r="K1709" s="3" t="s">
        <v>2379</v>
      </c>
      <c r="P1709" s="3"/>
    </row>
    <row r="1710" spans="1:16" x14ac:dyDescent="0.25">
      <c r="A1710" s="3" t="s">
        <v>661</v>
      </c>
      <c r="B1710">
        <v>26.41</v>
      </c>
      <c r="C1710" t="str" cm="1">
        <f t="array" ref="C1710">_xlfn.IFS(B1710&lt;=18.5,  "Underweight",B1710&lt;=24.9,"Normal weight",B1710&lt;=29.9, "Over weight",B1710&gt;=30,"Obesity")</f>
        <v>Over weight</v>
      </c>
      <c r="D1710">
        <v>5.07</v>
      </c>
      <c r="E1710" t="str" cm="1">
        <f t="array" ref="E1710">_xlfn.IFS(D1710&lt;5.7,"Normal",D1710&lt;=6.4,"Prediabetes",D1710&gt;=6.5,"Diabetes")</f>
        <v>Normal</v>
      </c>
      <c r="F1710" s="3" t="s">
        <v>2382</v>
      </c>
      <c r="G1710" s="3" t="s">
        <v>2379</v>
      </c>
      <c r="H1710" s="3" t="s">
        <v>2379</v>
      </c>
      <c r="I1710" s="1">
        <v>1</v>
      </c>
      <c r="J1710">
        <v>1</v>
      </c>
      <c r="K1710" s="3" t="s">
        <v>2379</v>
      </c>
      <c r="P1710" s="3"/>
    </row>
    <row r="1711" spans="1:16" x14ac:dyDescent="0.25">
      <c r="A1711" s="3" t="s">
        <v>660</v>
      </c>
      <c r="B1711">
        <v>27.6</v>
      </c>
      <c r="C1711" t="str" cm="1">
        <f t="array" ref="C1711">_xlfn.IFS(B1711&lt;=18.5,  "Underweight",B1711&lt;=24.9,"Normal weight",B1711&lt;=29.9, "Over weight",B1711&gt;=30,"Obesity")</f>
        <v>Over weight</v>
      </c>
      <c r="D1711">
        <v>5.33</v>
      </c>
      <c r="E1711" t="str" cm="1">
        <f t="array" ref="E1711">_xlfn.IFS(D1711&lt;5.7,"Normal",D1711&lt;=6.4,"Prediabetes",D1711&gt;=6.5,"Diabetes")</f>
        <v>Normal</v>
      </c>
      <c r="F1711" s="3" t="s">
        <v>2379</v>
      </c>
      <c r="G1711" s="3" t="s">
        <v>2379</v>
      </c>
      <c r="H1711" s="3" t="s">
        <v>2379</v>
      </c>
      <c r="I1711" s="1">
        <v>1</v>
      </c>
      <c r="J1711">
        <v>1</v>
      </c>
      <c r="K1711" s="3" t="s">
        <v>2379</v>
      </c>
      <c r="P1711" s="3"/>
    </row>
    <row r="1712" spans="1:16" x14ac:dyDescent="0.25">
      <c r="A1712" s="3" t="s">
        <v>659</v>
      </c>
      <c r="B1712">
        <v>33.82</v>
      </c>
      <c r="C1712" t="str" cm="1">
        <f t="array" ref="C1712">_xlfn.IFS(B1712&lt;=18.5,  "Underweight",B1712&lt;=24.9,"Normal weight",B1712&lt;=29.9, "Over weight",B1712&gt;=30,"Obesity")</f>
        <v>Obesity</v>
      </c>
      <c r="D1712">
        <v>8.93</v>
      </c>
      <c r="E1712" t="str" cm="1">
        <f t="array" ref="E1712">_xlfn.IFS(D1712&lt;5.7,"Normal",D1712&lt;=6.4,"Prediabetes",D1712&gt;=6.5,"Diabetes")</f>
        <v>Diabetes</v>
      </c>
      <c r="F1712" s="3" t="s">
        <v>2382</v>
      </c>
      <c r="G1712" s="3" t="s">
        <v>2379</v>
      </c>
      <c r="H1712" s="3" t="s">
        <v>2379</v>
      </c>
      <c r="I1712" s="1">
        <v>1</v>
      </c>
      <c r="J1712">
        <v>1</v>
      </c>
      <c r="K1712" s="3" t="s">
        <v>2379</v>
      </c>
      <c r="P1712" s="3"/>
    </row>
    <row r="1713" spans="1:16" x14ac:dyDescent="0.25">
      <c r="A1713" s="3" t="s">
        <v>658</v>
      </c>
      <c r="B1713">
        <v>32.9</v>
      </c>
      <c r="C1713" t="str" cm="1">
        <f t="array" ref="C1713">_xlfn.IFS(B1713&lt;=18.5,  "Underweight",B1713&lt;=24.9,"Normal weight",B1713&lt;=29.9, "Over weight",B1713&gt;=30,"Obesity")</f>
        <v>Obesity</v>
      </c>
      <c r="D1713">
        <v>4.3499999999999996</v>
      </c>
      <c r="E1713" t="str" cm="1">
        <f t="array" ref="E1713">_xlfn.IFS(D1713&lt;5.7,"Normal",D1713&lt;=6.4,"Prediabetes",D1713&gt;=6.5,"Diabetes")</f>
        <v>Normal</v>
      </c>
      <c r="F1713" s="3" t="s">
        <v>2379</v>
      </c>
      <c r="G1713" s="3" t="s">
        <v>2379</v>
      </c>
      <c r="H1713" s="3" t="s">
        <v>2379</v>
      </c>
      <c r="I1713" s="1" t="s">
        <v>2380</v>
      </c>
      <c r="J1713">
        <v>0</v>
      </c>
      <c r="K1713" s="3" t="s">
        <v>2379</v>
      </c>
      <c r="P1713" s="3"/>
    </row>
    <row r="1714" spans="1:16" x14ac:dyDescent="0.25">
      <c r="A1714" s="3" t="s">
        <v>657</v>
      </c>
      <c r="B1714">
        <v>30.875</v>
      </c>
      <c r="C1714" t="str" cm="1">
        <f t="array" ref="C1714">_xlfn.IFS(B1714&lt;=18.5,  "Underweight",B1714&lt;=24.9,"Normal weight",B1714&lt;=29.9, "Over weight",B1714&gt;=30,"Obesity")</f>
        <v>Obesity</v>
      </c>
      <c r="D1714">
        <v>9.5399999999999991</v>
      </c>
      <c r="E1714" t="str" cm="1">
        <f t="array" ref="E1714">_xlfn.IFS(D1714&lt;5.7,"Normal",D1714&lt;=6.4,"Prediabetes",D1714&gt;=6.5,"Diabetes")</f>
        <v>Diabetes</v>
      </c>
      <c r="F1714" s="3" t="s">
        <v>2382</v>
      </c>
      <c r="G1714" s="3" t="s">
        <v>2379</v>
      </c>
      <c r="H1714" s="3" t="s">
        <v>2379</v>
      </c>
      <c r="I1714" s="1">
        <v>1</v>
      </c>
      <c r="J1714">
        <v>1</v>
      </c>
      <c r="K1714" s="3" t="s">
        <v>2379</v>
      </c>
      <c r="P1714" s="3"/>
    </row>
    <row r="1715" spans="1:16" x14ac:dyDescent="0.25">
      <c r="A1715" s="3" t="s">
        <v>656</v>
      </c>
      <c r="B1715">
        <v>32.64</v>
      </c>
      <c r="C1715" t="str" cm="1">
        <f t="array" ref="C1715">_xlfn.IFS(B1715&lt;=18.5,  "Underweight",B1715&lt;=24.9,"Normal weight",B1715&lt;=29.9, "Over weight",B1715&gt;=30,"Obesity")</f>
        <v>Obesity</v>
      </c>
      <c r="D1715">
        <v>5.91</v>
      </c>
      <c r="E1715" t="str" cm="1">
        <f t="array" ref="E1715">_xlfn.IFS(D1715&lt;5.7,"Normal",D1715&lt;=6.4,"Prediabetes",D1715&gt;=6.5,"Diabetes")</f>
        <v>Prediabetes</v>
      </c>
      <c r="F1715" s="3" t="s">
        <v>2379</v>
      </c>
      <c r="G1715" s="3" t="s">
        <v>2379</v>
      </c>
      <c r="H1715" s="3" t="s">
        <v>2379</v>
      </c>
      <c r="I1715" s="1" t="s">
        <v>2380</v>
      </c>
      <c r="J1715">
        <v>0</v>
      </c>
      <c r="K1715" s="3" t="s">
        <v>2379</v>
      </c>
      <c r="P1715" s="3"/>
    </row>
    <row r="1716" spans="1:16" x14ac:dyDescent="0.25">
      <c r="A1716" s="3" t="s">
        <v>655</v>
      </c>
      <c r="B1716">
        <v>22.135000000000002</v>
      </c>
      <c r="C1716" t="str" cm="1">
        <f t="array" ref="C1716">_xlfn.IFS(B1716&lt;=18.5,  "Underweight",B1716&lt;=24.9,"Normal weight",B1716&lt;=29.9, "Over weight",B1716&gt;=30,"Obesity")</f>
        <v>Normal weight</v>
      </c>
      <c r="D1716">
        <v>5.0999999999999996</v>
      </c>
      <c r="E1716" t="str" cm="1">
        <f t="array" ref="E1716">_xlfn.IFS(D1716&lt;5.7,"Normal",D1716&lt;=6.4,"Prediabetes",D1716&gt;=6.5,"Diabetes")</f>
        <v>Normal</v>
      </c>
      <c r="F1716" s="3" t="s">
        <v>2379</v>
      </c>
      <c r="G1716" s="3" t="s">
        <v>2379</v>
      </c>
      <c r="H1716" s="3" t="s">
        <v>2379</v>
      </c>
      <c r="I1716" s="1" t="s">
        <v>2380</v>
      </c>
      <c r="J1716">
        <v>0</v>
      </c>
      <c r="K1716" s="3" t="s">
        <v>2379</v>
      </c>
      <c r="P1716" s="3"/>
    </row>
    <row r="1717" spans="1:16" x14ac:dyDescent="0.25">
      <c r="A1717" s="3" t="s">
        <v>654</v>
      </c>
      <c r="B1717">
        <v>16.53</v>
      </c>
      <c r="C1717" t="str" cm="1">
        <f t="array" ref="C1717">_xlfn.IFS(B1717&lt;=18.5,  "Underweight",B1717&lt;=24.9,"Normal weight",B1717&lt;=29.9, "Over weight",B1717&gt;=30,"Obesity")</f>
        <v>Underweight</v>
      </c>
      <c r="D1717">
        <v>5.08</v>
      </c>
      <c r="E1717" t="str" cm="1">
        <f t="array" ref="E1717">_xlfn.IFS(D1717&lt;5.7,"Normal",D1717&lt;=6.4,"Prediabetes",D1717&gt;=6.5,"Diabetes")</f>
        <v>Normal</v>
      </c>
      <c r="F1717" s="3" t="s">
        <v>2379</v>
      </c>
      <c r="G1717" s="3" t="s">
        <v>2379</v>
      </c>
      <c r="H1717" s="3" t="s">
        <v>2379</v>
      </c>
      <c r="I1717" s="1">
        <v>2</v>
      </c>
      <c r="J1717">
        <v>2</v>
      </c>
      <c r="K1717" s="3" t="s">
        <v>2379</v>
      </c>
      <c r="P1717" s="3"/>
    </row>
    <row r="1718" spans="1:16" x14ac:dyDescent="0.25">
      <c r="A1718" s="3" t="s">
        <v>653</v>
      </c>
      <c r="B1718">
        <v>32.774999999999999</v>
      </c>
      <c r="C1718" t="str" cm="1">
        <f t="array" ref="C1718">_xlfn.IFS(B1718&lt;=18.5,  "Underweight",B1718&lt;=24.9,"Normal weight",B1718&lt;=29.9, "Over weight",B1718&gt;=30,"Obesity")</f>
        <v>Obesity</v>
      </c>
      <c r="D1718">
        <v>4.75</v>
      </c>
      <c r="E1718" t="str" cm="1">
        <f t="array" ref="E1718">_xlfn.IFS(D1718&lt;5.7,"Normal",D1718&lt;=6.4,"Prediabetes",D1718&gt;=6.5,"Diabetes")</f>
        <v>Normal</v>
      </c>
      <c r="F1718" s="3" t="s">
        <v>2379</v>
      </c>
      <c r="G1718" s="3" t="s">
        <v>2379</v>
      </c>
      <c r="H1718" s="3" t="s">
        <v>2379</v>
      </c>
      <c r="I1718" s="1" t="s">
        <v>2380</v>
      </c>
      <c r="J1718">
        <v>0</v>
      </c>
      <c r="K1718" s="3" t="s">
        <v>2379</v>
      </c>
      <c r="P1718" s="3"/>
    </row>
    <row r="1719" spans="1:16" x14ac:dyDescent="0.25">
      <c r="A1719" s="3" t="s">
        <v>652</v>
      </c>
      <c r="B1719">
        <v>30.9</v>
      </c>
      <c r="C1719" t="str" cm="1">
        <f t="array" ref="C1719">_xlfn.IFS(B1719&lt;=18.5,  "Underweight",B1719&lt;=24.9,"Normal weight",B1719&lt;=29.9, "Over weight",B1719&gt;=30,"Obesity")</f>
        <v>Obesity</v>
      </c>
      <c r="D1719">
        <v>6.05</v>
      </c>
      <c r="E1719" t="str" cm="1">
        <f t="array" ref="E1719">_xlfn.IFS(D1719&lt;5.7,"Normal",D1719&lt;=6.4,"Prediabetes",D1719&gt;=6.5,"Diabetes")</f>
        <v>Prediabetes</v>
      </c>
      <c r="F1719" s="3" t="s">
        <v>2379</v>
      </c>
      <c r="G1719" s="3" t="s">
        <v>2379</v>
      </c>
      <c r="H1719" s="3" t="s">
        <v>2379</v>
      </c>
      <c r="I1719" s="1">
        <v>1</v>
      </c>
      <c r="J1719">
        <v>1</v>
      </c>
      <c r="K1719" s="3" t="s">
        <v>2379</v>
      </c>
      <c r="P1719" s="3"/>
    </row>
    <row r="1720" spans="1:16" x14ac:dyDescent="0.25">
      <c r="A1720" s="3" t="s">
        <v>651</v>
      </c>
      <c r="B1720">
        <v>15.58</v>
      </c>
      <c r="C1720" t="str" cm="1">
        <f t="array" ref="C1720">_xlfn.IFS(B1720&lt;=18.5,  "Underweight",B1720&lt;=24.9,"Normal weight",B1720&lt;=29.9, "Over weight",B1720&gt;=30,"Obesity")</f>
        <v>Underweight</v>
      </c>
      <c r="D1720">
        <v>11.56</v>
      </c>
      <c r="E1720" t="str" cm="1">
        <f t="array" ref="E1720">_xlfn.IFS(D1720&lt;5.7,"Normal",D1720&lt;=6.4,"Prediabetes",D1720&gt;=6.5,"Diabetes")</f>
        <v>Diabetes</v>
      </c>
      <c r="F1720" s="3" t="s">
        <v>2379</v>
      </c>
      <c r="G1720" s="3" t="s">
        <v>2379</v>
      </c>
      <c r="H1720" s="3" t="s">
        <v>2379</v>
      </c>
      <c r="I1720" s="1" t="s">
        <v>2380</v>
      </c>
      <c r="J1720">
        <v>0</v>
      </c>
      <c r="K1720" s="3" t="s">
        <v>2379</v>
      </c>
      <c r="P1720" s="3"/>
    </row>
    <row r="1721" spans="1:16" x14ac:dyDescent="0.25">
      <c r="A1721" s="3" t="s">
        <v>650</v>
      </c>
      <c r="B1721">
        <v>26.315000000000001</v>
      </c>
      <c r="C1721" t="str" cm="1">
        <f t="array" ref="C1721">_xlfn.IFS(B1721&lt;=18.5,  "Underweight",B1721&lt;=24.9,"Normal weight",B1721&lt;=29.9, "Over weight",B1721&gt;=30,"Obesity")</f>
        <v>Over weight</v>
      </c>
      <c r="D1721">
        <v>5.76</v>
      </c>
      <c r="E1721" t="str" cm="1">
        <f t="array" ref="E1721">_xlfn.IFS(D1721&lt;5.7,"Normal",D1721&lt;=6.4,"Prediabetes",D1721&gt;=6.5,"Diabetes")</f>
        <v>Prediabetes</v>
      </c>
      <c r="F1721" s="3" t="s">
        <v>2379</v>
      </c>
      <c r="G1721" s="3" t="s">
        <v>2379</v>
      </c>
      <c r="H1721" s="3" t="s">
        <v>2379</v>
      </c>
      <c r="I1721" s="1" t="s">
        <v>2380</v>
      </c>
      <c r="J1721">
        <v>0</v>
      </c>
      <c r="K1721" s="3" t="s">
        <v>2379</v>
      </c>
      <c r="P1721" s="3"/>
    </row>
    <row r="1722" spans="1:16" x14ac:dyDescent="0.25">
      <c r="A1722" s="3" t="s">
        <v>649</v>
      </c>
      <c r="B1722">
        <v>35.61</v>
      </c>
      <c r="C1722" t="str" cm="1">
        <f t="array" ref="C1722">_xlfn.IFS(B1722&lt;=18.5,  "Underweight",B1722&lt;=24.9,"Normal weight",B1722&lt;=29.9, "Over weight",B1722&gt;=30,"Obesity")</f>
        <v>Obesity</v>
      </c>
      <c r="D1722">
        <v>5.65</v>
      </c>
      <c r="E1722" t="str" cm="1">
        <f t="array" ref="E1722">_xlfn.IFS(D1722&lt;5.7,"Normal",D1722&lt;=6.4,"Prediabetes",D1722&gt;=6.5,"Diabetes")</f>
        <v>Normal</v>
      </c>
      <c r="F1722" s="3" t="s">
        <v>2379</v>
      </c>
      <c r="G1722" s="3" t="s">
        <v>2381</v>
      </c>
      <c r="H1722" s="3" t="s">
        <v>2379</v>
      </c>
      <c r="I1722" s="1">
        <v>1</v>
      </c>
      <c r="J1722">
        <v>1</v>
      </c>
      <c r="K1722" s="3" t="s">
        <v>2379</v>
      </c>
      <c r="P1722" s="3"/>
    </row>
    <row r="1723" spans="1:16" x14ac:dyDescent="0.25">
      <c r="A1723" s="3" t="s">
        <v>648</v>
      </c>
      <c r="B1723">
        <v>37.56</v>
      </c>
      <c r="C1723" t="str" cm="1">
        <f t="array" ref="C1723">_xlfn.IFS(B1723&lt;=18.5,  "Underweight",B1723&lt;=24.9,"Normal weight",B1723&lt;=29.9, "Over weight",B1723&gt;=30,"Obesity")</f>
        <v>Obesity</v>
      </c>
      <c r="D1723">
        <v>5.88</v>
      </c>
      <c r="E1723" t="str" cm="1">
        <f t="array" ref="E1723">_xlfn.IFS(D1723&lt;5.7,"Normal",D1723&lt;=6.4,"Prediabetes",D1723&gt;=6.5,"Diabetes")</f>
        <v>Prediabetes</v>
      </c>
      <c r="F1723" s="3" t="s">
        <v>2379</v>
      </c>
      <c r="G1723" s="3" t="s">
        <v>2381</v>
      </c>
      <c r="H1723" s="3" t="s">
        <v>2379</v>
      </c>
      <c r="I1723" s="1">
        <v>1</v>
      </c>
      <c r="J1723">
        <v>1</v>
      </c>
      <c r="K1723" s="3" t="s">
        <v>2379</v>
      </c>
      <c r="P1723" s="3"/>
    </row>
    <row r="1724" spans="1:16" x14ac:dyDescent="0.25">
      <c r="A1724" s="3" t="s">
        <v>647</v>
      </c>
      <c r="B1724">
        <v>15.49</v>
      </c>
      <c r="C1724" t="str" cm="1">
        <f t="array" ref="C1724">_xlfn.IFS(B1724&lt;=18.5,  "Underweight",B1724&lt;=24.9,"Normal weight",B1724&lt;=29.9, "Over weight",B1724&gt;=30,"Obesity")</f>
        <v>Underweight</v>
      </c>
      <c r="D1724">
        <v>9.6</v>
      </c>
      <c r="E1724" t="str" cm="1">
        <f t="array" ref="E1724">_xlfn.IFS(D1724&lt;5.7,"Normal",D1724&lt;=6.4,"Prediabetes",D1724&gt;=6.5,"Diabetes")</f>
        <v>Diabetes</v>
      </c>
      <c r="F1724" s="3" t="s">
        <v>2379</v>
      </c>
      <c r="G1724" s="3" t="s">
        <v>2379</v>
      </c>
      <c r="H1724" s="3" t="s">
        <v>2379</v>
      </c>
      <c r="I1724" s="1" t="s">
        <v>2380</v>
      </c>
      <c r="J1724">
        <v>0</v>
      </c>
      <c r="K1724" s="3" t="s">
        <v>2379</v>
      </c>
      <c r="P1724" s="3"/>
    </row>
    <row r="1725" spans="1:16" x14ac:dyDescent="0.25">
      <c r="A1725" s="3" t="s">
        <v>646</v>
      </c>
      <c r="B1725">
        <v>23.48</v>
      </c>
      <c r="C1725" t="str" cm="1">
        <f t="array" ref="C1725">_xlfn.IFS(B1725&lt;=18.5,  "Underweight",B1725&lt;=24.9,"Normal weight",B1725&lt;=29.9, "Over weight",B1725&gt;=30,"Obesity")</f>
        <v>Normal weight</v>
      </c>
      <c r="D1725">
        <v>6.24</v>
      </c>
      <c r="E1725" t="str" cm="1">
        <f t="array" ref="E1725">_xlfn.IFS(D1725&lt;5.7,"Normal",D1725&lt;=6.4,"Prediabetes",D1725&gt;=6.5,"Diabetes")</f>
        <v>Prediabetes</v>
      </c>
      <c r="F1725" s="3" t="s">
        <v>2379</v>
      </c>
      <c r="G1725" s="3" t="s">
        <v>2379</v>
      </c>
      <c r="H1725" s="3" t="s">
        <v>2379</v>
      </c>
      <c r="I1725" s="1">
        <v>1</v>
      </c>
      <c r="J1725">
        <v>1</v>
      </c>
      <c r="K1725" s="3" t="s">
        <v>2379</v>
      </c>
      <c r="P1725" s="3"/>
    </row>
    <row r="1726" spans="1:16" x14ac:dyDescent="0.25">
      <c r="A1726" s="3" t="s">
        <v>645</v>
      </c>
      <c r="B1726">
        <v>30.02</v>
      </c>
      <c r="C1726" t="str" cm="1">
        <f t="array" ref="C1726">_xlfn.IFS(B1726&lt;=18.5,  "Underweight",B1726&lt;=24.9,"Normal weight",B1726&lt;=29.9, "Over weight",B1726&gt;=30,"Obesity")</f>
        <v>Obesity</v>
      </c>
      <c r="D1726">
        <v>7.63</v>
      </c>
      <c r="E1726" t="str" cm="1">
        <f t="array" ref="E1726">_xlfn.IFS(D1726&lt;5.7,"Normal",D1726&lt;=6.4,"Prediabetes",D1726&gt;=6.5,"Diabetes")</f>
        <v>Diabetes</v>
      </c>
      <c r="F1726" s="3" t="s">
        <v>2382</v>
      </c>
      <c r="G1726" s="3" t="s">
        <v>2379</v>
      </c>
      <c r="H1726" s="3" t="s">
        <v>2379</v>
      </c>
      <c r="I1726" s="1">
        <v>1</v>
      </c>
      <c r="J1726">
        <v>1</v>
      </c>
      <c r="K1726" s="3" t="s">
        <v>2379</v>
      </c>
      <c r="P1726" s="3"/>
    </row>
    <row r="1727" spans="1:16" x14ac:dyDescent="0.25">
      <c r="A1727" s="3" t="s">
        <v>644</v>
      </c>
      <c r="B1727">
        <v>26.885000000000002</v>
      </c>
      <c r="C1727" t="str" cm="1">
        <f t="array" ref="C1727">_xlfn.IFS(B1727&lt;=18.5,  "Underweight",B1727&lt;=24.9,"Normal weight",B1727&lt;=29.9, "Over weight",B1727&gt;=30,"Obesity")</f>
        <v>Over weight</v>
      </c>
      <c r="D1727">
        <v>8.66</v>
      </c>
      <c r="E1727" t="str" cm="1">
        <f t="array" ref="E1727">_xlfn.IFS(D1727&lt;5.7,"Normal",D1727&lt;=6.4,"Prediabetes",D1727&gt;=6.5,"Diabetes")</f>
        <v>Diabetes</v>
      </c>
      <c r="F1727" s="3" t="s">
        <v>2382</v>
      </c>
      <c r="G1727" s="3" t="s">
        <v>2379</v>
      </c>
      <c r="H1727" s="3" t="s">
        <v>2379</v>
      </c>
      <c r="I1727" s="1">
        <v>1</v>
      </c>
      <c r="J1727">
        <v>1</v>
      </c>
      <c r="K1727" s="3" t="s">
        <v>2379</v>
      </c>
      <c r="P1727" s="3"/>
    </row>
    <row r="1728" spans="1:16" x14ac:dyDescent="0.25">
      <c r="A1728" s="3" t="s">
        <v>643</v>
      </c>
      <c r="B1728">
        <v>25.84</v>
      </c>
      <c r="C1728" t="str" cm="1">
        <f t="array" ref="C1728">_xlfn.IFS(B1728&lt;=18.5,  "Underweight",B1728&lt;=24.9,"Normal weight",B1728&lt;=29.9, "Over weight",B1728&gt;=30,"Obesity")</f>
        <v>Over weight</v>
      </c>
      <c r="D1728">
        <v>8.5500000000000007</v>
      </c>
      <c r="E1728" t="str" cm="1">
        <f t="array" ref="E1728">_xlfn.IFS(D1728&lt;5.7,"Normal",D1728&lt;=6.4,"Prediabetes",D1728&gt;=6.5,"Diabetes")</f>
        <v>Diabetes</v>
      </c>
      <c r="F1728" s="3" t="s">
        <v>2382</v>
      </c>
      <c r="G1728" s="3" t="s">
        <v>2379</v>
      </c>
      <c r="H1728" s="3" t="s">
        <v>2379</v>
      </c>
      <c r="I1728" s="1">
        <v>1</v>
      </c>
      <c r="J1728">
        <v>1</v>
      </c>
      <c r="K1728" s="3" t="s">
        <v>2379</v>
      </c>
      <c r="P1728" s="3"/>
    </row>
    <row r="1729" spans="1:16" x14ac:dyDescent="0.25">
      <c r="A1729" s="3" t="s">
        <v>642</v>
      </c>
      <c r="B1729">
        <v>27.454999999999998</v>
      </c>
      <c r="C1729" t="str" cm="1">
        <f t="array" ref="C1729">_xlfn.IFS(B1729&lt;=18.5,  "Underweight",B1729&lt;=24.9,"Normal weight",B1729&lt;=29.9, "Over weight",B1729&gt;=30,"Obesity")</f>
        <v>Over weight</v>
      </c>
      <c r="D1729">
        <v>4.54</v>
      </c>
      <c r="E1729" t="str" cm="1">
        <f t="array" ref="E1729">_xlfn.IFS(D1729&lt;5.7,"Normal",D1729&lt;=6.4,"Prediabetes",D1729&gt;=6.5,"Diabetes")</f>
        <v>Normal</v>
      </c>
      <c r="F1729" s="3" t="s">
        <v>2379</v>
      </c>
      <c r="G1729" s="3" t="s">
        <v>2379</v>
      </c>
      <c r="H1729" s="3" t="s">
        <v>2379</v>
      </c>
      <c r="I1729" s="1" t="s">
        <v>2380</v>
      </c>
      <c r="J1729">
        <v>0</v>
      </c>
      <c r="K1729" s="3" t="s">
        <v>2379</v>
      </c>
      <c r="P1729" s="3"/>
    </row>
    <row r="1730" spans="1:16" x14ac:dyDescent="0.25">
      <c r="A1730" s="3" t="s">
        <v>641</v>
      </c>
      <c r="B1730">
        <v>24.605</v>
      </c>
      <c r="C1730" t="str" cm="1">
        <f t="array" ref="C1730">_xlfn.IFS(B1730&lt;=18.5,  "Underweight",B1730&lt;=24.9,"Normal weight",B1730&lt;=29.9, "Over weight",B1730&gt;=30,"Obesity")</f>
        <v>Normal weight</v>
      </c>
      <c r="D1730">
        <v>5.7</v>
      </c>
      <c r="E1730" t="str" cm="1">
        <f t="array" ref="E1730">_xlfn.IFS(D1730&lt;5.7,"Normal",D1730&lt;=6.4,"Prediabetes",D1730&gt;=6.5,"Diabetes")</f>
        <v>Prediabetes</v>
      </c>
      <c r="F1730" s="3" t="s">
        <v>2379</v>
      </c>
      <c r="G1730" s="3" t="s">
        <v>2379</v>
      </c>
      <c r="H1730" s="3" t="s">
        <v>2379</v>
      </c>
      <c r="I1730" s="1" t="s">
        <v>2380</v>
      </c>
      <c r="J1730">
        <v>0</v>
      </c>
      <c r="K1730" s="3" t="s">
        <v>2379</v>
      </c>
      <c r="P1730" s="3"/>
    </row>
    <row r="1731" spans="1:16" x14ac:dyDescent="0.25">
      <c r="A1731" s="3" t="s">
        <v>640</v>
      </c>
      <c r="B1731">
        <v>30.8</v>
      </c>
      <c r="C1731" t="str" cm="1">
        <f t="array" ref="C1731">_xlfn.IFS(B1731&lt;=18.5,  "Underweight",B1731&lt;=24.9,"Normal weight",B1731&lt;=29.9, "Over weight",B1731&gt;=30,"Obesity")</f>
        <v>Obesity</v>
      </c>
      <c r="D1731">
        <v>5.07</v>
      </c>
      <c r="E1731" t="str" cm="1">
        <f t="array" ref="E1731">_xlfn.IFS(D1731&lt;5.7,"Normal",D1731&lt;=6.4,"Prediabetes",D1731&gt;=6.5,"Diabetes")</f>
        <v>Normal</v>
      </c>
      <c r="F1731" s="3" t="s">
        <v>2379</v>
      </c>
      <c r="G1731" s="3" t="s">
        <v>2379</v>
      </c>
      <c r="H1731" s="3" t="s">
        <v>2379</v>
      </c>
      <c r="I1731" s="1" t="s">
        <v>2380</v>
      </c>
      <c r="J1731">
        <v>0</v>
      </c>
      <c r="K1731" s="3" t="s">
        <v>2379</v>
      </c>
      <c r="P1731" s="3"/>
    </row>
    <row r="1732" spans="1:16" x14ac:dyDescent="0.25">
      <c r="A1732" s="3" t="s">
        <v>639</v>
      </c>
      <c r="B1732">
        <v>34.799999999999997</v>
      </c>
      <c r="C1732" t="str" cm="1">
        <f t="array" ref="C1732">_xlfn.IFS(B1732&lt;=18.5,  "Underweight",B1732&lt;=24.9,"Normal weight",B1732&lt;=29.9, "Over weight",B1732&gt;=30,"Obesity")</f>
        <v>Obesity</v>
      </c>
      <c r="D1732">
        <v>4.38</v>
      </c>
      <c r="E1732" t="str" cm="1">
        <f t="array" ref="E1732">_xlfn.IFS(D1732&lt;5.7,"Normal",D1732&lt;=6.4,"Prediabetes",D1732&gt;=6.5,"Diabetes")</f>
        <v>Normal</v>
      </c>
      <c r="F1732" s="3" t="s">
        <v>2379</v>
      </c>
      <c r="G1732" s="3" t="s">
        <v>2379</v>
      </c>
      <c r="H1732" s="3" t="s">
        <v>2379</v>
      </c>
      <c r="I1732" s="1">
        <v>1</v>
      </c>
      <c r="J1732">
        <v>1</v>
      </c>
      <c r="K1732" s="3" t="s">
        <v>2379</v>
      </c>
      <c r="P1732" s="3"/>
    </row>
    <row r="1733" spans="1:16" x14ac:dyDescent="0.25">
      <c r="A1733" s="3" t="s">
        <v>638</v>
      </c>
      <c r="B1733">
        <v>34.21</v>
      </c>
      <c r="C1733" t="str" cm="1">
        <f t="array" ref="C1733">_xlfn.IFS(B1733&lt;=18.5,  "Underweight",B1733&lt;=24.9,"Normal weight",B1733&lt;=29.9, "Over weight",B1733&gt;=30,"Obesity")</f>
        <v>Obesity</v>
      </c>
      <c r="D1733">
        <v>4.54</v>
      </c>
      <c r="E1733" t="str" cm="1">
        <f t="array" ref="E1733">_xlfn.IFS(D1733&lt;5.7,"Normal",D1733&lt;=6.4,"Prediabetes",D1733&gt;=6.5,"Diabetes")</f>
        <v>Normal</v>
      </c>
      <c r="F1733" s="3" t="s">
        <v>2379</v>
      </c>
      <c r="G1733" s="3" t="s">
        <v>2379</v>
      </c>
      <c r="H1733" s="3" t="s">
        <v>2379</v>
      </c>
      <c r="I1733" s="1">
        <v>1</v>
      </c>
      <c r="J1733">
        <v>1</v>
      </c>
      <c r="K1733" s="3" t="s">
        <v>2379</v>
      </c>
      <c r="P1733" s="3"/>
    </row>
    <row r="1734" spans="1:16" x14ac:dyDescent="0.25">
      <c r="A1734" s="3" t="s">
        <v>637</v>
      </c>
      <c r="B1734">
        <v>31</v>
      </c>
      <c r="C1734" t="str" cm="1">
        <f t="array" ref="C1734">_xlfn.IFS(B1734&lt;=18.5,  "Underweight",B1734&lt;=24.9,"Normal weight",B1734&lt;=29.9, "Over weight",B1734&gt;=30,"Obesity")</f>
        <v>Obesity</v>
      </c>
      <c r="D1734">
        <v>5.38</v>
      </c>
      <c r="E1734" t="str" cm="1">
        <f t="array" ref="E1734">_xlfn.IFS(D1734&lt;5.7,"Normal",D1734&lt;=6.4,"Prediabetes",D1734&gt;=6.5,"Diabetes")</f>
        <v>Normal</v>
      </c>
      <c r="F1734" s="3" t="s">
        <v>2379</v>
      </c>
      <c r="G1734" s="3" t="s">
        <v>2379</v>
      </c>
      <c r="H1734" s="3" t="s">
        <v>2379</v>
      </c>
      <c r="I1734" s="1">
        <v>1</v>
      </c>
      <c r="J1734">
        <v>1</v>
      </c>
      <c r="K1734" s="3" t="s">
        <v>2379</v>
      </c>
      <c r="P1734" s="3"/>
    </row>
    <row r="1735" spans="1:16" x14ac:dyDescent="0.25">
      <c r="A1735" s="3" t="s">
        <v>636</v>
      </c>
      <c r="B1735">
        <v>26.125</v>
      </c>
      <c r="C1735" t="str" cm="1">
        <f t="array" ref="C1735">_xlfn.IFS(B1735&lt;=18.5,  "Underweight",B1735&lt;=24.9,"Normal weight",B1735&lt;=29.9, "Over weight",B1735&gt;=30,"Obesity")</f>
        <v>Over weight</v>
      </c>
      <c r="D1735">
        <v>5.55</v>
      </c>
      <c r="E1735" t="str" cm="1">
        <f t="array" ref="E1735">_xlfn.IFS(D1735&lt;5.7,"Normal",D1735&lt;=6.4,"Prediabetes",D1735&gt;=6.5,"Diabetes")</f>
        <v>Normal</v>
      </c>
      <c r="F1735" s="3" t="s">
        <v>2379</v>
      </c>
      <c r="G1735" s="3" t="s">
        <v>2379</v>
      </c>
      <c r="H1735" s="3" t="s">
        <v>2379</v>
      </c>
      <c r="I1735" s="1">
        <v>1</v>
      </c>
      <c r="J1735">
        <v>1</v>
      </c>
      <c r="K1735" s="3" t="s">
        <v>2379</v>
      </c>
      <c r="P1735" s="3"/>
    </row>
    <row r="1736" spans="1:16" x14ac:dyDescent="0.25">
      <c r="A1736" s="3" t="s">
        <v>635</v>
      </c>
      <c r="B1736">
        <v>30.13</v>
      </c>
      <c r="C1736" t="str" cm="1">
        <f t="array" ref="C1736">_xlfn.IFS(B1736&lt;=18.5,  "Underweight",B1736&lt;=24.9,"Normal weight",B1736&lt;=29.9, "Over weight",B1736&gt;=30,"Obesity")</f>
        <v>Obesity</v>
      </c>
      <c r="D1736">
        <v>4.03</v>
      </c>
      <c r="E1736" t="str" cm="1">
        <f t="array" ref="E1736">_xlfn.IFS(D1736&lt;5.7,"Normal",D1736&lt;=6.4,"Prediabetes",D1736&gt;=6.5,"Diabetes")</f>
        <v>Normal</v>
      </c>
      <c r="F1736" s="3" t="s">
        <v>2382</v>
      </c>
      <c r="G1736" s="3" t="s">
        <v>2379</v>
      </c>
      <c r="H1736" s="3" t="s">
        <v>2379</v>
      </c>
      <c r="I1736" s="1">
        <v>1</v>
      </c>
      <c r="J1736">
        <v>1</v>
      </c>
      <c r="K1736" s="3" t="s">
        <v>2379</v>
      </c>
      <c r="P1736" s="3"/>
    </row>
    <row r="1737" spans="1:16" x14ac:dyDescent="0.25">
      <c r="A1737" s="3" t="s">
        <v>634</v>
      </c>
      <c r="B1737">
        <v>34.19</v>
      </c>
      <c r="C1737" t="str" cm="1">
        <f t="array" ref="C1737">_xlfn.IFS(B1737&lt;=18.5,  "Underweight",B1737&lt;=24.9,"Normal weight",B1737&lt;=29.9, "Over weight",B1737&gt;=30,"Obesity")</f>
        <v>Obesity</v>
      </c>
      <c r="D1737">
        <v>4.1900000000000004</v>
      </c>
      <c r="E1737" t="str" cm="1">
        <f t="array" ref="E1737">_xlfn.IFS(D1737&lt;5.7,"Normal",D1737&lt;=6.4,"Prediabetes",D1737&gt;=6.5,"Diabetes")</f>
        <v>Normal</v>
      </c>
      <c r="F1737" s="3" t="s">
        <v>2379</v>
      </c>
      <c r="G1737" s="3" t="s">
        <v>2379</v>
      </c>
      <c r="H1737" s="3" t="s">
        <v>2379</v>
      </c>
      <c r="I1737" s="1" t="s">
        <v>2380</v>
      </c>
      <c r="J1737">
        <v>0</v>
      </c>
      <c r="K1737" s="3" t="s">
        <v>2379</v>
      </c>
      <c r="P1737" s="3"/>
    </row>
    <row r="1738" spans="1:16" x14ac:dyDescent="0.25">
      <c r="A1738" s="3" t="s">
        <v>633</v>
      </c>
      <c r="B1738">
        <v>22.515000000000001</v>
      </c>
      <c r="C1738" t="str" cm="1">
        <f t="array" ref="C1738">_xlfn.IFS(B1738&lt;=18.5,  "Underweight",B1738&lt;=24.9,"Normal weight",B1738&lt;=29.9, "Over weight",B1738&gt;=30,"Obesity")</f>
        <v>Normal weight</v>
      </c>
      <c r="D1738">
        <v>4.37</v>
      </c>
      <c r="E1738" t="str" cm="1">
        <f t="array" ref="E1738">_xlfn.IFS(D1738&lt;5.7,"Normal",D1738&lt;=6.4,"Prediabetes",D1738&gt;=6.5,"Diabetes")</f>
        <v>Normal</v>
      </c>
      <c r="F1738" s="3" t="s">
        <v>2379</v>
      </c>
      <c r="G1738" s="3" t="s">
        <v>2379</v>
      </c>
      <c r="H1738" s="3" t="s">
        <v>2382</v>
      </c>
      <c r="I1738" s="1">
        <v>1</v>
      </c>
      <c r="J1738">
        <v>1</v>
      </c>
      <c r="K1738" s="3" t="s">
        <v>2379</v>
      </c>
      <c r="P1738" s="3"/>
    </row>
    <row r="1739" spans="1:16" x14ac:dyDescent="0.25">
      <c r="A1739" s="3" t="s">
        <v>632</v>
      </c>
      <c r="B1739">
        <v>18.239999999999998</v>
      </c>
      <c r="C1739" t="str" cm="1">
        <f t="array" ref="C1739">_xlfn.IFS(B1739&lt;=18.5,  "Underweight",B1739&lt;=24.9,"Normal weight",B1739&lt;=29.9, "Over weight",B1739&gt;=30,"Obesity")</f>
        <v>Underweight</v>
      </c>
      <c r="D1739">
        <v>5.31</v>
      </c>
      <c r="E1739" t="str" cm="1">
        <f t="array" ref="E1739">_xlfn.IFS(D1739&lt;5.7,"Normal",D1739&lt;=6.4,"Prediabetes",D1739&gt;=6.5,"Diabetes")</f>
        <v>Normal</v>
      </c>
      <c r="F1739" s="3" t="s">
        <v>2382</v>
      </c>
      <c r="G1739" s="3" t="s">
        <v>2379</v>
      </c>
      <c r="H1739" s="3" t="s">
        <v>2382</v>
      </c>
      <c r="I1739" s="1">
        <v>1</v>
      </c>
      <c r="J1739">
        <v>1</v>
      </c>
      <c r="K1739" s="3" t="s">
        <v>2379</v>
      </c>
      <c r="P1739" s="3"/>
    </row>
    <row r="1740" spans="1:16" x14ac:dyDescent="0.25">
      <c r="A1740" s="3" t="s">
        <v>630</v>
      </c>
      <c r="B1740">
        <v>37.28</v>
      </c>
      <c r="C1740" t="str" cm="1">
        <f t="array" ref="C1740">_xlfn.IFS(B1740&lt;=18.5,  "Underweight",B1740&lt;=24.9,"Normal weight",B1740&lt;=29.9, "Over weight",B1740&gt;=30,"Obesity")</f>
        <v>Obesity</v>
      </c>
      <c r="D1740">
        <v>4.66</v>
      </c>
      <c r="E1740" t="str" cm="1">
        <f t="array" ref="E1740">_xlfn.IFS(D1740&lt;5.7,"Normal",D1740&lt;=6.4,"Prediabetes",D1740&gt;=6.5,"Diabetes")</f>
        <v>Normal</v>
      </c>
      <c r="F1740" s="3" t="s">
        <v>2379</v>
      </c>
      <c r="G1740" s="3" t="s">
        <v>2381</v>
      </c>
      <c r="H1740" s="3" t="s">
        <v>2379</v>
      </c>
      <c r="I1740" s="1">
        <v>1</v>
      </c>
      <c r="J1740">
        <v>1</v>
      </c>
      <c r="K1740" s="3" t="s">
        <v>2379</v>
      </c>
      <c r="P1740" s="3"/>
    </row>
    <row r="1741" spans="1:16" x14ac:dyDescent="0.25">
      <c r="A1741" s="3" t="s">
        <v>629</v>
      </c>
      <c r="B1741">
        <v>18.2</v>
      </c>
      <c r="C1741" t="str" cm="1">
        <f t="array" ref="C1741">_xlfn.IFS(B1741&lt;=18.5,  "Underweight",B1741&lt;=24.9,"Normal weight",B1741&lt;=29.9, "Over weight",B1741&gt;=30,"Obesity")</f>
        <v>Underweight</v>
      </c>
      <c r="D1741">
        <v>6.19</v>
      </c>
      <c r="E1741" t="str" cm="1">
        <f t="array" ref="E1741">_xlfn.IFS(D1741&lt;5.7,"Normal",D1741&lt;=6.4,"Prediabetes",D1741&gt;=6.5,"Diabetes")</f>
        <v>Prediabetes</v>
      </c>
      <c r="F1741" s="3" t="s">
        <v>2379</v>
      </c>
      <c r="G1741" s="3" t="s">
        <v>2379</v>
      </c>
      <c r="H1741" s="3" t="s">
        <v>2382</v>
      </c>
      <c r="I1741" s="1">
        <v>1</v>
      </c>
      <c r="J1741">
        <v>1</v>
      </c>
      <c r="K1741" s="3" t="s">
        <v>2379</v>
      </c>
      <c r="P1741" s="3"/>
    </row>
    <row r="1742" spans="1:16" x14ac:dyDescent="0.25">
      <c r="A1742" s="3" t="s">
        <v>628</v>
      </c>
      <c r="B1742">
        <v>20.53</v>
      </c>
      <c r="C1742" t="str" cm="1">
        <f t="array" ref="C1742">_xlfn.IFS(B1742&lt;=18.5,  "Underweight",B1742&lt;=24.9,"Normal weight",B1742&lt;=29.9, "Over weight",B1742&gt;=30,"Obesity")</f>
        <v>Normal weight</v>
      </c>
      <c r="D1742">
        <v>4.8600000000000003</v>
      </c>
      <c r="E1742" t="str" cm="1">
        <f t="array" ref="E1742">_xlfn.IFS(D1742&lt;5.7,"Normal",D1742&lt;=6.4,"Prediabetes",D1742&gt;=6.5,"Diabetes")</f>
        <v>Normal</v>
      </c>
      <c r="F1742" s="3" t="s">
        <v>2379</v>
      </c>
      <c r="G1742" s="3" t="s">
        <v>2379</v>
      </c>
      <c r="H1742" s="3" t="s">
        <v>2379</v>
      </c>
      <c r="I1742" s="1">
        <v>1</v>
      </c>
      <c r="J1742">
        <v>1</v>
      </c>
      <c r="K1742" s="3" t="s">
        <v>2379</v>
      </c>
      <c r="P1742" s="3"/>
    </row>
    <row r="1743" spans="1:16" x14ac:dyDescent="0.25">
      <c r="A1743" s="3" t="s">
        <v>627</v>
      </c>
      <c r="B1743">
        <v>23.79</v>
      </c>
      <c r="C1743" t="str" cm="1">
        <f t="array" ref="C1743">_xlfn.IFS(B1743&lt;=18.5,  "Underweight",B1743&lt;=24.9,"Normal weight",B1743&lt;=29.9, "Over weight",B1743&gt;=30,"Obesity")</f>
        <v>Normal weight</v>
      </c>
      <c r="D1743">
        <v>4.74</v>
      </c>
      <c r="E1743" t="str" cm="1">
        <f t="array" ref="E1743">_xlfn.IFS(D1743&lt;5.7,"Normal",D1743&lt;=6.4,"Prediabetes",D1743&gt;=6.5,"Diabetes")</f>
        <v>Normal</v>
      </c>
      <c r="F1743" s="3" t="s">
        <v>2379</v>
      </c>
      <c r="G1743" s="3" t="s">
        <v>2379</v>
      </c>
      <c r="H1743" s="3" t="s">
        <v>2379</v>
      </c>
      <c r="I1743" s="1" t="s">
        <v>2380</v>
      </c>
      <c r="J1743">
        <v>0</v>
      </c>
      <c r="K1743" s="3" t="s">
        <v>2379</v>
      </c>
      <c r="P1743" s="3"/>
    </row>
    <row r="1744" spans="1:16" x14ac:dyDescent="0.25">
      <c r="A1744" s="3" t="s">
        <v>626</v>
      </c>
      <c r="B1744">
        <v>29.8</v>
      </c>
      <c r="C1744" t="str" cm="1">
        <f t="array" ref="C1744">_xlfn.IFS(B1744&lt;=18.5,  "Underweight",B1744&lt;=24.9,"Normal weight",B1744&lt;=29.9, "Over weight",B1744&gt;=30,"Obesity")</f>
        <v>Over weight</v>
      </c>
      <c r="D1744">
        <v>6.03</v>
      </c>
      <c r="E1744" t="str" cm="1">
        <f t="array" ref="E1744">_xlfn.IFS(D1744&lt;5.7,"Normal",D1744&lt;=6.4,"Prediabetes",D1744&gt;=6.5,"Diabetes")</f>
        <v>Prediabetes</v>
      </c>
      <c r="F1744" s="3" t="s">
        <v>2379</v>
      </c>
      <c r="G1744" s="3" t="s">
        <v>2379</v>
      </c>
      <c r="H1744" s="3" t="s">
        <v>2379</v>
      </c>
      <c r="I1744" s="1" t="s">
        <v>2380</v>
      </c>
      <c r="J1744">
        <v>0</v>
      </c>
      <c r="K1744" s="3" t="s">
        <v>2379</v>
      </c>
      <c r="P1744" s="3"/>
    </row>
    <row r="1745" spans="1:16" x14ac:dyDescent="0.25">
      <c r="A1745" s="3" t="s">
        <v>625</v>
      </c>
      <c r="B1745">
        <v>31.54</v>
      </c>
      <c r="C1745" t="str" cm="1">
        <f t="array" ref="C1745">_xlfn.IFS(B1745&lt;=18.5,  "Underweight",B1745&lt;=24.9,"Normal weight",B1745&lt;=29.9, "Over weight",B1745&gt;=30,"Obesity")</f>
        <v>Obesity</v>
      </c>
      <c r="D1745">
        <v>4.71</v>
      </c>
      <c r="E1745" t="str" cm="1">
        <f t="array" ref="E1745">_xlfn.IFS(D1745&lt;5.7,"Normal",D1745&lt;=6.4,"Prediabetes",D1745&gt;=6.5,"Diabetes")</f>
        <v>Normal</v>
      </c>
      <c r="F1745" s="3" t="s">
        <v>2379</v>
      </c>
      <c r="G1745" s="3" t="s">
        <v>2379</v>
      </c>
      <c r="H1745" s="3" t="s">
        <v>2379</v>
      </c>
      <c r="I1745" s="1" t="s">
        <v>2380</v>
      </c>
      <c r="J1745">
        <v>0</v>
      </c>
      <c r="K1745" s="3" t="s">
        <v>2379</v>
      </c>
      <c r="P1745" s="3"/>
    </row>
    <row r="1746" spans="1:16" x14ac:dyDescent="0.25">
      <c r="A1746" s="3" t="s">
        <v>624</v>
      </c>
      <c r="B1746">
        <v>20.82</v>
      </c>
      <c r="C1746" t="str" cm="1">
        <f t="array" ref="C1746">_xlfn.IFS(B1746&lt;=18.5,  "Underweight",B1746&lt;=24.9,"Normal weight",B1746&lt;=29.9, "Over weight",B1746&gt;=30,"Obesity")</f>
        <v>Normal weight</v>
      </c>
      <c r="D1746">
        <v>5.55</v>
      </c>
      <c r="E1746" t="str" cm="1">
        <f t="array" ref="E1746">_xlfn.IFS(D1746&lt;5.7,"Normal",D1746&lt;=6.4,"Prediabetes",D1746&gt;=6.5,"Diabetes")</f>
        <v>Normal</v>
      </c>
      <c r="F1746" s="3" t="s">
        <v>2379</v>
      </c>
      <c r="G1746" s="3" t="s">
        <v>2379</v>
      </c>
      <c r="H1746" s="3" t="s">
        <v>2379</v>
      </c>
      <c r="I1746" s="1">
        <v>1</v>
      </c>
      <c r="J1746">
        <v>1</v>
      </c>
      <c r="K1746" s="3" t="s">
        <v>2379</v>
      </c>
      <c r="P1746" s="3"/>
    </row>
    <row r="1747" spans="1:16" x14ac:dyDescent="0.25">
      <c r="A1747" s="3" t="s">
        <v>623</v>
      </c>
      <c r="B1747">
        <v>38.83</v>
      </c>
      <c r="C1747" t="str" cm="1">
        <f t="array" ref="C1747">_xlfn.IFS(B1747&lt;=18.5,  "Underweight",B1747&lt;=24.9,"Normal weight",B1747&lt;=29.9, "Over weight",B1747&gt;=30,"Obesity")</f>
        <v>Obesity</v>
      </c>
      <c r="D1747">
        <v>4.78</v>
      </c>
      <c r="E1747" t="str" cm="1">
        <f t="array" ref="E1747">_xlfn.IFS(D1747&lt;5.7,"Normal",D1747&lt;=6.4,"Prediabetes",D1747&gt;=6.5,"Diabetes")</f>
        <v>Normal</v>
      </c>
      <c r="F1747" s="3" t="s">
        <v>2379</v>
      </c>
      <c r="G1747" s="3" t="s">
        <v>2379</v>
      </c>
      <c r="H1747" s="3" t="s">
        <v>2382</v>
      </c>
      <c r="I1747" s="1">
        <v>1</v>
      </c>
      <c r="J1747">
        <v>1</v>
      </c>
      <c r="K1747" s="3" t="s">
        <v>2379</v>
      </c>
      <c r="P1747" s="3"/>
    </row>
    <row r="1748" spans="1:16" x14ac:dyDescent="0.25">
      <c r="A1748" s="3" t="s">
        <v>622</v>
      </c>
      <c r="B1748">
        <v>23.44</v>
      </c>
      <c r="C1748" t="str" cm="1">
        <f t="array" ref="C1748">_xlfn.IFS(B1748&lt;=18.5,  "Underweight",B1748&lt;=24.9,"Normal weight",B1748&lt;=29.9, "Over weight",B1748&gt;=30,"Obesity")</f>
        <v>Normal weight</v>
      </c>
      <c r="D1748">
        <v>4.6500000000000004</v>
      </c>
      <c r="E1748" t="str" cm="1">
        <f t="array" ref="E1748">_xlfn.IFS(D1748&lt;5.7,"Normal",D1748&lt;=6.4,"Prediabetes",D1748&gt;=6.5,"Diabetes")</f>
        <v>Normal</v>
      </c>
      <c r="F1748" s="3" t="s">
        <v>2382</v>
      </c>
      <c r="G1748" s="3" t="s">
        <v>2379</v>
      </c>
      <c r="H1748" s="3" t="s">
        <v>2379</v>
      </c>
      <c r="I1748" s="1">
        <v>1</v>
      </c>
      <c r="J1748">
        <v>1</v>
      </c>
      <c r="K1748" s="3" t="s">
        <v>2379</v>
      </c>
      <c r="P1748" s="3"/>
    </row>
    <row r="1749" spans="1:16" x14ac:dyDescent="0.25">
      <c r="A1749" s="3" t="s">
        <v>621</v>
      </c>
      <c r="B1749">
        <v>24.13</v>
      </c>
      <c r="C1749" t="str" cm="1">
        <f t="array" ref="C1749">_xlfn.IFS(B1749&lt;=18.5,  "Underweight",B1749&lt;=24.9,"Normal weight",B1749&lt;=29.9, "Over weight",B1749&gt;=30,"Obesity")</f>
        <v>Normal weight</v>
      </c>
      <c r="D1749">
        <v>5.2</v>
      </c>
      <c r="E1749" t="str" cm="1">
        <f t="array" ref="E1749">_xlfn.IFS(D1749&lt;5.7,"Normal",D1749&lt;=6.4,"Prediabetes",D1749&gt;=6.5,"Diabetes")</f>
        <v>Normal</v>
      </c>
      <c r="F1749" s="3" t="s">
        <v>2379</v>
      </c>
      <c r="G1749" s="3" t="s">
        <v>2379</v>
      </c>
      <c r="H1749" s="3" t="s">
        <v>2379</v>
      </c>
      <c r="I1749" s="1">
        <v>1</v>
      </c>
      <c r="J1749">
        <v>1</v>
      </c>
      <c r="K1749" s="3" t="s">
        <v>2379</v>
      </c>
      <c r="P1749" s="3"/>
    </row>
    <row r="1750" spans="1:16" x14ac:dyDescent="0.25">
      <c r="A1750" s="3" t="s">
        <v>620</v>
      </c>
      <c r="B1750">
        <v>42.13</v>
      </c>
      <c r="C1750" t="str" cm="1">
        <f t="array" ref="C1750">_xlfn.IFS(B1750&lt;=18.5,  "Underweight",B1750&lt;=24.9,"Normal weight",B1750&lt;=29.9, "Over weight",B1750&gt;=30,"Obesity")</f>
        <v>Obesity</v>
      </c>
      <c r="D1750">
        <v>4.54</v>
      </c>
      <c r="E1750" t="str" cm="1">
        <f t="array" ref="E1750">_xlfn.IFS(D1750&lt;5.7,"Normal",D1750&lt;=6.4,"Prediabetes",D1750&gt;=6.5,"Diabetes")</f>
        <v>Normal</v>
      </c>
      <c r="F1750" s="3" t="s">
        <v>2382</v>
      </c>
      <c r="G1750" s="3" t="s">
        <v>2379</v>
      </c>
      <c r="H1750" s="3" t="s">
        <v>2379</v>
      </c>
      <c r="I1750" s="1">
        <v>1</v>
      </c>
      <c r="J1750">
        <v>1</v>
      </c>
      <c r="K1750" s="3" t="s">
        <v>2379</v>
      </c>
      <c r="P1750" s="3"/>
    </row>
    <row r="1751" spans="1:16" x14ac:dyDescent="0.25">
      <c r="A1751" s="3" t="s">
        <v>619</v>
      </c>
      <c r="B1751">
        <v>17.86</v>
      </c>
      <c r="C1751" t="str" cm="1">
        <f t="array" ref="C1751">_xlfn.IFS(B1751&lt;=18.5,  "Underweight",B1751&lt;=24.9,"Normal weight",B1751&lt;=29.9, "Over weight",B1751&gt;=30,"Obesity")</f>
        <v>Underweight</v>
      </c>
      <c r="D1751">
        <v>4.1100000000000003</v>
      </c>
      <c r="E1751" t="str" cm="1">
        <f t="array" ref="E1751">_xlfn.IFS(D1751&lt;5.7,"Normal",D1751&lt;=6.4,"Prediabetes",D1751&gt;=6.5,"Diabetes")</f>
        <v>Normal</v>
      </c>
      <c r="F1751" s="3" t="s">
        <v>2379</v>
      </c>
      <c r="G1751" s="3" t="s">
        <v>2379</v>
      </c>
      <c r="H1751" s="3" t="s">
        <v>2379</v>
      </c>
      <c r="I1751" s="1">
        <v>1</v>
      </c>
      <c r="J1751">
        <v>1</v>
      </c>
      <c r="K1751" s="3" t="s">
        <v>2379</v>
      </c>
      <c r="P1751" s="3"/>
    </row>
    <row r="1752" spans="1:16" x14ac:dyDescent="0.25">
      <c r="A1752" s="3" t="s">
        <v>618</v>
      </c>
      <c r="B1752">
        <v>32.78</v>
      </c>
      <c r="C1752" t="str" cm="1">
        <f t="array" ref="C1752">_xlfn.IFS(B1752&lt;=18.5,  "Underweight",B1752&lt;=24.9,"Normal weight",B1752&lt;=29.9, "Over weight",B1752&gt;=30,"Obesity")</f>
        <v>Obesity</v>
      </c>
      <c r="D1752">
        <v>4.63</v>
      </c>
      <c r="E1752" t="str" cm="1">
        <f t="array" ref="E1752">_xlfn.IFS(D1752&lt;5.7,"Normal",D1752&lt;=6.4,"Prediabetes",D1752&gt;=6.5,"Diabetes")</f>
        <v>Normal</v>
      </c>
      <c r="F1752" s="3" t="s">
        <v>2379</v>
      </c>
      <c r="G1752" s="3" t="s">
        <v>2379</v>
      </c>
      <c r="H1752" s="3" t="s">
        <v>2379</v>
      </c>
      <c r="I1752" s="1" t="s">
        <v>2380</v>
      </c>
      <c r="J1752">
        <v>0</v>
      </c>
      <c r="K1752" s="3" t="s">
        <v>2379</v>
      </c>
      <c r="P1752" s="3"/>
    </row>
    <row r="1753" spans="1:16" x14ac:dyDescent="0.25">
      <c r="A1753" s="3" t="s">
        <v>617</v>
      </c>
      <c r="B1753">
        <v>23.9</v>
      </c>
      <c r="C1753" t="str" cm="1">
        <f t="array" ref="C1753">_xlfn.IFS(B1753&lt;=18.5,  "Underweight",B1753&lt;=24.9,"Normal weight",B1753&lt;=29.9, "Over weight",B1753&gt;=30,"Obesity")</f>
        <v>Normal weight</v>
      </c>
      <c r="D1753">
        <v>6.06</v>
      </c>
      <c r="E1753" t="str" cm="1">
        <f t="array" ref="E1753">_xlfn.IFS(D1753&lt;5.7,"Normal",D1753&lt;=6.4,"Prediabetes",D1753&gt;=6.5,"Diabetes")</f>
        <v>Prediabetes</v>
      </c>
      <c r="F1753" s="3" t="s">
        <v>2382</v>
      </c>
      <c r="G1753" s="3" t="s">
        <v>2379</v>
      </c>
      <c r="H1753" s="3" t="s">
        <v>2382</v>
      </c>
      <c r="I1753" s="1">
        <v>1</v>
      </c>
      <c r="J1753">
        <v>1</v>
      </c>
      <c r="K1753" s="3" t="s">
        <v>2379</v>
      </c>
      <c r="P1753" s="3"/>
    </row>
    <row r="1754" spans="1:16" x14ac:dyDescent="0.25">
      <c r="A1754" s="3" t="s">
        <v>616</v>
      </c>
      <c r="B1754">
        <v>15.47</v>
      </c>
      <c r="C1754" t="str" cm="1">
        <f t="array" ref="C1754">_xlfn.IFS(B1754&lt;=18.5,  "Underweight",B1754&lt;=24.9,"Normal weight",B1754&lt;=29.9, "Over weight",B1754&gt;=30,"Obesity")</f>
        <v>Underweight</v>
      </c>
      <c r="D1754">
        <v>8.43</v>
      </c>
      <c r="E1754" t="str" cm="1">
        <f t="array" ref="E1754">_xlfn.IFS(D1754&lt;5.7,"Normal",D1754&lt;=6.4,"Prediabetes",D1754&gt;=6.5,"Diabetes")</f>
        <v>Diabetes</v>
      </c>
      <c r="F1754" s="3" t="s">
        <v>2379</v>
      </c>
      <c r="G1754" s="3" t="s">
        <v>2379</v>
      </c>
      <c r="H1754" s="3" t="s">
        <v>2379</v>
      </c>
      <c r="I1754" s="1" t="s">
        <v>2380</v>
      </c>
      <c r="J1754">
        <v>0</v>
      </c>
      <c r="K1754" s="3" t="s">
        <v>2379</v>
      </c>
      <c r="P1754" s="3"/>
    </row>
    <row r="1755" spans="1:16" x14ac:dyDescent="0.25">
      <c r="A1755" s="3" t="s">
        <v>615</v>
      </c>
      <c r="B1755">
        <v>28.54</v>
      </c>
      <c r="C1755" t="str" cm="1">
        <f t="array" ref="C1755">_xlfn.IFS(B1755&lt;=18.5,  "Underweight",B1755&lt;=24.9,"Normal weight",B1755&lt;=29.9, "Over weight",B1755&gt;=30,"Obesity")</f>
        <v>Over weight</v>
      </c>
      <c r="D1755">
        <v>5.51</v>
      </c>
      <c r="E1755" t="str" cm="1">
        <f t="array" ref="E1755">_xlfn.IFS(D1755&lt;5.7,"Normal",D1755&lt;=6.4,"Prediabetes",D1755&gt;=6.5,"Diabetes")</f>
        <v>Normal</v>
      </c>
      <c r="F1755" s="3" t="s">
        <v>2379</v>
      </c>
      <c r="G1755" s="3" t="s">
        <v>2379</v>
      </c>
      <c r="H1755" s="3" t="s">
        <v>2382</v>
      </c>
      <c r="I1755" s="1">
        <v>1</v>
      </c>
      <c r="J1755">
        <v>1</v>
      </c>
      <c r="K1755" s="3" t="s">
        <v>2379</v>
      </c>
      <c r="P1755" s="3"/>
    </row>
    <row r="1756" spans="1:16" x14ac:dyDescent="0.25">
      <c r="A1756" s="3" t="s">
        <v>614</v>
      </c>
      <c r="B1756">
        <v>18.54</v>
      </c>
      <c r="C1756" t="str" cm="1">
        <f t="array" ref="C1756">_xlfn.IFS(B1756&lt;=18.5,  "Underweight",B1756&lt;=24.9,"Normal weight",B1756&lt;=29.9, "Over weight",B1756&gt;=30,"Obesity")</f>
        <v>Normal weight</v>
      </c>
      <c r="D1756">
        <v>4.95</v>
      </c>
      <c r="E1756" t="str" cm="1">
        <f t="array" ref="E1756">_xlfn.IFS(D1756&lt;5.7,"Normal",D1756&lt;=6.4,"Prediabetes",D1756&gt;=6.5,"Diabetes")</f>
        <v>Normal</v>
      </c>
      <c r="F1756" s="3" t="s">
        <v>2379</v>
      </c>
      <c r="G1756" s="3" t="s">
        <v>2379</v>
      </c>
      <c r="H1756" s="3" t="s">
        <v>2379</v>
      </c>
      <c r="I1756" s="1" t="s">
        <v>2380</v>
      </c>
      <c r="J1756">
        <v>0</v>
      </c>
      <c r="K1756" s="3" t="s">
        <v>2379</v>
      </c>
      <c r="P1756" s="3"/>
    </row>
    <row r="1757" spans="1:16" x14ac:dyDescent="0.25">
      <c r="A1757" s="3" t="s">
        <v>613</v>
      </c>
      <c r="B1757">
        <v>32.18</v>
      </c>
      <c r="C1757" t="str" cm="1">
        <f t="array" ref="C1757">_xlfn.IFS(B1757&lt;=18.5,  "Underweight",B1757&lt;=24.9,"Normal weight",B1757&lt;=29.9, "Over weight",B1757&gt;=30,"Obesity")</f>
        <v>Obesity</v>
      </c>
      <c r="D1757">
        <v>6.44</v>
      </c>
      <c r="E1757" t="e" cm="1">
        <f t="array" ref="E1757">_xlfn.IFS(D1757&lt;5.7,"Normal",D1757&lt;=6.4,"Prediabetes",D1757&gt;=6.5,"Diabetes")</f>
        <v>#N/A</v>
      </c>
      <c r="F1757" s="3" t="s">
        <v>2382</v>
      </c>
      <c r="G1757" s="3" t="s">
        <v>2379</v>
      </c>
      <c r="H1757" s="3" t="s">
        <v>2382</v>
      </c>
      <c r="I1757" s="1">
        <v>1</v>
      </c>
      <c r="J1757">
        <v>1</v>
      </c>
      <c r="K1757" s="3" t="s">
        <v>2379</v>
      </c>
      <c r="P1757" s="3"/>
    </row>
    <row r="1758" spans="1:16" x14ac:dyDescent="0.25">
      <c r="A1758" s="3" t="s">
        <v>612</v>
      </c>
      <c r="B1758">
        <v>37.380000000000003</v>
      </c>
      <c r="C1758" t="str" cm="1">
        <f t="array" ref="C1758">_xlfn.IFS(B1758&lt;=18.5,  "Underweight",B1758&lt;=24.9,"Normal weight",B1758&lt;=29.9, "Over weight",B1758&gt;=30,"Obesity")</f>
        <v>Obesity</v>
      </c>
      <c r="D1758">
        <v>6.05</v>
      </c>
      <c r="E1758" t="str" cm="1">
        <f t="array" ref="E1758">_xlfn.IFS(D1758&lt;5.7,"Normal",D1758&lt;=6.4,"Prediabetes",D1758&gt;=6.5,"Diabetes")</f>
        <v>Prediabetes</v>
      </c>
      <c r="F1758" s="3" t="s">
        <v>2382</v>
      </c>
      <c r="G1758" s="3" t="s">
        <v>2379</v>
      </c>
      <c r="H1758" s="3" t="s">
        <v>2379</v>
      </c>
      <c r="I1758" s="1" t="s">
        <v>2380</v>
      </c>
      <c r="J1758">
        <v>0</v>
      </c>
      <c r="K1758" s="3" t="s">
        <v>2379</v>
      </c>
      <c r="P1758" s="3"/>
    </row>
    <row r="1759" spans="1:16" x14ac:dyDescent="0.25">
      <c r="A1759" s="3" t="s">
        <v>611</v>
      </c>
      <c r="B1759">
        <v>31.12</v>
      </c>
      <c r="C1759" t="str" cm="1">
        <f t="array" ref="C1759">_xlfn.IFS(B1759&lt;=18.5,  "Underweight",B1759&lt;=24.9,"Normal weight",B1759&lt;=29.9, "Over weight",B1759&gt;=30,"Obesity")</f>
        <v>Obesity</v>
      </c>
      <c r="D1759">
        <v>4.76</v>
      </c>
      <c r="E1759" t="str" cm="1">
        <f t="array" ref="E1759">_xlfn.IFS(D1759&lt;5.7,"Normal",D1759&lt;=6.4,"Prediabetes",D1759&gt;=6.5,"Diabetes")</f>
        <v>Normal</v>
      </c>
      <c r="F1759" s="3" t="s">
        <v>2382</v>
      </c>
      <c r="G1759" s="3" t="s">
        <v>2379</v>
      </c>
      <c r="H1759" s="3" t="s">
        <v>2382</v>
      </c>
      <c r="I1759" s="1">
        <v>1</v>
      </c>
      <c r="J1759">
        <v>1</v>
      </c>
      <c r="K1759" s="3" t="s">
        <v>2379</v>
      </c>
      <c r="P1759" s="3"/>
    </row>
    <row r="1760" spans="1:16" x14ac:dyDescent="0.25">
      <c r="A1760" s="3" t="s">
        <v>610</v>
      </c>
      <c r="B1760">
        <v>22.01</v>
      </c>
      <c r="C1760" t="str" cm="1">
        <f t="array" ref="C1760">_xlfn.IFS(B1760&lt;=18.5,  "Underweight",B1760&lt;=24.9,"Normal weight",B1760&lt;=29.9, "Over weight",B1760&gt;=30,"Obesity")</f>
        <v>Normal weight</v>
      </c>
      <c r="D1760">
        <v>6.72</v>
      </c>
      <c r="E1760" t="str" cm="1">
        <f t="array" ref="E1760">_xlfn.IFS(D1760&lt;5.7,"Normal",D1760&lt;=6.4,"Prediabetes",D1760&gt;=6.5,"Diabetes")</f>
        <v>Diabetes</v>
      </c>
      <c r="F1760" s="3" t="s">
        <v>2382</v>
      </c>
      <c r="G1760" s="3" t="s">
        <v>2379</v>
      </c>
      <c r="H1760" s="3" t="s">
        <v>2379</v>
      </c>
      <c r="I1760" s="1">
        <v>1</v>
      </c>
      <c r="J1760">
        <v>1</v>
      </c>
      <c r="K1760" s="3" t="s">
        <v>2379</v>
      </c>
      <c r="P1760" s="3"/>
    </row>
    <row r="1761" spans="1:16" x14ac:dyDescent="0.25">
      <c r="A1761" s="3" t="s">
        <v>609</v>
      </c>
      <c r="B1761">
        <v>27.645</v>
      </c>
      <c r="C1761" t="str" cm="1">
        <f t="array" ref="C1761">_xlfn.IFS(B1761&lt;=18.5,  "Underweight",B1761&lt;=24.9,"Normal weight",B1761&lt;=29.9, "Over weight",B1761&gt;=30,"Obesity")</f>
        <v>Over weight</v>
      </c>
      <c r="D1761">
        <v>5.7</v>
      </c>
      <c r="E1761" t="str" cm="1">
        <f t="array" ref="E1761">_xlfn.IFS(D1761&lt;5.7,"Normal",D1761&lt;=6.4,"Prediabetes",D1761&gt;=6.5,"Diabetes")</f>
        <v>Prediabetes</v>
      </c>
      <c r="F1761" s="3" t="s">
        <v>2379</v>
      </c>
      <c r="G1761" s="3" t="s">
        <v>2379</v>
      </c>
      <c r="H1761" s="3" t="s">
        <v>2379</v>
      </c>
      <c r="I1761" s="1" t="s">
        <v>2380</v>
      </c>
      <c r="J1761">
        <v>0</v>
      </c>
      <c r="K1761" s="3" t="s">
        <v>2379</v>
      </c>
      <c r="P1761" s="3"/>
    </row>
    <row r="1762" spans="1:16" x14ac:dyDescent="0.25">
      <c r="A1762" s="3" t="s">
        <v>608</v>
      </c>
      <c r="B1762">
        <v>29.64</v>
      </c>
      <c r="C1762" t="str" cm="1">
        <f t="array" ref="C1762">_xlfn.IFS(B1762&lt;=18.5,  "Underweight",B1762&lt;=24.9,"Normal weight",B1762&lt;=29.9, "Over weight",B1762&gt;=30,"Obesity")</f>
        <v>Over weight</v>
      </c>
      <c r="D1762">
        <v>5.31</v>
      </c>
      <c r="E1762" t="str" cm="1">
        <f t="array" ref="E1762">_xlfn.IFS(D1762&lt;5.7,"Normal",D1762&lt;=6.4,"Prediabetes",D1762&gt;=6.5,"Diabetes")</f>
        <v>Normal</v>
      </c>
      <c r="F1762" s="3" t="s">
        <v>2382</v>
      </c>
      <c r="G1762" s="3" t="s">
        <v>2379</v>
      </c>
      <c r="H1762" s="3" t="s">
        <v>2379</v>
      </c>
      <c r="I1762" s="1" t="s">
        <v>2380</v>
      </c>
      <c r="J1762">
        <v>0</v>
      </c>
      <c r="K1762" s="3" t="s">
        <v>2379</v>
      </c>
      <c r="P1762" s="3"/>
    </row>
    <row r="1763" spans="1:16" x14ac:dyDescent="0.25">
      <c r="A1763" s="3" t="s">
        <v>607</v>
      </c>
      <c r="B1763">
        <v>33.700000000000003</v>
      </c>
      <c r="C1763" t="str" cm="1">
        <f t="array" ref="C1763">_xlfn.IFS(B1763&lt;=18.5,  "Underweight",B1763&lt;=24.9,"Normal weight",B1763&lt;=29.9, "Over weight",B1763&gt;=30,"Obesity")</f>
        <v>Obesity</v>
      </c>
      <c r="D1763">
        <v>4.32</v>
      </c>
      <c r="E1763" t="str" cm="1">
        <f t="array" ref="E1763">_xlfn.IFS(D1763&lt;5.7,"Normal",D1763&lt;=6.4,"Prediabetes",D1763&gt;=6.5,"Diabetes")</f>
        <v>Normal</v>
      </c>
      <c r="F1763" s="3" t="s">
        <v>2382</v>
      </c>
      <c r="G1763" s="3" t="s">
        <v>2379</v>
      </c>
      <c r="H1763" s="3" t="s">
        <v>2379</v>
      </c>
      <c r="I1763" s="1">
        <v>1</v>
      </c>
      <c r="J1763">
        <v>1</v>
      </c>
      <c r="K1763" s="3" t="s">
        <v>2379</v>
      </c>
      <c r="P1763" s="3"/>
    </row>
    <row r="1764" spans="1:16" x14ac:dyDescent="0.25">
      <c r="A1764" s="3" t="s">
        <v>606</v>
      </c>
      <c r="B1764">
        <v>27.5</v>
      </c>
      <c r="C1764" t="str" cm="1">
        <f t="array" ref="C1764">_xlfn.IFS(B1764&lt;=18.5,  "Underweight",B1764&lt;=24.9,"Normal weight",B1764&lt;=29.9, "Over weight",B1764&gt;=30,"Obesity")</f>
        <v>Over weight</v>
      </c>
      <c r="D1764">
        <v>4.2300000000000004</v>
      </c>
      <c r="E1764" t="str" cm="1">
        <f t="array" ref="E1764">_xlfn.IFS(D1764&lt;5.7,"Normal",D1764&lt;=6.4,"Prediabetes",D1764&gt;=6.5,"Diabetes")</f>
        <v>Normal</v>
      </c>
      <c r="F1764" s="3" t="s">
        <v>2382</v>
      </c>
      <c r="G1764" s="3" t="s">
        <v>2379</v>
      </c>
      <c r="H1764" s="3" t="s">
        <v>2379</v>
      </c>
      <c r="I1764" s="1">
        <v>1</v>
      </c>
      <c r="J1764">
        <v>1</v>
      </c>
      <c r="K1764" s="3" t="s">
        <v>2379</v>
      </c>
      <c r="P1764" s="3"/>
    </row>
    <row r="1765" spans="1:16" x14ac:dyDescent="0.25">
      <c r="A1765" s="3" t="s">
        <v>605</v>
      </c>
      <c r="B1765">
        <v>16.12</v>
      </c>
      <c r="C1765" t="str" cm="1">
        <f t="array" ref="C1765">_xlfn.IFS(B1765&lt;=18.5,  "Underweight",B1765&lt;=24.9,"Normal weight",B1765&lt;=29.9, "Over weight",B1765&gt;=30,"Obesity")</f>
        <v>Underweight</v>
      </c>
      <c r="D1765">
        <v>6.09</v>
      </c>
      <c r="E1765" t="str" cm="1">
        <f t="array" ref="E1765">_xlfn.IFS(D1765&lt;5.7,"Normal",D1765&lt;=6.4,"Prediabetes",D1765&gt;=6.5,"Diabetes")</f>
        <v>Prediabetes</v>
      </c>
      <c r="F1765" s="3" t="s">
        <v>2379</v>
      </c>
      <c r="G1765" s="3" t="s">
        <v>2379</v>
      </c>
      <c r="H1765" s="3" t="s">
        <v>2379</v>
      </c>
      <c r="I1765" s="1" t="s">
        <v>2380</v>
      </c>
      <c r="J1765">
        <v>0</v>
      </c>
      <c r="K1765" s="3" t="s">
        <v>2379</v>
      </c>
      <c r="P1765" s="3"/>
    </row>
    <row r="1766" spans="1:16" x14ac:dyDescent="0.25">
      <c r="A1766" s="3" t="s">
        <v>604</v>
      </c>
      <c r="B1766">
        <v>26.73</v>
      </c>
      <c r="C1766" t="str" cm="1">
        <f t="array" ref="C1766">_xlfn.IFS(B1766&lt;=18.5,  "Underweight",B1766&lt;=24.9,"Normal weight",B1766&lt;=29.9, "Over weight",B1766&gt;=30,"Obesity")</f>
        <v>Over weight</v>
      </c>
      <c r="D1766">
        <v>4.74</v>
      </c>
      <c r="E1766" t="str" cm="1">
        <f t="array" ref="E1766">_xlfn.IFS(D1766&lt;5.7,"Normal",D1766&lt;=6.4,"Prediabetes",D1766&gt;=6.5,"Diabetes")</f>
        <v>Normal</v>
      </c>
      <c r="F1766" s="3" t="s">
        <v>2382</v>
      </c>
      <c r="G1766" s="3" t="s">
        <v>2379</v>
      </c>
      <c r="H1766" s="3" t="s">
        <v>2379</v>
      </c>
      <c r="I1766" s="1">
        <v>1</v>
      </c>
      <c r="J1766">
        <v>1</v>
      </c>
      <c r="K1766" s="3" t="s">
        <v>2379</v>
      </c>
      <c r="P1766" s="3"/>
    </row>
    <row r="1767" spans="1:16" x14ac:dyDescent="0.25">
      <c r="A1767" s="3" t="s">
        <v>603</v>
      </c>
      <c r="B1767">
        <v>37.25</v>
      </c>
      <c r="C1767" t="str" cm="1">
        <f t="array" ref="C1767">_xlfn.IFS(B1767&lt;=18.5,  "Underweight",B1767&lt;=24.9,"Normal weight",B1767&lt;=29.9, "Over weight",B1767&gt;=30,"Obesity")</f>
        <v>Obesity</v>
      </c>
      <c r="D1767">
        <v>6.23</v>
      </c>
      <c r="E1767" t="str" cm="1">
        <f t="array" ref="E1767">_xlfn.IFS(D1767&lt;5.7,"Normal",D1767&lt;=6.4,"Prediabetes",D1767&gt;=6.5,"Diabetes")</f>
        <v>Prediabetes</v>
      </c>
      <c r="F1767" s="3" t="s">
        <v>2382</v>
      </c>
      <c r="G1767" s="3" t="s">
        <v>2379</v>
      </c>
      <c r="H1767" s="3" t="s">
        <v>2379</v>
      </c>
      <c r="I1767" s="1" t="s">
        <v>2380</v>
      </c>
      <c r="J1767">
        <v>0</v>
      </c>
      <c r="K1767" s="3" t="s">
        <v>2379</v>
      </c>
      <c r="P1767" s="3"/>
    </row>
    <row r="1768" spans="1:16" x14ac:dyDescent="0.25">
      <c r="A1768" s="3" t="s">
        <v>602</v>
      </c>
      <c r="B1768">
        <v>23.56</v>
      </c>
      <c r="C1768" t="str" cm="1">
        <f t="array" ref="C1768">_xlfn.IFS(B1768&lt;=18.5,  "Underweight",B1768&lt;=24.9,"Normal weight",B1768&lt;=29.9, "Over weight",B1768&gt;=30,"Obesity")</f>
        <v>Normal weight</v>
      </c>
      <c r="D1768">
        <v>5.45</v>
      </c>
      <c r="E1768" t="str" cm="1">
        <f t="array" ref="E1768">_xlfn.IFS(D1768&lt;5.7,"Normal",D1768&lt;=6.4,"Prediabetes",D1768&gt;=6.5,"Diabetes")</f>
        <v>Normal</v>
      </c>
      <c r="F1768" s="3" t="s">
        <v>2382</v>
      </c>
      <c r="G1768" s="3" t="s">
        <v>2379</v>
      </c>
      <c r="H1768" s="3" t="s">
        <v>2379</v>
      </c>
      <c r="I1768" s="1">
        <v>1</v>
      </c>
      <c r="J1768">
        <v>1</v>
      </c>
      <c r="K1768" s="3" t="s">
        <v>2379</v>
      </c>
      <c r="P1768" s="3"/>
    </row>
    <row r="1769" spans="1:16" x14ac:dyDescent="0.25">
      <c r="A1769" s="3" t="s">
        <v>601</v>
      </c>
      <c r="B1769">
        <v>15.84</v>
      </c>
      <c r="C1769" t="str" cm="1">
        <f t="array" ref="C1769">_xlfn.IFS(B1769&lt;=18.5,  "Underweight",B1769&lt;=24.9,"Normal weight",B1769&lt;=29.9, "Over weight",B1769&gt;=30,"Obesity")</f>
        <v>Underweight</v>
      </c>
      <c r="D1769">
        <v>10.34</v>
      </c>
      <c r="E1769" t="str" cm="1">
        <f t="array" ref="E1769">_xlfn.IFS(D1769&lt;5.7,"Normal",D1769&lt;=6.4,"Prediabetes",D1769&gt;=6.5,"Diabetes")</f>
        <v>Diabetes</v>
      </c>
      <c r="F1769" s="3" t="s">
        <v>2379</v>
      </c>
      <c r="G1769" s="3" t="s">
        <v>2379</v>
      </c>
      <c r="H1769" s="3" t="s">
        <v>2379</v>
      </c>
      <c r="I1769" s="1">
        <v>2</v>
      </c>
      <c r="J1769">
        <v>2</v>
      </c>
      <c r="K1769" s="3" t="s">
        <v>2379</v>
      </c>
      <c r="P1769" s="3"/>
    </row>
    <row r="1770" spans="1:16" x14ac:dyDescent="0.25">
      <c r="A1770" s="3" t="s">
        <v>600</v>
      </c>
      <c r="B1770">
        <v>36.630000000000003</v>
      </c>
      <c r="C1770" t="str" cm="1">
        <f t="array" ref="C1770">_xlfn.IFS(B1770&lt;=18.5,  "Underweight",B1770&lt;=24.9,"Normal weight",B1770&lt;=29.9, "Over weight",B1770&gt;=30,"Obesity")</f>
        <v>Obesity</v>
      </c>
      <c r="D1770">
        <v>5.15</v>
      </c>
      <c r="E1770" t="str" cm="1">
        <f t="array" ref="E1770">_xlfn.IFS(D1770&lt;5.7,"Normal",D1770&lt;=6.4,"Prediabetes",D1770&gt;=6.5,"Diabetes")</f>
        <v>Normal</v>
      </c>
      <c r="F1770" s="3" t="s">
        <v>2379</v>
      </c>
      <c r="G1770" s="3" t="s">
        <v>2379</v>
      </c>
      <c r="H1770" s="3" t="s">
        <v>2379</v>
      </c>
      <c r="I1770" s="1" t="s">
        <v>2380</v>
      </c>
      <c r="J1770">
        <v>0</v>
      </c>
      <c r="K1770" s="3" t="s">
        <v>2379</v>
      </c>
      <c r="P1770" s="3"/>
    </row>
    <row r="1771" spans="1:16" x14ac:dyDescent="0.25">
      <c r="A1771" s="3" t="s">
        <v>599</v>
      </c>
      <c r="B1771">
        <v>16.47</v>
      </c>
      <c r="C1771" t="str" cm="1">
        <f t="array" ref="C1771">_xlfn.IFS(B1771&lt;=18.5,  "Underweight",B1771&lt;=24.9,"Normal weight",B1771&lt;=29.9, "Over weight",B1771&gt;=30,"Obesity")</f>
        <v>Underweight</v>
      </c>
      <c r="D1771">
        <v>11.72</v>
      </c>
      <c r="E1771" t="str" cm="1">
        <f t="array" ref="E1771">_xlfn.IFS(D1771&lt;5.7,"Normal",D1771&lt;=6.4,"Prediabetes",D1771&gt;=6.5,"Diabetes")</f>
        <v>Diabetes</v>
      </c>
      <c r="F1771" s="3" t="s">
        <v>2379</v>
      </c>
      <c r="G1771" s="3" t="s">
        <v>2379</v>
      </c>
      <c r="H1771" s="3" t="s">
        <v>2379</v>
      </c>
      <c r="I1771" s="1" t="s">
        <v>2380</v>
      </c>
      <c r="J1771">
        <v>0</v>
      </c>
      <c r="K1771" s="3" t="s">
        <v>2379</v>
      </c>
      <c r="P1771" s="3"/>
    </row>
    <row r="1772" spans="1:16" x14ac:dyDescent="0.25">
      <c r="A1772" s="3" t="s">
        <v>598</v>
      </c>
      <c r="B1772">
        <v>25.8</v>
      </c>
      <c r="C1772" t="str" cm="1">
        <f t="array" ref="C1772">_xlfn.IFS(B1772&lt;=18.5,  "Underweight",B1772&lt;=24.9,"Normal weight",B1772&lt;=29.9, "Over weight",B1772&gt;=30,"Obesity")</f>
        <v>Over weight</v>
      </c>
      <c r="D1772">
        <v>5.29</v>
      </c>
      <c r="E1772" t="str" cm="1">
        <f t="array" ref="E1772">_xlfn.IFS(D1772&lt;5.7,"Normal",D1772&lt;=6.4,"Prediabetes",D1772&gt;=6.5,"Diabetes")</f>
        <v>Normal</v>
      </c>
      <c r="F1772" s="3" t="s">
        <v>2379</v>
      </c>
      <c r="G1772" s="3" t="s">
        <v>2379</v>
      </c>
      <c r="H1772" s="3" t="s">
        <v>2379</v>
      </c>
      <c r="I1772" s="1" t="s">
        <v>2380</v>
      </c>
      <c r="J1772">
        <v>0</v>
      </c>
      <c r="K1772" s="3" t="s">
        <v>2379</v>
      </c>
      <c r="P1772" s="3"/>
    </row>
    <row r="1773" spans="1:16" x14ac:dyDescent="0.25">
      <c r="A1773" s="3" t="s">
        <v>597</v>
      </c>
      <c r="B1773">
        <v>23.6</v>
      </c>
      <c r="C1773" t="str" cm="1">
        <f t="array" ref="C1773">_xlfn.IFS(B1773&lt;=18.5,  "Underweight",B1773&lt;=24.9,"Normal weight",B1773&lt;=29.9, "Over weight",B1773&gt;=30,"Obesity")</f>
        <v>Normal weight</v>
      </c>
      <c r="D1773">
        <v>4.33</v>
      </c>
      <c r="E1773" t="str" cm="1">
        <f t="array" ref="E1773">_xlfn.IFS(D1773&lt;5.7,"Normal",D1773&lt;=6.4,"Prediabetes",D1773&gt;=6.5,"Diabetes")</f>
        <v>Normal</v>
      </c>
      <c r="F1773" s="3" t="s">
        <v>2379</v>
      </c>
      <c r="G1773" s="3" t="s">
        <v>2379</v>
      </c>
      <c r="H1773" s="3" t="s">
        <v>2379</v>
      </c>
      <c r="I1773" s="1" t="s">
        <v>2380</v>
      </c>
      <c r="J1773">
        <v>0</v>
      </c>
      <c r="K1773" s="3" t="s">
        <v>2379</v>
      </c>
      <c r="P1773" s="3"/>
    </row>
    <row r="1774" spans="1:16" x14ac:dyDescent="0.25">
      <c r="A1774" s="3" t="s">
        <v>596</v>
      </c>
      <c r="B1774">
        <v>32.11</v>
      </c>
      <c r="C1774" t="str" cm="1">
        <f t="array" ref="C1774">_xlfn.IFS(B1774&lt;=18.5,  "Underweight",B1774&lt;=24.9,"Normal weight",B1774&lt;=29.9, "Over weight",B1774&gt;=30,"Obesity")</f>
        <v>Obesity</v>
      </c>
      <c r="D1774">
        <v>6.24</v>
      </c>
      <c r="E1774" t="str" cm="1">
        <f t="array" ref="E1774">_xlfn.IFS(D1774&lt;5.7,"Normal",D1774&lt;=6.4,"Prediabetes",D1774&gt;=6.5,"Diabetes")</f>
        <v>Prediabetes</v>
      </c>
      <c r="F1774" s="3" t="s">
        <v>2379</v>
      </c>
      <c r="G1774" s="3" t="s">
        <v>2379</v>
      </c>
      <c r="H1774" s="3" t="s">
        <v>2382</v>
      </c>
      <c r="I1774" s="1">
        <v>1</v>
      </c>
      <c r="J1774">
        <v>1</v>
      </c>
      <c r="K1774" s="3" t="s">
        <v>2379</v>
      </c>
      <c r="P1774" s="3"/>
    </row>
    <row r="1775" spans="1:16" x14ac:dyDescent="0.25">
      <c r="A1775" s="3" t="s">
        <v>595</v>
      </c>
      <c r="B1775">
        <v>30.114999999999998</v>
      </c>
      <c r="C1775" t="str" cm="1">
        <f t="array" ref="C1775">_xlfn.IFS(B1775&lt;=18.5,  "Underweight",B1775&lt;=24.9,"Normal weight",B1775&lt;=29.9, "Over weight",B1775&gt;=30,"Obesity")</f>
        <v>Obesity</v>
      </c>
      <c r="D1775">
        <v>11.61</v>
      </c>
      <c r="E1775" t="str" cm="1">
        <f t="array" ref="E1775">_xlfn.IFS(D1775&lt;5.7,"Normal",D1775&lt;=6.4,"Prediabetes",D1775&gt;=6.5,"Diabetes")</f>
        <v>Diabetes</v>
      </c>
      <c r="F1775" s="3" t="s">
        <v>2379</v>
      </c>
      <c r="G1775" s="3" t="s">
        <v>2379</v>
      </c>
      <c r="H1775" s="3" t="s">
        <v>2379</v>
      </c>
      <c r="I1775" s="1" t="s">
        <v>2380</v>
      </c>
      <c r="J1775">
        <v>0</v>
      </c>
      <c r="K1775" s="3" t="s">
        <v>2379</v>
      </c>
      <c r="P1775" s="3"/>
    </row>
    <row r="1776" spans="1:16" x14ac:dyDescent="0.25">
      <c r="A1776" s="3" t="s">
        <v>594</v>
      </c>
      <c r="B1776">
        <v>20.28</v>
      </c>
      <c r="C1776" t="str" cm="1">
        <f t="array" ref="C1776">_xlfn.IFS(B1776&lt;=18.5,  "Underweight",B1776&lt;=24.9,"Normal weight",B1776&lt;=29.9, "Over weight",B1776&gt;=30,"Obesity")</f>
        <v>Normal weight</v>
      </c>
      <c r="D1776">
        <v>11.07</v>
      </c>
      <c r="E1776" t="str" cm="1">
        <f t="array" ref="E1776">_xlfn.IFS(D1776&lt;5.7,"Normal",D1776&lt;=6.4,"Prediabetes",D1776&gt;=6.5,"Diabetes")</f>
        <v>Diabetes</v>
      </c>
      <c r="F1776" s="3" t="s">
        <v>2382</v>
      </c>
      <c r="G1776" s="3" t="s">
        <v>2379</v>
      </c>
      <c r="H1776" s="3" t="s">
        <v>2379</v>
      </c>
      <c r="I1776" s="1" t="s">
        <v>2380</v>
      </c>
      <c r="J1776">
        <v>0</v>
      </c>
      <c r="K1776" s="3" t="s">
        <v>2379</v>
      </c>
      <c r="P1776" s="3"/>
    </row>
    <row r="1777" spans="1:16" x14ac:dyDescent="0.25">
      <c r="A1777" s="3" t="s">
        <v>593</v>
      </c>
      <c r="B1777">
        <v>20.234999999999999</v>
      </c>
      <c r="C1777" t="str" cm="1">
        <f t="array" ref="C1777">_xlfn.IFS(B1777&lt;=18.5,  "Underweight",B1777&lt;=24.9,"Normal weight",B1777&lt;=29.9, "Over weight",B1777&gt;=30,"Obesity")</f>
        <v>Normal weight</v>
      </c>
      <c r="D1777">
        <v>5.19</v>
      </c>
      <c r="E1777" t="str" cm="1">
        <f t="array" ref="E1777">_xlfn.IFS(D1777&lt;5.7,"Normal",D1777&lt;=6.4,"Prediabetes",D1777&gt;=6.5,"Diabetes")</f>
        <v>Normal</v>
      </c>
      <c r="F1777" s="3" t="s">
        <v>2379</v>
      </c>
      <c r="G1777" s="3" t="s">
        <v>2379</v>
      </c>
      <c r="H1777" s="3" t="s">
        <v>2382</v>
      </c>
      <c r="I1777" s="1">
        <v>1</v>
      </c>
      <c r="J1777">
        <v>1</v>
      </c>
      <c r="K1777" s="3" t="s">
        <v>2379</v>
      </c>
      <c r="P1777" s="3"/>
    </row>
    <row r="1778" spans="1:16" x14ac:dyDescent="0.25">
      <c r="A1778" s="3" t="s">
        <v>592</v>
      </c>
      <c r="B1778">
        <v>25.27</v>
      </c>
      <c r="C1778" t="str" cm="1">
        <f t="array" ref="C1778">_xlfn.IFS(B1778&lt;=18.5,  "Underweight",B1778&lt;=24.9,"Normal weight",B1778&lt;=29.9, "Over weight",B1778&gt;=30,"Obesity")</f>
        <v>Over weight</v>
      </c>
      <c r="D1778">
        <v>5.7</v>
      </c>
      <c r="E1778" t="str" cm="1">
        <f t="array" ref="E1778">_xlfn.IFS(D1778&lt;5.7,"Normal",D1778&lt;=6.4,"Prediabetes",D1778&gt;=6.5,"Diabetes")</f>
        <v>Prediabetes</v>
      </c>
      <c r="F1778" s="3" t="s">
        <v>2382</v>
      </c>
      <c r="G1778" s="3" t="s">
        <v>2379</v>
      </c>
      <c r="H1778" s="3" t="s">
        <v>2379</v>
      </c>
      <c r="I1778" s="1">
        <v>1</v>
      </c>
      <c r="J1778">
        <v>1</v>
      </c>
      <c r="K1778" s="3" t="s">
        <v>2379</v>
      </c>
      <c r="P1778" s="3"/>
    </row>
    <row r="1779" spans="1:16" x14ac:dyDescent="0.25">
      <c r="A1779" s="3" t="s">
        <v>591</v>
      </c>
      <c r="B1779">
        <v>24.24</v>
      </c>
      <c r="C1779" t="str" cm="1">
        <f t="array" ref="C1779">_xlfn.IFS(B1779&lt;=18.5,  "Underweight",B1779&lt;=24.9,"Normal weight",B1779&lt;=29.9, "Over weight",B1779&gt;=30,"Obesity")</f>
        <v>Normal weight</v>
      </c>
      <c r="D1779">
        <v>6.15</v>
      </c>
      <c r="E1779" t="str" cm="1">
        <f t="array" ref="E1779">_xlfn.IFS(D1779&lt;5.7,"Normal",D1779&lt;=6.4,"Prediabetes",D1779&gt;=6.5,"Diabetes")</f>
        <v>Prediabetes</v>
      </c>
      <c r="F1779" s="3" t="s">
        <v>2379</v>
      </c>
      <c r="G1779" s="3" t="s">
        <v>2379</v>
      </c>
      <c r="H1779" s="3" t="s">
        <v>2379</v>
      </c>
      <c r="I1779" s="1" t="s">
        <v>2380</v>
      </c>
      <c r="J1779">
        <v>0</v>
      </c>
      <c r="K1779" s="3" t="s">
        <v>2379</v>
      </c>
      <c r="P1779" s="3"/>
    </row>
    <row r="1780" spans="1:16" x14ac:dyDescent="0.25">
      <c r="A1780" s="3" t="s">
        <v>590</v>
      </c>
      <c r="B1780">
        <v>35.75</v>
      </c>
      <c r="C1780" t="str" cm="1">
        <f t="array" ref="C1780">_xlfn.IFS(B1780&lt;=18.5,  "Underweight",B1780&lt;=24.9,"Normal weight",B1780&lt;=29.9, "Over weight",B1780&gt;=30,"Obesity")</f>
        <v>Obesity</v>
      </c>
      <c r="D1780">
        <v>5.07</v>
      </c>
      <c r="E1780" t="str" cm="1">
        <f t="array" ref="E1780">_xlfn.IFS(D1780&lt;5.7,"Normal",D1780&lt;=6.4,"Prediabetes",D1780&gt;=6.5,"Diabetes")</f>
        <v>Normal</v>
      </c>
      <c r="F1780" s="3" t="s">
        <v>2379</v>
      </c>
      <c r="G1780" s="3" t="s">
        <v>2379</v>
      </c>
      <c r="H1780" s="3" t="s">
        <v>2379</v>
      </c>
      <c r="I1780" s="1" t="s">
        <v>2380</v>
      </c>
      <c r="J1780">
        <v>0</v>
      </c>
      <c r="K1780" s="3" t="s">
        <v>2379</v>
      </c>
      <c r="P1780" s="3"/>
    </row>
    <row r="1781" spans="1:16" x14ac:dyDescent="0.25">
      <c r="A1781" s="3" t="s">
        <v>589</v>
      </c>
      <c r="B1781">
        <v>29.92</v>
      </c>
      <c r="C1781" t="e" cm="1">
        <f t="array" ref="C1781">_xlfn.IFS(B1781&lt;=18.5,  "Underweight",B1781&lt;=24.9,"Normal weight",B1781&lt;=29.9, "Over weight",B1781&gt;=30,"Obesity")</f>
        <v>#N/A</v>
      </c>
      <c r="D1781">
        <v>10.97</v>
      </c>
      <c r="E1781" t="str" cm="1">
        <f t="array" ref="E1781">_xlfn.IFS(D1781&lt;5.7,"Normal",D1781&lt;=6.4,"Prediabetes",D1781&gt;=6.5,"Diabetes")</f>
        <v>Diabetes</v>
      </c>
      <c r="F1781" s="3" t="s">
        <v>2382</v>
      </c>
      <c r="G1781" s="3" t="s">
        <v>2379</v>
      </c>
      <c r="H1781" s="3" t="s">
        <v>2379</v>
      </c>
      <c r="I1781" s="1">
        <v>1</v>
      </c>
      <c r="J1781">
        <v>1</v>
      </c>
      <c r="K1781" s="3" t="s">
        <v>2379</v>
      </c>
      <c r="P1781" s="3"/>
    </row>
    <row r="1782" spans="1:16" x14ac:dyDescent="0.25">
      <c r="A1782" s="3" t="s">
        <v>588</v>
      </c>
      <c r="B1782">
        <v>26.2</v>
      </c>
      <c r="C1782" t="str" cm="1">
        <f t="array" ref="C1782">_xlfn.IFS(B1782&lt;=18.5,  "Underweight",B1782&lt;=24.9,"Normal weight",B1782&lt;=29.9, "Over weight",B1782&gt;=30,"Obesity")</f>
        <v>Over weight</v>
      </c>
      <c r="D1782">
        <v>10.93</v>
      </c>
      <c r="E1782" t="str" cm="1">
        <f t="array" ref="E1782">_xlfn.IFS(D1782&lt;5.7,"Normal",D1782&lt;=6.4,"Prediabetes",D1782&gt;=6.5,"Diabetes")</f>
        <v>Diabetes</v>
      </c>
      <c r="F1782" s="3" t="s">
        <v>2382</v>
      </c>
      <c r="G1782" s="3" t="s">
        <v>2379</v>
      </c>
      <c r="H1782" s="3" t="s">
        <v>2379</v>
      </c>
      <c r="I1782" s="1">
        <v>1</v>
      </c>
      <c r="J1782">
        <v>1</v>
      </c>
      <c r="K1782" s="3" t="s">
        <v>2379</v>
      </c>
      <c r="P1782" s="3"/>
    </row>
    <row r="1783" spans="1:16" x14ac:dyDescent="0.25">
      <c r="A1783" s="3" t="s">
        <v>587</v>
      </c>
      <c r="B1783">
        <v>26.695</v>
      </c>
      <c r="C1783" t="str" cm="1">
        <f t="array" ref="C1783">_xlfn.IFS(B1783&lt;=18.5,  "Underweight",B1783&lt;=24.9,"Normal weight",B1783&lt;=29.9, "Over weight",B1783&gt;=30,"Obesity")</f>
        <v>Over weight</v>
      </c>
      <c r="D1783">
        <v>4.21</v>
      </c>
      <c r="E1783" t="str" cm="1">
        <f t="array" ref="E1783">_xlfn.IFS(D1783&lt;5.7,"Normal",D1783&lt;=6.4,"Prediabetes",D1783&gt;=6.5,"Diabetes")</f>
        <v>Normal</v>
      </c>
      <c r="F1783" s="3" t="s">
        <v>2382</v>
      </c>
      <c r="G1783" s="3" t="s">
        <v>2379</v>
      </c>
      <c r="H1783" s="3" t="s">
        <v>2382</v>
      </c>
      <c r="I1783" s="1">
        <v>1</v>
      </c>
      <c r="J1783">
        <v>1</v>
      </c>
      <c r="K1783" s="3" t="s">
        <v>2379</v>
      </c>
      <c r="P1783" s="3"/>
    </row>
    <row r="1784" spans="1:16" x14ac:dyDescent="0.25">
      <c r="A1784" s="3" t="s">
        <v>586</v>
      </c>
      <c r="B1784">
        <v>23.16</v>
      </c>
      <c r="C1784" t="str" cm="1">
        <f t="array" ref="C1784">_xlfn.IFS(B1784&lt;=18.5,  "Underweight",B1784&lt;=24.9,"Normal weight",B1784&lt;=29.9, "Over weight",B1784&gt;=30,"Obesity")</f>
        <v>Normal weight</v>
      </c>
      <c r="D1784">
        <v>5.5</v>
      </c>
      <c r="E1784" t="str" cm="1">
        <f t="array" ref="E1784">_xlfn.IFS(D1784&lt;5.7,"Normal",D1784&lt;=6.4,"Prediabetes",D1784&gt;=6.5,"Diabetes")</f>
        <v>Normal</v>
      </c>
      <c r="F1784" s="3" t="s">
        <v>2379</v>
      </c>
      <c r="G1784" s="3" t="s">
        <v>2379</v>
      </c>
      <c r="H1784" s="3" t="s">
        <v>2379</v>
      </c>
      <c r="I1784" s="1" t="s">
        <v>2380</v>
      </c>
      <c r="J1784">
        <v>0</v>
      </c>
      <c r="K1784" s="3" t="s">
        <v>2379</v>
      </c>
      <c r="P1784" s="3"/>
    </row>
    <row r="1785" spans="1:16" x14ac:dyDescent="0.25">
      <c r="A1785" s="3" t="s">
        <v>585</v>
      </c>
      <c r="B1785">
        <v>32.585000000000001</v>
      </c>
      <c r="C1785" t="str" cm="1">
        <f t="array" ref="C1785">_xlfn.IFS(B1785&lt;=18.5,  "Underweight",B1785&lt;=24.9,"Normal weight",B1785&lt;=29.9, "Over weight",B1785&gt;=30,"Obesity")</f>
        <v>Obesity</v>
      </c>
      <c r="D1785">
        <v>4.93</v>
      </c>
      <c r="E1785" t="str" cm="1">
        <f t="array" ref="E1785">_xlfn.IFS(D1785&lt;5.7,"Normal",D1785&lt;=6.4,"Prediabetes",D1785&gt;=6.5,"Diabetes")</f>
        <v>Normal</v>
      </c>
      <c r="F1785" s="3" t="s">
        <v>2382</v>
      </c>
      <c r="G1785" s="3" t="s">
        <v>2379</v>
      </c>
      <c r="H1785" s="3" t="s">
        <v>2379</v>
      </c>
      <c r="I1785" s="1">
        <v>1</v>
      </c>
      <c r="J1785">
        <v>1</v>
      </c>
      <c r="K1785" s="3" t="s">
        <v>2379</v>
      </c>
      <c r="P1785" s="3"/>
    </row>
    <row r="1786" spans="1:16" x14ac:dyDescent="0.25">
      <c r="A1786" s="3" t="s">
        <v>584</v>
      </c>
      <c r="B1786">
        <v>33.97</v>
      </c>
      <c r="C1786" t="str" cm="1">
        <f t="array" ref="C1786">_xlfn.IFS(B1786&lt;=18.5,  "Underweight",B1786&lt;=24.9,"Normal weight",B1786&lt;=29.9, "Over weight",B1786&gt;=30,"Obesity")</f>
        <v>Obesity</v>
      </c>
      <c r="D1786">
        <v>5.6</v>
      </c>
      <c r="E1786" t="str" cm="1">
        <f t="array" ref="E1786">_xlfn.IFS(D1786&lt;5.7,"Normal",D1786&lt;=6.4,"Prediabetes",D1786&gt;=6.5,"Diabetes")</f>
        <v>Normal</v>
      </c>
      <c r="F1786" s="3" t="s">
        <v>2382</v>
      </c>
      <c r="G1786" s="3" t="s">
        <v>2379</v>
      </c>
      <c r="H1786" s="3" t="s">
        <v>2379</v>
      </c>
      <c r="I1786" s="1" t="s">
        <v>2380</v>
      </c>
      <c r="J1786">
        <v>0</v>
      </c>
      <c r="K1786" s="3" t="s">
        <v>2379</v>
      </c>
      <c r="P1786" s="3"/>
    </row>
    <row r="1787" spans="1:16" x14ac:dyDescent="0.25">
      <c r="A1787" s="3" t="s">
        <v>583</v>
      </c>
      <c r="B1787">
        <v>16.57</v>
      </c>
      <c r="C1787" t="str" cm="1">
        <f t="array" ref="C1787">_xlfn.IFS(B1787&lt;=18.5,  "Underweight",B1787&lt;=24.9,"Normal weight",B1787&lt;=29.9, "Over weight",B1787&gt;=30,"Obesity")</f>
        <v>Underweight</v>
      </c>
      <c r="D1787">
        <v>9.99</v>
      </c>
      <c r="E1787" t="str" cm="1">
        <f t="array" ref="E1787">_xlfn.IFS(D1787&lt;5.7,"Normal",D1787&lt;=6.4,"Prediabetes",D1787&gt;=6.5,"Diabetes")</f>
        <v>Diabetes</v>
      </c>
      <c r="F1787" s="3" t="s">
        <v>2379</v>
      </c>
      <c r="G1787" s="3" t="s">
        <v>2379</v>
      </c>
      <c r="H1787" s="3" t="s">
        <v>2379</v>
      </c>
      <c r="I1787" s="1" t="s">
        <v>2380</v>
      </c>
      <c r="J1787">
        <v>0</v>
      </c>
      <c r="K1787" s="3" t="s">
        <v>2379</v>
      </c>
      <c r="P1787" s="3"/>
    </row>
    <row r="1788" spans="1:16" x14ac:dyDescent="0.25">
      <c r="A1788" s="3" t="s">
        <v>582</v>
      </c>
      <c r="B1788">
        <v>17.55</v>
      </c>
      <c r="C1788" t="str" cm="1">
        <f t="array" ref="C1788">_xlfn.IFS(B1788&lt;=18.5,  "Underweight",B1788&lt;=24.9,"Normal weight",B1788&lt;=29.9, "Over weight",B1788&gt;=30,"Obesity")</f>
        <v>Underweight</v>
      </c>
      <c r="D1788">
        <v>5.93</v>
      </c>
      <c r="E1788" t="str" cm="1">
        <f t="array" ref="E1788">_xlfn.IFS(D1788&lt;5.7,"Normal",D1788&lt;=6.4,"Prediabetes",D1788&gt;=6.5,"Diabetes")</f>
        <v>Prediabetes</v>
      </c>
      <c r="F1788" s="3" t="s">
        <v>2379</v>
      </c>
      <c r="G1788" s="3" t="s">
        <v>2379</v>
      </c>
      <c r="H1788" s="3" t="s">
        <v>2382</v>
      </c>
      <c r="I1788" s="1">
        <v>1</v>
      </c>
      <c r="J1788">
        <v>1</v>
      </c>
      <c r="K1788" s="3" t="s">
        <v>2379</v>
      </c>
      <c r="P1788" s="3"/>
    </row>
    <row r="1789" spans="1:16" x14ac:dyDescent="0.25">
      <c r="A1789" s="3" t="s">
        <v>581</v>
      </c>
      <c r="B1789">
        <v>29.41</v>
      </c>
      <c r="C1789" t="str" cm="1">
        <f t="array" ref="C1789">_xlfn.IFS(B1789&lt;=18.5,  "Underweight",B1789&lt;=24.9,"Normal weight",B1789&lt;=29.9, "Over weight",B1789&gt;=30,"Obesity")</f>
        <v>Over weight</v>
      </c>
      <c r="D1789">
        <v>6.29</v>
      </c>
      <c r="E1789" t="str" cm="1">
        <f t="array" ref="E1789">_xlfn.IFS(D1789&lt;5.7,"Normal",D1789&lt;=6.4,"Prediabetes",D1789&gt;=6.5,"Diabetes")</f>
        <v>Prediabetes</v>
      </c>
      <c r="F1789" s="3" t="s">
        <v>2382</v>
      </c>
      <c r="G1789" s="3" t="s">
        <v>2379</v>
      </c>
      <c r="H1789" s="3" t="s">
        <v>2379</v>
      </c>
      <c r="I1789" s="1">
        <v>1</v>
      </c>
      <c r="J1789">
        <v>1</v>
      </c>
      <c r="K1789" s="3" t="s">
        <v>2379</v>
      </c>
      <c r="P1789" s="3"/>
    </row>
    <row r="1790" spans="1:16" x14ac:dyDescent="0.25">
      <c r="A1790" s="3" t="s">
        <v>580</v>
      </c>
      <c r="B1790">
        <v>17.91</v>
      </c>
      <c r="C1790" t="str" cm="1">
        <f t="array" ref="C1790">_xlfn.IFS(B1790&lt;=18.5,  "Underweight",B1790&lt;=24.9,"Normal weight",B1790&lt;=29.9, "Over weight",B1790&gt;=30,"Obesity")</f>
        <v>Underweight</v>
      </c>
      <c r="D1790">
        <v>5.65</v>
      </c>
      <c r="E1790" t="str" cm="1">
        <f t="array" ref="E1790">_xlfn.IFS(D1790&lt;5.7,"Normal",D1790&lt;=6.4,"Prediabetes",D1790&gt;=6.5,"Diabetes")</f>
        <v>Normal</v>
      </c>
      <c r="F1790" s="3" t="s">
        <v>2379</v>
      </c>
      <c r="G1790" s="3" t="s">
        <v>2379</v>
      </c>
      <c r="H1790" s="3" t="s">
        <v>2379</v>
      </c>
      <c r="I1790" s="1">
        <v>1</v>
      </c>
      <c r="J1790">
        <v>1</v>
      </c>
      <c r="K1790" s="3" t="s">
        <v>2379</v>
      </c>
      <c r="P1790" s="3"/>
    </row>
    <row r="1791" spans="1:16" x14ac:dyDescent="0.25">
      <c r="A1791" s="3" t="s">
        <v>579</v>
      </c>
      <c r="B1791">
        <v>31.57</v>
      </c>
      <c r="C1791" t="str" cm="1">
        <f t="array" ref="C1791">_xlfn.IFS(B1791&lt;=18.5,  "Underweight",B1791&lt;=24.9,"Normal weight",B1791&lt;=29.9, "Over weight",B1791&gt;=30,"Obesity")</f>
        <v>Obesity</v>
      </c>
      <c r="D1791">
        <v>6.15</v>
      </c>
      <c r="E1791" t="str" cm="1">
        <f t="array" ref="E1791">_xlfn.IFS(D1791&lt;5.7,"Normal",D1791&lt;=6.4,"Prediabetes",D1791&gt;=6.5,"Diabetes")</f>
        <v>Prediabetes</v>
      </c>
      <c r="F1791" s="3" t="s">
        <v>2379</v>
      </c>
      <c r="G1791" s="3" t="s">
        <v>2379</v>
      </c>
      <c r="H1791" s="3" t="s">
        <v>2379</v>
      </c>
      <c r="I1791" s="1">
        <v>1</v>
      </c>
      <c r="J1791">
        <v>1</v>
      </c>
      <c r="K1791" s="3" t="s">
        <v>2379</v>
      </c>
      <c r="P1791" s="3"/>
    </row>
    <row r="1792" spans="1:16" x14ac:dyDescent="0.25">
      <c r="A1792" s="3" t="s">
        <v>578</v>
      </c>
      <c r="B1792">
        <v>33.18</v>
      </c>
      <c r="C1792" t="str" cm="1">
        <f t="array" ref="C1792">_xlfn.IFS(B1792&lt;=18.5,  "Underweight",B1792&lt;=24.9,"Normal weight",B1792&lt;=29.9, "Over weight",B1792&gt;=30,"Obesity")</f>
        <v>Obesity</v>
      </c>
      <c r="D1792">
        <v>5.22</v>
      </c>
      <c r="E1792" t="str" cm="1">
        <f t="array" ref="E1792">_xlfn.IFS(D1792&lt;5.7,"Normal",D1792&lt;=6.4,"Prediabetes",D1792&gt;=6.5,"Diabetes")</f>
        <v>Normal</v>
      </c>
      <c r="F1792" s="3" t="s">
        <v>2379</v>
      </c>
      <c r="G1792" s="3" t="s">
        <v>2381</v>
      </c>
      <c r="H1792" s="3" t="s">
        <v>2379</v>
      </c>
      <c r="I1792" s="1">
        <v>1</v>
      </c>
      <c r="J1792">
        <v>1</v>
      </c>
      <c r="K1792" s="3" t="s">
        <v>2379</v>
      </c>
      <c r="P1792" s="3"/>
    </row>
    <row r="1793" spans="1:16" x14ac:dyDescent="0.25">
      <c r="A1793" s="3" t="s">
        <v>577</v>
      </c>
      <c r="B1793">
        <v>37</v>
      </c>
      <c r="C1793" t="str" cm="1">
        <f t="array" ref="C1793">_xlfn.IFS(B1793&lt;=18.5,  "Underweight",B1793&lt;=24.9,"Normal weight",B1793&lt;=29.9, "Over weight",B1793&gt;=30,"Obesity")</f>
        <v>Obesity</v>
      </c>
      <c r="D1793">
        <v>11.66</v>
      </c>
      <c r="E1793" t="str" cm="1">
        <f t="array" ref="E1793">_xlfn.IFS(D1793&lt;5.7,"Normal",D1793&lt;=6.4,"Prediabetes",D1793&gt;=6.5,"Diabetes")</f>
        <v>Diabetes</v>
      </c>
      <c r="F1793" s="3" t="s">
        <v>2379</v>
      </c>
      <c r="G1793" s="3" t="s">
        <v>2379</v>
      </c>
      <c r="H1793" s="3" t="s">
        <v>2379</v>
      </c>
      <c r="I1793" s="1" t="s">
        <v>2380</v>
      </c>
      <c r="J1793">
        <v>0</v>
      </c>
      <c r="K1793" s="3" t="s">
        <v>2379</v>
      </c>
      <c r="P1793" s="3"/>
    </row>
    <row r="1794" spans="1:16" x14ac:dyDescent="0.25">
      <c r="A1794" s="3" t="s">
        <v>576</v>
      </c>
      <c r="B1794">
        <v>18.905000000000001</v>
      </c>
      <c r="C1794" t="str" cm="1">
        <f t="array" ref="C1794">_xlfn.IFS(B1794&lt;=18.5,  "Underweight",B1794&lt;=24.9,"Normal weight",B1794&lt;=29.9, "Over weight",B1794&gt;=30,"Obesity")</f>
        <v>Normal weight</v>
      </c>
      <c r="D1794">
        <v>4.91</v>
      </c>
      <c r="E1794" t="str" cm="1">
        <f t="array" ref="E1794">_xlfn.IFS(D1794&lt;5.7,"Normal",D1794&lt;=6.4,"Prediabetes",D1794&gt;=6.5,"Diabetes")</f>
        <v>Normal</v>
      </c>
      <c r="F1794" s="3" t="s">
        <v>2382</v>
      </c>
      <c r="G1794" s="3" t="s">
        <v>2379</v>
      </c>
      <c r="H1794" s="3" t="s">
        <v>2379</v>
      </c>
      <c r="I1794" s="1">
        <v>1</v>
      </c>
      <c r="J1794">
        <v>1</v>
      </c>
      <c r="K1794" s="3" t="s">
        <v>2379</v>
      </c>
      <c r="P1794" s="3"/>
    </row>
    <row r="1795" spans="1:16" x14ac:dyDescent="0.25">
      <c r="A1795" s="3" t="s">
        <v>575</v>
      </c>
      <c r="B1795">
        <v>20.03</v>
      </c>
      <c r="C1795" t="str" cm="1">
        <f t="array" ref="C1795">_xlfn.IFS(B1795&lt;=18.5,  "Underweight",B1795&lt;=24.9,"Normal weight",B1795&lt;=29.9, "Over weight",B1795&gt;=30,"Obesity")</f>
        <v>Normal weight</v>
      </c>
      <c r="D1795">
        <v>9.25</v>
      </c>
      <c r="E1795" t="str" cm="1">
        <f t="array" ref="E1795">_xlfn.IFS(D1795&lt;5.7,"Normal",D1795&lt;=6.4,"Prediabetes",D1795&gt;=6.5,"Diabetes")</f>
        <v>Diabetes</v>
      </c>
      <c r="F1795" s="3" t="s">
        <v>2382</v>
      </c>
      <c r="G1795" s="3" t="s">
        <v>2379</v>
      </c>
      <c r="H1795" s="3" t="s">
        <v>2379</v>
      </c>
      <c r="I1795" s="1" t="s">
        <v>2380</v>
      </c>
      <c r="J1795">
        <v>0</v>
      </c>
      <c r="K1795" s="3" t="s">
        <v>2379</v>
      </c>
      <c r="P1795" s="3"/>
    </row>
    <row r="1796" spans="1:16" x14ac:dyDescent="0.25">
      <c r="A1796" s="3" t="s">
        <v>574</v>
      </c>
      <c r="B1796">
        <v>16.7</v>
      </c>
      <c r="C1796" t="str" cm="1">
        <f t="array" ref="C1796">_xlfn.IFS(B1796&lt;=18.5,  "Underweight",B1796&lt;=24.9,"Normal weight",B1796&lt;=29.9, "Over weight",B1796&gt;=30,"Obesity")</f>
        <v>Underweight</v>
      </c>
      <c r="D1796">
        <v>11.48</v>
      </c>
      <c r="E1796" t="str" cm="1">
        <f t="array" ref="E1796">_xlfn.IFS(D1796&lt;5.7,"Normal",D1796&lt;=6.4,"Prediabetes",D1796&gt;=6.5,"Diabetes")</f>
        <v>Diabetes</v>
      </c>
      <c r="F1796" s="3" t="s">
        <v>2379</v>
      </c>
      <c r="G1796" s="3" t="s">
        <v>2379</v>
      </c>
      <c r="H1796" s="3" t="s">
        <v>2379</v>
      </c>
      <c r="I1796" s="1" t="s">
        <v>2380</v>
      </c>
      <c r="J1796">
        <v>0</v>
      </c>
      <c r="K1796" s="3" t="s">
        <v>2379</v>
      </c>
      <c r="P1796" s="3"/>
    </row>
    <row r="1797" spans="1:16" x14ac:dyDescent="0.25">
      <c r="A1797" s="3" t="s">
        <v>573</v>
      </c>
      <c r="B1797">
        <v>39.82</v>
      </c>
      <c r="C1797" t="str" cm="1">
        <f t="array" ref="C1797">_xlfn.IFS(B1797&lt;=18.5,  "Underweight",B1797&lt;=24.9,"Normal weight",B1797&lt;=29.9, "Over weight",B1797&gt;=30,"Obesity")</f>
        <v>Obesity</v>
      </c>
      <c r="D1797">
        <v>6.06</v>
      </c>
      <c r="E1797" t="str" cm="1">
        <f t="array" ref="E1797">_xlfn.IFS(D1797&lt;5.7,"Normal",D1797&lt;=6.4,"Prediabetes",D1797&gt;=6.5,"Diabetes")</f>
        <v>Prediabetes</v>
      </c>
      <c r="F1797" s="3" t="s">
        <v>2379</v>
      </c>
      <c r="G1797" s="3" t="s">
        <v>2379</v>
      </c>
      <c r="H1797" s="3" t="s">
        <v>2379</v>
      </c>
      <c r="I1797" s="1" t="s">
        <v>2380</v>
      </c>
      <c r="J1797">
        <v>0</v>
      </c>
      <c r="K1797" s="3" t="s">
        <v>2379</v>
      </c>
      <c r="P1797" s="3"/>
    </row>
    <row r="1798" spans="1:16" x14ac:dyDescent="0.25">
      <c r="A1798" s="3" t="s">
        <v>572</v>
      </c>
      <c r="B1798">
        <v>22.04</v>
      </c>
      <c r="C1798" t="str" cm="1">
        <f t="array" ref="C1798">_xlfn.IFS(B1798&lt;=18.5,  "Underweight",B1798&lt;=24.9,"Normal weight",B1798&lt;=29.9, "Over weight",B1798&gt;=30,"Obesity")</f>
        <v>Normal weight</v>
      </c>
      <c r="D1798">
        <v>5.86</v>
      </c>
      <c r="E1798" t="str" cm="1">
        <f t="array" ref="E1798">_xlfn.IFS(D1798&lt;5.7,"Normal",D1798&lt;=6.4,"Prediabetes",D1798&gt;=6.5,"Diabetes")</f>
        <v>Prediabetes</v>
      </c>
      <c r="F1798" s="3" t="s">
        <v>2379</v>
      </c>
      <c r="G1798" s="3" t="s">
        <v>2379</v>
      </c>
      <c r="H1798" s="3" t="s">
        <v>2379</v>
      </c>
      <c r="I1798" s="1">
        <v>1</v>
      </c>
      <c r="J1798">
        <v>1</v>
      </c>
      <c r="K1798" s="3" t="s">
        <v>2379</v>
      </c>
      <c r="P1798" s="3"/>
    </row>
    <row r="1799" spans="1:16" x14ac:dyDescent="0.25">
      <c r="A1799" s="3" t="s">
        <v>571</v>
      </c>
      <c r="B1799">
        <v>28.27</v>
      </c>
      <c r="C1799" t="str" cm="1">
        <f t="array" ref="C1799">_xlfn.IFS(B1799&lt;=18.5,  "Underweight",B1799&lt;=24.9,"Normal weight",B1799&lt;=29.9, "Over weight",B1799&gt;=30,"Obesity")</f>
        <v>Over weight</v>
      </c>
      <c r="D1799">
        <v>5.33</v>
      </c>
      <c r="E1799" t="str" cm="1">
        <f t="array" ref="E1799">_xlfn.IFS(D1799&lt;5.7,"Normal",D1799&lt;=6.4,"Prediabetes",D1799&gt;=6.5,"Diabetes")</f>
        <v>Normal</v>
      </c>
      <c r="F1799" s="3" t="s">
        <v>2379</v>
      </c>
      <c r="G1799" s="3" t="s">
        <v>2379</v>
      </c>
      <c r="H1799" s="3" t="s">
        <v>2379</v>
      </c>
      <c r="I1799" s="1" t="s">
        <v>2380</v>
      </c>
      <c r="J1799">
        <v>0</v>
      </c>
      <c r="K1799" s="3" t="s">
        <v>2379</v>
      </c>
      <c r="P1799" s="3"/>
    </row>
    <row r="1800" spans="1:16" x14ac:dyDescent="0.25">
      <c r="A1800" s="3" t="s">
        <v>570</v>
      </c>
      <c r="B1800">
        <v>18.5</v>
      </c>
      <c r="C1800" t="str" cm="1">
        <f t="array" ref="C1800">_xlfn.IFS(B1800&lt;=18.5,  "Underweight",B1800&lt;=24.9,"Normal weight",B1800&lt;=29.9, "Over weight",B1800&gt;=30,"Obesity")</f>
        <v>Underweight</v>
      </c>
      <c r="D1800">
        <v>5.33</v>
      </c>
      <c r="E1800" t="str" cm="1">
        <f t="array" ref="E1800">_xlfn.IFS(D1800&lt;5.7,"Normal",D1800&lt;=6.4,"Prediabetes",D1800&gt;=6.5,"Diabetes")</f>
        <v>Normal</v>
      </c>
      <c r="F1800" s="3" t="s">
        <v>2379</v>
      </c>
      <c r="G1800" s="3" t="s">
        <v>2379</v>
      </c>
      <c r="H1800" s="3" t="s">
        <v>2379</v>
      </c>
      <c r="I1800" s="1" t="s">
        <v>2380</v>
      </c>
      <c r="J1800">
        <v>0</v>
      </c>
      <c r="K1800" s="3" t="s">
        <v>2379</v>
      </c>
      <c r="P1800" s="3"/>
    </row>
    <row r="1801" spans="1:16" x14ac:dyDescent="0.25">
      <c r="A1801" s="3" t="s">
        <v>569</v>
      </c>
      <c r="B1801">
        <v>38.6</v>
      </c>
      <c r="C1801" t="str" cm="1">
        <f t="array" ref="C1801">_xlfn.IFS(B1801&lt;=18.5,  "Underweight",B1801&lt;=24.9,"Normal weight",B1801&lt;=29.9, "Over weight",B1801&gt;=30,"Obesity")</f>
        <v>Obesity</v>
      </c>
      <c r="D1801">
        <v>6.02</v>
      </c>
      <c r="E1801" t="str" cm="1">
        <f t="array" ref="E1801">_xlfn.IFS(D1801&lt;5.7,"Normal",D1801&lt;=6.4,"Prediabetes",D1801&gt;=6.5,"Diabetes")</f>
        <v>Prediabetes</v>
      </c>
      <c r="F1801" s="3" t="s">
        <v>2379</v>
      </c>
      <c r="G1801" s="3" t="s">
        <v>2379</v>
      </c>
      <c r="H1801" s="3" t="s">
        <v>2379</v>
      </c>
      <c r="I1801" s="1">
        <v>1</v>
      </c>
      <c r="J1801">
        <v>1</v>
      </c>
      <c r="K1801" s="3" t="s">
        <v>2379</v>
      </c>
      <c r="P1801" s="3"/>
    </row>
    <row r="1802" spans="1:16" x14ac:dyDescent="0.25">
      <c r="A1802" s="3" t="s">
        <v>568</v>
      </c>
      <c r="B1802">
        <v>43.12</v>
      </c>
      <c r="C1802" t="str" cm="1">
        <f t="array" ref="C1802">_xlfn.IFS(B1802&lt;=18.5,  "Underweight",B1802&lt;=24.9,"Normal weight",B1802&lt;=29.9, "Over weight",B1802&gt;=30,"Obesity")</f>
        <v>Obesity</v>
      </c>
      <c r="D1802">
        <v>6.25</v>
      </c>
      <c r="E1802" t="str" cm="1">
        <f t="array" ref="E1802">_xlfn.IFS(D1802&lt;5.7,"Normal",D1802&lt;=6.4,"Prediabetes",D1802&gt;=6.5,"Diabetes")</f>
        <v>Prediabetes</v>
      </c>
      <c r="F1802" s="3" t="s">
        <v>2379</v>
      </c>
      <c r="G1802" s="3" t="s">
        <v>2379</v>
      </c>
      <c r="H1802" s="3" t="s">
        <v>2379</v>
      </c>
      <c r="I1802" s="1">
        <v>1</v>
      </c>
      <c r="J1802">
        <v>1</v>
      </c>
      <c r="K1802" s="3" t="s">
        <v>2379</v>
      </c>
      <c r="P1802" s="3"/>
    </row>
    <row r="1803" spans="1:16" x14ac:dyDescent="0.25">
      <c r="A1803" s="3" t="s">
        <v>567</v>
      </c>
      <c r="B1803">
        <v>30.5</v>
      </c>
      <c r="C1803" t="str" cm="1">
        <f t="array" ref="C1803">_xlfn.IFS(B1803&lt;=18.5,  "Underweight",B1803&lt;=24.9,"Normal weight",B1803&lt;=29.9, "Over weight",B1803&gt;=30,"Obesity")</f>
        <v>Obesity</v>
      </c>
      <c r="D1803">
        <v>4.8099999999999996</v>
      </c>
      <c r="E1803" t="str" cm="1">
        <f t="array" ref="E1803">_xlfn.IFS(D1803&lt;5.7,"Normal",D1803&lt;=6.4,"Prediabetes",D1803&gt;=6.5,"Diabetes")</f>
        <v>Normal</v>
      </c>
      <c r="F1803" s="3" t="s">
        <v>2379</v>
      </c>
      <c r="G1803" s="3" t="s">
        <v>2379</v>
      </c>
      <c r="H1803" s="3" t="s">
        <v>2379</v>
      </c>
      <c r="I1803" s="1">
        <v>1</v>
      </c>
      <c r="J1803">
        <v>1</v>
      </c>
      <c r="K1803" s="3" t="s">
        <v>2379</v>
      </c>
      <c r="P1803" s="3"/>
    </row>
    <row r="1804" spans="1:16" x14ac:dyDescent="0.25">
      <c r="A1804" s="3" t="s">
        <v>566</v>
      </c>
      <c r="B1804">
        <v>27.61</v>
      </c>
      <c r="C1804" t="str" cm="1">
        <f t="array" ref="C1804">_xlfn.IFS(B1804&lt;=18.5,  "Underweight",B1804&lt;=24.9,"Normal weight",B1804&lt;=29.9, "Over weight",B1804&gt;=30,"Obesity")</f>
        <v>Over weight</v>
      </c>
      <c r="D1804">
        <v>4.5999999999999996</v>
      </c>
      <c r="E1804" t="str" cm="1">
        <f t="array" ref="E1804">_xlfn.IFS(D1804&lt;5.7,"Normal",D1804&lt;=6.4,"Prediabetes",D1804&gt;=6.5,"Diabetes")</f>
        <v>Normal</v>
      </c>
      <c r="F1804" s="3" t="s">
        <v>2379</v>
      </c>
      <c r="G1804" s="3" t="s">
        <v>2379</v>
      </c>
      <c r="H1804" s="3" t="s">
        <v>2379</v>
      </c>
      <c r="I1804" s="1">
        <v>1</v>
      </c>
      <c r="J1804">
        <v>1</v>
      </c>
      <c r="K1804" s="3" t="s">
        <v>2379</v>
      </c>
      <c r="P1804" s="3"/>
    </row>
    <row r="1805" spans="1:16" x14ac:dyDescent="0.25">
      <c r="A1805" s="3" t="s">
        <v>565</v>
      </c>
      <c r="B1805">
        <v>27.1</v>
      </c>
      <c r="C1805" t="str" cm="1">
        <f t="array" ref="C1805">_xlfn.IFS(B1805&lt;=18.5,  "Underweight",B1805&lt;=24.9,"Normal weight",B1805&lt;=29.9, "Over weight",B1805&gt;=30,"Obesity")</f>
        <v>Over weight</v>
      </c>
      <c r="D1805">
        <v>5.08</v>
      </c>
      <c r="E1805" t="str" cm="1">
        <f t="array" ref="E1805">_xlfn.IFS(D1805&lt;5.7,"Normal",D1805&lt;=6.4,"Prediabetes",D1805&gt;=6.5,"Diabetes")</f>
        <v>Normal</v>
      </c>
      <c r="F1805" s="3" t="s">
        <v>2379</v>
      </c>
      <c r="G1805" s="3" t="s">
        <v>2379</v>
      </c>
      <c r="H1805" s="3" t="s">
        <v>2379</v>
      </c>
      <c r="I1805" s="1">
        <v>1</v>
      </c>
      <c r="J1805">
        <v>1</v>
      </c>
      <c r="K1805" s="3" t="s">
        <v>2379</v>
      </c>
      <c r="P1805" s="3"/>
    </row>
    <row r="1806" spans="1:16" x14ac:dyDescent="0.25">
      <c r="A1806" s="3" t="s">
        <v>564</v>
      </c>
      <c r="B1806">
        <v>35.93</v>
      </c>
      <c r="C1806" t="str" cm="1">
        <f t="array" ref="C1806">_xlfn.IFS(B1806&lt;=18.5,  "Underweight",B1806&lt;=24.9,"Normal weight",B1806&lt;=29.9, "Over weight",B1806&gt;=30,"Obesity")</f>
        <v>Obesity</v>
      </c>
      <c r="D1806">
        <v>5.43</v>
      </c>
      <c r="E1806" t="str" cm="1">
        <f t="array" ref="E1806">_xlfn.IFS(D1806&lt;5.7,"Normal",D1806&lt;=6.4,"Prediabetes",D1806&gt;=6.5,"Diabetes")</f>
        <v>Normal</v>
      </c>
      <c r="F1806" s="3" t="s">
        <v>2379</v>
      </c>
      <c r="G1806" s="3" t="s">
        <v>2381</v>
      </c>
      <c r="H1806" s="3" t="s">
        <v>2379</v>
      </c>
      <c r="I1806" s="1">
        <v>1</v>
      </c>
      <c r="J1806">
        <v>1</v>
      </c>
      <c r="K1806" s="3" t="s">
        <v>2379</v>
      </c>
      <c r="P1806" s="3"/>
    </row>
    <row r="1807" spans="1:16" x14ac:dyDescent="0.25">
      <c r="A1807" s="3" t="s">
        <v>563</v>
      </c>
      <c r="B1807">
        <v>32.68</v>
      </c>
      <c r="C1807" t="str" cm="1">
        <f t="array" ref="C1807">_xlfn.IFS(B1807&lt;=18.5,  "Underweight",B1807&lt;=24.9,"Normal weight",B1807&lt;=29.9, "Over weight",B1807&gt;=30,"Obesity")</f>
        <v>Obesity</v>
      </c>
      <c r="D1807">
        <v>5.44</v>
      </c>
      <c r="E1807" t="str" cm="1">
        <f t="array" ref="E1807">_xlfn.IFS(D1807&lt;5.7,"Normal",D1807&lt;=6.4,"Prediabetes",D1807&gt;=6.5,"Diabetes")</f>
        <v>Normal</v>
      </c>
      <c r="F1807" s="3" t="s">
        <v>2379</v>
      </c>
      <c r="G1807" s="3" t="s">
        <v>2379</v>
      </c>
      <c r="H1807" s="3" t="s">
        <v>2379</v>
      </c>
      <c r="I1807" s="1" t="s">
        <v>2380</v>
      </c>
      <c r="J1807">
        <v>0</v>
      </c>
      <c r="K1807" s="3" t="s">
        <v>2379</v>
      </c>
      <c r="P1807" s="3"/>
    </row>
    <row r="1808" spans="1:16" x14ac:dyDescent="0.25">
      <c r="A1808" s="3" t="s">
        <v>562</v>
      </c>
      <c r="B1808">
        <v>20.74</v>
      </c>
      <c r="C1808" t="str" cm="1">
        <f t="array" ref="C1808">_xlfn.IFS(B1808&lt;=18.5,  "Underweight",B1808&lt;=24.9,"Normal weight",B1808&lt;=29.9, "Over weight",B1808&gt;=30,"Obesity")</f>
        <v>Normal weight</v>
      </c>
      <c r="D1808">
        <v>11.69</v>
      </c>
      <c r="E1808" t="str" cm="1">
        <f t="array" ref="E1808">_xlfn.IFS(D1808&lt;5.7,"Normal",D1808&lt;=6.4,"Prediabetes",D1808&gt;=6.5,"Diabetes")</f>
        <v>Diabetes</v>
      </c>
      <c r="F1808" s="3" t="s">
        <v>2382</v>
      </c>
      <c r="G1808" s="3" t="s">
        <v>2379</v>
      </c>
      <c r="H1808" s="3" t="s">
        <v>2379</v>
      </c>
      <c r="I1808" s="1">
        <v>1</v>
      </c>
      <c r="J1808">
        <v>1</v>
      </c>
      <c r="K1808" s="3" t="s">
        <v>2379</v>
      </c>
      <c r="P1808" s="3"/>
    </row>
    <row r="1809" spans="1:16" x14ac:dyDescent="0.25">
      <c r="A1809" s="3" t="s">
        <v>561</v>
      </c>
      <c r="B1809">
        <v>15.57</v>
      </c>
      <c r="C1809" t="str" cm="1">
        <f t="array" ref="C1809">_xlfn.IFS(B1809&lt;=18.5,  "Underweight",B1809&lt;=24.9,"Normal weight",B1809&lt;=29.9, "Over weight",B1809&gt;=30,"Obesity")</f>
        <v>Underweight</v>
      </c>
      <c r="D1809">
        <v>6.07</v>
      </c>
      <c r="E1809" t="str" cm="1">
        <f t="array" ref="E1809">_xlfn.IFS(D1809&lt;5.7,"Normal",D1809&lt;=6.4,"Prediabetes",D1809&gt;=6.5,"Diabetes")</f>
        <v>Prediabetes</v>
      </c>
      <c r="F1809" s="3" t="s">
        <v>2379</v>
      </c>
      <c r="G1809" s="3" t="s">
        <v>2379</v>
      </c>
      <c r="H1809" s="3" t="s">
        <v>2379</v>
      </c>
      <c r="I1809" s="1" t="s">
        <v>2380</v>
      </c>
      <c r="J1809">
        <v>0</v>
      </c>
      <c r="K1809" s="3" t="s">
        <v>2379</v>
      </c>
      <c r="P1809" s="3"/>
    </row>
    <row r="1810" spans="1:16" x14ac:dyDescent="0.25">
      <c r="A1810" s="3" t="s">
        <v>560</v>
      </c>
      <c r="B1810">
        <v>23.844999999999999</v>
      </c>
      <c r="C1810" t="str" cm="1">
        <f t="array" ref="C1810">_xlfn.IFS(B1810&lt;=18.5,  "Underweight",B1810&lt;=24.9,"Normal weight",B1810&lt;=29.9, "Over weight",B1810&gt;=30,"Obesity")</f>
        <v>Normal weight</v>
      </c>
      <c r="D1810">
        <v>4.3600000000000003</v>
      </c>
      <c r="E1810" t="str" cm="1">
        <f t="array" ref="E1810">_xlfn.IFS(D1810&lt;5.7,"Normal",D1810&lt;=6.4,"Prediabetes",D1810&gt;=6.5,"Diabetes")</f>
        <v>Normal</v>
      </c>
      <c r="F1810" s="3" t="s">
        <v>2379</v>
      </c>
      <c r="G1810" s="3" t="s">
        <v>2379</v>
      </c>
      <c r="H1810" s="3" t="s">
        <v>2379</v>
      </c>
      <c r="I1810" s="1" t="s">
        <v>2380</v>
      </c>
      <c r="J1810">
        <v>0</v>
      </c>
      <c r="K1810" s="3" t="s">
        <v>2379</v>
      </c>
      <c r="P1810" s="3"/>
    </row>
    <row r="1811" spans="1:16" x14ac:dyDescent="0.25">
      <c r="A1811" s="3" t="s">
        <v>559</v>
      </c>
      <c r="B1811">
        <v>22.895</v>
      </c>
      <c r="C1811" t="str" cm="1">
        <f t="array" ref="C1811">_xlfn.IFS(B1811&lt;=18.5,  "Underweight",B1811&lt;=24.9,"Normal weight",B1811&lt;=29.9, "Over weight",B1811&gt;=30,"Obesity")</f>
        <v>Normal weight</v>
      </c>
      <c r="D1811">
        <v>5.24</v>
      </c>
      <c r="E1811" t="str" cm="1">
        <f t="array" ref="E1811">_xlfn.IFS(D1811&lt;5.7,"Normal",D1811&lt;=6.4,"Prediabetes",D1811&gt;=6.5,"Diabetes")</f>
        <v>Normal</v>
      </c>
      <c r="F1811" s="3" t="s">
        <v>2379</v>
      </c>
      <c r="G1811" s="3" t="s">
        <v>2379</v>
      </c>
      <c r="H1811" s="3" t="s">
        <v>2379</v>
      </c>
      <c r="I1811" s="1">
        <v>1</v>
      </c>
      <c r="J1811">
        <v>1</v>
      </c>
      <c r="K1811" s="3" t="s">
        <v>2379</v>
      </c>
      <c r="P1811" s="3"/>
    </row>
    <row r="1812" spans="1:16" x14ac:dyDescent="0.25">
      <c r="A1812" s="3" t="s">
        <v>558</v>
      </c>
      <c r="B1812">
        <v>21.945</v>
      </c>
      <c r="C1812" t="str" cm="1">
        <f t="array" ref="C1812">_xlfn.IFS(B1812&lt;=18.5,  "Underweight",B1812&lt;=24.9,"Normal weight",B1812&lt;=29.9, "Over weight",B1812&gt;=30,"Obesity")</f>
        <v>Normal weight</v>
      </c>
      <c r="D1812">
        <v>5.37</v>
      </c>
      <c r="E1812" t="str" cm="1">
        <f t="array" ref="E1812">_xlfn.IFS(D1812&lt;5.7,"Normal",D1812&lt;=6.4,"Prediabetes",D1812&gt;=6.5,"Diabetes")</f>
        <v>Normal</v>
      </c>
      <c r="F1812" s="3" t="s">
        <v>2379</v>
      </c>
      <c r="G1812" s="3" t="s">
        <v>2379</v>
      </c>
      <c r="H1812" s="3" t="s">
        <v>2379</v>
      </c>
      <c r="I1812" s="1">
        <v>1</v>
      </c>
      <c r="J1812">
        <v>1</v>
      </c>
      <c r="K1812" s="3" t="s">
        <v>2379</v>
      </c>
      <c r="P1812" s="3"/>
    </row>
    <row r="1813" spans="1:16" x14ac:dyDescent="0.25">
      <c r="A1813" s="3" t="s">
        <v>557</v>
      </c>
      <c r="B1813">
        <v>19.47</v>
      </c>
      <c r="C1813" t="str" cm="1">
        <f t="array" ref="C1813">_xlfn.IFS(B1813&lt;=18.5,  "Underweight",B1813&lt;=24.9,"Normal weight",B1813&lt;=29.9, "Over weight",B1813&gt;=30,"Obesity")</f>
        <v>Normal weight</v>
      </c>
      <c r="D1813">
        <v>6.6</v>
      </c>
      <c r="E1813" t="str" cm="1">
        <f t="array" ref="E1813">_xlfn.IFS(D1813&lt;5.7,"Normal",D1813&lt;=6.4,"Prediabetes",D1813&gt;=6.5,"Diabetes")</f>
        <v>Diabetes</v>
      </c>
      <c r="F1813" s="3" t="s">
        <v>2382</v>
      </c>
      <c r="G1813" s="3" t="s">
        <v>2379</v>
      </c>
      <c r="H1813" s="3" t="s">
        <v>2379</v>
      </c>
      <c r="I1813" s="1" t="s">
        <v>2380</v>
      </c>
      <c r="J1813">
        <v>0</v>
      </c>
      <c r="K1813" s="3" t="s">
        <v>2379</v>
      </c>
      <c r="P1813" s="3"/>
    </row>
    <row r="1814" spans="1:16" x14ac:dyDescent="0.25">
      <c r="A1814" s="3" t="s">
        <v>556</v>
      </c>
      <c r="B1814">
        <v>15.61</v>
      </c>
      <c r="C1814" t="str" cm="1">
        <f t="array" ref="C1814">_xlfn.IFS(B1814&lt;=18.5,  "Underweight",B1814&lt;=24.9,"Normal weight",B1814&lt;=29.9, "Over weight",B1814&gt;=30,"Obesity")</f>
        <v>Underweight</v>
      </c>
      <c r="D1814">
        <v>5.77</v>
      </c>
      <c r="E1814" t="str" cm="1">
        <f t="array" ref="E1814">_xlfn.IFS(D1814&lt;5.7,"Normal",D1814&lt;=6.4,"Prediabetes",D1814&gt;=6.5,"Diabetes")</f>
        <v>Prediabetes</v>
      </c>
      <c r="F1814" s="3" t="s">
        <v>2379</v>
      </c>
      <c r="G1814" s="3" t="s">
        <v>2379</v>
      </c>
      <c r="H1814" s="3" t="s">
        <v>2379</v>
      </c>
      <c r="I1814" s="1" t="s">
        <v>2380</v>
      </c>
      <c r="J1814">
        <v>0</v>
      </c>
      <c r="K1814" s="3" t="s">
        <v>2379</v>
      </c>
      <c r="P1814" s="3"/>
    </row>
    <row r="1815" spans="1:16" x14ac:dyDescent="0.25">
      <c r="A1815" s="3" t="s">
        <v>555</v>
      </c>
      <c r="B1815">
        <v>28.6</v>
      </c>
      <c r="C1815" t="str" cm="1">
        <f t="array" ref="C1815">_xlfn.IFS(B1815&lt;=18.5,  "Underweight",B1815&lt;=24.9,"Normal weight",B1815&lt;=29.9, "Over weight",B1815&gt;=30,"Obesity")</f>
        <v>Over weight</v>
      </c>
      <c r="D1815">
        <v>6.08</v>
      </c>
      <c r="E1815" t="str" cm="1">
        <f t="array" ref="E1815">_xlfn.IFS(D1815&lt;5.7,"Normal",D1815&lt;=6.4,"Prediabetes",D1815&gt;=6.5,"Diabetes")</f>
        <v>Prediabetes</v>
      </c>
      <c r="F1815" s="3" t="s">
        <v>2379</v>
      </c>
      <c r="G1815" s="3" t="s">
        <v>2379</v>
      </c>
      <c r="H1815" s="3" t="s">
        <v>2382</v>
      </c>
      <c r="I1815" s="1">
        <v>1</v>
      </c>
      <c r="J1815">
        <v>1</v>
      </c>
      <c r="K1815" s="3" t="s">
        <v>2379</v>
      </c>
      <c r="P1815" s="3"/>
    </row>
    <row r="1816" spans="1:16" x14ac:dyDescent="0.25">
      <c r="A1816" s="3" t="s">
        <v>554</v>
      </c>
      <c r="B1816">
        <v>46.53</v>
      </c>
      <c r="C1816" t="str" cm="1">
        <f t="array" ref="C1816">_xlfn.IFS(B1816&lt;=18.5,  "Underweight",B1816&lt;=24.9,"Normal weight",B1816&lt;=29.9, "Over weight",B1816&gt;=30,"Obesity")</f>
        <v>Obesity</v>
      </c>
      <c r="D1816">
        <v>4.16</v>
      </c>
      <c r="E1816" t="str" cm="1">
        <f t="array" ref="E1816">_xlfn.IFS(D1816&lt;5.7,"Normal",D1816&lt;=6.4,"Prediabetes",D1816&gt;=6.5,"Diabetes")</f>
        <v>Normal</v>
      </c>
      <c r="F1816" s="3" t="s">
        <v>2379</v>
      </c>
      <c r="G1816" s="3" t="s">
        <v>2379</v>
      </c>
      <c r="H1816" s="3" t="s">
        <v>2379</v>
      </c>
      <c r="I1816" s="1" t="s">
        <v>2380</v>
      </c>
      <c r="J1816">
        <v>0</v>
      </c>
      <c r="K1816" s="3" t="s">
        <v>2379</v>
      </c>
      <c r="P1816" s="3"/>
    </row>
    <row r="1817" spans="1:16" x14ac:dyDescent="0.25">
      <c r="A1817" s="3" t="s">
        <v>553</v>
      </c>
      <c r="B1817">
        <v>34.99</v>
      </c>
      <c r="C1817" t="str" cm="1">
        <f t="array" ref="C1817">_xlfn.IFS(B1817&lt;=18.5,  "Underweight",B1817&lt;=24.9,"Normal weight",B1817&lt;=29.9, "Over weight",B1817&gt;=30,"Obesity")</f>
        <v>Obesity</v>
      </c>
      <c r="D1817">
        <v>5.0999999999999996</v>
      </c>
      <c r="E1817" t="str" cm="1">
        <f t="array" ref="E1817">_xlfn.IFS(D1817&lt;5.7,"Normal",D1817&lt;=6.4,"Prediabetes",D1817&gt;=6.5,"Diabetes")</f>
        <v>Normal</v>
      </c>
      <c r="F1817" s="3" t="s">
        <v>2379</v>
      </c>
      <c r="G1817" s="3" t="s">
        <v>2379</v>
      </c>
      <c r="H1817" s="3" t="s">
        <v>2382</v>
      </c>
      <c r="I1817" s="1">
        <v>1</v>
      </c>
      <c r="J1817">
        <v>1</v>
      </c>
      <c r="K1817" s="3" t="s">
        <v>2379</v>
      </c>
      <c r="P1817" s="3"/>
    </row>
    <row r="1818" spans="1:16" x14ac:dyDescent="0.25">
      <c r="A1818" s="3" t="s">
        <v>552</v>
      </c>
      <c r="B1818">
        <v>17.05</v>
      </c>
      <c r="C1818" t="str" cm="1">
        <f t="array" ref="C1818">_xlfn.IFS(B1818&lt;=18.5,  "Underweight",B1818&lt;=24.9,"Normal weight",B1818&lt;=29.9, "Over weight",B1818&gt;=30,"Obesity")</f>
        <v>Underweight</v>
      </c>
      <c r="D1818">
        <v>5.3</v>
      </c>
      <c r="E1818" t="str" cm="1">
        <f t="array" ref="E1818">_xlfn.IFS(D1818&lt;5.7,"Normal",D1818&lt;=6.4,"Prediabetes",D1818&gt;=6.5,"Diabetes")</f>
        <v>Normal</v>
      </c>
      <c r="F1818" s="3" t="s">
        <v>2379</v>
      </c>
      <c r="G1818" s="3" t="s">
        <v>2379</v>
      </c>
      <c r="H1818" s="3" t="s">
        <v>2382</v>
      </c>
      <c r="I1818" s="1">
        <v>1</v>
      </c>
      <c r="J1818">
        <v>1</v>
      </c>
      <c r="K1818" s="3" t="s">
        <v>2379</v>
      </c>
      <c r="P1818" s="3"/>
    </row>
    <row r="1819" spans="1:16" x14ac:dyDescent="0.25">
      <c r="A1819" s="3" t="s">
        <v>551</v>
      </c>
      <c r="B1819">
        <v>37.18</v>
      </c>
      <c r="C1819" t="str" cm="1">
        <f t="array" ref="C1819">_xlfn.IFS(B1819&lt;=18.5,  "Underweight",B1819&lt;=24.9,"Normal weight",B1819&lt;=29.9, "Over weight",B1819&gt;=30,"Obesity")</f>
        <v>Obesity</v>
      </c>
      <c r="D1819">
        <v>4.9000000000000004</v>
      </c>
      <c r="E1819" t="str" cm="1">
        <f t="array" ref="E1819">_xlfn.IFS(D1819&lt;5.7,"Normal",D1819&lt;=6.4,"Prediabetes",D1819&gt;=6.5,"Diabetes")</f>
        <v>Normal</v>
      </c>
      <c r="F1819" s="3" t="s">
        <v>2379</v>
      </c>
      <c r="G1819" s="3" t="s">
        <v>2379</v>
      </c>
      <c r="H1819" s="3" t="s">
        <v>2379</v>
      </c>
      <c r="I1819" s="1" t="s">
        <v>2380</v>
      </c>
      <c r="J1819">
        <v>0</v>
      </c>
      <c r="K1819" s="3" t="s">
        <v>2379</v>
      </c>
      <c r="P1819" s="3"/>
    </row>
    <row r="1820" spans="1:16" x14ac:dyDescent="0.25">
      <c r="A1820" s="3" t="s">
        <v>550</v>
      </c>
      <c r="B1820">
        <v>35.200000000000003</v>
      </c>
      <c r="C1820" t="str" cm="1">
        <f t="array" ref="C1820">_xlfn.IFS(B1820&lt;=18.5,  "Underweight",B1820&lt;=24.9,"Normal weight",B1820&lt;=29.9, "Over weight",B1820&gt;=30,"Obesity")</f>
        <v>Obesity</v>
      </c>
      <c r="D1820">
        <v>5.55</v>
      </c>
      <c r="E1820" t="str" cm="1">
        <f t="array" ref="E1820">_xlfn.IFS(D1820&lt;5.7,"Normal",D1820&lt;=6.4,"Prediabetes",D1820&gt;=6.5,"Diabetes")</f>
        <v>Normal</v>
      </c>
      <c r="F1820" s="3" t="s">
        <v>2379</v>
      </c>
      <c r="G1820" s="3" t="s">
        <v>2379</v>
      </c>
      <c r="H1820" s="3" t="s">
        <v>2379</v>
      </c>
      <c r="I1820" s="1" t="s">
        <v>2380</v>
      </c>
      <c r="J1820">
        <v>0</v>
      </c>
      <c r="K1820" s="3" t="s">
        <v>2379</v>
      </c>
      <c r="P1820" s="3"/>
    </row>
    <row r="1821" spans="1:16" x14ac:dyDescent="0.25">
      <c r="A1821" s="3" t="s">
        <v>549</v>
      </c>
      <c r="B1821">
        <v>37.335000000000001</v>
      </c>
      <c r="C1821" t="str" cm="1">
        <f t="array" ref="C1821">_xlfn.IFS(B1821&lt;=18.5,  "Underweight",B1821&lt;=24.9,"Normal weight",B1821&lt;=29.9, "Over weight",B1821&gt;=30,"Obesity")</f>
        <v>Obesity</v>
      </c>
      <c r="D1821">
        <v>4.95</v>
      </c>
      <c r="E1821" t="str" cm="1">
        <f t="array" ref="E1821">_xlfn.IFS(D1821&lt;5.7,"Normal",D1821&lt;=6.4,"Prediabetes",D1821&gt;=6.5,"Diabetes")</f>
        <v>Normal</v>
      </c>
      <c r="F1821" s="3" t="s">
        <v>2379</v>
      </c>
      <c r="G1821" s="3" t="s">
        <v>2379</v>
      </c>
      <c r="H1821" s="3" t="s">
        <v>2379</v>
      </c>
      <c r="I1821" s="1" t="s">
        <v>2380</v>
      </c>
      <c r="J1821">
        <v>0</v>
      </c>
      <c r="K1821" s="3" t="s">
        <v>2379</v>
      </c>
      <c r="P1821" s="3"/>
    </row>
    <row r="1822" spans="1:16" x14ac:dyDescent="0.25">
      <c r="A1822" s="3" t="s">
        <v>548</v>
      </c>
      <c r="B1822">
        <v>27.265000000000001</v>
      </c>
      <c r="C1822" t="str" cm="1">
        <f t="array" ref="C1822">_xlfn.IFS(B1822&lt;=18.5,  "Underweight",B1822&lt;=24.9,"Normal weight",B1822&lt;=29.9, "Over weight",B1822&gt;=30,"Obesity")</f>
        <v>Over weight</v>
      </c>
      <c r="D1822">
        <v>6.46</v>
      </c>
      <c r="E1822" t="e" cm="1">
        <f t="array" ref="E1822">_xlfn.IFS(D1822&lt;5.7,"Normal",D1822&lt;=6.4,"Prediabetes",D1822&gt;=6.5,"Diabetes")</f>
        <v>#N/A</v>
      </c>
      <c r="F1822" s="3" t="s">
        <v>2382</v>
      </c>
      <c r="G1822" s="3" t="s">
        <v>2379</v>
      </c>
      <c r="H1822" s="3" t="s">
        <v>2379</v>
      </c>
      <c r="I1822" s="1" t="s">
        <v>2380</v>
      </c>
      <c r="J1822">
        <v>0</v>
      </c>
      <c r="K1822" s="3" t="s">
        <v>2379</v>
      </c>
      <c r="P1822" s="3"/>
    </row>
    <row r="1823" spans="1:16" x14ac:dyDescent="0.25">
      <c r="A1823" s="3" t="s">
        <v>547</v>
      </c>
      <c r="B1823">
        <v>30.8</v>
      </c>
      <c r="C1823" t="str" cm="1">
        <f t="array" ref="C1823">_xlfn.IFS(B1823&lt;=18.5,  "Underweight",B1823&lt;=24.9,"Normal weight",B1823&lt;=29.9, "Over weight",B1823&gt;=30,"Obesity")</f>
        <v>Obesity</v>
      </c>
      <c r="D1823">
        <v>4.9000000000000004</v>
      </c>
      <c r="E1823" t="str" cm="1">
        <f t="array" ref="E1823">_xlfn.IFS(D1823&lt;5.7,"Normal",D1823&lt;=6.4,"Prediabetes",D1823&gt;=6.5,"Diabetes")</f>
        <v>Normal</v>
      </c>
      <c r="F1823" s="3" t="s">
        <v>2382</v>
      </c>
      <c r="G1823" s="3" t="s">
        <v>2379</v>
      </c>
      <c r="H1823" s="3" t="s">
        <v>2379</v>
      </c>
      <c r="I1823" s="1" t="s">
        <v>2380</v>
      </c>
      <c r="J1823">
        <v>0</v>
      </c>
      <c r="K1823" s="3" t="s">
        <v>2379</v>
      </c>
      <c r="P1823" s="3"/>
    </row>
    <row r="1824" spans="1:16" x14ac:dyDescent="0.25">
      <c r="A1824" s="3" t="s">
        <v>546</v>
      </c>
      <c r="B1824">
        <v>30.21</v>
      </c>
      <c r="C1824" t="str" cm="1">
        <f t="array" ref="C1824">_xlfn.IFS(B1824&lt;=18.5,  "Underweight",B1824&lt;=24.9,"Normal weight",B1824&lt;=29.9, "Over weight",B1824&gt;=30,"Obesity")</f>
        <v>Obesity</v>
      </c>
      <c r="D1824">
        <v>5.21</v>
      </c>
      <c r="E1824" t="str" cm="1">
        <f t="array" ref="E1824">_xlfn.IFS(D1824&lt;5.7,"Normal",D1824&lt;=6.4,"Prediabetes",D1824&gt;=6.5,"Diabetes")</f>
        <v>Normal</v>
      </c>
      <c r="F1824" s="3" t="s">
        <v>2379</v>
      </c>
      <c r="G1824" s="3" t="s">
        <v>2379</v>
      </c>
      <c r="H1824" s="3" t="s">
        <v>2379</v>
      </c>
      <c r="I1824" s="1">
        <v>1</v>
      </c>
      <c r="J1824">
        <v>1</v>
      </c>
      <c r="K1824" s="3" t="s">
        <v>2379</v>
      </c>
      <c r="P1824" s="3"/>
    </row>
    <row r="1825" spans="1:16" x14ac:dyDescent="0.25">
      <c r="A1825" s="3" t="s">
        <v>545</v>
      </c>
      <c r="B1825">
        <v>35.340000000000003</v>
      </c>
      <c r="C1825" t="str" cm="1">
        <f t="array" ref="C1825">_xlfn.IFS(B1825&lt;=18.5,  "Underweight",B1825&lt;=24.9,"Normal weight",B1825&lt;=29.9, "Over weight",B1825&gt;=30,"Obesity")</f>
        <v>Obesity</v>
      </c>
      <c r="D1825">
        <v>4.13</v>
      </c>
      <c r="E1825" t="str" cm="1">
        <f t="array" ref="E1825">_xlfn.IFS(D1825&lt;5.7,"Normal",D1825&lt;=6.4,"Prediabetes",D1825&gt;=6.5,"Diabetes")</f>
        <v>Normal</v>
      </c>
      <c r="F1825" s="3" t="s">
        <v>2379</v>
      </c>
      <c r="G1825" s="3" t="s">
        <v>2381</v>
      </c>
      <c r="H1825" s="3" t="s">
        <v>2379</v>
      </c>
      <c r="I1825" s="1">
        <v>1</v>
      </c>
      <c r="J1825">
        <v>1</v>
      </c>
      <c r="K1825" s="3" t="s">
        <v>2379</v>
      </c>
      <c r="P1825" s="3"/>
    </row>
    <row r="1826" spans="1:16" x14ac:dyDescent="0.25">
      <c r="A1826" s="3" t="s">
        <v>544</v>
      </c>
      <c r="B1826">
        <v>26.695</v>
      </c>
      <c r="C1826" t="str" cm="1">
        <f t="array" ref="C1826">_xlfn.IFS(B1826&lt;=18.5,  "Underweight",B1826&lt;=24.9,"Normal weight",B1826&lt;=29.9, "Over weight",B1826&gt;=30,"Obesity")</f>
        <v>Over weight</v>
      </c>
      <c r="D1826">
        <v>5.28</v>
      </c>
      <c r="E1826" t="str" cm="1">
        <f t="array" ref="E1826">_xlfn.IFS(D1826&lt;5.7,"Normal",D1826&lt;=6.4,"Prediabetes",D1826&gt;=6.5,"Diabetes")</f>
        <v>Normal</v>
      </c>
      <c r="F1826" s="3" t="s">
        <v>2379</v>
      </c>
      <c r="G1826" s="3" t="s">
        <v>2379</v>
      </c>
      <c r="H1826" s="3" t="s">
        <v>2379</v>
      </c>
      <c r="I1826" s="1" t="s">
        <v>2380</v>
      </c>
      <c r="J1826">
        <v>0</v>
      </c>
      <c r="K1826" s="3" t="s">
        <v>2379</v>
      </c>
      <c r="P1826" s="3"/>
    </row>
    <row r="1827" spans="1:16" x14ac:dyDescent="0.25">
      <c r="A1827" s="3" t="s">
        <v>543</v>
      </c>
      <c r="B1827">
        <v>29.355</v>
      </c>
      <c r="C1827" t="str" cm="1">
        <f t="array" ref="C1827">_xlfn.IFS(B1827&lt;=18.5,  "Underweight",B1827&lt;=24.9,"Normal weight",B1827&lt;=29.9, "Over weight",B1827&gt;=30,"Obesity")</f>
        <v>Over weight</v>
      </c>
      <c r="D1827">
        <v>4.68</v>
      </c>
      <c r="E1827" t="str" cm="1">
        <f t="array" ref="E1827">_xlfn.IFS(D1827&lt;5.7,"Normal",D1827&lt;=6.4,"Prediabetes",D1827&gt;=6.5,"Diabetes")</f>
        <v>Normal</v>
      </c>
      <c r="F1827" s="3" t="s">
        <v>2382</v>
      </c>
      <c r="G1827" s="3" t="s">
        <v>2379</v>
      </c>
      <c r="H1827" s="3" t="s">
        <v>2379</v>
      </c>
      <c r="I1827" s="1" t="s">
        <v>2380</v>
      </c>
      <c r="J1827">
        <v>0</v>
      </c>
      <c r="K1827" s="3" t="s">
        <v>2379</v>
      </c>
      <c r="P1827" s="3"/>
    </row>
    <row r="1828" spans="1:16" x14ac:dyDescent="0.25">
      <c r="A1828" s="3" t="s">
        <v>542</v>
      </c>
      <c r="B1828">
        <v>29.59</v>
      </c>
      <c r="C1828" t="str" cm="1">
        <f t="array" ref="C1828">_xlfn.IFS(B1828&lt;=18.5,  "Underweight",B1828&lt;=24.9,"Normal weight",B1828&lt;=29.9, "Over weight",B1828&gt;=30,"Obesity")</f>
        <v>Over weight</v>
      </c>
      <c r="D1828">
        <v>4.0599999999999996</v>
      </c>
      <c r="E1828" t="str" cm="1">
        <f t="array" ref="E1828">_xlfn.IFS(D1828&lt;5.7,"Normal",D1828&lt;=6.4,"Prediabetes",D1828&gt;=6.5,"Diabetes")</f>
        <v>Normal</v>
      </c>
      <c r="F1828" s="3" t="s">
        <v>2379</v>
      </c>
      <c r="G1828" s="3" t="s">
        <v>2379</v>
      </c>
      <c r="H1828" s="3" t="s">
        <v>2379</v>
      </c>
      <c r="I1828" s="1" t="s">
        <v>2380</v>
      </c>
      <c r="J1828">
        <v>0</v>
      </c>
      <c r="K1828" s="3" t="s">
        <v>2379</v>
      </c>
      <c r="P1828" s="3"/>
    </row>
    <row r="1829" spans="1:16" x14ac:dyDescent="0.25">
      <c r="A1829" s="3" t="s">
        <v>541</v>
      </c>
      <c r="B1829">
        <v>31.35</v>
      </c>
      <c r="C1829" t="str" cm="1">
        <f t="array" ref="C1829">_xlfn.IFS(B1829&lt;=18.5,  "Underweight",B1829&lt;=24.9,"Normal weight",B1829&lt;=29.9, "Over weight",B1829&gt;=30,"Obesity")</f>
        <v>Obesity</v>
      </c>
      <c r="D1829">
        <v>4.2</v>
      </c>
      <c r="E1829" t="str" cm="1">
        <f t="array" ref="E1829">_xlfn.IFS(D1829&lt;5.7,"Normal",D1829&lt;=6.4,"Prediabetes",D1829&gt;=6.5,"Diabetes")</f>
        <v>Normal</v>
      </c>
      <c r="F1829" s="3" t="s">
        <v>2379</v>
      </c>
      <c r="G1829" s="3" t="s">
        <v>2381</v>
      </c>
      <c r="H1829" s="3" t="s">
        <v>2379</v>
      </c>
      <c r="I1829" s="1">
        <v>1</v>
      </c>
      <c r="J1829">
        <v>1</v>
      </c>
      <c r="K1829" s="3" t="s">
        <v>2379</v>
      </c>
      <c r="P1829" s="3"/>
    </row>
    <row r="1830" spans="1:16" x14ac:dyDescent="0.25">
      <c r="A1830" s="3" t="s">
        <v>540</v>
      </c>
      <c r="B1830">
        <v>20.52</v>
      </c>
      <c r="C1830" t="str" cm="1">
        <f t="array" ref="C1830">_xlfn.IFS(B1830&lt;=18.5,  "Underweight",B1830&lt;=24.9,"Normal weight",B1830&lt;=29.9, "Over weight",B1830&gt;=30,"Obesity")</f>
        <v>Normal weight</v>
      </c>
      <c r="D1830">
        <v>4.83</v>
      </c>
      <c r="E1830" t="str" cm="1">
        <f t="array" ref="E1830">_xlfn.IFS(D1830&lt;5.7,"Normal",D1830&lt;=6.4,"Prediabetes",D1830&gt;=6.5,"Diabetes")</f>
        <v>Normal</v>
      </c>
      <c r="F1830" s="3" t="s">
        <v>2379</v>
      </c>
      <c r="G1830" s="3" t="s">
        <v>2379</v>
      </c>
      <c r="H1830" s="3" t="s">
        <v>2379</v>
      </c>
      <c r="I1830" s="1" t="s">
        <v>2380</v>
      </c>
      <c r="J1830">
        <v>0</v>
      </c>
      <c r="K1830" s="3" t="s">
        <v>2379</v>
      </c>
      <c r="P1830" s="3"/>
    </row>
    <row r="1831" spans="1:16" x14ac:dyDescent="0.25">
      <c r="A1831" s="3" t="s">
        <v>539</v>
      </c>
      <c r="B1831">
        <v>42.9</v>
      </c>
      <c r="C1831" t="str" cm="1">
        <f t="array" ref="C1831">_xlfn.IFS(B1831&lt;=18.5,  "Underweight",B1831&lt;=24.9,"Normal weight",B1831&lt;=29.9, "Over weight",B1831&gt;=30,"Obesity")</f>
        <v>Obesity</v>
      </c>
      <c r="D1831">
        <v>4.87</v>
      </c>
      <c r="E1831" t="str" cm="1">
        <f t="array" ref="E1831">_xlfn.IFS(D1831&lt;5.7,"Normal",D1831&lt;=6.4,"Prediabetes",D1831&gt;=6.5,"Diabetes")</f>
        <v>Normal</v>
      </c>
      <c r="F1831" s="3" t="s">
        <v>2382</v>
      </c>
      <c r="G1831" s="3" t="s">
        <v>2379</v>
      </c>
      <c r="H1831" s="3" t="s">
        <v>2379</v>
      </c>
      <c r="I1831" s="1">
        <v>1</v>
      </c>
      <c r="J1831">
        <v>1</v>
      </c>
      <c r="K1831" s="3" t="s">
        <v>2379</v>
      </c>
      <c r="P1831" s="3"/>
    </row>
    <row r="1832" spans="1:16" x14ac:dyDescent="0.25">
      <c r="A1832" s="3" t="s">
        <v>538</v>
      </c>
      <c r="B1832">
        <v>24.6</v>
      </c>
      <c r="C1832" t="str" cm="1">
        <f t="array" ref="C1832">_xlfn.IFS(B1832&lt;=18.5,  "Underweight",B1832&lt;=24.9,"Normal weight",B1832&lt;=29.9, "Over weight",B1832&gt;=30,"Obesity")</f>
        <v>Normal weight</v>
      </c>
      <c r="D1832">
        <v>5.86</v>
      </c>
      <c r="E1832" t="str" cm="1">
        <f t="array" ref="E1832">_xlfn.IFS(D1832&lt;5.7,"Normal",D1832&lt;=6.4,"Prediabetes",D1832&gt;=6.5,"Diabetes")</f>
        <v>Prediabetes</v>
      </c>
      <c r="F1832" s="3" t="s">
        <v>2379</v>
      </c>
      <c r="G1832" s="3" t="s">
        <v>2379</v>
      </c>
      <c r="H1832" s="3" t="s">
        <v>2382</v>
      </c>
      <c r="I1832" s="1">
        <v>1</v>
      </c>
      <c r="J1832">
        <v>1</v>
      </c>
      <c r="K1832" s="3" t="s">
        <v>2379</v>
      </c>
      <c r="P1832" s="3"/>
    </row>
    <row r="1833" spans="1:16" x14ac:dyDescent="0.25">
      <c r="A1833" s="3" t="s">
        <v>537</v>
      </c>
      <c r="B1833">
        <v>28.405000000000001</v>
      </c>
      <c r="C1833" t="str" cm="1">
        <f t="array" ref="C1833">_xlfn.IFS(B1833&lt;=18.5,  "Underweight",B1833&lt;=24.9,"Normal weight",B1833&lt;=29.9, "Over weight",B1833&gt;=30,"Obesity")</f>
        <v>Over weight</v>
      </c>
      <c r="D1833">
        <v>4.12</v>
      </c>
      <c r="E1833" t="str" cm="1">
        <f t="array" ref="E1833">_xlfn.IFS(D1833&lt;5.7,"Normal",D1833&lt;=6.4,"Prediabetes",D1833&gt;=6.5,"Diabetes")</f>
        <v>Normal</v>
      </c>
      <c r="F1833" s="3" t="s">
        <v>2379</v>
      </c>
      <c r="G1833" s="3" t="s">
        <v>2379</v>
      </c>
      <c r="H1833" s="3" t="s">
        <v>2379</v>
      </c>
      <c r="I1833" s="1">
        <v>1</v>
      </c>
      <c r="J1833">
        <v>1</v>
      </c>
      <c r="K1833" s="3" t="s">
        <v>2379</v>
      </c>
      <c r="P1833" s="3"/>
    </row>
    <row r="1834" spans="1:16" x14ac:dyDescent="0.25">
      <c r="A1834" s="3" t="s">
        <v>536</v>
      </c>
      <c r="B1834">
        <v>34.674999999999997</v>
      </c>
      <c r="C1834" t="str" cm="1">
        <f t="array" ref="C1834">_xlfn.IFS(B1834&lt;=18.5,  "Underweight",B1834&lt;=24.9,"Normal weight",B1834&lt;=29.9, "Over weight",B1834&gt;=30,"Obesity")</f>
        <v>Obesity</v>
      </c>
      <c r="D1834">
        <v>5.71</v>
      </c>
      <c r="E1834" t="str" cm="1">
        <f t="array" ref="E1834">_xlfn.IFS(D1834&lt;5.7,"Normal",D1834&lt;=6.4,"Prediabetes",D1834&gt;=6.5,"Diabetes")</f>
        <v>Prediabetes</v>
      </c>
      <c r="F1834" s="3" t="s">
        <v>2382</v>
      </c>
      <c r="G1834" s="3" t="s">
        <v>2379</v>
      </c>
      <c r="H1834" s="3" t="s">
        <v>2379</v>
      </c>
      <c r="I1834" s="1">
        <v>1</v>
      </c>
      <c r="J1834">
        <v>1</v>
      </c>
      <c r="K1834" s="3" t="s">
        <v>2379</v>
      </c>
      <c r="P1834" s="3"/>
    </row>
    <row r="1835" spans="1:16" x14ac:dyDescent="0.25">
      <c r="A1835" s="3" t="s">
        <v>535</v>
      </c>
      <c r="B1835">
        <v>18.850000000000001</v>
      </c>
      <c r="C1835" t="str" cm="1">
        <f t="array" ref="C1835">_xlfn.IFS(B1835&lt;=18.5,  "Underweight",B1835&lt;=24.9,"Normal weight",B1835&lt;=29.9, "Over weight",B1835&gt;=30,"Obesity")</f>
        <v>Normal weight</v>
      </c>
      <c r="D1835">
        <v>6.03</v>
      </c>
      <c r="E1835" t="str" cm="1">
        <f t="array" ref="E1835">_xlfn.IFS(D1835&lt;5.7,"Normal",D1835&lt;=6.4,"Prediabetes",D1835&gt;=6.5,"Diabetes")</f>
        <v>Prediabetes</v>
      </c>
      <c r="F1835" s="3" t="s">
        <v>2379</v>
      </c>
      <c r="G1835" s="3" t="s">
        <v>2379</v>
      </c>
      <c r="H1835" s="3" t="s">
        <v>2379</v>
      </c>
      <c r="I1835" s="1">
        <v>1</v>
      </c>
      <c r="J1835">
        <v>1</v>
      </c>
      <c r="K1835" s="3" t="s">
        <v>2379</v>
      </c>
      <c r="P1835" s="3"/>
    </row>
    <row r="1836" spans="1:16" x14ac:dyDescent="0.25">
      <c r="A1836" s="3" t="s">
        <v>533</v>
      </c>
      <c r="B1836">
        <v>34.130000000000003</v>
      </c>
      <c r="C1836" t="str" cm="1">
        <f t="array" ref="C1836">_xlfn.IFS(B1836&lt;=18.5,  "Underweight",B1836&lt;=24.9,"Normal weight",B1836&lt;=29.9, "Over weight",B1836&gt;=30,"Obesity")</f>
        <v>Obesity</v>
      </c>
      <c r="D1836">
        <v>5.65</v>
      </c>
      <c r="E1836" t="str" cm="1">
        <f t="array" ref="E1836">_xlfn.IFS(D1836&lt;5.7,"Normal",D1836&lt;=6.4,"Prediabetes",D1836&gt;=6.5,"Diabetes")</f>
        <v>Normal</v>
      </c>
      <c r="F1836" s="3" t="s">
        <v>2379</v>
      </c>
      <c r="G1836" s="3" t="s">
        <v>2379</v>
      </c>
      <c r="H1836" s="3" t="s">
        <v>2382</v>
      </c>
      <c r="I1836" s="1">
        <v>1</v>
      </c>
      <c r="J1836">
        <v>1</v>
      </c>
      <c r="K1836" s="3" t="s">
        <v>2379</v>
      </c>
      <c r="P1836" s="3"/>
    </row>
    <row r="1837" spans="1:16" x14ac:dyDescent="0.25">
      <c r="A1837" s="3" t="s">
        <v>532</v>
      </c>
      <c r="B1837">
        <v>17.34</v>
      </c>
      <c r="C1837" t="str" cm="1">
        <f t="array" ref="C1837">_xlfn.IFS(B1837&lt;=18.5,  "Underweight",B1837&lt;=24.9,"Normal weight",B1837&lt;=29.9, "Over weight",B1837&gt;=30,"Obesity")</f>
        <v>Underweight</v>
      </c>
      <c r="D1837">
        <v>5.05</v>
      </c>
      <c r="E1837" t="str" cm="1">
        <f t="array" ref="E1837">_xlfn.IFS(D1837&lt;5.7,"Normal",D1837&lt;=6.4,"Prediabetes",D1837&gt;=6.5,"Diabetes")</f>
        <v>Normal</v>
      </c>
      <c r="F1837" s="3" t="s">
        <v>2379</v>
      </c>
      <c r="G1837" s="3" t="s">
        <v>2379</v>
      </c>
      <c r="H1837" s="3" t="s">
        <v>2379</v>
      </c>
      <c r="I1837" s="1" t="s">
        <v>2380</v>
      </c>
      <c r="J1837">
        <v>0</v>
      </c>
      <c r="K1837" s="3" t="s">
        <v>2379</v>
      </c>
      <c r="P1837" s="3"/>
    </row>
    <row r="1838" spans="1:16" x14ac:dyDescent="0.25">
      <c r="A1838" s="3" t="s">
        <v>531</v>
      </c>
      <c r="B1838">
        <v>17.440000000000001</v>
      </c>
      <c r="C1838" t="str" cm="1">
        <f t="array" ref="C1838">_xlfn.IFS(B1838&lt;=18.5,  "Underweight",B1838&lt;=24.9,"Normal weight",B1838&lt;=29.9, "Over weight",B1838&gt;=30,"Obesity")</f>
        <v>Underweight</v>
      </c>
      <c r="D1838">
        <v>6.26</v>
      </c>
      <c r="E1838" t="str" cm="1">
        <f t="array" ref="E1838">_xlfn.IFS(D1838&lt;5.7,"Normal",D1838&lt;=6.4,"Prediabetes",D1838&gt;=6.5,"Diabetes")</f>
        <v>Prediabetes</v>
      </c>
      <c r="F1838" s="3" t="s">
        <v>2379</v>
      </c>
      <c r="G1838" s="3" t="s">
        <v>2379</v>
      </c>
      <c r="H1838" s="3" t="s">
        <v>2379</v>
      </c>
      <c r="I1838" s="1" t="s">
        <v>2380</v>
      </c>
      <c r="J1838">
        <v>0</v>
      </c>
      <c r="K1838" s="3" t="s">
        <v>2379</v>
      </c>
      <c r="P1838" s="3"/>
    </row>
    <row r="1839" spans="1:16" x14ac:dyDescent="0.25">
      <c r="A1839" s="3" t="s">
        <v>530</v>
      </c>
      <c r="B1839">
        <v>33.659999999999997</v>
      </c>
      <c r="C1839" t="str" cm="1">
        <f t="array" ref="C1839">_xlfn.IFS(B1839&lt;=18.5,  "Underweight",B1839&lt;=24.9,"Normal weight",B1839&lt;=29.9, "Over weight",B1839&gt;=30,"Obesity")</f>
        <v>Obesity</v>
      </c>
      <c r="D1839">
        <v>4.08</v>
      </c>
      <c r="E1839" t="str" cm="1">
        <f t="array" ref="E1839">_xlfn.IFS(D1839&lt;5.7,"Normal",D1839&lt;=6.4,"Prediabetes",D1839&gt;=6.5,"Diabetes")</f>
        <v>Normal</v>
      </c>
      <c r="F1839" s="3" t="s">
        <v>2382</v>
      </c>
      <c r="G1839" s="3" t="s">
        <v>2379</v>
      </c>
      <c r="H1839" s="3" t="s">
        <v>2382</v>
      </c>
      <c r="I1839" s="1">
        <v>1</v>
      </c>
      <c r="J1839">
        <v>1</v>
      </c>
      <c r="K1839" s="3" t="s">
        <v>2379</v>
      </c>
      <c r="P1839" s="3"/>
    </row>
    <row r="1840" spans="1:16" x14ac:dyDescent="0.25">
      <c r="A1840" s="3" t="s">
        <v>529</v>
      </c>
      <c r="B1840">
        <v>21.375</v>
      </c>
      <c r="C1840" t="str" cm="1">
        <f t="array" ref="C1840">_xlfn.IFS(B1840&lt;=18.5,  "Underweight",B1840&lt;=24.9,"Normal weight",B1840&lt;=29.9, "Over weight",B1840&gt;=30,"Obesity")</f>
        <v>Normal weight</v>
      </c>
      <c r="D1840">
        <v>6.19</v>
      </c>
      <c r="E1840" t="str" cm="1">
        <f t="array" ref="E1840">_xlfn.IFS(D1840&lt;5.7,"Normal",D1840&lt;=6.4,"Prediabetes",D1840&gt;=6.5,"Diabetes")</f>
        <v>Prediabetes</v>
      </c>
      <c r="F1840" s="3" t="s">
        <v>2382</v>
      </c>
      <c r="G1840" s="3" t="s">
        <v>2379</v>
      </c>
      <c r="H1840" s="3" t="s">
        <v>2379</v>
      </c>
      <c r="I1840" s="1">
        <v>1</v>
      </c>
      <c r="J1840">
        <v>1</v>
      </c>
      <c r="K1840" s="3" t="s">
        <v>2379</v>
      </c>
      <c r="P1840" s="3"/>
    </row>
    <row r="1841" spans="1:16" x14ac:dyDescent="0.25">
      <c r="A1841" s="3" t="s">
        <v>528</v>
      </c>
      <c r="B1841">
        <v>27.14</v>
      </c>
      <c r="C1841" t="str" cm="1">
        <f t="array" ref="C1841">_xlfn.IFS(B1841&lt;=18.5,  "Underweight",B1841&lt;=24.9,"Normal weight",B1841&lt;=29.9, "Over weight",B1841&gt;=30,"Obesity")</f>
        <v>Over weight</v>
      </c>
      <c r="D1841">
        <v>6.01</v>
      </c>
      <c r="E1841" t="str" cm="1">
        <f t="array" ref="E1841">_xlfn.IFS(D1841&lt;5.7,"Normal",D1841&lt;=6.4,"Prediabetes",D1841&gt;=6.5,"Diabetes")</f>
        <v>Prediabetes</v>
      </c>
      <c r="F1841" s="3" t="s">
        <v>2379</v>
      </c>
      <c r="G1841" s="3" t="s">
        <v>2379</v>
      </c>
      <c r="H1841" s="3" t="s">
        <v>2379</v>
      </c>
      <c r="I1841" s="1">
        <v>1</v>
      </c>
      <c r="J1841">
        <v>1</v>
      </c>
      <c r="K1841" s="3" t="s">
        <v>2379</v>
      </c>
      <c r="P1841" s="3"/>
    </row>
    <row r="1842" spans="1:16" x14ac:dyDescent="0.25">
      <c r="A1842" s="3" t="s">
        <v>527</v>
      </c>
      <c r="B1842">
        <v>35.78</v>
      </c>
      <c r="C1842" t="str" cm="1">
        <f t="array" ref="C1842">_xlfn.IFS(B1842&lt;=18.5,  "Underweight",B1842&lt;=24.9,"Normal weight",B1842&lt;=29.9, "Over weight",B1842&gt;=30,"Obesity")</f>
        <v>Obesity</v>
      </c>
      <c r="D1842">
        <v>6.07</v>
      </c>
      <c r="E1842" t="str" cm="1">
        <f t="array" ref="E1842">_xlfn.IFS(D1842&lt;5.7,"Normal",D1842&lt;=6.4,"Prediabetes",D1842&gt;=6.5,"Diabetes")</f>
        <v>Prediabetes</v>
      </c>
      <c r="F1842" s="3" t="s">
        <v>2379</v>
      </c>
      <c r="G1842" s="3" t="s">
        <v>2381</v>
      </c>
      <c r="H1842" s="3" t="s">
        <v>2379</v>
      </c>
      <c r="I1842" s="1">
        <v>1</v>
      </c>
      <c r="J1842">
        <v>1</v>
      </c>
      <c r="K1842" s="3" t="s">
        <v>2379</v>
      </c>
      <c r="P1842" s="3"/>
    </row>
    <row r="1843" spans="1:16" x14ac:dyDescent="0.25">
      <c r="A1843" s="3" t="s">
        <v>526</v>
      </c>
      <c r="B1843">
        <v>34.96</v>
      </c>
      <c r="C1843" t="str" cm="1">
        <f t="array" ref="C1843">_xlfn.IFS(B1843&lt;=18.5,  "Underweight",B1843&lt;=24.9,"Normal weight",B1843&lt;=29.9, "Over weight",B1843&gt;=30,"Obesity")</f>
        <v>Obesity</v>
      </c>
      <c r="D1843">
        <v>5.63</v>
      </c>
      <c r="E1843" t="str" cm="1">
        <f t="array" ref="E1843">_xlfn.IFS(D1843&lt;5.7,"Normal",D1843&lt;=6.4,"Prediabetes",D1843&gt;=6.5,"Diabetes")</f>
        <v>Normal</v>
      </c>
      <c r="F1843" s="3" t="s">
        <v>2379</v>
      </c>
      <c r="G1843" s="3" t="s">
        <v>2379</v>
      </c>
      <c r="H1843" s="3" t="s">
        <v>2379</v>
      </c>
      <c r="I1843" s="1" t="s">
        <v>2380</v>
      </c>
      <c r="J1843">
        <v>0</v>
      </c>
      <c r="K1843" s="3" t="s">
        <v>2379</v>
      </c>
      <c r="P1843" s="3"/>
    </row>
    <row r="1844" spans="1:16" x14ac:dyDescent="0.25">
      <c r="A1844" s="3" t="s">
        <v>525</v>
      </c>
      <c r="B1844">
        <v>38.39</v>
      </c>
      <c r="C1844" t="str" cm="1">
        <f t="array" ref="C1844">_xlfn.IFS(B1844&lt;=18.5,  "Underweight",B1844&lt;=24.9,"Normal weight",B1844&lt;=29.9, "Over weight",B1844&gt;=30,"Obesity")</f>
        <v>Obesity</v>
      </c>
      <c r="D1844">
        <v>6.05</v>
      </c>
      <c r="E1844" t="str" cm="1">
        <f t="array" ref="E1844">_xlfn.IFS(D1844&lt;5.7,"Normal",D1844&lt;=6.4,"Prediabetes",D1844&gt;=6.5,"Diabetes")</f>
        <v>Prediabetes</v>
      </c>
      <c r="F1844" s="3" t="s">
        <v>2379</v>
      </c>
      <c r="G1844" s="3" t="s">
        <v>2379</v>
      </c>
      <c r="H1844" s="3" t="s">
        <v>2379</v>
      </c>
      <c r="I1844" s="1" t="s">
        <v>2380</v>
      </c>
      <c r="J1844">
        <v>0</v>
      </c>
      <c r="K1844" s="3" t="s">
        <v>2379</v>
      </c>
      <c r="P1844" s="3"/>
    </row>
    <row r="1845" spans="1:16" x14ac:dyDescent="0.25">
      <c r="A1845" s="3" t="s">
        <v>524</v>
      </c>
      <c r="B1845">
        <v>33.82</v>
      </c>
      <c r="C1845" t="str" cm="1">
        <f t="array" ref="C1845">_xlfn.IFS(B1845&lt;=18.5,  "Underweight",B1845&lt;=24.9,"Normal weight",B1845&lt;=29.9, "Over weight",B1845&gt;=30,"Obesity")</f>
        <v>Obesity</v>
      </c>
      <c r="D1845">
        <v>4.6500000000000004</v>
      </c>
      <c r="E1845" t="str" cm="1">
        <f t="array" ref="E1845">_xlfn.IFS(D1845&lt;5.7,"Normal",D1845&lt;=6.4,"Prediabetes",D1845&gt;=6.5,"Diabetes")</f>
        <v>Normal</v>
      </c>
      <c r="F1845" s="3" t="s">
        <v>2379</v>
      </c>
      <c r="G1845" s="3" t="s">
        <v>2379</v>
      </c>
      <c r="H1845" s="3" t="s">
        <v>2379</v>
      </c>
      <c r="I1845" s="1" t="s">
        <v>2380</v>
      </c>
      <c r="J1845">
        <v>0</v>
      </c>
      <c r="K1845" s="3" t="s">
        <v>2379</v>
      </c>
      <c r="P1845" s="3"/>
    </row>
    <row r="1846" spans="1:16" x14ac:dyDescent="0.25">
      <c r="A1846" s="3" t="s">
        <v>523</v>
      </c>
      <c r="B1846">
        <v>27.835000000000001</v>
      </c>
      <c r="C1846" t="str" cm="1">
        <f t="array" ref="C1846">_xlfn.IFS(B1846&lt;=18.5,  "Underweight",B1846&lt;=24.9,"Normal weight",B1846&lt;=29.9, "Over weight",B1846&gt;=30,"Obesity")</f>
        <v>Over weight</v>
      </c>
      <c r="D1846">
        <v>5.37</v>
      </c>
      <c r="E1846" t="str" cm="1">
        <f t="array" ref="E1846">_xlfn.IFS(D1846&lt;5.7,"Normal",D1846&lt;=6.4,"Prediabetes",D1846&gt;=6.5,"Diabetes")</f>
        <v>Normal</v>
      </c>
      <c r="F1846" s="3" t="s">
        <v>2379</v>
      </c>
      <c r="G1846" s="3" t="s">
        <v>2379</v>
      </c>
      <c r="H1846" s="3" t="s">
        <v>2379</v>
      </c>
      <c r="I1846" s="1" t="s">
        <v>2380</v>
      </c>
      <c r="J1846">
        <v>0</v>
      </c>
      <c r="K1846" s="3" t="s">
        <v>2379</v>
      </c>
      <c r="P1846" s="3"/>
    </row>
    <row r="1847" spans="1:16" x14ac:dyDescent="0.25">
      <c r="A1847" s="3" t="s">
        <v>522</v>
      </c>
      <c r="B1847">
        <v>33</v>
      </c>
      <c r="C1847" t="str" cm="1">
        <f t="array" ref="C1847">_xlfn.IFS(B1847&lt;=18.5,  "Underweight",B1847&lt;=24.9,"Normal weight",B1847&lt;=29.9, "Over weight",B1847&gt;=30,"Obesity")</f>
        <v>Obesity</v>
      </c>
      <c r="D1847">
        <v>5.39</v>
      </c>
      <c r="E1847" t="str" cm="1">
        <f t="array" ref="E1847">_xlfn.IFS(D1847&lt;5.7,"Normal",D1847&lt;=6.4,"Prediabetes",D1847&gt;=6.5,"Diabetes")</f>
        <v>Normal</v>
      </c>
      <c r="F1847" s="3" t="s">
        <v>2379</v>
      </c>
      <c r="G1847" s="3" t="s">
        <v>2379</v>
      </c>
      <c r="H1847" s="3" t="s">
        <v>2379</v>
      </c>
      <c r="I1847" s="1" t="s">
        <v>2380</v>
      </c>
      <c r="J1847">
        <v>0</v>
      </c>
      <c r="K1847" s="3" t="s">
        <v>2379</v>
      </c>
      <c r="P1847" s="3"/>
    </row>
    <row r="1848" spans="1:16" x14ac:dyDescent="0.25">
      <c r="A1848" s="3" t="s">
        <v>521</v>
      </c>
      <c r="B1848">
        <v>26.885000000000002</v>
      </c>
      <c r="C1848" t="str" cm="1">
        <f t="array" ref="C1848">_xlfn.IFS(B1848&lt;=18.5,  "Underweight",B1848&lt;=24.9,"Normal weight",B1848&lt;=29.9, "Over weight",B1848&gt;=30,"Obesity")</f>
        <v>Over weight</v>
      </c>
      <c r="D1848">
        <v>5.86</v>
      </c>
      <c r="E1848" t="str" cm="1">
        <f t="array" ref="E1848">_xlfn.IFS(D1848&lt;5.7,"Normal",D1848&lt;=6.4,"Prediabetes",D1848&gt;=6.5,"Diabetes")</f>
        <v>Prediabetes</v>
      </c>
      <c r="F1848" s="3" t="s">
        <v>2379</v>
      </c>
      <c r="G1848" s="3" t="s">
        <v>2379</v>
      </c>
      <c r="H1848" s="3" t="s">
        <v>2379</v>
      </c>
      <c r="I1848" s="1" t="s">
        <v>2380</v>
      </c>
      <c r="J1848">
        <v>0</v>
      </c>
      <c r="K1848" s="3" t="s">
        <v>2379</v>
      </c>
      <c r="P1848" s="3"/>
    </row>
    <row r="1849" spans="1:16" x14ac:dyDescent="0.25">
      <c r="A1849" s="3" t="s">
        <v>520</v>
      </c>
      <c r="B1849">
        <v>29.26</v>
      </c>
      <c r="C1849" t="str" cm="1">
        <f t="array" ref="C1849">_xlfn.IFS(B1849&lt;=18.5,  "Underweight",B1849&lt;=24.9,"Normal weight",B1849&lt;=29.9, "Over weight",B1849&gt;=30,"Obesity")</f>
        <v>Over weight</v>
      </c>
      <c r="D1849">
        <v>4.4400000000000004</v>
      </c>
      <c r="E1849" t="str" cm="1">
        <f t="array" ref="E1849">_xlfn.IFS(D1849&lt;5.7,"Normal",D1849&lt;=6.4,"Prediabetes",D1849&gt;=6.5,"Diabetes")</f>
        <v>Normal</v>
      </c>
      <c r="F1849" s="3" t="s">
        <v>2379</v>
      </c>
      <c r="G1849" s="3" t="s">
        <v>2379</v>
      </c>
      <c r="H1849" s="3" t="s">
        <v>2379</v>
      </c>
      <c r="I1849" s="1" t="s">
        <v>2380</v>
      </c>
      <c r="J1849">
        <v>0</v>
      </c>
      <c r="K1849" s="3" t="s">
        <v>2379</v>
      </c>
      <c r="P1849" s="3"/>
    </row>
    <row r="1850" spans="1:16" x14ac:dyDescent="0.25">
      <c r="A1850" s="3" t="s">
        <v>519</v>
      </c>
      <c r="B1850">
        <v>26.98</v>
      </c>
      <c r="C1850" t="str" cm="1">
        <f t="array" ref="C1850">_xlfn.IFS(B1850&lt;=18.5,  "Underweight",B1850&lt;=24.9,"Normal weight",B1850&lt;=29.9, "Over weight",B1850&gt;=30,"Obesity")</f>
        <v>Over weight</v>
      </c>
      <c r="D1850">
        <v>4.41</v>
      </c>
      <c r="E1850" t="str" cm="1">
        <f t="array" ref="E1850">_xlfn.IFS(D1850&lt;5.7,"Normal",D1850&lt;=6.4,"Prediabetes",D1850&gt;=6.5,"Diabetes")</f>
        <v>Normal</v>
      </c>
      <c r="F1850" s="3" t="s">
        <v>2379</v>
      </c>
      <c r="G1850" s="3" t="s">
        <v>2379</v>
      </c>
      <c r="H1850" s="3" t="s">
        <v>2379</v>
      </c>
      <c r="I1850" s="1" t="s">
        <v>2380</v>
      </c>
      <c r="J1850">
        <v>0</v>
      </c>
      <c r="K1850" s="3" t="s">
        <v>2379</v>
      </c>
      <c r="P1850" s="3"/>
    </row>
    <row r="1851" spans="1:16" x14ac:dyDescent="0.25">
      <c r="A1851" s="3" t="s">
        <v>518</v>
      </c>
      <c r="B1851">
        <v>32.11</v>
      </c>
      <c r="C1851" t="str" cm="1">
        <f t="array" ref="C1851">_xlfn.IFS(B1851&lt;=18.5,  "Underweight",B1851&lt;=24.9,"Normal weight",B1851&lt;=29.9, "Over weight",B1851&gt;=30,"Obesity")</f>
        <v>Obesity</v>
      </c>
      <c r="D1851">
        <v>5.19</v>
      </c>
      <c r="E1851" t="str" cm="1">
        <f t="array" ref="E1851">_xlfn.IFS(D1851&lt;5.7,"Normal",D1851&lt;=6.4,"Prediabetes",D1851&gt;=6.5,"Diabetes")</f>
        <v>Normal</v>
      </c>
      <c r="F1851" s="3" t="s">
        <v>2379</v>
      </c>
      <c r="G1851" s="3" t="s">
        <v>2379</v>
      </c>
      <c r="H1851" s="3" t="s">
        <v>2382</v>
      </c>
      <c r="I1851" s="1">
        <v>1</v>
      </c>
      <c r="J1851">
        <v>1</v>
      </c>
      <c r="K1851" s="3" t="s">
        <v>2379</v>
      </c>
      <c r="P1851" s="3"/>
    </row>
    <row r="1852" spans="1:16" x14ac:dyDescent="0.25">
      <c r="A1852" s="3" t="s">
        <v>517</v>
      </c>
      <c r="B1852">
        <v>31.73</v>
      </c>
      <c r="C1852" t="str" cm="1">
        <f t="array" ref="C1852">_xlfn.IFS(B1852&lt;=18.5,  "Underweight",B1852&lt;=24.9,"Normal weight",B1852&lt;=29.9, "Over weight",B1852&gt;=30,"Obesity")</f>
        <v>Obesity</v>
      </c>
      <c r="D1852">
        <v>5.16</v>
      </c>
      <c r="E1852" t="str" cm="1">
        <f t="array" ref="E1852">_xlfn.IFS(D1852&lt;5.7,"Normal",D1852&lt;=6.4,"Prediabetes",D1852&gt;=6.5,"Diabetes")</f>
        <v>Normal</v>
      </c>
      <c r="F1852" s="3" t="s">
        <v>2379</v>
      </c>
      <c r="G1852" s="3" t="s">
        <v>2379</v>
      </c>
      <c r="H1852" s="3" t="s">
        <v>2382</v>
      </c>
      <c r="I1852" s="1">
        <v>1</v>
      </c>
      <c r="J1852">
        <v>1</v>
      </c>
      <c r="K1852" s="3" t="s">
        <v>2379</v>
      </c>
      <c r="P1852" s="3"/>
    </row>
    <row r="1853" spans="1:16" x14ac:dyDescent="0.25">
      <c r="A1853" s="3" t="s">
        <v>516</v>
      </c>
      <c r="B1853">
        <v>22.515000000000001</v>
      </c>
      <c r="C1853" t="str" cm="1">
        <f t="array" ref="C1853">_xlfn.IFS(B1853&lt;=18.5,  "Underweight",B1853&lt;=24.9,"Normal weight",B1853&lt;=29.9, "Over weight",B1853&gt;=30,"Obesity")</f>
        <v>Normal weight</v>
      </c>
      <c r="D1853">
        <v>4.24</v>
      </c>
      <c r="E1853" t="str" cm="1">
        <f t="array" ref="E1853">_xlfn.IFS(D1853&lt;5.7,"Normal",D1853&lt;=6.4,"Prediabetes",D1853&gt;=6.5,"Diabetes")</f>
        <v>Normal</v>
      </c>
      <c r="F1853" s="3" t="s">
        <v>2379</v>
      </c>
      <c r="G1853" s="3" t="s">
        <v>2379</v>
      </c>
      <c r="H1853" s="3" t="s">
        <v>2379</v>
      </c>
      <c r="I1853" s="1" t="s">
        <v>2380</v>
      </c>
      <c r="J1853">
        <v>0</v>
      </c>
      <c r="K1853" s="3" t="s">
        <v>2379</v>
      </c>
      <c r="P1853" s="3"/>
    </row>
    <row r="1854" spans="1:16" x14ac:dyDescent="0.25">
      <c r="A1854" s="3" t="s">
        <v>514</v>
      </c>
      <c r="B1854">
        <v>25.9</v>
      </c>
      <c r="C1854" t="str" cm="1">
        <f t="array" ref="C1854">_xlfn.IFS(B1854&lt;=18.5,  "Underweight",B1854&lt;=24.9,"Normal weight",B1854&lt;=29.9, "Over weight",B1854&gt;=30,"Obesity")</f>
        <v>Over weight</v>
      </c>
      <c r="D1854">
        <v>5.45</v>
      </c>
      <c r="E1854" t="str" cm="1">
        <f t="array" ref="E1854">_xlfn.IFS(D1854&lt;5.7,"Normal",D1854&lt;=6.4,"Prediabetes",D1854&gt;=6.5,"Diabetes")</f>
        <v>Normal</v>
      </c>
      <c r="F1854" s="3" t="s">
        <v>2379</v>
      </c>
      <c r="G1854" s="3" t="s">
        <v>2379</v>
      </c>
      <c r="H1854" s="3" t="s">
        <v>2379</v>
      </c>
      <c r="I1854" s="1">
        <v>1</v>
      </c>
      <c r="J1854">
        <v>1</v>
      </c>
      <c r="K1854" s="3" t="s">
        <v>2379</v>
      </c>
      <c r="P1854" s="3"/>
    </row>
    <row r="1855" spans="1:16" x14ac:dyDescent="0.25">
      <c r="A1855" s="3" t="s">
        <v>513</v>
      </c>
      <c r="B1855">
        <v>27.72</v>
      </c>
      <c r="C1855" t="str" cm="1">
        <f t="array" ref="C1855">_xlfn.IFS(B1855&lt;=18.5,  "Underweight",B1855&lt;=24.9,"Normal weight",B1855&lt;=29.9, "Over weight",B1855&gt;=30,"Obesity")</f>
        <v>Over weight</v>
      </c>
      <c r="D1855">
        <v>5.03</v>
      </c>
      <c r="E1855" t="str" cm="1">
        <f t="array" ref="E1855">_xlfn.IFS(D1855&lt;5.7,"Normal",D1855&lt;=6.4,"Prediabetes",D1855&gt;=6.5,"Diabetes")</f>
        <v>Normal</v>
      </c>
      <c r="F1855" s="3" t="s">
        <v>2382</v>
      </c>
      <c r="G1855" s="3" t="s">
        <v>2379</v>
      </c>
      <c r="H1855" s="3" t="s">
        <v>2379</v>
      </c>
      <c r="I1855" s="1">
        <v>1</v>
      </c>
      <c r="J1855">
        <v>1</v>
      </c>
      <c r="K1855" s="3" t="s">
        <v>2379</v>
      </c>
      <c r="P1855" s="3"/>
    </row>
    <row r="1856" spans="1:16" x14ac:dyDescent="0.25">
      <c r="A1856" s="3" t="s">
        <v>512</v>
      </c>
      <c r="B1856">
        <v>31.5</v>
      </c>
      <c r="C1856" t="str" cm="1">
        <f t="array" ref="C1856">_xlfn.IFS(B1856&lt;=18.5,  "Underweight",B1856&lt;=24.9,"Normal weight",B1856&lt;=29.9, "Over weight",B1856&gt;=30,"Obesity")</f>
        <v>Obesity</v>
      </c>
      <c r="D1856">
        <v>9.6199999999999992</v>
      </c>
      <c r="E1856" t="str" cm="1">
        <f t="array" ref="E1856">_xlfn.IFS(D1856&lt;5.7,"Normal",D1856&lt;=6.4,"Prediabetes",D1856&gt;=6.5,"Diabetes")</f>
        <v>Diabetes</v>
      </c>
      <c r="F1856" s="3" t="s">
        <v>2382</v>
      </c>
      <c r="G1856" s="3" t="s">
        <v>2379</v>
      </c>
      <c r="H1856" s="3" t="s">
        <v>2379</v>
      </c>
      <c r="I1856" s="1">
        <v>1</v>
      </c>
      <c r="J1856">
        <v>1</v>
      </c>
      <c r="K1856" s="3" t="s">
        <v>2379</v>
      </c>
      <c r="P1856" s="3"/>
    </row>
    <row r="1857" spans="1:16" x14ac:dyDescent="0.25">
      <c r="A1857" s="3" t="s">
        <v>511</v>
      </c>
      <c r="B1857">
        <v>29.7</v>
      </c>
      <c r="C1857" t="str" cm="1">
        <f t="array" ref="C1857">_xlfn.IFS(B1857&lt;=18.5,  "Underweight",B1857&lt;=24.9,"Normal weight",B1857&lt;=29.9, "Over weight",B1857&gt;=30,"Obesity")</f>
        <v>Over weight</v>
      </c>
      <c r="D1857">
        <v>6.77</v>
      </c>
      <c r="E1857" t="str" cm="1">
        <f t="array" ref="E1857">_xlfn.IFS(D1857&lt;5.7,"Normal",D1857&lt;=6.4,"Prediabetes",D1857&gt;=6.5,"Diabetes")</f>
        <v>Diabetes</v>
      </c>
      <c r="F1857" s="3" t="s">
        <v>2382</v>
      </c>
      <c r="G1857" s="3" t="s">
        <v>2379</v>
      </c>
      <c r="H1857" s="3" t="s">
        <v>2379</v>
      </c>
      <c r="I1857" s="1">
        <v>1</v>
      </c>
      <c r="J1857">
        <v>1</v>
      </c>
      <c r="K1857" s="3" t="s">
        <v>2379</v>
      </c>
      <c r="P1857" s="3"/>
    </row>
    <row r="1858" spans="1:16" x14ac:dyDescent="0.25">
      <c r="A1858" s="3" t="s">
        <v>510</v>
      </c>
      <c r="B1858">
        <v>21.26</v>
      </c>
      <c r="C1858" t="str" cm="1">
        <f t="array" ref="C1858">_xlfn.IFS(B1858&lt;=18.5,  "Underweight",B1858&lt;=24.9,"Normal weight",B1858&lt;=29.9, "Over weight",B1858&gt;=30,"Obesity")</f>
        <v>Normal weight</v>
      </c>
      <c r="D1858">
        <v>5.36</v>
      </c>
      <c r="E1858" t="str" cm="1">
        <f t="array" ref="E1858">_xlfn.IFS(D1858&lt;5.7,"Normal",D1858&lt;=6.4,"Prediabetes",D1858&gt;=6.5,"Diabetes")</f>
        <v>Normal</v>
      </c>
      <c r="F1858" s="3" t="s">
        <v>2382</v>
      </c>
      <c r="G1858" s="3" t="s">
        <v>2379</v>
      </c>
      <c r="H1858" s="3" t="s">
        <v>2379</v>
      </c>
      <c r="I1858" s="1">
        <v>1</v>
      </c>
      <c r="J1858">
        <v>1</v>
      </c>
      <c r="K1858" s="3" t="s">
        <v>2379</v>
      </c>
      <c r="P1858" s="3"/>
    </row>
    <row r="1859" spans="1:16" x14ac:dyDescent="0.25">
      <c r="A1859" s="3" t="s">
        <v>509</v>
      </c>
      <c r="B1859">
        <v>17.09</v>
      </c>
      <c r="C1859" t="str" cm="1">
        <f t="array" ref="C1859">_xlfn.IFS(B1859&lt;=18.5,  "Underweight",B1859&lt;=24.9,"Normal weight",B1859&lt;=29.9, "Over weight",B1859&gt;=30,"Obesity")</f>
        <v>Underweight</v>
      </c>
      <c r="D1859">
        <v>5.69</v>
      </c>
      <c r="E1859" t="str" cm="1">
        <f t="array" ref="E1859">_xlfn.IFS(D1859&lt;5.7,"Normal",D1859&lt;=6.4,"Prediabetes",D1859&gt;=6.5,"Diabetes")</f>
        <v>Normal</v>
      </c>
      <c r="F1859" s="3" t="s">
        <v>2379</v>
      </c>
      <c r="G1859" s="3" t="s">
        <v>2379</v>
      </c>
      <c r="H1859" s="3" t="s">
        <v>2379</v>
      </c>
      <c r="I1859" s="1" t="s">
        <v>2380</v>
      </c>
      <c r="J1859">
        <v>0</v>
      </c>
      <c r="K1859" s="3" t="s">
        <v>2379</v>
      </c>
      <c r="P1859" s="3"/>
    </row>
    <row r="1860" spans="1:16" x14ac:dyDescent="0.25">
      <c r="A1860" s="3" t="s">
        <v>508</v>
      </c>
      <c r="B1860">
        <v>24.3</v>
      </c>
      <c r="C1860" t="str" cm="1">
        <f t="array" ref="C1860">_xlfn.IFS(B1860&lt;=18.5,  "Underweight",B1860&lt;=24.9,"Normal weight",B1860&lt;=29.9, "Over weight",B1860&gt;=30,"Obesity")</f>
        <v>Normal weight</v>
      </c>
      <c r="D1860">
        <v>4.9000000000000004</v>
      </c>
      <c r="E1860" t="str" cm="1">
        <f t="array" ref="E1860">_xlfn.IFS(D1860&lt;5.7,"Normal",D1860&lt;=6.4,"Prediabetes",D1860&gt;=6.5,"Diabetes")</f>
        <v>Normal</v>
      </c>
      <c r="F1860" s="3" t="s">
        <v>2382</v>
      </c>
      <c r="G1860" s="3" t="s">
        <v>2379</v>
      </c>
      <c r="H1860" s="3" t="s">
        <v>2382</v>
      </c>
      <c r="I1860" s="1">
        <v>1</v>
      </c>
      <c r="J1860">
        <v>1</v>
      </c>
      <c r="K1860" s="3" t="s">
        <v>2379</v>
      </c>
      <c r="P1860" s="3"/>
    </row>
    <row r="1861" spans="1:16" x14ac:dyDescent="0.25">
      <c r="A1861" s="3" t="s">
        <v>507</v>
      </c>
      <c r="B1861">
        <v>29.734999999999999</v>
      </c>
      <c r="C1861" t="str" cm="1">
        <f t="array" ref="C1861">_xlfn.IFS(B1861&lt;=18.5,  "Underweight",B1861&lt;=24.9,"Normal weight",B1861&lt;=29.9, "Over weight",B1861&gt;=30,"Obesity")</f>
        <v>Over weight</v>
      </c>
      <c r="D1861">
        <v>5.78</v>
      </c>
      <c r="E1861" t="str" cm="1">
        <f t="array" ref="E1861">_xlfn.IFS(D1861&lt;5.7,"Normal",D1861&lt;=6.4,"Prediabetes",D1861&gt;=6.5,"Diabetes")</f>
        <v>Prediabetes</v>
      </c>
      <c r="F1861" s="3" t="s">
        <v>2379</v>
      </c>
      <c r="G1861" s="3" t="s">
        <v>2379</v>
      </c>
      <c r="H1861" s="3" t="s">
        <v>2379</v>
      </c>
      <c r="I1861" s="1" t="s">
        <v>2380</v>
      </c>
      <c r="J1861">
        <v>0</v>
      </c>
      <c r="K1861" s="3" t="s">
        <v>2379</v>
      </c>
      <c r="P1861" s="3"/>
    </row>
    <row r="1862" spans="1:16" x14ac:dyDescent="0.25">
      <c r="A1862" s="3" t="s">
        <v>506</v>
      </c>
      <c r="B1862">
        <v>29.26</v>
      </c>
      <c r="C1862" t="str" cm="1">
        <f t="array" ref="C1862">_xlfn.IFS(B1862&lt;=18.5,  "Underweight",B1862&lt;=24.9,"Normal weight",B1862&lt;=29.9, "Over weight",B1862&gt;=30,"Obesity")</f>
        <v>Over weight</v>
      </c>
      <c r="D1862">
        <v>4.7</v>
      </c>
      <c r="E1862" t="str" cm="1">
        <f t="array" ref="E1862">_xlfn.IFS(D1862&lt;5.7,"Normal",D1862&lt;=6.4,"Prediabetes",D1862&gt;=6.5,"Diabetes")</f>
        <v>Normal</v>
      </c>
      <c r="F1862" s="3" t="s">
        <v>2379</v>
      </c>
      <c r="G1862" s="3" t="s">
        <v>2379</v>
      </c>
      <c r="H1862" s="3" t="s">
        <v>2379</v>
      </c>
      <c r="I1862" s="1" t="s">
        <v>2380</v>
      </c>
      <c r="J1862">
        <v>0</v>
      </c>
      <c r="K1862" s="3" t="s">
        <v>2379</v>
      </c>
      <c r="P1862" s="3"/>
    </row>
    <row r="1863" spans="1:16" x14ac:dyDescent="0.25">
      <c r="A1863" s="3" t="s">
        <v>505</v>
      </c>
      <c r="B1863">
        <v>33</v>
      </c>
      <c r="C1863" t="str" cm="1">
        <f t="array" ref="C1863">_xlfn.IFS(B1863&lt;=18.5,  "Underweight",B1863&lt;=24.9,"Normal weight",B1863&lt;=29.9, "Over weight",B1863&gt;=30,"Obesity")</f>
        <v>Obesity</v>
      </c>
      <c r="D1863">
        <v>6.28</v>
      </c>
      <c r="E1863" t="str" cm="1">
        <f t="array" ref="E1863">_xlfn.IFS(D1863&lt;5.7,"Normal",D1863&lt;=6.4,"Prediabetes",D1863&gt;=6.5,"Diabetes")</f>
        <v>Prediabetes</v>
      </c>
      <c r="F1863" s="3" t="s">
        <v>2379</v>
      </c>
      <c r="G1863" s="3" t="s">
        <v>2379</v>
      </c>
      <c r="H1863" s="3" t="s">
        <v>2379</v>
      </c>
      <c r="I1863" s="1" t="s">
        <v>2380</v>
      </c>
      <c r="J1863">
        <v>0</v>
      </c>
      <c r="K1863" s="3" t="s">
        <v>2379</v>
      </c>
      <c r="P1863" s="3"/>
    </row>
    <row r="1864" spans="1:16" x14ac:dyDescent="0.25">
      <c r="A1864" s="3" t="s">
        <v>504</v>
      </c>
      <c r="B1864">
        <v>31.065000000000001</v>
      </c>
      <c r="C1864" t="str" cm="1">
        <f t="array" ref="C1864">_xlfn.IFS(B1864&lt;=18.5,  "Underweight",B1864&lt;=24.9,"Normal weight",B1864&lt;=29.9, "Over weight",B1864&gt;=30,"Obesity")</f>
        <v>Obesity</v>
      </c>
      <c r="D1864">
        <v>4.2300000000000004</v>
      </c>
      <c r="E1864" t="str" cm="1">
        <f t="array" ref="E1864">_xlfn.IFS(D1864&lt;5.7,"Normal",D1864&lt;=6.4,"Prediabetes",D1864&gt;=6.5,"Diabetes")</f>
        <v>Normal</v>
      </c>
      <c r="F1864" s="3" t="s">
        <v>2379</v>
      </c>
      <c r="G1864" s="3" t="s">
        <v>2379</v>
      </c>
      <c r="H1864" s="3" t="s">
        <v>2379</v>
      </c>
      <c r="I1864" s="1" t="s">
        <v>2380</v>
      </c>
      <c r="J1864">
        <v>0</v>
      </c>
      <c r="K1864" s="3" t="s">
        <v>2379</v>
      </c>
      <c r="P1864" s="3"/>
    </row>
    <row r="1865" spans="1:16" x14ac:dyDescent="0.25">
      <c r="A1865" s="3" t="s">
        <v>503</v>
      </c>
      <c r="B1865">
        <v>26.51</v>
      </c>
      <c r="C1865" t="str" cm="1">
        <f t="array" ref="C1865">_xlfn.IFS(B1865&lt;=18.5,  "Underweight",B1865&lt;=24.9,"Normal weight",B1865&lt;=29.9, "Over weight",B1865&gt;=30,"Obesity")</f>
        <v>Over weight</v>
      </c>
      <c r="D1865">
        <v>6.17</v>
      </c>
      <c r="E1865" t="str" cm="1">
        <f t="array" ref="E1865">_xlfn.IFS(D1865&lt;5.7,"Normal",D1865&lt;=6.4,"Prediabetes",D1865&gt;=6.5,"Diabetes")</f>
        <v>Prediabetes</v>
      </c>
      <c r="F1865" s="3" t="s">
        <v>2379</v>
      </c>
      <c r="G1865" s="3" t="s">
        <v>2379</v>
      </c>
      <c r="H1865" s="3" t="s">
        <v>2379</v>
      </c>
      <c r="I1865" s="1" t="s">
        <v>2380</v>
      </c>
      <c r="J1865">
        <v>0</v>
      </c>
      <c r="K1865" s="3" t="s">
        <v>2379</v>
      </c>
      <c r="P1865" s="3"/>
    </row>
    <row r="1866" spans="1:16" x14ac:dyDescent="0.25">
      <c r="A1866" s="3" t="s">
        <v>502</v>
      </c>
      <c r="B1866">
        <v>28.88</v>
      </c>
      <c r="C1866" t="str" cm="1">
        <f t="array" ref="C1866">_xlfn.IFS(B1866&lt;=18.5,  "Underweight",B1866&lt;=24.9,"Normal weight",B1866&lt;=29.9, "Over weight",B1866&gt;=30,"Obesity")</f>
        <v>Over weight</v>
      </c>
      <c r="D1866">
        <v>4.96</v>
      </c>
      <c r="E1866" t="str" cm="1">
        <f t="array" ref="E1866">_xlfn.IFS(D1866&lt;5.7,"Normal",D1866&lt;=6.4,"Prediabetes",D1866&gt;=6.5,"Diabetes")</f>
        <v>Normal</v>
      </c>
      <c r="F1866" s="3" t="s">
        <v>2379</v>
      </c>
      <c r="G1866" s="3" t="s">
        <v>2379</v>
      </c>
      <c r="H1866" s="3" t="s">
        <v>2379</v>
      </c>
      <c r="I1866" s="1" t="s">
        <v>2380</v>
      </c>
      <c r="J1866">
        <v>0</v>
      </c>
      <c r="K1866" s="3" t="s">
        <v>2379</v>
      </c>
      <c r="P1866" s="3"/>
    </row>
    <row r="1867" spans="1:16" x14ac:dyDescent="0.25">
      <c r="A1867" s="3" t="s">
        <v>501</v>
      </c>
      <c r="B1867">
        <v>35.814999999999998</v>
      </c>
      <c r="C1867" t="str" cm="1">
        <f t="array" ref="C1867">_xlfn.IFS(B1867&lt;=18.5,  "Underweight",B1867&lt;=24.9,"Normal weight",B1867&lt;=29.9, "Over weight",B1867&gt;=30,"Obesity")</f>
        <v>Obesity</v>
      </c>
      <c r="D1867">
        <v>5.1100000000000003</v>
      </c>
      <c r="E1867" t="str" cm="1">
        <f t="array" ref="E1867">_xlfn.IFS(D1867&lt;5.7,"Normal",D1867&lt;=6.4,"Prediabetes",D1867&gt;=6.5,"Diabetes")</f>
        <v>Normal</v>
      </c>
      <c r="F1867" s="3" t="s">
        <v>2382</v>
      </c>
      <c r="G1867" s="3" t="s">
        <v>2379</v>
      </c>
      <c r="H1867" s="3" t="s">
        <v>2379</v>
      </c>
      <c r="I1867" s="1">
        <v>1</v>
      </c>
      <c r="J1867">
        <v>1</v>
      </c>
      <c r="K1867" s="3" t="s">
        <v>2379</v>
      </c>
      <c r="P1867" s="3"/>
    </row>
    <row r="1868" spans="1:16" x14ac:dyDescent="0.25">
      <c r="A1868" s="3" t="s">
        <v>500</v>
      </c>
      <c r="B1868">
        <v>21.28</v>
      </c>
      <c r="C1868" t="str" cm="1">
        <f t="array" ref="C1868">_xlfn.IFS(B1868&lt;=18.5,  "Underweight",B1868&lt;=24.9,"Normal weight",B1868&lt;=29.9, "Over weight",B1868&gt;=30,"Obesity")</f>
        <v>Normal weight</v>
      </c>
      <c r="D1868">
        <v>4.05</v>
      </c>
      <c r="E1868" t="str" cm="1">
        <f t="array" ref="E1868">_xlfn.IFS(D1868&lt;5.7,"Normal",D1868&lt;=6.4,"Prediabetes",D1868&gt;=6.5,"Diabetes")</f>
        <v>Normal</v>
      </c>
      <c r="F1868" s="3" t="s">
        <v>2379</v>
      </c>
      <c r="G1868" s="3" t="s">
        <v>2381</v>
      </c>
      <c r="H1868" s="3" t="s">
        <v>2379</v>
      </c>
      <c r="I1868" s="1">
        <v>1</v>
      </c>
      <c r="J1868">
        <v>1</v>
      </c>
      <c r="K1868" s="3" t="s">
        <v>2379</v>
      </c>
      <c r="P1868" s="3"/>
    </row>
    <row r="1869" spans="1:16" x14ac:dyDescent="0.25">
      <c r="A1869" s="3" t="s">
        <v>499</v>
      </c>
      <c r="B1869">
        <v>33.81</v>
      </c>
      <c r="C1869" t="str" cm="1">
        <f t="array" ref="C1869">_xlfn.IFS(B1869&lt;=18.5,  "Underweight",B1869&lt;=24.9,"Normal weight",B1869&lt;=29.9, "Over weight",B1869&gt;=30,"Obesity")</f>
        <v>Obesity</v>
      </c>
      <c r="D1869">
        <v>6.49</v>
      </c>
      <c r="E1869" t="e" cm="1">
        <f t="array" ref="E1869">_xlfn.IFS(D1869&lt;5.7,"Normal",D1869&lt;=6.4,"Prediabetes",D1869&gt;=6.5,"Diabetes")</f>
        <v>#N/A</v>
      </c>
      <c r="F1869" s="3" t="s">
        <v>2379</v>
      </c>
      <c r="G1869" s="3" t="s">
        <v>2379</v>
      </c>
      <c r="H1869" s="3" t="s">
        <v>2382</v>
      </c>
      <c r="I1869" s="1">
        <v>1</v>
      </c>
      <c r="J1869">
        <v>1</v>
      </c>
      <c r="K1869" s="3" t="s">
        <v>2379</v>
      </c>
      <c r="P1869" s="3"/>
    </row>
    <row r="1870" spans="1:16" x14ac:dyDescent="0.25">
      <c r="A1870" s="3" t="s">
        <v>498</v>
      </c>
      <c r="B1870">
        <v>44.22</v>
      </c>
      <c r="C1870" t="str" cm="1">
        <f t="array" ref="C1870">_xlfn.IFS(B1870&lt;=18.5,  "Underweight",B1870&lt;=24.9,"Normal weight",B1870&lt;=29.9, "Over weight",B1870&gt;=30,"Obesity")</f>
        <v>Obesity</v>
      </c>
      <c r="D1870">
        <v>4.1900000000000004</v>
      </c>
      <c r="E1870" t="str" cm="1">
        <f t="array" ref="E1870">_xlfn.IFS(D1870&lt;5.7,"Normal",D1870&lt;=6.4,"Prediabetes",D1870&gt;=6.5,"Diabetes")</f>
        <v>Normal</v>
      </c>
      <c r="F1870" s="3" t="s">
        <v>2379</v>
      </c>
      <c r="G1870" s="3" t="s">
        <v>2379</v>
      </c>
      <c r="H1870" s="3" t="s">
        <v>2379</v>
      </c>
      <c r="I1870" s="1">
        <v>1</v>
      </c>
      <c r="J1870">
        <v>1</v>
      </c>
      <c r="K1870" s="3" t="s">
        <v>2379</v>
      </c>
      <c r="P1870" s="3"/>
    </row>
    <row r="1871" spans="1:16" x14ac:dyDescent="0.25">
      <c r="A1871" s="3" t="s">
        <v>497</v>
      </c>
      <c r="B1871">
        <v>15.46</v>
      </c>
      <c r="C1871" t="str" cm="1">
        <f t="array" ref="C1871">_xlfn.IFS(B1871&lt;=18.5,  "Underweight",B1871&lt;=24.9,"Normal weight",B1871&lt;=29.9, "Over weight",B1871&gt;=30,"Obesity")</f>
        <v>Underweight</v>
      </c>
      <c r="D1871">
        <v>4.99</v>
      </c>
      <c r="E1871" t="str" cm="1">
        <f t="array" ref="E1871">_xlfn.IFS(D1871&lt;5.7,"Normal",D1871&lt;=6.4,"Prediabetes",D1871&gt;=6.5,"Diabetes")</f>
        <v>Normal</v>
      </c>
      <c r="F1871" s="3" t="s">
        <v>2382</v>
      </c>
      <c r="G1871" s="3" t="s">
        <v>2379</v>
      </c>
      <c r="H1871" s="3" t="s">
        <v>2382</v>
      </c>
      <c r="I1871" s="1">
        <v>1</v>
      </c>
      <c r="J1871">
        <v>1</v>
      </c>
      <c r="K1871" s="3" t="s">
        <v>2379</v>
      </c>
      <c r="P1871" s="3"/>
    </row>
    <row r="1872" spans="1:16" x14ac:dyDescent="0.25">
      <c r="A1872" s="3" t="s">
        <v>496</v>
      </c>
      <c r="B1872">
        <v>30.3</v>
      </c>
      <c r="C1872" t="str" cm="1">
        <f t="array" ref="C1872">_xlfn.IFS(B1872&lt;=18.5,  "Underweight",B1872&lt;=24.9,"Normal weight",B1872&lt;=29.9, "Over weight",B1872&gt;=30,"Obesity")</f>
        <v>Obesity</v>
      </c>
      <c r="D1872">
        <v>4.7699999999999996</v>
      </c>
      <c r="E1872" t="str" cm="1">
        <f t="array" ref="E1872">_xlfn.IFS(D1872&lt;5.7,"Normal",D1872&lt;=6.4,"Prediabetes",D1872&gt;=6.5,"Diabetes")</f>
        <v>Normal</v>
      </c>
      <c r="F1872" s="3" t="s">
        <v>2382</v>
      </c>
      <c r="G1872" s="3" t="s">
        <v>2379</v>
      </c>
      <c r="H1872" s="3" t="s">
        <v>2379</v>
      </c>
      <c r="I1872" s="1">
        <v>1</v>
      </c>
      <c r="J1872">
        <v>1</v>
      </c>
      <c r="K1872" s="3" t="s">
        <v>2379</v>
      </c>
      <c r="P1872" s="3"/>
    </row>
    <row r="1873" spans="1:16" x14ac:dyDescent="0.25">
      <c r="A1873" s="3" t="s">
        <v>495</v>
      </c>
      <c r="B1873">
        <v>16.670000000000002</v>
      </c>
      <c r="C1873" t="str" cm="1">
        <f t="array" ref="C1873">_xlfn.IFS(B1873&lt;=18.5,  "Underweight",B1873&lt;=24.9,"Normal weight",B1873&lt;=29.9, "Over weight",B1873&gt;=30,"Obesity")</f>
        <v>Underweight</v>
      </c>
      <c r="D1873">
        <v>5.46</v>
      </c>
      <c r="E1873" t="str" cm="1">
        <f t="array" ref="E1873">_xlfn.IFS(D1873&lt;5.7,"Normal",D1873&lt;=6.4,"Prediabetes",D1873&gt;=6.5,"Diabetes")</f>
        <v>Normal</v>
      </c>
      <c r="F1873" s="3" t="s">
        <v>2379</v>
      </c>
      <c r="G1873" s="3" t="s">
        <v>2379</v>
      </c>
      <c r="H1873" s="3" t="s">
        <v>2379</v>
      </c>
      <c r="I1873" s="1" t="s">
        <v>2380</v>
      </c>
      <c r="J1873">
        <v>0</v>
      </c>
      <c r="K1873" s="3" t="s">
        <v>2379</v>
      </c>
      <c r="P1873" s="3"/>
    </row>
    <row r="1874" spans="1:16" x14ac:dyDescent="0.25">
      <c r="A1874" s="3" t="s">
        <v>494</v>
      </c>
      <c r="B1874">
        <v>28.594999999999999</v>
      </c>
      <c r="C1874" t="str" cm="1">
        <f t="array" ref="C1874">_xlfn.IFS(B1874&lt;=18.5,  "Underweight",B1874&lt;=24.9,"Normal weight",B1874&lt;=29.9, "Over weight",B1874&gt;=30,"Obesity")</f>
        <v>Over weight</v>
      </c>
      <c r="D1874">
        <v>5.43</v>
      </c>
      <c r="E1874" t="str" cm="1">
        <f t="array" ref="E1874">_xlfn.IFS(D1874&lt;5.7,"Normal",D1874&lt;=6.4,"Prediabetes",D1874&gt;=6.5,"Diabetes")</f>
        <v>Normal</v>
      </c>
      <c r="F1874" s="3" t="s">
        <v>2379</v>
      </c>
      <c r="G1874" s="3" t="s">
        <v>2379</v>
      </c>
      <c r="H1874" s="3" t="s">
        <v>2379</v>
      </c>
      <c r="I1874" s="1" t="s">
        <v>2380</v>
      </c>
      <c r="J1874">
        <v>0</v>
      </c>
      <c r="K1874" s="3" t="s">
        <v>2379</v>
      </c>
      <c r="P1874" s="3"/>
    </row>
    <row r="1875" spans="1:16" x14ac:dyDescent="0.25">
      <c r="A1875" s="3" t="s">
        <v>493</v>
      </c>
      <c r="B1875">
        <v>25.934999999999999</v>
      </c>
      <c r="C1875" t="str" cm="1">
        <f t="array" ref="C1875">_xlfn.IFS(B1875&lt;=18.5,  "Underweight",B1875&lt;=24.9,"Normal weight",B1875&lt;=29.9, "Over weight",B1875&gt;=30,"Obesity")</f>
        <v>Over weight</v>
      </c>
      <c r="D1875">
        <v>4.29</v>
      </c>
      <c r="E1875" t="str" cm="1">
        <f t="array" ref="E1875">_xlfn.IFS(D1875&lt;5.7,"Normal",D1875&lt;=6.4,"Prediabetes",D1875&gt;=6.5,"Diabetes")</f>
        <v>Normal</v>
      </c>
      <c r="F1875" s="3" t="s">
        <v>2379</v>
      </c>
      <c r="G1875" s="3" t="s">
        <v>2379</v>
      </c>
      <c r="H1875" s="3" t="s">
        <v>2379</v>
      </c>
      <c r="I1875" s="1" t="s">
        <v>2380</v>
      </c>
      <c r="J1875">
        <v>0</v>
      </c>
      <c r="K1875" s="3" t="s">
        <v>2379</v>
      </c>
      <c r="P1875" s="3"/>
    </row>
    <row r="1876" spans="1:16" x14ac:dyDescent="0.25">
      <c r="A1876" s="3" t="s">
        <v>492</v>
      </c>
      <c r="B1876">
        <v>27.645</v>
      </c>
      <c r="C1876" t="str" cm="1">
        <f t="array" ref="C1876">_xlfn.IFS(B1876&lt;=18.5,  "Underweight",B1876&lt;=24.9,"Normal weight",B1876&lt;=29.9, "Over weight",B1876&gt;=30,"Obesity")</f>
        <v>Over weight</v>
      </c>
      <c r="D1876">
        <v>5.25</v>
      </c>
      <c r="E1876" t="str" cm="1">
        <f t="array" ref="E1876">_xlfn.IFS(D1876&lt;5.7,"Normal",D1876&lt;=6.4,"Prediabetes",D1876&gt;=6.5,"Diabetes")</f>
        <v>Normal</v>
      </c>
      <c r="F1876" s="3" t="s">
        <v>2379</v>
      </c>
      <c r="G1876" s="3" t="s">
        <v>2379</v>
      </c>
      <c r="H1876" s="3" t="s">
        <v>2379</v>
      </c>
      <c r="I1876" s="1">
        <v>1</v>
      </c>
      <c r="J1876">
        <v>1</v>
      </c>
      <c r="K1876" s="3" t="s">
        <v>2379</v>
      </c>
      <c r="P1876" s="3"/>
    </row>
    <row r="1877" spans="1:16" x14ac:dyDescent="0.25">
      <c r="A1877" s="3" t="s">
        <v>491</v>
      </c>
      <c r="B1877">
        <v>30.1</v>
      </c>
      <c r="C1877" t="str" cm="1">
        <f t="array" ref="C1877">_xlfn.IFS(B1877&lt;=18.5,  "Underweight",B1877&lt;=24.9,"Normal weight",B1877&lt;=29.9, "Over weight",B1877&gt;=30,"Obesity")</f>
        <v>Obesity</v>
      </c>
      <c r="D1877">
        <v>4.04</v>
      </c>
      <c r="E1877" t="str" cm="1">
        <f t="array" ref="E1877">_xlfn.IFS(D1877&lt;5.7,"Normal",D1877&lt;=6.4,"Prediabetes",D1877&gt;=6.5,"Diabetes")</f>
        <v>Normal</v>
      </c>
      <c r="F1877" s="3" t="s">
        <v>2379</v>
      </c>
      <c r="G1877" s="3" t="s">
        <v>2379</v>
      </c>
      <c r="H1877" s="3" t="s">
        <v>2379</v>
      </c>
      <c r="I1877" s="1">
        <v>1</v>
      </c>
      <c r="J1877">
        <v>1</v>
      </c>
      <c r="K1877" s="3" t="s">
        <v>2379</v>
      </c>
      <c r="P1877" s="3"/>
    </row>
    <row r="1878" spans="1:16" x14ac:dyDescent="0.25">
      <c r="A1878" s="3" t="s">
        <v>490</v>
      </c>
      <c r="B1878">
        <v>26.79</v>
      </c>
      <c r="C1878" t="str" cm="1">
        <f t="array" ref="C1878">_xlfn.IFS(B1878&lt;=18.5,  "Underweight",B1878&lt;=24.9,"Normal weight",B1878&lt;=29.9, "Over weight",B1878&gt;=30,"Obesity")</f>
        <v>Over weight</v>
      </c>
      <c r="D1878">
        <v>5</v>
      </c>
      <c r="E1878" t="str" cm="1">
        <f t="array" ref="E1878">_xlfn.IFS(D1878&lt;5.7,"Normal",D1878&lt;=6.4,"Prediabetes",D1878&gt;=6.5,"Diabetes")</f>
        <v>Normal</v>
      </c>
      <c r="F1878" s="3" t="s">
        <v>2382</v>
      </c>
      <c r="G1878" s="3" t="s">
        <v>2379</v>
      </c>
      <c r="H1878" s="3" t="s">
        <v>2382</v>
      </c>
      <c r="I1878" s="1">
        <v>1</v>
      </c>
      <c r="J1878">
        <v>1</v>
      </c>
      <c r="K1878" s="3" t="s">
        <v>2379</v>
      </c>
      <c r="P1878" s="3"/>
    </row>
    <row r="1879" spans="1:16" x14ac:dyDescent="0.25">
      <c r="A1879" s="3" t="s">
        <v>489</v>
      </c>
      <c r="B1879">
        <v>27.1</v>
      </c>
      <c r="C1879" t="str" cm="1">
        <f t="array" ref="C1879">_xlfn.IFS(B1879&lt;=18.5,  "Underweight",B1879&lt;=24.9,"Normal weight",B1879&lt;=29.9, "Over weight",B1879&gt;=30,"Obesity")</f>
        <v>Over weight</v>
      </c>
      <c r="D1879">
        <v>4.01</v>
      </c>
      <c r="E1879" t="str" cm="1">
        <f t="array" ref="E1879">_xlfn.IFS(D1879&lt;5.7,"Normal",D1879&lt;=6.4,"Prediabetes",D1879&gt;=6.5,"Diabetes")</f>
        <v>Normal</v>
      </c>
      <c r="F1879" s="3" t="s">
        <v>2382</v>
      </c>
      <c r="G1879" s="3" t="s">
        <v>2379</v>
      </c>
      <c r="H1879" s="3" t="s">
        <v>2379</v>
      </c>
      <c r="I1879" s="1">
        <v>1</v>
      </c>
      <c r="J1879">
        <v>1</v>
      </c>
      <c r="K1879" s="3" t="s">
        <v>2379</v>
      </c>
      <c r="P1879" s="3"/>
    </row>
    <row r="1880" spans="1:16" x14ac:dyDescent="0.25">
      <c r="A1880" s="3" t="s">
        <v>488</v>
      </c>
      <c r="B1880">
        <v>24.31</v>
      </c>
      <c r="C1880" t="str" cm="1">
        <f t="array" ref="C1880">_xlfn.IFS(B1880&lt;=18.5,  "Underweight",B1880&lt;=24.9,"Normal weight",B1880&lt;=29.9, "Over weight",B1880&gt;=30,"Obesity")</f>
        <v>Normal weight</v>
      </c>
      <c r="D1880">
        <v>5.4</v>
      </c>
      <c r="E1880" t="str" cm="1">
        <f t="array" ref="E1880">_xlfn.IFS(D1880&lt;5.7,"Normal",D1880&lt;=6.4,"Prediabetes",D1880&gt;=6.5,"Diabetes")</f>
        <v>Normal</v>
      </c>
      <c r="F1880" s="3" t="s">
        <v>2379</v>
      </c>
      <c r="G1880" s="3" t="s">
        <v>2379</v>
      </c>
      <c r="H1880" s="3" t="s">
        <v>2379</v>
      </c>
      <c r="I1880" s="1" t="s">
        <v>2380</v>
      </c>
      <c r="J1880">
        <v>0</v>
      </c>
      <c r="K1880" s="3" t="s">
        <v>2379</v>
      </c>
      <c r="P1880" s="3"/>
    </row>
    <row r="1881" spans="1:16" x14ac:dyDescent="0.25">
      <c r="A1881" s="3" t="s">
        <v>487</v>
      </c>
      <c r="B1881">
        <v>15.53</v>
      </c>
      <c r="C1881" t="str" cm="1">
        <f t="array" ref="C1881">_xlfn.IFS(B1881&lt;=18.5,  "Underweight",B1881&lt;=24.9,"Normal weight",B1881&lt;=29.9, "Over weight",B1881&gt;=30,"Obesity")</f>
        <v>Underweight</v>
      </c>
      <c r="D1881">
        <v>5.81</v>
      </c>
      <c r="E1881" t="str" cm="1">
        <f t="array" ref="E1881">_xlfn.IFS(D1881&lt;5.7,"Normal",D1881&lt;=6.4,"Prediabetes",D1881&gt;=6.5,"Diabetes")</f>
        <v>Prediabetes</v>
      </c>
      <c r="F1881" s="3" t="s">
        <v>2379</v>
      </c>
      <c r="G1881" s="3" t="s">
        <v>2379</v>
      </c>
      <c r="H1881" s="3" t="s">
        <v>2379</v>
      </c>
      <c r="I1881" s="1">
        <v>1</v>
      </c>
      <c r="J1881">
        <v>1</v>
      </c>
      <c r="K1881" s="3" t="s">
        <v>2379</v>
      </c>
      <c r="P1881" s="3"/>
    </row>
    <row r="1882" spans="1:16" x14ac:dyDescent="0.25">
      <c r="A1882" s="3" t="s">
        <v>486</v>
      </c>
      <c r="B1882">
        <v>30.7</v>
      </c>
      <c r="C1882" t="str" cm="1">
        <f t="array" ref="C1882">_xlfn.IFS(B1882&lt;=18.5,  "Underweight",B1882&lt;=24.9,"Normal weight",B1882&lt;=29.9, "Over weight",B1882&gt;=30,"Obesity")</f>
        <v>Obesity</v>
      </c>
      <c r="D1882">
        <v>5.82</v>
      </c>
      <c r="E1882" t="str" cm="1">
        <f t="array" ref="E1882">_xlfn.IFS(D1882&lt;5.7,"Normal",D1882&lt;=6.4,"Prediabetes",D1882&gt;=6.5,"Diabetes")</f>
        <v>Prediabetes</v>
      </c>
      <c r="F1882" s="3" t="s">
        <v>2379</v>
      </c>
      <c r="G1882" s="3" t="s">
        <v>2379</v>
      </c>
      <c r="H1882" s="3" t="s">
        <v>2379</v>
      </c>
      <c r="I1882" s="1">
        <v>1</v>
      </c>
      <c r="J1882">
        <v>1</v>
      </c>
      <c r="K1882" s="3" t="s">
        <v>2379</v>
      </c>
      <c r="P1882" s="3"/>
    </row>
    <row r="1883" spans="1:16" x14ac:dyDescent="0.25">
      <c r="A1883" s="3" t="s">
        <v>485</v>
      </c>
      <c r="B1883">
        <v>33.33</v>
      </c>
      <c r="C1883" t="str" cm="1">
        <f t="array" ref="C1883">_xlfn.IFS(B1883&lt;=18.5,  "Underweight",B1883&lt;=24.9,"Normal weight",B1883&lt;=29.9, "Over weight",B1883&gt;=30,"Obesity")</f>
        <v>Obesity</v>
      </c>
      <c r="D1883">
        <v>4.82</v>
      </c>
      <c r="E1883" t="str" cm="1">
        <f t="array" ref="E1883">_xlfn.IFS(D1883&lt;5.7,"Normal",D1883&lt;=6.4,"Prediabetes",D1883&gt;=6.5,"Diabetes")</f>
        <v>Normal</v>
      </c>
      <c r="F1883" s="3" t="s">
        <v>2379</v>
      </c>
      <c r="G1883" s="3" t="s">
        <v>2379</v>
      </c>
      <c r="H1883" s="3" t="s">
        <v>2379</v>
      </c>
      <c r="I1883" s="1">
        <v>1</v>
      </c>
      <c r="J1883">
        <v>1</v>
      </c>
      <c r="K1883" s="3" t="s">
        <v>2379</v>
      </c>
      <c r="P1883" s="3"/>
    </row>
    <row r="1884" spans="1:16" x14ac:dyDescent="0.25">
      <c r="A1884" s="3" t="s">
        <v>484</v>
      </c>
      <c r="B1884">
        <v>32.4</v>
      </c>
      <c r="C1884" t="str" cm="1">
        <f t="array" ref="C1884">_xlfn.IFS(B1884&lt;=18.5,  "Underweight",B1884&lt;=24.9,"Normal weight",B1884&lt;=29.9, "Over weight",B1884&gt;=30,"Obesity")</f>
        <v>Obesity</v>
      </c>
      <c r="D1884">
        <v>5.08</v>
      </c>
      <c r="E1884" t="str" cm="1">
        <f t="array" ref="E1884">_xlfn.IFS(D1884&lt;5.7,"Normal",D1884&lt;=6.4,"Prediabetes",D1884&gt;=6.5,"Diabetes")</f>
        <v>Normal</v>
      </c>
      <c r="F1884" s="3" t="s">
        <v>2379</v>
      </c>
      <c r="G1884" s="3" t="s">
        <v>2379</v>
      </c>
      <c r="H1884" s="3" t="s">
        <v>2379</v>
      </c>
      <c r="I1884" s="1">
        <v>1</v>
      </c>
      <c r="J1884">
        <v>1</v>
      </c>
      <c r="K1884" s="3" t="s">
        <v>2379</v>
      </c>
      <c r="P1884" s="3"/>
    </row>
    <row r="1885" spans="1:16" x14ac:dyDescent="0.25">
      <c r="A1885" s="3" t="s">
        <v>483</v>
      </c>
      <c r="B1885">
        <v>27.93</v>
      </c>
      <c r="C1885" t="str" cm="1">
        <f t="array" ref="C1885">_xlfn.IFS(B1885&lt;=18.5,  "Underweight",B1885&lt;=24.9,"Normal weight",B1885&lt;=29.9, "Over weight",B1885&gt;=30,"Obesity")</f>
        <v>Over weight</v>
      </c>
      <c r="D1885">
        <v>5.59</v>
      </c>
      <c r="E1885" t="str" cm="1">
        <f t="array" ref="E1885">_xlfn.IFS(D1885&lt;5.7,"Normal",D1885&lt;=6.4,"Prediabetes",D1885&gt;=6.5,"Diabetes")</f>
        <v>Normal</v>
      </c>
      <c r="F1885" s="3" t="s">
        <v>2379</v>
      </c>
      <c r="G1885" s="3" t="s">
        <v>2379</v>
      </c>
      <c r="H1885" s="3" t="s">
        <v>2379</v>
      </c>
      <c r="I1885" s="1">
        <v>1</v>
      </c>
      <c r="J1885">
        <v>1</v>
      </c>
      <c r="K1885" s="3" t="s">
        <v>2379</v>
      </c>
      <c r="P1885" s="3"/>
    </row>
    <row r="1886" spans="1:16" x14ac:dyDescent="0.25">
      <c r="A1886" s="3" t="s">
        <v>482</v>
      </c>
      <c r="B1886">
        <v>21.754999999999999</v>
      </c>
      <c r="C1886" t="str" cm="1">
        <f t="array" ref="C1886">_xlfn.IFS(B1886&lt;=18.5,  "Underweight",B1886&lt;=24.9,"Normal weight",B1886&lt;=29.9, "Over weight",B1886&gt;=30,"Obesity")</f>
        <v>Normal weight</v>
      </c>
      <c r="D1886">
        <v>5.12</v>
      </c>
      <c r="E1886" t="str" cm="1">
        <f t="array" ref="E1886">_xlfn.IFS(D1886&lt;5.7,"Normal",D1886&lt;=6.4,"Prediabetes",D1886&gt;=6.5,"Diabetes")</f>
        <v>Normal</v>
      </c>
      <c r="F1886" s="3" t="s">
        <v>2379</v>
      </c>
      <c r="G1886" s="3" t="s">
        <v>2379</v>
      </c>
      <c r="H1886" s="3" t="s">
        <v>2379</v>
      </c>
      <c r="I1886" s="1" t="s">
        <v>2380</v>
      </c>
      <c r="J1886">
        <v>0</v>
      </c>
      <c r="K1886" s="3" t="s">
        <v>2379</v>
      </c>
      <c r="P1886" s="3"/>
    </row>
    <row r="1887" spans="1:16" x14ac:dyDescent="0.25">
      <c r="A1887" s="3" t="s">
        <v>481</v>
      </c>
      <c r="B1887">
        <v>25.934999999999999</v>
      </c>
      <c r="C1887" t="str" cm="1">
        <f t="array" ref="C1887">_xlfn.IFS(B1887&lt;=18.5,  "Underweight",B1887&lt;=24.9,"Normal weight",B1887&lt;=29.9, "Over weight",B1887&gt;=30,"Obesity")</f>
        <v>Over weight</v>
      </c>
      <c r="D1887">
        <v>4.95</v>
      </c>
      <c r="E1887" t="str" cm="1">
        <f t="array" ref="E1887">_xlfn.IFS(D1887&lt;5.7,"Normal",D1887&lt;=6.4,"Prediabetes",D1887&gt;=6.5,"Diabetes")</f>
        <v>Normal</v>
      </c>
      <c r="F1887" s="3" t="s">
        <v>2379</v>
      </c>
      <c r="G1887" s="3" t="s">
        <v>2379</v>
      </c>
      <c r="H1887" s="3" t="s">
        <v>2379</v>
      </c>
      <c r="I1887" s="1" t="s">
        <v>2380</v>
      </c>
      <c r="J1887">
        <v>0</v>
      </c>
      <c r="K1887" s="3" t="s">
        <v>2379</v>
      </c>
      <c r="P1887" s="3"/>
    </row>
    <row r="1888" spans="1:16" x14ac:dyDescent="0.25">
      <c r="A1888" s="3" t="s">
        <v>480</v>
      </c>
      <c r="B1888">
        <v>31.5</v>
      </c>
      <c r="C1888" t="str" cm="1">
        <f t="array" ref="C1888">_xlfn.IFS(B1888&lt;=18.5,  "Underweight",B1888&lt;=24.9,"Normal weight",B1888&lt;=29.9, "Over weight",B1888&gt;=30,"Obesity")</f>
        <v>Obesity</v>
      </c>
      <c r="D1888">
        <v>6.16</v>
      </c>
      <c r="E1888" t="str" cm="1">
        <f t="array" ref="E1888">_xlfn.IFS(D1888&lt;5.7,"Normal",D1888&lt;=6.4,"Prediabetes",D1888&gt;=6.5,"Diabetes")</f>
        <v>Prediabetes</v>
      </c>
      <c r="F1888" s="3" t="s">
        <v>2379</v>
      </c>
      <c r="G1888" s="3" t="s">
        <v>2379</v>
      </c>
      <c r="H1888" s="3" t="s">
        <v>2379</v>
      </c>
      <c r="I1888" s="1" t="s">
        <v>2380</v>
      </c>
      <c r="J1888">
        <v>0</v>
      </c>
      <c r="K1888" s="3" t="s">
        <v>2379</v>
      </c>
      <c r="P1888" s="3"/>
    </row>
    <row r="1889" spans="1:16" x14ac:dyDescent="0.25">
      <c r="A1889" s="3" t="s">
        <v>479</v>
      </c>
      <c r="B1889">
        <v>30.03</v>
      </c>
      <c r="C1889" t="str" cm="1">
        <f t="array" ref="C1889">_xlfn.IFS(B1889&lt;=18.5,  "Underweight",B1889&lt;=24.9,"Normal weight",B1889&lt;=29.9, "Over weight",B1889&gt;=30,"Obesity")</f>
        <v>Obesity</v>
      </c>
      <c r="D1889">
        <v>6.41</v>
      </c>
      <c r="E1889" t="e" cm="1">
        <f t="array" ref="E1889">_xlfn.IFS(D1889&lt;5.7,"Normal",D1889&lt;=6.4,"Prediabetes",D1889&gt;=6.5,"Diabetes")</f>
        <v>#N/A</v>
      </c>
      <c r="F1889" s="3" t="s">
        <v>2379</v>
      </c>
      <c r="G1889" s="3" t="s">
        <v>2379</v>
      </c>
      <c r="H1889" s="3" t="s">
        <v>2379</v>
      </c>
      <c r="I1889" s="1" t="s">
        <v>2380</v>
      </c>
      <c r="J1889">
        <v>0</v>
      </c>
      <c r="K1889" s="3" t="s">
        <v>2379</v>
      </c>
      <c r="P1889" s="3"/>
    </row>
    <row r="1890" spans="1:16" x14ac:dyDescent="0.25">
      <c r="A1890" s="3" t="s">
        <v>478</v>
      </c>
      <c r="B1890">
        <v>33.479999999999997</v>
      </c>
      <c r="C1890" t="str" cm="1">
        <f t="array" ref="C1890">_xlfn.IFS(B1890&lt;=18.5,  "Underweight",B1890&lt;=24.9,"Normal weight",B1890&lt;=29.9, "Over weight",B1890&gt;=30,"Obesity")</f>
        <v>Obesity</v>
      </c>
      <c r="D1890">
        <v>8.94</v>
      </c>
      <c r="E1890" t="str" cm="1">
        <f t="array" ref="E1890">_xlfn.IFS(D1890&lt;5.7,"Normal",D1890&lt;=6.4,"Prediabetes",D1890&gt;=6.5,"Diabetes")</f>
        <v>Diabetes</v>
      </c>
      <c r="F1890" s="3" t="s">
        <v>2379</v>
      </c>
      <c r="G1890" s="3" t="s">
        <v>2379</v>
      </c>
      <c r="H1890" s="3" t="s">
        <v>2379</v>
      </c>
      <c r="I1890" s="1" t="s">
        <v>2380</v>
      </c>
      <c r="J1890">
        <v>0</v>
      </c>
      <c r="K1890" s="3" t="s">
        <v>2379</v>
      </c>
      <c r="P1890" s="3"/>
    </row>
    <row r="1891" spans="1:16" x14ac:dyDescent="0.25">
      <c r="A1891" s="3" t="s">
        <v>477</v>
      </c>
      <c r="B1891">
        <v>16.510000000000002</v>
      </c>
      <c r="C1891" t="str" cm="1">
        <f t="array" ref="C1891">_xlfn.IFS(B1891&lt;=18.5,  "Underweight",B1891&lt;=24.9,"Normal weight",B1891&lt;=29.9, "Over weight",B1891&gt;=30,"Obesity")</f>
        <v>Underweight</v>
      </c>
      <c r="D1891">
        <v>4.42</v>
      </c>
      <c r="E1891" t="str" cm="1">
        <f t="array" ref="E1891">_xlfn.IFS(D1891&lt;5.7,"Normal",D1891&lt;=6.4,"Prediabetes",D1891&gt;=6.5,"Diabetes")</f>
        <v>Normal</v>
      </c>
      <c r="F1891" s="3" t="s">
        <v>2382</v>
      </c>
      <c r="G1891" s="3" t="s">
        <v>2379</v>
      </c>
      <c r="H1891" s="3" t="s">
        <v>2382</v>
      </c>
      <c r="I1891" s="1">
        <v>1</v>
      </c>
      <c r="J1891">
        <v>1</v>
      </c>
      <c r="K1891" s="3" t="s">
        <v>2379</v>
      </c>
      <c r="P1891" s="3"/>
    </row>
    <row r="1892" spans="1:16" x14ac:dyDescent="0.25">
      <c r="A1892" s="3" t="s">
        <v>476</v>
      </c>
      <c r="B1892">
        <v>33.155000000000001</v>
      </c>
      <c r="C1892" t="str" cm="1">
        <f t="array" ref="C1892">_xlfn.IFS(B1892&lt;=18.5,  "Underweight",B1892&lt;=24.9,"Normal weight",B1892&lt;=29.9, "Over weight",B1892&gt;=30,"Obesity")</f>
        <v>Obesity</v>
      </c>
      <c r="D1892">
        <v>5.3</v>
      </c>
      <c r="E1892" t="str" cm="1">
        <f t="array" ref="E1892">_xlfn.IFS(D1892&lt;5.7,"Normal",D1892&lt;=6.4,"Prediabetes",D1892&gt;=6.5,"Diabetes")</f>
        <v>Normal</v>
      </c>
      <c r="F1892" s="3" t="s">
        <v>2382</v>
      </c>
      <c r="G1892" s="3" t="s">
        <v>2379</v>
      </c>
      <c r="H1892" s="3" t="s">
        <v>2379</v>
      </c>
      <c r="I1892" s="1">
        <v>1</v>
      </c>
      <c r="J1892">
        <v>1</v>
      </c>
      <c r="K1892" s="3" t="s">
        <v>2379</v>
      </c>
      <c r="P1892" s="3"/>
    </row>
    <row r="1893" spans="1:16" x14ac:dyDescent="0.25">
      <c r="A1893" s="3" t="s">
        <v>475</v>
      </c>
      <c r="B1893">
        <v>37.29</v>
      </c>
      <c r="C1893" t="str" cm="1">
        <f t="array" ref="C1893">_xlfn.IFS(B1893&lt;=18.5,  "Underweight",B1893&lt;=24.9,"Normal weight",B1893&lt;=29.9, "Over weight",B1893&gt;=30,"Obesity")</f>
        <v>Obesity</v>
      </c>
      <c r="D1893">
        <v>4.6399999999999997</v>
      </c>
      <c r="E1893" t="str" cm="1">
        <f t="array" ref="E1893">_xlfn.IFS(D1893&lt;5.7,"Normal",D1893&lt;=6.4,"Prediabetes",D1893&gt;=6.5,"Diabetes")</f>
        <v>Normal</v>
      </c>
      <c r="F1893" s="3" t="s">
        <v>2379</v>
      </c>
      <c r="G1893" s="3" t="s">
        <v>2379</v>
      </c>
      <c r="H1893" s="3" t="s">
        <v>2382</v>
      </c>
      <c r="I1893" s="1">
        <v>1</v>
      </c>
      <c r="J1893">
        <v>1</v>
      </c>
      <c r="K1893" s="3" t="s">
        <v>2379</v>
      </c>
      <c r="P1893" s="3"/>
    </row>
    <row r="1894" spans="1:16" x14ac:dyDescent="0.25">
      <c r="A1894" s="3" t="s">
        <v>474</v>
      </c>
      <c r="B1894">
        <v>20.23</v>
      </c>
      <c r="C1894" t="str" cm="1">
        <f t="array" ref="C1894">_xlfn.IFS(B1894&lt;=18.5,  "Underweight",B1894&lt;=24.9,"Normal weight",B1894&lt;=29.9, "Over weight",B1894&gt;=30,"Obesity")</f>
        <v>Normal weight</v>
      </c>
      <c r="D1894">
        <v>6.16</v>
      </c>
      <c r="E1894" t="str" cm="1">
        <f t="array" ref="E1894">_xlfn.IFS(D1894&lt;5.7,"Normal",D1894&lt;=6.4,"Prediabetes",D1894&gt;=6.5,"Diabetes")</f>
        <v>Prediabetes</v>
      </c>
      <c r="F1894" s="3" t="s">
        <v>2382</v>
      </c>
      <c r="G1894" s="3" t="s">
        <v>2379</v>
      </c>
      <c r="H1894" s="3" t="s">
        <v>2379</v>
      </c>
      <c r="I1894" s="1">
        <v>1</v>
      </c>
      <c r="J1894">
        <v>1</v>
      </c>
      <c r="K1894" s="3" t="s">
        <v>2379</v>
      </c>
      <c r="P1894" s="3"/>
    </row>
    <row r="1895" spans="1:16" x14ac:dyDescent="0.25">
      <c r="A1895" s="3" t="s">
        <v>473</v>
      </c>
      <c r="B1895">
        <v>28.975000000000001</v>
      </c>
      <c r="C1895" t="str" cm="1">
        <f t="array" ref="C1895">_xlfn.IFS(B1895&lt;=18.5,  "Underweight",B1895&lt;=24.9,"Normal weight",B1895&lt;=29.9, "Over weight",B1895&gt;=30,"Obesity")</f>
        <v>Over weight</v>
      </c>
      <c r="D1895">
        <v>4.12</v>
      </c>
      <c r="E1895" t="str" cm="1">
        <f t="array" ref="E1895">_xlfn.IFS(D1895&lt;5.7,"Normal",D1895&lt;=6.4,"Prediabetes",D1895&gt;=6.5,"Diabetes")</f>
        <v>Normal</v>
      </c>
      <c r="F1895" s="3" t="s">
        <v>2379</v>
      </c>
      <c r="G1895" s="3" t="s">
        <v>2379</v>
      </c>
      <c r="H1895" s="3" t="s">
        <v>2382</v>
      </c>
      <c r="I1895" s="1">
        <v>1</v>
      </c>
      <c r="J1895">
        <v>1</v>
      </c>
      <c r="K1895" s="3" t="s">
        <v>2379</v>
      </c>
      <c r="P1895" s="3"/>
    </row>
    <row r="1896" spans="1:16" x14ac:dyDescent="0.25">
      <c r="A1896" s="3" t="s">
        <v>472</v>
      </c>
      <c r="B1896">
        <v>16.420000000000002</v>
      </c>
      <c r="C1896" t="str" cm="1">
        <f t="array" ref="C1896">_xlfn.IFS(B1896&lt;=18.5,  "Underweight",B1896&lt;=24.9,"Normal weight",B1896&lt;=29.9, "Over weight",B1896&gt;=30,"Obesity")</f>
        <v>Underweight</v>
      </c>
      <c r="D1896">
        <v>5.77</v>
      </c>
      <c r="E1896" t="str" cm="1">
        <f t="array" ref="E1896">_xlfn.IFS(D1896&lt;5.7,"Normal",D1896&lt;=6.4,"Prediabetes",D1896&gt;=6.5,"Diabetes")</f>
        <v>Prediabetes</v>
      </c>
      <c r="F1896" s="3" t="s">
        <v>2382</v>
      </c>
      <c r="G1896" s="3" t="s">
        <v>2379</v>
      </c>
      <c r="H1896" s="3" t="s">
        <v>2382</v>
      </c>
      <c r="I1896" s="1">
        <v>1</v>
      </c>
      <c r="J1896">
        <v>1</v>
      </c>
      <c r="K1896" s="3" t="s">
        <v>2379</v>
      </c>
      <c r="P1896" s="3"/>
    </row>
    <row r="1897" spans="1:16" x14ac:dyDescent="0.25">
      <c r="A1897" s="3" t="s">
        <v>471</v>
      </c>
      <c r="B1897">
        <v>17.559999999999999</v>
      </c>
      <c r="C1897" t="str" cm="1">
        <f t="array" ref="C1897">_xlfn.IFS(B1897&lt;=18.5,  "Underweight",B1897&lt;=24.9,"Normal weight",B1897&lt;=29.9, "Over weight",B1897&gt;=30,"Obesity")</f>
        <v>Underweight</v>
      </c>
      <c r="D1897">
        <v>6.2</v>
      </c>
      <c r="E1897" t="str" cm="1">
        <f t="array" ref="E1897">_xlfn.IFS(D1897&lt;5.7,"Normal",D1897&lt;=6.4,"Prediabetes",D1897&gt;=6.5,"Diabetes")</f>
        <v>Prediabetes</v>
      </c>
      <c r="F1897" s="3" t="s">
        <v>2379</v>
      </c>
      <c r="G1897" s="3" t="s">
        <v>2379</v>
      </c>
      <c r="H1897" s="3" t="s">
        <v>2379</v>
      </c>
      <c r="I1897" s="1">
        <v>1</v>
      </c>
      <c r="J1897">
        <v>1</v>
      </c>
      <c r="K1897" s="3" t="s">
        <v>2379</v>
      </c>
      <c r="P1897" s="3"/>
    </row>
    <row r="1898" spans="1:16" x14ac:dyDescent="0.25">
      <c r="A1898" s="3" t="s">
        <v>470</v>
      </c>
      <c r="B1898">
        <v>24.13</v>
      </c>
      <c r="C1898" t="str" cm="1">
        <f t="array" ref="C1898">_xlfn.IFS(B1898&lt;=18.5,  "Underweight",B1898&lt;=24.9,"Normal weight",B1898&lt;=29.9, "Over weight",B1898&gt;=30,"Obesity")</f>
        <v>Normal weight</v>
      </c>
      <c r="D1898">
        <v>4.3899999999999997</v>
      </c>
      <c r="E1898" t="str" cm="1">
        <f t="array" ref="E1898">_xlfn.IFS(D1898&lt;5.7,"Normal",D1898&lt;=6.4,"Prediabetes",D1898&gt;=6.5,"Diabetes")</f>
        <v>Normal</v>
      </c>
      <c r="F1898" s="3" t="s">
        <v>2379</v>
      </c>
      <c r="G1898" s="3" t="s">
        <v>2379</v>
      </c>
      <c r="H1898" s="3" t="s">
        <v>2379</v>
      </c>
      <c r="I1898" s="1">
        <v>1</v>
      </c>
      <c r="J1898">
        <v>1</v>
      </c>
      <c r="K1898" s="3" t="s">
        <v>2379</v>
      </c>
      <c r="P1898" s="3"/>
    </row>
    <row r="1899" spans="1:16" x14ac:dyDescent="0.25">
      <c r="A1899" s="3" t="s">
        <v>469</v>
      </c>
      <c r="B1899">
        <v>19.95</v>
      </c>
      <c r="C1899" t="str" cm="1">
        <f t="array" ref="C1899">_xlfn.IFS(B1899&lt;=18.5,  "Underweight",B1899&lt;=24.9,"Normal weight",B1899&lt;=29.9, "Over weight",B1899&gt;=30,"Obesity")</f>
        <v>Normal weight</v>
      </c>
      <c r="D1899">
        <v>5.13</v>
      </c>
      <c r="E1899" t="str" cm="1">
        <f t="array" ref="E1899">_xlfn.IFS(D1899&lt;5.7,"Normal",D1899&lt;=6.4,"Prediabetes",D1899&gt;=6.5,"Diabetes")</f>
        <v>Normal</v>
      </c>
      <c r="F1899" s="3" t="s">
        <v>2379</v>
      </c>
      <c r="G1899" s="3" t="s">
        <v>2381</v>
      </c>
      <c r="H1899" s="3" t="s">
        <v>2379</v>
      </c>
      <c r="I1899" s="1">
        <v>2</v>
      </c>
      <c r="J1899">
        <v>2</v>
      </c>
      <c r="K1899" s="3" t="s">
        <v>2379</v>
      </c>
      <c r="P1899" s="3"/>
    </row>
    <row r="1900" spans="1:16" x14ac:dyDescent="0.25">
      <c r="A1900" s="3" t="s">
        <v>468</v>
      </c>
      <c r="B1900">
        <v>21.24</v>
      </c>
      <c r="C1900" t="str" cm="1">
        <f t="array" ref="C1900">_xlfn.IFS(B1900&lt;=18.5,  "Underweight",B1900&lt;=24.9,"Normal weight",B1900&lt;=29.9, "Over weight",B1900&gt;=30,"Obesity")</f>
        <v>Normal weight</v>
      </c>
      <c r="D1900">
        <v>4.49</v>
      </c>
      <c r="E1900" t="str" cm="1">
        <f t="array" ref="E1900">_xlfn.IFS(D1900&lt;5.7,"Normal",D1900&lt;=6.4,"Prediabetes",D1900&gt;=6.5,"Diabetes")</f>
        <v>Normal</v>
      </c>
      <c r="F1900" s="3" t="s">
        <v>2379</v>
      </c>
      <c r="G1900" s="3" t="s">
        <v>2379</v>
      </c>
      <c r="H1900" s="3" t="s">
        <v>2379</v>
      </c>
      <c r="I1900" s="1" t="s">
        <v>2380</v>
      </c>
      <c r="J1900">
        <v>0</v>
      </c>
      <c r="K1900" s="3" t="s">
        <v>2379</v>
      </c>
      <c r="P1900" s="3"/>
    </row>
    <row r="1901" spans="1:16" x14ac:dyDescent="0.25">
      <c r="A1901" s="3" t="s">
        <v>467</v>
      </c>
      <c r="B1901">
        <v>44.22</v>
      </c>
      <c r="C1901" t="str" cm="1">
        <f t="array" ref="C1901">_xlfn.IFS(B1901&lt;=18.5,  "Underweight",B1901&lt;=24.9,"Normal weight",B1901&lt;=29.9, "Over weight",B1901&gt;=30,"Obesity")</f>
        <v>Obesity</v>
      </c>
      <c r="D1901">
        <v>6.35</v>
      </c>
      <c r="E1901" t="str" cm="1">
        <f t="array" ref="E1901">_xlfn.IFS(D1901&lt;5.7,"Normal",D1901&lt;=6.4,"Prediabetes",D1901&gt;=6.5,"Diabetes")</f>
        <v>Prediabetes</v>
      </c>
      <c r="F1901" s="3" t="s">
        <v>2379</v>
      </c>
      <c r="G1901" s="3" t="s">
        <v>2379</v>
      </c>
      <c r="H1901" s="3" t="s">
        <v>2379</v>
      </c>
      <c r="I1901" s="1" t="s">
        <v>2380</v>
      </c>
      <c r="J1901">
        <v>0</v>
      </c>
      <c r="K1901" s="3" t="s">
        <v>2379</v>
      </c>
      <c r="P1901" s="3"/>
    </row>
    <row r="1902" spans="1:16" x14ac:dyDescent="0.25">
      <c r="A1902" s="3" t="s">
        <v>466</v>
      </c>
      <c r="B1902">
        <v>41.1</v>
      </c>
      <c r="C1902" t="str" cm="1">
        <f t="array" ref="C1902">_xlfn.IFS(B1902&lt;=18.5,  "Underweight",B1902&lt;=24.9,"Normal weight",B1902&lt;=29.9, "Over weight",B1902&gt;=30,"Obesity")</f>
        <v>Obesity</v>
      </c>
      <c r="D1902">
        <v>5.79</v>
      </c>
      <c r="E1902" t="str" cm="1">
        <f t="array" ref="E1902">_xlfn.IFS(D1902&lt;5.7,"Normal",D1902&lt;=6.4,"Prediabetes",D1902&gt;=6.5,"Diabetes")</f>
        <v>Prediabetes</v>
      </c>
      <c r="F1902" s="3" t="s">
        <v>2379</v>
      </c>
      <c r="G1902" s="3" t="s">
        <v>2379</v>
      </c>
      <c r="H1902" s="3" t="s">
        <v>2379</v>
      </c>
      <c r="I1902" s="1" t="s">
        <v>2380</v>
      </c>
      <c r="J1902">
        <v>0</v>
      </c>
      <c r="K1902" s="3" t="s">
        <v>2379</v>
      </c>
      <c r="P1902" s="3"/>
    </row>
    <row r="1903" spans="1:16" x14ac:dyDescent="0.25">
      <c r="A1903" s="3" t="s">
        <v>465</v>
      </c>
      <c r="B1903">
        <v>34.200000000000003</v>
      </c>
      <c r="C1903" t="str" cm="1">
        <f t="array" ref="C1903">_xlfn.IFS(B1903&lt;=18.5,  "Underweight",B1903&lt;=24.9,"Normal weight",B1903&lt;=29.9, "Over weight",B1903&gt;=30,"Obesity")</f>
        <v>Obesity</v>
      </c>
      <c r="D1903">
        <v>4.78</v>
      </c>
      <c r="E1903" t="str" cm="1">
        <f t="array" ref="E1903">_xlfn.IFS(D1903&lt;5.7,"Normal",D1903&lt;=6.4,"Prediabetes",D1903&gt;=6.5,"Diabetes")</f>
        <v>Normal</v>
      </c>
      <c r="F1903" s="3" t="s">
        <v>2382</v>
      </c>
      <c r="G1903" s="3" t="s">
        <v>2379</v>
      </c>
      <c r="H1903" s="3" t="s">
        <v>2379</v>
      </c>
      <c r="I1903" s="1" t="s">
        <v>2380</v>
      </c>
      <c r="J1903">
        <v>0</v>
      </c>
      <c r="K1903" s="3" t="s">
        <v>2379</v>
      </c>
      <c r="P1903" s="3"/>
    </row>
    <row r="1904" spans="1:16" x14ac:dyDescent="0.25">
      <c r="A1904" s="3" t="s">
        <v>464</v>
      </c>
      <c r="B1904">
        <v>29.92</v>
      </c>
      <c r="C1904" t="e" cm="1">
        <f t="array" ref="C1904">_xlfn.IFS(B1904&lt;=18.5,  "Underweight",B1904&lt;=24.9,"Normal weight",B1904&lt;=29.9, "Over weight",B1904&gt;=30,"Obesity")</f>
        <v>#N/A</v>
      </c>
      <c r="D1904">
        <v>6.02</v>
      </c>
      <c r="E1904" t="str" cm="1">
        <f t="array" ref="E1904">_xlfn.IFS(D1904&lt;5.7,"Normal",D1904&lt;=6.4,"Prediabetes",D1904&gt;=6.5,"Diabetes")</f>
        <v>Prediabetes</v>
      </c>
      <c r="F1904" s="3" t="s">
        <v>2382</v>
      </c>
      <c r="G1904" s="3" t="s">
        <v>2379</v>
      </c>
      <c r="H1904" s="3" t="s">
        <v>2379</v>
      </c>
      <c r="I1904" s="1" t="s">
        <v>2380</v>
      </c>
      <c r="J1904">
        <v>0</v>
      </c>
      <c r="K1904" s="3" t="s">
        <v>2379</v>
      </c>
      <c r="P1904" s="3"/>
    </row>
    <row r="1905" spans="1:16" x14ac:dyDescent="0.25">
      <c r="A1905" s="3" t="s">
        <v>463</v>
      </c>
      <c r="B1905">
        <v>28.93</v>
      </c>
      <c r="C1905" t="str" cm="1">
        <f t="array" ref="C1905">_xlfn.IFS(B1905&lt;=18.5,  "Underweight",B1905&lt;=24.9,"Normal weight",B1905&lt;=29.9, "Over weight",B1905&gt;=30,"Obesity")</f>
        <v>Over weight</v>
      </c>
      <c r="D1905">
        <v>4.4400000000000004</v>
      </c>
      <c r="E1905" t="str" cm="1">
        <f t="array" ref="E1905">_xlfn.IFS(D1905&lt;5.7,"Normal",D1905&lt;=6.4,"Prediabetes",D1905&gt;=6.5,"Diabetes")</f>
        <v>Normal</v>
      </c>
      <c r="F1905" s="3" t="s">
        <v>2379</v>
      </c>
      <c r="G1905" s="3" t="s">
        <v>2379</v>
      </c>
      <c r="H1905" s="3" t="s">
        <v>2379</v>
      </c>
      <c r="I1905" s="1" t="s">
        <v>2380</v>
      </c>
      <c r="J1905">
        <v>0</v>
      </c>
      <c r="K1905" s="3" t="s">
        <v>2379</v>
      </c>
      <c r="P1905" s="3"/>
    </row>
    <row r="1906" spans="1:16" x14ac:dyDescent="0.25">
      <c r="A1906" s="3" t="s">
        <v>462</v>
      </c>
      <c r="B1906">
        <v>31.254999999999999</v>
      </c>
      <c r="C1906" t="str" cm="1">
        <f t="array" ref="C1906">_xlfn.IFS(B1906&lt;=18.5,  "Underweight",B1906&lt;=24.9,"Normal weight",B1906&lt;=29.9, "Over weight",B1906&gt;=30,"Obesity")</f>
        <v>Obesity</v>
      </c>
      <c r="D1906">
        <v>5.84</v>
      </c>
      <c r="E1906" t="str" cm="1">
        <f t="array" ref="E1906">_xlfn.IFS(D1906&lt;5.7,"Normal",D1906&lt;=6.4,"Prediabetes",D1906&gt;=6.5,"Diabetes")</f>
        <v>Prediabetes</v>
      </c>
      <c r="F1906" s="3" t="s">
        <v>2382</v>
      </c>
      <c r="G1906" s="3" t="s">
        <v>2379</v>
      </c>
      <c r="H1906" s="3" t="s">
        <v>2379</v>
      </c>
      <c r="I1906" s="1">
        <v>1</v>
      </c>
      <c r="J1906">
        <v>1</v>
      </c>
      <c r="K1906" s="3" t="s">
        <v>2379</v>
      </c>
      <c r="P1906" s="3"/>
    </row>
    <row r="1907" spans="1:16" x14ac:dyDescent="0.25">
      <c r="A1907" s="3" t="s">
        <v>461</v>
      </c>
      <c r="B1907">
        <v>29.83</v>
      </c>
      <c r="C1907" t="str" cm="1">
        <f t="array" ref="C1907">_xlfn.IFS(B1907&lt;=18.5,  "Underweight",B1907&lt;=24.9,"Normal weight",B1907&lt;=29.9, "Over weight",B1907&gt;=30,"Obesity")</f>
        <v>Over weight</v>
      </c>
      <c r="D1907">
        <v>5.39</v>
      </c>
      <c r="E1907" t="str" cm="1">
        <f t="array" ref="E1907">_xlfn.IFS(D1907&lt;5.7,"Normal",D1907&lt;=6.4,"Prediabetes",D1907&gt;=6.5,"Diabetes")</f>
        <v>Normal</v>
      </c>
      <c r="F1907" s="3" t="s">
        <v>2379</v>
      </c>
      <c r="G1907" s="3" t="s">
        <v>2379</v>
      </c>
      <c r="H1907" s="3" t="s">
        <v>2379</v>
      </c>
      <c r="I1907" s="1" t="s">
        <v>2380</v>
      </c>
      <c r="J1907">
        <v>0</v>
      </c>
      <c r="K1907" s="3" t="s">
        <v>2379</v>
      </c>
      <c r="P1907" s="3"/>
    </row>
    <row r="1908" spans="1:16" x14ac:dyDescent="0.25">
      <c r="A1908" s="3" t="s">
        <v>460</v>
      </c>
      <c r="B1908">
        <v>29.59</v>
      </c>
      <c r="C1908" t="str" cm="1">
        <f t="array" ref="C1908">_xlfn.IFS(B1908&lt;=18.5,  "Underweight",B1908&lt;=24.9,"Normal weight",B1908&lt;=29.9, "Over weight",B1908&gt;=30,"Obesity")</f>
        <v>Over weight</v>
      </c>
      <c r="D1908">
        <v>6.16</v>
      </c>
      <c r="E1908" t="str" cm="1">
        <f t="array" ref="E1908">_xlfn.IFS(D1908&lt;5.7,"Normal",D1908&lt;=6.4,"Prediabetes",D1908&gt;=6.5,"Diabetes")</f>
        <v>Prediabetes</v>
      </c>
      <c r="F1908" s="3" t="s">
        <v>2379</v>
      </c>
      <c r="G1908" s="3" t="s">
        <v>2379</v>
      </c>
      <c r="H1908" s="3" t="s">
        <v>2382</v>
      </c>
      <c r="I1908" s="1">
        <v>1</v>
      </c>
      <c r="J1908">
        <v>1</v>
      </c>
      <c r="K1908" s="3" t="s">
        <v>2379</v>
      </c>
      <c r="P1908" s="3"/>
    </row>
    <row r="1909" spans="1:16" x14ac:dyDescent="0.25">
      <c r="A1909" s="3" t="s">
        <v>459</v>
      </c>
      <c r="B1909">
        <v>31.16</v>
      </c>
      <c r="C1909" t="str" cm="1">
        <f t="array" ref="C1909">_xlfn.IFS(B1909&lt;=18.5,  "Underweight",B1909&lt;=24.9,"Normal weight",B1909&lt;=29.9, "Over weight",B1909&gt;=30,"Obesity")</f>
        <v>Obesity</v>
      </c>
      <c r="D1909">
        <v>4.49</v>
      </c>
      <c r="E1909" t="str" cm="1">
        <f t="array" ref="E1909">_xlfn.IFS(D1909&lt;5.7,"Normal",D1909&lt;=6.4,"Prediabetes",D1909&gt;=6.5,"Diabetes")</f>
        <v>Normal</v>
      </c>
      <c r="F1909" s="3" t="s">
        <v>2379</v>
      </c>
      <c r="G1909" s="3" t="s">
        <v>2379</v>
      </c>
      <c r="H1909" s="3" t="s">
        <v>2382</v>
      </c>
      <c r="I1909" s="1">
        <v>1</v>
      </c>
      <c r="J1909">
        <v>1</v>
      </c>
      <c r="K1909" s="3" t="s">
        <v>2379</v>
      </c>
      <c r="P1909" s="3"/>
    </row>
    <row r="1910" spans="1:16" x14ac:dyDescent="0.25">
      <c r="A1910" s="3" t="s">
        <v>458</v>
      </c>
      <c r="B1910">
        <v>34.21</v>
      </c>
      <c r="C1910" t="str" cm="1">
        <f t="array" ref="C1910">_xlfn.IFS(B1910&lt;=18.5,  "Underweight",B1910&lt;=24.9,"Normal weight",B1910&lt;=29.9, "Over weight",B1910&gt;=30,"Obesity")</f>
        <v>Obesity</v>
      </c>
      <c r="D1910">
        <v>4.4800000000000004</v>
      </c>
      <c r="E1910" t="str" cm="1">
        <f t="array" ref="E1910">_xlfn.IFS(D1910&lt;5.7,"Normal",D1910&lt;=6.4,"Prediabetes",D1910&gt;=6.5,"Diabetes")</f>
        <v>Normal</v>
      </c>
      <c r="F1910" s="3" t="s">
        <v>2382</v>
      </c>
      <c r="G1910" s="3" t="s">
        <v>2379</v>
      </c>
      <c r="H1910" s="3" t="s">
        <v>2379</v>
      </c>
      <c r="I1910" s="1">
        <v>1</v>
      </c>
      <c r="J1910">
        <v>1</v>
      </c>
      <c r="K1910" s="3" t="s">
        <v>2379</v>
      </c>
      <c r="P1910" s="3"/>
    </row>
    <row r="1911" spans="1:16" x14ac:dyDescent="0.25">
      <c r="A1911" s="3" t="s">
        <v>457</v>
      </c>
      <c r="B1911">
        <v>34.86</v>
      </c>
      <c r="C1911" t="str" cm="1">
        <f t="array" ref="C1911">_xlfn.IFS(B1911&lt;=18.5,  "Underweight",B1911&lt;=24.9,"Normal weight",B1911&lt;=29.9, "Over weight",B1911&gt;=30,"Obesity")</f>
        <v>Obesity</v>
      </c>
      <c r="D1911">
        <v>10.97</v>
      </c>
      <c r="E1911" t="str" cm="1">
        <f t="array" ref="E1911">_xlfn.IFS(D1911&lt;5.7,"Normal",D1911&lt;=6.4,"Prediabetes",D1911&gt;=6.5,"Diabetes")</f>
        <v>Diabetes</v>
      </c>
      <c r="F1911" s="3" t="s">
        <v>2379</v>
      </c>
      <c r="G1911" s="3" t="s">
        <v>2379</v>
      </c>
      <c r="H1911" s="3" t="s">
        <v>2379</v>
      </c>
      <c r="I1911" s="1" t="s">
        <v>2380</v>
      </c>
      <c r="J1911">
        <v>0</v>
      </c>
      <c r="K1911" s="3" t="s">
        <v>2379</v>
      </c>
      <c r="P1911" s="3"/>
    </row>
    <row r="1912" spans="1:16" x14ac:dyDescent="0.25">
      <c r="A1912" s="3" t="s">
        <v>456</v>
      </c>
      <c r="B1912">
        <v>34.58</v>
      </c>
      <c r="C1912" t="str" cm="1">
        <f t="array" ref="C1912">_xlfn.IFS(B1912&lt;=18.5,  "Underweight",B1912&lt;=24.9,"Normal weight",B1912&lt;=29.9, "Over weight",B1912&gt;=30,"Obesity")</f>
        <v>Obesity</v>
      </c>
      <c r="D1912">
        <v>5.14</v>
      </c>
      <c r="E1912" t="str" cm="1">
        <f t="array" ref="E1912">_xlfn.IFS(D1912&lt;5.7,"Normal",D1912&lt;=6.4,"Prediabetes",D1912&gt;=6.5,"Diabetes")</f>
        <v>Normal</v>
      </c>
      <c r="F1912" s="3" t="s">
        <v>2379</v>
      </c>
      <c r="G1912" s="3" t="s">
        <v>2381</v>
      </c>
      <c r="H1912" s="3" t="s">
        <v>2379</v>
      </c>
      <c r="I1912" s="1">
        <v>2</v>
      </c>
      <c r="J1912">
        <v>2</v>
      </c>
      <c r="K1912" s="3" t="s">
        <v>2379</v>
      </c>
      <c r="P1912" s="3"/>
    </row>
    <row r="1913" spans="1:16" x14ac:dyDescent="0.25">
      <c r="A1913" s="3" t="s">
        <v>455</v>
      </c>
      <c r="B1913">
        <v>17.940000000000001</v>
      </c>
      <c r="C1913" t="str" cm="1">
        <f t="array" ref="C1913">_xlfn.IFS(B1913&lt;=18.5,  "Underweight",B1913&lt;=24.9,"Normal weight",B1913&lt;=29.9, "Over weight",B1913&gt;=30,"Obesity")</f>
        <v>Underweight</v>
      </c>
      <c r="D1913">
        <v>5.17</v>
      </c>
      <c r="E1913" t="str" cm="1">
        <f t="array" ref="E1913">_xlfn.IFS(D1913&lt;5.7,"Normal",D1913&lt;=6.4,"Prediabetes",D1913&gt;=6.5,"Diabetes")</f>
        <v>Normal</v>
      </c>
      <c r="F1913" s="3" t="s">
        <v>2382</v>
      </c>
      <c r="G1913" s="3" t="s">
        <v>2379</v>
      </c>
      <c r="H1913" s="3" t="s">
        <v>2379</v>
      </c>
      <c r="I1913" s="1" t="s">
        <v>2380</v>
      </c>
      <c r="J1913">
        <v>0</v>
      </c>
      <c r="K1913" s="3" t="s">
        <v>2379</v>
      </c>
      <c r="P1913" s="3"/>
    </row>
    <row r="1914" spans="1:16" x14ac:dyDescent="0.25">
      <c r="A1914" s="3" t="s">
        <v>454</v>
      </c>
      <c r="B1914">
        <v>26.8</v>
      </c>
      <c r="C1914" t="str" cm="1">
        <f t="array" ref="C1914">_xlfn.IFS(B1914&lt;=18.5,  "Underweight",B1914&lt;=24.9,"Normal weight",B1914&lt;=29.9, "Over weight",B1914&gt;=30,"Obesity")</f>
        <v>Over weight</v>
      </c>
      <c r="D1914">
        <v>6.18</v>
      </c>
      <c r="E1914" t="str" cm="1">
        <f t="array" ref="E1914">_xlfn.IFS(D1914&lt;5.7,"Normal",D1914&lt;=6.4,"Prediabetes",D1914&gt;=6.5,"Diabetes")</f>
        <v>Prediabetes</v>
      </c>
      <c r="F1914" s="3" t="s">
        <v>2382</v>
      </c>
      <c r="G1914" s="3" t="s">
        <v>2379</v>
      </c>
      <c r="H1914" s="3" t="s">
        <v>2382</v>
      </c>
      <c r="I1914" s="1">
        <v>1</v>
      </c>
      <c r="J1914">
        <v>1</v>
      </c>
      <c r="K1914" s="3" t="s">
        <v>2379</v>
      </c>
      <c r="P1914" s="3"/>
    </row>
    <row r="1915" spans="1:16" x14ac:dyDescent="0.25">
      <c r="A1915" s="3" t="s">
        <v>453</v>
      </c>
      <c r="B1915">
        <v>17.690000000000001</v>
      </c>
      <c r="C1915" t="str" cm="1">
        <f t="array" ref="C1915">_xlfn.IFS(B1915&lt;=18.5,  "Underweight",B1915&lt;=24.9,"Normal weight",B1915&lt;=29.9, "Over weight",B1915&gt;=30,"Obesity")</f>
        <v>Underweight</v>
      </c>
      <c r="D1915">
        <v>9.07</v>
      </c>
      <c r="E1915" t="str" cm="1">
        <f t="array" ref="E1915">_xlfn.IFS(D1915&lt;5.7,"Normal",D1915&lt;=6.4,"Prediabetes",D1915&gt;=6.5,"Diabetes")</f>
        <v>Diabetes</v>
      </c>
      <c r="F1915" s="3" t="s">
        <v>2382</v>
      </c>
      <c r="G1915" s="3" t="s">
        <v>2379</v>
      </c>
      <c r="H1915" s="3" t="s">
        <v>2379</v>
      </c>
      <c r="I1915" s="1" t="s">
        <v>2380</v>
      </c>
      <c r="J1915">
        <v>0</v>
      </c>
      <c r="K1915" s="3" t="s">
        <v>2379</v>
      </c>
      <c r="P1915" s="3"/>
    </row>
    <row r="1916" spans="1:16" x14ac:dyDescent="0.25">
      <c r="A1916" s="3" t="s">
        <v>452</v>
      </c>
      <c r="B1916">
        <v>25.77</v>
      </c>
      <c r="C1916" t="str" cm="1">
        <f t="array" ref="C1916">_xlfn.IFS(B1916&lt;=18.5,  "Underweight",B1916&lt;=24.9,"Normal weight",B1916&lt;=29.9, "Over weight",B1916&gt;=30,"Obesity")</f>
        <v>Over weight</v>
      </c>
      <c r="D1916">
        <v>4.43</v>
      </c>
      <c r="E1916" t="str" cm="1">
        <f t="array" ref="E1916">_xlfn.IFS(D1916&lt;5.7,"Normal",D1916&lt;=6.4,"Prediabetes",D1916&gt;=6.5,"Diabetes")</f>
        <v>Normal</v>
      </c>
      <c r="F1916" s="3" t="s">
        <v>2379</v>
      </c>
      <c r="G1916" s="3" t="s">
        <v>2379</v>
      </c>
      <c r="H1916" s="3" t="s">
        <v>2382</v>
      </c>
      <c r="I1916" s="1">
        <v>1</v>
      </c>
      <c r="J1916">
        <v>1</v>
      </c>
      <c r="K1916" s="3" t="s">
        <v>2379</v>
      </c>
      <c r="P1916" s="3"/>
    </row>
    <row r="1917" spans="1:16" x14ac:dyDescent="0.25">
      <c r="A1917" s="3" t="s">
        <v>451</v>
      </c>
      <c r="B1917">
        <v>34.46</v>
      </c>
      <c r="C1917" t="str" cm="1">
        <f t="array" ref="C1917">_xlfn.IFS(B1917&lt;=18.5,  "Underweight",B1917&lt;=24.9,"Normal weight",B1917&lt;=29.9, "Over weight",B1917&gt;=30,"Obesity")</f>
        <v>Obesity</v>
      </c>
      <c r="D1917">
        <v>4.17</v>
      </c>
      <c r="E1917" t="str" cm="1">
        <f t="array" ref="E1917">_xlfn.IFS(D1917&lt;5.7,"Normal",D1917&lt;=6.4,"Prediabetes",D1917&gt;=6.5,"Diabetes")</f>
        <v>Normal</v>
      </c>
      <c r="F1917" s="3" t="s">
        <v>2379</v>
      </c>
      <c r="G1917" s="3" t="s">
        <v>2381</v>
      </c>
      <c r="H1917" s="3" t="s">
        <v>2379</v>
      </c>
      <c r="I1917" s="1">
        <v>1</v>
      </c>
      <c r="J1917">
        <v>1</v>
      </c>
      <c r="K1917" s="3" t="s">
        <v>2379</v>
      </c>
      <c r="P1917" s="3"/>
    </row>
    <row r="1918" spans="1:16" x14ac:dyDescent="0.25">
      <c r="A1918" s="3" t="s">
        <v>450</v>
      </c>
      <c r="B1918">
        <v>30.875</v>
      </c>
      <c r="C1918" t="str" cm="1">
        <f t="array" ref="C1918">_xlfn.IFS(B1918&lt;=18.5,  "Underweight",B1918&lt;=24.9,"Normal weight",B1918&lt;=29.9, "Over weight",B1918&gt;=30,"Obesity")</f>
        <v>Obesity</v>
      </c>
      <c r="D1918">
        <v>4.95</v>
      </c>
      <c r="E1918" t="str" cm="1">
        <f t="array" ref="E1918">_xlfn.IFS(D1918&lt;5.7,"Normal",D1918&lt;=6.4,"Prediabetes",D1918&gt;=6.5,"Diabetes")</f>
        <v>Normal</v>
      </c>
      <c r="F1918" s="3" t="s">
        <v>2382</v>
      </c>
      <c r="G1918" s="3" t="s">
        <v>2379</v>
      </c>
      <c r="H1918" s="3" t="s">
        <v>2379</v>
      </c>
      <c r="I1918" s="1" t="s">
        <v>2380</v>
      </c>
      <c r="J1918">
        <v>0</v>
      </c>
      <c r="K1918" s="3" t="s">
        <v>2379</v>
      </c>
      <c r="P1918" s="3"/>
    </row>
    <row r="1919" spans="1:16" x14ac:dyDescent="0.25">
      <c r="A1919" s="3" t="s">
        <v>449</v>
      </c>
      <c r="B1919">
        <v>39.49</v>
      </c>
      <c r="C1919" t="str" cm="1">
        <f t="array" ref="C1919">_xlfn.IFS(B1919&lt;=18.5,  "Underweight",B1919&lt;=24.9,"Normal weight",B1919&lt;=29.9, "Over weight",B1919&gt;=30,"Obesity")</f>
        <v>Obesity</v>
      </c>
      <c r="D1919">
        <v>5.13</v>
      </c>
      <c r="E1919" t="str" cm="1">
        <f t="array" ref="E1919">_xlfn.IFS(D1919&lt;5.7,"Normal",D1919&lt;=6.4,"Prediabetes",D1919&gt;=6.5,"Diabetes")</f>
        <v>Normal</v>
      </c>
      <c r="F1919" s="3" t="s">
        <v>2379</v>
      </c>
      <c r="G1919" s="3" t="s">
        <v>2379</v>
      </c>
      <c r="H1919" s="3" t="s">
        <v>2379</v>
      </c>
      <c r="I1919" s="1" t="s">
        <v>2380</v>
      </c>
      <c r="J1919">
        <v>0</v>
      </c>
      <c r="K1919" s="3" t="s">
        <v>2379</v>
      </c>
      <c r="P1919" s="3"/>
    </row>
    <row r="1920" spans="1:16" x14ac:dyDescent="0.25">
      <c r="A1920" s="3" t="s">
        <v>448</v>
      </c>
      <c r="B1920">
        <v>28.88</v>
      </c>
      <c r="C1920" t="str" cm="1">
        <f t="array" ref="C1920">_xlfn.IFS(B1920&lt;=18.5,  "Underweight",B1920&lt;=24.9,"Normal weight",B1920&lt;=29.9, "Over weight",B1920&gt;=30,"Obesity")</f>
        <v>Over weight</v>
      </c>
      <c r="D1920">
        <v>4.0999999999999996</v>
      </c>
      <c r="E1920" t="str" cm="1">
        <f t="array" ref="E1920">_xlfn.IFS(D1920&lt;5.7,"Normal",D1920&lt;=6.4,"Prediabetes",D1920&gt;=6.5,"Diabetes")</f>
        <v>Normal</v>
      </c>
      <c r="F1920" s="3" t="s">
        <v>2379</v>
      </c>
      <c r="G1920" s="3" t="s">
        <v>2379</v>
      </c>
      <c r="H1920" s="3" t="s">
        <v>2379</v>
      </c>
      <c r="I1920" s="1" t="s">
        <v>2380</v>
      </c>
      <c r="J1920">
        <v>0</v>
      </c>
      <c r="K1920" s="3" t="s">
        <v>2379</v>
      </c>
      <c r="P1920" s="3"/>
    </row>
    <row r="1921" spans="1:16" x14ac:dyDescent="0.25">
      <c r="A1921" s="3" t="s">
        <v>447</v>
      </c>
      <c r="B1921">
        <v>20.234999999999999</v>
      </c>
      <c r="C1921" t="str" cm="1">
        <f t="array" ref="C1921">_xlfn.IFS(B1921&lt;=18.5,  "Underweight",B1921&lt;=24.9,"Normal weight",B1921&lt;=29.9, "Over weight",B1921&gt;=30,"Obesity")</f>
        <v>Normal weight</v>
      </c>
      <c r="D1921">
        <v>5.01</v>
      </c>
      <c r="E1921" t="str" cm="1">
        <f t="array" ref="E1921">_xlfn.IFS(D1921&lt;5.7,"Normal",D1921&lt;=6.4,"Prediabetes",D1921&gt;=6.5,"Diabetes")</f>
        <v>Normal</v>
      </c>
      <c r="F1921" s="3" t="s">
        <v>2382</v>
      </c>
      <c r="G1921" s="3" t="s">
        <v>2379</v>
      </c>
      <c r="H1921" s="3" t="s">
        <v>2379</v>
      </c>
      <c r="I1921" s="1" t="s">
        <v>2380</v>
      </c>
      <c r="J1921">
        <v>0</v>
      </c>
      <c r="K1921" s="3" t="s">
        <v>2379</v>
      </c>
      <c r="P1921" s="3"/>
    </row>
    <row r="1922" spans="1:16" x14ac:dyDescent="0.25">
      <c r="A1922" s="3" t="s">
        <v>446</v>
      </c>
      <c r="B1922">
        <v>30.67</v>
      </c>
      <c r="C1922" t="str" cm="1">
        <f t="array" ref="C1922">_xlfn.IFS(B1922&lt;=18.5,  "Underweight",B1922&lt;=24.9,"Normal weight",B1922&lt;=29.9, "Over weight",B1922&gt;=30,"Obesity")</f>
        <v>Obesity</v>
      </c>
      <c r="D1922">
        <v>5.09</v>
      </c>
      <c r="E1922" t="str" cm="1">
        <f t="array" ref="E1922">_xlfn.IFS(D1922&lt;5.7,"Normal",D1922&lt;=6.4,"Prediabetes",D1922&gt;=6.5,"Diabetes")</f>
        <v>Normal</v>
      </c>
      <c r="F1922" s="3" t="s">
        <v>2382</v>
      </c>
      <c r="G1922" s="3" t="s">
        <v>2379</v>
      </c>
      <c r="H1922" s="3" t="s">
        <v>2379</v>
      </c>
      <c r="I1922" s="1" t="s">
        <v>2380</v>
      </c>
      <c r="J1922">
        <v>0</v>
      </c>
      <c r="K1922" s="3" t="s">
        <v>2379</v>
      </c>
      <c r="P1922" s="3"/>
    </row>
    <row r="1923" spans="1:16" x14ac:dyDescent="0.25">
      <c r="A1923" s="3" t="s">
        <v>445</v>
      </c>
      <c r="B1923">
        <v>30.875</v>
      </c>
      <c r="C1923" t="str" cm="1">
        <f t="array" ref="C1923">_xlfn.IFS(B1923&lt;=18.5,  "Underweight",B1923&lt;=24.9,"Normal weight",B1923&lt;=29.9, "Over weight",B1923&gt;=30,"Obesity")</f>
        <v>Obesity</v>
      </c>
      <c r="D1923">
        <v>6.49</v>
      </c>
      <c r="E1923" t="e" cm="1">
        <f t="array" ref="E1923">_xlfn.IFS(D1923&lt;5.7,"Normal",D1923&lt;=6.4,"Prediabetes",D1923&gt;=6.5,"Diabetes")</f>
        <v>#N/A</v>
      </c>
      <c r="F1923" s="3" t="s">
        <v>2379</v>
      </c>
      <c r="G1923" s="3" t="s">
        <v>2379</v>
      </c>
      <c r="H1923" s="3" t="s">
        <v>2379</v>
      </c>
      <c r="I1923" s="1" t="s">
        <v>2380</v>
      </c>
      <c r="J1923">
        <v>0</v>
      </c>
      <c r="K1923" s="3" t="s">
        <v>2379</v>
      </c>
      <c r="P1923" s="3"/>
    </row>
    <row r="1924" spans="1:16" x14ac:dyDescent="0.25">
      <c r="A1924" s="3" t="s">
        <v>444</v>
      </c>
      <c r="B1924">
        <v>23.8</v>
      </c>
      <c r="C1924" t="str" cm="1">
        <f t="array" ref="C1924">_xlfn.IFS(B1924&lt;=18.5,  "Underweight",B1924&lt;=24.9,"Normal weight",B1924&lt;=29.9, "Over weight",B1924&gt;=30,"Obesity")</f>
        <v>Normal weight</v>
      </c>
      <c r="D1924">
        <v>4.08</v>
      </c>
      <c r="E1924" t="str" cm="1">
        <f t="array" ref="E1924">_xlfn.IFS(D1924&lt;5.7,"Normal",D1924&lt;=6.4,"Prediabetes",D1924&gt;=6.5,"Diabetes")</f>
        <v>Normal</v>
      </c>
      <c r="F1924" s="3" t="s">
        <v>2379</v>
      </c>
      <c r="G1924" s="3" t="s">
        <v>2379</v>
      </c>
      <c r="H1924" s="3" t="s">
        <v>2379</v>
      </c>
      <c r="I1924" s="1" t="s">
        <v>2380</v>
      </c>
      <c r="J1924">
        <v>0</v>
      </c>
      <c r="K1924" s="3" t="s">
        <v>2379</v>
      </c>
      <c r="P1924" s="3"/>
    </row>
    <row r="1925" spans="1:16" x14ac:dyDescent="0.25">
      <c r="A1925" s="3" t="s">
        <v>443</v>
      </c>
      <c r="B1925">
        <v>15.37</v>
      </c>
      <c r="C1925" t="str" cm="1">
        <f t="array" ref="C1925">_xlfn.IFS(B1925&lt;=18.5,  "Underweight",B1925&lt;=24.9,"Normal weight",B1925&lt;=29.9, "Over weight",B1925&gt;=30,"Obesity")</f>
        <v>Underweight</v>
      </c>
      <c r="D1925">
        <v>8.6300000000000008</v>
      </c>
      <c r="E1925" t="str" cm="1">
        <f t="array" ref="E1925">_xlfn.IFS(D1925&lt;5.7,"Normal",D1925&lt;=6.4,"Prediabetes",D1925&gt;=6.5,"Diabetes")</f>
        <v>Diabetes</v>
      </c>
      <c r="F1925" s="3" t="s">
        <v>2382</v>
      </c>
      <c r="G1925" s="3" t="s">
        <v>2379</v>
      </c>
      <c r="H1925" s="3" t="s">
        <v>2379</v>
      </c>
      <c r="I1925" s="1" t="s">
        <v>2380</v>
      </c>
      <c r="J1925">
        <v>0</v>
      </c>
      <c r="K1925" s="3" t="s">
        <v>2379</v>
      </c>
      <c r="P1925" s="3"/>
    </row>
    <row r="1926" spans="1:16" x14ac:dyDescent="0.25">
      <c r="A1926" s="3" t="s">
        <v>442</v>
      </c>
      <c r="B1926">
        <v>30.4</v>
      </c>
      <c r="C1926" t="str" cm="1">
        <f t="array" ref="C1926">_xlfn.IFS(B1926&lt;=18.5,  "Underweight",B1926&lt;=24.9,"Normal weight",B1926&lt;=29.9, "Over weight",B1926&gt;=30,"Obesity")</f>
        <v>Obesity</v>
      </c>
      <c r="D1926">
        <v>5.28</v>
      </c>
      <c r="E1926" t="str" cm="1">
        <f t="array" ref="E1926">_xlfn.IFS(D1926&lt;5.7,"Normal",D1926&lt;=6.4,"Prediabetes",D1926&gt;=6.5,"Diabetes")</f>
        <v>Normal</v>
      </c>
      <c r="F1926" s="3" t="s">
        <v>2379</v>
      </c>
      <c r="G1926" s="3" t="s">
        <v>2379</v>
      </c>
      <c r="H1926" s="3" t="s">
        <v>2379</v>
      </c>
      <c r="I1926" s="1" t="s">
        <v>2380</v>
      </c>
      <c r="J1926">
        <v>0</v>
      </c>
      <c r="K1926" s="3" t="s">
        <v>2379</v>
      </c>
      <c r="P1926" s="3"/>
    </row>
    <row r="1927" spans="1:16" x14ac:dyDescent="0.25">
      <c r="A1927" s="3" t="s">
        <v>441</v>
      </c>
      <c r="B1927">
        <v>19.48</v>
      </c>
      <c r="C1927" t="str" cm="1">
        <f t="array" ref="C1927">_xlfn.IFS(B1927&lt;=18.5,  "Underweight",B1927&lt;=24.9,"Normal weight",B1927&lt;=29.9, "Over weight",B1927&gt;=30,"Obesity")</f>
        <v>Normal weight</v>
      </c>
      <c r="D1927">
        <v>5.63</v>
      </c>
      <c r="E1927" t="str" cm="1">
        <f t="array" ref="E1927">_xlfn.IFS(D1927&lt;5.7,"Normal",D1927&lt;=6.4,"Prediabetes",D1927&gt;=6.5,"Diabetes")</f>
        <v>Normal</v>
      </c>
      <c r="F1927" s="3" t="s">
        <v>2382</v>
      </c>
      <c r="G1927" s="3" t="s">
        <v>2379</v>
      </c>
      <c r="H1927" s="3" t="s">
        <v>2379</v>
      </c>
      <c r="I1927" s="1">
        <v>1</v>
      </c>
      <c r="J1927">
        <v>1</v>
      </c>
      <c r="K1927" s="3" t="s">
        <v>2379</v>
      </c>
      <c r="P1927" s="3"/>
    </row>
    <row r="1928" spans="1:16" x14ac:dyDescent="0.25">
      <c r="A1928" s="3" t="s">
        <v>440</v>
      </c>
      <c r="B1928">
        <v>16.96</v>
      </c>
      <c r="C1928" t="str" cm="1">
        <f t="array" ref="C1928">_xlfn.IFS(B1928&lt;=18.5,  "Underweight",B1928&lt;=24.9,"Normal weight",B1928&lt;=29.9, "Over weight",B1928&gt;=30,"Obesity")</f>
        <v>Underweight</v>
      </c>
      <c r="D1928">
        <v>11.47</v>
      </c>
      <c r="E1928" t="str" cm="1">
        <f t="array" ref="E1928">_xlfn.IFS(D1928&lt;5.7,"Normal",D1928&lt;=6.4,"Prediabetes",D1928&gt;=6.5,"Diabetes")</f>
        <v>Diabetes</v>
      </c>
      <c r="F1928" s="3" t="s">
        <v>2382</v>
      </c>
      <c r="G1928" s="3" t="s">
        <v>2379</v>
      </c>
      <c r="H1928" s="3" t="s">
        <v>2379</v>
      </c>
      <c r="I1928" s="1" t="s">
        <v>2380</v>
      </c>
      <c r="J1928">
        <v>0</v>
      </c>
      <c r="K1928" s="3" t="s">
        <v>2379</v>
      </c>
      <c r="P1928" s="3"/>
    </row>
    <row r="1929" spans="1:16" x14ac:dyDescent="0.25">
      <c r="A1929" s="3" t="s">
        <v>439</v>
      </c>
      <c r="B1929">
        <v>19.05</v>
      </c>
      <c r="C1929" t="str" cm="1">
        <f t="array" ref="C1929">_xlfn.IFS(B1929&lt;=18.5,  "Underweight",B1929&lt;=24.9,"Normal weight",B1929&lt;=29.9, "Over weight",B1929&gt;=30,"Obesity")</f>
        <v>Normal weight</v>
      </c>
      <c r="D1929">
        <v>4.92</v>
      </c>
      <c r="E1929" t="str" cm="1">
        <f t="array" ref="E1929">_xlfn.IFS(D1929&lt;5.7,"Normal",D1929&lt;=6.4,"Prediabetes",D1929&gt;=6.5,"Diabetes")</f>
        <v>Normal</v>
      </c>
      <c r="F1929" s="3" t="s">
        <v>2379</v>
      </c>
      <c r="G1929" s="3" t="s">
        <v>2379</v>
      </c>
      <c r="H1929" s="3" t="s">
        <v>2379</v>
      </c>
      <c r="I1929" s="1">
        <v>1</v>
      </c>
      <c r="J1929">
        <v>1</v>
      </c>
      <c r="K1929" s="3" t="s">
        <v>2379</v>
      </c>
      <c r="P1929" s="3"/>
    </row>
    <row r="1930" spans="1:16" x14ac:dyDescent="0.25">
      <c r="A1930" s="3" t="s">
        <v>438</v>
      </c>
      <c r="B1930">
        <v>37.619999999999997</v>
      </c>
      <c r="C1930" t="str" cm="1">
        <f t="array" ref="C1930">_xlfn.IFS(B1930&lt;=18.5,  "Underweight",B1930&lt;=24.9,"Normal weight",B1930&lt;=29.9, "Over weight",B1930&gt;=30,"Obesity")</f>
        <v>Obesity</v>
      </c>
      <c r="D1930">
        <v>4.18</v>
      </c>
      <c r="E1930" t="str" cm="1">
        <f t="array" ref="E1930">_xlfn.IFS(D1930&lt;5.7,"Normal",D1930&lt;=6.4,"Prediabetes",D1930&gt;=6.5,"Diabetes")</f>
        <v>Normal</v>
      </c>
      <c r="F1930" s="3" t="s">
        <v>2379</v>
      </c>
      <c r="G1930" s="3" t="s">
        <v>2379</v>
      </c>
      <c r="H1930" s="3" t="s">
        <v>2379</v>
      </c>
      <c r="I1930" s="1" t="s">
        <v>2380</v>
      </c>
      <c r="J1930">
        <v>0</v>
      </c>
      <c r="K1930" s="3" t="s">
        <v>2379</v>
      </c>
      <c r="P1930" s="3"/>
    </row>
    <row r="1931" spans="1:16" x14ac:dyDescent="0.25">
      <c r="A1931" s="3" t="s">
        <v>437</v>
      </c>
      <c r="B1931">
        <v>29.1</v>
      </c>
      <c r="C1931" t="str" cm="1">
        <f t="array" ref="C1931">_xlfn.IFS(B1931&lt;=18.5,  "Underweight",B1931&lt;=24.9,"Normal weight",B1931&lt;=29.9, "Over weight",B1931&gt;=30,"Obesity")</f>
        <v>Over weight</v>
      </c>
      <c r="D1931">
        <v>4.67</v>
      </c>
      <c r="E1931" t="str" cm="1">
        <f t="array" ref="E1931">_xlfn.IFS(D1931&lt;5.7,"Normal",D1931&lt;=6.4,"Prediabetes",D1931&gt;=6.5,"Diabetes")</f>
        <v>Normal</v>
      </c>
      <c r="F1931" s="3" t="s">
        <v>2379</v>
      </c>
      <c r="G1931" s="3" t="s">
        <v>2379</v>
      </c>
      <c r="H1931" s="3" t="s">
        <v>2379</v>
      </c>
      <c r="I1931" s="1" t="s">
        <v>2380</v>
      </c>
      <c r="J1931">
        <v>0</v>
      </c>
      <c r="K1931" s="3" t="s">
        <v>2379</v>
      </c>
      <c r="P1931" s="3"/>
    </row>
    <row r="1932" spans="1:16" x14ac:dyDescent="0.25">
      <c r="A1932" s="3" t="s">
        <v>436</v>
      </c>
      <c r="B1932">
        <v>26.62</v>
      </c>
      <c r="C1932" t="str" cm="1">
        <f t="array" ref="C1932">_xlfn.IFS(B1932&lt;=18.5,  "Underweight",B1932&lt;=24.9,"Normal weight",B1932&lt;=29.9, "Over weight",B1932&gt;=30,"Obesity")</f>
        <v>Over weight</v>
      </c>
      <c r="D1932">
        <v>6.24</v>
      </c>
      <c r="E1932" t="str" cm="1">
        <f t="array" ref="E1932">_xlfn.IFS(D1932&lt;5.7,"Normal",D1932&lt;=6.4,"Prediabetes",D1932&gt;=6.5,"Diabetes")</f>
        <v>Prediabetes</v>
      </c>
      <c r="F1932" s="3" t="s">
        <v>2379</v>
      </c>
      <c r="G1932" s="3" t="s">
        <v>2379</v>
      </c>
      <c r="H1932" s="3" t="s">
        <v>2379</v>
      </c>
      <c r="I1932" s="1" t="s">
        <v>2380</v>
      </c>
      <c r="J1932">
        <v>0</v>
      </c>
      <c r="K1932" s="3" t="s">
        <v>2379</v>
      </c>
      <c r="P1932" s="3"/>
    </row>
    <row r="1933" spans="1:16" x14ac:dyDescent="0.25">
      <c r="A1933" s="3" t="s">
        <v>435</v>
      </c>
      <c r="B1933">
        <v>25.74</v>
      </c>
      <c r="C1933" t="str" cm="1">
        <f t="array" ref="C1933">_xlfn.IFS(B1933&lt;=18.5,  "Underweight",B1933&lt;=24.9,"Normal weight",B1933&lt;=29.9, "Over weight",B1933&gt;=30,"Obesity")</f>
        <v>Over weight</v>
      </c>
      <c r="D1933">
        <v>5.99</v>
      </c>
      <c r="E1933" t="str" cm="1">
        <f t="array" ref="E1933">_xlfn.IFS(D1933&lt;5.7,"Normal",D1933&lt;=6.4,"Prediabetes",D1933&gt;=6.5,"Diabetes")</f>
        <v>Prediabetes</v>
      </c>
      <c r="F1933" s="3" t="s">
        <v>2379</v>
      </c>
      <c r="G1933" s="3" t="s">
        <v>2379</v>
      </c>
      <c r="H1933" s="3" t="s">
        <v>2379</v>
      </c>
      <c r="I1933" s="1" t="s">
        <v>2380</v>
      </c>
      <c r="J1933">
        <v>0</v>
      </c>
      <c r="K1933" s="3" t="s">
        <v>2379</v>
      </c>
      <c r="P1933" s="3"/>
    </row>
    <row r="1934" spans="1:16" x14ac:dyDescent="0.25">
      <c r="A1934" s="3" t="s">
        <v>434</v>
      </c>
      <c r="B1934">
        <v>18.22</v>
      </c>
      <c r="C1934" t="str" cm="1">
        <f t="array" ref="C1934">_xlfn.IFS(B1934&lt;=18.5,  "Underweight",B1934&lt;=24.9,"Normal weight",B1934&lt;=29.9, "Over weight",B1934&gt;=30,"Obesity")</f>
        <v>Underweight</v>
      </c>
      <c r="D1934">
        <v>10.27</v>
      </c>
      <c r="E1934" t="str" cm="1">
        <f t="array" ref="E1934">_xlfn.IFS(D1934&lt;5.7,"Normal",D1934&lt;=6.4,"Prediabetes",D1934&gt;=6.5,"Diabetes")</f>
        <v>Diabetes</v>
      </c>
      <c r="F1934" s="3" t="s">
        <v>2382</v>
      </c>
      <c r="G1934" s="3" t="s">
        <v>2379</v>
      </c>
      <c r="H1934" s="3" t="s">
        <v>2379</v>
      </c>
      <c r="I1934" s="1">
        <v>1</v>
      </c>
      <c r="J1934">
        <v>1</v>
      </c>
      <c r="K1934" s="3" t="s">
        <v>2379</v>
      </c>
      <c r="P1934" s="3"/>
    </row>
    <row r="1935" spans="1:16" x14ac:dyDescent="0.25">
      <c r="A1935" s="3" t="s">
        <v>433</v>
      </c>
      <c r="B1935">
        <v>26.03</v>
      </c>
      <c r="C1935" t="str" cm="1">
        <f t="array" ref="C1935">_xlfn.IFS(B1935&lt;=18.5,  "Underweight",B1935&lt;=24.9,"Normal weight",B1935&lt;=29.9, "Over weight",B1935&gt;=30,"Obesity")</f>
        <v>Over weight</v>
      </c>
      <c r="D1935">
        <v>5.97</v>
      </c>
      <c r="E1935" t="str" cm="1">
        <f t="array" ref="E1935">_xlfn.IFS(D1935&lt;5.7,"Normal",D1935&lt;=6.4,"Prediabetes",D1935&gt;=6.5,"Diabetes")</f>
        <v>Prediabetes</v>
      </c>
      <c r="F1935" s="3" t="s">
        <v>2379</v>
      </c>
      <c r="G1935" s="3" t="s">
        <v>2379</v>
      </c>
      <c r="H1935" s="3" t="s">
        <v>2382</v>
      </c>
      <c r="I1935" s="1">
        <v>1</v>
      </c>
      <c r="J1935">
        <v>1</v>
      </c>
      <c r="K1935" s="3" t="s">
        <v>2379</v>
      </c>
      <c r="P1935" s="3"/>
    </row>
    <row r="1936" spans="1:16" x14ac:dyDescent="0.25">
      <c r="A1936" s="3" t="s">
        <v>432</v>
      </c>
      <c r="B1936">
        <v>17.29</v>
      </c>
      <c r="C1936" t="str" cm="1">
        <f t="array" ref="C1936">_xlfn.IFS(B1936&lt;=18.5,  "Underweight",B1936&lt;=24.9,"Normal weight",B1936&lt;=29.9, "Over weight",B1936&gt;=30,"Obesity")</f>
        <v>Underweight</v>
      </c>
      <c r="D1936">
        <v>4.9800000000000004</v>
      </c>
      <c r="E1936" t="str" cm="1">
        <f t="array" ref="E1936">_xlfn.IFS(D1936&lt;5.7,"Normal",D1936&lt;=6.4,"Prediabetes",D1936&gt;=6.5,"Diabetes")</f>
        <v>Normal</v>
      </c>
      <c r="F1936" s="3" t="s">
        <v>2379</v>
      </c>
      <c r="G1936" s="3" t="s">
        <v>2379</v>
      </c>
      <c r="H1936" s="3" t="s">
        <v>2379</v>
      </c>
      <c r="I1936" s="1" t="s">
        <v>2380</v>
      </c>
      <c r="J1936">
        <v>0</v>
      </c>
      <c r="K1936" s="3" t="s">
        <v>2379</v>
      </c>
      <c r="P1936" s="3"/>
    </row>
    <row r="1937" spans="1:16" x14ac:dyDescent="0.25">
      <c r="A1937" s="3" t="s">
        <v>431</v>
      </c>
      <c r="B1937">
        <v>18.170000000000002</v>
      </c>
      <c r="C1937" t="str" cm="1">
        <f t="array" ref="C1937">_xlfn.IFS(B1937&lt;=18.5,  "Underweight",B1937&lt;=24.9,"Normal weight",B1937&lt;=29.9, "Over weight",B1937&gt;=30,"Obesity")</f>
        <v>Underweight</v>
      </c>
      <c r="D1937">
        <v>6.91</v>
      </c>
      <c r="E1937" t="str" cm="1">
        <f t="array" ref="E1937">_xlfn.IFS(D1937&lt;5.7,"Normal",D1937&lt;=6.4,"Prediabetes",D1937&gt;=6.5,"Diabetes")</f>
        <v>Diabetes</v>
      </c>
      <c r="F1937" s="3" t="s">
        <v>2382</v>
      </c>
      <c r="G1937" s="3" t="s">
        <v>2379</v>
      </c>
      <c r="H1937" s="3" t="s">
        <v>2379</v>
      </c>
      <c r="I1937" s="1">
        <v>1</v>
      </c>
      <c r="J1937">
        <v>1</v>
      </c>
      <c r="K1937" s="3" t="s">
        <v>2379</v>
      </c>
      <c r="P1937" s="3"/>
    </row>
    <row r="1938" spans="1:16" x14ac:dyDescent="0.25">
      <c r="A1938" s="3" t="s">
        <v>430</v>
      </c>
      <c r="B1938">
        <v>32.54</v>
      </c>
      <c r="C1938" t="str" cm="1">
        <f t="array" ref="C1938">_xlfn.IFS(B1938&lt;=18.5,  "Underweight",B1938&lt;=24.9,"Normal weight",B1938&lt;=29.9, "Over weight",B1938&gt;=30,"Obesity")</f>
        <v>Obesity</v>
      </c>
      <c r="D1938">
        <v>6.38</v>
      </c>
      <c r="E1938" t="str" cm="1">
        <f t="array" ref="E1938">_xlfn.IFS(D1938&lt;5.7,"Normal",D1938&lt;=6.4,"Prediabetes",D1938&gt;=6.5,"Diabetes")</f>
        <v>Prediabetes</v>
      </c>
      <c r="F1938" s="3" t="s">
        <v>2379</v>
      </c>
      <c r="G1938" s="3" t="s">
        <v>2381</v>
      </c>
      <c r="H1938" s="3" t="s">
        <v>2379</v>
      </c>
      <c r="I1938" s="1">
        <v>1</v>
      </c>
      <c r="J1938">
        <v>1</v>
      </c>
      <c r="K1938" s="3" t="s">
        <v>2379</v>
      </c>
      <c r="P1938" s="3"/>
    </row>
    <row r="1939" spans="1:16" x14ac:dyDescent="0.25">
      <c r="A1939" s="3" t="s">
        <v>429</v>
      </c>
      <c r="B1939">
        <v>30.25</v>
      </c>
      <c r="C1939" t="str" cm="1">
        <f t="array" ref="C1939">_xlfn.IFS(B1939&lt;=18.5,  "Underweight",B1939&lt;=24.9,"Normal weight",B1939&lt;=29.9, "Over weight",B1939&gt;=30,"Obesity")</f>
        <v>Obesity</v>
      </c>
      <c r="D1939">
        <v>4.7699999999999996</v>
      </c>
      <c r="E1939" t="str" cm="1">
        <f t="array" ref="E1939">_xlfn.IFS(D1939&lt;5.7,"Normal",D1939&lt;=6.4,"Prediabetes",D1939&gt;=6.5,"Diabetes")</f>
        <v>Normal</v>
      </c>
      <c r="F1939" s="3" t="s">
        <v>2379</v>
      </c>
      <c r="G1939" s="3" t="s">
        <v>2379</v>
      </c>
      <c r="H1939" s="3" t="s">
        <v>2379</v>
      </c>
      <c r="I1939" s="1" t="s">
        <v>2380</v>
      </c>
      <c r="J1939">
        <v>0</v>
      </c>
      <c r="K1939" s="3" t="s">
        <v>2379</v>
      </c>
      <c r="P1939" s="3"/>
    </row>
    <row r="1940" spans="1:16" x14ac:dyDescent="0.25">
      <c r="A1940" s="3" t="s">
        <v>428</v>
      </c>
      <c r="B1940">
        <v>19.59</v>
      </c>
      <c r="C1940" t="str" cm="1">
        <f t="array" ref="C1940">_xlfn.IFS(B1940&lt;=18.5,  "Underweight",B1940&lt;=24.9,"Normal weight",B1940&lt;=29.9, "Over weight",B1940&gt;=30,"Obesity")</f>
        <v>Normal weight</v>
      </c>
      <c r="D1940">
        <v>6.04</v>
      </c>
      <c r="E1940" t="str" cm="1">
        <f t="array" ref="E1940">_xlfn.IFS(D1940&lt;5.7,"Normal",D1940&lt;=6.4,"Prediabetes",D1940&gt;=6.5,"Diabetes")</f>
        <v>Prediabetes</v>
      </c>
      <c r="F1940" s="3" t="s">
        <v>2382</v>
      </c>
      <c r="G1940" s="3" t="s">
        <v>2379</v>
      </c>
      <c r="H1940" s="3" t="s">
        <v>2379</v>
      </c>
      <c r="I1940" s="1">
        <v>1</v>
      </c>
      <c r="J1940">
        <v>1</v>
      </c>
      <c r="K1940" s="3" t="s">
        <v>2379</v>
      </c>
      <c r="P1940" s="3"/>
    </row>
    <row r="1941" spans="1:16" x14ac:dyDescent="0.25">
      <c r="A1941" s="3" t="s">
        <v>427</v>
      </c>
      <c r="B1941">
        <v>45.9</v>
      </c>
      <c r="C1941" t="str" cm="1">
        <f t="array" ref="C1941">_xlfn.IFS(B1941&lt;=18.5,  "Underweight",B1941&lt;=24.9,"Normal weight",B1941&lt;=29.9, "Over weight",B1941&gt;=30,"Obesity")</f>
        <v>Obesity</v>
      </c>
      <c r="D1941">
        <v>4.3</v>
      </c>
      <c r="E1941" t="str" cm="1">
        <f t="array" ref="E1941">_xlfn.IFS(D1941&lt;5.7,"Normal",D1941&lt;=6.4,"Prediabetes",D1941&gt;=6.5,"Diabetes")</f>
        <v>Normal</v>
      </c>
      <c r="F1941" s="3" t="s">
        <v>2382</v>
      </c>
      <c r="G1941" s="3" t="s">
        <v>2379</v>
      </c>
      <c r="H1941" s="3" t="s">
        <v>2379</v>
      </c>
      <c r="I1941" s="1">
        <v>1</v>
      </c>
      <c r="J1941">
        <v>1</v>
      </c>
      <c r="K1941" s="3" t="s">
        <v>2379</v>
      </c>
      <c r="P1941" s="3"/>
    </row>
    <row r="1942" spans="1:16" x14ac:dyDescent="0.25">
      <c r="A1942" s="3" t="s">
        <v>426</v>
      </c>
      <c r="B1942">
        <v>17.059999999999999</v>
      </c>
      <c r="C1942" t="str" cm="1">
        <f t="array" ref="C1942">_xlfn.IFS(B1942&lt;=18.5,  "Underweight",B1942&lt;=24.9,"Normal weight",B1942&lt;=29.9, "Over weight",B1942&gt;=30,"Obesity")</f>
        <v>Underweight</v>
      </c>
      <c r="D1942">
        <v>8.75</v>
      </c>
      <c r="E1942" t="str" cm="1">
        <f t="array" ref="E1942">_xlfn.IFS(D1942&lt;5.7,"Normal",D1942&lt;=6.4,"Prediabetes",D1942&gt;=6.5,"Diabetes")</f>
        <v>Diabetes</v>
      </c>
      <c r="F1942" s="3" t="s">
        <v>2382</v>
      </c>
      <c r="G1942" s="3" t="s">
        <v>2379</v>
      </c>
      <c r="H1942" s="3" t="s">
        <v>2379</v>
      </c>
      <c r="I1942" s="1" t="s">
        <v>2380</v>
      </c>
      <c r="J1942">
        <v>0</v>
      </c>
      <c r="K1942" s="3" t="s">
        <v>2379</v>
      </c>
      <c r="P1942" s="3"/>
    </row>
    <row r="1943" spans="1:16" x14ac:dyDescent="0.25">
      <c r="A1943" s="3" t="s">
        <v>425</v>
      </c>
      <c r="B1943">
        <v>32.07</v>
      </c>
      <c r="C1943" t="str" cm="1">
        <f t="array" ref="C1943">_xlfn.IFS(B1943&lt;=18.5,  "Underweight",B1943&lt;=24.9,"Normal weight",B1943&lt;=29.9, "Over weight",B1943&gt;=30,"Obesity")</f>
        <v>Obesity</v>
      </c>
      <c r="D1943">
        <v>5.25</v>
      </c>
      <c r="E1943" t="str" cm="1">
        <f t="array" ref="E1943">_xlfn.IFS(D1943&lt;5.7,"Normal",D1943&lt;=6.4,"Prediabetes",D1943&gt;=6.5,"Diabetes")</f>
        <v>Normal</v>
      </c>
      <c r="F1943" s="3" t="s">
        <v>2379</v>
      </c>
      <c r="G1943" s="3" t="s">
        <v>2379</v>
      </c>
      <c r="H1943" s="3" t="s">
        <v>2382</v>
      </c>
      <c r="I1943" s="1">
        <v>1</v>
      </c>
      <c r="J1943">
        <v>1</v>
      </c>
      <c r="K1943" s="3" t="s">
        <v>2379</v>
      </c>
      <c r="P1943" s="3"/>
    </row>
    <row r="1944" spans="1:16" x14ac:dyDescent="0.25">
      <c r="A1944" s="3" t="s">
        <v>424</v>
      </c>
      <c r="B1944">
        <v>16.5</v>
      </c>
      <c r="C1944" t="str" cm="1">
        <f t="array" ref="C1944">_xlfn.IFS(B1944&lt;=18.5,  "Underweight",B1944&lt;=24.9,"Normal weight",B1944&lt;=29.9, "Over weight",B1944&gt;=30,"Obesity")</f>
        <v>Underweight</v>
      </c>
      <c r="D1944">
        <v>5.03</v>
      </c>
      <c r="E1944" t="str" cm="1">
        <f t="array" ref="E1944">_xlfn.IFS(D1944&lt;5.7,"Normal",D1944&lt;=6.4,"Prediabetes",D1944&gt;=6.5,"Diabetes")</f>
        <v>Normal</v>
      </c>
      <c r="F1944" s="3" t="s">
        <v>2379</v>
      </c>
      <c r="G1944" s="3" t="s">
        <v>2379</v>
      </c>
      <c r="H1944" s="3" t="s">
        <v>2379</v>
      </c>
      <c r="I1944" s="1">
        <v>1</v>
      </c>
      <c r="J1944">
        <v>1</v>
      </c>
      <c r="K1944" s="3" t="s">
        <v>2379</v>
      </c>
      <c r="P1944" s="3"/>
    </row>
    <row r="1945" spans="1:16" x14ac:dyDescent="0.25">
      <c r="A1945" s="3" t="s">
        <v>423</v>
      </c>
      <c r="B1945">
        <v>31.4</v>
      </c>
      <c r="C1945" t="str" cm="1">
        <f t="array" ref="C1945">_xlfn.IFS(B1945&lt;=18.5,  "Underweight",B1945&lt;=24.9,"Normal weight",B1945&lt;=29.9, "Over weight",B1945&gt;=30,"Obesity")</f>
        <v>Obesity</v>
      </c>
      <c r="D1945">
        <v>5.88</v>
      </c>
      <c r="E1945" t="str" cm="1">
        <f t="array" ref="E1945">_xlfn.IFS(D1945&lt;5.7,"Normal",D1945&lt;=6.4,"Prediabetes",D1945&gt;=6.5,"Diabetes")</f>
        <v>Prediabetes</v>
      </c>
      <c r="F1945" s="3" t="s">
        <v>2379</v>
      </c>
      <c r="G1945" s="3" t="s">
        <v>2379</v>
      </c>
      <c r="H1945" s="3" t="s">
        <v>2379</v>
      </c>
      <c r="I1945" s="1">
        <v>1</v>
      </c>
      <c r="J1945">
        <v>1</v>
      </c>
      <c r="K1945" s="3" t="s">
        <v>2379</v>
      </c>
      <c r="P1945" s="3"/>
    </row>
    <row r="1946" spans="1:16" x14ac:dyDescent="0.25">
      <c r="A1946" s="3" t="s">
        <v>422</v>
      </c>
      <c r="B1946">
        <v>20.36</v>
      </c>
      <c r="C1946" t="str" cm="1">
        <f t="array" ref="C1946">_xlfn.IFS(B1946&lt;=18.5,  "Underweight",B1946&lt;=24.9,"Normal weight",B1946&lt;=29.9, "Over weight",B1946&gt;=30,"Obesity")</f>
        <v>Normal weight</v>
      </c>
      <c r="D1946">
        <v>4.49</v>
      </c>
      <c r="E1946" t="str" cm="1">
        <f t="array" ref="E1946">_xlfn.IFS(D1946&lt;5.7,"Normal",D1946&lt;=6.4,"Prediabetes",D1946&gt;=6.5,"Diabetes")</f>
        <v>Normal</v>
      </c>
      <c r="F1946" s="3" t="s">
        <v>2379</v>
      </c>
      <c r="G1946" s="3" t="s">
        <v>2379</v>
      </c>
      <c r="H1946" s="3" t="s">
        <v>2379</v>
      </c>
      <c r="I1946" s="1" t="s">
        <v>2380</v>
      </c>
      <c r="J1946">
        <v>0</v>
      </c>
      <c r="K1946" s="3" t="s">
        <v>2379</v>
      </c>
      <c r="P1946" s="3"/>
    </row>
    <row r="1947" spans="1:16" x14ac:dyDescent="0.25">
      <c r="A1947" s="3" t="s">
        <v>421</v>
      </c>
      <c r="B1947">
        <v>25.46</v>
      </c>
      <c r="C1947" t="str" cm="1">
        <f t="array" ref="C1947">_xlfn.IFS(B1947&lt;=18.5,  "Underweight",B1947&lt;=24.9,"Normal weight",B1947&lt;=29.9, "Over weight",B1947&gt;=30,"Obesity")</f>
        <v>Over weight</v>
      </c>
      <c r="D1947">
        <v>4.1399999999999997</v>
      </c>
      <c r="E1947" t="str" cm="1">
        <f t="array" ref="E1947">_xlfn.IFS(D1947&lt;5.7,"Normal",D1947&lt;=6.4,"Prediabetes",D1947&gt;=6.5,"Diabetes")</f>
        <v>Normal</v>
      </c>
      <c r="F1947" s="3" t="s">
        <v>2379</v>
      </c>
      <c r="G1947" s="3" t="s">
        <v>2379</v>
      </c>
      <c r="H1947" s="3" t="s">
        <v>2379</v>
      </c>
      <c r="I1947" s="1">
        <v>1</v>
      </c>
      <c r="J1947">
        <v>1</v>
      </c>
      <c r="K1947" s="3" t="s">
        <v>2379</v>
      </c>
      <c r="P1947" s="3"/>
    </row>
    <row r="1948" spans="1:16" x14ac:dyDescent="0.25">
      <c r="A1948" s="3" t="s">
        <v>420</v>
      </c>
      <c r="B1948">
        <v>17.09</v>
      </c>
      <c r="C1948" t="str" cm="1">
        <f t="array" ref="C1948">_xlfn.IFS(B1948&lt;=18.5,  "Underweight",B1948&lt;=24.9,"Normal weight",B1948&lt;=29.9, "Over weight",B1948&gt;=30,"Obesity")</f>
        <v>Underweight</v>
      </c>
      <c r="D1948">
        <v>5.8</v>
      </c>
      <c r="E1948" t="str" cm="1">
        <f t="array" ref="E1948">_xlfn.IFS(D1948&lt;5.7,"Normal",D1948&lt;=6.4,"Prediabetes",D1948&gt;=6.5,"Diabetes")</f>
        <v>Prediabetes</v>
      </c>
      <c r="F1948" s="3" t="s">
        <v>2382</v>
      </c>
      <c r="G1948" s="3" t="s">
        <v>2379</v>
      </c>
      <c r="H1948" s="3" t="s">
        <v>2379</v>
      </c>
      <c r="I1948" s="1" t="s">
        <v>2380</v>
      </c>
      <c r="J1948">
        <v>0</v>
      </c>
      <c r="K1948" s="3" t="s">
        <v>2379</v>
      </c>
      <c r="P1948" s="3"/>
    </row>
    <row r="1949" spans="1:16" x14ac:dyDescent="0.25">
      <c r="A1949" s="3" t="s">
        <v>419</v>
      </c>
      <c r="B1949">
        <v>20.83</v>
      </c>
      <c r="C1949" t="str" cm="1">
        <f t="array" ref="C1949">_xlfn.IFS(B1949&lt;=18.5,  "Underweight",B1949&lt;=24.9,"Normal weight",B1949&lt;=29.9, "Over weight",B1949&gt;=30,"Obesity")</f>
        <v>Normal weight</v>
      </c>
      <c r="D1949">
        <v>5.12</v>
      </c>
      <c r="E1949" t="str" cm="1">
        <f t="array" ref="E1949">_xlfn.IFS(D1949&lt;5.7,"Normal",D1949&lt;=6.4,"Prediabetes",D1949&gt;=6.5,"Diabetes")</f>
        <v>Normal</v>
      </c>
      <c r="F1949" s="3" t="s">
        <v>2379</v>
      </c>
      <c r="G1949" s="3" t="s">
        <v>2379</v>
      </c>
      <c r="H1949" s="3" t="s">
        <v>2379</v>
      </c>
      <c r="I1949" s="1" t="s">
        <v>2380</v>
      </c>
      <c r="J1949">
        <v>0</v>
      </c>
      <c r="K1949" s="3" t="s">
        <v>2379</v>
      </c>
      <c r="P1949" s="3"/>
    </row>
    <row r="1950" spans="1:16" x14ac:dyDescent="0.25">
      <c r="A1950" s="3" t="s">
        <v>418</v>
      </c>
      <c r="B1950">
        <v>18.920000000000002</v>
      </c>
      <c r="C1950" t="str" cm="1">
        <f t="array" ref="C1950">_xlfn.IFS(B1950&lt;=18.5,  "Underweight",B1950&lt;=24.9,"Normal weight",B1950&lt;=29.9, "Over weight",B1950&gt;=30,"Obesity")</f>
        <v>Normal weight</v>
      </c>
      <c r="D1950">
        <v>5.98</v>
      </c>
      <c r="E1950" t="str" cm="1">
        <f t="array" ref="E1950">_xlfn.IFS(D1950&lt;5.7,"Normal",D1950&lt;=6.4,"Prediabetes",D1950&gt;=6.5,"Diabetes")</f>
        <v>Prediabetes</v>
      </c>
      <c r="F1950" s="3" t="s">
        <v>2382</v>
      </c>
      <c r="G1950" s="3" t="s">
        <v>2379</v>
      </c>
      <c r="H1950" s="3" t="s">
        <v>2379</v>
      </c>
      <c r="I1950" s="1">
        <v>1</v>
      </c>
      <c r="J1950">
        <v>1</v>
      </c>
      <c r="K1950" s="3" t="s">
        <v>2379</v>
      </c>
      <c r="P1950" s="3"/>
    </row>
    <row r="1951" spans="1:16" x14ac:dyDescent="0.25">
      <c r="A1951" s="3" t="s">
        <v>417</v>
      </c>
      <c r="B1951">
        <v>37.1</v>
      </c>
      <c r="C1951" t="str" cm="1">
        <f t="array" ref="C1951">_xlfn.IFS(B1951&lt;=18.5,  "Underweight",B1951&lt;=24.9,"Normal weight",B1951&lt;=29.9, "Over weight",B1951&gt;=30,"Obesity")</f>
        <v>Obesity</v>
      </c>
      <c r="D1951">
        <v>5.46</v>
      </c>
      <c r="E1951" t="str" cm="1">
        <f t="array" ref="E1951">_xlfn.IFS(D1951&lt;5.7,"Normal",D1951&lt;=6.4,"Prediabetes",D1951&gt;=6.5,"Diabetes")</f>
        <v>Normal</v>
      </c>
      <c r="F1951" s="3" t="s">
        <v>2379</v>
      </c>
      <c r="G1951" s="3" t="s">
        <v>2379</v>
      </c>
      <c r="H1951" s="3" t="s">
        <v>2379</v>
      </c>
      <c r="I1951" s="1" t="s">
        <v>2380</v>
      </c>
      <c r="J1951">
        <v>0</v>
      </c>
      <c r="K1951" s="3" t="s">
        <v>2379</v>
      </c>
      <c r="P1951" s="3"/>
    </row>
    <row r="1952" spans="1:16" x14ac:dyDescent="0.25">
      <c r="A1952" s="3" t="s">
        <v>416</v>
      </c>
      <c r="B1952">
        <v>22.515000000000001</v>
      </c>
      <c r="C1952" t="str" cm="1">
        <f t="array" ref="C1952">_xlfn.IFS(B1952&lt;=18.5,  "Underweight",B1952&lt;=24.9,"Normal weight",B1952&lt;=29.9, "Over weight",B1952&gt;=30,"Obesity")</f>
        <v>Normal weight</v>
      </c>
      <c r="D1952">
        <v>4.91</v>
      </c>
      <c r="E1952" t="str" cm="1">
        <f t="array" ref="E1952">_xlfn.IFS(D1952&lt;5.7,"Normal",D1952&lt;=6.4,"Prediabetes",D1952&gt;=6.5,"Diabetes")</f>
        <v>Normal</v>
      </c>
      <c r="F1952" s="3" t="s">
        <v>2382</v>
      </c>
      <c r="G1952" s="3" t="s">
        <v>2379</v>
      </c>
      <c r="H1952" s="3" t="s">
        <v>2382</v>
      </c>
      <c r="I1952" s="1">
        <v>1</v>
      </c>
      <c r="J1952">
        <v>1</v>
      </c>
      <c r="K1952" s="3" t="s">
        <v>2379</v>
      </c>
      <c r="P1952" s="3"/>
    </row>
    <row r="1953" spans="1:16" x14ac:dyDescent="0.25">
      <c r="A1953" s="3" t="s">
        <v>415</v>
      </c>
      <c r="B1953">
        <v>32.700000000000003</v>
      </c>
      <c r="C1953" t="str" cm="1">
        <f t="array" ref="C1953">_xlfn.IFS(B1953&lt;=18.5,  "Underweight",B1953&lt;=24.9,"Normal weight",B1953&lt;=29.9, "Over weight",B1953&gt;=30,"Obesity")</f>
        <v>Obesity</v>
      </c>
      <c r="D1953">
        <v>4.66</v>
      </c>
      <c r="E1953" t="str" cm="1">
        <f t="array" ref="E1953">_xlfn.IFS(D1953&lt;5.7,"Normal",D1953&lt;=6.4,"Prediabetes",D1953&gt;=6.5,"Diabetes")</f>
        <v>Normal</v>
      </c>
      <c r="F1953" s="3" t="s">
        <v>2379</v>
      </c>
      <c r="G1953" s="3" t="s">
        <v>2379</v>
      </c>
      <c r="H1953" s="3" t="s">
        <v>2379</v>
      </c>
      <c r="I1953" s="1" t="s">
        <v>2380</v>
      </c>
      <c r="J1953">
        <v>0</v>
      </c>
      <c r="K1953" s="3" t="s">
        <v>2379</v>
      </c>
      <c r="P1953" s="3"/>
    </row>
    <row r="1954" spans="1:16" x14ac:dyDescent="0.25">
      <c r="A1954" s="3" t="s">
        <v>414</v>
      </c>
      <c r="B1954">
        <v>17.75</v>
      </c>
      <c r="C1954" t="str" cm="1">
        <f t="array" ref="C1954">_xlfn.IFS(B1954&lt;=18.5,  "Underweight",B1954&lt;=24.9,"Normal weight",B1954&lt;=29.9, "Over weight",B1954&gt;=30,"Obesity")</f>
        <v>Underweight</v>
      </c>
      <c r="D1954">
        <v>6.8</v>
      </c>
      <c r="E1954" t="str" cm="1">
        <f t="array" ref="E1954">_xlfn.IFS(D1954&lt;5.7,"Normal",D1954&lt;=6.4,"Prediabetes",D1954&gt;=6.5,"Diabetes")</f>
        <v>Diabetes</v>
      </c>
      <c r="F1954" s="3" t="s">
        <v>2382</v>
      </c>
      <c r="G1954" s="3" t="s">
        <v>2379</v>
      </c>
      <c r="H1954" s="3" t="s">
        <v>2379</v>
      </c>
      <c r="I1954" s="1">
        <v>1</v>
      </c>
      <c r="J1954">
        <v>1</v>
      </c>
      <c r="K1954" s="3" t="s">
        <v>2379</v>
      </c>
      <c r="P1954" s="3"/>
    </row>
    <row r="1955" spans="1:16" x14ac:dyDescent="0.25">
      <c r="A1955" s="3" t="s">
        <v>413</v>
      </c>
      <c r="B1955">
        <v>33.630000000000003</v>
      </c>
      <c r="C1955" t="str" cm="1">
        <f t="array" ref="C1955">_xlfn.IFS(B1955&lt;=18.5,  "Underweight",B1955&lt;=24.9,"Normal weight",B1955&lt;=29.9, "Over weight",B1955&gt;=30,"Obesity")</f>
        <v>Obesity</v>
      </c>
      <c r="D1955">
        <v>4.47</v>
      </c>
      <c r="E1955" t="str" cm="1">
        <f t="array" ref="E1955">_xlfn.IFS(D1955&lt;5.7,"Normal",D1955&lt;=6.4,"Prediabetes",D1955&gt;=6.5,"Diabetes")</f>
        <v>Normal</v>
      </c>
      <c r="F1955" s="3" t="s">
        <v>2382</v>
      </c>
      <c r="G1955" s="3" t="s">
        <v>2379</v>
      </c>
      <c r="H1955" s="3" t="s">
        <v>2379</v>
      </c>
      <c r="I1955" s="1" t="s">
        <v>2380</v>
      </c>
      <c r="J1955">
        <v>0</v>
      </c>
      <c r="K1955" s="3" t="s">
        <v>2379</v>
      </c>
      <c r="P1955" s="3"/>
    </row>
    <row r="1956" spans="1:16" x14ac:dyDescent="0.25">
      <c r="A1956" s="3" t="s">
        <v>412</v>
      </c>
      <c r="B1956">
        <v>34.799999999999997</v>
      </c>
      <c r="C1956" t="str" cm="1">
        <f t="array" ref="C1956">_xlfn.IFS(B1956&lt;=18.5,  "Underweight",B1956&lt;=24.9,"Normal weight",B1956&lt;=29.9, "Over weight",B1956&gt;=30,"Obesity")</f>
        <v>Obesity</v>
      </c>
      <c r="D1956">
        <v>4.08</v>
      </c>
      <c r="E1956" t="str" cm="1">
        <f t="array" ref="E1956">_xlfn.IFS(D1956&lt;5.7,"Normal",D1956&lt;=6.4,"Prediabetes",D1956&gt;=6.5,"Diabetes")</f>
        <v>Normal</v>
      </c>
      <c r="F1956" s="3" t="s">
        <v>2382</v>
      </c>
      <c r="G1956" s="3" t="s">
        <v>2379</v>
      </c>
      <c r="H1956" s="3" t="s">
        <v>2379</v>
      </c>
      <c r="I1956" s="1">
        <v>1</v>
      </c>
      <c r="J1956">
        <v>1</v>
      </c>
      <c r="K1956" s="3" t="s">
        <v>2379</v>
      </c>
      <c r="P1956" s="3"/>
    </row>
    <row r="1957" spans="1:16" x14ac:dyDescent="0.25">
      <c r="A1957" s="3" t="s">
        <v>411</v>
      </c>
      <c r="B1957">
        <v>16.809999999999999</v>
      </c>
      <c r="C1957" t="str" cm="1">
        <f t="array" ref="C1957">_xlfn.IFS(B1957&lt;=18.5,  "Underweight",B1957&lt;=24.9,"Normal weight",B1957&lt;=29.9, "Over weight",B1957&gt;=30,"Obesity")</f>
        <v>Underweight</v>
      </c>
      <c r="D1957">
        <v>5.51</v>
      </c>
      <c r="E1957" t="str" cm="1">
        <f t="array" ref="E1957">_xlfn.IFS(D1957&lt;5.7,"Normal",D1957&lt;=6.4,"Prediabetes",D1957&gt;=6.5,"Diabetes")</f>
        <v>Normal</v>
      </c>
      <c r="F1957" s="3" t="s">
        <v>2382</v>
      </c>
      <c r="G1957" s="3" t="s">
        <v>2379</v>
      </c>
      <c r="H1957" s="3" t="s">
        <v>2379</v>
      </c>
      <c r="I1957" s="1">
        <v>1</v>
      </c>
      <c r="J1957">
        <v>1</v>
      </c>
      <c r="K1957" s="3" t="s">
        <v>2379</v>
      </c>
      <c r="P1957" s="3"/>
    </row>
    <row r="1958" spans="1:16" x14ac:dyDescent="0.25">
      <c r="A1958" s="3" t="s">
        <v>410</v>
      </c>
      <c r="B1958">
        <v>16.690000000000001</v>
      </c>
      <c r="C1958" t="str" cm="1">
        <f t="array" ref="C1958">_xlfn.IFS(B1958&lt;=18.5,  "Underweight",B1958&lt;=24.9,"Normal weight",B1958&lt;=29.9, "Over weight",B1958&gt;=30,"Obesity")</f>
        <v>Underweight</v>
      </c>
      <c r="D1958">
        <v>8.4</v>
      </c>
      <c r="E1958" t="str" cm="1">
        <f t="array" ref="E1958">_xlfn.IFS(D1958&lt;5.7,"Normal",D1958&lt;=6.4,"Prediabetes",D1958&gt;=6.5,"Diabetes")</f>
        <v>Diabetes</v>
      </c>
      <c r="F1958" s="3" t="s">
        <v>2382</v>
      </c>
      <c r="G1958" s="3" t="s">
        <v>2379</v>
      </c>
      <c r="H1958" s="3" t="s">
        <v>2379</v>
      </c>
      <c r="I1958" s="1" t="s">
        <v>2380</v>
      </c>
      <c r="J1958">
        <v>0</v>
      </c>
      <c r="K1958" s="3" t="s">
        <v>2379</v>
      </c>
      <c r="P1958" s="3"/>
    </row>
    <row r="1959" spans="1:16" x14ac:dyDescent="0.25">
      <c r="A1959" s="3" t="s">
        <v>409</v>
      </c>
      <c r="B1959">
        <v>23.21</v>
      </c>
      <c r="C1959" t="str" cm="1">
        <f t="array" ref="C1959">_xlfn.IFS(B1959&lt;=18.5,  "Underweight",B1959&lt;=24.9,"Normal weight",B1959&lt;=29.9, "Over weight",B1959&gt;=30,"Obesity")</f>
        <v>Normal weight</v>
      </c>
      <c r="D1959">
        <v>5.14</v>
      </c>
      <c r="E1959" t="str" cm="1">
        <f t="array" ref="E1959">_xlfn.IFS(D1959&lt;5.7,"Normal",D1959&lt;=6.4,"Prediabetes",D1959&gt;=6.5,"Diabetes")</f>
        <v>Normal</v>
      </c>
      <c r="F1959" s="3" t="s">
        <v>2382</v>
      </c>
      <c r="G1959" s="3" t="s">
        <v>2379</v>
      </c>
      <c r="H1959" s="3" t="s">
        <v>2379</v>
      </c>
      <c r="I1959" s="1">
        <v>1</v>
      </c>
      <c r="J1959">
        <v>1</v>
      </c>
      <c r="K1959" s="3" t="s">
        <v>2379</v>
      </c>
      <c r="P1959" s="3"/>
    </row>
    <row r="1960" spans="1:16" x14ac:dyDescent="0.25">
      <c r="A1960" s="3" t="s">
        <v>408</v>
      </c>
      <c r="B1960">
        <v>25.175000000000001</v>
      </c>
      <c r="C1960" t="str" cm="1">
        <f t="array" ref="C1960">_xlfn.IFS(B1960&lt;=18.5,  "Underweight",B1960&lt;=24.9,"Normal weight",B1960&lt;=29.9, "Over weight",B1960&gt;=30,"Obesity")</f>
        <v>Over weight</v>
      </c>
      <c r="D1960">
        <v>5.21</v>
      </c>
      <c r="E1960" t="str" cm="1">
        <f t="array" ref="E1960">_xlfn.IFS(D1960&lt;5.7,"Normal",D1960&lt;=6.4,"Prediabetes",D1960&gt;=6.5,"Diabetes")</f>
        <v>Normal</v>
      </c>
      <c r="F1960" s="3" t="s">
        <v>2382</v>
      </c>
      <c r="G1960" s="3" t="s">
        <v>2379</v>
      </c>
      <c r="H1960" s="3" t="s">
        <v>2379</v>
      </c>
      <c r="I1960" s="1">
        <v>1</v>
      </c>
      <c r="J1960">
        <v>1</v>
      </c>
      <c r="K1960" s="3" t="s">
        <v>2379</v>
      </c>
      <c r="P1960" s="3"/>
    </row>
    <row r="1961" spans="1:16" x14ac:dyDescent="0.25">
      <c r="A1961" s="3" t="s">
        <v>407</v>
      </c>
      <c r="B1961">
        <v>34.770000000000003</v>
      </c>
      <c r="C1961" t="str" cm="1">
        <f t="array" ref="C1961">_xlfn.IFS(B1961&lt;=18.5,  "Underweight",B1961&lt;=24.9,"Normal weight",B1961&lt;=29.9, "Over weight",B1961&gt;=30,"Obesity")</f>
        <v>Obesity</v>
      </c>
      <c r="D1961">
        <v>6.23</v>
      </c>
      <c r="E1961" t="str" cm="1">
        <f t="array" ref="E1961">_xlfn.IFS(D1961&lt;5.7,"Normal",D1961&lt;=6.4,"Prediabetes",D1961&gt;=6.5,"Diabetes")</f>
        <v>Prediabetes</v>
      </c>
      <c r="F1961" s="3" t="s">
        <v>2379</v>
      </c>
      <c r="G1961" s="3" t="s">
        <v>2379</v>
      </c>
      <c r="H1961" s="3" t="s">
        <v>2379</v>
      </c>
      <c r="I1961" s="1" t="s">
        <v>2380</v>
      </c>
      <c r="J1961">
        <v>0</v>
      </c>
      <c r="K1961" s="3" t="s">
        <v>2379</v>
      </c>
      <c r="P1961" s="3"/>
    </row>
    <row r="1962" spans="1:16" x14ac:dyDescent="0.25">
      <c r="A1962" s="3" t="s">
        <v>406</v>
      </c>
      <c r="B1962">
        <v>27.7</v>
      </c>
      <c r="C1962" t="str" cm="1">
        <f t="array" ref="C1962">_xlfn.IFS(B1962&lt;=18.5,  "Underweight",B1962&lt;=24.9,"Normal weight",B1962&lt;=29.9, "Over weight",B1962&gt;=30,"Obesity")</f>
        <v>Over weight</v>
      </c>
      <c r="D1962">
        <v>5.6</v>
      </c>
      <c r="E1962" t="str" cm="1">
        <f t="array" ref="E1962">_xlfn.IFS(D1962&lt;5.7,"Normal",D1962&lt;=6.4,"Prediabetes",D1962&gt;=6.5,"Diabetes")</f>
        <v>Normal</v>
      </c>
      <c r="F1962" s="3" t="s">
        <v>2379</v>
      </c>
      <c r="G1962" s="3" t="s">
        <v>2379</v>
      </c>
      <c r="H1962" s="3" t="s">
        <v>2379</v>
      </c>
      <c r="I1962" s="1">
        <v>1</v>
      </c>
      <c r="J1962">
        <v>1</v>
      </c>
      <c r="K1962" s="3" t="s">
        <v>2379</v>
      </c>
      <c r="P1962" s="3"/>
    </row>
    <row r="1963" spans="1:16" x14ac:dyDescent="0.25">
      <c r="A1963" s="3" t="s">
        <v>405</v>
      </c>
      <c r="B1963">
        <v>19.12</v>
      </c>
      <c r="C1963" t="str" cm="1">
        <f t="array" ref="C1963">_xlfn.IFS(B1963&lt;=18.5,  "Underweight",B1963&lt;=24.9,"Normal weight",B1963&lt;=29.9, "Over weight",B1963&gt;=30,"Obesity")</f>
        <v>Normal weight</v>
      </c>
      <c r="D1963">
        <v>4.72</v>
      </c>
      <c r="E1963" t="str" cm="1">
        <f t="array" ref="E1963">_xlfn.IFS(D1963&lt;5.7,"Normal",D1963&lt;=6.4,"Prediabetes",D1963&gt;=6.5,"Diabetes")</f>
        <v>Normal</v>
      </c>
      <c r="F1963" s="3" t="s">
        <v>2382</v>
      </c>
      <c r="G1963" s="3" t="s">
        <v>2379</v>
      </c>
      <c r="H1963" s="3" t="s">
        <v>2379</v>
      </c>
      <c r="I1963" s="1">
        <v>1</v>
      </c>
      <c r="J1963">
        <v>1</v>
      </c>
      <c r="K1963" s="3" t="s">
        <v>2379</v>
      </c>
      <c r="P1963" s="3"/>
    </row>
    <row r="1964" spans="1:16" x14ac:dyDescent="0.25">
      <c r="A1964" s="3" t="s">
        <v>404</v>
      </c>
      <c r="B1964">
        <v>32.67</v>
      </c>
      <c r="C1964" t="str" cm="1">
        <f t="array" ref="C1964">_xlfn.IFS(B1964&lt;=18.5,  "Underweight",B1964&lt;=24.9,"Normal weight",B1964&lt;=29.9, "Over weight",B1964&gt;=30,"Obesity")</f>
        <v>Obesity</v>
      </c>
      <c r="D1964">
        <v>4.67</v>
      </c>
      <c r="E1964" t="str" cm="1">
        <f t="array" ref="E1964">_xlfn.IFS(D1964&lt;5.7,"Normal",D1964&lt;=6.4,"Prediabetes",D1964&gt;=6.5,"Diabetes")</f>
        <v>Normal</v>
      </c>
      <c r="F1964" s="3" t="s">
        <v>2379</v>
      </c>
      <c r="G1964" s="3" t="s">
        <v>2379</v>
      </c>
      <c r="H1964" s="3" t="s">
        <v>2382</v>
      </c>
      <c r="I1964" s="1">
        <v>1</v>
      </c>
      <c r="J1964">
        <v>1</v>
      </c>
      <c r="K1964" s="3" t="s">
        <v>2379</v>
      </c>
      <c r="P1964" s="3"/>
    </row>
    <row r="1965" spans="1:16" x14ac:dyDescent="0.25">
      <c r="A1965" s="3" t="s">
        <v>403</v>
      </c>
      <c r="B1965">
        <v>28.5</v>
      </c>
      <c r="C1965" t="str" cm="1">
        <f t="array" ref="C1965">_xlfn.IFS(B1965&lt;=18.5,  "Underweight",B1965&lt;=24.9,"Normal weight",B1965&lt;=29.9, "Over weight",B1965&gt;=30,"Obesity")</f>
        <v>Over weight</v>
      </c>
      <c r="D1965">
        <v>6.11</v>
      </c>
      <c r="E1965" t="str" cm="1">
        <f t="array" ref="E1965">_xlfn.IFS(D1965&lt;5.7,"Normal",D1965&lt;=6.4,"Prediabetes",D1965&gt;=6.5,"Diabetes")</f>
        <v>Prediabetes</v>
      </c>
      <c r="F1965" s="3" t="s">
        <v>2379</v>
      </c>
      <c r="G1965" s="3" t="s">
        <v>2379</v>
      </c>
      <c r="H1965" s="3" t="s">
        <v>2379</v>
      </c>
      <c r="I1965" s="1">
        <v>1</v>
      </c>
      <c r="J1965">
        <v>1</v>
      </c>
      <c r="K1965" s="3" t="s">
        <v>2379</v>
      </c>
      <c r="P1965" s="3"/>
    </row>
    <row r="1966" spans="1:16" x14ac:dyDescent="0.25">
      <c r="A1966" s="3" t="s">
        <v>402</v>
      </c>
      <c r="B1966">
        <v>39.270000000000003</v>
      </c>
      <c r="C1966" t="str" cm="1">
        <f t="array" ref="C1966">_xlfn.IFS(B1966&lt;=18.5,  "Underweight",B1966&lt;=24.9,"Normal weight",B1966&lt;=29.9, "Over weight",B1966&gt;=30,"Obesity")</f>
        <v>Obesity</v>
      </c>
      <c r="D1966">
        <v>6.25</v>
      </c>
      <c r="E1966" t="str" cm="1">
        <f t="array" ref="E1966">_xlfn.IFS(D1966&lt;5.7,"Normal",D1966&lt;=6.4,"Prediabetes",D1966&gt;=6.5,"Diabetes")</f>
        <v>Prediabetes</v>
      </c>
      <c r="F1966" s="3" t="s">
        <v>2379</v>
      </c>
      <c r="G1966" s="3" t="s">
        <v>2379</v>
      </c>
      <c r="H1966" s="3" t="s">
        <v>2379</v>
      </c>
      <c r="I1966" s="1" t="s">
        <v>2380</v>
      </c>
      <c r="J1966">
        <v>0</v>
      </c>
      <c r="K1966" s="3" t="s">
        <v>2379</v>
      </c>
      <c r="P1966" s="3"/>
    </row>
    <row r="1967" spans="1:16" x14ac:dyDescent="0.25">
      <c r="A1967" s="3" t="s">
        <v>401</v>
      </c>
      <c r="B1967">
        <v>32.49</v>
      </c>
      <c r="C1967" t="str" cm="1">
        <f t="array" ref="C1967">_xlfn.IFS(B1967&lt;=18.5,  "Underweight",B1967&lt;=24.9,"Normal weight",B1967&lt;=29.9, "Over weight",B1967&gt;=30,"Obesity")</f>
        <v>Obesity</v>
      </c>
      <c r="D1967">
        <v>4</v>
      </c>
      <c r="E1967" t="str" cm="1">
        <f t="array" ref="E1967">_xlfn.IFS(D1967&lt;5.7,"Normal",D1967&lt;=6.4,"Prediabetes",D1967&gt;=6.5,"Diabetes")</f>
        <v>Normal</v>
      </c>
      <c r="F1967" s="3" t="s">
        <v>2382</v>
      </c>
      <c r="G1967" s="3" t="s">
        <v>2379</v>
      </c>
      <c r="H1967" s="3" t="s">
        <v>2379</v>
      </c>
      <c r="I1967" s="1" t="s">
        <v>2380</v>
      </c>
      <c r="J1967">
        <v>0</v>
      </c>
      <c r="K1967" s="3" t="s">
        <v>2379</v>
      </c>
      <c r="P1967" s="3"/>
    </row>
    <row r="1968" spans="1:16" x14ac:dyDescent="0.25">
      <c r="A1968" s="3" t="s">
        <v>400</v>
      </c>
      <c r="B1968">
        <v>23.7</v>
      </c>
      <c r="C1968" t="str" cm="1">
        <f t="array" ref="C1968">_xlfn.IFS(B1968&lt;=18.5,  "Underweight",B1968&lt;=24.9,"Normal weight",B1968&lt;=29.9, "Over weight",B1968&gt;=30,"Obesity")</f>
        <v>Normal weight</v>
      </c>
      <c r="D1968">
        <v>5.55</v>
      </c>
      <c r="E1968" t="str" cm="1">
        <f t="array" ref="E1968">_xlfn.IFS(D1968&lt;5.7,"Normal",D1968&lt;=6.4,"Prediabetes",D1968&gt;=6.5,"Diabetes")</f>
        <v>Normal</v>
      </c>
      <c r="F1968" s="3" t="s">
        <v>2382</v>
      </c>
      <c r="G1968" s="3" t="s">
        <v>2379</v>
      </c>
      <c r="H1968" s="3" t="s">
        <v>2379</v>
      </c>
      <c r="I1968" s="1" t="s">
        <v>2380</v>
      </c>
      <c r="J1968">
        <v>0</v>
      </c>
      <c r="K1968" s="3" t="s">
        <v>2379</v>
      </c>
      <c r="P1968" s="3"/>
    </row>
    <row r="1969" spans="1:16" x14ac:dyDescent="0.25">
      <c r="A1969" s="3" t="s">
        <v>399</v>
      </c>
      <c r="B1969">
        <v>30.4</v>
      </c>
      <c r="C1969" t="str" cm="1">
        <f t="array" ref="C1969">_xlfn.IFS(B1969&lt;=18.5,  "Underweight",B1969&lt;=24.9,"Normal weight",B1969&lt;=29.9, "Over weight",B1969&gt;=30,"Obesity")</f>
        <v>Obesity</v>
      </c>
      <c r="D1969">
        <v>5.95</v>
      </c>
      <c r="E1969" t="str" cm="1">
        <f t="array" ref="E1969">_xlfn.IFS(D1969&lt;5.7,"Normal",D1969&lt;=6.4,"Prediabetes",D1969&gt;=6.5,"Diabetes")</f>
        <v>Prediabetes</v>
      </c>
      <c r="F1969" s="3" t="s">
        <v>2379</v>
      </c>
      <c r="G1969" s="3" t="s">
        <v>2381</v>
      </c>
      <c r="H1969" s="3" t="s">
        <v>2379</v>
      </c>
      <c r="I1969" s="1">
        <v>1</v>
      </c>
      <c r="J1969">
        <v>1</v>
      </c>
      <c r="K1969" s="3" t="s">
        <v>2379</v>
      </c>
      <c r="P1969" s="3"/>
    </row>
    <row r="1970" spans="1:16" x14ac:dyDescent="0.25">
      <c r="A1970" s="3" t="s">
        <v>398</v>
      </c>
      <c r="B1970">
        <v>38.94</v>
      </c>
      <c r="C1970" t="str" cm="1">
        <f t="array" ref="C1970">_xlfn.IFS(B1970&lt;=18.5,  "Underweight",B1970&lt;=24.9,"Normal weight",B1970&lt;=29.9, "Over weight",B1970&gt;=30,"Obesity")</f>
        <v>Obesity</v>
      </c>
      <c r="D1970">
        <v>4.3600000000000003</v>
      </c>
      <c r="E1970" t="str" cm="1">
        <f t="array" ref="E1970">_xlfn.IFS(D1970&lt;5.7,"Normal",D1970&lt;=6.4,"Prediabetes",D1970&gt;=6.5,"Diabetes")</f>
        <v>Normal</v>
      </c>
      <c r="F1970" s="3" t="s">
        <v>2379</v>
      </c>
      <c r="G1970" s="3" t="s">
        <v>2379</v>
      </c>
      <c r="H1970" s="3" t="s">
        <v>2382</v>
      </c>
      <c r="I1970" s="1">
        <v>1</v>
      </c>
      <c r="J1970">
        <v>1</v>
      </c>
      <c r="K1970" s="3" t="s">
        <v>2379</v>
      </c>
      <c r="P1970" s="3"/>
    </row>
    <row r="1971" spans="1:16" x14ac:dyDescent="0.25">
      <c r="A1971" s="3" t="s">
        <v>397</v>
      </c>
      <c r="B1971">
        <v>31.02</v>
      </c>
      <c r="C1971" t="str" cm="1">
        <f t="array" ref="C1971">_xlfn.IFS(B1971&lt;=18.5,  "Underweight",B1971&lt;=24.9,"Normal weight",B1971&lt;=29.9, "Over weight",B1971&gt;=30,"Obesity")</f>
        <v>Obesity</v>
      </c>
      <c r="D1971">
        <v>4.84</v>
      </c>
      <c r="E1971" t="str" cm="1">
        <f t="array" ref="E1971">_xlfn.IFS(D1971&lt;5.7,"Normal",D1971&lt;=6.4,"Prediabetes",D1971&gt;=6.5,"Diabetes")</f>
        <v>Normal</v>
      </c>
      <c r="F1971" s="3" t="s">
        <v>2379</v>
      </c>
      <c r="G1971" s="3" t="s">
        <v>2379</v>
      </c>
      <c r="H1971" s="3" t="s">
        <v>2382</v>
      </c>
      <c r="I1971" s="1">
        <v>1</v>
      </c>
      <c r="J1971">
        <v>1</v>
      </c>
      <c r="K1971" s="3" t="s">
        <v>2379</v>
      </c>
      <c r="P1971" s="3"/>
    </row>
    <row r="1972" spans="1:16" x14ac:dyDescent="0.25">
      <c r="A1972" s="3" t="s">
        <v>396</v>
      </c>
      <c r="B1972">
        <v>17.5</v>
      </c>
      <c r="C1972" t="str" cm="1">
        <f t="array" ref="C1972">_xlfn.IFS(B1972&lt;=18.5,  "Underweight",B1972&lt;=24.9,"Normal weight",B1972&lt;=29.9, "Over weight",B1972&gt;=30,"Obesity")</f>
        <v>Underweight</v>
      </c>
      <c r="D1972">
        <v>4.5599999999999996</v>
      </c>
      <c r="E1972" t="str" cm="1">
        <f t="array" ref="E1972">_xlfn.IFS(D1972&lt;5.7,"Normal",D1972&lt;=6.4,"Prediabetes",D1972&gt;=6.5,"Diabetes")</f>
        <v>Normal</v>
      </c>
      <c r="F1972" s="3" t="s">
        <v>2379</v>
      </c>
      <c r="G1972" s="3" t="s">
        <v>2379</v>
      </c>
      <c r="H1972" s="3" t="s">
        <v>2379</v>
      </c>
      <c r="I1972" s="1">
        <v>1</v>
      </c>
      <c r="J1972">
        <v>1</v>
      </c>
      <c r="K1972" s="3" t="s">
        <v>2379</v>
      </c>
      <c r="P1972" s="3"/>
    </row>
    <row r="1973" spans="1:16" x14ac:dyDescent="0.25">
      <c r="A1973" s="3" t="s">
        <v>395</v>
      </c>
      <c r="B1973">
        <v>34.799999999999997</v>
      </c>
      <c r="C1973" t="str" cm="1">
        <f t="array" ref="C1973">_xlfn.IFS(B1973&lt;=18.5,  "Underweight",B1973&lt;=24.9,"Normal weight",B1973&lt;=29.9, "Over weight",B1973&gt;=30,"Obesity")</f>
        <v>Obesity</v>
      </c>
      <c r="D1973">
        <v>4.42</v>
      </c>
      <c r="E1973" t="str" cm="1">
        <f t="array" ref="E1973">_xlfn.IFS(D1973&lt;5.7,"Normal",D1973&lt;=6.4,"Prediabetes",D1973&gt;=6.5,"Diabetes")</f>
        <v>Normal</v>
      </c>
      <c r="F1973" s="3" t="s">
        <v>2382</v>
      </c>
      <c r="G1973" s="3" t="s">
        <v>2381</v>
      </c>
      <c r="H1973" s="3" t="s">
        <v>2379</v>
      </c>
      <c r="I1973" s="1">
        <v>2</v>
      </c>
      <c r="J1973">
        <v>2</v>
      </c>
      <c r="K1973" s="3" t="s">
        <v>2379</v>
      </c>
      <c r="P1973" s="3"/>
    </row>
    <row r="1974" spans="1:16" x14ac:dyDescent="0.25">
      <c r="A1974" s="3" t="s">
        <v>394</v>
      </c>
      <c r="B1974">
        <v>17.3</v>
      </c>
      <c r="C1974" t="str" cm="1">
        <f t="array" ref="C1974">_xlfn.IFS(B1974&lt;=18.5,  "Underweight",B1974&lt;=24.9,"Normal weight",B1974&lt;=29.9, "Over weight",B1974&gt;=30,"Obesity")</f>
        <v>Underweight</v>
      </c>
      <c r="D1974">
        <v>7.66</v>
      </c>
      <c r="E1974" t="str" cm="1">
        <f t="array" ref="E1974">_xlfn.IFS(D1974&lt;5.7,"Normal",D1974&lt;=6.4,"Prediabetes",D1974&gt;=6.5,"Diabetes")</f>
        <v>Diabetes</v>
      </c>
      <c r="F1974" s="3" t="s">
        <v>2382</v>
      </c>
      <c r="G1974" s="3" t="s">
        <v>2379</v>
      </c>
      <c r="H1974" s="3" t="s">
        <v>2379</v>
      </c>
      <c r="I1974" s="1">
        <v>1</v>
      </c>
      <c r="J1974">
        <v>1</v>
      </c>
      <c r="K1974" s="3" t="s">
        <v>2379</v>
      </c>
      <c r="P1974" s="3"/>
    </row>
    <row r="1975" spans="1:16" x14ac:dyDescent="0.25">
      <c r="A1975" s="3" t="s">
        <v>393</v>
      </c>
      <c r="B1975">
        <v>32.25</v>
      </c>
      <c r="C1975" t="str" cm="1">
        <f t="array" ref="C1975">_xlfn.IFS(B1975&lt;=18.5,  "Underweight",B1975&lt;=24.9,"Normal weight",B1975&lt;=29.9, "Over weight",B1975&gt;=30,"Obesity")</f>
        <v>Obesity</v>
      </c>
      <c r="D1975">
        <v>5.2</v>
      </c>
      <c r="E1975" t="str" cm="1">
        <f t="array" ref="E1975">_xlfn.IFS(D1975&lt;5.7,"Normal",D1975&lt;=6.4,"Prediabetes",D1975&gt;=6.5,"Diabetes")</f>
        <v>Normal</v>
      </c>
      <c r="F1975" s="3" t="s">
        <v>2382</v>
      </c>
      <c r="G1975" s="3" t="s">
        <v>2379</v>
      </c>
      <c r="H1975" s="3" t="s">
        <v>2379</v>
      </c>
      <c r="I1975" s="1" t="s">
        <v>2380</v>
      </c>
      <c r="J1975">
        <v>0</v>
      </c>
      <c r="K1975" s="3" t="s">
        <v>2379</v>
      </c>
      <c r="P1975" s="3"/>
    </row>
    <row r="1976" spans="1:16" x14ac:dyDescent="0.25">
      <c r="A1976" s="3" t="s">
        <v>392</v>
      </c>
      <c r="B1976">
        <v>42.4</v>
      </c>
      <c r="C1976" t="str" cm="1">
        <f t="array" ref="C1976">_xlfn.IFS(B1976&lt;=18.5,  "Underweight",B1976&lt;=24.9,"Normal weight",B1976&lt;=29.9, "Over weight",B1976&gt;=30,"Obesity")</f>
        <v>Obesity</v>
      </c>
      <c r="D1976">
        <v>5.53</v>
      </c>
      <c r="E1976" t="str" cm="1">
        <f t="array" ref="E1976">_xlfn.IFS(D1976&lt;5.7,"Normal",D1976&lt;=6.4,"Prediabetes",D1976&gt;=6.5,"Diabetes")</f>
        <v>Normal</v>
      </c>
      <c r="F1976" s="3" t="s">
        <v>2382</v>
      </c>
      <c r="G1976" s="3" t="s">
        <v>2379</v>
      </c>
      <c r="H1976" s="3" t="s">
        <v>2379</v>
      </c>
      <c r="I1976" s="1" t="s">
        <v>2380</v>
      </c>
      <c r="J1976">
        <v>0</v>
      </c>
      <c r="K1976" s="3" t="s">
        <v>2379</v>
      </c>
      <c r="P1976" s="3"/>
    </row>
    <row r="1977" spans="1:16" x14ac:dyDescent="0.25">
      <c r="A1977" s="3" t="s">
        <v>391</v>
      </c>
      <c r="B1977">
        <v>38.664999999999999</v>
      </c>
      <c r="C1977" t="str" cm="1">
        <f t="array" ref="C1977">_xlfn.IFS(B1977&lt;=18.5,  "Underweight",B1977&lt;=24.9,"Normal weight",B1977&lt;=29.9, "Over weight",B1977&gt;=30,"Obesity")</f>
        <v>Obesity</v>
      </c>
      <c r="D1977">
        <v>4.8600000000000003</v>
      </c>
      <c r="E1977" t="str" cm="1">
        <f t="array" ref="E1977">_xlfn.IFS(D1977&lt;5.7,"Normal",D1977&lt;=6.4,"Prediabetes",D1977&gt;=6.5,"Diabetes")</f>
        <v>Normal</v>
      </c>
      <c r="F1977" s="3" t="s">
        <v>2379</v>
      </c>
      <c r="G1977" s="3" t="s">
        <v>2381</v>
      </c>
      <c r="H1977" s="3" t="s">
        <v>2379</v>
      </c>
      <c r="I1977" s="1">
        <v>1</v>
      </c>
      <c r="J1977">
        <v>1</v>
      </c>
      <c r="K1977" s="3" t="s">
        <v>2379</v>
      </c>
      <c r="P1977" s="3"/>
    </row>
    <row r="1978" spans="1:16" x14ac:dyDescent="0.25">
      <c r="A1978" s="3" t="s">
        <v>390</v>
      </c>
      <c r="B1978">
        <v>29.92</v>
      </c>
      <c r="C1978" t="e" cm="1">
        <f t="array" ref="C1978">_xlfn.IFS(B1978&lt;=18.5,  "Underweight",B1978&lt;=24.9,"Normal weight",B1978&lt;=29.9, "Over weight",B1978&gt;=30,"Obesity")</f>
        <v>#N/A</v>
      </c>
      <c r="D1978">
        <v>5.49</v>
      </c>
      <c r="E1978" t="str" cm="1">
        <f t="array" ref="E1978">_xlfn.IFS(D1978&lt;5.7,"Normal",D1978&lt;=6.4,"Prediabetes",D1978&gt;=6.5,"Diabetes")</f>
        <v>Normal</v>
      </c>
      <c r="F1978" s="3" t="s">
        <v>2382</v>
      </c>
      <c r="G1978" s="3" t="s">
        <v>2379</v>
      </c>
      <c r="H1978" s="3" t="s">
        <v>2379</v>
      </c>
      <c r="I1978" s="1" t="s">
        <v>2380</v>
      </c>
      <c r="J1978">
        <v>0</v>
      </c>
      <c r="K1978" s="3" t="s">
        <v>2379</v>
      </c>
      <c r="P1978" s="3"/>
    </row>
    <row r="1979" spans="1:16" x14ac:dyDescent="0.25">
      <c r="A1979" s="3" t="s">
        <v>389</v>
      </c>
      <c r="B1979">
        <v>29.48</v>
      </c>
      <c r="C1979" t="str" cm="1">
        <f t="array" ref="C1979">_xlfn.IFS(B1979&lt;=18.5,  "Underweight",B1979&lt;=24.9,"Normal weight",B1979&lt;=29.9, "Over weight",B1979&gt;=30,"Obesity")</f>
        <v>Over weight</v>
      </c>
      <c r="D1979">
        <v>4.09</v>
      </c>
      <c r="E1979" t="str" cm="1">
        <f t="array" ref="E1979">_xlfn.IFS(D1979&lt;5.7,"Normal",D1979&lt;=6.4,"Prediabetes",D1979&gt;=6.5,"Diabetes")</f>
        <v>Normal</v>
      </c>
      <c r="F1979" s="3" t="s">
        <v>2382</v>
      </c>
      <c r="G1979" s="3" t="s">
        <v>2379</v>
      </c>
      <c r="H1979" s="3" t="s">
        <v>2379</v>
      </c>
      <c r="I1979" s="1" t="s">
        <v>2380</v>
      </c>
      <c r="J1979">
        <v>0</v>
      </c>
      <c r="K1979" s="3" t="s">
        <v>2379</v>
      </c>
      <c r="P1979" s="3"/>
    </row>
    <row r="1980" spans="1:16" x14ac:dyDescent="0.25">
      <c r="A1980" s="3" t="s">
        <v>388</v>
      </c>
      <c r="B1980">
        <v>28.785</v>
      </c>
      <c r="C1980" t="str" cm="1">
        <f t="array" ref="C1980">_xlfn.IFS(B1980&lt;=18.5,  "Underweight",B1980&lt;=24.9,"Normal weight",B1980&lt;=29.9, "Over weight",B1980&gt;=30,"Obesity")</f>
        <v>Over weight</v>
      </c>
      <c r="D1980">
        <v>4.3099999999999996</v>
      </c>
      <c r="E1980" t="str" cm="1">
        <f t="array" ref="E1980">_xlfn.IFS(D1980&lt;5.7,"Normal",D1980&lt;=6.4,"Prediabetes",D1980&gt;=6.5,"Diabetes")</f>
        <v>Normal</v>
      </c>
      <c r="F1980" s="3" t="s">
        <v>2382</v>
      </c>
      <c r="G1980" s="3" t="s">
        <v>2379</v>
      </c>
      <c r="H1980" s="3" t="s">
        <v>2379</v>
      </c>
      <c r="I1980" s="1" t="s">
        <v>2380</v>
      </c>
      <c r="J1980">
        <v>0</v>
      </c>
      <c r="K1980" s="3" t="s">
        <v>2379</v>
      </c>
      <c r="P1980" s="3"/>
    </row>
    <row r="1981" spans="1:16" x14ac:dyDescent="0.25">
      <c r="A1981" s="3" t="s">
        <v>387</v>
      </c>
      <c r="B1981">
        <v>19.8</v>
      </c>
      <c r="C1981" t="str" cm="1">
        <f t="array" ref="C1981">_xlfn.IFS(B1981&lt;=18.5,  "Underweight",B1981&lt;=24.9,"Normal weight",B1981&lt;=29.9, "Over weight",B1981&gt;=30,"Obesity")</f>
        <v>Normal weight</v>
      </c>
      <c r="D1981">
        <v>4</v>
      </c>
      <c r="E1981" t="str" cm="1">
        <f t="array" ref="E1981">_xlfn.IFS(D1981&lt;5.7,"Normal",D1981&lt;=6.4,"Prediabetes",D1981&gt;=6.5,"Diabetes")</f>
        <v>Normal</v>
      </c>
      <c r="F1981" s="3" t="s">
        <v>2382</v>
      </c>
      <c r="G1981" s="3" t="s">
        <v>2379</v>
      </c>
      <c r="H1981" s="3" t="s">
        <v>2379</v>
      </c>
      <c r="I1981" s="1" t="s">
        <v>2380</v>
      </c>
      <c r="J1981">
        <v>0</v>
      </c>
      <c r="K1981" s="3" t="s">
        <v>2379</v>
      </c>
      <c r="P1981" s="3"/>
    </row>
    <row r="1982" spans="1:16" x14ac:dyDescent="0.25">
      <c r="A1982" s="3" t="s">
        <v>386</v>
      </c>
      <c r="B1982">
        <v>35.53</v>
      </c>
      <c r="C1982" t="str" cm="1">
        <f t="array" ref="C1982">_xlfn.IFS(B1982&lt;=18.5,  "Underweight",B1982&lt;=24.9,"Normal weight",B1982&lt;=29.9, "Over weight",B1982&gt;=30,"Obesity")</f>
        <v>Obesity</v>
      </c>
      <c r="D1982">
        <v>4.68</v>
      </c>
      <c r="E1982" t="str" cm="1">
        <f t="array" ref="E1982">_xlfn.IFS(D1982&lt;5.7,"Normal",D1982&lt;=6.4,"Prediabetes",D1982&gt;=6.5,"Diabetes")</f>
        <v>Normal</v>
      </c>
      <c r="F1982" s="3" t="s">
        <v>2379</v>
      </c>
      <c r="G1982" s="3" t="s">
        <v>2379</v>
      </c>
      <c r="H1982" s="3" t="s">
        <v>2382</v>
      </c>
      <c r="I1982" s="1">
        <v>1</v>
      </c>
      <c r="J1982">
        <v>1</v>
      </c>
      <c r="K1982" s="3" t="s">
        <v>2379</v>
      </c>
      <c r="P1982" s="3"/>
    </row>
    <row r="1983" spans="1:16" x14ac:dyDescent="0.25">
      <c r="A1983" s="3" t="s">
        <v>385</v>
      </c>
      <c r="B1983">
        <v>21.47</v>
      </c>
      <c r="C1983" t="str" cm="1">
        <f t="array" ref="C1983">_xlfn.IFS(B1983&lt;=18.5,  "Underweight",B1983&lt;=24.9,"Normal weight",B1983&lt;=29.9, "Over weight",B1983&gt;=30,"Obesity")</f>
        <v>Normal weight</v>
      </c>
      <c r="D1983">
        <v>4.0199999999999996</v>
      </c>
      <c r="E1983" t="str" cm="1">
        <f t="array" ref="E1983">_xlfn.IFS(D1983&lt;5.7,"Normal",D1983&lt;=6.4,"Prediabetes",D1983&gt;=6.5,"Diabetes")</f>
        <v>Normal</v>
      </c>
      <c r="F1983" s="3" t="s">
        <v>2382</v>
      </c>
      <c r="G1983" s="3" t="s">
        <v>2379</v>
      </c>
      <c r="H1983" s="3" t="s">
        <v>2379</v>
      </c>
      <c r="I1983" s="1">
        <v>1</v>
      </c>
      <c r="J1983">
        <v>1</v>
      </c>
      <c r="K1983" s="3" t="s">
        <v>2379</v>
      </c>
      <c r="P1983" s="3"/>
    </row>
    <row r="1984" spans="1:16" x14ac:dyDescent="0.25">
      <c r="A1984" s="3" t="s">
        <v>384</v>
      </c>
      <c r="B1984">
        <v>25.9</v>
      </c>
      <c r="C1984" t="str" cm="1">
        <f t="array" ref="C1984">_xlfn.IFS(B1984&lt;=18.5,  "Underweight",B1984&lt;=24.9,"Normal weight",B1984&lt;=29.9, "Over weight",B1984&gt;=30,"Obesity")</f>
        <v>Over weight</v>
      </c>
      <c r="D1984">
        <v>5.12</v>
      </c>
      <c r="E1984" t="str" cm="1">
        <f t="array" ref="E1984">_xlfn.IFS(D1984&lt;5.7,"Normal",D1984&lt;=6.4,"Prediabetes",D1984&gt;=6.5,"Diabetes")</f>
        <v>Normal</v>
      </c>
      <c r="F1984" s="3" t="s">
        <v>2379</v>
      </c>
      <c r="G1984" s="3" t="s">
        <v>2379</v>
      </c>
      <c r="H1984" s="3" t="s">
        <v>2382</v>
      </c>
      <c r="I1984" s="1">
        <v>1</v>
      </c>
      <c r="J1984">
        <v>1</v>
      </c>
      <c r="K1984" s="3" t="s">
        <v>2379</v>
      </c>
      <c r="P1984" s="3"/>
    </row>
    <row r="1985" spans="1:16" x14ac:dyDescent="0.25">
      <c r="A1985" s="3" t="s">
        <v>383</v>
      </c>
      <c r="B1985">
        <v>20.81</v>
      </c>
      <c r="C1985" t="str" cm="1">
        <f t="array" ref="C1985">_xlfn.IFS(B1985&lt;=18.5,  "Underweight",B1985&lt;=24.9,"Normal weight",B1985&lt;=29.9, "Over weight",B1985&gt;=30,"Obesity")</f>
        <v>Normal weight</v>
      </c>
      <c r="D1985">
        <v>5.52</v>
      </c>
      <c r="E1985" t="str" cm="1">
        <f t="array" ref="E1985">_xlfn.IFS(D1985&lt;5.7,"Normal",D1985&lt;=6.4,"Prediabetes",D1985&gt;=6.5,"Diabetes")</f>
        <v>Normal</v>
      </c>
      <c r="F1985" s="3" t="s">
        <v>2379</v>
      </c>
      <c r="G1985" s="3" t="s">
        <v>2379</v>
      </c>
      <c r="H1985" s="3" t="s">
        <v>2379</v>
      </c>
      <c r="I1985" s="1" t="s">
        <v>2380</v>
      </c>
      <c r="J1985">
        <v>0</v>
      </c>
      <c r="K1985" s="3" t="s">
        <v>2379</v>
      </c>
      <c r="P1985" s="3"/>
    </row>
    <row r="1986" spans="1:16" x14ac:dyDescent="0.25">
      <c r="A1986" s="3" t="s">
        <v>382</v>
      </c>
      <c r="B1986">
        <v>25.84</v>
      </c>
      <c r="C1986" t="str" cm="1">
        <f t="array" ref="C1986">_xlfn.IFS(B1986&lt;=18.5,  "Underweight",B1986&lt;=24.9,"Normal weight",B1986&lt;=29.9, "Over weight",B1986&gt;=30,"Obesity")</f>
        <v>Over weight</v>
      </c>
      <c r="D1986">
        <v>5.81</v>
      </c>
      <c r="E1986" t="str" cm="1">
        <f t="array" ref="E1986">_xlfn.IFS(D1986&lt;5.7,"Normal",D1986&lt;=6.4,"Prediabetes",D1986&gt;=6.5,"Diabetes")</f>
        <v>Prediabetes</v>
      </c>
      <c r="F1986" s="3" t="s">
        <v>2382</v>
      </c>
      <c r="G1986" s="3" t="s">
        <v>2379</v>
      </c>
      <c r="H1986" s="3" t="s">
        <v>2382</v>
      </c>
      <c r="I1986" s="1">
        <v>1</v>
      </c>
      <c r="J1986">
        <v>1</v>
      </c>
      <c r="K1986" s="3" t="s">
        <v>2379</v>
      </c>
      <c r="P1986" s="3"/>
    </row>
    <row r="1987" spans="1:16" x14ac:dyDescent="0.25">
      <c r="A1987" s="3" t="s">
        <v>381</v>
      </c>
      <c r="B1987">
        <v>30.95</v>
      </c>
      <c r="C1987" t="str" cm="1">
        <f t="array" ref="C1987">_xlfn.IFS(B1987&lt;=18.5,  "Underweight",B1987&lt;=24.9,"Normal weight",B1987&lt;=29.9, "Over weight",B1987&gt;=30,"Obesity")</f>
        <v>Obesity</v>
      </c>
      <c r="D1987">
        <v>5.16</v>
      </c>
      <c r="E1987" t="str" cm="1">
        <f t="array" ref="E1987">_xlfn.IFS(D1987&lt;5.7,"Normal",D1987&lt;=6.4,"Prediabetes",D1987&gt;=6.5,"Diabetes")</f>
        <v>Normal</v>
      </c>
      <c r="F1987" s="3" t="s">
        <v>2379</v>
      </c>
      <c r="G1987" s="3" t="s">
        <v>2379</v>
      </c>
      <c r="H1987" s="3" t="s">
        <v>2382</v>
      </c>
      <c r="I1987" s="1">
        <v>1</v>
      </c>
      <c r="J1987">
        <v>1</v>
      </c>
      <c r="K1987" s="3" t="s">
        <v>2379</v>
      </c>
      <c r="P1987" s="3"/>
    </row>
    <row r="1988" spans="1:16" x14ac:dyDescent="0.25">
      <c r="A1988" s="3" t="s">
        <v>380</v>
      </c>
      <c r="B1988">
        <v>30.54</v>
      </c>
      <c r="C1988" t="str" cm="1">
        <f t="array" ref="C1988">_xlfn.IFS(B1988&lt;=18.5,  "Underweight",B1988&lt;=24.9,"Normal weight",B1988&lt;=29.9, "Over weight",B1988&gt;=30,"Obesity")</f>
        <v>Obesity</v>
      </c>
      <c r="D1988">
        <v>5</v>
      </c>
      <c r="E1988" t="str" cm="1">
        <f t="array" ref="E1988">_xlfn.IFS(D1988&lt;5.7,"Normal",D1988&lt;=6.4,"Prediabetes",D1988&gt;=6.5,"Diabetes")</f>
        <v>Normal</v>
      </c>
      <c r="F1988" s="3" t="s">
        <v>2379</v>
      </c>
      <c r="G1988" s="3" t="s">
        <v>2379</v>
      </c>
      <c r="H1988" s="3" t="s">
        <v>2382</v>
      </c>
      <c r="I1988" s="1">
        <v>1</v>
      </c>
      <c r="J1988">
        <v>1</v>
      </c>
      <c r="K1988" s="3" t="s">
        <v>2379</v>
      </c>
      <c r="P1988" s="3"/>
    </row>
    <row r="1989" spans="1:16" x14ac:dyDescent="0.25">
      <c r="A1989" s="3" t="s">
        <v>379</v>
      </c>
      <c r="B1989">
        <v>33.914999999999999</v>
      </c>
      <c r="C1989" t="str" cm="1">
        <f t="array" ref="C1989">_xlfn.IFS(B1989&lt;=18.5,  "Underweight",B1989&lt;=24.9,"Normal weight",B1989&lt;=29.9, "Over weight",B1989&gt;=30,"Obesity")</f>
        <v>Obesity</v>
      </c>
      <c r="D1989">
        <v>5.84</v>
      </c>
      <c r="E1989" t="str" cm="1">
        <f t="array" ref="E1989">_xlfn.IFS(D1989&lt;5.7,"Normal",D1989&lt;=6.4,"Prediabetes",D1989&gt;=6.5,"Diabetes")</f>
        <v>Prediabetes</v>
      </c>
      <c r="F1989" s="3" t="s">
        <v>2382</v>
      </c>
      <c r="G1989" s="3" t="s">
        <v>2379</v>
      </c>
      <c r="H1989" s="3" t="s">
        <v>2379</v>
      </c>
      <c r="I1989" s="1" t="s">
        <v>2380</v>
      </c>
      <c r="J1989">
        <v>0</v>
      </c>
      <c r="K1989" s="3" t="s">
        <v>2379</v>
      </c>
      <c r="P1989" s="3"/>
    </row>
    <row r="1990" spans="1:16" x14ac:dyDescent="0.25">
      <c r="A1990" s="3" t="s">
        <v>378</v>
      </c>
      <c r="B1990">
        <v>33.31</v>
      </c>
      <c r="C1990" t="str" cm="1">
        <f t="array" ref="C1990">_xlfn.IFS(B1990&lt;=18.5,  "Underweight",B1990&lt;=24.9,"Normal weight",B1990&lt;=29.9, "Over weight",B1990&gt;=30,"Obesity")</f>
        <v>Obesity</v>
      </c>
      <c r="D1990">
        <v>4.1900000000000004</v>
      </c>
      <c r="E1990" t="str" cm="1">
        <f t="array" ref="E1990">_xlfn.IFS(D1990&lt;5.7,"Normal",D1990&lt;=6.4,"Prediabetes",D1990&gt;=6.5,"Diabetes")</f>
        <v>Normal</v>
      </c>
      <c r="F1990" s="3" t="s">
        <v>2379</v>
      </c>
      <c r="G1990" s="3" t="s">
        <v>2379</v>
      </c>
      <c r="H1990" s="3" t="s">
        <v>2382</v>
      </c>
      <c r="I1990" s="1">
        <v>1</v>
      </c>
      <c r="J1990">
        <v>1</v>
      </c>
      <c r="K1990" s="3" t="s">
        <v>2379</v>
      </c>
      <c r="P1990" s="3"/>
    </row>
    <row r="1991" spans="1:16" x14ac:dyDescent="0.25">
      <c r="A1991" s="3" t="s">
        <v>377</v>
      </c>
      <c r="B1991">
        <v>25.745000000000001</v>
      </c>
      <c r="C1991" t="str" cm="1">
        <f t="array" ref="C1991">_xlfn.IFS(B1991&lt;=18.5,  "Underweight",B1991&lt;=24.9,"Normal weight",B1991&lt;=29.9, "Over weight",B1991&gt;=30,"Obesity")</f>
        <v>Over weight</v>
      </c>
      <c r="D1991">
        <v>4.62</v>
      </c>
      <c r="E1991" t="str" cm="1">
        <f t="array" ref="E1991">_xlfn.IFS(D1991&lt;5.7,"Normal",D1991&lt;=6.4,"Prediabetes",D1991&gt;=6.5,"Diabetes")</f>
        <v>Normal</v>
      </c>
      <c r="F1991" s="3" t="s">
        <v>2382</v>
      </c>
      <c r="G1991" s="3" t="s">
        <v>2379</v>
      </c>
      <c r="H1991" s="3" t="s">
        <v>2379</v>
      </c>
      <c r="I1991" s="1" t="s">
        <v>2380</v>
      </c>
      <c r="J1991">
        <v>0</v>
      </c>
      <c r="K1991" s="3" t="s">
        <v>2379</v>
      </c>
      <c r="P1991" s="3"/>
    </row>
    <row r="1992" spans="1:16" x14ac:dyDescent="0.25">
      <c r="A1992" s="3" t="s">
        <v>376</v>
      </c>
      <c r="B1992">
        <v>37.1</v>
      </c>
      <c r="C1992" t="str" cm="1">
        <f t="array" ref="C1992">_xlfn.IFS(B1992&lt;=18.5,  "Underweight",B1992&lt;=24.9,"Normal weight",B1992&lt;=29.9, "Over weight",B1992&gt;=30,"Obesity")</f>
        <v>Obesity</v>
      </c>
      <c r="D1992">
        <v>6.24</v>
      </c>
      <c r="E1992" t="str" cm="1">
        <f t="array" ref="E1992">_xlfn.IFS(D1992&lt;5.7,"Normal",D1992&lt;=6.4,"Prediabetes",D1992&gt;=6.5,"Diabetes")</f>
        <v>Prediabetes</v>
      </c>
      <c r="F1992" s="3" t="s">
        <v>2379</v>
      </c>
      <c r="G1992" s="3" t="s">
        <v>2379</v>
      </c>
      <c r="H1992" s="3" t="s">
        <v>2379</v>
      </c>
      <c r="I1992" s="1" t="s">
        <v>2380</v>
      </c>
      <c r="J1992">
        <v>0</v>
      </c>
      <c r="K1992" s="3" t="s">
        <v>2379</v>
      </c>
      <c r="P1992" s="3"/>
    </row>
    <row r="1993" spans="1:16" x14ac:dyDescent="0.25">
      <c r="A1993" s="3" t="s">
        <v>375</v>
      </c>
      <c r="B1993">
        <v>35.435000000000002</v>
      </c>
      <c r="C1993" t="str" cm="1">
        <f t="array" ref="C1993">_xlfn.IFS(B1993&lt;=18.5,  "Underweight",B1993&lt;=24.9,"Normal weight",B1993&lt;=29.9, "Over weight",B1993&gt;=30,"Obesity")</f>
        <v>Obesity</v>
      </c>
      <c r="D1993">
        <v>5.81</v>
      </c>
      <c r="E1993" t="str" cm="1">
        <f t="array" ref="E1993">_xlfn.IFS(D1993&lt;5.7,"Normal",D1993&lt;=6.4,"Prediabetes",D1993&gt;=6.5,"Diabetes")</f>
        <v>Prediabetes</v>
      </c>
      <c r="F1993" s="3" t="s">
        <v>2379</v>
      </c>
      <c r="G1993" s="3" t="s">
        <v>2379</v>
      </c>
      <c r="H1993" s="3" t="s">
        <v>2379</v>
      </c>
      <c r="I1993" s="1" t="s">
        <v>2380</v>
      </c>
      <c r="J1993">
        <v>0</v>
      </c>
      <c r="K1993" s="3" t="s">
        <v>2379</v>
      </c>
      <c r="P1993" s="3"/>
    </row>
    <row r="1994" spans="1:16" x14ac:dyDescent="0.25">
      <c r="A1994" s="3" t="s">
        <v>374</v>
      </c>
      <c r="B1994">
        <v>20.399999999999999</v>
      </c>
      <c r="C1994" t="str" cm="1">
        <f t="array" ref="C1994">_xlfn.IFS(B1994&lt;=18.5,  "Underweight",B1994&lt;=24.9,"Normal weight",B1994&lt;=29.9, "Over weight",B1994&gt;=30,"Obesity")</f>
        <v>Normal weight</v>
      </c>
      <c r="D1994">
        <v>4.83</v>
      </c>
      <c r="E1994" t="str" cm="1">
        <f t="array" ref="E1994">_xlfn.IFS(D1994&lt;5.7,"Normal",D1994&lt;=6.4,"Prediabetes",D1994&gt;=6.5,"Diabetes")</f>
        <v>Normal</v>
      </c>
      <c r="F1994" s="3" t="s">
        <v>2379</v>
      </c>
      <c r="G1994" s="3" t="s">
        <v>2379</v>
      </c>
      <c r="H1994" s="3" t="s">
        <v>2379</v>
      </c>
      <c r="I1994" s="1" t="s">
        <v>2380</v>
      </c>
      <c r="J1994">
        <v>0</v>
      </c>
      <c r="K1994" s="3" t="s">
        <v>2379</v>
      </c>
      <c r="P1994" s="3"/>
    </row>
    <row r="1995" spans="1:16" x14ac:dyDescent="0.25">
      <c r="A1995" s="3" t="s">
        <v>373</v>
      </c>
      <c r="B1995">
        <v>42.13</v>
      </c>
      <c r="C1995" t="str" cm="1">
        <f t="array" ref="C1995">_xlfn.IFS(B1995&lt;=18.5,  "Underweight",B1995&lt;=24.9,"Normal weight",B1995&lt;=29.9, "Over weight",B1995&gt;=30,"Obesity")</f>
        <v>Obesity</v>
      </c>
      <c r="D1995">
        <v>5.72</v>
      </c>
      <c r="E1995" t="str" cm="1">
        <f t="array" ref="E1995">_xlfn.IFS(D1995&lt;5.7,"Normal",D1995&lt;=6.4,"Prediabetes",D1995&gt;=6.5,"Diabetes")</f>
        <v>Prediabetes</v>
      </c>
      <c r="F1995" s="3" t="s">
        <v>2382</v>
      </c>
      <c r="G1995" s="3" t="s">
        <v>2379</v>
      </c>
      <c r="H1995" s="3" t="s">
        <v>2382</v>
      </c>
      <c r="I1995" s="1">
        <v>1</v>
      </c>
      <c r="J1995">
        <v>1</v>
      </c>
      <c r="K1995" s="3" t="s">
        <v>2379</v>
      </c>
      <c r="P1995" s="3"/>
    </row>
    <row r="1996" spans="1:16" x14ac:dyDescent="0.25">
      <c r="A1996" s="3" t="s">
        <v>372</v>
      </c>
      <c r="B1996">
        <v>33.99</v>
      </c>
      <c r="C1996" t="str" cm="1">
        <f t="array" ref="C1996">_xlfn.IFS(B1996&lt;=18.5,  "Underweight",B1996&lt;=24.9,"Normal weight",B1996&lt;=29.9, "Over weight",B1996&gt;=30,"Obesity")</f>
        <v>Obesity</v>
      </c>
      <c r="D1996">
        <v>4.83</v>
      </c>
      <c r="E1996" t="str" cm="1">
        <f t="array" ref="E1996">_xlfn.IFS(D1996&lt;5.7,"Normal",D1996&lt;=6.4,"Prediabetes",D1996&gt;=6.5,"Diabetes")</f>
        <v>Normal</v>
      </c>
      <c r="F1996" s="3" t="s">
        <v>2382</v>
      </c>
      <c r="G1996" s="3" t="s">
        <v>2379</v>
      </c>
      <c r="H1996" s="3" t="s">
        <v>2382</v>
      </c>
      <c r="I1996" s="1">
        <v>1</v>
      </c>
      <c r="J1996">
        <v>1</v>
      </c>
      <c r="K1996" s="3" t="s">
        <v>2379</v>
      </c>
      <c r="P1996" s="3"/>
    </row>
    <row r="1997" spans="1:16" x14ac:dyDescent="0.25">
      <c r="A1997" s="3" t="s">
        <v>371</v>
      </c>
      <c r="B1997">
        <v>28.594999999999999</v>
      </c>
      <c r="C1997" t="str" cm="1">
        <f t="array" ref="C1997">_xlfn.IFS(B1997&lt;=18.5,  "Underweight",B1997&lt;=24.9,"Normal weight",B1997&lt;=29.9, "Over weight",B1997&gt;=30,"Obesity")</f>
        <v>Over weight</v>
      </c>
      <c r="D1997">
        <v>4.1399999999999997</v>
      </c>
      <c r="E1997" t="str" cm="1">
        <f t="array" ref="E1997">_xlfn.IFS(D1997&lt;5.7,"Normal",D1997&lt;=6.4,"Prediabetes",D1997&gt;=6.5,"Diabetes")</f>
        <v>Normal</v>
      </c>
      <c r="F1997" s="3" t="s">
        <v>2382</v>
      </c>
      <c r="G1997" s="3" t="s">
        <v>2379</v>
      </c>
      <c r="H1997" s="3" t="s">
        <v>2382</v>
      </c>
      <c r="I1997" s="1">
        <v>1</v>
      </c>
      <c r="J1997">
        <v>1</v>
      </c>
      <c r="K1997" s="3" t="s">
        <v>2379</v>
      </c>
      <c r="P1997" s="3"/>
    </row>
    <row r="1998" spans="1:16" x14ac:dyDescent="0.25">
      <c r="A1998" s="3" t="s">
        <v>370</v>
      </c>
      <c r="B1998">
        <v>20.8</v>
      </c>
      <c r="C1998" t="str" cm="1">
        <f t="array" ref="C1998">_xlfn.IFS(B1998&lt;=18.5,  "Underweight",B1998&lt;=24.9,"Normal weight",B1998&lt;=29.9, "Over weight",B1998&gt;=30,"Obesity")</f>
        <v>Normal weight</v>
      </c>
      <c r="D1998">
        <v>4.07</v>
      </c>
      <c r="E1998" t="str" cm="1">
        <f t="array" ref="E1998">_xlfn.IFS(D1998&lt;5.7,"Normal",D1998&lt;=6.4,"Prediabetes",D1998&gt;=6.5,"Diabetes")</f>
        <v>Normal</v>
      </c>
      <c r="F1998" s="3" t="s">
        <v>2382</v>
      </c>
      <c r="G1998" s="3" t="s">
        <v>2379</v>
      </c>
      <c r="H1998" s="3" t="s">
        <v>2382</v>
      </c>
      <c r="I1998" s="1">
        <v>1</v>
      </c>
      <c r="J1998">
        <v>1</v>
      </c>
      <c r="K1998" s="3" t="s">
        <v>2379</v>
      </c>
      <c r="P1998" s="3"/>
    </row>
    <row r="1999" spans="1:16" x14ac:dyDescent="0.25">
      <c r="A1999" s="3" t="s">
        <v>369</v>
      </c>
      <c r="B1999">
        <v>23.465</v>
      </c>
      <c r="C1999" t="str" cm="1">
        <f t="array" ref="C1999">_xlfn.IFS(B1999&lt;=18.5,  "Underweight",B1999&lt;=24.9,"Normal weight",B1999&lt;=29.9, "Over weight",B1999&gt;=30,"Obesity")</f>
        <v>Normal weight</v>
      </c>
      <c r="D1999">
        <v>6.26</v>
      </c>
      <c r="E1999" t="str" cm="1">
        <f t="array" ref="E1999">_xlfn.IFS(D1999&lt;5.7,"Normal",D1999&lt;=6.4,"Prediabetes",D1999&gt;=6.5,"Diabetes")</f>
        <v>Prediabetes</v>
      </c>
      <c r="F1999" s="3" t="s">
        <v>2382</v>
      </c>
      <c r="G1999" s="3" t="s">
        <v>2379</v>
      </c>
      <c r="H1999" s="3" t="s">
        <v>2382</v>
      </c>
      <c r="I1999" s="1">
        <v>1</v>
      </c>
      <c r="J1999">
        <v>1</v>
      </c>
      <c r="K1999" s="3" t="s">
        <v>2379</v>
      </c>
      <c r="P1999" s="3"/>
    </row>
    <row r="2000" spans="1:16" x14ac:dyDescent="0.25">
      <c r="A2000" s="3" t="s">
        <v>368</v>
      </c>
      <c r="B2000">
        <v>40.185000000000002</v>
      </c>
      <c r="C2000" t="str" cm="1">
        <f t="array" ref="C2000">_xlfn.IFS(B2000&lt;=18.5,  "Underweight",B2000&lt;=24.9,"Normal weight",B2000&lt;=29.9, "Over weight",B2000&gt;=30,"Obesity")</f>
        <v>Obesity</v>
      </c>
      <c r="D2000">
        <v>5.88</v>
      </c>
      <c r="E2000" t="str" cm="1">
        <f t="array" ref="E2000">_xlfn.IFS(D2000&lt;5.7,"Normal",D2000&lt;=6.4,"Prediabetes",D2000&gt;=6.5,"Diabetes")</f>
        <v>Prediabetes</v>
      </c>
      <c r="F2000" s="3" t="s">
        <v>2382</v>
      </c>
      <c r="G2000" s="3" t="s">
        <v>2379</v>
      </c>
      <c r="H2000" s="3" t="s">
        <v>2379</v>
      </c>
      <c r="I2000" s="1" t="s">
        <v>2380</v>
      </c>
      <c r="J2000">
        <v>0</v>
      </c>
      <c r="K2000" s="3" t="s">
        <v>2379</v>
      </c>
      <c r="P2000" s="3"/>
    </row>
    <row r="2001" spans="1:16" x14ac:dyDescent="0.25">
      <c r="A2001" s="3" t="s">
        <v>367</v>
      </c>
      <c r="B2001">
        <v>21.89</v>
      </c>
      <c r="C2001" t="str" cm="1">
        <f t="array" ref="C2001">_xlfn.IFS(B2001&lt;=18.5,  "Underweight",B2001&lt;=24.9,"Normal weight",B2001&lt;=29.9, "Over weight",B2001&gt;=30,"Obesity")</f>
        <v>Normal weight</v>
      </c>
      <c r="D2001">
        <v>5.72</v>
      </c>
      <c r="E2001" t="str" cm="1">
        <f t="array" ref="E2001">_xlfn.IFS(D2001&lt;5.7,"Normal",D2001&lt;=6.4,"Prediabetes",D2001&gt;=6.5,"Diabetes")</f>
        <v>Prediabetes</v>
      </c>
      <c r="F2001" s="3" t="s">
        <v>2382</v>
      </c>
      <c r="G2001" s="3" t="s">
        <v>2379</v>
      </c>
      <c r="H2001" s="3" t="s">
        <v>2379</v>
      </c>
      <c r="I2001" s="1" t="s">
        <v>2380</v>
      </c>
      <c r="J2001">
        <v>0</v>
      </c>
      <c r="K2001" s="3" t="s">
        <v>2379</v>
      </c>
      <c r="P2001" s="3"/>
    </row>
    <row r="2002" spans="1:16" x14ac:dyDescent="0.25">
      <c r="A2002" s="3" t="s">
        <v>366</v>
      </c>
      <c r="B2002">
        <v>29.34</v>
      </c>
      <c r="C2002" t="str" cm="1">
        <f t="array" ref="C2002">_xlfn.IFS(B2002&lt;=18.5,  "Underweight",B2002&lt;=24.9,"Normal weight",B2002&lt;=29.9, "Over weight",B2002&gt;=30,"Obesity")</f>
        <v>Over weight</v>
      </c>
      <c r="D2002">
        <v>6.09</v>
      </c>
      <c r="E2002" t="str" cm="1">
        <f t="array" ref="E2002">_xlfn.IFS(D2002&lt;5.7,"Normal",D2002&lt;=6.4,"Prediabetes",D2002&gt;=6.5,"Diabetes")</f>
        <v>Prediabetes</v>
      </c>
      <c r="F2002" s="3" t="s">
        <v>2382</v>
      </c>
      <c r="G2002" s="3" t="s">
        <v>2381</v>
      </c>
      <c r="H2002" s="3" t="s">
        <v>2379</v>
      </c>
      <c r="I2002" s="1">
        <v>2</v>
      </c>
      <c r="J2002">
        <v>2</v>
      </c>
      <c r="K2002" s="3" t="s">
        <v>2379</v>
      </c>
      <c r="P2002" s="3"/>
    </row>
    <row r="2003" spans="1:16" x14ac:dyDescent="0.25">
      <c r="A2003" s="3" t="s">
        <v>365</v>
      </c>
      <c r="B2003">
        <v>22.61</v>
      </c>
      <c r="C2003" t="str" cm="1">
        <f t="array" ref="C2003">_xlfn.IFS(B2003&lt;=18.5,  "Underweight",B2003&lt;=24.9,"Normal weight",B2003&lt;=29.9, "Over weight",B2003&gt;=30,"Obesity")</f>
        <v>Normal weight</v>
      </c>
      <c r="D2003">
        <v>4.25</v>
      </c>
      <c r="E2003" t="str" cm="1">
        <f t="array" ref="E2003">_xlfn.IFS(D2003&lt;5.7,"Normal",D2003&lt;=6.4,"Prediabetes",D2003&gt;=6.5,"Diabetes")</f>
        <v>Normal</v>
      </c>
      <c r="F2003" s="3" t="s">
        <v>2382</v>
      </c>
      <c r="G2003" s="3" t="s">
        <v>2379</v>
      </c>
      <c r="H2003" s="3" t="s">
        <v>2379</v>
      </c>
      <c r="I2003" s="1" t="s">
        <v>2380</v>
      </c>
      <c r="J2003">
        <v>0</v>
      </c>
      <c r="K2003" s="3" t="s">
        <v>2379</v>
      </c>
      <c r="P2003" s="3"/>
    </row>
    <row r="2004" spans="1:16" x14ac:dyDescent="0.25">
      <c r="A2004" s="3" t="s">
        <v>364</v>
      </c>
      <c r="B2004">
        <v>22.23</v>
      </c>
      <c r="C2004" t="str" cm="1">
        <f t="array" ref="C2004">_xlfn.IFS(B2004&lt;=18.5,  "Underweight",B2004&lt;=24.9,"Normal weight",B2004&lt;=29.9, "Over weight",B2004&gt;=30,"Obesity")</f>
        <v>Normal weight</v>
      </c>
      <c r="D2004">
        <v>6.09</v>
      </c>
      <c r="E2004" t="str" cm="1">
        <f t="array" ref="E2004">_xlfn.IFS(D2004&lt;5.7,"Normal",D2004&lt;=6.4,"Prediabetes",D2004&gt;=6.5,"Diabetes")</f>
        <v>Prediabetes</v>
      </c>
      <c r="F2004" s="3" t="s">
        <v>2382</v>
      </c>
      <c r="G2004" s="3" t="s">
        <v>2379</v>
      </c>
      <c r="H2004" s="3" t="s">
        <v>2379</v>
      </c>
      <c r="I2004" s="1" t="s">
        <v>2380</v>
      </c>
      <c r="J2004">
        <v>0</v>
      </c>
      <c r="K2004" s="3" t="s">
        <v>2379</v>
      </c>
      <c r="P2004" s="3"/>
    </row>
    <row r="2005" spans="1:16" x14ac:dyDescent="0.25">
      <c r="A2005" s="3" t="s">
        <v>363</v>
      </c>
      <c r="B2005">
        <v>33.4</v>
      </c>
      <c r="C2005" t="str" cm="1">
        <f t="array" ref="C2005">_xlfn.IFS(B2005&lt;=18.5,  "Underweight",B2005&lt;=24.9,"Normal weight",B2005&lt;=29.9, "Over weight",B2005&gt;=30,"Obesity")</f>
        <v>Obesity</v>
      </c>
      <c r="D2005">
        <v>5.51</v>
      </c>
      <c r="E2005" t="str" cm="1">
        <f t="array" ref="E2005">_xlfn.IFS(D2005&lt;5.7,"Normal",D2005&lt;=6.4,"Prediabetes",D2005&gt;=6.5,"Diabetes")</f>
        <v>Normal</v>
      </c>
      <c r="F2005" s="3" t="s">
        <v>2379</v>
      </c>
      <c r="G2005" s="3" t="s">
        <v>2379</v>
      </c>
      <c r="H2005" s="3" t="s">
        <v>2379</v>
      </c>
      <c r="I2005" s="1" t="s">
        <v>2380</v>
      </c>
      <c r="J2005">
        <v>0</v>
      </c>
      <c r="K2005" s="3" t="s">
        <v>2379</v>
      </c>
      <c r="P2005" s="3"/>
    </row>
    <row r="2006" spans="1:16" x14ac:dyDescent="0.25">
      <c r="A2006" s="3" t="s">
        <v>362</v>
      </c>
      <c r="B2006">
        <v>33.11</v>
      </c>
      <c r="C2006" t="str" cm="1">
        <f t="array" ref="C2006">_xlfn.IFS(B2006&lt;=18.5,  "Underweight",B2006&lt;=24.9,"Normal weight",B2006&lt;=29.9, "Over weight",B2006&gt;=30,"Obesity")</f>
        <v>Obesity</v>
      </c>
      <c r="D2006">
        <v>5.63</v>
      </c>
      <c r="E2006" t="str" cm="1">
        <f t="array" ref="E2006">_xlfn.IFS(D2006&lt;5.7,"Normal",D2006&lt;=6.4,"Prediabetes",D2006&gt;=6.5,"Diabetes")</f>
        <v>Normal</v>
      </c>
      <c r="F2006" s="3" t="s">
        <v>2379</v>
      </c>
      <c r="G2006" s="3" t="s">
        <v>2379</v>
      </c>
      <c r="H2006" s="3" t="s">
        <v>2379</v>
      </c>
      <c r="I2006" s="1" t="s">
        <v>2380</v>
      </c>
      <c r="J2006">
        <v>0</v>
      </c>
      <c r="K2006" s="3" t="s">
        <v>2379</v>
      </c>
      <c r="P2006" s="3"/>
    </row>
    <row r="2007" spans="1:16" x14ac:dyDescent="0.25">
      <c r="A2007" s="3" t="s">
        <v>361</v>
      </c>
      <c r="B2007">
        <v>16.815000000000001</v>
      </c>
      <c r="C2007" t="str" cm="1">
        <f t="array" ref="C2007">_xlfn.IFS(B2007&lt;=18.5,  "Underweight",B2007&lt;=24.9,"Normal weight",B2007&lt;=29.9, "Over weight",B2007&gt;=30,"Obesity")</f>
        <v>Underweight</v>
      </c>
      <c r="D2007">
        <v>5.29</v>
      </c>
      <c r="E2007" t="str" cm="1">
        <f t="array" ref="E2007">_xlfn.IFS(D2007&lt;5.7,"Normal",D2007&lt;=6.4,"Prediabetes",D2007&gt;=6.5,"Diabetes")</f>
        <v>Normal</v>
      </c>
      <c r="F2007" s="3" t="s">
        <v>2382</v>
      </c>
      <c r="G2007" s="3" t="s">
        <v>2379</v>
      </c>
      <c r="H2007" s="3" t="s">
        <v>2379</v>
      </c>
      <c r="I2007" s="1" t="s">
        <v>2380</v>
      </c>
      <c r="J2007">
        <v>0</v>
      </c>
      <c r="K2007" s="3" t="s">
        <v>2379</v>
      </c>
      <c r="P2007" s="3"/>
    </row>
    <row r="2008" spans="1:16" x14ac:dyDescent="0.25">
      <c r="A2008" s="3" t="s">
        <v>360</v>
      </c>
      <c r="B2008">
        <v>25.61</v>
      </c>
      <c r="C2008" t="str" cm="1">
        <f t="array" ref="C2008">_xlfn.IFS(B2008&lt;=18.5,  "Underweight",B2008&lt;=24.9,"Normal weight",B2008&lt;=29.9, "Over weight",B2008&gt;=30,"Obesity")</f>
        <v>Over weight</v>
      </c>
      <c r="D2008">
        <v>4</v>
      </c>
      <c r="E2008" t="str" cm="1">
        <f t="array" ref="E2008">_xlfn.IFS(D2008&lt;5.7,"Normal",D2008&lt;=6.4,"Prediabetes",D2008&gt;=6.5,"Diabetes")</f>
        <v>Normal</v>
      </c>
      <c r="F2008" s="3" t="s">
        <v>2379</v>
      </c>
      <c r="G2008" s="3" t="s">
        <v>2379</v>
      </c>
      <c r="H2008" s="3" t="s">
        <v>2382</v>
      </c>
      <c r="I2008" s="1">
        <v>1</v>
      </c>
      <c r="J2008">
        <v>1</v>
      </c>
      <c r="K2008" s="3" t="s">
        <v>2379</v>
      </c>
      <c r="P2008" s="3"/>
    </row>
    <row r="2009" spans="1:16" x14ac:dyDescent="0.25">
      <c r="A2009" s="3" t="s">
        <v>359</v>
      </c>
      <c r="B2009">
        <v>25.8</v>
      </c>
      <c r="C2009" t="str" cm="1">
        <f t="array" ref="C2009">_xlfn.IFS(B2009&lt;=18.5,  "Underweight",B2009&lt;=24.9,"Normal weight",B2009&lt;=29.9, "Over weight",B2009&gt;=30,"Obesity")</f>
        <v>Over weight</v>
      </c>
      <c r="D2009">
        <v>5.49</v>
      </c>
      <c r="E2009" t="str" cm="1">
        <f t="array" ref="E2009">_xlfn.IFS(D2009&lt;5.7,"Normal",D2009&lt;=6.4,"Prediabetes",D2009&gt;=6.5,"Diabetes")</f>
        <v>Normal</v>
      </c>
      <c r="F2009" s="3" t="s">
        <v>2379</v>
      </c>
      <c r="G2009" s="3" t="s">
        <v>2379</v>
      </c>
      <c r="H2009" s="3" t="s">
        <v>2379</v>
      </c>
      <c r="I2009" s="1" t="s">
        <v>2380</v>
      </c>
      <c r="J2009">
        <v>0</v>
      </c>
      <c r="K2009" s="3" t="s">
        <v>2379</v>
      </c>
      <c r="P2009" s="3"/>
    </row>
    <row r="2010" spans="1:16" x14ac:dyDescent="0.25">
      <c r="A2010" s="3" t="s">
        <v>358</v>
      </c>
      <c r="B2010">
        <v>27.39</v>
      </c>
      <c r="C2010" t="str" cm="1">
        <f t="array" ref="C2010">_xlfn.IFS(B2010&lt;=18.5,  "Underweight",B2010&lt;=24.9,"Normal weight",B2010&lt;=29.9, "Over weight",B2010&gt;=30,"Obesity")</f>
        <v>Over weight</v>
      </c>
      <c r="D2010">
        <v>5.34</v>
      </c>
      <c r="E2010" t="str" cm="1">
        <f t="array" ref="E2010">_xlfn.IFS(D2010&lt;5.7,"Normal",D2010&lt;=6.4,"Prediabetes",D2010&gt;=6.5,"Diabetes")</f>
        <v>Normal</v>
      </c>
      <c r="F2010" s="3" t="s">
        <v>2379</v>
      </c>
      <c r="G2010" s="3" t="s">
        <v>2379</v>
      </c>
      <c r="H2010" s="3" t="s">
        <v>2379</v>
      </c>
      <c r="I2010" s="1" t="s">
        <v>2380</v>
      </c>
      <c r="J2010">
        <v>0</v>
      </c>
      <c r="K2010" s="3" t="s">
        <v>2379</v>
      </c>
      <c r="P2010" s="3"/>
    </row>
    <row r="2011" spans="1:16" x14ac:dyDescent="0.25">
      <c r="A2011" s="3" t="s">
        <v>357</v>
      </c>
      <c r="B2011">
        <v>17.03</v>
      </c>
      <c r="C2011" t="str" cm="1">
        <f t="array" ref="C2011">_xlfn.IFS(B2011&lt;=18.5,  "Underweight",B2011&lt;=24.9,"Normal weight",B2011&lt;=29.9, "Over weight",B2011&gt;=30,"Obesity")</f>
        <v>Underweight</v>
      </c>
      <c r="D2011">
        <v>4.12</v>
      </c>
      <c r="E2011" t="str" cm="1">
        <f t="array" ref="E2011">_xlfn.IFS(D2011&lt;5.7,"Normal",D2011&lt;=6.4,"Prediabetes",D2011&gt;=6.5,"Diabetes")</f>
        <v>Normal</v>
      </c>
      <c r="F2011" s="3" t="s">
        <v>2379</v>
      </c>
      <c r="G2011" s="3" t="s">
        <v>2379</v>
      </c>
      <c r="H2011" s="3" t="s">
        <v>2379</v>
      </c>
      <c r="I2011" s="1">
        <v>1</v>
      </c>
      <c r="J2011">
        <v>1</v>
      </c>
      <c r="K2011" s="3" t="s">
        <v>2379</v>
      </c>
      <c r="P2011" s="3"/>
    </row>
    <row r="2012" spans="1:16" x14ac:dyDescent="0.25">
      <c r="A2012" s="3" t="s">
        <v>356</v>
      </c>
      <c r="B2012">
        <v>23.75</v>
      </c>
      <c r="C2012" t="str" cm="1">
        <f t="array" ref="C2012">_xlfn.IFS(B2012&lt;=18.5,  "Underweight",B2012&lt;=24.9,"Normal weight",B2012&lt;=29.9, "Over weight",B2012&gt;=30,"Obesity")</f>
        <v>Normal weight</v>
      </c>
      <c r="D2012">
        <v>5.49</v>
      </c>
      <c r="E2012" t="str" cm="1">
        <f t="array" ref="E2012">_xlfn.IFS(D2012&lt;5.7,"Normal",D2012&lt;=6.4,"Prediabetes",D2012&gt;=6.5,"Diabetes")</f>
        <v>Normal</v>
      </c>
      <c r="F2012" s="3" t="s">
        <v>2382</v>
      </c>
      <c r="G2012" s="3" t="s">
        <v>2379</v>
      </c>
      <c r="H2012" s="3" t="s">
        <v>2379</v>
      </c>
      <c r="I2012" s="1" t="s">
        <v>2380</v>
      </c>
      <c r="J2012">
        <v>0</v>
      </c>
      <c r="K2012" s="3" t="s">
        <v>2379</v>
      </c>
      <c r="P2012" s="3"/>
    </row>
    <row r="2013" spans="1:16" x14ac:dyDescent="0.25">
      <c r="A2013" s="3" t="s">
        <v>354</v>
      </c>
      <c r="B2013">
        <v>26.03</v>
      </c>
      <c r="C2013" t="str" cm="1">
        <f t="array" ref="C2013">_xlfn.IFS(B2013&lt;=18.5,  "Underweight",B2013&lt;=24.9,"Normal weight",B2013&lt;=29.9, "Over weight",B2013&gt;=30,"Obesity")</f>
        <v>Over weight</v>
      </c>
      <c r="D2013">
        <v>5.1100000000000003</v>
      </c>
      <c r="E2013" t="str" cm="1">
        <f t="array" ref="E2013">_xlfn.IFS(D2013&lt;5.7,"Normal",D2013&lt;=6.4,"Prediabetes",D2013&gt;=6.5,"Diabetes")</f>
        <v>Normal</v>
      </c>
      <c r="F2013" s="3" t="s">
        <v>2382</v>
      </c>
      <c r="G2013" s="3" t="s">
        <v>2379</v>
      </c>
      <c r="H2013" s="3" t="s">
        <v>2379</v>
      </c>
      <c r="I2013" s="1">
        <v>1</v>
      </c>
      <c r="J2013">
        <v>1</v>
      </c>
      <c r="K2013" s="3" t="s">
        <v>2379</v>
      </c>
      <c r="P2013" s="3"/>
    </row>
    <row r="2014" spans="1:16" x14ac:dyDescent="0.25">
      <c r="A2014" s="3" t="s">
        <v>353</v>
      </c>
      <c r="B2014">
        <v>16.079999999999998</v>
      </c>
      <c r="C2014" t="str" cm="1">
        <f t="array" ref="C2014">_xlfn.IFS(B2014&lt;=18.5,  "Underweight",B2014&lt;=24.9,"Normal weight",B2014&lt;=29.9, "Over weight",B2014&gt;=30,"Obesity")</f>
        <v>Underweight</v>
      </c>
      <c r="D2014">
        <v>5.94</v>
      </c>
      <c r="E2014" t="str" cm="1">
        <f t="array" ref="E2014">_xlfn.IFS(D2014&lt;5.7,"Normal",D2014&lt;=6.4,"Prediabetes",D2014&gt;=6.5,"Diabetes")</f>
        <v>Prediabetes</v>
      </c>
      <c r="F2014" s="3" t="s">
        <v>2379</v>
      </c>
      <c r="G2014" s="3" t="s">
        <v>2379</v>
      </c>
      <c r="H2014" s="3" t="s">
        <v>2379</v>
      </c>
      <c r="I2014" s="1" t="s">
        <v>2380</v>
      </c>
      <c r="J2014">
        <v>0</v>
      </c>
      <c r="K2014" s="3" t="s">
        <v>2379</v>
      </c>
      <c r="P2014" s="3"/>
    </row>
    <row r="2015" spans="1:16" x14ac:dyDescent="0.25">
      <c r="A2015" s="3" t="s">
        <v>352</v>
      </c>
      <c r="B2015">
        <v>30.875</v>
      </c>
      <c r="C2015" t="str" cm="1">
        <f t="array" ref="C2015">_xlfn.IFS(B2015&lt;=18.5,  "Underweight",B2015&lt;=24.9,"Normal weight",B2015&lt;=29.9, "Over weight",B2015&gt;=30,"Obesity")</f>
        <v>Obesity</v>
      </c>
      <c r="D2015">
        <v>5.54</v>
      </c>
      <c r="E2015" t="str" cm="1">
        <f t="array" ref="E2015">_xlfn.IFS(D2015&lt;5.7,"Normal",D2015&lt;=6.4,"Prediabetes",D2015&gt;=6.5,"Diabetes")</f>
        <v>Normal</v>
      </c>
      <c r="F2015" s="3" t="s">
        <v>2379</v>
      </c>
      <c r="G2015" s="3" t="s">
        <v>2379</v>
      </c>
      <c r="H2015" s="3" t="s">
        <v>2379</v>
      </c>
      <c r="I2015" s="1" t="s">
        <v>2380</v>
      </c>
      <c r="J2015">
        <v>0</v>
      </c>
      <c r="K2015" s="3" t="s">
        <v>2379</v>
      </c>
      <c r="P2015" s="3"/>
    </row>
    <row r="2016" spans="1:16" x14ac:dyDescent="0.25">
      <c r="A2016" s="3" t="s">
        <v>351</v>
      </c>
      <c r="B2016">
        <v>31.79</v>
      </c>
      <c r="C2016" t="str" cm="1">
        <f t="array" ref="C2016">_xlfn.IFS(B2016&lt;=18.5,  "Underweight",B2016&lt;=24.9,"Normal weight",B2016&lt;=29.9, "Over weight",B2016&gt;=30,"Obesity")</f>
        <v>Obesity</v>
      </c>
      <c r="D2016">
        <v>7.09</v>
      </c>
      <c r="E2016" t="str" cm="1">
        <f t="array" ref="E2016">_xlfn.IFS(D2016&lt;5.7,"Normal",D2016&lt;=6.4,"Prediabetes",D2016&gt;=6.5,"Diabetes")</f>
        <v>Diabetes</v>
      </c>
      <c r="F2016" s="3" t="s">
        <v>2379</v>
      </c>
      <c r="G2016" s="3" t="s">
        <v>2379</v>
      </c>
      <c r="H2016" s="3" t="s">
        <v>2379</v>
      </c>
      <c r="I2016" s="1" t="s">
        <v>2380</v>
      </c>
      <c r="J2016">
        <v>0</v>
      </c>
      <c r="K2016" s="3" t="s">
        <v>2379</v>
      </c>
      <c r="P2016" s="3"/>
    </row>
    <row r="2017" spans="1:16" x14ac:dyDescent="0.25">
      <c r="A2017" s="3" t="s">
        <v>350</v>
      </c>
      <c r="B2017">
        <v>28.48</v>
      </c>
      <c r="C2017" t="str" cm="1">
        <f t="array" ref="C2017">_xlfn.IFS(B2017&lt;=18.5,  "Underweight",B2017&lt;=24.9,"Normal weight",B2017&lt;=29.9, "Over weight",B2017&gt;=30,"Obesity")</f>
        <v>Over weight</v>
      </c>
      <c r="D2017">
        <v>6.22</v>
      </c>
      <c r="E2017" t="str" cm="1">
        <f t="array" ref="E2017">_xlfn.IFS(D2017&lt;5.7,"Normal",D2017&lt;=6.4,"Prediabetes",D2017&gt;=6.5,"Diabetes")</f>
        <v>Prediabetes</v>
      </c>
      <c r="F2017" s="3" t="s">
        <v>2382</v>
      </c>
      <c r="G2017" s="3" t="s">
        <v>2379</v>
      </c>
      <c r="H2017" s="3" t="s">
        <v>2382</v>
      </c>
      <c r="I2017" s="1">
        <v>1</v>
      </c>
      <c r="J2017">
        <v>1</v>
      </c>
      <c r="K2017" s="3" t="s">
        <v>2379</v>
      </c>
      <c r="P2017" s="3"/>
    </row>
    <row r="2018" spans="1:16" x14ac:dyDescent="0.25">
      <c r="A2018" s="3" t="s">
        <v>349</v>
      </c>
      <c r="B2018">
        <v>26.6</v>
      </c>
      <c r="C2018" t="str" cm="1">
        <f t="array" ref="C2018">_xlfn.IFS(B2018&lt;=18.5,  "Underweight",B2018&lt;=24.9,"Normal weight",B2018&lt;=29.9, "Over weight",B2018&gt;=30,"Obesity")</f>
        <v>Over weight</v>
      </c>
      <c r="D2018">
        <v>4.33</v>
      </c>
      <c r="E2018" t="str" cm="1">
        <f t="array" ref="E2018">_xlfn.IFS(D2018&lt;5.7,"Normal",D2018&lt;=6.4,"Prediabetes",D2018&gt;=6.5,"Diabetes")</f>
        <v>Normal</v>
      </c>
      <c r="F2018" s="3" t="s">
        <v>2379</v>
      </c>
      <c r="G2018" s="3" t="s">
        <v>2379</v>
      </c>
      <c r="H2018" s="3" t="s">
        <v>2379</v>
      </c>
      <c r="I2018" s="1">
        <v>1</v>
      </c>
      <c r="J2018">
        <v>1</v>
      </c>
      <c r="K2018" s="3" t="s">
        <v>2379</v>
      </c>
      <c r="P2018" s="3"/>
    </row>
    <row r="2019" spans="1:16" x14ac:dyDescent="0.25">
      <c r="A2019" s="3" t="s">
        <v>348</v>
      </c>
      <c r="B2019">
        <v>25.27</v>
      </c>
      <c r="C2019" t="str" cm="1">
        <f t="array" ref="C2019">_xlfn.IFS(B2019&lt;=18.5,  "Underweight",B2019&lt;=24.9,"Normal weight",B2019&lt;=29.9, "Over weight",B2019&gt;=30,"Obesity")</f>
        <v>Over weight</v>
      </c>
      <c r="D2019">
        <v>5.83</v>
      </c>
      <c r="E2019" t="str" cm="1">
        <f t="array" ref="E2019">_xlfn.IFS(D2019&lt;5.7,"Normal",D2019&lt;=6.4,"Prediabetes",D2019&gt;=6.5,"Diabetes")</f>
        <v>Prediabetes</v>
      </c>
      <c r="F2019" s="3" t="s">
        <v>2379</v>
      </c>
      <c r="G2019" s="3" t="s">
        <v>2379</v>
      </c>
      <c r="H2019" s="3" t="s">
        <v>2379</v>
      </c>
      <c r="I2019" s="1">
        <v>1</v>
      </c>
      <c r="J2019">
        <v>1</v>
      </c>
      <c r="K2019" s="3" t="s">
        <v>2379</v>
      </c>
      <c r="P2019" s="3"/>
    </row>
    <row r="2020" spans="1:16" x14ac:dyDescent="0.25">
      <c r="A2020" s="3" t="s">
        <v>347</v>
      </c>
      <c r="B2020">
        <v>34.484999999999999</v>
      </c>
      <c r="C2020" t="str" cm="1">
        <f t="array" ref="C2020">_xlfn.IFS(B2020&lt;=18.5,  "Underweight",B2020&lt;=24.9,"Normal weight",B2020&lt;=29.9, "Over weight",B2020&gt;=30,"Obesity")</f>
        <v>Obesity</v>
      </c>
      <c r="D2020">
        <v>4.7</v>
      </c>
      <c r="E2020" t="str" cm="1">
        <f t="array" ref="E2020">_xlfn.IFS(D2020&lt;5.7,"Normal",D2020&lt;=6.4,"Prediabetes",D2020&gt;=6.5,"Diabetes")</f>
        <v>Normal</v>
      </c>
      <c r="F2020" s="3" t="s">
        <v>2382</v>
      </c>
      <c r="G2020" s="3" t="s">
        <v>2379</v>
      </c>
      <c r="H2020" s="3" t="s">
        <v>2382</v>
      </c>
      <c r="I2020" s="1">
        <v>1</v>
      </c>
      <c r="J2020">
        <v>1</v>
      </c>
      <c r="K2020" s="3" t="s">
        <v>2379</v>
      </c>
      <c r="P2020" s="3"/>
    </row>
    <row r="2021" spans="1:16" x14ac:dyDescent="0.25">
      <c r="A2021" s="3" t="s">
        <v>346</v>
      </c>
      <c r="B2021">
        <v>15.57</v>
      </c>
      <c r="C2021" t="str" cm="1">
        <f t="array" ref="C2021">_xlfn.IFS(B2021&lt;=18.5,  "Underweight",B2021&lt;=24.9,"Normal weight",B2021&lt;=29.9, "Over weight",B2021&gt;=30,"Obesity")</f>
        <v>Underweight</v>
      </c>
      <c r="D2021">
        <v>4.07</v>
      </c>
      <c r="E2021" t="str" cm="1">
        <f t="array" ref="E2021">_xlfn.IFS(D2021&lt;5.7,"Normal",D2021&lt;=6.4,"Prediabetes",D2021&gt;=6.5,"Diabetes")</f>
        <v>Normal</v>
      </c>
      <c r="F2021" s="3" t="s">
        <v>2382</v>
      </c>
      <c r="G2021" s="3" t="s">
        <v>2379</v>
      </c>
      <c r="H2021" s="3" t="s">
        <v>2379</v>
      </c>
      <c r="I2021" s="1">
        <v>1</v>
      </c>
      <c r="J2021">
        <v>1</v>
      </c>
      <c r="K2021" s="3" t="s">
        <v>2379</v>
      </c>
      <c r="P2021" s="3"/>
    </row>
    <row r="2022" spans="1:16" x14ac:dyDescent="0.25">
      <c r="A2022" s="3" t="s">
        <v>345</v>
      </c>
      <c r="B2022">
        <v>30.36</v>
      </c>
      <c r="C2022" t="str" cm="1">
        <f t="array" ref="C2022">_xlfn.IFS(B2022&lt;=18.5,  "Underweight",B2022&lt;=24.9,"Normal weight",B2022&lt;=29.9, "Over weight",B2022&gt;=30,"Obesity")</f>
        <v>Obesity</v>
      </c>
      <c r="D2022">
        <v>9.39</v>
      </c>
      <c r="E2022" t="str" cm="1">
        <f t="array" ref="E2022">_xlfn.IFS(D2022&lt;5.7,"Normal",D2022&lt;=6.4,"Prediabetes",D2022&gt;=6.5,"Diabetes")</f>
        <v>Diabetes</v>
      </c>
      <c r="F2022" s="3" t="s">
        <v>2379</v>
      </c>
      <c r="G2022" s="3" t="s">
        <v>2379</v>
      </c>
      <c r="H2022" s="3" t="s">
        <v>2379</v>
      </c>
      <c r="I2022" s="1" t="s">
        <v>2380</v>
      </c>
      <c r="J2022">
        <v>0</v>
      </c>
      <c r="K2022" s="3" t="s">
        <v>2379</v>
      </c>
      <c r="P2022" s="3"/>
    </row>
    <row r="2023" spans="1:16" x14ac:dyDescent="0.25">
      <c r="A2023" s="3" t="s">
        <v>344</v>
      </c>
      <c r="B2023">
        <v>19.37</v>
      </c>
      <c r="C2023" t="str" cm="1">
        <f t="array" ref="C2023">_xlfn.IFS(B2023&lt;=18.5,  "Underweight",B2023&lt;=24.9,"Normal weight",B2023&lt;=29.9, "Over weight",B2023&gt;=30,"Obesity")</f>
        <v>Normal weight</v>
      </c>
      <c r="D2023">
        <v>4.18</v>
      </c>
      <c r="E2023" t="str" cm="1">
        <f t="array" ref="E2023">_xlfn.IFS(D2023&lt;5.7,"Normal",D2023&lt;=6.4,"Prediabetes",D2023&gt;=6.5,"Diabetes")</f>
        <v>Normal</v>
      </c>
      <c r="F2023" s="3" t="s">
        <v>2379</v>
      </c>
      <c r="G2023" s="3" t="s">
        <v>2379</v>
      </c>
      <c r="H2023" s="3" t="s">
        <v>2379</v>
      </c>
      <c r="I2023" s="1" t="s">
        <v>2380</v>
      </c>
      <c r="J2023">
        <v>0</v>
      </c>
      <c r="K2023" s="3" t="s">
        <v>2379</v>
      </c>
      <c r="P2023" s="3"/>
    </row>
    <row r="2024" spans="1:16" x14ac:dyDescent="0.25">
      <c r="A2024" s="3" t="s">
        <v>343</v>
      </c>
      <c r="B2024">
        <v>16.71</v>
      </c>
      <c r="C2024" t="str" cm="1">
        <f t="array" ref="C2024">_xlfn.IFS(B2024&lt;=18.5,  "Underweight",B2024&lt;=24.9,"Normal weight",B2024&lt;=29.9, "Over weight",B2024&gt;=30,"Obesity")</f>
        <v>Underweight</v>
      </c>
      <c r="D2024">
        <v>4.18</v>
      </c>
      <c r="E2024" t="str" cm="1">
        <f t="array" ref="E2024">_xlfn.IFS(D2024&lt;5.7,"Normal",D2024&lt;=6.4,"Prediabetes",D2024&gt;=6.5,"Diabetes")</f>
        <v>Normal</v>
      </c>
      <c r="F2024" s="3" t="s">
        <v>2379</v>
      </c>
      <c r="G2024" s="3" t="s">
        <v>2379</v>
      </c>
      <c r="H2024" s="3" t="s">
        <v>2379</v>
      </c>
      <c r="I2024" s="1">
        <v>1</v>
      </c>
      <c r="J2024">
        <v>1</v>
      </c>
      <c r="K2024" s="3" t="s">
        <v>2379</v>
      </c>
      <c r="P2024" s="3"/>
    </row>
    <row r="2025" spans="1:16" x14ac:dyDescent="0.25">
      <c r="A2025" s="3" t="s">
        <v>342</v>
      </c>
      <c r="B2025">
        <v>24.1</v>
      </c>
      <c r="C2025" t="str" cm="1">
        <f t="array" ref="C2025">_xlfn.IFS(B2025&lt;=18.5,  "Underweight",B2025&lt;=24.9,"Normal weight",B2025&lt;=29.9, "Over weight",B2025&gt;=30,"Obesity")</f>
        <v>Normal weight</v>
      </c>
      <c r="D2025">
        <v>4.4000000000000004</v>
      </c>
      <c r="E2025" t="str" cm="1">
        <f t="array" ref="E2025">_xlfn.IFS(D2025&lt;5.7,"Normal",D2025&lt;=6.4,"Prediabetes",D2025&gt;=6.5,"Diabetes")</f>
        <v>Normal</v>
      </c>
      <c r="F2025" s="3" t="s">
        <v>2382</v>
      </c>
      <c r="G2025" s="3" t="s">
        <v>2379</v>
      </c>
      <c r="H2025" s="3" t="s">
        <v>2379</v>
      </c>
      <c r="I2025" s="1">
        <v>1</v>
      </c>
      <c r="J2025">
        <v>1</v>
      </c>
      <c r="K2025" s="3" t="s">
        <v>2379</v>
      </c>
      <c r="P2025" s="3"/>
    </row>
    <row r="2026" spans="1:16" x14ac:dyDescent="0.25">
      <c r="A2026" s="3" t="s">
        <v>341</v>
      </c>
      <c r="B2026">
        <v>29.77</v>
      </c>
      <c r="C2026" t="str" cm="1">
        <f t="array" ref="C2026">_xlfn.IFS(B2026&lt;=18.5,  "Underweight",B2026&lt;=24.9,"Normal weight",B2026&lt;=29.9, "Over weight",B2026&gt;=30,"Obesity")</f>
        <v>Over weight</v>
      </c>
      <c r="D2026">
        <v>9.9</v>
      </c>
      <c r="E2026" t="str" cm="1">
        <f t="array" ref="E2026">_xlfn.IFS(D2026&lt;5.7,"Normal",D2026&lt;=6.4,"Prediabetes",D2026&gt;=6.5,"Diabetes")</f>
        <v>Diabetes</v>
      </c>
      <c r="F2026" s="3" t="s">
        <v>2379</v>
      </c>
      <c r="G2026" s="3" t="s">
        <v>2379</v>
      </c>
      <c r="H2026" s="3" t="s">
        <v>2379</v>
      </c>
      <c r="I2026" s="1" t="s">
        <v>2380</v>
      </c>
      <c r="J2026">
        <v>0</v>
      </c>
      <c r="K2026" s="3" t="s">
        <v>2379</v>
      </c>
      <c r="P2026" s="3"/>
    </row>
    <row r="2027" spans="1:16" x14ac:dyDescent="0.25">
      <c r="A2027" s="3" t="s">
        <v>340</v>
      </c>
      <c r="B2027">
        <v>46.53</v>
      </c>
      <c r="C2027" t="str" cm="1">
        <f t="array" ref="C2027">_xlfn.IFS(B2027&lt;=18.5,  "Underweight",B2027&lt;=24.9,"Normal weight",B2027&lt;=29.9, "Over weight",B2027&gt;=30,"Obesity")</f>
        <v>Obesity</v>
      </c>
      <c r="D2027">
        <v>4.84</v>
      </c>
      <c r="E2027" t="str" cm="1">
        <f t="array" ref="E2027">_xlfn.IFS(D2027&lt;5.7,"Normal",D2027&lt;=6.4,"Prediabetes",D2027&gt;=6.5,"Diabetes")</f>
        <v>Normal</v>
      </c>
      <c r="F2027" s="3" t="s">
        <v>2382</v>
      </c>
      <c r="G2027" s="3" t="s">
        <v>2379</v>
      </c>
      <c r="H2027" s="3" t="s">
        <v>2379</v>
      </c>
      <c r="I2027" s="1" t="s">
        <v>2380</v>
      </c>
      <c r="J2027">
        <v>0</v>
      </c>
      <c r="K2027" s="3" t="s">
        <v>2379</v>
      </c>
      <c r="P2027" s="3"/>
    </row>
    <row r="2028" spans="1:16" x14ac:dyDescent="0.25">
      <c r="A2028" s="3" t="s">
        <v>339</v>
      </c>
      <c r="B2028">
        <v>23.4</v>
      </c>
      <c r="C2028" t="str" cm="1">
        <f t="array" ref="C2028">_xlfn.IFS(B2028&lt;=18.5,  "Underweight",B2028&lt;=24.9,"Normal weight",B2028&lt;=29.9, "Over weight",B2028&gt;=30,"Obesity")</f>
        <v>Normal weight</v>
      </c>
      <c r="D2028">
        <v>5.53</v>
      </c>
      <c r="E2028" t="str" cm="1">
        <f t="array" ref="E2028">_xlfn.IFS(D2028&lt;5.7,"Normal",D2028&lt;=6.4,"Prediabetes",D2028&gt;=6.5,"Diabetes")</f>
        <v>Normal</v>
      </c>
      <c r="F2028" s="3" t="s">
        <v>2379</v>
      </c>
      <c r="G2028" s="3" t="s">
        <v>2379</v>
      </c>
      <c r="H2028" s="3" t="s">
        <v>2382</v>
      </c>
      <c r="I2028" s="1">
        <v>1</v>
      </c>
      <c r="J2028">
        <v>1</v>
      </c>
      <c r="K2028" s="3" t="s">
        <v>2379</v>
      </c>
      <c r="P2028" s="3"/>
    </row>
    <row r="2029" spans="1:16" x14ac:dyDescent="0.25">
      <c r="A2029" s="3" t="s">
        <v>338</v>
      </c>
      <c r="B2029">
        <v>30</v>
      </c>
      <c r="C2029" t="str" cm="1">
        <f t="array" ref="C2029">_xlfn.IFS(B2029&lt;=18.5,  "Underweight",B2029&lt;=24.9,"Normal weight",B2029&lt;=29.9, "Over weight",B2029&gt;=30,"Obesity")</f>
        <v>Obesity</v>
      </c>
      <c r="D2029">
        <v>4.33</v>
      </c>
      <c r="E2029" t="str" cm="1">
        <f t="array" ref="E2029">_xlfn.IFS(D2029&lt;5.7,"Normal",D2029&lt;=6.4,"Prediabetes",D2029&gt;=6.5,"Diabetes")</f>
        <v>Normal</v>
      </c>
      <c r="F2029" s="3" t="s">
        <v>2382</v>
      </c>
      <c r="G2029" s="3" t="s">
        <v>2379</v>
      </c>
      <c r="H2029" s="3" t="s">
        <v>2379</v>
      </c>
      <c r="I2029" s="1" t="s">
        <v>2380</v>
      </c>
      <c r="J2029">
        <v>0</v>
      </c>
      <c r="K2029" s="3" t="s">
        <v>2379</v>
      </c>
      <c r="P2029" s="3"/>
    </row>
    <row r="2030" spans="1:16" x14ac:dyDescent="0.25">
      <c r="A2030" s="3" t="s">
        <v>337</v>
      </c>
      <c r="B2030">
        <v>29.15</v>
      </c>
      <c r="C2030" t="str" cm="1">
        <f t="array" ref="C2030">_xlfn.IFS(B2030&lt;=18.5,  "Underweight",B2030&lt;=24.9,"Normal weight",B2030&lt;=29.9, "Over weight",B2030&gt;=30,"Obesity")</f>
        <v>Over weight</v>
      </c>
      <c r="D2030">
        <v>4.91</v>
      </c>
      <c r="E2030" t="str" cm="1">
        <f t="array" ref="E2030">_xlfn.IFS(D2030&lt;5.7,"Normal",D2030&lt;=6.4,"Prediabetes",D2030&gt;=6.5,"Diabetes")</f>
        <v>Normal</v>
      </c>
      <c r="F2030" s="3" t="s">
        <v>2382</v>
      </c>
      <c r="G2030" s="3" t="s">
        <v>2379</v>
      </c>
      <c r="H2030" s="3" t="s">
        <v>2379</v>
      </c>
      <c r="I2030" s="1" t="s">
        <v>2380</v>
      </c>
      <c r="J2030">
        <v>0</v>
      </c>
      <c r="K2030" s="3" t="s">
        <v>2379</v>
      </c>
      <c r="P2030" s="3"/>
    </row>
    <row r="2031" spans="1:16" x14ac:dyDescent="0.25">
      <c r="A2031" s="3" t="s">
        <v>336</v>
      </c>
      <c r="B2031">
        <v>34.865000000000002</v>
      </c>
      <c r="C2031" t="str" cm="1">
        <f t="array" ref="C2031">_xlfn.IFS(B2031&lt;=18.5,  "Underweight",B2031&lt;=24.9,"Normal weight",B2031&lt;=29.9, "Over weight",B2031&gt;=30,"Obesity")</f>
        <v>Obesity</v>
      </c>
      <c r="D2031">
        <v>4.8</v>
      </c>
      <c r="E2031" t="str" cm="1">
        <f t="array" ref="E2031">_xlfn.IFS(D2031&lt;5.7,"Normal",D2031&lt;=6.4,"Prediabetes",D2031&gt;=6.5,"Diabetes")</f>
        <v>Normal</v>
      </c>
      <c r="F2031" s="3" t="s">
        <v>2379</v>
      </c>
      <c r="G2031" s="3" t="s">
        <v>2379</v>
      </c>
      <c r="H2031" s="3" t="s">
        <v>2379</v>
      </c>
      <c r="I2031" s="1" t="s">
        <v>2380</v>
      </c>
      <c r="J2031">
        <v>0</v>
      </c>
      <c r="K2031" s="3" t="s">
        <v>2379</v>
      </c>
      <c r="P2031" s="3"/>
    </row>
    <row r="2032" spans="1:16" x14ac:dyDescent="0.25">
      <c r="A2032" s="3" t="s">
        <v>335</v>
      </c>
      <c r="B2032">
        <v>28.12</v>
      </c>
      <c r="C2032" t="str" cm="1">
        <f t="array" ref="C2032">_xlfn.IFS(B2032&lt;=18.5,  "Underweight",B2032&lt;=24.9,"Normal weight",B2032&lt;=29.9, "Over weight",B2032&gt;=30,"Obesity")</f>
        <v>Over weight</v>
      </c>
      <c r="D2032">
        <v>5.55</v>
      </c>
      <c r="E2032" t="str" cm="1">
        <f t="array" ref="E2032">_xlfn.IFS(D2032&lt;5.7,"Normal",D2032&lt;=6.4,"Prediabetes",D2032&gt;=6.5,"Diabetes")</f>
        <v>Normal</v>
      </c>
      <c r="F2032" s="3" t="s">
        <v>2382</v>
      </c>
      <c r="G2032" s="3" t="s">
        <v>2381</v>
      </c>
      <c r="H2032" s="3" t="s">
        <v>2379</v>
      </c>
      <c r="I2032" s="1">
        <v>2</v>
      </c>
      <c r="J2032">
        <v>2</v>
      </c>
      <c r="K2032" s="3" t="s">
        <v>2379</v>
      </c>
      <c r="P2032" s="3"/>
    </row>
    <row r="2033" spans="1:16" x14ac:dyDescent="0.25">
      <c r="A2033" s="3" t="s">
        <v>334</v>
      </c>
      <c r="B2033">
        <v>29.45</v>
      </c>
      <c r="C2033" t="str" cm="1">
        <f t="array" ref="C2033">_xlfn.IFS(B2033&lt;=18.5,  "Underweight",B2033&lt;=24.9,"Normal weight",B2033&lt;=29.9, "Over weight",B2033&gt;=30,"Obesity")</f>
        <v>Over weight</v>
      </c>
      <c r="D2033">
        <v>5.24</v>
      </c>
      <c r="E2033" t="str" cm="1">
        <f t="array" ref="E2033">_xlfn.IFS(D2033&lt;5.7,"Normal",D2033&lt;=6.4,"Prediabetes",D2033&gt;=6.5,"Diabetes")</f>
        <v>Normal</v>
      </c>
      <c r="F2033" s="3" t="s">
        <v>2382</v>
      </c>
      <c r="G2033" s="3" t="s">
        <v>2379</v>
      </c>
      <c r="H2033" s="3" t="s">
        <v>2379</v>
      </c>
      <c r="I2033" s="1" t="s">
        <v>2380</v>
      </c>
      <c r="J2033">
        <v>0</v>
      </c>
      <c r="K2033" s="3" t="s">
        <v>2379</v>
      </c>
      <c r="P2033" s="3"/>
    </row>
    <row r="2034" spans="1:16" x14ac:dyDescent="0.25">
      <c r="A2034" s="3" t="s">
        <v>333</v>
      </c>
      <c r="B2034">
        <v>27.94</v>
      </c>
      <c r="C2034" t="str" cm="1">
        <f t="array" ref="C2034">_xlfn.IFS(B2034&lt;=18.5,  "Underweight",B2034&lt;=24.9,"Normal weight",B2034&lt;=29.9, "Over weight",B2034&gt;=30,"Obesity")</f>
        <v>Over weight</v>
      </c>
      <c r="D2034">
        <v>6.08</v>
      </c>
      <c r="E2034" t="str" cm="1">
        <f t="array" ref="E2034">_xlfn.IFS(D2034&lt;5.7,"Normal",D2034&lt;=6.4,"Prediabetes",D2034&gt;=6.5,"Diabetes")</f>
        <v>Prediabetes</v>
      </c>
      <c r="F2034" s="3" t="s">
        <v>2379</v>
      </c>
      <c r="G2034" s="3" t="s">
        <v>2379</v>
      </c>
      <c r="H2034" s="3" t="s">
        <v>2382</v>
      </c>
      <c r="I2034" s="1">
        <v>1</v>
      </c>
      <c r="J2034">
        <v>1</v>
      </c>
      <c r="K2034" s="3" t="s">
        <v>2379</v>
      </c>
      <c r="P2034" s="3"/>
    </row>
    <row r="2035" spans="1:16" x14ac:dyDescent="0.25">
      <c r="A2035" s="3" t="s">
        <v>332</v>
      </c>
      <c r="B2035">
        <v>27.2</v>
      </c>
      <c r="C2035" t="str" cm="1">
        <f t="array" ref="C2035">_xlfn.IFS(B2035&lt;=18.5,  "Underweight",B2035&lt;=24.9,"Normal weight",B2035&lt;=29.9, "Over weight",B2035&gt;=30,"Obesity")</f>
        <v>Over weight</v>
      </c>
      <c r="D2035">
        <v>5.83</v>
      </c>
      <c r="E2035" t="str" cm="1">
        <f t="array" ref="E2035">_xlfn.IFS(D2035&lt;5.7,"Normal",D2035&lt;=6.4,"Prediabetes",D2035&gt;=6.5,"Diabetes")</f>
        <v>Prediabetes</v>
      </c>
      <c r="F2035" s="3" t="s">
        <v>2379</v>
      </c>
      <c r="G2035" s="3" t="s">
        <v>2379</v>
      </c>
      <c r="H2035" s="3" t="s">
        <v>2382</v>
      </c>
      <c r="I2035" s="1">
        <v>1</v>
      </c>
      <c r="J2035">
        <v>1</v>
      </c>
      <c r="K2035" s="3" t="s">
        <v>2379</v>
      </c>
      <c r="P2035" s="3"/>
    </row>
    <row r="2036" spans="1:16" x14ac:dyDescent="0.25">
      <c r="A2036" s="3" t="s">
        <v>331</v>
      </c>
      <c r="B2036">
        <v>33.344999999999999</v>
      </c>
      <c r="C2036" t="str" cm="1">
        <f t="array" ref="C2036">_xlfn.IFS(B2036&lt;=18.5,  "Underweight",B2036&lt;=24.9,"Normal weight",B2036&lt;=29.9, "Over weight",B2036&gt;=30,"Obesity")</f>
        <v>Obesity</v>
      </c>
      <c r="D2036">
        <v>4.29</v>
      </c>
      <c r="E2036" t="str" cm="1">
        <f t="array" ref="E2036">_xlfn.IFS(D2036&lt;5.7,"Normal",D2036&lt;=6.4,"Prediabetes",D2036&gt;=6.5,"Diabetes")</f>
        <v>Normal</v>
      </c>
      <c r="F2036" s="3" t="s">
        <v>2379</v>
      </c>
      <c r="G2036" s="3" t="s">
        <v>2379</v>
      </c>
      <c r="H2036" s="3" t="s">
        <v>2379</v>
      </c>
      <c r="I2036" s="1">
        <v>1</v>
      </c>
      <c r="J2036">
        <v>1</v>
      </c>
      <c r="K2036" s="3" t="s">
        <v>2379</v>
      </c>
      <c r="P2036" s="3"/>
    </row>
    <row r="2037" spans="1:16" x14ac:dyDescent="0.25">
      <c r="A2037" s="3" t="s">
        <v>330</v>
      </c>
      <c r="B2037">
        <v>29.925000000000001</v>
      </c>
      <c r="C2037" t="e" cm="1">
        <f t="array" ref="C2037">_xlfn.IFS(B2037&lt;=18.5,  "Underweight",B2037&lt;=24.9,"Normal weight",B2037&lt;=29.9, "Over weight",B2037&gt;=30,"Obesity")</f>
        <v>#N/A</v>
      </c>
      <c r="D2037">
        <v>5.3</v>
      </c>
      <c r="E2037" t="str" cm="1">
        <f t="array" ref="E2037">_xlfn.IFS(D2037&lt;5.7,"Normal",D2037&lt;=6.4,"Prediabetes",D2037&gt;=6.5,"Diabetes")</f>
        <v>Normal</v>
      </c>
      <c r="F2037" s="3" t="s">
        <v>2379</v>
      </c>
      <c r="G2037" s="3" t="s">
        <v>2379</v>
      </c>
      <c r="H2037" s="3" t="s">
        <v>2379</v>
      </c>
      <c r="I2037" s="1">
        <v>1</v>
      </c>
      <c r="J2037">
        <v>1</v>
      </c>
      <c r="K2037" s="3" t="s">
        <v>2379</v>
      </c>
      <c r="P2037" s="3"/>
    </row>
    <row r="2038" spans="1:16" x14ac:dyDescent="0.25">
      <c r="A2038" s="3" t="s">
        <v>329</v>
      </c>
      <c r="B2038">
        <v>24.225000000000001</v>
      </c>
      <c r="C2038" t="str" cm="1">
        <f t="array" ref="C2038">_xlfn.IFS(B2038&lt;=18.5,  "Underweight",B2038&lt;=24.9,"Normal weight",B2038&lt;=29.9, "Over weight",B2038&gt;=30,"Obesity")</f>
        <v>Normal weight</v>
      </c>
      <c r="D2038">
        <v>4.42</v>
      </c>
      <c r="E2038" t="str" cm="1">
        <f t="array" ref="E2038">_xlfn.IFS(D2038&lt;5.7,"Normal",D2038&lt;=6.4,"Prediabetes",D2038&gt;=6.5,"Diabetes")</f>
        <v>Normal</v>
      </c>
      <c r="F2038" s="3" t="s">
        <v>2379</v>
      </c>
      <c r="G2038" s="3" t="s">
        <v>2379</v>
      </c>
      <c r="H2038" s="3" t="s">
        <v>2379</v>
      </c>
      <c r="I2038" s="1">
        <v>1</v>
      </c>
      <c r="J2038">
        <v>1</v>
      </c>
      <c r="K2038" s="3" t="s">
        <v>2379</v>
      </c>
      <c r="P2038" s="3"/>
    </row>
    <row r="2039" spans="1:16" x14ac:dyDescent="0.25">
      <c r="A2039" s="3" t="s">
        <v>328</v>
      </c>
      <c r="B2039">
        <v>29.68</v>
      </c>
      <c r="C2039" t="str" cm="1">
        <f t="array" ref="C2039">_xlfn.IFS(B2039&lt;=18.5,  "Underweight",B2039&lt;=24.9,"Normal weight",B2039&lt;=29.9, "Over weight",B2039&gt;=30,"Obesity")</f>
        <v>Over weight</v>
      </c>
      <c r="D2039">
        <v>5.68</v>
      </c>
      <c r="E2039" t="str" cm="1">
        <f t="array" ref="E2039">_xlfn.IFS(D2039&lt;5.7,"Normal",D2039&lt;=6.4,"Prediabetes",D2039&gt;=6.5,"Diabetes")</f>
        <v>Normal</v>
      </c>
      <c r="F2039" s="3" t="s">
        <v>2379</v>
      </c>
      <c r="G2039" s="3" t="s">
        <v>2381</v>
      </c>
      <c r="H2039" s="3" t="s">
        <v>2379</v>
      </c>
      <c r="I2039" s="1">
        <v>1</v>
      </c>
      <c r="J2039">
        <v>1</v>
      </c>
      <c r="K2039" s="3" t="s">
        <v>2379</v>
      </c>
      <c r="P2039" s="3"/>
    </row>
    <row r="2040" spans="1:16" x14ac:dyDescent="0.25">
      <c r="A2040" s="3" t="s">
        <v>327</v>
      </c>
      <c r="B2040">
        <v>20.614999999999998</v>
      </c>
      <c r="C2040" t="str" cm="1">
        <f t="array" ref="C2040">_xlfn.IFS(B2040&lt;=18.5,  "Underweight",B2040&lt;=24.9,"Normal weight",B2040&lt;=29.9, "Over weight",B2040&gt;=30,"Obesity")</f>
        <v>Normal weight</v>
      </c>
      <c r="D2040">
        <v>6.05</v>
      </c>
      <c r="E2040" t="str" cm="1">
        <f t="array" ref="E2040">_xlfn.IFS(D2040&lt;5.7,"Normal",D2040&lt;=6.4,"Prediabetes",D2040&gt;=6.5,"Diabetes")</f>
        <v>Prediabetes</v>
      </c>
      <c r="F2040" s="3" t="s">
        <v>2379</v>
      </c>
      <c r="G2040" s="3" t="s">
        <v>2379</v>
      </c>
      <c r="H2040" s="3" t="s">
        <v>2382</v>
      </c>
      <c r="I2040" s="1">
        <v>1</v>
      </c>
      <c r="J2040">
        <v>1</v>
      </c>
      <c r="K2040" s="3" t="s">
        <v>2379</v>
      </c>
      <c r="P2040" s="3"/>
    </row>
    <row r="2041" spans="1:16" x14ac:dyDescent="0.25">
      <c r="A2041" s="3" t="s">
        <v>326</v>
      </c>
      <c r="B2041">
        <v>32.119999999999997</v>
      </c>
      <c r="C2041" t="str" cm="1">
        <f t="array" ref="C2041">_xlfn.IFS(B2041&lt;=18.5,  "Underweight",B2041&lt;=24.9,"Normal weight",B2041&lt;=29.9, "Over weight",B2041&gt;=30,"Obesity")</f>
        <v>Obesity</v>
      </c>
      <c r="D2041">
        <v>5.33</v>
      </c>
      <c r="E2041" t="str" cm="1">
        <f t="array" ref="E2041">_xlfn.IFS(D2041&lt;5.7,"Normal",D2041&lt;=6.4,"Prediabetes",D2041&gt;=6.5,"Diabetes")</f>
        <v>Normal</v>
      </c>
      <c r="F2041" s="3" t="s">
        <v>2379</v>
      </c>
      <c r="G2041" s="3" t="s">
        <v>2381</v>
      </c>
      <c r="H2041" s="3" t="s">
        <v>2379</v>
      </c>
      <c r="I2041" s="1">
        <v>1</v>
      </c>
      <c r="J2041">
        <v>1</v>
      </c>
      <c r="K2041" s="3" t="s">
        <v>2379</v>
      </c>
      <c r="P2041" s="3"/>
    </row>
    <row r="2042" spans="1:16" x14ac:dyDescent="0.25">
      <c r="A2042" s="3" t="s">
        <v>325</v>
      </c>
      <c r="B2042">
        <v>27.36</v>
      </c>
      <c r="C2042" t="str" cm="1">
        <f t="array" ref="C2042">_xlfn.IFS(B2042&lt;=18.5,  "Underweight",B2042&lt;=24.9,"Normal weight",B2042&lt;=29.9, "Over weight",B2042&gt;=30,"Obesity")</f>
        <v>Over weight</v>
      </c>
      <c r="D2042">
        <v>6.22</v>
      </c>
      <c r="E2042" t="str" cm="1">
        <f t="array" ref="E2042">_xlfn.IFS(D2042&lt;5.7,"Normal",D2042&lt;=6.4,"Prediabetes",D2042&gt;=6.5,"Diabetes")</f>
        <v>Prediabetes</v>
      </c>
      <c r="F2042" s="3" t="s">
        <v>2379</v>
      </c>
      <c r="G2042" s="3" t="s">
        <v>2379</v>
      </c>
      <c r="H2042" s="3" t="s">
        <v>2379</v>
      </c>
      <c r="I2042" s="1" t="s">
        <v>2380</v>
      </c>
      <c r="J2042">
        <v>0</v>
      </c>
      <c r="K2042" s="3" t="s">
        <v>2379</v>
      </c>
      <c r="P2042" s="3"/>
    </row>
    <row r="2043" spans="1:16" x14ac:dyDescent="0.25">
      <c r="A2043" s="3" t="s">
        <v>324</v>
      </c>
      <c r="B2043">
        <v>17.385000000000002</v>
      </c>
      <c r="C2043" t="str" cm="1">
        <f t="array" ref="C2043">_xlfn.IFS(B2043&lt;=18.5,  "Underweight",B2043&lt;=24.9,"Normal weight",B2043&lt;=29.9, "Over weight",B2043&gt;=30,"Obesity")</f>
        <v>Underweight</v>
      </c>
      <c r="D2043">
        <v>5.84</v>
      </c>
      <c r="E2043" t="str" cm="1">
        <f t="array" ref="E2043">_xlfn.IFS(D2043&lt;5.7,"Normal",D2043&lt;=6.4,"Prediabetes",D2043&gt;=6.5,"Diabetes")</f>
        <v>Prediabetes</v>
      </c>
      <c r="F2043" s="3" t="s">
        <v>2379</v>
      </c>
      <c r="G2043" s="3" t="s">
        <v>2379</v>
      </c>
      <c r="H2043" s="3" t="s">
        <v>2379</v>
      </c>
      <c r="I2043" s="1" t="s">
        <v>2380</v>
      </c>
      <c r="J2043">
        <v>0</v>
      </c>
      <c r="K2043" s="3" t="s">
        <v>2379</v>
      </c>
      <c r="P2043" s="3"/>
    </row>
    <row r="2044" spans="1:16" x14ac:dyDescent="0.25">
      <c r="A2044" s="3" t="s">
        <v>323</v>
      </c>
      <c r="B2044">
        <v>30.13</v>
      </c>
      <c r="C2044" t="str" cm="1">
        <f t="array" ref="C2044">_xlfn.IFS(B2044&lt;=18.5,  "Underweight",B2044&lt;=24.9,"Normal weight",B2044&lt;=29.9, "Over weight",B2044&gt;=30,"Obesity")</f>
        <v>Obesity</v>
      </c>
      <c r="D2044">
        <v>5.71</v>
      </c>
      <c r="E2044" t="str" cm="1">
        <f t="array" ref="E2044">_xlfn.IFS(D2044&lt;5.7,"Normal",D2044&lt;=6.4,"Prediabetes",D2044&gt;=6.5,"Diabetes")</f>
        <v>Prediabetes</v>
      </c>
      <c r="F2044" s="3" t="s">
        <v>2379</v>
      </c>
      <c r="G2044" s="3" t="s">
        <v>2381</v>
      </c>
      <c r="H2044" s="3" t="s">
        <v>2379</v>
      </c>
      <c r="I2044" s="1">
        <v>1</v>
      </c>
      <c r="J2044">
        <v>1</v>
      </c>
      <c r="K2044" s="3" t="s">
        <v>2379</v>
      </c>
      <c r="P2044" s="3"/>
    </row>
    <row r="2045" spans="1:16" x14ac:dyDescent="0.25">
      <c r="A2045" s="3" t="s">
        <v>322</v>
      </c>
      <c r="B2045">
        <v>25.44</v>
      </c>
      <c r="C2045" t="str" cm="1">
        <f t="array" ref="C2045">_xlfn.IFS(B2045&lt;=18.5,  "Underweight",B2045&lt;=24.9,"Normal weight",B2045&lt;=29.9, "Over weight",B2045&gt;=30,"Obesity")</f>
        <v>Over weight</v>
      </c>
      <c r="D2045">
        <v>6.04</v>
      </c>
      <c r="E2045" t="str" cm="1">
        <f t="array" ref="E2045">_xlfn.IFS(D2045&lt;5.7,"Normal",D2045&lt;=6.4,"Prediabetes",D2045&gt;=6.5,"Diabetes")</f>
        <v>Prediabetes</v>
      </c>
      <c r="F2045" s="3" t="s">
        <v>2382</v>
      </c>
      <c r="G2045" s="3" t="s">
        <v>2379</v>
      </c>
      <c r="H2045" s="3" t="s">
        <v>2382</v>
      </c>
      <c r="I2045" s="1">
        <v>1</v>
      </c>
      <c r="J2045">
        <v>1</v>
      </c>
      <c r="K2045" s="3" t="s">
        <v>2379</v>
      </c>
      <c r="P2045" s="3"/>
    </row>
    <row r="2046" spans="1:16" x14ac:dyDescent="0.25">
      <c r="A2046" s="3" t="s">
        <v>321</v>
      </c>
      <c r="B2046">
        <v>39.805</v>
      </c>
      <c r="C2046" t="str" cm="1">
        <f t="array" ref="C2046">_xlfn.IFS(B2046&lt;=18.5,  "Underweight",B2046&lt;=24.9,"Normal weight",B2046&lt;=29.9, "Over weight",B2046&gt;=30,"Obesity")</f>
        <v>Obesity</v>
      </c>
      <c r="D2046">
        <v>4.38</v>
      </c>
      <c r="E2046" t="str" cm="1">
        <f t="array" ref="E2046">_xlfn.IFS(D2046&lt;5.7,"Normal",D2046&lt;=6.4,"Prediabetes",D2046&gt;=6.5,"Diabetes")</f>
        <v>Normal</v>
      </c>
      <c r="F2046" s="3" t="s">
        <v>2379</v>
      </c>
      <c r="G2046" s="3" t="s">
        <v>2381</v>
      </c>
      <c r="H2046" s="3" t="s">
        <v>2379</v>
      </c>
      <c r="I2046" s="1">
        <v>1</v>
      </c>
      <c r="J2046">
        <v>1</v>
      </c>
      <c r="K2046" s="3" t="s">
        <v>2379</v>
      </c>
      <c r="P2046" s="3"/>
    </row>
    <row r="2047" spans="1:16" x14ac:dyDescent="0.25">
      <c r="A2047" s="3" t="s">
        <v>320</v>
      </c>
      <c r="B2047">
        <v>30.4</v>
      </c>
      <c r="C2047" t="str" cm="1">
        <f t="array" ref="C2047">_xlfn.IFS(B2047&lt;=18.5,  "Underweight",B2047&lt;=24.9,"Normal weight",B2047&lt;=29.9, "Over weight",B2047&gt;=30,"Obesity")</f>
        <v>Obesity</v>
      </c>
      <c r="D2047">
        <v>5.56</v>
      </c>
      <c r="E2047" t="str" cm="1">
        <f t="array" ref="E2047">_xlfn.IFS(D2047&lt;5.7,"Normal",D2047&lt;=6.4,"Prediabetes",D2047&gt;=6.5,"Diabetes")</f>
        <v>Normal</v>
      </c>
      <c r="F2047" s="3" t="s">
        <v>2382</v>
      </c>
      <c r="G2047" s="3" t="s">
        <v>2381</v>
      </c>
      <c r="H2047" s="3" t="s">
        <v>2379</v>
      </c>
      <c r="I2047" s="1">
        <v>1</v>
      </c>
      <c r="J2047">
        <v>1</v>
      </c>
      <c r="K2047" s="3" t="s">
        <v>2379</v>
      </c>
      <c r="P2047" s="3"/>
    </row>
    <row r="2048" spans="1:16" x14ac:dyDescent="0.25">
      <c r="A2048" s="3" t="s">
        <v>319</v>
      </c>
      <c r="B2048">
        <v>23.18</v>
      </c>
      <c r="C2048" t="str" cm="1">
        <f t="array" ref="C2048">_xlfn.IFS(B2048&lt;=18.5,  "Underweight",B2048&lt;=24.9,"Normal weight",B2048&lt;=29.9, "Over weight",B2048&gt;=30,"Obesity")</f>
        <v>Normal weight</v>
      </c>
      <c r="D2048">
        <v>4.24</v>
      </c>
      <c r="E2048" t="str" cm="1">
        <f t="array" ref="E2048">_xlfn.IFS(D2048&lt;5.7,"Normal",D2048&lt;=6.4,"Prediabetes",D2048&gt;=6.5,"Diabetes")</f>
        <v>Normal</v>
      </c>
      <c r="F2048" s="3" t="s">
        <v>2379</v>
      </c>
      <c r="G2048" s="3" t="s">
        <v>2381</v>
      </c>
      <c r="H2048" s="3" t="s">
        <v>2379</v>
      </c>
      <c r="I2048" s="1">
        <v>1</v>
      </c>
      <c r="J2048">
        <v>1</v>
      </c>
      <c r="K2048" s="3" t="s">
        <v>2379</v>
      </c>
      <c r="P2048" s="3"/>
    </row>
    <row r="2049" spans="1:16" x14ac:dyDescent="0.25">
      <c r="A2049" s="3" t="s">
        <v>318</v>
      </c>
      <c r="B2049">
        <v>39.615000000000002</v>
      </c>
      <c r="C2049" t="str" cm="1">
        <f t="array" ref="C2049">_xlfn.IFS(B2049&lt;=18.5,  "Underweight",B2049&lt;=24.9,"Normal weight",B2049&lt;=29.9, "Over weight",B2049&gt;=30,"Obesity")</f>
        <v>Obesity</v>
      </c>
      <c r="D2049">
        <v>6.32</v>
      </c>
      <c r="E2049" t="str" cm="1">
        <f t="array" ref="E2049">_xlfn.IFS(D2049&lt;5.7,"Normal",D2049&lt;=6.4,"Prediabetes",D2049&gt;=6.5,"Diabetes")</f>
        <v>Prediabetes</v>
      </c>
      <c r="F2049" s="3" t="s">
        <v>2379</v>
      </c>
      <c r="G2049" s="3" t="s">
        <v>2379</v>
      </c>
      <c r="H2049" s="3" t="s">
        <v>2382</v>
      </c>
      <c r="I2049" s="1">
        <v>1</v>
      </c>
      <c r="J2049">
        <v>1</v>
      </c>
      <c r="K2049" s="3" t="s">
        <v>2379</v>
      </c>
      <c r="P2049" s="3"/>
    </row>
    <row r="2050" spans="1:16" x14ac:dyDescent="0.25">
      <c r="A2050" s="3" t="s">
        <v>317</v>
      </c>
      <c r="B2050">
        <v>30.59</v>
      </c>
      <c r="C2050" t="str" cm="1">
        <f t="array" ref="C2050">_xlfn.IFS(B2050&lt;=18.5,  "Underweight",B2050&lt;=24.9,"Normal weight",B2050&lt;=29.9, "Over weight",B2050&gt;=30,"Obesity")</f>
        <v>Obesity</v>
      </c>
      <c r="D2050">
        <v>6.3</v>
      </c>
      <c r="E2050" t="str" cm="1">
        <f t="array" ref="E2050">_xlfn.IFS(D2050&lt;5.7,"Normal",D2050&lt;=6.4,"Prediabetes",D2050&gt;=6.5,"Diabetes")</f>
        <v>Prediabetes</v>
      </c>
      <c r="F2050" s="3" t="s">
        <v>2382</v>
      </c>
      <c r="G2050" s="3" t="s">
        <v>2379</v>
      </c>
      <c r="H2050" s="3" t="s">
        <v>2382</v>
      </c>
      <c r="I2050" s="1">
        <v>1</v>
      </c>
      <c r="J2050">
        <v>1</v>
      </c>
      <c r="K2050" s="3" t="s">
        <v>2379</v>
      </c>
      <c r="P2050" s="3"/>
    </row>
    <row r="2051" spans="1:16" x14ac:dyDescent="0.25">
      <c r="A2051" s="3" t="s">
        <v>316</v>
      </c>
      <c r="B2051">
        <v>16.72</v>
      </c>
      <c r="C2051" t="str" cm="1">
        <f t="array" ref="C2051">_xlfn.IFS(B2051&lt;=18.5,  "Underweight",B2051&lt;=24.9,"Normal weight",B2051&lt;=29.9, "Over weight",B2051&gt;=30,"Obesity")</f>
        <v>Underweight</v>
      </c>
      <c r="D2051">
        <v>4.38</v>
      </c>
      <c r="E2051" t="str" cm="1">
        <f t="array" ref="E2051">_xlfn.IFS(D2051&lt;5.7,"Normal",D2051&lt;=6.4,"Prediabetes",D2051&gt;=6.5,"Diabetes")</f>
        <v>Normal</v>
      </c>
      <c r="F2051" s="3" t="s">
        <v>2382</v>
      </c>
      <c r="G2051" s="3" t="s">
        <v>2379</v>
      </c>
      <c r="H2051" s="3" t="s">
        <v>2379</v>
      </c>
      <c r="I2051" s="1">
        <v>1</v>
      </c>
      <c r="J2051">
        <v>1</v>
      </c>
      <c r="K2051" s="3" t="s">
        <v>2379</v>
      </c>
      <c r="P2051" s="3"/>
    </row>
    <row r="2052" spans="1:16" x14ac:dyDescent="0.25">
      <c r="A2052" s="3" t="s">
        <v>315</v>
      </c>
      <c r="B2052">
        <v>26.22</v>
      </c>
      <c r="C2052" t="str" cm="1">
        <f t="array" ref="C2052">_xlfn.IFS(B2052&lt;=18.5,  "Underweight",B2052&lt;=24.9,"Normal weight",B2052&lt;=29.9, "Over weight",B2052&gt;=30,"Obesity")</f>
        <v>Over weight</v>
      </c>
      <c r="D2052">
        <v>4.6500000000000004</v>
      </c>
      <c r="E2052" t="str" cm="1">
        <f t="array" ref="E2052">_xlfn.IFS(D2052&lt;5.7,"Normal",D2052&lt;=6.4,"Prediabetes",D2052&gt;=6.5,"Diabetes")</f>
        <v>Normal</v>
      </c>
      <c r="F2052" s="3" t="s">
        <v>2382</v>
      </c>
      <c r="G2052" s="3" t="s">
        <v>2379</v>
      </c>
      <c r="H2052" s="3" t="s">
        <v>2382</v>
      </c>
      <c r="I2052" s="1">
        <v>1</v>
      </c>
      <c r="J2052">
        <v>1</v>
      </c>
      <c r="K2052" s="3" t="s">
        <v>2379</v>
      </c>
      <c r="P2052" s="3"/>
    </row>
    <row r="2053" spans="1:16" x14ac:dyDescent="0.25">
      <c r="A2053" s="3" t="s">
        <v>314</v>
      </c>
      <c r="B2053">
        <v>31.824999999999999</v>
      </c>
      <c r="C2053" t="str" cm="1">
        <f t="array" ref="C2053">_xlfn.IFS(B2053&lt;=18.5,  "Underweight",B2053&lt;=24.9,"Normal weight",B2053&lt;=29.9, "Over weight",B2053&gt;=30,"Obesity")</f>
        <v>Obesity</v>
      </c>
      <c r="D2053">
        <v>4.7</v>
      </c>
      <c r="E2053" t="str" cm="1">
        <f t="array" ref="E2053">_xlfn.IFS(D2053&lt;5.7,"Normal",D2053&lt;=6.4,"Prediabetes",D2053&gt;=6.5,"Diabetes")</f>
        <v>Normal</v>
      </c>
      <c r="F2053" s="3" t="s">
        <v>2379</v>
      </c>
      <c r="G2053" s="3" t="s">
        <v>2379</v>
      </c>
      <c r="H2053" s="3" t="s">
        <v>2382</v>
      </c>
      <c r="I2053" s="1">
        <v>1</v>
      </c>
      <c r="J2053">
        <v>1</v>
      </c>
      <c r="K2053" s="3" t="s">
        <v>2379</v>
      </c>
      <c r="P2053" s="3"/>
    </row>
    <row r="2054" spans="1:16" x14ac:dyDescent="0.25">
      <c r="A2054" s="3" t="s">
        <v>313</v>
      </c>
      <c r="B2054">
        <v>25.745000000000001</v>
      </c>
      <c r="C2054" t="str" cm="1">
        <f t="array" ref="C2054">_xlfn.IFS(B2054&lt;=18.5,  "Underweight",B2054&lt;=24.9,"Normal weight",B2054&lt;=29.9, "Over weight",B2054&gt;=30,"Obesity")</f>
        <v>Over weight</v>
      </c>
      <c r="D2054">
        <v>4.34</v>
      </c>
      <c r="E2054" t="str" cm="1">
        <f t="array" ref="E2054">_xlfn.IFS(D2054&lt;5.7,"Normal",D2054&lt;=6.4,"Prediabetes",D2054&gt;=6.5,"Diabetes")</f>
        <v>Normal</v>
      </c>
      <c r="F2054" s="3" t="s">
        <v>2379</v>
      </c>
      <c r="G2054" s="3" t="s">
        <v>2379</v>
      </c>
      <c r="H2054" s="3" t="s">
        <v>2382</v>
      </c>
      <c r="I2054" s="1">
        <v>1</v>
      </c>
      <c r="J2054">
        <v>1</v>
      </c>
      <c r="K2054" s="3" t="s">
        <v>2379</v>
      </c>
      <c r="P2054" s="3"/>
    </row>
    <row r="2055" spans="1:16" x14ac:dyDescent="0.25">
      <c r="A2055" s="3" t="s">
        <v>312</v>
      </c>
      <c r="B2055">
        <v>24.605</v>
      </c>
      <c r="C2055" t="str" cm="1">
        <f t="array" ref="C2055">_xlfn.IFS(B2055&lt;=18.5,  "Underweight",B2055&lt;=24.9,"Normal weight",B2055&lt;=29.9, "Over weight",B2055&gt;=30,"Obesity")</f>
        <v>Normal weight</v>
      </c>
      <c r="D2055">
        <v>5.62</v>
      </c>
      <c r="E2055" t="str" cm="1">
        <f t="array" ref="E2055">_xlfn.IFS(D2055&lt;5.7,"Normal",D2055&lt;=6.4,"Prediabetes",D2055&gt;=6.5,"Diabetes")</f>
        <v>Normal</v>
      </c>
      <c r="F2055" s="3" t="s">
        <v>2379</v>
      </c>
      <c r="G2055" s="3" t="s">
        <v>2379</v>
      </c>
      <c r="H2055" s="3" t="s">
        <v>2382</v>
      </c>
      <c r="I2055" s="1">
        <v>1</v>
      </c>
      <c r="J2055">
        <v>1</v>
      </c>
      <c r="K2055" s="3" t="s">
        <v>2379</v>
      </c>
      <c r="P2055" s="3"/>
    </row>
    <row r="2056" spans="1:16" x14ac:dyDescent="0.25">
      <c r="A2056" s="3" t="s">
        <v>311</v>
      </c>
      <c r="B2056">
        <v>24.51</v>
      </c>
      <c r="C2056" t="str" cm="1">
        <f t="array" ref="C2056">_xlfn.IFS(B2056&lt;=18.5,  "Underweight",B2056&lt;=24.9,"Normal weight",B2056&lt;=29.9, "Over weight",B2056&gt;=30,"Obesity")</f>
        <v>Normal weight</v>
      </c>
      <c r="D2056">
        <v>4.24</v>
      </c>
      <c r="E2056" t="str" cm="1">
        <f t="array" ref="E2056">_xlfn.IFS(D2056&lt;5.7,"Normal",D2056&lt;=6.4,"Prediabetes",D2056&gt;=6.5,"Diabetes")</f>
        <v>Normal</v>
      </c>
      <c r="F2056" s="3" t="s">
        <v>2379</v>
      </c>
      <c r="G2056" s="3" t="s">
        <v>2379</v>
      </c>
      <c r="H2056" s="3" t="s">
        <v>2382</v>
      </c>
      <c r="I2056" s="1">
        <v>1</v>
      </c>
      <c r="J2056">
        <v>1</v>
      </c>
      <c r="K2056" s="3" t="s">
        <v>2379</v>
      </c>
      <c r="P2056" s="3"/>
    </row>
    <row r="2057" spans="1:16" x14ac:dyDescent="0.25">
      <c r="A2057" s="3" t="s">
        <v>310</v>
      </c>
      <c r="B2057">
        <v>31.065000000000001</v>
      </c>
      <c r="C2057" t="str" cm="1">
        <f t="array" ref="C2057">_xlfn.IFS(B2057&lt;=18.5,  "Underweight",B2057&lt;=24.9,"Normal weight",B2057&lt;=29.9, "Over weight",B2057&gt;=30,"Obesity")</f>
        <v>Obesity</v>
      </c>
      <c r="D2057">
        <v>4.57</v>
      </c>
      <c r="E2057" t="str" cm="1">
        <f t="array" ref="E2057">_xlfn.IFS(D2057&lt;5.7,"Normal",D2057&lt;=6.4,"Prediabetes",D2057&gt;=6.5,"Diabetes")</f>
        <v>Normal</v>
      </c>
      <c r="F2057" s="3" t="s">
        <v>2382</v>
      </c>
      <c r="G2057" s="3" t="s">
        <v>2379</v>
      </c>
      <c r="H2057" s="3" t="s">
        <v>2379</v>
      </c>
      <c r="I2057" s="1" t="s">
        <v>2380</v>
      </c>
      <c r="J2057">
        <v>0</v>
      </c>
      <c r="K2057" s="3" t="s">
        <v>2379</v>
      </c>
      <c r="P2057" s="3"/>
    </row>
    <row r="2058" spans="1:16" x14ac:dyDescent="0.25">
      <c r="A2058" s="3" t="s">
        <v>309</v>
      </c>
      <c r="B2058">
        <v>28.12</v>
      </c>
      <c r="C2058" t="str" cm="1">
        <f t="array" ref="C2058">_xlfn.IFS(B2058&lt;=18.5,  "Underweight",B2058&lt;=24.9,"Normal weight",B2058&lt;=29.9, "Over weight",B2058&gt;=30,"Obesity")</f>
        <v>Over weight</v>
      </c>
      <c r="D2058">
        <v>5.05</v>
      </c>
      <c r="E2058" t="str" cm="1">
        <f t="array" ref="E2058">_xlfn.IFS(D2058&lt;5.7,"Normal",D2058&lt;=6.4,"Prediabetes",D2058&gt;=6.5,"Diabetes")</f>
        <v>Normal</v>
      </c>
      <c r="F2058" s="3" t="s">
        <v>2379</v>
      </c>
      <c r="G2058" s="3" t="s">
        <v>2379</v>
      </c>
      <c r="H2058" s="3" t="s">
        <v>2379</v>
      </c>
      <c r="I2058" s="1" t="s">
        <v>2380</v>
      </c>
      <c r="J2058">
        <v>0</v>
      </c>
      <c r="K2058" s="3" t="s">
        <v>2379</v>
      </c>
      <c r="P2058" s="3"/>
    </row>
    <row r="2059" spans="1:16" x14ac:dyDescent="0.25">
      <c r="A2059" s="3" t="s">
        <v>308</v>
      </c>
      <c r="B2059">
        <v>38.06</v>
      </c>
      <c r="C2059" t="str" cm="1">
        <f t="array" ref="C2059">_xlfn.IFS(B2059&lt;=18.5,  "Underweight",B2059&lt;=24.9,"Normal weight",B2059&lt;=29.9, "Over weight",B2059&gt;=30,"Obesity")</f>
        <v>Obesity</v>
      </c>
      <c r="D2059">
        <v>6.16</v>
      </c>
      <c r="E2059" t="str" cm="1">
        <f t="array" ref="E2059">_xlfn.IFS(D2059&lt;5.7,"Normal",D2059&lt;=6.4,"Prediabetes",D2059&gt;=6.5,"Diabetes")</f>
        <v>Prediabetes</v>
      </c>
      <c r="F2059" s="3" t="s">
        <v>2379</v>
      </c>
      <c r="G2059" s="3" t="s">
        <v>2379</v>
      </c>
      <c r="H2059" s="3" t="s">
        <v>2379</v>
      </c>
      <c r="I2059" s="1" t="s">
        <v>2380</v>
      </c>
      <c r="J2059">
        <v>0</v>
      </c>
      <c r="K2059" s="3" t="s">
        <v>2379</v>
      </c>
      <c r="P2059" s="3"/>
    </row>
    <row r="2060" spans="1:16" x14ac:dyDescent="0.25">
      <c r="A2060" s="3" t="s">
        <v>307</v>
      </c>
      <c r="B2060">
        <v>24.96</v>
      </c>
      <c r="C2060" t="str" cm="1">
        <f t="array" ref="C2060">_xlfn.IFS(B2060&lt;=18.5,  "Underweight",B2060&lt;=24.9,"Normal weight",B2060&lt;=29.9, "Over weight",B2060&gt;=30,"Obesity")</f>
        <v>Over weight</v>
      </c>
      <c r="D2060">
        <v>4.57</v>
      </c>
      <c r="E2060" t="str" cm="1">
        <f t="array" ref="E2060">_xlfn.IFS(D2060&lt;5.7,"Normal",D2060&lt;=6.4,"Prediabetes",D2060&gt;=6.5,"Diabetes")</f>
        <v>Normal</v>
      </c>
      <c r="F2060" s="3" t="s">
        <v>2379</v>
      </c>
      <c r="G2060" s="3" t="s">
        <v>2379</v>
      </c>
      <c r="H2060" s="3" t="s">
        <v>2379</v>
      </c>
      <c r="I2060" s="1" t="s">
        <v>2380</v>
      </c>
      <c r="J2060">
        <v>0</v>
      </c>
      <c r="K2060" s="3" t="s">
        <v>2379</v>
      </c>
      <c r="P2060" s="3"/>
    </row>
    <row r="2061" spans="1:16" x14ac:dyDescent="0.25">
      <c r="A2061" s="3" t="s">
        <v>306</v>
      </c>
      <c r="B2061">
        <v>17.670000000000002</v>
      </c>
      <c r="C2061" t="str" cm="1">
        <f t="array" ref="C2061">_xlfn.IFS(B2061&lt;=18.5,  "Underweight",B2061&lt;=24.9,"Normal weight",B2061&lt;=29.9, "Over weight",B2061&gt;=30,"Obesity")</f>
        <v>Underweight</v>
      </c>
      <c r="D2061">
        <v>5.53</v>
      </c>
      <c r="E2061" t="str" cm="1">
        <f t="array" ref="E2061">_xlfn.IFS(D2061&lt;5.7,"Normal",D2061&lt;=6.4,"Prediabetes",D2061&gt;=6.5,"Diabetes")</f>
        <v>Normal</v>
      </c>
      <c r="F2061" s="3" t="s">
        <v>2382</v>
      </c>
      <c r="G2061" s="3" t="s">
        <v>2379</v>
      </c>
      <c r="H2061" s="3" t="s">
        <v>2379</v>
      </c>
      <c r="I2061" s="1" t="s">
        <v>2380</v>
      </c>
      <c r="J2061">
        <v>0</v>
      </c>
      <c r="K2061" s="3" t="s">
        <v>2379</v>
      </c>
      <c r="P2061" s="3"/>
    </row>
    <row r="2062" spans="1:16" x14ac:dyDescent="0.25">
      <c r="A2062" s="3" t="s">
        <v>305</v>
      </c>
      <c r="B2062">
        <v>31.35</v>
      </c>
      <c r="C2062" t="str" cm="1">
        <f t="array" ref="C2062">_xlfn.IFS(B2062&lt;=18.5,  "Underweight",B2062&lt;=24.9,"Normal weight",B2062&lt;=29.9, "Over weight",B2062&gt;=30,"Obesity")</f>
        <v>Obesity</v>
      </c>
      <c r="D2062">
        <v>5.84</v>
      </c>
      <c r="E2062" t="str" cm="1">
        <f t="array" ref="E2062">_xlfn.IFS(D2062&lt;5.7,"Normal",D2062&lt;=6.4,"Prediabetes",D2062&gt;=6.5,"Diabetes")</f>
        <v>Prediabetes</v>
      </c>
      <c r="F2062" s="3" t="s">
        <v>2379</v>
      </c>
      <c r="G2062" s="3" t="s">
        <v>2381</v>
      </c>
      <c r="H2062" s="3" t="s">
        <v>2379</v>
      </c>
      <c r="I2062" s="1">
        <v>1</v>
      </c>
      <c r="J2062">
        <v>1</v>
      </c>
      <c r="K2062" s="3" t="s">
        <v>2379</v>
      </c>
      <c r="P2062" s="3"/>
    </row>
    <row r="2063" spans="1:16" x14ac:dyDescent="0.25">
      <c r="A2063" s="3" t="s">
        <v>304</v>
      </c>
      <c r="B2063">
        <v>28.31</v>
      </c>
      <c r="C2063" t="str" cm="1">
        <f t="array" ref="C2063">_xlfn.IFS(B2063&lt;=18.5,  "Underweight",B2063&lt;=24.9,"Normal weight",B2063&lt;=29.9, "Over weight",B2063&gt;=30,"Obesity")</f>
        <v>Over weight</v>
      </c>
      <c r="D2063">
        <v>6.41</v>
      </c>
      <c r="E2063" t="e" cm="1">
        <f t="array" ref="E2063">_xlfn.IFS(D2063&lt;5.7,"Normal",D2063&lt;=6.4,"Prediabetes",D2063&gt;=6.5,"Diabetes")</f>
        <v>#N/A</v>
      </c>
      <c r="F2063" s="3" t="s">
        <v>2379</v>
      </c>
      <c r="G2063" s="3" t="s">
        <v>2381</v>
      </c>
      <c r="H2063" s="3" t="s">
        <v>2379</v>
      </c>
      <c r="I2063" s="1">
        <v>1</v>
      </c>
      <c r="J2063">
        <v>1</v>
      </c>
      <c r="K2063" s="3" t="s">
        <v>2379</v>
      </c>
      <c r="P2063" s="3"/>
    </row>
    <row r="2064" spans="1:16" x14ac:dyDescent="0.25">
      <c r="A2064" s="3" t="s">
        <v>303</v>
      </c>
      <c r="B2064">
        <v>30.3</v>
      </c>
      <c r="C2064" t="str" cm="1">
        <f t="array" ref="C2064">_xlfn.IFS(B2064&lt;=18.5,  "Underweight",B2064&lt;=24.9,"Normal weight",B2064&lt;=29.9, "Over weight",B2064&gt;=30,"Obesity")</f>
        <v>Obesity</v>
      </c>
      <c r="D2064">
        <v>4.7300000000000004</v>
      </c>
      <c r="E2064" t="str" cm="1">
        <f t="array" ref="E2064">_xlfn.IFS(D2064&lt;5.7,"Normal",D2064&lt;=6.4,"Prediabetes",D2064&gt;=6.5,"Diabetes")</f>
        <v>Normal</v>
      </c>
      <c r="F2064" s="3" t="s">
        <v>2382</v>
      </c>
      <c r="G2064" s="3" t="s">
        <v>2379</v>
      </c>
      <c r="H2064" s="3" t="s">
        <v>2382</v>
      </c>
      <c r="I2064" s="1">
        <v>1</v>
      </c>
      <c r="J2064">
        <v>1</v>
      </c>
      <c r="K2064" s="3" t="s">
        <v>2379</v>
      </c>
      <c r="P2064" s="3"/>
    </row>
    <row r="2065" spans="1:16" x14ac:dyDescent="0.25">
      <c r="A2065" s="3" t="s">
        <v>302</v>
      </c>
      <c r="B2065">
        <v>26.4</v>
      </c>
      <c r="C2065" t="str" cm="1">
        <f t="array" ref="C2065">_xlfn.IFS(B2065&lt;=18.5,  "Underweight",B2065&lt;=24.9,"Normal weight",B2065&lt;=29.9, "Over weight",B2065&gt;=30,"Obesity")</f>
        <v>Over weight</v>
      </c>
      <c r="D2065">
        <v>6.22</v>
      </c>
      <c r="E2065" t="str" cm="1">
        <f t="array" ref="E2065">_xlfn.IFS(D2065&lt;5.7,"Normal",D2065&lt;=6.4,"Prediabetes",D2065&gt;=6.5,"Diabetes")</f>
        <v>Prediabetes</v>
      </c>
      <c r="F2065" s="3" t="s">
        <v>2382</v>
      </c>
      <c r="G2065" s="3" t="s">
        <v>2379</v>
      </c>
      <c r="H2065" s="3" t="s">
        <v>2379</v>
      </c>
      <c r="I2065" s="1" t="s">
        <v>2380</v>
      </c>
      <c r="J2065">
        <v>0</v>
      </c>
      <c r="K2065" s="3" t="s">
        <v>2379</v>
      </c>
      <c r="P2065" s="3"/>
    </row>
    <row r="2066" spans="1:16" x14ac:dyDescent="0.25">
      <c r="A2066" s="3" t="s">
        <v>301</v>
      </c>
      <c r="B2066">
        <v>22.135000000000002</v>
      </c>
      <c r="C2066" t="str" cm="1">
        <f t="array" ref="C2066">_xlfn.IFS(B2066&lt;=18.5,  "Underweight",B2066&lt;=24.9,"Normal weight",B2066&lt;=29.9, "Over weight",B2066&gt;=30,"Obesity")</f>
        <v>Normal weight</v>
      </c>
      <c r="D2066">
        <v>4.46</v>
      </c>
      <c r="E2066" t="str" cm="1">
        <f t="array" ref="E2066">_xlfn.IFS(D2066&lt;5.7,"Normal",D2066&lt;=6.4,"Prediabetes",D2066&gt;=6.5,"Diabetes")</f>
        <v>Normal</v>
      </c>
      <c r="F2066" s="3" t="s">
        <v>2382</v>
      </c>
      <c r="G2066" s="3" t="s">
        <v>2379</v>
      </c>
      <c r="H2066" s="3" t="s">
        <v>2379</v>
      </c>
      <c r="I2066" s="1" t="s">
        <v>2380</v>
      </c>
      <c r="J2066">
        <v>0</v>
      </c>
      <c r="K2066" s="3" t="s">
        <v>2379</v>
      </c>
      <c r="P2066" s="3"/>
    </row>
    <row r="2067" spans="1:16" x14ac:dyDescent="0.25">
      <c r="A2067" s="3" t="s">
        <v>300</v>
      </c>
      <c r="B2067">
        <v>17.399999999999999</v>
      </c>
      <c r="C2067" t="str" cm="1">
        <f t="array" ref="C2067">_xlfn.IFS(B2067&lt;=18.5,  "Underweight",B2067&lt;=24.9,"Normal weight",B2067&lt;=29.9, "Over weight",B2067&gt;=30,"Obesity")</f>
        <v>Underweight</v>
      </c>
      <c r="D2067">
        <v>4.5</v>
      </c>
      <c r="E2067" t="str" cm="1">
        <f t="array" ref="E2067">_xlfn.IFS(D2067&lt;5.7,"Normal",D2067&lt;=6.4,"Prediabetes",D2067&gt;=6.5,"Diabetes")</f>
        <v>Normal</v>
      </c>
      <c r="F2067" s="3" t="s">
        <v>2382</v>
      </c>
      <c r="G2067" s="3" t="s">
        <v>2379</v>
      </c>
      <c r="H2067" s="3" t="s">
        <v>2379</v>
      </c>
      <c r="I2067" s="1" t="s">
        <v>2380</v>
      </c>
      <c r="J2067">
        <v>0</v>
      </c>
      <c r="K2067" s="3" t="s">
        <v>2379</v>
      </c>
      <c r="P2067" s="3"/>
    </row>
    <row r="2068" spans="1:16" x14ac:dyDescent="0.25">
      <c r="A2068" s="3" t="s">
        <v>298</v>
      </c>
      <c r="B2068">
        <v>28.06</v>
      </c>
      <c r="C2068" t="str" cm="1">
        <f t="array" ref="C2068">_xlfn.IFS(B2068&lt;=18.5,  "Underweight",B2068&lt;=24.9,"Normal weight",B2068&lt;=29.9, "Over weight",B2068&gt;=30,"Obesity")</f>
        <v>Over weight</v>
      </c>
      <c r="D2068">
        <v>8.93</v>
      </c>
      <c r="E2068" t="str" cm="1">
        <f t="array" ref="E2068">_xlfn.IFS(D2068&lt;5.7,"Normal",D2068&lt;=6.4,"Prediabetes",D2068&gt;=6.5,"Diabetes")</f>
        <v>Diabetes</v>
      </c>
      <c r="F2068" s="3" t="s">
        <v>2379</v>
      </c>
      <c r="G2068" s="3" t="s">
        <v>2379</v>
      </c>
      <c r="H2068" s="3" t="s">
        <v>2379</v>
      </c>
      <c r="I2068" s="1" t="s">
        <v>2380</v>
      </c>
      <c r="J2068">
        <v>0</v>
      </c>
      <c r="K2068" s="3" t="s">
        <v>2379</v>
      </c>
      <c r="P2068" s="3"/>
    </row>
    <row r="2069" spans="1:16" x14ac:dyDescent="0.25">
      <c r="A2069" s="3" t="s">
        <v>297</v>
      </c>
      <c r="B2069">
        <v>31.13</v>
      </c>
      <c r="C2069" t="str" cm="1">
        <f t="array" ref="C2069">_xlfn.IFS(B2069&lt;=18.5,  "Underweight",B2069&lt;=24.9,"Normal weight",B2069&lt;=29.9, "Over weight",B2069&gt;=30,"Obesity")</f>
        <v>Obesity</v>
      </c>
      <c r="D2069">
        <v>11.02</v>
      </c>
      <c r="E2069" t="str" cm="1">
        <f t="array" ref="E2069">_xlfn.IFS(D2069&lt;5.7,"Normal",D2069&lt;=6.4,"Prediabetes",D2069&gt;=6.5,"Diabetes")</f>
        <v>Diabetes</v>
      </c>
      <c r="F2069" s="3" t="s">
        <v>2379</v>
      </c>
      <c r="G2069" s="3" t="s">
        <v>2379</v>
      </c>
      <c r="H2069" s="3" t="s">
        <v>2379</v>
      </c>
      <c r="I2069" s="1" t="s">
        <v>2380</v>
      </c>
      <c r="J2069">
        <v>0</v>
      </c>
      <c r="K2069" s="3" t="s">
        <v>2379</v>
      </c>
      <c r="P2069" s="3"/>
    </row>
    <row r="2070" spans="1:16" x14ac:dyDescent="0.25">
      <c r="A2070" s="3" t="s">
        <v>296</v>
      </c>
      <c r="B2070">
        <v>18.46</v>
      </c>
      <c r="C2070" t="str" cm="1">
        <f t="array" ref="C2070">_xlfn.IFS(B2070&lt;=18.5,  "Underweight",B2070&lt;=24.9,"Normal weight",B2070&lt;=29.9, "Over weight",B2070&gt;=30,"Obesity")</f>
        <v>Underweight</v>
      </c>
      <c r="D2070">
        <v>5.25</v>
      </c>
      <c r="E2070" t="str" cm="1">
        <f t="array" ref="E2070">_xlfn.IFS(D2070&lt;5.7,"Normal",D2070&lt;=6.4,"Prediabetes",D2070&gt;=6.5,"Diabetes")</f>
        <v>Normal</v>
      </c>
      <c r="F2070" s="3" t="s">
        <v>2379</v>
      </c>
      <c r="G2070" s="3" t="s">
        <v>2379</v>
      </c>
      <c r="H2070" s="3" t="s">
        <v>2379</v>
      </c>
      <c r="I2070" s="1" t="s">
        <v>2380</v>
      </c>
      <c r="J2070">
        <v>0</v>
      </c>
      <c r="K2070" s="3" t="s">
        <v>2379</v>
      </c>
      <c r="P2070" s="3"/>
    </row>
    <row r="2071" spans="1:16" x14ac:dyDescent="0.25">
      <c r="A2071" s="3" t="s">
        <v>295</v>
      </c>
      <c r="B2071">
        <v>17.3</v>
      </c>
      <c r="C2071" t="str" cm="1">
        <f t="array" ref="C2071">_xlfn.IFS(B2071&lt;=18.5,  "Underweight",B2071&lt;=24.9,"Normal weight",B2071&lt;=29.9, "Over weight",B2071&gt;=30,"Obesity")</f>
        <v>Underweight</v>
      </c>
      <c r="D2071">
        <v>4.75</v>
      </c>
      <c r="E2071" t="str" cm="1">
        <f t="array" ref="E2071">_xlfn.IFS(D2071&lt;5.7,"Normal",D2071&lt;=6.4,"Prediabetes",D2071&gt;=6.5,"Diabetes")</f>
        <v>Normal</v>
      </c>
      <c r="F2071" s="3" t="s">
        <v>2379</v>
      </c>
      <c r="G2071" s="3" t="s">
        <v>2379</v>
      </c>
      <c r="H2071" s="3" t="s">
        <v>2379</v>
      </c>
      <c r="I2071" s="1" t="s">
        <v>2380</v>
      </c>
      <c r="J2071">
        <v>0</v>
      </c>
      <c r="K2071" s="3" t="s">
        <v>2379</v>
      </c>
      <c r="P2071" s="3"/>
    </row>
    <row r="2072" spans="1:16" x14ac:dyDescent="0.25">
      <c r="A2072" s="3" t="s">
        <v>294</v>
      </c>
      <c r="B2072">
        <v>35.625</v>
      </c>
      <c r="C2072" t="str" cm="1">
        <f t="array" ref="C2072">_xlfn.IFS(B2072&lt;=18.5,  "Underweight",B2072&lt;=24.9,"Normal weight",B2072&lt;=29.9, "Over weight",B2072&gt;=30,"Obesity")</f>
        <v>Obesity</v>
      </c>
      <c r="D2072">
        <v>4.68</v>
      </c>
      <c r="E2072" t="str" cm="1">
        <f t="array" ref="E2072">_xlfn.IFS(D2072&lt;5.7,"Normal",D2072&lt;=6.4,"Prediabetes",D2072&gt;=6.5,"Diabetes")</f>
        <v>Normal</v>
      </c>
      <c r="F2072" s="3" t="s">
        <v>2382</v>
      </c>
      <c r="G2072" s="3" t="s">
        <v>2379</v>
      </c>
      <c r="H2072" s="3" t="s">
        <v>2382</v>
      </c>
      <c r="I2072" s="1">
        <v>1</v>
      </c>
      <c r="J2072">
        <v>1</v>
      </c>
      <c r="K2072" s="3" t="s">
        <v>2379</v>
      </c>
      <c r="P2072" s="3"/>
    </row>
    <row r="2073" spans="1:16" x14ac:dyDescent="0.25">
      <c r="A2073" s="3" t="s">
        <v>293</v>
      </c>
      <c r="B2073">
        <v>20.234999999999999</v>
      </c>
      <c r="C2073" t="str" cm="1">
        <f t="array" ref="C2073">_xlfn.IFS(B2073&lt;=18.5,  "Underweight",B2073&lt;=24.9,"Normal weight",B2073&lt;=29.9, "Over weight",B2073&gt;=30,"Obesity")</f>
        <v>Normal weight</v>
      </c>
      <c r="D2073">
        <v>6.17</v>
      </c>
      <c r="E2073" t="str" cm="1">
        <f t="array" ref="E2073">_xlfn.IFS(D2073&lt;5.7,"Normal",D2073&lt;=6.4,"Prediabetes",D2073&gt;=6.5,"Diabetes")</f>
        <v>Prediabetes</v>
      </c>
      <c r="F2073" s="3" t="s">
        <v>2382</v>
      </c>
      <c r="G2073" s="3" t="s">
        <v>2381</v>
      </c>
      <c r="H2073" s="3" t="s">
        <v>2379</v>
      </c>
      <c r="I2073" s="1">
        <v>2</v>
      </c>
      <c r="J2073">
        <v>2</v>
      </c>
      <c r="K2073" s="3" t="s">
        <v>2379</v>
      </c>
      <c r="P2073" s="3"/>
    </row>
    <row r="2074" spans="1:16" x14ac:dyDescent="0.25">
      <c r="A2074" s="3" t="s">
        <v>292</v>
      </c>
      <c r="B2074">
        <v>27.55</v>
      </c>
      <c r="C2074" t="str" cm="1">
        <f t="array" ref="C2074">_xlfn.IFS(B2074&lt;=18.5,  "Underweight",B2074&lt;=24.9,"Normal weight",B2074&lt;=29.9, "Over weight",B2074&gt;=30,"Obesity")</f>
        <v>Over weight</v>
      </c>
      <c r="D2074">
        <v>4.5599999999999996</v>
      </c>
      <c r="E2074" t="str" cm="1">
        <f t="array" ref="E2074">_xlfn.IFS(D2074&lt;5.7,"Normal",D2074&lt;=6.4,"Prediabetes",D2074&gt;=6.5,"Diabetes")</f>
        <v>Normal</v>
      </c>
      <c r="F2074" s="3" t="s">
        <v>2382</v>
      </c>
      <c r="G2074" s="3" t="s">
        <v>2379</v>
      </c>
      <c r="H2074" s="3" t="s">
        <v>2382</v>
      </c>
      <c r="I2074" s="1">
        <v>1</v>
      </c>
      <c r="J2074">
        <v>1</v>
      </c>
      <c r="K2074" s="3" t="s">
        <v>2379</v>
      </c>
      <c r="P2074" s="3"/>
    </row>
    <row r="2075" spans="1:16" x14ac:dyDescent="0.25">
      <c r="A2075" s="3" t="s">
        <v>291</v>
      </c>
      <c r="B2075">
        <v>17.97</v>
      </c>
      <c r="C2075" t="str" cm="1">
        <f t="array" ref="C2075">_xlfn.IFS(B2075&lt;=18.5,  "Underweight",B2075&lt;=24.9,"Normal weight",B2075&lt;=29.9, "Over weight",B2075&gt;=30,"Obesity")</f>
        <v>Underweight</v>
      </c>
      <c r="D2075">
        <v>6.3</v>
      </c>
      <c r="E2075" t="str" cm="1">
        <f t="array" ref="E2075">_xlfn.IFS(D2075&lt;5.7,"Normal",D2075&lt;=6.4,"Prediabetes",D2075&gt;=6.5,"Diabetes")</f>
        <v>Prediabetes</v>
      </c>
      <c r="F2075" s="3" t="s">
        <v>2379</v>
      </c>
      <c r="G2075" s="3" t="s">
        <v>2379</v>
      </c>
      <c r="H2075" s="3" t="s">
        <v>2379</v>
      </c>
      <c r="I2075" s="1" t="s">
        <v>2380</v>
      </c>
      <c r="J2075">
        <v>0</v>
      </c>
      <c r="K2075" s="3" t="s">
        <v>2379</v>
      </c>
      <c r="P2075" s="3"/>
    </row>
    <row r="2076" spans="1:16" x14ac:dyDescent="0.25">
      <c r="A2076" s="3" t="s">
        <v>290</v>
      </c>
      <c r="B2076">
        <v>29.98</v>
      </c>
      <c r="C2076" t="e" cm="1">
        <f t="array" ref="C2076">_xlfn.IFS(B2076&lt;=18.5,  "Underweight",B2076&lt;=24.9,"Normal weight",B2076&lt;=29.9, "Over weight",B2076&gt;=30,"Obesity")</f>
        <v>#N/A</v>
      </c>
      <c r="D2076">
        <v>6.03</v>
      </c>
      <c r="E2076" t="str" cm="1">
        <f t="array" ref="E2076">_xlfn.IFS(D2076&lt;5.7,"Normal",D2076&lt;=6.4,"Prediabetes",D2076&gt;=6.5,"Diabetes")</f>
        <v>Prediabetes</v>
      </c>
      <c r="F2076" s="3" t="s">
        <v>2379</v>
      </c>
      <c r="G2076" s="3" t="s">
        <v>2381</v>
      </c>
      <c r="H2076" s="3" t="s">
        <v>2379</v>
      </c>
      <c r="I2076" s="1">
        <v>1</v>
      </c>
      <c r="J2076">
        <v>1</v>
      </c>
      <c r="K2076" s="3" t="s">
        <v>2379</v>
      </c>
      <c r="P2076" s="3"/>
    </row>
    <row r="2077" spans="1:16" x14ac:dyDescent="0.25">
      <c r="A2077" s="3" t="s">
        <v>289</v>
      </c>
      <c r="B2077">
        <v>33.659999999999997</v>
      </c>
      <c r="C2077" t="str" cm="1">
        <f t="array" ref="C2077">_xlfn.IFS(B2077&lt;=18.5,  "Underweight",B2077&lt;=24.9,"Normal weight",B2077&lt;=29.9, "Over weight",B2077&gt;=30,"Obesity")</f>
        <v>Obesity</v>
      </c>
      <c r="D2077">
        <v>4.2</v>
      </c>
      <c r="E2077" t="str" cm="1">
        <f t="array" ref="E2077">_xlfn.IFS(D2077&lt;5.7,"Normal",D2077&lt;=6.4,"Prediabetes",D2077&gt;=6.5,"Diabetes")</f>
        <v>Normal</v>
      </c>
      <c r="F2077" s="3" t="s">
        <v>2382</v>
      </c>
      <c r="G2077" s="3" t="s">
        <v>2379</v>
      </c>
      <c r="H2077" s="3" t="s">
        <v>2379</v>
      </c>
      <c r="I2077" s="1">
        <v>1</v>
      </c>
      <c r="J2077">
        <v>1</v>
      </c>
      <c r="K2077" s="3" t="s">
        <v>2379</v>
      </c>
      <c r="P2077" s="3"/>
    </row>
    <row r="2078" spans="1:16" x14ac:dyDescent="0.25">
      <c r="A2078" s="3" t="s">
        <v>288</v>
      </c>
      <c r="B2078">
        <v>32.67</v>
      </c>
      <c r="C2078" t="str" cm="1">
        <f t="array" ref="C2078">_xlfn.IFS(B2078&lt;=18.5,  "Underweight",B2078&lt;=24.9,"Normal weight",B2078&lt;=29.9, "Over weight",B2078&gt;=30,"Obesity")</f>
        <v>Obesity</v>
      </c>
      <c r="D2078">
        <v>5.61</v>
      </c>
      <c r="E2078" t="str" cm="1">
        <f t="array" ref="E2078">_xlfn.IFS(D2078&lt;5.7,"Normal",D2078&lt;=6.4,"Prediabetes",D2078&gt;=6.5,"Diabetes")</f>
        <v>Normal</v>
      </c>
      <c r="F2078" s="3" t="s">
        <v>2382</v>
      </c>
      <c r="G2078" s="3" t="s">
        <v>2379</v>
      </c>
      <c r="H2078" s="3" t="s">
        <v>2379</v>
      </c>
      <c r="I2078" s="1">
        <v>1</v>
      </c>
      <c r="J2078">
        <v>1</v>
      </c>
      <c r="K2078" s="3" t="s">
        <v>2379</v>
      </c>
      <c r="P2078" s="3"/>
    </row>
    <row r="2079" spans="1:16" x14ac:dyDescent="0.25">
      <c r="A2079" s="3" t="s">
        <v>287</v>
      </c>
      <c r="B2079">
        <v>30.5</v>
      </c>
      <c r="C2079" t="str" cm="1">
        <f t="array" ref="C2079">_xlfn.IFS(B2079&lt;=18.5,  "Underweight",B2079&lt;=24.9,"Normal weight",B2079&lt;=29.9, "Over weight",B2079&gt;=30,"Obesity")</f>
        <v>Obesity</v>
      </c>
      <c r="D2079">
        <v>5.88</v>
      </c>
      <c r="E2079" t="str" cm="1">
        <f t="array" ref="E2079">_xlfn.IFS(D2079&lt;5.7,"Normal",D2079&lt;=6.4,"Prediabetes",D2079&gt;=6.5,"Diabetes")</f>
        <v>Prediabetes</v>
      </c>
      <c r="F2079" s="3" t="s">
        <v>2382</v>
      </c>
      <c r="G2079" s="3" t="s">
        <v>2379</v>
      </c>
      <c r="H2079" s="3" t="s">
        <v>2379</v>
      </c>
      <c r="I2079" s="1">
        <v>1</v>
      </c>
      <c r="J2079">
        <v>1</v>
      </c>
      <c r="K2079" s="3" t="s">
        <v>2379</v>
      </c>
      <c r="P2079" s="3"/>
    </row>
    <row r="2080" spans="1:16" x14ac:dyDescent="0.25">
      <c r="A2080" s="3" t="s">
        <v>286</v>
      </c>
      <c r="B2080">
        <v>23.1</v>
      </c>
      <c r="C2080" t="str" cm="1">
        <f t="array" ref="C2080">_xlfn.IFS(B2080&lt;=18.5,  "Underweight",B2080&lt;=24.9,"Normal weight",B2080&lt;=29.9, "Over weight",B2080&gt;=30,"Obesity")</f>
        <v>Normal weight</v>
      </c>
      <c r="D2080">
        <v>5.92</v>
      </c>
      <c r="E2080" t="str" cm="1">
        <f t="array" ref="E2080">_xlfn.IFS(D2080&lt;5.7,"Normal",D2080&lt;=6.4,"Prediabetes",D2080&gt;=6.5,"Diabetes")</f>
        <v>Prediabetes</v>
      </c>
      <c r="F2080" s="3" t="s">
        <v>2382</v>
      </c>
      <c r="G2080" s="3" t="s">
        <v>2379</v>
      </c>
      <c r="H2080" s="3" t="s">
        <v>2379</v>
      </c>
      <c r="I2080" s="1">
        <v>1</v>
      </c>
      <c r="J2080">
        <v>1</v>
      </c>
      <c r="K2080" s="3" t="s">
        <v>2379</v>
      </c>
      <c r="P2080" s="3"/>
    </row>
    <row r="2081" spans="1:16" x14ac:dyDescent="0.25">
      <c r="A2081" s="3" t="s">
        <v>285</v>
      </c>
      <c r="B2081">
        <v>39.49</v>
      </c>
      <c r="C2081" t="str" cm="1">
        <f t="array" ref="C2081">_xlfn.IFS(B2081&lt;=18.5,  "Underweight",B2081&lt;=24.9,"Normal weight",B2081&lt;=29.9, "Over weight",B2081&gt;=30,"Obesity")</f>
        <v>Obesity</v>
      </c>
      <c r="D2081">
        <v>4.8099999999999996</v>
      </c>
      <c r="E2081" t="str" cm="1">
        <f t="array" ref="E2081">_xlfn.IFS(D2081&lt;5.7,"Normal",D2081&lt;=6.4,"Prediabetes",D2081&gt;=6.5,"Diabetes")</f>
        <v>Normal</v>
      </c>
      <c r="F2081" s="3" t="s">
        <v>2379</v>
      </c>
      <c r="G2081" s="3" t="s">
        <v>2379</v>
      </c>
      <c r="H2081" s="3" t="s">
        <v>2379</v>
      </c>
      <c r="I2081" s="1">
        <v>1</v>
      </c>
      <c r="J2081">
        <v>1</v>
      </c>
      <c r="K2081" s="3" t="s">
        <v>2379</v>
      </c>
      <c r="P2081" s="3"/>
    </row>
    <row r="2082" spans="1:16" x14ac:dyDescent="0.25">
      <c r="A2082" s="3" t="s">
        <v>284</v>
      </c>
      <c r="B2082">
        <v>33.99</v>
      </c>
      <c r="C2082" t="str" cm="1">
        <f t="array" ref="C2082">_xlfn.IFS(B2082&lt;=18.5,  "Underweight",B2082&lt;=24.9,"Normal weight",B2082&lt;=29.9, "Over weight",B2082&gt;=30,"Obesity")</f>
        <v>Obesity</v>
      </c>
      <c r="D2082">
        <v>4.55</v>
      </c>
      <c r="E2082" t="str" cm="1">
        <f t="array" ref="E2082">_xlfn.IFS(D2082&lt;5.7,"Normal",D2082&lt;=6.4,"Prediabetes",D2082&gt;=6.5,"Diabetes")</f>
        <v>Normal</v>
      </c>
      <c r="F2082" s="3" t="s">
        <v>2379</v>
      </c>
      <c r="G2082" s="3" t="s">
        <v>2379</v>
      </c>
      <c r="H2082" s="3" t="s">
        <v>2379</v>
      </c>
      <c r="I2082" s="1">
        <v>1</v>
      </c>
      <c r="J2082">
        <v>1</v>
      </c>
      <c r="K2082" s="3" t="s">
        <v>2379</v>
      </c>
      <c r="P2082" s="3"/>
    </row>
    <row r="2083" spans="1:16" x14ac:dyDescent="0.25">
      <c r="A2083" s="3" t="s">
        <v>283</v>
      </c>
      <c r="B2083">
        <v>27.72</v>
      </c>
      <c r="C2083" t="str" cm="1">
        <f t="array" ref="C2083">_xlfn.IFS(B2083&lt;=18.5,  "Underweight",B2083&lt;=24.9,"Normal weight",B2083&lt;=29.9, "Over weight",B2083&gt;=30,"Obesity")</f>
        <v>Over weight</v>
      </c>
      <c r="D2083">
        <v>6.43</v>
      </c>
      <c r="E2083" t="e" cm="1">
        <f t="array" ref="E2083">_xlfn.IFS(D2083&lt;5.7,"Normal",D2083&lt;=6.4,"Prediabetes",D2083&gt;=6.5,"Diabetes")</f>
        <v>#N/A</v>
      </c>
      <c r="F2083" s="3" t="s">
        <v>2379</v>
      </c>
      <c r="G2083" s="3" t="s">
        <v>2379</v>
      </c>
      <c r="H2083" s="3" t="s">
        <v>2379</v>
      </c>
      <c r="I2083" s="1">
        <v>1</v>
      </c>
      <c r="J2083">
        <v>1</v>
      </c>
      <c r="K2083" s="3" t="s">
        <v>2379</v>
      </c>
      <c r="P2083" s="3"/>
    </row>
    <row r="2084" spans="1:16" x14ac:dyDescent="0.25">
      <c r="A2084" s="3" t="s">
        <v>282</v>
      </c>
      <c r="B2084">
        <v>30.59</v>
      </c>
      <c r="C2084" t="str" cm="1">
        <f t="array" ref="C2084">_xlfn.IFS(B2084&lt;=18.5,  "Underweight",B2084&lt;=24.9,"Normal weight",B2084&lt;=29.9, "Over weight",B2084&gt;=30,"Obesity")</f>
        <v>Obesity</v>
      </c>
      <c r="D2084">
        <v>11.62</v>
      </c>
      <c r="E2084" t="str" cm="1">
        <f t="array" ref="E2084">_xlfn.IFS(D2084&lt;5.7,"Normal",D2084&lt;=6.4,"Prediabetes",D2084&gt;=6.5,"Diabetes")</f>
        <v>Diabetes</v>
      </c>
      <c r="F2084" s="3" t="s">
        <v>2379</v>
      </c>
      <c r="G2084" s="3" t="s">
        <v>2379</v>
      </c>
      <c r="H2084" s="3" t="s">
        <v>2379</v>
      </c>
      <c r="I2084" s="1" t="s">
        <v>2380</v>
      </c>
      <c r="J2084">
        <v>0</v>
      </c>
      <c r="K2084" s="3" t="s">
        <v>2379</v>
      </c>
      <c r="P2084" s="3"/>
    </row>
    <row r="2085" spans="1:16" x14ac:dyDescent="0.25">
      <c r="A2085" s="3" t="s">
        <v>281</v>
      </c>
      <c r="B2085">
        <v>22.6</v>
      </c>
      <c r="C2085" t="str" cm="1">
        <f t="array" ref="C2085">_xlfn.IFS(B2085&lt;=18.5,  "Underweight",B2085&lt;=24.9,"Normal weight",B2085&lt;=29.9, "Over weight",B2085&gt;=30,"Obesity")</f>
        <v>Normal weight</v>
      </c>
      <c r="D2085">
        <v>6.04</v>
      </c>
      <c r="E2085" t="str" cm="1">
        <f t="array" ref="E2085">_xlfn.IFS(D2085&lt;5.7,"Normal",D2085&lt;=6.4,"Prediabetes",D2085&gt;=6.5,"Diabetes")</f>
        <v>Prediabetes</v>
      </c>
      <c r="F2085" s="3" t="s">
        <v>2379</v>
      </c>
      <c r="G2085" s="3" t="s">
        <v>2379</v>
      </c>
      <c r="H2085" s="3" t="s">
        <v>2379</v>
      </c>
      <c r="I2085" s="1">
        <v>1</v>
      </c>
      <c r="J2085">
        <v>1</v>
      </c>
      <c r="K2085" s="3" t="s">
        <v>2379</v>
      </c>
      <c r="P2085" s="3"/>
    </row>
    <row r="2086" spans="1:16" x14ac:dyDescent="0.25">
      <c r="A2086" s="3" t="s">
        <v>280</v>
      </c>
      <c r="B2086">
        <v>28.785</v>
      </c>
      <c r="C2086" t="str" cm="1">
        <f t="array" ref="C2086">_xlfn.IFS(B2086&lt;=18.5,  "Underweight",B2086&lt;=24.9,"Normal weight",B2086&lt;=29.9, "Over weight",B2086&gt;=30,"Obesity")</f>
        <v>Over weight</v>
      </c>
      <c r="D2086">
        <v>8.82</v>
      </c>
      <c r="E2086" t="str" cm="1">
        <f t="array" ref="E2086">_xlfn.IFS(D2086&lt;5.7,"Normal",D2086&lt;=6.4,"Prediabetes",D2086&gt;=6.5,"Diabetes")</f>
        <v>Diabetes</v>
      </c>
      <c r="F2086" s="3" t="s">
        <v>2379</v>
      </c>
      <c r="G2086" s="3" t="s">
        <v>2379</v>
      </c>
      <c r="H2086" s="3" t="s">
        <v>2379</v>
      </c>
      <c r="I2086" s="1" t="s">
        <v>2380</v>
      </c>
      <c r="J2086">
        <v>0</v>
      </c>
      <c r="K2086" s="3" t="s">
        <v>2379</v>
      </c>
      <c r="P2086" s="3"/>
    </row>
    <row r="2087" spans="1:16" x14ac:dyDescent="0.25">
      <c r="A2087" s="3" t="s">
        <v>279</v>
      </c>
      <c r="B2087">
        <v>50.38</v>
      </c>
      <c r="C2087" t="str" cm="1">
        <f t="array" ref="C2087">_xlfn.IFS(B2087&lt;=18.5,  "Underweight",B2087&lt;=24.9,"Normal weight",B2087&lt;=29.9, "Over weight",B2087&gt;=30,"Obesity")</f>
        <v>Obesity</v>
      </c>
      <c r="D2087">
        <v>5.8</v>
      </c>
      <c r="E2087" t="str" cm="1">
        <f t="array" ref="E2087">_xlfn.IFS(D2087&lt;5.7,"Normal",D2087&lt;=6.4,"Prediabetes",D2087&gt;=6.5,"Diabetes")</f>
        <v>Prediabetes</v>
      </c>
      <c r="F2087" s="3" t="s">
        <v>2379</v>
      </c>
      <c r="G2087" s="3" t="s">
        <v>2379</v>
      </c>
      <c r="H2087" s="3" t="s">
        <v>2379</v>
      </c>
      <c r="I2087" s="1" t="s">
        <v>2380</v>
      </c>
      <c r="J2087">
        <v>0</v>
      </c>
      <c r="K2087" s="3" t="s">
        <v>2379</v>
      </c>
      <c r="P2087" s="3"/>
    </row>
    <row r="2088" spans="1:16" x14ac:dyDescent="0.25">
      <c r="A2088" s="3" t="s">
        <v>278</v>
      </c>
      <c r="B2088">
        <v>35.200000000000003</v>
      </c>
      <c r="C2088" t="str" cm="1">
        <f t="array" ref="C2088">_xlfn.IFS(B2088&lt;=18.5,  "Underweight",B2088&lt;=24.9,"Normal weight",B2088&lt;=29.9, "Over weight",B2088&gt;=30,"Obesity")</f>
        <v>Obesity</v>
      </c>
      <c r="D2088">
        <v>4.28</v>
      </c>
      <c r="E2088" t="str" cm="1">
        <f t="array" ref="E2088">_xlfn.IFS(D2088&lt;5.7,"Normal",D2088&lt;=6.4,"Prediabetes",D2088&gt;=6.5,"Diabetes")</f>
        <v>Normal</v>
      </c>
      <c r="F2088" s="3" t="s">
        <v>2379</v>
      </c>
      <c r="G2088" s="3" t="s">
        <v>2379</v>
      </c>
      <c r="H2088" s="3" t="s">
        <v>2379</v>
      </c>
      <c r="I2088" s="1" t="s">
        <v>2380</v>
      </c>
      <c r="J2088">
        <v>0</v>
      </c>
      <c r="K2088" s="3" t="s">
        <v>2379</v>
      </c>
      <c r="P2088" s="3"/>
    </row>
    <row r="2089" spans="1:16" x14ac:dyDescent="0.25">
      <c r="A2089" s="3" t="s">
        <v>277</v>
      </c>
      <c r="B2089">
        <v>35.72</v>
      </c>
      <c r="C2089" t="str" cm="1">
        <f t="array" ref="C2089">_xlfn.IFS(B2089&lt;=18.5,  "Underweight",B2089&lt;=24.9,"Normal weight",B2089&lt;=29.9, "Over weight",B2089&gt;=30,"Obesity")</f>
        <v>Obesity</v>
      </c>
      <c r="D2089">
        <v>5.5</v>
      </c>
      <c r="E2089" t="str" cm="1">
        <f t="array" ref="E2089">_xlfn.IFS(D2089&lt;5.7,"Normal",D2089&lt;=6.4,"Prediabetes",D2089&gt;=6.5,"Diabetes")</f>
        <v>Normal</v>
      </c>
      <c r="F2089" s="3" t="s">
        <v>2382</v>
      </c>
      <c r="G2089" s="3" t="s">
        <v>2379</v>
      </c>
      <c r="H2089" s="3" t="s">
        <v>2379</v>
      </c>
      <c r="I2089" s="1" t="s">
        <v>2380</v>
      </c>
      <c r="J2089">
        <v>0</v>
      </c>
      <c r="K2089" s="3" t="s">
        <v>2379</v>
      </c>
      <c r="P2089" s="3"/>
    </row>
    <row r="2090" spans="1:16" x14ac:dyDescent="0.25">
      <c r="A2090" s="3" t="s">
        <v>276</v>
      </c>
      <c r="B2090">
        <v>24.51</v>
      </c>
      <c r="C2090" t="str" cm="1">
        <f t="array" ref="C2090">_xlfn.IFS(B2090&lt;=18.5,  "Underweight",B2090&lt;=24.9,"Normal weight",B2090&lt;=29.9, "Over weight",B2090&gt;=30,"Obesity")</f>
        <v>Normal weight</v>
      </c>
      <c r="D2090">
        <v>4.6900000000000004</v>
      </c>
      <c r="E2090" t="str" cm="1">
        <f t="array" ref="E2090">_xlfn.IFS(D2090&lt;5.7,"Normal",D2090&lt;=6.4,"Prediabetes",D2090&gt;=6.5,"Diabetes")</f>
        <v>Normal</v>
      </c>
      <c r="F2090" s="3" t="s">
        <v>2379</v>
      </c>
      <c r="G2090" s="3" t="s">
        <v>2379</v>
      </c>
      <c r="H2090" s="3" t="s">
        <v>2379</v>
      </c>
      <c r="I2090" s="1" t="s">
        <v>2380</v>
      </c>
      <c r="J2090">
        <v>0</v>
      </c>
      <c r="K2090" s="3" t="s">
        <v>2379</v>
      </c>
      <c r="P2090" s="3"/>
    </row>
    <row r="2091" spans="1:16" x14ac:dyDescent="0.25">
      <c r="A2091" s="3" t="s">
        <v>274</v>
      </c>
      <c r="B2091">
        <v>23.844999999999999</v>
      </c>
      <c r="C2091" t="str" cm="1">
        <f t="array" ref="C2091">_xlfn.IFS(B2091&lt;=18.5,  "Underweight",B2091&lt;=24.9,"Normal weight",B2091&lt;=29.9, "Over weight",B2091&gt;=30,"Obesity")</f>
        <v>Normal weight</v>
      </c>
      <c r="D2091">
        <v>4.43</v>
      </c>
      <c r="E2091" t="str" cm="1">
        <f t="array" ref="E2091">_xlfn.IFS(D2091&lt;5.7,"Normal",D2091&lt;=6.4,"Prediabetes",D2091&gt;=6.5,"Diabetes")</f>
        <v>Normal</v>
      </c>
      <c r="F2091" s="3" t="s">
        <v>2379</v>
      </c>
      <c r="G2091" s="3" t="s">
        <v>2379</v>
      </c>
      <c r="H2091" s="3" t="s">
        <v>2379</v>
      </c>
      <c r="I2091" s="1" t="s">
        <v>2380</v>
      </c>
      <c r="J2091">
        <v>0</v>
      </c>
      <c r="K2091" s="3" t="s">
        <v>2379</v>
      </c>
      <c r="P2091" s="3"/>
    </row>
    <row r="2092" spans="1:16" x14ac:dyDescent="0.25">
      <c r="A2092" s="3" t="s">
        <v>273</v>
      </c>
      <c r="B2092">
        <v>15.68</v>
      </c>
      <c r="C2092" t="str" cm="1">
        <f t="array" ref="C2092">_xlfn.IFS(B2092&lt;=18.5,  "Underweight",B2092&lt;=24.9,"Normal weight",B2092&lt;=29.9, "Over weight",B2092&gt;=30,"Obesity")</f>
        <v>Underweight</v>
      </c>
      <c r="D2092">
        <v>6.16</v>
      </c>
      <c r="E2092" t="str" cm="1">
        <f t="array" ref="E2092">_xlfn.IFS(D2092&lt;5.7,"Normal",D2092&lt;=6.4,"Prediabetes",D2092&gt;=6.5,"Diabetes")</f>
        <v>Prediabetes</v>
      </c>
      <c r="F2092" s="3" t="s">
        <v>2382</v>
      </c>
      <c r="G2092" s="3" t="s">
        <v>2379</v>
      </c>
      <c r="H2092" s="3" t="s">
        <v>2379</v>
      </c>
      <c r="I2092" s="1">
        <v>1</v>
      </c>
      <c r="J2092">
        <v>1</v>
      </c>
      <c r="K2092" s="3" t="s">
        <v>2379</v>
      </c>
      <c r="P2092" s="3"/>
    </row>
    <row r="2093" spans="1:16" x14ac:dyDescent="0.25">
      <c r="A2093" s="3" t="s">
        <v>272</v>
      </c>
      <c r="B2093">
        <v>32.395000000000003</v>
      </c>
      <c r="C2093" t="str" cm="1">
        <f t="array" ref="C2093">_xlfn.IFS(B2093&lt;=18.5,  "Underweight",B2093&lt;=24.9,"Normal weight",B2093&lt;=29.9, "Over weight",B2093&gt;=30,"Obesity")</f>
        <v>Obesity</v>
      </c>
      <c r="D2093">
        <v>6.66</v>
      </c>
      <c r="E2093" t="str" cm="1">
        <f t="array" ref="E2093">_xlfn.IFS(D2093&lt;5.7,"Normal",D2093&lt;=6.4,"Prediabetes",D2093&gt;=6.5,"Diabetes")</f>
        <v>Diabetes</v>
      </c>
      <c r="F2093" s="3" t="s">
        <v>2379</v>
      </c>
      <c r="G2093" s="3" t="s">
        <v>2379</v>
      </c>
      <c r="H2093" s="3" t="s">
        <v>2379</v>
      </c>
      <c r="I2093" s="1" t="s">
        <v>2380</v>
      </c>
      <c r="J2093">
        <v>0</v>
      </c>
      <c r="K2093" s="3" t="s">
        <v>2379</v>
      </c>
      <c r="P2093" s="3"/>
    </row>
    <row r="2094" spans="1:16" x14ac:dyDescent="0.25">
      <c r="A2094" s="3" t="s">
        <v>271</v>
      </c>
      <c r="B2094">
        <v>23.655000000000001</v>
      </c>
      <c r="C2094" t="str" cm="1">
        <f t="array" ref="C2094">_xlfn.IFS(B2094&lt;=18.5,  "Underweight",B2094&lt;=24.9,"Normal weight",B2094&lt;=29.9, "Over weight",B2094&gt;=30,"Obesity")</f>
        <v>Normal weight</v>
      </c>
      <c r="D2094">
        <v>5.92</v>
      </c>
      <c r="E2094" t="str" cm="1">
        <f t="array" ref="E2094">_xlfn.IFS(D2094&lt;5.7,"Normal",D2094&lt;=6.4,"Prediabetes",D2094&gt;=6.5,"Diabetes")</f>
        <v>Prediabetes</v>
      </c>
      <c r="F2094" s="3" t="s">
        <v>2379</v>
      </c>
      <c r="G2094" s="3" t="s">
        <v>2379</v>
      </c>
      <c r="H2094" s="3" t="s">
        <v>2379</v>
      </c>
      <c r="I2094" s="1">
        <v>1</v>
      </c>
      <c r="J2094">
        <v>1</v>
      </c>
      <c r="K2094" s="3" t="s">
        <v>2379</v>
      </c>
      <c r="P2094" s="3"/>
    </row>
    <row r="2095" spans="1:16" x14ac:dyDescent="0.25">
      <c r="A2095" s="3" t="s">
        <v>270</v>
      </c>
      <c r="B2095">
        <v>28.4</v>
      </c>
      <c r="C2095" t="str" cm="1">
        <f t="array" ref="C2095">_xlfn.IFS(B2095&lt;=18.5,  "Underweight",B2095&lt;=24.9,"Normal weight",B2095&lt;=29.9, "Over weight",B2095&gt;=30,"Obesity")</f>
        <v>Over weight</v>
      </c>
      <c r="D2095">
        <v>5.97</v>
      </c>
      <c r="E2095" t="str" cm="1">
        <f t="array" ref="E2095">_xlfn.IFS(D2095&lt;5.7,"Normal",D2095&lt;=6.4,"Prediabetes",D2095&gt;=6.5,"Diabetes")</f>
        <v>Prediabetes</v>
      </c>
      <c r="F2095" s="3" t="s">
        <v>2379</v>
      </c>
      <c r="G2095" s="3" t="s">
        <v>2379</v>
      </c>
      <c r="H2095" s="3" t="s">
        <v>2382</v>
      </c>
      <c r="I2095" s="1">
        <v>1</v>
      </c>
      <c r="J2095">
        <v>1</v>
      </c>
      <c r="K2095" s="3" t="s">
        <v>2379</v>
      </c>
      <c r="P2095" s="3"/>
    </row>
    <row r="2096" spans="1:16" x14ac:dyDescent="0.25">
      <c r="A2096" s="3" t="s">
        <v>269</v>
      </c>
      <c r="B2096">
        <v>35.42</v>
      </c>
      <c r="C2096" t="str" cm="1">
        <f t="array" ref="C2096">_xlfn.IFS(B2096&lt;=18.5,  "Underweight",B2096&lt;=24.9,"Normal weight",B2096&lt;=29.9, "Over weight",B2096&gt;=30,"Obesity")</f>
        <v>Obesity</v>
      </c>
      <c r="D2096">
        <v>4.6399999999999997</v>
      </c>
      <c r="E2096" t="str" cm="1">
        <f t="array" ref="E2096">_xlfn.IFS(D2096&lt;5.7,"Normal",D2096&lt;=6.4,"Prediabetes",D2096&gt;=6.5,"Diabetes")</f>
        <v>Normal</v>
      </c>
      <c r="F2096" s="3" t="s">
        <v>2382</v>
      </c>
      <c r="G2096" s="3" t="s">
        <v>2379</v>
      </c>
      <c r="H2096" s="3" t="s">
        <v>2379</v>
      </c>
      <c r="I2096" s="1" t="s">
        <v>2380</v>
      </c>
      <c r="J2096">
        <v>0</v>
      </c>
      <c r="K2096" s="3" t="s">
        <v>2379</v>
      </c>
      <c r="P2096" s="3"/>
    </row>
    <row r="2097" spans="1:16" x14ac:dyDescent="0.25">
      <c r="A2097" s="3" t="s">
        <v>268</v>
      </c>
      <c r="B2097">
        <v>26.18</v>
      </c>
      <c r="C2097" t="str" cm="1">
        <f t="array" ref="C2097">_xlfn.IFS(B2097&lt;=18.5,  "Underweight",B2097&lt;=24.9,"Normal weight",B2097&lt;=29.9, "Over weight",B2097&gt;=30,"Obesity")</f>
        <v>Over weight</v>
      </c>
      <c r="D2097">
        <v>6.12</v>
      </c>
      <c r="E2097" t="str" cm="1">
        <f t="array" ref="E2097">_xlfn.IFS(D2097&lt;5.7,"Normal",D2097&lt;=6.4,"Prediabetes",D2097&gt;=6.5,"Diabetes")</f>
        <v>Prediabetes</v>
      </c>
      <c r="F2097" s="3" t="s">
        <v>2379</v>
      </c>
      <c r="G2097" s="3" t="s">
        <v>2381</v>
      </c>
      <c r="H2097" s="3" t="s">
        <v>2379</v>
      </c>
      <c r="I2097" s="1">
        <v>1</v>
      </c>
      <c r="J2097">
        <v>1</v>
      </c>
      <c r="K2097" s="3" t="s">
        <v>2379</v>
      </c>
      <c r="P2097" s="3"/>
    </row>
    <row r="2098" spans="1:16" x14ac:dyDescent="0.25">
      <c r="A2098" s="3" t="s">
        <v>267</v>
      </c>
      <c r="B2098">
        <v>20.8</v>
      </c>
      <c r="C2098" t="str" cm="1">
        <f t="array" ref="C2098">_xlfn.IFS(B2098&lt;=18.5,  "Underweight",B2098&lt;=24.9,"Normal weight",B2098&lt;=29.9, "Over weight",B2098&gt;=30,"Obesity")</f>
        <v>Normal weight</v>
      </c>
      <c r="D2098">
        <v>4.87</v>
      </c>
      <c r="E2098" t="str" cm="1">
        <f t="array" ref="E2098">_xlfn.IFS(D2098&lt;5.7,"Normal",D2098&lt;=6.4,"Prediabetes",D2098&gt;=6.5,"Diabetes")</f>
        <v>Normal</v>
      </c>
      <c r="F2098" s="3" t="s">
        <v>2382</v>
      </c>
      <c r="G2098" s="3" t="s">
        <v>2379</v>
      </c>
      <c r="H2098" s="3" t="s">
        <v>2379</v>
      </c>
      <c r="I2098" s="1" t="s">
        <v>2380</v>
      </c>
      <c r="J2098">
        <v>0</v>
      </c>
      <c r="K2098" s="3" t="s">
        <v>2379</v>
      </c>
      <c r="P2098" s="3"/>
    </row>
    <row r="2099" spans="1:16" x14ac:dyDescent="0.25">
      <c r="A2099" s="3" t="s">
        <v>266</v>
      </c>
      <c r="B2099">
        <v>15.82</v>
      </c>
      <c r="C2099" t="str" cm="1">
        <f t="array" ref="C2099">_xlfn.IFS(B2099&lt;=18.5,  "Underweight",B2099&lt;=24.9,"Normal weight",B2099&lt;=29.9, "Over weight",B2099&gt;=30,"Obesity")</f>
        <v>Underweight</v>
      </c>
      <c r="D2099">
        <v>4.5999999999999996</v>
      </c>
      <c r="E2099" t="str" cm="1">
        <f t="array" ref="E2099">_xlfn.IFS(D2099&lt;5.7,"Normal",D2099&lt;=6.4,"Prediabetes",D2099&gt;=6.5,"Diabetes")</f>
        <v>Normal</v>
      </c>
      <c r="F2099" s="3" t="s">
        <v>2379</v>
      </c>
      <c r="G2099" s="3" t="s">
        <v>2379</v>
      </c>
      <c r="H2099" s="3" t="s">
        <v>2379</v>
      </c>
      <c r="I2099" s="1" t="s">
        <v>2380</v>
      </c>
      <c r="J2099">
        <v>0</v>
      </c>
      <c r="K2099" s="3" t="s">
        <v>2379</v>
      </c>
      <c r="P2099" s="3"/>
    </row>
    <row r="2100" spans="1:16" x14ac:dyDescent="0.25">
      <c r="A2100" s="3" t="s">
        <v>265</v>
      </c>
      <c r="B2100">
        <v>17.670000000000002</v>
      </c>
      <c r="C2100" t="str" cm="1">
        <f t="array" ref="C2100">_xlfn.IFS(B2100&lt;=18.5,  "Underweight",B2100&lt;=24.9,"Normal weight",B2100&lt;=29.9, "Over weight",B2100&gt;=30,"Obesity")</f>
        <v>Underweight</v>
      </c>
      <c r="D2100">
        <v>4.78</v>
      </c>
      <c r="E2100" t="str" cm="1">
        <f t="array" ref="E2100">_xlfn.IFS(D2100&lt;5.7,"Normal",D2100&lt;=6.4,"Prediabetes",D2100&gt;=6.5,"Diabetes")</f>
        <v>Normal</v>
      </c>
      <c r="F2100" s="3" t="s">
        <v>2379</v>
      </c>
      <c r="G2100" s="3" t="s">
        <v>2379</v>
      </c>
      <c r="H2100" s="3" t="s">
        <v>2379</v>
      </c>
      <c r="I2100" s="1" t="s">
        <v>2380</v>
      </c>
      <c r="J2100">
        <v>0</v>
      </c>
      <c r="K2100" s="3" t="s">
        <v>2379</v>
      </c>
      <c r="P2100" s="3"/>
    </row>
    <row r="2101" spans="1:16" x14ac:dyDescent="0.25">
      <c r="A2101" s="3" t="s">
        <v>264</v>
      </c>
      <c r="B2101">
        <v>31.92</v>
      </c>
      <c r="C2101" t="str" cm="1">
        <f t="array" ref="C2101">_xlfn.IFS(B2101&lt;=18.5,  "Underweight",B2101&lt;=24.9,"Normal weight",B2101&lt;=29.9, "Over weight",B2101&gt;=30,"Obesity")</f>
        <v>Obesity</v>
      </c>
      <c r="D2101">
        <v>11.05</v>
      </c>
      <c r="E2101" t="str" cm="1">
        <f t="array" ref="E2101">_xlfn.IFS(D2101&lt;5.7,"Normal",D2101&lt;=6.4,"Prediabetes",D2101&gt;=6.5,"Diabetes")</f>
        <v>Diabetes</v>
      </c>
      <c r="F2101" s="3" t="s">
        <v>2379</v>
      </c>
      <c r="G2101" s="3" t="s">
        <v>2379</v>
      </c>
      <c r="H2101" s="3" t="s">
        <v>2379</v>
      </c>
      <c r="I2101" s="1" t="s">
        <v>2380</v>
      </c>
      <c r="J2101">
        <v>0</v>
      </c>
      <c r="K2101" s="3" t="s">
        <v>2379</v>
      </c>
      <c r="P2101" s="3"/>
    </row>
    <row r="2102" spans="1:16" x14ac:dyDescent="0.25">
      <c r="A2102" s="3" t="s">
        <v>263</v>
      </c>
      <c r="B2102">
        <v>28.975000000000001</v>
      </c>
      <c r="C2102" t="str" cm="1">
        <f t="array" ref="C2102">_xlfn.IFS(B2102&lt;=18.5,  "Underweight",B2102&lt;=24.9,"Normal weight",B2102&lt;=29.9, "Over weight",B2102&gt;=30,"Obesity")</f>
        <v>Over weight</v>
      </c>
      <c r="D2102">
        <v>7.62</v>
      </c>
      <c r="E2102" t="str" cm="1">
        <f t="array" ref="E2102">_xlfn.IFS(D2102&lt;5.7,"Normal",D2102&lt;=6.4,"Prediabetes",D2102&gt;=6.5,"Diabetes")</f>
        <v>Diabetes</v>
      </c>
      <c r="F2102" s="3" t="s">
        <v>2379</v>
      </c>
      <c r="G2102" s="3" t="s">
        <v>2379</v>
      </c>
      <c r="H2102" s="3" t="s">
        <v>2379</v>
      </c>
      <c r="I2102" s="1" t="s">
        <v>2380</v>
      </c>
      <c r="J2102">
        <v>0</v>
      </c>
      <c r="K2102" s="3" t="s">
        <v>2379</v>
      </c>
      <c r="P2102" s="3"/>
    </row>
    <row r="2103" spans="1:16" x14ac:dyDescent="0.25">
      <c r="A2103" s="3" t="s">
        <v>262</v>
      </c>
      <c r="B2103">
        <v>31.73</v>
      </c>
      <c r="C2103" t="str" cm="1">
        <f t="array" ref="C2103">_xlfn.IFS(B2103&lt;=18.5,  "Underweight",B2103&lt;=24.9,"Normal weight",B2103&lt;=29.9, "Over weight",B2103&gt;=30,"Obesity")</f>
        <v>Obesity</v>
      </c>
      <c r="D2103">
        <v>4.78</v>
      </c>
      <c r="E2103" t="str" cm="1">
        <f t="array" ref="E2103">_xlfn.IFS(D2103&lt;5.7,"Normal",D2103&lt;=6.4,"Prediabetes",D2103&gt;=6.5,"Diabetes")</f>
        <v>Normal</v>
      </c>
      <c r="F2103" s="3" t="s">
        <v>2382</v>
      </c>
      <c r="G2103" s="3" t="s">
        <v>2381</v>
      </c>
      <c r="H2103" s="3" t="s">
        <v>2379</v>
      </c>
      <c r="I2103" s="1">
        <v>2</v>
      </c>
      <c r="J2103">
        <v>2</v>
      </c>
      <c r="K2103" s="3" t="s">
        <v>2379</v>
      </c>
      <c r="P2103" s="3"/>
    </row>
    <row r="2104" spans="1:16" x14ac:dyDescent="0.25">
      <c r="A2104" s="3" t="s">
        <v>261</v>
      </c>
      <c r="B2104">
        <v>28.88</v>
      </c>
      <c r="C2104" t="str" cm="1">
        <f t="array" ref="C2104">_xlfn.IFS(B2104&lt;=18.5,  "Underweight",B2104&lt;=24.9,"Normal weight",B2104&lt;=29.9, "Over weight",B2104&gt;=30,"Obesity")</f>
        <v>Over weight</v>
      </c>
      <c r="D2104">
        <v>6.09</v>
      </c>
      <c r="E2104" t="str" cm="1">
        <f t="array" ref="E2104">_xlfn.IFS(D2104&lt;5.7,"Normal",D2104&lt;=6.4,"Prediabetes",D2104&gt;=6.5,"Diabetes")</f>
        <v>Prediabetes</v>
      </c>
      <c r="F2104" s="3" t="s">
        <v>2382</v>
      </c>
      <c r="G2104" s="3" t="s">
        <v>2381</v>
      </c>
      <c r="H2104" s="3" t="s">
        <v>2379</v>
      </c>
      <c r="I2104" s="1">
        <v>2</v>
      </c>
      <c r="J2104">
        <v>2</v>
      </c>
      <c r="K2104" s="3" t="s">
        <v>2379</v>
      </c>
      <c r="P2104" s="3"/>
    </row>
    <row r="2105" spans="1:16" x14ac:dyDescent="0.25">
      <c r="A2105" s="3" t="s">
        <v>260</v>
      </c>
      <c r="B2105">
        <v>25.555</v>
      </c>
      <c r="C2105" t="str" cm="1">
        <f t="array" ref="C2105">_xlfn.IFS(B2105&lt;=18.5,  "Underweight",B2105&lt;=24.9,"Normal weight",B2105&lt;=29.9, "Over weight",B2105&gt;=30,"Obesity")</f>
        <v>Over weight</v>
      </c>
      <c r="D2105">
        <v>5.1100000000000003</v>
      </c>
      <c r="E2105" t="str" cm="1">
        <f t="array" ref="E2105">_xlfn.IFS(D2105&lt;5.7,"Normal",D2105&lt;=6.4,"Prediabetes",D2105&gt;=6.5,"Diabetes")</f>
        <v>Normal</v>
      </c>
      <c r="F2105" s="3" t="s">
        <v>2379</v>
      </c>
      <c r="G2105" s="3" t="s">
        <v>2379</v>
      </c>
      <c r="H2105" s="3" t="s">
        <v>2382</v>
      </c>
      <c r="I2105" s="1">
        <v>1</v>
      </c>
      <c r="J2105">
        <v>1</v>
      </c>
      <c r="K2105" s="3" t="s">
        <v>2379</v>
      </c>
      <c r="P2105" s="3"/>
    </row>
    <row r="2106" spans="1:16" x14ac:dyDescent="0.25">
      <c r="A2106" s="3" t="s">
        <v>259</v>
      </c>
      <c r="B2106">
        <v>37.29</v>
      </c>
      <c r="C2106" t="str" cm="1">
        <f t="array" ref="C2106">_xlfn.IFS(B2106&lt;=18.5,  "Underweight",B2106&lt;=24.9,"Normal weight",B2106&lt;=29.9, "Over weight",B2106&gt;=30,"Obesity")</f>
        <v>Obesity</v>
      </c>
      <c r="D2106">
        <v>4.46</v>
      </c>
      <c r="E2106" t="str" cm="1">
        <f t="array" ref="E2106">_xlfn.IFS(D2106&lt;5.7,"Normal",D2106&lt;=6.4,"Prediabetes",D2106&gt;=6.5,"Diabetes")</f>
        <v>Normal</v>
      </c>
      <c r="F2106" s="3" t="s">
        <v>2379</v>
      </c>
      <c r="G2106" s="3" t="s">
        <v>2381</v>
      </c>
      <c r="H2106" s="3" t="s">
        <v>2379</v>
      </c>
      <c r="I2106" s="1">
        <v>1</v>
      </c>
      <c r="J2106">
        <v>1</v>
      </c>
      <c r="K2106" s="3" t="s">
        <v>2379</v>
      </c>
      <c r="P2106" s="3"/>
    </row>
    <row r="2107" spans="1:16" x14ac:dyDescent="0.25">
      <c r="A2107" s="3" t="s">
        <v>258</v>
      </c>
      <c r="B2107">
        <v>40.28</v>
      </c>
      <c r="C2107" t="str" cm="1">
        <f t="array" ref="C2107">_xlfn.IFS(B2107&lt;=18.5,  "Underweight",B2107&lt;=24.9,"Normal weight",B2107&lt;=29.9, "Over weight",B2107&gt;=30,"Obesity")</f>
        <v>Obesity</v>
      </c>
      <c r="D2107">
        <v>6.11</v>
      </c>
      <c r="E2107" t="str" cm="1">
        <f t="array" ref="E2107">_xlfn.IFS(D2107&lt;5.7,"Normal",D2107&lt;=6.4,"Prediabetes",D2107&gt;=6.5,"Diabetes")</f>
        <v>Prediabetes</v>
      </c>
      <c r="F2107" s="3" t="s">
        <v>2379</v>
      </c>
      <c r="G2107" s="3" t="s">
        <v>2381</v>
      </c>
      <c r="H2107" s="3" t="s">
        <v>2379</v>
      </c>
      <c r="I2107" s="1">
        <v>1</v>
      </c>
      <c r="J2107">
        <v>1</v>
      </c>
      <c r="K2107" s="3" t="s">
        <v>2379</v>
      </c>
      <c r="P2107" s="3"/>
    </row>
    <row r="2108" spans="1:16" x14ac:dyDescent="0.25">
      <c r="A2108" s="3" t="s">
        <v>257</v>
      </c>
      <c r="B2108">
        <v>40.185000000000002</v>
      </c>
      <c r="C2108" t="str" cm="1">
        <f t="array" ref="C2108">_xlfn.IFS(B2108&lt;=18.5,  "Underweight",B2108&lt;=24.9,"Normal weight",B2108&lt;=29.9, "Over weight",B2108&gt;=30,"Obesity")</f>
        <v>Obesity</v>
      </c>
      <c r="D2108">
        <v>4.66</v>
      </c>
      <c r="E2108" t="str" cm="1">
        <f t="array" ref="E2108">_xlfn.IFS(D2108&lt;5.7,"Normal",D2108&lt;=6.4,"Prediabetes",D2108&gt;=6.5,"Diabetes")</f>
        <v>Normal</v>
      </c>
      <c r="F2108" s="3" t="s">
        <v>2379</v>
      </c>
      <c r="G2108" s="3" t="s">
        <v>2381</v>
      </c>
      <c r="H2108" s="3" t="s">
        <v>2379</v>
      </c>
      <c r="I2108" s="1">
        <v>1</v>
      </c>
      <c r="J2108">
        <v>1</v>
      </c>
      <c r="K2108" s="3" t="s">
        <v>2379</v>
      </c>
      <c r="P2108" s="3"/>
    </row>
    <row r="2109" spans="1:16" x14ac:dyDescent="0.25">
      <c r="A2109" s="3" t="s">
        <v>256</v>
      </c>
      <c r="B2109">
        <v>23.57</v>
      </c>
      <c r="C2109" t="str" cm="1">
        <f t="array" ref="C2109">_xlfn.IFS(B2109&lt;=18.5,  "Underweight",B2109&lt;=24.9,"Normal weight",B2109&lt;=29.9, "Over weight",B2109&gt;=30,"Obesity")</f>
        <v>Normal weight</v>
      </c>
      <c r="D2109">
        <v>6.14</v>
      </c>
      <c r="E2109" t="str" cm="1">
        <f t="array" ref="E2109">_xlfn.IFS(D2109&lt;5.7,"Normal",D2109&lt;=6.4,"Prediabetes",D2109&gt;=6.5,"Diabetes")</f>
        <v>Prediabetes</v>
      </c>
      <c r="F2109" s="3" t="s">
        <v>2379</v>
      </c>
      <c r="G2109" s="3" t="s">
        <v>2379</v>
      </c>
      <c r="H2109" s="3" t="s">
        <v>2379</v>
      </c>
      <c r="I2109" s="1" t="s">
        <v>2380</v>
      </c>
      <c r="J2109">
        <v>0</v>
      </c>
      <c r="K2109" s="3" t="s">
        <v>2379</v>
      </c>
      <c r="P2109" s="3"/>
    </row>
    <row r="2110" spans="1:16" x14ac:dyDescent="0.25">
      <c r="A2110" s="3" t="s">
        <v>255</v>
      </c>
      <c r="B2110">
        <v>35.625</v>
      </c>
      <c r="C2110" t="str" cm="1">
        <f t="array" ref="C2110">_xlfn.IFS(B2110&lt;=18.5,  "Underweight",B2110&lt;=24.9,"Normal weight",B2110&lt;=29.9, "Over weight",B2110&gt;=30,"Obesity")</f>
        <v>Obesity</v>
      </c>
      <c r="D2110">
        <v>6.21</v>
      </c>
      <c r="E2110" t="str" cm="1">
        <f t="array" ref="E2110">_xlfn.IFS(D2110&lt;5.7,"Normal",D2110&lt;=6.4,"Prediabetes",D2110&gt;=6.5,"Diabetes")</f>
        <v>Prediabetes</v>
      </c>
      <c r="F2110" s="3" t="s">
        <v>2379</v>
      </c>
      <c r="G2110" s="3" t="s">
        <v>2381</v>
      </c>
      <c r="H2110" s="3" t="s">
        <v>2379</v>
      </c>
      <c r="I2110" s="1">
        <v>1</v>
      </c>
      <c r="J2110">
        <v>1</v>
      </c>
      <c r="K2110" s="3" t="s">
        <v>2379</v>
      </c>
      <c r="P2110" s="3"/>
    </row>
    <row r="2111" spans="1:16" x14ac:dyDescent="0.25">
      <c r="A2111" s="3" t="s">
        <v>254</v>
      </c>
      <c r="B2111">
        <v>33.155000000000001</v>
      </c>
      <c r="C2111" t="str" cm="1">
        <f t="array" ref="C2111">_xlfn.IFS(B2111&lt;=18.5,  "Underweight",B2111&lt;=24.9,"Normal weight",B2111&lt;=29.9, "Over weight",B2111&gt;=30,"Obesity")</f>
        <v>Obesity</v>
      </c>
      <c r="D2111">
        <v>4.5999999999999996</v>
      </c>
      <c r="E2111" t="str" cm="1">
        <f t="array" ref="E2111">_xlfn.IFS(D2111&lt;5.7,"Normal",D2111&lt;=6.4,"Prediabetes",D2111&gt;=6.5,"Diabetes")</f>
        <v>Normal</v>
      </c>
      <c r="F2111" s="3" t="s">
        <v>2379</v>
      </c>
      <c r="G2111" s="3" t="s">
        <v>2381</v>
      </c>
      <c r="H2111" s="3" t="s">
        <v>2379</v>
      </c>
      <c r="I2111" s="1">
        <v>1</v>
      </c>
      <c r="J2111">
        <v>1</v>
      </c>
      <c r="K2111" s="3" t="s">
        <v>2379</v>
      </c>
      <c r="P2111" s="3"/>
    </row>
    <row r="2112" spans="1:16" x14ac:dyDescent="0.25">
      <c r="A2112" s="3" t="s">
        <v>253</v>
      </c>
      <c r="B2112">
        <v>31.92</v>
      </c>
      <c r="C2112" t="str" cm="1">
        <f t="array" ref="C2112">_xlfn.IFS(B2112&lt;=18.5,  "Underweight",B2112&lt;=24.9,"Normal weight",B2112&lt;=29.9, "Over weight",B2112&gt;=30,"Obesity")</f>
        <v>Obesity</v>
      </c>
      <c r="D2112">
        <v>5.04</v>
      </c>
      <c r="E2112" t="str" cm="1">
        <f t="array" ref="E2112">_xlfn.IFS(D2112&lt;5.7,"Normal",D2112&lt;=6.4,"Prediabetes",D2112&gt;=6.5,"Diabetes")</f>
        <v>Normal</v>
      </c>
      <c r="F2112" s="3" t="s">
        <v>2379</v>
      </c>
      <c r="G2112" s="3" t="s">
        <v>2381</v>
      </c>
      <c r="H2112" s="3" t="s">
        <v>2379</v>
      </c>
      <c r="I2112" s="1">
        <v>1</v>
      </c>
      <c r="J2112">
        <v>1</v>
      </c>
      <c r="K2112" s="3" t="s">
        <v>2379</v>
      </c>
      <c r="P2112" s="3"/>
    </row>
    <row r="2113" spans="1:16" x14ac:dyDescent="0.25">
      <c r="A2113" s="3" t="s">
        <v>252</v>
      </c>
      <c r="B2113">
        <v>30.305</v>
      </c>
      <c r="C2113" t="str" cm="1">
        <f t="array" ref="C2113">_xlfn.IFS(B2113&lt;=18.5,  "Underweight",B2113&lt;=24.9,"Normal weight",B2113&lt;=29.9, "Over weight",B2113&gt;=30,"Obesity")</f>
        <v>Obesity</v>
      </c>
      <c r="D2113">
        <v>5.08</v>
      </c>
      <c r="E2113" t="str" cm="1">
        <f t="array" ref="E2113">_xlfn.IFS(D2113&lt;5.7,"Normal",D2113&lt;=6.4,"Prediabetes",D2113&gt;=6.5,"Diabetes")</f>
        <v>Normal</v>
      </c>
      <c r="F2113" s="3" t="s">
        <v>2379</v>
      </c>
      <c r="G2113" s="3" t="s">
        <v>2381</v>
      </c>
      <c r="H2113" s="3" t="s">
        <v>2379</v>
      </c>
      <c r="I2113" s="1">
        <v>1</v>
      </c>
      <c r="J2113">
        <v>1</v>
      </c>
      <c r="K2113" s="3" t="s">
        <v>2379</v>
      </c>
      <c r="P2113" s="3"/>
    </row>
    <row r="2114" spans="1:16" x14ac:dyDescent="0.25">
      <c r="A2114" s="3" t="s">
        <v>251</v>
      </c>
      <c r="B2114">
        <v>30.114999999999998</v>
      </c>
      <c r="C2114" t="str" cm="1">
        <f t="array" ref="C2114">_xlfn.IFS(B2114&lt;=18.5,  "Underweight",B2114&lt;=24.9,"Normal weight",B2114&lt;=29.9, "Over weight",B2114&gt;=30,"Obesity")</f>
        <v>Obesity</v>
      </c>
      <c r="D2114">
        <v>4.38</v>
      </c>
      <c r="E2114" t="str" cm="1">
        <f t="array" ref="E2114">_xlfn.IFS(D2114&lt;5.7,"Normal",D2114&lt;=6.4,"Prediabetes",D2114&gt;=6.5,"Diabetes")</f>
        <v>Normal</v>
      </c>
      <c r="F2114" s="3" t="s">
        <v>2379</v>
      </c>
      <c r="G2114" s="3" t="s">
        <v>2381</v>
      </c>
      <c r="H2114" s="3" t="s">
        <v>2379</v>
      </c>
      <c r="I2114" s="1">
        <v>1</v>
      </c>
      <c r="J2114">
        <v>1</v>
      </c>
      <c r="K2114" s="3" t="s">
        <v>2379</v>
      </c>
      <c r="P2114" s="3"/>
    </row>
    <row r="2115" spans="1:16" x14ac:dyDescent="0.25">
      <c r="A2115" s="3" t="s">
        <v>250</v>
      </c>
      <c r="B2115">
        <v>24.09</v>
      </c>
      <c r="C2115" t="str" cm="1">
        <f t="array" ref="C2115">_xlfn.IFS(B2115&lt;=18.5,  "Underweight",B2115&lt;=24.9,"Normal weight",B2115&lt;=29.9, "Over weight",B2115&gt;=30,"Obesity")</f>
        <v>Normal weight</v>
      </c>
      <c r="D2115">
        <v>4.79</v>
      </c>
      <c r="E2115" t="str" cm="1">
        <f t="array" ref="E2115">_xlfn.IFS(D2115&lt;5.7,"Normal",D2115&lt;=6.4,"Prediabetes",D2115&gt;=6.5,"Diabetes")</f>
        <v>Normal</v>
      </c>
      <c r="F2115" s="3" t="s">
        <v>2379</v>
      </c>
      <c r="G2115" s="3" t="s">
        <v>2381</v>
      </c>
      <c r="H2115" s="3" t="s">
        <v>2379</v>
      </c>
      <c r="I2115" s="1">
        <v>1</v>
      </c>
      <c r="J2115">
        <v>1</v>
      </c>
      <c r="K2115" s="3" t="s">
        <v>2379</v>
      </c>
      <c r="P2115" s="3"/>
    </row>
    <row r="2116" spans="1:16" x14ac:dyDescent="0.25">
      <c r="A2116" s="3" t="s">
        <v>249</v>
      </c>
      <c r="B2116">
        <v>28.215</v>
      </c>
      <c r="C2116" t="str" cm="1">
        <f t="array" ref="C2116">_xlfn.IFS(B2116&lt;=18.5,  "Underweight",B2116&lt;=24.9,"Normal weight",B2116&lt;=29.9, "Over weight",B2116&gt;=30,"Obesity")</f>
        <v>Over weight</v>
      </c>
      <c r="D2116">
        <v>4.21</v>
      </c>
      <c r="E2116" t="str" cm="1">
        <f t="array" ref="E2116">_xlfn.IFS(D2116&lt;5.7,"Normal",D2116&lt;=6.4,"Prediabetes",D2116&gt;=6.5,"Diabetes")</f>
        <v>Normal</v>
      </c>
      <c r="F2116" s="3" t="s">
        <v>2379</v>
      </c>
      <c r="G2116" s="3" t="s">
        <v>2381</v>
      </c>
      <c r="H2116" s="3" t="s">
        <v>2379</v>
      </c>
      <c r="I2116" s="1">
        <v>1</v>
      </c>
      <c r="J2116">
        <v>1</v>
      </c>
      <c r="K2116" s="3" t="s">
        <v>2379</v>
      </c>
      <c r="P2116" s="3"/>
    </row>
    <row r="2117" spans="1:16" x14ac:dyDescent="0.25">
      <c r="A2117" s="3" t="s">
        <v>247</v>
      </c>
      <c r="B2117">
        <v>26.315000000000001</v>
      </c>
      <c r="C2117" t="str" cm="1">
        <f t="array" ref="C2117">_xlfn.IFS(B2117&lt;=18.5,  "Underweight",B2117&lt;=24.9,"Normal weight",B2117&lt;=29.9, "Over weight",B2117&gt;=30,"Obesity")</f>
        <v>Over weight</v>
      </c>
      <c r="D2117">
        <v>5.47</v>
      </c>
      <c r="E2117" t="str" cm="1">
        <f t="array" ref="E2117">_xlfn.IFS(D2117&lt;5.7,"Normal",D2117&lt;=6.4,"Prediabetes",D2117&gt;=6.5,"Diabetes")</f>
        <v>Normal</v>
      </c>
      <c r="F2117" s="3" t="s">
        <v>2379</v>
      </c>
      <c r="G2117" s="3" t="s">
        <v>2381</v>
      </c>
      <c r="H2117" s="3" t="s">
        <v>2379</v>
      </c>
      <c r="I2117" s="1">
        <v>1</v>
      </c>
      <c r="J2117">
        <v>1</v>
      </c>
      <c r="K2117" s="3" t="s">
        <v>2379</v>
      </c>
      <c r="P2117" s="3"/>
    </row>
    <row r="2118" spans="1:16" x14ac:dyDescent="0.25">
      <c r="A2118" s="3" t="s">
        <v>245</v>
      </c>
      <c r="B2118">
        <v>25.08</v>
      </c>
      <c r="C2118" t="str" cm="1">
        <f t="array" ref="C2118">_xlfn.IFS(B2118&lt;=18.5,  "Underweight",B2118&lt;=24.9,"Normal weight",B2118&lt;=29.9, "Over weight",B2118&gt;=30,"Obesity")</f>
        <v>Over weight</v>
      </c>
      <c r="D2118">
        <v>5.09</v>
      </c>
      <c r="E2118" t="str" cm="1">
        <f t="array" ref="E2118">_xlfn.IFS(D2118&lt;5.7,"Normal",D2118&lt;=6.4,"Prediabetes",D2118&gt;=6.5,"Diabetes")</f>
        <v>Normal</v>
      </c>
      <c r="F2118" s="3" t="s">
        <v>2379</v>
      </c>
      <c r="G2118" s="3" t="s">
        <v>2381</v>
      </c>
      <c r="H2118" s="3" t="s">
        <v>2379</v>
      </c>
      <c r="I2118" s="1">
        <v>1</v>
      </c>
      <c r="J2118">
        <v>1</v>
      </c>
      <c r="K2118" s="3" t="s">
        <v>2379</v>
      </c>
      <c r="P2118" s="3"/>
    </row>
    <row r="2119" spans="1:16" x14ac:dyDescent="0.25">
      <c r="A2119" s="3" t="s">
        <v>244</v>
      </c>
      <c r="B2119">
        <v>15.41</v>
      </c>
      <c r="C2119" t="str" cm="1">
        <f t="array" ref="C2119">_xlfn.IFS(B2119&lt;=18.5,  "Underweight",B2119&lt;=24.9,"Normal weight",B2119&lt;=29.9, "Over weight",B2119&gt;=30,"Obesity")</f>
        <v>Underweight</v>
      </c>
      <c r="D2119">
        <v>5.08</v>
      </c>
      <c r="E2119" t="str" cm="1">
        <f t="array" ref="E2119">_xlfn.IFS(D2119&lt;5.7,"Normal",D2119&lt;=6.4,"Prediabetes",D2119&gt;=6.5,"Diabetes")</f>
        <v>Normal</v>
      </c>
      <c r="F2119" s="3" t="s">
        <v>2379</v>
      </c>
      <c r="G2119" s="3" t="s">
        <v>2379</v>
      </c>
      <c r="H2119" s="3" t="s">
        <v>2379</v>
      </c>
      <c r="I2119" s="1" t="s">
        <v>2380</v>
      </c>
      <c r="J2119">
        <v>0</v>
      </c>
      <c r="K2119" s="3" t="s">
        <v>2379</v>
      </c>
      <c r="P2119" s="3"/>
    </row>
    <row r="2120" spans="1:16" x14ac:dyDescent="0.25">
      <c r="A2120" s="3" t="s">
        <v>243</v>
      </c>
      <c r="B2120">
        <v>23.83</v>
      </c>
      <c r="C2120" t="str" cm="1">
        <f t="array" ref="C2120">_xlfn.IFS(B2120&lt;=18.5,  "Underweight",B2120&lt;=24.9,"Normal weight",B2120&lt;=29.9, "Over weight",B2120&gt;=30,"Obesity")</f>
        <v>Normal weight</v>
      </c>
      <c r="D2120">
        <v>5.68</v>
      </c>
      <c r="E2120" t="str" cm="1">
        <f t="array" ref="E2120">_xlfn.IFS(D2120&lt;5.7,"Normal",D2120&lt;=6.4,"Prediabetes",D2120&gt;=6.5,"Diabetes")</f>
        <v>Normal</v>
      </c>
      <c r="F2120" s="3" t="s">
        <v>2379</v>
      </c>
      <c r="G2120" s="3" t="s">
        <v>2379</v>
      </c>
      <c r="H2120" s="3" t="s">
        <v>2379</v>
      </c>
      <c r="I2120" s="1" t="s">
        <v>2380</v>
      </c>
      <c r="J2120">
        <v>0</v>
      </c>
      <c r="K2120" s="3" t="s">
        <v>2379</v>
      </c>
      <c r="P2120" s="3"/>
    </row>
    <row r="2121" spans="1:16" x14ac:dyDescent="0.25">
      <c r="A2121" s="3" t="s">
        <v>242</v>
      </c>
      <c r="B2121">
        <v>36</v>
      </c>
      <c r="C2121" t="str" cm="1">
        <f t="array" ref="C2121">_xlfn.IFS(B2121&lt;=18.5,  "Underweight",B2121&lt;=24.9,"Normal weight",B2121&lt;=29.9, "Over weight",B2121&gt;=30,"Obesity")</f>
        <v>Obesity</v>
      </c>
      <c r="D2121">
        <v>4.66</v>
      </c>
      <c r="E2121" t="str" cm="1">
        <f t="array" ref="E2121">_xlfn.IFS(D2121&lt;5.7,"Normal",D2121&lt;=6.4,"Prediabetes",D2121&gt;=6.5,"Diabetes")</f>
        <v>Normal</v>
      </c>
      <c r="F2121" s="3" t="s">
        <v>2379</v>
      </c>
      <c r="G2121" s="3" t="s">
        <v>2381</v>
      </c>
      <c r="H2121" s="3" t="s">
        <v>2379</v>
      </c>
      <c r="I2121" s="1">
        <v>1</v>
      </c>
      <c r="J2121">
        <v>1</v>
      </c>
      <c r="K2121" s="3" t="s">
        <v>2379</v>
      </c>
      <c r="P2121" s="3"/>
    </row>
    <row r="2122" spans="1:16" x14ac:dyDescent="0.25">
      <c r="A2122" s="3" t="s">
        <v>241</v>
      </c>
      <c r="B2122">
        <v>28.82</v>
      </c>
      <c r="C2122" t="str" cm="1">
        <f t="array" ref="C2122">_xlfn.IFS(B2122&lt;=18.5,  "Underweight",B2122&lt;=24.9,"Normal weight",B2122&lt;=29.9, "Over weight",B2122&gt;=30,"Obesity")</f>
        <v>Over weight</v>
      </c>
      <c r="D2122">
        <v>5.59</v>
      </c>
      <c r="E2122" t="str" cm="1">
        <f t="array" ref="E2122">_xlfn.IFS(D2122&lt;5.7,"Normal",D2122&lt;=6.4,"Prediabetes",D2122&gt;=6.5,"Diabetes")</f>
        <v>Normal</v>
      </c>
      <c r="F2122" s="3" t="s">
        <v>2379</v>
      </c>
      <c r="G2122" s="3" t="s">
        <v>2381</v>
      </c>
      <c r="H2122" s="3" t="s">
        <v>2379</v>
      </c>
      <c r="I2122" s="1">
        <v>1</v>
      </c>
      <c r="J2122">
        <v>1</v>
      </c>
      <c r="K2122" s="3" t="s">
        <v>2379</v>
      </c>
      <c r="P2122" s="3"/>
    </row>
    <row r="2123" spans="1:16" x14ac:dyDescent="0.25">
      <c r="A2123" s="3" t="s">
        <v>240</v>
      </c>
      <c r="B2123">
        <v>28.05</v>
      </c>
      <c r="C2123" t="str" cm="1">
        <f t="array" ref="C2123">_xlfn.IFS(B2123&lt;=18.5,  "Underweight",B2123&lt;=24.9,"Normal weight",B2123&lt;=29.9, "Over weight",B2123&gt;=30,"Obesity")</f>
        <v>Over weight</v>
      </c>
      <c r="D2123">
        <v>6.2</v>
      </c>
      <c r="E2123" t="str" cm="1">
        <f t="array" ref="E2123">_xlfn.IFS(D2123&lt;5.7,"Normal",D2123&lt;=6.4,"Prediabetes",D2123&gt;=6.5,"Diabetes")</f>
        <v>Prediabetes</v>
      </c>
      <c r="F2123" s="3" t="s">
        <v>2379</v>
      </c>
      <c r="G2123" s="3" t="s">
        <v>2381</v>
      </c>
      <c r="H2123" s="3" t="s">
        <v>2379</v>
      </c>
      <c r="I2123" s="1">
        <v>1</v>
      </c>
      <c r="J2123">
        <v>1</v>
      </c>
      <c r="K2123" s="3" t="s">
        <v>2379</v>
      </c>
      <c r="P2123" s="3"/>
    </row>
    <row r="2124" spans="1:16" x14ac:dyDescent="0.25">
      <c r="A2124" s="3" t="s">
        <v>239</v>
      </c>
      <c r="B2124">
        <v>27.1</v>
      </c>
      <c r="C2124" t="str" cm="1">
        <f t="array" ref="C2124">_xlfn.IFS(B2124&lt;=18.5,  "Underweight",B2124&lt;=24.9,"Normal weight",B2124&lt;=29.9, "Over weight",B2124&gt;=30,"Obesity")</f>
        <v>Over weight</v>
      </c>
      <c r="D2124">
        <v>4.45</v>
      </c>
      <c r="E2124" t="str" cm="1">
        <f t="array" ref="E2124">_xlfn.IFS(D2124&lt;5.7,"Normal",D2124&lt;=6.4,"Prediabetes",D2124&gt;=6.5,"Diabetes")</f>
        <v>Normal</v>
      </c>
      <c r="F2124" s="3" t="s">
        <v>2379</v>
      </c>
      <c r="G2124" s="3" t="s">
        <v>2381</v>
      </c>
      <c r="H2124" s="3" t="s">
        <v>2379</v>
      </c>
      <c r="I2124" s="1">
        <v>1</v>
      </c>
      <c r="J2124">
        <v>1</v>
      </c>
      <c r="K2124" s="3" t="s">
        <v>2379</v>
      </c>
      <c r="P2124" s="3"/>
    </row>
    <row r="2125" spans="1:16" x14ac:dyDescent="0.25">
      <c r="A2125" s="3" t="s">
        <v>238</v>
      </c>
      <c r="B2125">
        <v>24.3</v>
      </c>
      <c r="C2125" t="str" cm="1">
        <f t="array" ref="C2125">_xlfn.IFS(B2125&lt;=18.5,  "Underweight",B2125&lt;=24.9,"Normal weight",B2125&lt;=29.9, "Over weight",B2125&gt;=30,"Obesity")</f>
        <v>Normal weight</v>
      </c>
      <c r="D2125">
        <v>6.1</v>
      </c>
      <c r="E2125" t="str" cm="1">
        <f t="array" ref="E2125">_xlfn.IFS(D2125&lt;5.7,"Normal",D2125&lt;=6.4,"Prediabetes",D2125&gt;=6.5,"Diabetes")</f>
        <v>Prediabetes</v>
      </c>
      <c r="F2125" s="3" t="s">
        <v>2382</v>
      </c>
      <c r="G2125" s="3" t="s">
        <v>2381</v>
      </c>
      <c r="H2125" s="3" t="s">
        <v>2379</v>
      </c>
      <c r="I2125" s="1">
        <v>1</v>
      </c>
      <c r="J2125">
        <v>1</v>
      </c>
      <c r="K2125" s="3" t="s">
        <v>2379</v>
      </c>
      <c r="P2125" s="3"/>
    </row>
    <row r="2126" spans="1:16" x14ac:dyDescent="0.25">
      <c r="A2126" s="3" t="s">
        <v>237</v>
      </c>
      <c r="B2126">
        <v>30.72</v>
      </c>
      <c r="C2126" t="str" cm="1">
        <f t="array" ref="C2126">_xlfn.IFS(B2126&lt;=18.5,  "Underweight",B2126&lt;=24.9,"Normal weight",B2126&lt;=29.9, "Over weight",B2126&gt;=30,"Obesity")</f>
        <v>Obesity</v>
      </c>
      <c r="D2126">
        <v>6.06</v>
      </c>
      <c r="E2126" t="str" cm="1">
        <f t="array" ref="E2126">_xlfn.IFS(D2126&lt;5.7,"Normal",D2126&lt;=6.4,"Prediabetes",D2126&gt;=6.5,"Diabetes")</f>
        <v>Prediabetes</v>
      </c>
      <c r="F2126" s="3" t="s">
        <v>2379</v>
      </c>
      <c r="G2126" s="3" t="s">
        <v>2381</v>
      </c>
      <c r="H2126" s="3" t="s">
        <v>2379</v>
      </c>
      <c r="I2126" s="1">
        <v>1</v>
      </c>
      <c r="J2126">
        <v>1</v>
      </c>
      <c r="K2126" s="3" t="s">
        <v>2379</v>
      </c>
      <c r="P2126" s="3"/>
    </row>
    <row r="2127" spans="1:16" x14ac:dyDescent="0.25">
      <c r="A2127" s="3" t="s">
        <v>236</v>
      </c>
      <c r="B2127">
        <v>37.43</v>
      </c>
      <c r="C2127" t="str" cm="1">
        <f t="array" ref="C2127">_xlfn.IFS(B2127&lt;=18.5,  "Underweight",B2127&lt;=24.9,"Normal weight",B2127&lt;=29.9, "Over weight",B2127&gt;=30,"Obesity")</f>
        <v>Obesity</v>
      </c>
      <c r="D2127">
        <v>4.5599999999999996</v>
      </c>
      <c r="E2127" t="str" cm="1">
        <f t="array" ref="E2127">_xlfn.IFS(D2127&lt;5.7,"Normal",D2127&lt;=6.4,"Prediabetes",D2127&gt;=6.5,"Diabetes")</f>
        <v>Normal</v>
      </c>
      <c r="F2127" s="3" t="s">
        <v>2379</v>
      </c>
      <c r="G2127" s="3" t="s">
        <v>2379</v>
      </c>
      <c r="H2127" s="3" t="s">
        <v>2382</v>
      </c>
      <c r="I2127" s="1">
        <v>1</v>
      </c>
      <c r="J2127">
        <v>1</v>
      </c>
      <c r="K2127" s="3" t="s">
        <v>2379</v>
      </c>
      <c r="P2127" s="3"/>
    </row>
    <row r="2128" spans="1:16" x14ac:dyDescent="0.25">
      <c r="A2128" s="3" t="s">
        <v>235</v>
      </c>
      <c r="B2128">
        <v>25.74</v>
      </c>
      <c r="C2128" t="str" cm="1">
        <f t="array" ref="C2128">_xlfn.IFS(B2128&lt;=18.5,  "Underweight",B2128&lt;=24.9,"Normal weight",B2128&lt;=29.9, "Over weight",B2128&gt;=30,"Obesity")</f>
        <v>Over weight</v>
      </c>
      <c r="D2128">
        <v>6.41</v>
      </c>
      <c r="E2128" t="e" cm="1">
        <f t="array" ref="E2128">_xlfn.IFS(D2128&lt;5.7,"Normal",D2128&lt;=6.4,"Prediabetes",D2128&gt;=6.5,"Diabetes")</f>
        <v>#N/A</v>
      </c>
      <c r="F2128" s="3" t="s">
        <v>2382</v>
      </c>
      <c r="G2128" s="3" t="s">
        <v>2379</v>
      </c>
      <c r="H2128" s="3" t="s">
        <v>2382</v>
      </c>
      <c r="I2128" s="1">
        <v>1</v>
      </c>
      <c r="J2128">
        <v>1</v>
      </c>
      <c r="K2128" s="3" t="s">
        <v>2379</v>
      </c>
      <c r="P2128" s="3"/>
    </row>
    <row r="2129" spans="1:16" x14ac:dyDescent="0.25">
      <c r="A2129" s="3" t="s">
        <v>234</v>
      </c>
      <c r="B2129">
        <v>36.575000000000003</v>
      </c>
      <c r="C2129" t="str" cm="1">
        <f t="array" ref="C2129">_xlfn.IFS(B2129&lt;=18.5,  "Underweight",B2129&lt;=24.9,"Normal weight",B2129&lt;=29.9, "Over weight",B2129&gt;=30,"Obesity")</f>
        <v>Obesity</v>
      </c>
      <c r="D2129">
        <v>5.57</v>
      </c>
      <c r="E2129" t="str" cm="1">
        <f t="array" ref="E2129">_xlfn.IFS(D2129&lt;5.7,"Normal",D2129&lt;=6.4,"Prediabetes",D2129&gt;=6.5,"Diabetes")</f>
        <v>Normal</v>
      </c>
      <c r="F2129" s="3" t="s">
        <v>2379</v>
      </c>
      <c r="G2129" s="3" t="s">
        <v>2379</v>
      </c>
      <c r="H2129" s="3" t="s">
        <v>2382</v>
      </c>
      <c r="I2129" s="1">
        <v>1</v>
      </c>
      <c r="J2129">
        <v>1</v>
      </c>
      <c r="K2129" s="3" t="s">
        <v>2379</v>
      </c>
      <c r="P2129" s="3"/>
    </row>
    <row r="2130" spans="1:16" x14ac:dyDescent="0.25">
      <c r="A2130" s="3" t="s">
        <v>233</v>
      </c>
      <c r="B2130">
        <v>35.15</v>
      </c>
      <c r="C2130" t="str" cm="1">
        <f t="array" ref="C2130">_xlfn.IFS(B2130&lt;=18.5,  "Underweight",B2130&lt;=24.9,"Normal weight",B2130&lt;=29.9, "Over weight",B2130&gt;=30,"Obesity")</f>
        <v>Obesity</v>
      </c>
      <c r="D2130">
        <v>5.47</v>
      </c>
      <c r="E2130" t="str" cm="1">
        <f t="array" ref="E2130">_xlfn.IFS(D2130&lt;5.7,"Normal",D2130&lt;=6.4,"Prediabetes",D2130&gt;=6.5,"Diabetes")</f>
        <v>Normal</v>
      </c>
      <c r="F2130" s="3" t="s">
        <v>2379</v>
      </c>
      <c r="G2130" s="3" t="s">
        <v>2379</v>
      </c>
      <c r="H2130" s="3" t="s">
        <v>2382</v>
      </c>
      <c r="I2130" s="1">
        <v>1</v>
      </c>
      <c r="J2130">
        <v>1</v>
      </c>
      <c r="K2130" s="3" t="s">
        <v>2379</v>
      </c>
      <c r="P2130" s="3"/>
    </row>
    <row r="2131" spans="1:16" x14ac:dyDescent="0.25">
      <c r="A2131" s="3" t="s">
        <v>232</v>
      </c>
      <c r="B2131">
        <v>32.11</v>
      </c>
      <c r="C2131" t="str" cm="1">
        <f t="array" ref="C2131">_xlfn.IFS(B2131&lt;=18.5,  "Underweight",B2131&lt;=24.9,"Normal weight",B2131&lt;=29.9, "Over weight",B2131&gt;=30,"Obesity")</f>
        <v>Obesity</v>
      </c>
      <c r="D2131">
        <v>4.43</v>
      </c>
      <c r="E2131" t="str" cm="1">
        <f t="array" ref="E2131">_xlfn.IFS(D2131&lt;5.7,"Normal",D2131&lt;=6.4,"Prediabetes",D2131&gt;=6.5,"Diabetes")</f>
        <v>Normal</v>
      </c>
      <c r="F2131" s="3" t="s">
        <v>2379</v>
      </c>
      <c r="G2131" s="3" t="s">
        <v>2379</v>
      </c>
      <c r="H2131" s="3" t="s">
        <v>2382</v>
      </c>
      <c r="I2131" s="1">
        <v>1</v>
      </c>
      <c r="J2131">
        <v>1</v>
      </c>
      <c r="K2131" s="3" t="s">
        <v>2379</v>
      </c>
      <c r="P2131" s="3"/>
    </row>
    <row r="2132" spans="1:16" x14ac:dyDescent="0.25">
      <c r="A2132" s="3" t="s">
        <v>231</v>
      </c>
      <c r="B2132">
        <v>30.495000000000001</v>
      </c>
      <c r="C2132" t="str" cm="1">
        <f t="array" ref="C2132">_xlfn.IFS(B2132&lt;=18.5,  "Underweight",B2132&lt;=24.9,"Normal weight",B2132&lt;=29.9, "Over weight",B2132&gt;=30,"Obesity")</f>
        <v>Obesity</v>
      </c>
      <c r="D2132">
        <v>4.95</v>
      </c>
      <c r="E2132" t="str" cm="1">
        <f t="array" ref="E2132">_xlfn.IFS(D2132&lt;5.7,"Normal",D2132&lt;=6.4,"Prediabetes",D2132&gt;=6.5,"Diabetes")</f>
        <v>Normal</v>
      </c>
      <c r="F2132" s="3" t="s">
        <v>2379</v>
      </c>
      <c r="G2132" s="3" t="s">
        <v>2379</v>
      </c>
      <c r="H2132" s="3" t="s">
        <v>2382</v>
      </c>
      <c r="I2132" s="1">
        <v>1</v>
      </c>
      <c r="J2132">
        <v>1</v>
      </c>
      <c r="K2132" s="3" t="s">
        <v>2379</v>
      </c>
      <c r="P2132" s="3"/>
    </row>
    <row r="2133" spans="1:16" x14ac:dyDescent="0.25">
      <c r="A2133" s="3" t="s">
        <v>230</v>
      </c>
      <c r="B2133">
        <v>29.24</v>
      </c>
      <c r="C2133" t="str" cm="1">
        <f t="array" ref="C2133">_xlfn.IFS(B2133&lt;=18.5,  "Underweight",B2133&lt;=24.9,"Normal weight",B2133&lt;=29.9, "Over weight",B2133&gt;=30,"Obesity")</f>
        <v>Over weight</v>
      </c>
      <c r="D2133">
        <v>4.04</v>
      </c>
      <c r="E2133" t="str" cm="1">
        <f t="array" ref="E2133">_xlfn.IFS(D2133&lt;5.7,"Normal",D2133&lt;=6.4,"Prediabetes",D2133&gt;=6.5,"Diabetes")</f>
        <v>Normal</v>
      </c>
      <c r="F2133" s="3" t="s">
        <v>2379</v>
      </c>
      <c r="G2133" s="3" t="s">
        <v>2381</v>
      </c>
      <c r="H2133" s="3" t="s">
        <v>2379</v>
      </c>
      <c r="I2133" s="1">
        <v>1</v>
      </c>
      <c r="J2133">
        <v>1</v>
      </c>
      <c r="K2133" s="3" t="s">
        <v>2379</v>
      </c>
      <c r="P2133" s="3"/>
    </row>
    <row r="2134" spans="1:16" x14ac:dyDescent="0.25">
      <c r="A2134" s="3" t="s">
        <v>229</v>
      </c>
      <c r="B2134">
        <v>22.515000000000001</v>
      </c>
      <c r="C2134" t="str" cm="1">
        <f t="array" ref="C2134">_xlfn.IFS(B2134&lt;=18.5,  "Underweight",B2134&lt;=24.9,"Normal weight",B2134&lt;=29.9, "Over weight",B2134&gt;=30,"Obesity")</f>
        <v>Normal weight</v>
      </c>
      <c r="D2134">
        <v>5.93</v>
      </c>
      <c r="E2134" t="str" cm="1">
        <f t="array" ref="E2134">_xlfn.IFS(D2134&lt;5.7,"Normal",D2134&lt;=6.4,"Prediabetes",D2134&gt;=6.5,"Diabetes")</f>
        <v>Prediabetes</v>
      </c>
      <c r="F2134" s="3" t="s">
        <v>2379</v>
      </c>
      <c r="G2134" s="3" t="s">
        <v>2379</v>
      </c>
      <c r="H2134" s="3" t="s">
        <v>2382</v>
      </c>
      <c r="I2134" s="1">
        <v>1</v>
      </c>
      <c r="J2134">
        <v>1</v>
      </c>
      <c r="K2134" s="3" t="s">
        <v>2379</v>
      </c>
      <c r="P2134" s="3"/>
    </row>
    <row r="2135" spans="1:16" x14ac:dyDescent="0.25">
      <c r="A2135" s="3" t="s">
        <v>228</v>
      </c>
      <c r="B2135">
        <v>15.65</v>
      </c>
      <c r="C2135" t="str" cm="1">
        <f t="array" ref="C2135">_xlfn.IFS(B2135&lt;=18.5,  "Underweight",B2135&lt;=24.9,"Normal weight",B2135&lt;=29.9, "Over weight",B2135&gt;=30,"Obesity")</f>
        <v>Underweight</v>
      </c>
      <c r="D2135">
        <v>4.2300000000000004</v>
      </c>
      <c r="E2135" t="str" cm="1">
        <f t="array" ref="E2135">_xlfn.IFS(D2135&lt;5.7,"Normal",D2135&lt;=6.4,"Prediabetes",D2135&gt;=6.5,"Diabetes")</f>
        <v>Normal</v>
      </c>
      <c r="F2135" s="3" t="s">
        <v>2379</v>
      </c>
      <c r="G2135" s="3" t="s">
        <v>2379</v>
      </c>
      <c r="H2135" s="3" t="s">
        <v>2379</v>
      </c>
      <c r="I2135" s="1" t="s">
        <v>2380</v>
      </c>
      <c r="J2135">
        <v>0</v>
      </c>
      <c r="K2135" s="3" t="s">
        <v>2379</v>
      </c>
      <c r="P2135" s="3"/>
    </row>
    <row r="2136" spans="1:16" x14ac:dyDescent="0.25">
      <c r="A2136" s="3" t="s">
        <v>227</v>
      </c>
      <c r="B2136">
        <v>27.36</v>
      </c>
      <c r="C2136" t="str" cm="1">
        <f t="array" ref="C2136">_xlfn.IFS(B2136&lt;=18.5,  "Underweight",B2136&lt;=24.9,"Normal weight",B2136&lt;=29.9, "Over weight",B2136&gt;=30,"Obesity")</f>
        <v>Over weight</v>
      </c>
      <c r="D2136">
        <v>5.59</v>
      </c>
      <c r="E2136" t="str" cm="1">
        <f t="array" ref="E2136">_xlfn.IFS(D2136&lt;5.7,"Normal",D2136&lt;=6.4,"Prediabetes",D2136&gt;=6.5,"Diabetes")</f>
        <v>Normal</v>
      </c>
      <c r="F2136" s="3" t="s">
        <v>2382</v>
      </c>
      <c r="G2136" s="3" t="s">
        <v>2379</v>
      </c>
      <c r="H2136" s="3" t="s">
        <v>2379</v>
      </c>
      <c r="I2136" s="1" t="s">
        <v>2380</v>
      </c>
      <c r="J2136">
        <v>0</v>
      </c>
      <c r="K2136" s="3" t="s">
        <v>2379</v>
      </c>
      <c r="P2136" s="3"/>
    </row>
    <row r="2137" spans="1:16" x14ac:dyDescent="0.25">
      <c r="A2137" s="3" t="s">
        <v>226</v>
      </c>
      <c r="B2137">
        <v>22.3</v>
      </c>
      <c r="C2137" t="str" cm="1">
        <f t="array" ref="C2137">_xlfn.IFS(B2137&lt;=18.5,  "Underweight",B2137&lt;=24.9,"Normal weight",B2137&lt;=29.9, "Over weight",B2137&gt;=30,"Obesity")</f>
        <v>Normal weight</v>
      </c>
      <c r="D2137">
        <v>4.8899999999999997</v>
      </c>
      <c r="E2137" t="str" cm="1">
        <f t="array" ref="E2137">_xlfn.IFS(D2137&lt;5.7,"Normal",D2137&lt;=6.4,"Prediabetes",D2137&gt;=6.5,"Diabetes")</f>
        <v>Normal</v>
      </c>
      <c r="F2137" s="3" t="s">
        <v>2382</v>
      </c>
      <c r="G2137" s="3" t="s">
        <v>2379</v>
      </c>
      <c r="H2137" s="3" t="s">
        <v>2379</v>
      </c>
      <c r="I2137" s="1" t="s">
        <v>2380</v>
      </c>
      <c r="J2137">
        <v>0</v>
      </c>
      <c r="K2137" s="3" t="s">
        <v>2379</v>
      </c>
      <c r="P2137" s="3"/>
    </row>
    <row r="2138" spans="1:16" x14ac:dyDescent="0.25">
      <c r="A2138" s="3" t="s">
        <v>225</v>
      </c>
      <c r="B2138">
        <v>26.03</v>
      </c>
      <c r="C2138" t="str" cm="1">
        <f t="array" ref="C2138">_xlfn.IFS(B2138&lt;=18.5,  "Underweight",B2138&lt;=24.9,"Normal weight",B2138&lt;=29.9, "Over weight",B2138&gt;=30,"Obesity")</f>
        <v>Over weight</v>
      </c>
      <c r="D2138">
        <v>5.81</v>
      </c>
      <c r="E2138" t="str" cm="1">
        <f t="array" ref="E2138">_xlfn.IFS(D2138&lt;5.7,"Normal",D2138&lt;=6.4,"Prediabetes",D2138&gt;=6.5,"Diabetes")</f>
        <v>Prediabetes</v>
      </c>
      <c r="F2138" s="3" t="s">
        <v>2382</v>
      </c>
      <c r="G2138" s="3" t="s">
        <v>2379</v>
      </c>
      <c r="H2138" s="3" t="s">
        <v>2379</v>
      </c>
      <c r="I2138" s="1" t="s">
        <v>2380</v>
      </c>
      <c r="J2138">
        <v>0</v>
      </c>
      <c r="K2138" s="3" t="s">
        <v>2379</v>
      </c>
      <c r="P2138" s="3"/>
    </row>
    <row r="2139" spans="1:16" x14ac:dyDescent="0.25">
      <c r="A2139" s="3" t="s">
        <v>224</v>
      </c>
      <c r="B2139">
        <v>27.74</v>
      </c>
      <c r="C2139" t="str" cm="1">
        <f t="array" ref="C2139">_xlfn.IFS(B2139&lt;=18.5,  "Underweight",B2139&lt;=24.9,"Normal weight",B2139&lt;=29.9, "Over weight",B2139&gt;=30,"Obesity")</f>
        <v>Over weight</v>
      </c>
      <c r="D2139">
        <v>4.29</v>
      </c>
      <c r="E2139" t="str" cm="1">
        <f t="array" ref="E2139">_xlfn.IFS(D2139&lt;5.7,"Normal",D2139&lt;=6.4,"Prediabetes",D2139&gt;=6.5,"Diabetes")</f>
        <v>Normal</v>
      </c>
      <c r="F2139" s="3" t="s">
        <v>2379</v>
      </c>
      <c r="G2139" s="3" t="s">
        <v>2381</v>
      </c>
      <c r="H2139" s="3" t="s">
        <v>2379</v>
      </c>
      <c r="I2139" s="1">
        <v>1</v>
      </c>
      <c r="J2139">
        <v>1</v>
      </c>
      <c r="K2139" s="3" t="s">
        <v>2379</v>
      </c>
      <c r="P2139" s="3"/>
    </row>
    <row r="2140" spans="1:16" x14ac:dyDescent="0.25">
      <c r="A2140" s="3" t="s">
        <v>223</v>
      </c>
      <c r="B2140">
        <v>32.11</v>
      </c>
      <c r="C2140" t="str" cm="1">
        <f t="array" ref="C2140">_xlfn.IFS(B2140&lt;=18.5,  "Underweight",B2140&lt;=24.9,"Normal weight",B2140&lt;=29.9, "Over weight",B2140&gt;=30,"Obesity")</f>
        <v>Obesity</v>
      </c>
      <c r="D2140">
        <v>4.03</v>
      </c>
      <c r="E2140" t="str" cm="1">
        <f t="array" ref="E2140">_xlfn.IFS(D2140&lt;5.7,"Normal",D2140&lt;=6.4,"Prediabetes",D2140&gt;=6.5,"Diabetes")</f>
        <v>Normal</v>
      </c>
      <c r="F2140" s="3" t="s">
        <v>2382</v>
      </c>
      <c r="G2140" s="3" t="s">
        <v>2381</v>
      </c>
      <c r="H2140" s="3" t="s">
        <v>2379</v>
      </c>
      <c r="I2140" s="1">
        <v>2</v>
      </c>
      <c r="J2140">
        <v>2</v>
      </c>
      <c r="K2140" s="3" t="s">
        <v>2379</v>
      </c>
      <c r="P2140" s="3"/>
    </row>
    <row r="2141" spans="1:16" x14ac:dyDescent="0.25">
      <c r="A2141" s="3" t="s">
        <v>222</v>
      </c>
      <c r="B2141">
        <v>25.175000000000001</v>
      </c>
      <c r="C2141" t="str" cm="1">
        <f t="array" ref="C2141">_xlfn.IFS(B2141&lt;=18.5,  "Underweight",B2141&lt;=24.9,"Normal weight",B2141&lt;=29.9, "Over weight",B2141&gt;=30,"Obesity")</f>
        <v>Over weight</v>
      </c>
      <c r="D2141">
        <v>6.29</v>
      </c>
      <c r="E2141" t="str" cm="1">
        <f t="array" ref="E2141">_xlfn.IFS(D2141&lt;5.7,"Normal",D2141&lt;=6.4,"Prediabetes",D2141&gt;=6.5,"Diabetes")</f>
        <v>Prediabetes</v>
      </c>
      <c r="F2141" s="3" t="s">
        <v>2382</v>
      </c>
      <c r="G2141" s="3" t="s">
        <v>2381</v>
      </c>
      <c r="H2141" s="3" t="s">
        <v>2379</v>
      </c>
      <c r="I2141" s="1">
        <v>2</v>
      </c>
      <c r="J2141">
        <v>2</v>
      </c>
      <c r="K2141" s="3" t="s">
        <v>2379</v>
      </c>
      <c r="P2141" s="3"/>
    </row>
    <row r="2142" spans="1:16" x14ac:dyDescent="0.25">
      <c r="A2142" s="3" t="s">
        <v>221</v>
      </c>
      <c r="B2142">
        <v>39.49</v>
      </c>
      <c r="C2142" t="str" cm="1">
        <f t="array" ref="C2142">_xlfn.IFS(B2142&lt;=18.5,  "Underweight",B2142&lt;=24.9,"Normal weight",B2142&lt;=29.9, "Over weight",B2142&gt;=30,"Obesity")</f>
        <v>Obesity</v>
      </c>
      <c r="D2142">
        <v>4.4800000000000004</v>
      </c>
      <c r="E2142" t="str" cm="1">
        <f t="array" ref="E2142">_xlfn.IFS(D2142&lt;5.7,"Normal",D2142&lt;=6.4,"Prediabetes",D2142&gt;=6.5,"Diabetes")</f>
        <v>Normal</v>
      </c>
      <c r="F2142" s="3" t="s">
        <v>2382</v>
      </c>
      <c r="G2142" s="3" t="s">
        <v>2379</v>
      </c>
      <c r="H2142" s="3" t="s">
        <v>2379</v>
      </c>
      <c r="I2142" s="1" t="s">
        <v>2380</v>
      </c>
      <c r="J2142">
        <v>0</v>
      </c>
      <c r="K2142" s="3" t="s">
        <v>2379</v>
      </c>
      <c r="P2142" s="3"/>
    </row>
    <row r="2143" spans="1:16" x14ac:dyDescent="0.25">
      <c r="A2143" s="3" t="s">
        <v>220</v>
      </c>
      <c r="B2143">
        <v>34.869999999999997</v>
      </c>
      <c r="C2143" t="str" cm="1">
        <f t="array" ref="C2143">_xlfn.IFS(B2143&lt;=18.5,  "Underweight",B2143&lt;=24.9,"Normal weight",B2143&lt;=29.9, "Over weight",B2143&gt;=30,"Obesity")</f>
        <v>Obesity</v>
      </c>
      <c r="D2143">
        <v>5.51</v>
      </c>
      <c r="E2143" t="str" cm="1">
        <f t="array" ref="E2143">_xlfn.IFS(D2143&lt;5.7,"Normal",D2143&lt;=6.4,"Prediabetes",D2143&gt;=6.5,"Diabetes")</f>
        <v>Normal</v>
      </c>
      <c r="F2143" s="3" t="s">
        <v>2382</v>
      </c>
      <c r="G2143" s="3" t="s">
        <v>2379</v>
      </c>
      <c r="H2143" s="3" t="s">
        <v>2379</v>
      </c>
      <c r="I2143" s="1" t="s">
        <v>2380</v>
      </c>
      <c r="J2143">
        <v>0</v>
      </c>
      <c r="K2143" s="3" t="s">
        <v>2379</v>
      </c>
      <c r="P2143" s="3"/>
    </row>
    <row r="2144" spans="1:16" x14ac:dyDescent="0.25">
      <c r="A2144" s="3" t="s">
        <v>219</v>
      </c>
      <c r="B2144">
        <v>34.6</v>
      </c>
      <c r="C2144" t="str" cm="1">
        <f t="array" ref="C2144">_xlfn.IFS(B2144&lt;=18.5,  "Underweight",B2144&lt;=24.9,"Normal weight",B2144&lt;=29.9, "Over weight",B2144&gt;=30,"Obesity")</f>
        <v>Obesity</v>
      </c>
      <c r="D2144">
        <v>4.5</v>
      </c>
      <c r="E2144" t="str" cm="1">
        <f t="array" ref="E2144">_xlfn.IFS(D2144&lt;5.7,"Normal",D2144&lt;=6.4,"Prediabetes",D2144&gt;=6.5,"Diabetes")</f>
        <v>Normal</v>
      </c>
      <c r="F2144" s="3" t="s">
        <v>2382</v>
      </c>
      <c r="G2144" s="3" t="s">
        <v>2379</v>
      </c>
      <c r="H2144" s="3" t="s">
        <v>2379</v>
      </c>
      <c r="I2144" s="1" t="s">
        <v>2380</v>
      </c>
      <c r="J2144">
        <v>0</v>
      </c>
      <c r="K2144" s="3" t="s">
        <v>2379</v>
      </c>
      <c r="P2144" s="3"/>
    </row>
    <row r="2145" spans="1:16" x14ac:dyDescent="0.25">
      <c r="A2145" s="3" t="s">
        <v>218</v>
      </c>
      <c r="B2145">
        <v>25.8</v>
      </c>
      <c r="C2145" t="str" cm="1">
        <f t="array" ref="C2145">_xlfn.IFS(B2145&lt;=18.5,  "Underweight",B2145&lt;=24.9,"Normal weight",B2145&lt;=29.9, "Over weight",B2145&gt;=30,"Obesity")</f>
        <v>Over weight</v>
      </c>
      <c r="D2145">
        <v>6.29</v>
      </c>
      <c r="E2145" t="str" cm="1">
        <f t="array" ref="E2145">_xlfn.IFS(D2145&lt;5.7,"Normal",D2145&lt;=6.4,"Prediabetes",D2145&gt;=6.5,"Diabetes")</f>
        <v>Prediabetes</v>
      </c>
      <c r="F2145" s="3" t="s">
        <v>2382</v>
      </c>
      <c r="G2145" s="3" t="s">
        <v>2379</v>
      </c>
      <c r="H2145" s="3" t="s">
        <v>2379</v>
      </c>
      <c r="I2145" s="1" t="s">
        <v>2380</v>
      </c>
      <c r="J2145">
        <v>0</v>
      </c>
      <c r="K2145" s="3" t="s">
        <v>2379</v>
      </c>
      <c r="P2145" s="3"/>
    </row>
    <row r="2146" spans="1:16" x14ac:dyDescent="0.25">
      <c r="A2146" s="3" t="s">
        <v>217</v>
      </c>
      <c r="B2146">
        <v>35.86</v>
      </c>
      <c r="C2146" t="str" cm="1">
        <f t="array" ref="C2146">_xlfn.IFS(B2146&lt;=18.5,  "Underweight",B2146&lt;=24.9,"Normal weight",B2146&lt;=29.9, "Over weight",B2146&gt;=30,"Obesity")</f>
        <v>Obesity</v>
      </c>
      <c r="D2146">
        <v>4.33</v>
      </c>
      <c r="E2146" t="str" cm="1">
        <f t="array" ref="E2146">_xlfn.IFS(D2146&lt;5.7,"Normal",D2146&lt;=6.4,"Prediabetes",D2146&gt;=6.5,"Diabetes")</f>
        <v>Normal</v>
      </c>
      <c r="F2146" s="3" t="s">
        <v>2379</v>
      </c>
      <c r="G2146" s="3" t="s">
        <v>2379</v>
      </c>
      <c r="H2146" s="3" t="s">
        <v>2379</v>
      </c>
      <c r="I2146" s="1">
        <v>1</v>
      </c>
      <c r="J2146">
        <v>1</v>
      </c>
      <c r="K2146" s="3" t="s">
        <v>2379</v>
      </c>
      <c r="P2146" s="3"/>
    </row>
    <row r="2147" spans="1:16" x14ac:dyDescent="0.25">
      <c r="A2147" s="3" t="s">
        <v>216</v>
      </c>
      <c r="B2147">
        <v>40.47</v>
      </c>
      <c r="C2147" t="str" cm="1">
        <f t="array" ref="C2147">_xlfn.IFS(B2147&lt;=18.5,  "Underweight",B2147&lt;=24.9,"Normal weight",B2147&lt;=29.9, "Over weight",B2147&gt;=30,"Obesity")</f>
        <v>Obesity</v>
      </c>
      <c r="D2147">
        <v>11.15</v>
      </c>
      <c r="E2147" t="str" cm="1">
        <f t="array" ref="E2147">_xlfn.IFS(D2147&lt;5.7,"Normal",D2147&lt;=6.4,"Prediabetes",D2147&gt;=6.5,"Diabetes")</f>
        <v>Diabetes</v>
      </c>
      <c r="F2147" s="3" t="s">
        <v>2379</v>
      </c>
      <c r="G2147" s="3" t="s">
        <v>2379</v>
      </c>
      <c r="H2147" s="3" t="s">
        <v>2379</v>
      </c>
      <c r="I2147" s="1" t="s">
        <v>2380</v>
      </c>
      <c r="J2147">
        <v>0</v>
      </c>
      <c r="K2147" s="3" t="s">
        <v>2379</v>
      </c>
      <c r="P2147" s="3"/>
    </row>
    <row r="2148" spans="1:16" x14ac:dyDescent="0.25">
      <c r="A2148" s="3" t="s">
        <v>215</v>
      </c>
      <c r="B2148">
        <v>32.01</v>
      </c>
      <c r="C2148" t="str" cm="1">
        <f t="array" ref="C2148">_xlfn.IFS(B2148&lt;=18.5,  "Underweight",B2148&lt;=24.9,"Normal weight",B2148&lt;=29.9, "Over weight",B2148&gt;=30,"Obesity")</f>
        <v>Obesity</v>
      </c>
      <c r="D2148">
        <v>6.45</v>
      </c>
      <c r="E2148" t="e" cm="1">
        <f t="array" ref="E2148">_xlfn.IFS(D2148&lt;5.7,"Normal",D2148&lt;=6.4,"Prediabetes",D2148&gt;=6.5,"Diabetes")</f>
        <v>#N/A</v>
      </c>
      <c r="F2148" s="3" t="s">
        <v>2379</v>
      </c>
      <c r="G2148" s="3" t="s">
        <v>2379</v>
      </c>
      <c r="H2148" s="3" t="s">
        <v>2379</v>
      </c>
      <c r="I2148" s="1">
        <v>1</v>
      </c>
      <c r="J2148">
        <v>1</v>
      </c>
      <c r="K2148" s="3" t="s">
        <v>2379</v>
      </c>
      <c r="P2148" s="3"/>
    </row>
    <row r="2149" spans="1:16" x14ac:dyDescent="0.25">
      <c r="A2149" s="3" t="s">
        <v>214</v>
      </c>
      <c r="B2149">
        <v>33</v>
      </c>
      <c r="C2149" t="str" cm="1">
        <f t="array" ref="C2149">_xlfn.IFS(B2149&lt;=18.5,  "Underweight",B2149&lt;=24.9,"Normal weight",B2149&lt;=29.9, "Over weight",B2149&gt;=30,"Obesity")</f>
        <v>Obesity</v>
      </c>
      <c r="D2149">
        <v>9.27</v>
      </c>
      <c r="E2149" t="str" cm="1">
        <f t="array" ref="E2149">_xlfn.IFS(D2149&lt;5.7,"Normal",D2149&lt;=6.4,"Prediabetes",D2149&gt;=6.5,"Diabetes")</f>
        <v>Diabetes</v>
      </c>
      <c r="F2149" s="3" t="s">
        <v>2379</v>
      </c>
      <c r="G2149" s="3" t="s">
        <v>2379</v>
      </c>
      <c r="H2149" s="3" t="s">
        <v>2379</v>
      </c>
      <c r="I2149" s="1" t="s">
        <v>2380</v>
      </c>
      <c r="J2149">
        <v>0</v>
      </c>
      <c r="K2149" s="3" t="s">
        <v>2379</v>
      </c>
      <c r="P2149" s="3"/>
    </row>
    <row r="2150" spans="1:16" x14ac:dyDescent="0.25">
      <c r="A2150" s="3" t="s">
        <v>213</v>
      </c>
      <c r="B2150">
        <v>29.3</v>
      </c>
      <c r="C2150" t="str" cm="1">
        <f t="array" ref="C2150">_xlfn.IFS(B2150&lt;=18.5,  "Underweight",B2150&lt;=24.9,"Normal weight",B2150&lt;=29.9, "Over weight",B2150&gt;=30,"Obesity")</f>
        <v>Over weight</v>
      </c>
      <c r="D2150">
        <v>6.15</v>
      </c>
      <c r="E2150" t="str" cm="1">
        <f t="array" ref="E2150">_xlfn.IFS(D2150&lt;5.7,"Normal",D2150&lt;=6.4,"Prediabetes",D2150&gt;=6.5,"Diabetes")</f>
        <v>Prediabetes</v>
      </c>
      <c r="F2150" s="3" t="s">
        <v>2379</v>
      </c>
      <c r="G2150" s="3" t="s">
        <v>2379</v>
      </c>
      <c r="H2150" s="3" t="s">
        <v>2379</v>
      </c>
      <c r="I2150" s="1">
        <v>1</v>
      </c>
      <c r="J2150">
        <v>1</v>
      </c>
      <c r="K2150" s="3" t="s">
        <v>2379</v>
      </c>
      <c r="P2150" s="3"/>
    </row>
    <row r="2151" spans="1:16" x14ac:dyDescent="0.25">
      <c r="A2151" s="3" t="s">
        <v>212</v>
      </c>
      <c r="B2151">
        <v>25.8</v>
      </c>
      <c r="C2151" t="str" cm="1">
        <f t="array" ref="C2151">_xlfn.IFS(B2151&lt;=18.5,  "Underweight",B2151&lt;=24.9,"Normal weight",B2151&lt;=29.9, "Over weight",B2151&gt;=30,"Obesity")</f>
        <v>Over weight</v>
      </c>
      <c r="D2151">
        <v>4.13</v>
      </c>
      <c r="E2151" t="str" cm="1">
        <f t="array" ref="E2151">_xlfn.IFS(D2151&lt;5.7,"Normal",D2151&lt;=6.4,"Prediabetes",D2151&gt;=6.5,"Diabetes")</f>
        <v>Normal</v>
      </c>
      <c r="F2151" s="3" t="s">
        <v>2379</v>
      </c>
      <c r="G2151" s="3" t="s">
        <v>2379</v>
      </c>
      <c r="H2151" s="3" t="s">
        <v>2379</v>
      </c>
      <c r="I2151" s="1">
        <v>1</v>
      </c>
      <c r="J2151">
        <v>1</v>
      </c>
      <c r="K2151" s="3" t="s">
        <v>2379</v>
      </c>
      <c r="P2151" s="3"/>
    </row>
    <row r="2152" spans="1:16" x14ac:dyDescent="0.25">
      <c r="A2152" s="3" t="s">
        <v>211</v>
      </c>
      <c r="B2152">
        <v>23.4</v>
      </c>
      <c r="C2152" t="str" cm="1">
        <f t="array" ref="C2152">_xlfn.IFS(B2152&lt;=18.5,  "Underweight",B2152&lt;=24.9,"Normal weight",B2152&lt;=29.9, "Over weight",B2152&gt;=30,"Obesity")</f>
        <v>Normal weight</v>
      </c>
      <c r="D2152">
        <v>4.24</v>
      </c>
      <c r="E2152" t="str" cm="1">
        <f t="array" ref="E2152">_xlfn.IFS(D2152&lt;5.7,"Normal",D2152&lt;=6.4,"Prediabetes",D2152&gt;=6.5,"Diabetes")</f>
        <v>Normal</v>
      </c>
      <c r="F2152" s="3" t="s">
        <v>2379</v>
      </c>
      <c r="G2152" s="3" t="s">
        <v>2379</v>
      </c>
      <c r="H2152" s="3" t="s">
        <v>2379</v>
      </c>
      <c r="I2152" s="1">
        <v>1</v>
      </c>
      <c r="J2152">
        <v>1</v>
      </c>
      <c r="K2152" s="3" t="s">
        <v>2379</v>
      </c>
      <c r="P2152" s="3"/>
    </row>
    <row r="2153" spans="1:16" x14ac:dyDescent="0.25">
      <c r="A2153" s="3" t="s">
        <v>210</v>
      </c>
      <c r="B2153">
        <v>27.93</v>
      </c>
      <c r="C2153" t="str" cm="1">
        <f t="array" ref="C2153">_xlfn.IFS(B2153&lt;=18.5,  "Underweight",B2153&lt;=24.9,"Normal weight",B2153&lt;=29.9, "Over weight",B2153&gt;=30,"Obesity")</f>
        <v>Over weight</v>
      </c>
      <c r="D2153">
        <v>9.8800000000000008</v>
      </c>
      <c r="E2153" t="str" cm="1">
        <f t="array" ref="E2153">_xlfn.IFS(D2153&lt;5.7,"Normal",D2153&lt;=6.4,"Prediabetes",D2153&gt;=6.5,"Diabetes")</f>
        <v>Diabetes</v>
      </c>
      <c r="F2153" s="3" t="s">
        <v>2379</v>
      </c>
      <c r="G2153" s="3" t="s">
        <v>2379</v>
      </c>
      <c r="H2153" s="3" t="s">
        <v>2379</v>
      </c>
      <c r="I2153" s="1" t="s">
        <v>2380</v>
      </c>
      <c r="J2153">
        <v>0</v>
      </c>
      <c r="K2153" s="3" t="s">
        <v>2379</v>
      </c>
      <c r="P2153" s="3"/>
    </row>
    <row r="2154" spans="1:16" x14ac:dyDescent="0.25">
      <c r="A2154" s="3" t="s">
        <v>209</v>
      </c>
      <c r="B2154">
        <v>22</v>
      </c>
      <c r="C2154" t="str" cm="1">
        <f t="array" ref="C2154">_xlfn.IFS(B2154&lt;=18.5,  "Underweight",B2154&lt;=24.9,"Normal weight",B2154&lt;=29.9, "Over weight",B2154&gt;=30,"Obesity")</f>
        <v>Normal weight</v>
      </c>
      <c r="D2154">
        <v>9.5</v>
      </c>
      <c r="E2154" t="str" cm="1">
        <f t="array" ref="E2154">_xlfn.IFS(D2154&lt;5.7,"Normal",D2154&lt;=6.4,"Prediabetes",D2154&gt;=6.5,"Diabetes")</f>
        <v>Diabetes</v>
      </c>
      <c r="F2154" s="3" t="s">
        <v>2379</v>
      </c>
      <c r="G2154" s="3" t="s">
        <v>2379</v>
      </c>
      <c r="H2154" s="3" t="s">
        <v>2379</v>
      </c>
      <c r="I2154" s="1" t="s">
        <v>2380</v>
      </c>
      <c r="J2154">
        <v>0</v>
      </c>
      <c r="K2154" s="3" t="s">
        <v>2379</v>
      </c>
      <c r="P2154" s="3"/>
    </row>
    <row r="2155" spans="1:16" x14ac:dyDescent="0.25">
      <c r="A2155" s="3" t="s">
        <v>208</v>
      </c>
      <c r="B2155">
        <v>36.86</v>
      </c>
      <c r="C2155" t="str" cm="1">
        <f t="array" ref="C2155">_xlfn.IFS(B2155&lt;=18.5,  "Underweight",B2155&lt;=24.9,"Normal weight",B2155&lt;=29.9, "Over weight",B2155&gt;=30,"Obesity")</f>
        <v>Obesity</v>
      </c>
      <c r="D2155">
        <v>4.97</v>
      </c>
      <c r="E2155" t="str" cm="1">
        <f t="array" ref="E2155">_xlfn.IFS(D2155&lt;5.7,"Normal",D2155&lt;=6.4,"Prediabetes",D2155&gt;=6.5,"Diabetes")</f>
        <v>Normal</v>
      </c>
      <c r="F2155" s="3" t="s">
        <v>2382</v>
      </c>
      <c r="G2155" s="3" t="s">
        <v>2379</v>
      </c>
      <c r="H2155" s="3" t="s">
        <v>2379</v>
      </c>
      <c r="I2155" s="1" t="s">
        <v>2380</v>
      </c>
      <c r="J2155">
        <v>0</v>
      </c>
      <c r="K2155" s="3" t="s">
        <v>2379</v>
      </c>
      <c r="P2155" s="3"/>
    </row>
    <row r="2156" spans="1:16" x14ac:dyDescent="0.25">
      <c r="A2156" s="3" t="s">
        <v>207</v>
      </c>
      <c r="B2156">
        <v>31.254999999999999</v>
      </c>
      <c r="C2156" t="str" cm="1">
        <f t="array" ref="C2156">_xlfn.IFS(B2156&lt;=18.5,  "Underweight",B2156&lt;=24.9,"Normal weight",B2156&lt;=29.9, "Over weight",B2156&gt;=30,"Obesity")</f>
        <v>Obesity</v>
      </c>
      <c r="D2156">
        <v>5.49</v>
      </c>
      <c r="E2156" t="str" cm="1">
        <f t="array" ref="E2156">_xlfn.IFS(D2156&lt;5.7,"Normal",D2156&lt;=6.4,"Prediabetes",D2156&gt;=6.5,"Diabetes")</f>
        <v>Normal</v>
      </c>
      <c r="F2156" s="3" t="s">
        <v>2382</v>
      </c>
      <c r="G2156" s="3" t="s">
        <v>2379</v>
      </c>
      <c r="H2156" s="3" t="s">
        <v>2379</v>
      </c>
      <c r="I2156" s="1" t="s">
        <v>2380</v>
      </c>
      <c r="J2156">
        <v>0</v>
      </c>
      <c r="K2156" s="3" t="s">
        <v>2379</v>
      </c>
      <c r="P2156" s="3"/>
    </row>
    <row r="2157" spans="1:16" x14ac:dyDescent="0.25">
      <c r="A2157" s="3" t="s">
        <v>206</v>
      </c>
      <c r="B2157">
        <v>23.06</v>
      </c>
      <c r="C2157" t="str" cm="1">
        <f t="array" ref="C2157">_xlfn.IFS(B2157&lt;=18.5,  "Underweight",B2157&lt;=24.9,"Normal weight",B2157&lt;=29.9, "Over weight",B2157&gt;=30,"Obesity")</f>
        <v>Normal weight</v>
      </c>
      <c r="D2157">
        <v>4.47</v>
      </c>
      <c r="E2157" t="str" cm="1">
        <f t="array" ref="E2157">_xlfn.IFS(D2157&lt;5.7,"Normal",D2157&lt;=6.4,"Prediabetes",D2157&gt;=6.5,"Diabetes")</f>
        <v>Normal</v>
      </c>
      <c r="F2157" s="3" t="s">
        <v>2379</v>
      </c>
      <c r="G2157" s="3" t="s">
        <v>2379</v>
      </c>
      <c r="H2157" s="3" t="s">
        <v>2379</v>
      </c>
      <c r="I2157" s="1" t="s">
        <v>2380</v>
      </c>
      <c r="J2157">
        <v>0</v>
      </c>
      <c r="K2157" s="3" t="s">
        <v>2379</v>
      </c>
      <c r="P2157" s="3"/>
    </row>
    <row r="2158" spans="1:16" x14ac:dyDescent="0.25">
      <c r="A2158" s="3" t="s">
        <v>205</v>
      </c>
      <c r="B2158">
        <v>28.975000000000001</v>
      </c>
      <c r="C2158" t="str" cm="1">
        <f t="array" ref="C2158">_xlfn.IFS(B2158&lt;=18.5,  "Underweight",B2158&lt;=24.9,"Normal weight",B2158&lt;=29.9, "Over weight",B2158&gt;=30,"Obesity")</f>
        <v>Over weight</v>
      </c>
      <c r="D2158">
        <v>4.34</v>
      </c>
      <c r="E2158" t="str" cm="1">
        <f t="array" ref="E2158">_xlfn.IFS(D2158&lt;5.7,"Normal",D2158&lt;=6.4,"Prediabetes",D2158&gt;=6.5,"Diabetes")</f>
        <v>Normal</v>
      </c>
      <c r="F2158" s="3" t="s">
        <v>2382</v>
      </c>
      <c r="G2158" s="3" t="s">
        <v>2379</v>
      </c>
      <c r="H2158" s="3" t="s">
        <v>2379</v>
      </c>
      <c r="I2158" s="1" t="s">
        <v>2380</v>
      </c>
      <c r="J2158">
        <v>0</v>
      </c>
      <c r="K2158" s="3" t="s">
        <v>2379</v>
      </c>
      <c r="P2158" s="3"/>
    </row>
    <row r="2159" spans="1:16" x14ac:dyDescent="0.25">
      <c r="A2159" s="3" t="s">
        <v>204</v>
      </c>
      <c r="B2159">
        <v>33.299999999999997</v>
      </c>
      <c r="C2159" t="str" cm="1">
        <f t="array" ref="C2159">_xlfn.IFS(B2159&lt;=18.5,  "Underweight",B2159&lt;=24.9,"Normal weight",B2159&lt;=29.9, "Over weight",B2159&gt;=30,"Obesity")</f>
        <v>Obesity</v>
      </c>
      <c r="D2159">
        <v>9.49</v>
      </c>
      <c r="E2159" t="str" cm="1">
        <f t="array" ref="E2159">_xlfn.IFS(D2159&lt;5.7,"Normal",D2159&lt;=6.4,"Prediabetes",D2159&gt;=6.5,"Diabetes")</f>
        <v>Diabetes</v>
      </c>
      <c r="F2159" s="3" t="s">
        <v>2379</v>
      </c>
      <c r="G2159" s="3" t="s">
        <v>2379</v>
      </c>
      <c r="H2159" s="3" t="s">
        <v>2379</v>
      </c>
      <c r="I2159" s="1" t="s">
        <v>2380</v>
      </c>
      <c r="J2159">
        <v>0</v>
      </c>
      <c r="K2159" s="3" t="s">
        <v>2379</v>
      </c>
      <c r="P2159" s="3"/>
    </row>
    <row r="2160" spans="1:16" x14ac:dyDescent="0.25">
      <c r="A2160" s="3" t="s">
        <v>203</v>
      </c>
      <c r="B2160">
        <v>33</v>
      </c>
      <c r="C2160" t="str" cm="1">
        <f t="array" ref="C2160">_xlfn.IFS(B2160&lt;=18.5,  "Underweight",B2160&lt;=24.9,"Normal weight",B2160&lt;=29.9, "Over weight",B2160&gt;=30,"Obesity")</f>
        <v>Obesity</v>
      </c>
      <c r="D2160">
        <v>10.16</v>
      </c>
      <c r="E2160" t="str" cm="1">
        <f t="array" ref="E2160">_xlfn.IFS(D2160&lt;5.7,"Normal",D2160&lt;=6.4,"Prediabetes",D2160&gt;=6.5,"Diabetes")</f>
        <v>Diabetes</v>
      </c>
      <c r="F2160" s="3" t="s">
        <v>2379</v>
      </c>
      <c r="G2160" s="3" t="s">
        <v>2379</v>
      </c>
      <c r="H2160" s="3" t="s">
        <v>2379</v>
      </c>
      <c r="I2160" s="1" t="s">
        <v>2380</v>
      </c>
      <c r="J2160">
        <v>0</v>
      </c>
      <c r="K2160" s="3" t="s">
        <v>2379</v>
      </c>
      <c r="P2160" s="3"/>
    </row>
    <row r="2161" spans="1:16" x14ac:dyDescent="0.25">
      <c r="A2161" s="3" t="s">
        <v>202</v>
      </c>
      <c r="B2161">
        <v>31.46</v>
      </c>
      <c r="C2161" t="str" cm="1">
        <f t="array" ref="C2161">_xlfn.IFS(B2161&lt;=18.5,  "Underweight",B2161&lt;=24.9,"Normal weight",B2161&lt;=29.9, "Over weight",B2161&gt;=30,"Obesity")</f>
        <v>Obesity</v>
      </c>
      <c r="D2161">
        <v>11.19</v>
      </c>
      <c r="E2161" t="str" cm="1">
        <f t="array" ref="E2161">_xlfn.IFS(D2161&lt;5.7,"Normal",D2161&lt;=6.4,"Prediabetes",D2161&gt;=6.5,"Diabetes")</f>
        <v>Diabetes</v>
      </c>
      <c r="F2161" s="3" t="s">
        <v>2379</v>
      </c>
      <c r="G2161" s="3" t="s">
        <v>2379</v>
      </c>
      <c r="H2161" s="3" t="s">
        <v>2379</v>
      </c>
      <c r="I2161" s="1" t="s">
        <v>2380</v>
      </c>
      <c r="J2161">
        <v>0</v>
      </c>
      <c r="K2161" s="3" t="s">
        <v>2379</v>
      </c>
      <c r="P2161" s="3"/>
    </row>
    <row r="2162" spans="1:16" x14ac:dyDescent="0.25">
      <c r="A2162" s="3" t="s">
        <v>201</v>
      </c>
      <c r="B2162">
        <v>29.6</v>
      </c>
      <c r="C2162" t="str" cm="1">
        <f t="array" ref="C2162">_xlfn.IFS(B2162&lt;=18.5,  "Underweight",B2162&lt;=24.9,"Normal weight",B2162&lt;=29.9, "Over weight",B2162&gt;=30,"Obesity")</f>
        <v>Over weight</v>
      </c>
      <c r="D2162">
        <v>11.03</v>
      </c>
      <c r="E2162" t="str" cm="1">
        <f t="array" ref="E2162">_xlfn.IFS(D2162&lt;5.7,"Normal",D2162&lt;=6.4,"Prediabetes",D2162&gt;=6.5,"Diabetes")</f>
        <v>Diabetes</v>
      </c>
      <c r="F2162" s="3" t="s">
        <v>2379</v>
      </c>
      <c r="G2162" s="3" t="s">
        <v>2379</v>
      </c>
      <c r="H2162" s="3" t="s">
        <v>2379</v>
      </c>
      <c r="I2162" s="1" t="s">
        <v>2380</v>
      </c>
      <c r="J2162">
        <v>0</v>
      </c>
      <c r="K2162" s="3" t="s">
        <v>2379</v>
      </c>
      <c r="P2162" s="3"/>
    </row>
    <row r="2163" spans="1:16" x14ac:dyDescent="0.25">
      <c r="A2163" s="3" t="s">
        <v>200</v>
      </c>
      <c r="B2163">
        <v>22.05</v>
      </c>
      <c r="C2163" t="str" cm="1">
        <f t="array" ref="C2163">_xlfn.IFS(B2163&lt;=18.5,  "Underweight",B2163&lt;=24.9,"Normal weight",B2163&lt;=29.9, "Over weight",B2163&gt;=30,"Obesity")</f>
        <v>Normal weight</v>
      </c>
      <c r="D2163">
        <v>4.43</v>
      </c>
      <c r="E2163" t="str" cm="1">
        <f t="array" ref="E2163">_xlfn.IFS(D2163&lt;5.7,"Normal",D2163&lt;=6.4,"Prediabetes",D2163&gt;=6.5,"Diabetes")</f>
        <v>Normal</v>
      </c>
      <c r="F2163" s="3" t="s">
        <v>2382</v>
      </c>
      <c r="G2163" s="3" t="s">
        <v>2379</v>
      </c>
      <c r="H2163" s="3" t="s">
        <v>2379</v>
      </c>
      <c r="I2163" s="1" t="s">
        <v>2380</v>
      </c>
      <c r="J2163">
        <v>0</v>
      </c>
      <c r="K2163" s="3" t="s">
        <v>2379</v>
      </c>
      <c r="P2163" s="3"/>
    </row>
    <row r="2164" spans="1:16" x14ac:dyDescent="0.25">
      <c r="A2164" s="3" t="s">
        <v>198</v>
      </c>
      <c r="B2164">
        <v>27.06</v>
      </c>
      <c r="C2164" t="str" cm="1">
        <f t="array" ref="C2164">_xlfn.IFS(B2164&lt;=18.5,  "Underweight",B2164&lt;=24.9,"Normal weight",B2164&lt;=29.9, "Over weight",B2164&gt;=30,"Obesity")</f>
        <v>Over weight</v>
      </c>
      <c r="D2164">
        <v>6.14</v>
      </c>
      <c r="E2164" t="str" cm="1">
        <f t="array" ref="E2164">_xlfn.IFS(D2164&lt;5.7,"Normal",D2164&lt;=6.4,"Prediabetes",D2164&gt;=6.5,"Diabetes")</f>
        <v>Prediabetes</v>
      </c>
      <c r="F2164" s="3" t="s">
        <v>2379</v>
      </c>
      <c r="G2164" s="3" t="s">
        <v>2381</v>
      </c>
      <c r="H2164" s="3" t="s">
        <v>2379</v>
      </c>
      <c r="I2164" s="1">
        <v>1</v>
      </c>
      <c r="J2164">
        <v>1</v>
      </c>
      <c r="K2164" s="3" t="s">
        <v>2379</v>
      </c>
      <c r="P2164" s="3"/>
    </row>
    <row r="2165" spans="1:16" x14ac:dyDescent="0.25">
      <c r="A2165" s="3" t="s">
        <v>197</v>
      </c>
      <c r="B2165">
        <v>20.49</v>
      </c>
      <c r="C2165" t="str" cm="1">
        <f t="array" ref="C2165">_xlfn.IFS(B2165&lt;=18.5,  "Underweight",B2165&lt;=24.9,"Normal weight",B2165&lt;=29.9, "Over weight",B2165&gt;=30,"Obesity")</f>
        <v>Normal weight</v>
      </c>
      <c r="D2165">
        <v>4.87</v>
      </c>
      <c r="E2165" t="str" cm="1">
        <f t="array" ref="E2165">_xlfn.IFS(D2165&lt;5.7,"Normal",D2165&lt;=6.4,"Prediabetes",D2165&gt;=6.5,"Diabetes")</f>
        <v>Normal</v>
      </c>
      <c r="F2165" s="3" t="s">
        <v>2379</v>
      </c>
      <c r="G2165" s="3" t="s">
        <v>2379</v>
      </c>
      <c r="H2165" s="3" t="s">
        <v>2379</v>
      </c>
      <c r="I2165" s="1" t="s">
        <v>2380</v>
      </c>
      <c r="J2165">
        <v>0</v>
      </c>
      <c r="K2165" s="3" t="s">
        <v>2379</v>
      </c>
      <c r="P2165" s="3"/>
    </row>
    <row r="2166" spans="1:16" x14ac:dyDescent="0.25">
      <c r="A2166" s="3" t="s">
        <v>196</v>
      </c>
      <c r="B2166">
        <v>28.4</v>
      </c>
      <c r="C2166" t="str" cm="1">
        <f t="array" ref="C2166">_xlfn.IFS(B2166&lt;=18.5,  "Underweight",B2166&lt;=24.9,"Normal weight",B2166&lt;=29.9, "Over weight",B2166&gt;=30,"Obesity")</f>
        <v>Over weight</v>
      </c>
      <c r="D2166">
        <v>4.3</v>
      </c>
      <c r="E2166" t="str" cm="1">
        <f t="array" ref="E2166">_xlfn.IFS(D2166&lt;5.7,"Normal",D2166&lt;=6.4,"Prediabetes",D2166&gt;=6.5,"Diabetes")</f>
        <v>Normal</v>
      </c>
      <c r="F2166" s="3" t="s">
        <v>2379</v>
      </c>
      <c r="G2166" s="3" t="s">
        <v>2379</v>
      </c>
      <c r="H2166" s="3" t="s">
        <v>2382</v>
      </c>
      <c r="I2166" s="1">
        <v>1</v>
      </c>
      <c r="J2166">
        <v>1</v>
      </c>
      <c r="K2166" s="3" t="s">
        <v>2379</v>
      </c>
      <c r="P2166" s="3"/>
    </row>
    <row r="2167" spans="1:16" x14ac:dyDescent="0.25">
      <c r="A2167" s="3" t="s">
        <v>195</v>
      </c>
      <c r="B2167">
        <v>41.91</v>
      </c>
      <c r="C2167" t="str" cm="1">
        <f t="array" ref="C2167">_xlfn.IFS(B2167&lt;=18.5,  "Underweight",B2167&lt;=24.9,"Normal weight",B2167&lt;=29.9, "Over weight",B2167&gt;=30,"Obesity")</f>
        <v>Obesity</v>
      </c>
      <c r="D2167">
        <v>6.19</v>
      </c>
      <c r="E2167" t="str" cm="1">
        <f t="array" ref="E2167">_xlfn.IFS(D2167&lt;5.7,"Normal",D2167&lt;=6.4,"Prediabetes",D2167&gt;=6.5,"Diabetes")</f>
        <v>Prediabetes</v>
      </c>
      <c r="F2167" s="3" t="s">
        <v>2379</v>
      </c>
      <c r="G2167" s="3" t="s">
        <v>2379</v>
      </c>
      <c r="H2167" s="3" t="s">
        <v>2379</v>
      </c>
      <c r="I2167" s="1" t="s">
        <v>2380</v>
      </c>
      <c r="J2167">
        <v>0</v>
      </c>
      <c r="K2167" s="3" t="s">
        <v>2379</v>
      </c>
      <c r="P2167" s="3"/>
    </row>
    <row r="2168" spans="1:16" x14ac:dyDescent="0.25">
      <c r="A2168" s="3" t="s">
        <v>194</v>
      </c>
      <c r="B2168">
        <v>24.6</v>
      </c>
      <c r="C2168" t="str" cm="1">
        <f t="array" ref="C2168">_xlfn.IFS(B2168&lt;=18.5,  "Underweight",B2168&lt;=24.9,"Normal weight",B2168&lt;=29.9, "Over weight",B2168&gt;=30,"Obesity")</f>
        <v>Normal weight</v>
      </c>
      <c r="D2168">
        <v>6.19</v>
      </c>
      <c r="E2168" t="str" cm="1">
        <f t="array" ref="E2168">_xlfn.IFS(D2168&lt;5.7,"Normal",D2168&lt;=6.4,"Prediabetes",D2168&gt;=6.5,"Diabetes")</f>
        <v>Prediabetes</v>
      </c>
      <c r="F2168" s="3" t="s">
        <v>2379</v>
      </c>
      <c r="G2168" s="3" t="s">
        <v>2379</v>
      </c>
      <c r="H2168" s="3" t="s">
        <v>2382</v>
      </c>
      <c r="I2168" s="1">
        <v>1</v>
      </c>
      <c r="J2168">
        <v>1</v>
      </c>
      <c r="K2168" s="3" t="s">
        <v>2379</v>
      </c>
      <c r="P2168" s="3"/>
    </row>
    <row r="2169" spans="1:16" x14ac:dyDescent="0.25">
      <c r="A2169" s="3" t="s">
        <v>193</v>
      </c>
      <c r="B2169">
        <v>20.9</v>
      </c>
      <c r="C2169" t="str" cm="1">
        <f t="array" ref="C2169">_xlfn.IFS(B2169&lt;=18.5,  "Underweight",B2169&lt;=24.9,"Normal weight",B2169&lt;=29.9, "Over weight",B2169&gt;=30,"Obesity")</f>
        <v>Normal weight</v>
      </c>
      <c r="D2169">
        <v>5.12</v>
      </c>
      <c r="E2169" t="str" cm="1">
        <f t="array" ref="E2169">_xlfn.IFS(D2169&lt;5.7,"Normal",D2169&lt;=6.4,"Prediabetes",D2169&gt;=6.5,"Diabetes")</f>
        <v>Normal</v>
      </c>
      <c r="F2169" s="3" t="s">
        <v>2379</v>
      </c>
      <c r="G2169" s="3" t="s">
        <v>2379</v>
      </c>
      <c r="H2169" s="3" t="s">
        <v>2382</v>
      </c>
      <c r="I2169" s="1">
        <v>1</v>
      </c>
      <c r="J2169">
        <v>1</v>
      </c>
      <c r="K2169" s="3" t="s">
        <v>2379</v>
      </c>
      <c r="P2169" s="3"/>
    </row>
    <row r="2170" spans="1:16" x14ac:dyDescent="0.25">
      <c r="A2170" s="3" t="s">
        <v>192</v>
      </c>
      <c r="B2170">
        <v>34.4</v>
      </c>
      <c r="C2170" t="str" cm="1">
        <f t="array" ref="C2170">_xlfn.IFS(B2170&lt;=18.5,  "Underweight",B2170&lt;=24.9,"Normal weight",B2170&lt;=29.9, "Over weight",B2170&gt;=30,"Obesity")</f>
        <v>Obesity</v>
      </c>
      <c r="D2170">
        <v>4.04</v>
      </c>
      <c r="E2170" t="str" cm="1">
        <f t="array" ref="E2170">_xlfn.IFS(D2170&lt;5.7,"Normal",D2170&lt;=6.4,"Prediabetes",D2170&gt;=6.5,"Diabetes")</f>
        <v>Normal</v>
      </c>
      <c r="F2170" s="3" t="s">
        <v>2379</v>
      </c>
      <c r="G2170" s="3" t="s">
        <v>2379</v>
      </c>
      <c r="H2170" s="3" t="s">
        <v>2379</v>
      </c>
      <c r="I2170" s="1" t="s">
        <v>2380</v>
      </c>
      <c r="J2170">
        <v>0</v>
      </c>
      <c r="K2170" s="3" t="s">
        <v>2379</v>
      </c>
      <c r="P2170" s="3"/>
    </row>
    <row r="2171" spans="1:16" x14ac:dyDescent="0.25">
      <c r="A2171" s="3" t="s">
        <v>191</v>
      </c>
      <c r="B2171">
        <v>32.56</v>
      </c>
      <c r="C2171" t="str" cm="1">
        <f t="array" ref="C2171">_xlfn.IFS(B2171&lt;=18.5,  "Underweight",B2171&lt;=24.9,"Normal weight",B2171&lt;=29.9, "Over weight",B2171&gt;=30,"Obesity")</f>
        <v>Obesity</v>
      </c>
      <c r="D2171">
        <v>5.36</v>
      </c>
      <c r="E2171" t="str" cm="1">
        <f t="array" ref="E2171">_xlfn.IFS(D2171&lt;5.7,"Normal",D2171&lt;=6.4,"Prediabetes",D2171&gt;=6.5,"Diabetes")</f>
        <v>Normal</v>
      </c>
      <c r="F2171" s="3" t="s">
        <v>2379</v>
      </c>
      <c r="G2171" s="3" t="s">
        <v>2379</v>
      </c>
      <c r="H2171" s="3" t="s">
        <v>2379</v>
      </c>
      <c r="I2171" s="1" t="s">
        <v>2380</v>
      </c>
      <c r="J2171">
        <v>0</v>
      </c>
      <c r="K2171" s="3" t="s">
        <v>2379</v>
      </c>
      <c r="P2171" s="3"/>
    </row>
    <row r="2172" spans="1:16" x14ac:dyDescent="0.25">
      <c r="A2172" s="3" t="s">
        <v>190</v>
      </c>
      <c r="B2172">
        <v>27.98</v>
      </c>
      <c r="C2172" t="str" cm="1">
        <f t="array" ref="C2172">_xlfn.IFS(B2172&lt;=18.5,  "Underweight",B2172&lt;=24.9,"Normal weight",B2172&lt;=29.9, "Over weight",B2172&gt;=30,"Obesity")</f>
        <v>Over weight</v>
      </c>
      <c r="D2172">
        <v>4.38</v>
      </c>
      <c r="E2172" t="str" cm="1">
        <f t="array" ref="E2172">_xlfn.IFS(D2172&lt;5.7,"Normal",D2172&lt;=6.4,"Prediabetes",D2172&gt;=6.5,"Diabetes")</f>
        <v>Normal</v>
      </c>
      <c r="F2172" s="3" t="s">
        <v>2379</v>
      </c>
      <c r="G2172" s="3" t="s">
        <v>2381</v>
      </c>
      <c r="H2172" s="3" t="s">
        <v>2379</v>
      </c>
      <c r="I2172" s="1">
        <v>1</v>
      </c>
      <c r="J2172">
        <v>1</v>
      </c>
      <c r="K2172" s="3" t="s">
        <v>2379</v>
      </c>
      <c r="P2172" s="3"/>
    </row>
    <row r="2173" spans="1:16" x14ac:dyDescent="0.25">
      <c r="A2173" s="3" t="s">
        <v>189</v>
      </c>
      <c r="B2173">
        <v>26.51</v>
      </c>
      <c r="C2173" t="str" cm="1">
        <f t="array" ref="C2173">_xlfn.IFS(B2173&lt;=18.5,  "Underweight",B2173&lt;=24.9,"Normal weight",B2173&lt;=29.9, "Over weight",B2173&gt;=30,"Obesity")</f>
        <v>Over weight</v>
      </c>
      <c r="D2173">
        <v>4.58</v>
      </c>
      <c r="E2173" t="str" cm="1">
        <f t="array" ref="E2173">_xlfn.IFS(D2173&lt;5.7,"Normal",D2173&lt;=6.4,"Prediabetes",D2173&gt;=6.5,"Diabetes")</f>
        <v>Normal</v>
      </c>
      <c r="F2173" s="3" t="s">
        <v>2379</v>
      </c>
      <c r="G2173" s="3" t="s">
        <v>2379</v>
      </c>
      <c r="H2173" s="3" t="s">
        <v>2379</v>
      </c>
      <c r="I2173" s="1" t="s">
        <v>2380</v>
      </c>
      <c r="J2173">
        <v>0</v>
      </c>
      <c r="K2173" s="3" t="s">
        <v>2379</v>
      </c>
      <c r="P2173" s="3"/>
    </row>
    <row r="2174" spans="1:16" x14ac:dyDescent="0.25">
      <c r="A2174" s="3" t="s">
        <v>188</v>
      </c>
      <c r="B2174">
        <v>29.734999999999999</v>
      </c>
      <c r="C2174" t="str" cm="1">
        <f t="array" ref="C2174">_xlfn.IFS(B2174&lt;=18.5,  "Underweight",B2174&lt;=24.9,"Normal weight",B2174&lt;=29.9, "Over weight",B2174&gt;=30,"Obesity")</f>
        <v>Over weight</v>
      </c>
      <c r="D2174">
        <v>11.92</v>
      </c>
      <c r="E2174" t="str" cm="1">
        <f t="array" ref="E2174">_xlfn.IFS(D2174&lt;5.7,"Normal",D2174&lt;=6.4,"Prediabetes",D2174&gt;=6.5,"Diabetes")</f>
        <v>Diabetes</v>
      </c>
      <c r="F2174" s="3" t="s">
        <v>2379</v>
      </c>
      <c r="G2174" s="3" t="s">
        <v>2379</v>
      </c>
      <c r="H2174" s="3" t="s">
        <v>2379</v>
      </c>
      <c r="I2174" s="1" t="s">
        <v>2380</v>
      </c>
      <c r="J2174">
        <v>0</v>
      </c>
      <c r="K2174" s="3" t="s">
        <v>2379</v>
      </c>
      <c r="P2174" s="3"/>
    </row>
    <row r="2175" spans="1:16" x14ac:dyDescent="0.25">
      <c r="A2175" s="3" t="s">
        <v>187</v>
      </c>
      <c r="B2175">
        <v>40.5</v>
      </c>
      <c r="C2175" t="str" cm="1">
        <f t="array" ref="C2175">_xlfn.IFS(B2175&lt;=18.5,  "Underweight",B2175&lt;=24.9,"Normal weight",B2175&lt;=29.9, "Over weight",B2175&gt;=30,"Obesity")</f>
        <v>Obesity</v>
      </c>
      <c r="D2175">
        <v>5.4</v>
      </c>
      <c r="E2175" t="str" cm="1">
        <f t="array" ref="E2175">_xlfn.IFS(D2175&lt;5.7,"Normal",D2175&lt;=6.4,"Prediabetes",D2175&gt;=6.5,"Diabetes")</f>
        <v>Normal</v>
      </c>
      <c r="F2175" s="3" t="s">
        <v>2379</v>
      </c>
      <c r="G2175" s="3" t="s">
        <v>2379</v>
      </c>
      <c r="H2175" s="3" t="s">
        <v>2382</v>
      </c>
      <c r="I2175" s="1">
        <v>1</v>
      </c>
      <c r="J2175">
        <v>1</v>
      </c>
      <c r="K2175" s="3" t="s">
        <v>2379</v>
      </c>
      <c r="P2175" s="3"/>
    </row>
    <row r="2176" spans="1:16" x14ac:dyDescent="0.25">
      <c r="A2176" s="3" t="s">
        <v>186</v>
      </c>
      <c r="B2176">
        <v>25.64</v>
      </c>
      <c r="C2176" t="str" cm="1">
        <f t="array" ref="C2176">_xlfn.IFS(B2176&lt;=18.5,  "Underweight",B2176&lt;=24.9,"Normal weight",B2176&lt;=29.9, "Over weight",B2176&gt;=30,"Obesity")</f>
        <v>Over weight</v>
      </c>
      <c r="D2176">
        <v>4.76</v>
      </c>
      <c r="E2176" t="str" cm="1">
        <f t="array" ref="E2176">_xlfn.IFS(D2176&lt;5.7,"Normal",D2176&lt;=6.4,"Prediabetes",D2176&gt;=6.5,"Diabetes")</f>
        <v>Normal</v>
      </c>
      <c r="F2176" s="3" t="s">
        <v>2379</v>
      </c>
      <c r="G2176" s="3" t="s">
        <v>2379</v>
      </c>
      <c r="H2176" s="3" t="s">
        <v>2379</v>
      </c>
      <c r="I2176" s="1">
        <v>1</v>
      </c>
      <c r="J2176">
        <v>1</v>
      </c>
      <c r="K2176" s="3" t="s">
        <v>2379</v>
      </c>
      <c r="P2176" s="3"/>
    </row>
    <row r="2177" spans="1:16" x14ac:dyDescent="0.25">
      <c r="A2177" s="3" t="s">
        <v>185</v>
      </c>
      <c r="B2177">
        <v>32.9</v>
      </c>
      <c r="C2177" t="str" cm="1">
        <f t="array" ref="C2177">_xlfn.IFS(B2177&lt;=18.5,  "Underweight",B2177&lt;=24.9,"Normal weight",B2177&lt;=29.9, "Over weight",B2177&gt;=30,"Obesity")</f>
        <v>Obesity</v>
      </c>
      <c r="D2177">
        <v>4.78</v>
      </c>
      <c r="E2177" t="str" cm="1">
        <f t="array" ref="E2177">_xlfn.IFS(D2177&lt;5.7,"Normal",D2177&lt;=6.4,"Prediabetes",D2177&gt;=6.5,"Diabetes")</f>
        <v>Normal</v>
      </c>
      <c r="F2177" s="3" t="s">
        <v>2379</v>
      </c>
      <c r="G2177" s="3" t="s">
        <v>2379</v>
      </c>
      <c r="H2177" s="3" t="s">
        <v>2382</v>
      </c>
      <c r="I2177" s="1">
        <v>1</v>
      </c>
      <c r="J2177">
        <v>1</v>
      </c>
      <c r="K2177" s="3" t="s">
        <v>2379</v>
      </c>
      <c r="P2177" s="3"/>
    </row>
    <row r="2178" spans="1:16" x14ac:dyDescent="0.25">
      <c r="A2178" s="3" t="s">
        <v>184</v>
      </c>
      <c r="B2178">
        <v>29.8</v>
      </c>
      <c r="C2178" t="str" cm="1">
        <f t="array" ref="C2178">_xlfn.IFS(B2178&lt;=18.5,  "Underweight",B2178&lt;=24.9,"Normal weight",B2178&lt;=29.9, "Over weight",B2178&gt;=30,"Obesity")</f>
        <v>Over weight</v>
      </c>
      <c r="D2178">
        <v>4.26</v>
      </c>
      <c r="E2178" t="str" cm="1">
        <f t="array" ref="E2178">_xlfn.IFS(D2178&lt;5.7,"Normal",D2178&lt;=6.4,"Prediabetes",D2178&gt;=6.5,"Diabetes")</f>
        <v>Normal</v>
      </c>
      <c r="F2178" s="3" t="s">
        <v>2379</v>
      </c>
      <c r="G2178" s="3" t="s">
        <v>2379</v>
      </c>
      <c r="H2178" s="3" t="s">
        <v>2382</v>
      </c>
      <c r="I2178" s="1">
        <v>1</v>
      </c>
      <c r="J2178">
        <v>1</v>
      </c>
      <c r="K2178" s="3" t="s">
        <v>2379</v>
      </c>
      <c r="P2178" s="3"/>
    </row>
    <row r="2179" spans="1:16" x14ac:dyDescent="0.25">
      <c r="A2179" s="3" t="s">
        <v>183</v>
      </c>
      <c r="B2179">
        <v>28.9</v>
      </c>
      <c r="C2179" t="str" cm="1">
        <f t="array" ref="C2179">_xlfn.IFS(B2179&lt;=18.5,  "Underweight",B2179&lt;=24.9,"Normal weight",B2179&lt;=29.9, "Over weight",B2179&gt;=30,"Obesity")</f>
        <v>Over weight</v>
      </c>
      <c r="D2179">
        <v>5.85</v>
      </c>
      <c r="E2179" t="str" cm="1">
        <f t="array" ref="E2179">_xlfn.IFS(D2179&lt;5.7,"Normal",D2179&lt;=6.4,"Prediabetes",D2179&gt;=6.5,"Diabetes")</f>
        <v>Prediabetes</v>
      </c>
      <c r="F2179" s="3" t="s">
        <v>2379</v>
      </c>
      <c r="G2179" s="3" t="s">
        <v>2379</v>
      </c>
      <c r="H2179" s="3" t="s">
        <v>2382</v>
      </c>
      <c r="I2179" s="1">
        <v>1</v>
      </c>
      <c r="J2179">
        <v>1</v>
      </c>
      <c r="K2179" s="3" t="s">
        <v>2379</v>
      </c>
      <c r="P2179" s="3"/>
    </row>
    <row r="2180" spans="1:16" x14ac:dyDescent="0.25">
      <c r="A2180" s="3" t="s">
        <v>182</v>
      </c>
      <c r="B2180">
        <v>24.7</v>
      </c>
      <c r="C2180" t="str" cm="1">
        <f t="array" ref="C2180">_xlfn.IFS(B2180&lt;=18.5,  "Underweight",B2180&lt;=24.9,"Normal weight",B2180&lt;=29.9, "Over weight",B2180&gt;=30,"Obesity")</f>
        <v>Normal weight</v>
      </c>
      <c r="D2180">
        <v>5.32</v>
      </c>
      <c r="E2180" t="str" cm="1">
        <f t="array" ref="E2180">_xlfn.IFS(D2180&lt;5.7,"Normal",D2180&lt;=6.4,"Prediabetes",D2180&gt;=6.5,"Diabetes")</f>
        <v>Normal</v>
      </c>
      <c r="F2180" s="3" t="s">
        <v>2379</v>
      </c>
      <c r="G2180" s="3" t="s">
        <v>2379</v>
      </c>
      <c r="H2180" s="3" t="s">
        <v>2382</v>
      </c>
      <c r="I2180" s="1">
        <v>1</v>
      </c>
      <c r="J2180">
        <v>1</v>
      </c>
      <c r="K2180" s="3" t="s">
        <v>2379</v>
      </c>
      <c r="P2180" s="3"/>
    </row>
    <row r="2181" spans="1:16" x14ac:dyDescent="0.25">
      <c r="A2181" s="3" t="s">
        <v>181</v>
      </c>
      <c r="B2181">
        <v>20.6</v>
      </c>
      <c r="C2181" t="str" cm="1">
        <f t="array" ref="C2181">_xlfn.IFS(B2181&lt;=18.5,  "Underweight",B2181&lt;=24.9,"Normal weight",B2181&lt;=29.9, "Over weight",B2181&gt;=30,"Obesity")</f>
        <v>Normal weight</v>
      </c>
      <c r="D2181">
        <v>5.14</v>
      </c>
      <c r="E2181" t="str" cm="1">
        <f t="array" ref="E2181">_xlfn.IFS(D2181&lt;5.7,"Normal",D2181&lt;=6.4,"Prediabetes",D2181&gt;=6.5,"Diabetes")</f>
        <v>Normal</v>
      </c>
      <c r="F2181" s="3" t="s">
        <v>2379</v>
      </c>
      <c r="G2181" s="3" t="s">
        <v>2379</v>
      </c>
      <c r="H2181" s="3" t="s">
        <v>2382</v>
      </c>
      <c r="I2181" s="1">
        <v>1</v>
      </c>
      <c r="J2181">
        <v>1</v>
      </c>
      <c r="K2181" s="3" t="s">
        <v>2379</v>
      </c>
      <c r="P2181" s="3"/>
    </row>
    <row r="2182" spans="1:16" x14ac:dyDescent="0.25">
      <c r="A2182" s="3" t="s">
        <v>180</v>
      </c>
      <c r="B2182">
        <v>18.600000000000001</v>
      </c>
      <c r="C2182" t="str" cm="1">
        <f t="array" ref="C2182">_xlfn.IFS(B2182&lt;=18.5,  "Underweight",B2182&lt;=24.9,"Normal weight",B2182&lt;=29.9, "Over weight",B2182&gt;=30,"Obesity")</f>
        <v>Normal weight</v>
      </c>
      <c r="D2182">
        <v>5</v>
      </c>
      <c r="E2182" t="str" cm="1">
        <f t="array" ref="E2182">_xlfn.IFS(D2182&lt;5.7,"Normal",D2182&lt;=6.4,"Prediabetes",D2182&gt;=6.5,"Diabetes")</f>
        <v>Normal</v>
      </c>
      <c r="F2182" s="3" t="s">
        <v>2379</v>
      </c>
      <c r="G2182" s="3" t="s">
        <v>2379</v>
      </c>
      <c r="H2182" s="3" t="s">
        <v>2382</v>
      </c>
      <c r="I2182" s="1">
        <v>1</v>
      </c>
      <c r="J2182">
        <v>1</v>
      </c>
      <c r="K2182" s="3" t="s">
        <v>2379</v>
      </c>
      <c r="P2182" s="3"/>
    </row>
    <row r="2183" spans="1:16" x14ac:dyDescent="0.25">
      <c r="A2183" s="3" t="s">
        <v>179</v>
      </c>
      <c r="B2183">
        <v>17.8</v>
      </c>
      <c r="C2183" t="str" cm="1">
        <f t="array" ref="C2183">_xlfn.IFS(B2183&lt;=18.5,  "Underweight",B2183&lt;=24.9,"Normal weight",B2183&lt;=29.9, "Over weight",B2183&gt;=30,"Obesity")</f>
        <v>Underweight</v>
      </c>
      <c r="D2183">
        <v>4.55</v>
      </c>
      <c r="E2183" t="str" cm="1">
        <f t="array" ref="E2183">_xlfn.IFS(D2183&lt;5.7,"Normal",D2183&lt;=6.4,"Prediabetes",D2183&gt;=6.5,"Diabetes")</f>
        <v>Normal</v>
      </c>
      <c r="F2183" s="3" t="s">
        <v>2379</v>
      </c>
      <c r="G2183" s="3" t="s">
        <v>2379</v>
      </c>
      <c r="H2183" s="3" t="s">
        <v>2382</v>
      </c>
      <c r="I2183" s="1">
        <v>1</v>
      </c>
      <c r="J2183">
        <v>1</v>
      </c>
      <c r="K2183" s="3" t="s">
        <v>2379</v>
      </c>
      <c r="P2183" s="3"/>
    </row>
    <row r="2184" spans="1:16" x14ac:dyDescent="0.25">
      <c r="A2184" s="3" t="s">
        <v>178</v>
      </c>
      <c r="B2184">
        <v>35.200000000000003</v>
      </c>
      <c r="C2184" t="str" cm="1">
        <f t="array" ref="C2184">_xlfn.IFS(B2184&lt;=18.5,  "Underweight",B2184&lt;=24.9,"Normal weight",B2184&lt;=29.9, "Over weight",B2184&gt;=30,"Obesity")</f>
        <v>Obesity</v>
      </c>
      <c r="D2184">
        <v>5.97</v>
      </c>
      <c r="E2184" t="str" cm="1">
        <f t="array" ref="E2184">_xlfn.IFS(D2184&lt;5.7,"Normal",D2184&lt;=6.4,"Prediabetes",D2184&gt;=6.5,"Diabetes")</f>
        <v>Prediabetes</v>
      </c>
      <c r="F2184" s="3" t="s">
        <v>2379</v>
      </c>
      <c r="G2184" s="3" t="s">
        <v>2381</v>
      </c>
      <c r="H2184" s="3" t="s">
        <v>2379</v>
      </c>
      <c r="I2184" s="1">
        <v>1</v>
      </c>
      <c r="J2184">
        <v>1</v>
      </c>
      <c r="K2184" s="3" t="s">
        <v>2379</v>
      </c>
      <c r="P2184" s="3"/>
    </row>
    <row r="2185" spans="1:16" x14ac:dyDescent="0.25">
      <c r="A2185" s="3" t="s">
        <v>177</v>
      </c>
      <c r="B2185">
        <v>33.770000000000003</v>
      </c>
      <c r="C2185" t="str" cm="1">
        <f t="array" ref="C2185">_xlfn.IFS(B2185&lt;=18.5,  "Underweight",B2185&lt;=24.9,"Normal weight",B2185&lt;=29.9, "Over weight",B2185&gt;=30,"Obesity")</f>
        <v>Obesity</v>
      </c>
      <c r="D2185">
        <v>4.0199999999999996</v>
      </c>
      <c r="E2185" t="str" cm="1">
        <f t="array" ref="E2185">_xlfn.IFS(D2185&lt;5.7,"Normal",D2185&lt;=6.4,"Prediabetes",D2185&gt;=6.5,"Diabetes")</f>
        <v>Normal</v>
      </c>
      <c r="F2185" s="3" t="s">
        <v>2379</v>
      </c>
      <c r="G2185" s="3" t="s">
        <v>2381</v>
      </c>
      <c r="H2185" s="3" t="s">
        <v>2379</v>
      </c>
      <c r="I2185" s="1">
        <v>1</v>
      </c>
      <c r="J2185">
        <v>1</v>
      </c>
      <c r="K2185" s="3" t="s">
        <v>2379</v>
      </c>
      <c r="P2185" s="3"/>
    </row>
    <row r="2186" spans="1:16" x14ac:dyDescent="0.25">
      <c r="A2186" s="3" t="s">
        <v>176</v>
      </c>
      <c r="B2186">
        <v>30.03</v>
      </c>
      <c r="C2186" t="str" cm="1">
        <f t="array" ref="C2186">_xlfn.IFS(B2186&lt;=18.5,  "Underweight",B2186&lt;=24.9,"Normal weight",B2186&lt;=29.9, "Over weight",B2186&gt;=30,"Obesity")</f>
        <v>Obesity</v>
      </c>
      <c r="D2186">
        <v>4.04</v>
      </c>
      <c r="E2186" t="str" cm="1">
        <f t="array" ref="E2186">_xlfn.IFS(D2186&lt;5.7,"Normal",D2186&lt;=6.4,"Prediabetes",D2186&gt;=6.5,"Diabetes")</f>
        <v>Normal</v>
      </c>
      <c r="F2186" s="3" t="s">
        <v>2379</v>
      </c>
      <c r="G2186" s="3" t="s">
        <v>2381</v>
      </c>
      <c r="H2186" s="3" t="s">
        <v>2379</v>
      </c>
      <c r="I2186" s="1">
        <v>1</v>
      </c>
      <c r="J2186">
        <v>1</v>
      </c>
      <c r="K2186" s="3" t="s">
        <v>2379</v>
      </c>
      <c r="P2186" s="3"/>
    </row>
    <row r="2187" spans="1:16" x14ac:dyDescent="0.25">
      <c r="A2187" s="3" t="s">
        <v>175</v>
      </c>
      <c r="B2187">
        <v>29.37</v>
      </c>
      <c r="C2187" t="str" cm="1">
        <f t="array" ref="C2187">_xlfn.IFS(B2187&lt;=18.5,  "Underweight",B2187&lt;=24.9,"Normal weight",B2187&lt;=29.9, "Over weight",B2187&gt;=30,"Obesity")</f>
        <v>Over weight</v>
      </c>
      <c r="D2187">
        <v>5.54</v>
      </c>
      <c r="E2187" t="str" cm="1">
        <f t="array" ref="E2187">_xlfn.IFS(D2187&lt;5.7,"Normal",D2187&lt;=6.4,"Prediabetes",D2187&gt;=6.5,"Diabetes")</f>
        <v>Normal</v>
      </c>
      <c r="F2187" s="3" t="s">
        <v>2379</v>
      </c>
      <c r="G2187" s="3" t="s">
        <v>2381</v>
      </c>
      <c r="H2187" s="3" t="s">
        <v>2379</v>
      </c>
      <c r="I2187" s="1">
        <v>1</v>
      </c>
      <c r="J2187">
        <v>1</v>
      </c>
      <c r="K2187" s="3" t="s">
        <v>2379</v>
      </c>
      <c r="P2187" s="3"/>
    </row>
    <row r="2188" spans="1:16" x14ac:dyDescent="0.25">
      <c r="A2188" s="3" t="s">
        <v>174</v>
      </c>
      <c r="B2188">
        <v>28.5</v>
      </c>
      <c r="C2188" t="str" cm="1">
        <f t="array" ref="C2188">_xlfn.IFS(B2188&lt;=18.5,  "Underweight",B2188&lt;=24.9,"Normal weight",B2188&lt;=29.9, "Over weight",B2188&gt;=30,"Obesity")</f>
        <v>Over weight</v>
      </c>
      <c r="D2188">
        <v>4.03</v>
      </c>
      <c r="E2188" t="str" cm="1">
        <f t="array" ref="E2188">_xlfn.IFS(D2188&lt;5.7,"Normal",D2188&lt;=6.4,"Prediabetes",D2188&gt;=6.5,"Diabetes")</f>
        <v>Normal</v>
      </c>
      <c r="F2188" s="3" t="s">
        <v>2379</v>
      </c>
      <c r="G2188" s="3" t="s">
        <v>2381</v>
      </c>
      <c r="H2188" s="3" t="s">
        <v>2379</v>
      </c>
      <c r="I2188" s="1">
        <v>1</v>
      </c>
      <c r="J2188">
        <v>1</v>
      </c>
      <c r="K2188" s="3" t="s">
        <v>2379</v>
      </c>
      <c r="P2188" s="3"/>
    </row>
    <row r="2189" spans="1:16" x14ac:dyDescent="0.25">
      <c r="A2189" s="3" t="s">
        <v>173</v>
      </c>
      <c r="B2189">
        <v>23.32</v>
      </c>
      <c r="C2189" t="str" cm="1">
        <f t="array" ref="C2189">_xlfn.IFS(B2189&lt;=18.5,  "Underweight",B2189&lt;=24.9,"Normal weight",B2189&lt;=29.9, "Over weight",B2189&gt;=30,"Obesity")</f>
        <v>Normal weight</v>
      </c>
      <c r="D2189">
        <v>5.62</v>
      </c>
      <c r="E2189" t="str" cm="1">
        <f t="array" ref="E2189">_xlfn.IFS(D2189&lt;5.7,"Normal",D2189&lt;=6.4,"Prediabetes",D2189&gt;=6.5,"Diabetes")</f>
        <v>Normal</v>
      </c>
      <c r="F2189" s="3" t="s">
        <v>2379</v>
      </c>
      <c r="G2189" s="3" t="s">
        <v>2381</v>
      </c>
      <c r="H2189" s="3" t="s">
        <v>2379</v>
      </c>
      <c r="I2189" s="1">
        <v>1</v>
      </c>
      <c r="J2189">
        <v>1</v>
      </c>
      <c r="K2189" s="3" t="s">
        <v>2379</v>
      </c>
      <c r="P2189" s="3"/>
    </row>
    <row r="2190" spans="1:16" x14ac:dyDescent="0.25">
      <c r="A2190" s="3" t="s">
        <v>172</v>
      </c>
      <c r="B2190">
        <v>26.125</v>
      </c>
      <c r="C2190" t="str" cm="1">
        <f t="array" ref="C2190">_xlfn.IFS(B2190&lt;=18.5,  "Underweight",B2190&lt;=24.9,"Normal weight",B2190&lt;=29.9, "Over weight",B2190&gt;=30,"Obesity")</f>
        <v>Over weight</v>
      </c>
      <c r="D2190">
        <v>5.27</v>
      </c>
      <c r="E2190" t="str" cm="1">
        <f t="array" ref="E2190">_xlfn.IFS(D2190&lt;5.7,"Normal",D2190&lt;=6.4,"Prediabetes",D2190&gt;=6.5,"Diabetes")</f>
        <v>Normal</v>
      </c>
      <c r="F2190" s="3" t="s">
        <v>2379</v>
      </c>
      <c r="G2190" s="3" t="s">
        <v>2381</v>
      </c>
      <c r="H2190" s="3" t="s">
        <v>2379</v>
      </c>
      <c r="I2190" s="1">
        <v>1</v>
      </c>
      <c r="J2190">
        <v>1</v>
      </c>
      <c r="K2190" s="3" t="s">
        <v>2379</v>
      </c>
      <c r="P2190" s="3"/>
    </row>
    <row r="2191" spans="1:16" x14ac:dyDescent="0.25">
      <c r="A2191" s="3" t="s">
        <v>171</v>
      </c>
      <c r="B2191">
        <v>25.46</v>
      </c>
      <c r="C2191" t="str" cm="1">
        <f t="array" ref="C2191">_xlfn.IFS(B2191&lt;=18.5,  "Underweight",B2191&lt;=24.9,"Normal weight",B2191&lt;=29.9, "Over weight",B2191&gt;=30,"Obesity")</f>
        <v>Over weight</v>
      </c>
      <c r="D2191">
        <v>5.18</v>
      </c>
      <c r="E2191" t="str" cm="1">
        <f t="array" ref="E2191">_xlfn.IFS(D2191&lt;5.7,"Normal",D2191&lt;=6.4,"Prediabetes",D2191&gt;=6.5,"Diabetes")</f>
        <v>Normal</v>
      </c>
      <c r="F2191" s="3" t="s">
        <v>2379</v>
      </c>
      <c r="G2191" s="3" t="s">
        <v>2381</v>
      </c>
      <c r="H2191" s="3" t="s">
        <v>2379</v>
      </c>
      <c r="I2191" s="1">
        <v>1</v>
      </c>
      <c r="J2191">
        <v>1</v>
      </c>
      <c r="K2191" s="3" t="s">
        <v>2379</v>
      </c>
      <c r="P2191" s="3"/>
    </row>
    <row r="2192" spans="1:16" x14ac:dyDescent="0.25">
      <c r="A2192" s="3" t="s">
        <v>170</v>
      </c>
      <c r="B2192">
        <v>23.75</v>
      </c>
      <c r="C2192" t="str" cm="1">
        <f t="array" ref="C2192">_xlfn.IFS(B2192&lt;=18.5,  "Underweight",B2192&lt;=24.9,"Normal weight",B2192&lt;=29.9, "Over weight",B2192&gt;=30,"Obesity")</f>
        <v>Normal weight</v>
      </c>
      <c r="D2192">
        <v>5.27</v>
      </c>
      <c r="E2192" t="str" cm="1">
        <f t="array" ref="E2192">_xlfn.IFS(D2192&lt;5.7,"Normal",D2192&lt;=6.4,"Prediabetes",D2192&gt;=6.5,"Diabetes")</f>
        <v>Normal</v>
      </c>
      <c r="F2192" s="3" t="s">
        <v>2379</v>
      </c>
      <c r="G2192" s="3" t="s">
        <v>2381</v>
      </c>
      <c r="H2192" s="3" t="s">
        <v>2379</v>
      </c>
      <c r="I2192" s="1">
        <v>1</v>
      </c>
      <c r="J2192">
        <v>1</v>
      </c>
      <c r="K2192" s="3" t="s">
        <v>2379</v>
      </c>
      <c r="P2192" s="3"/>
    </row>
    <row r="2193" spans="1:16" x14ac:dyDescent="0.25">
      <c r="A2193" s="3" t="s">
        <v>168</v>
      </c>
      <c r="B2193">
        <v>23.085000000000001</v>
      </c>
      <c r="C2193" t="str" cm="1">
        <f t="array" ref="C2193">_xlfn.IFS(B2193&lt;=18.5,  "Underweight",B2193&lt;=24.9,"Normal weight",B2193&lt;=29.9, "Over weight",B2193&gt;=30,"Obesity")</f>
        <v>Normal weight</v>
      </c>
      <c r="D2193">
        <v>5.62</v>
      </c>
      <c r="E2193" t="str" cm="1">
        <f t="array" ref="E2193">_xlfn.IFS(D2193&lt;5.7,"Normal",D2193&lt;=6.4,"Prediabetes",D2193&gt;=6.5,"Diabetes")</f>
        <v>Normal</v>
      </c>
      <c r="F2193" s="3" t="s">
        <v>2379</v>
      </c>
      <c r="G2193" s="3" t="s">
        <v>2381</v>
      </c>
      <c r="H2193" s="3" t="s">
        <v>2379</v>
      </c>
      <c r="I2193" s="1">
        <v>1</v>
      </c>
      <c r="J2193">
        <v>1</v>
      </c>
      <c r="K2193" s="3" t="s">
        <v>2379</v>
      </c>
      <c r="P2193" s="3"/>
    </row>
    <row r="2194" spans="1:16" x14ac:dyDescent="0.25">
      <c r="A2194" s="3" t="s">
        <v>166</v>
      </c>
      <c r="B2194">
        <v>22.99</v>
      </c>
      <c r="C2194" t="str" cm="1">
        <f t="array" ref="C2194">_xlfn.IFS(B2194&lt;=18.5,  "Underweight",B2194&lt;=24.9,"Normal weight",B2194&lt;=29.9, "Over weight",B2194&gt;=30,"Obesity")</f>
        <v>Normal weight</v>
      </c>
      <c r="D2194">
        <v>5.0599999999999996</v>
      </c>
      <c r="E2194" t="str" cm="1">
        <f t="array" ref="E2194">_xlfn.IFS(D2194&lt;5.7,"Normal",D2194&lt;=6.4,"Prediabetes",D2194&gt;=6.5,"Diabetes")</f>
        <v>Normal</v>
      </c>
      <c r="F2194" s="3" t="s">
        <v>2379</v>
      </c>
      <c r="G2194" s="3" t="s">
        <v>2381</v>
      </c>
      <c r="H2194" s="3" t="s">
        <v>2379</v>
      </c>
      <c r="I2194" s="1">
        <v>1</v>
      </c>
      <c r="J2194">
        <v>1</v>
      </c>
      <c r="K2194" s="3" t="s">
        <v>2379</v>
      </c>
      <c r="P2194" s="3"/>
    </row>
    <row r="2195" spans="1:16" x14ac:dyDescent="0.25">
      <c r="A2195" s="3" t="s">
        <v>164</v>
      </c>
      <c r="B2195">
        <v>21.47</v>
      </c>
      <c r="C2195" t="str" cm="1">
        <f t="array" ref="C2195">_xlfn.IFS(B2195&lt;=18.5,  "Underweight",B2195&lt;=24.9,"Normal weight",B2195&lt;=29.9, "Over weight",B2195&gt;=30,"Obesity")</f>
        <v>Normal weight</v>
      </c>
      <c r="D2195">
        <v>4.6900000000000004</v>
      </c>
      <c r="E2195" t="str" cm="1">
        <f t="array" ref="E2195">_xlfn.IFS(D2195&lt;5.7,"Normal",D2195&lt;=6.4,"Prediabetes",D2195&gt;=6.5,"Diabetes")</f>
        <v>Normal</v>
      </c>
      <c r="F2195" s="3" t="s">
        <v>2379</v>
      </c>
      <c r="G2195" s="3" t="s">
        <v>2381</v>
      </c>
      <c r="H2195" s="3" t="s">
        <v>2379</v>
      </c>
      <c r="I2195" s="1">
        <v>1</v>
      </c>
      <c r="J2195">
        <v>1</v>
      </c>
      <c r="K2195" s="3" t="s">
        <v>2379</v>
      </c>
      <c r="P2195" s="3"/>
    </row>
    <row r="2196" spans="1:16" x14ac:dyDescent="0.25">
      <c r="A2196" s="3" t="s">
        <v>162</v>
      </c>
      <c r="B2196">
        <v>15.96</v>
      </c>
      <c r="C2196" t="str" cm="1">
        <f t="array" ref="C2196">_xlfn.IFS(B2196&lt;=18.5,  "Underweight",B2196&lt;=24.9,"Normal weight",B2196&lt;=29.9, "Over weight",B2196&gt;=30,"Obesity")</f>
        <v>Underweight</v>
      </c>
      <c r="D2196">
        <v>5.44</v>
      </c>
      <c r="E2196" t="str" cm="1">
        <f t="array" ref="E2196">_xlfn.IFS(D2196&lt;5.7,"Normal",D2196&lt;=6.4,"Prediabetes",D2196&gt;=6.5,"Diabetes")</f>
        <v>Normal</v>
      </c>
      <c r="F2196" s="3" t="s">
        <v>2379</v>
      </c>
      <c r="G2196" s="3" t="s">
        <v>2381</v>
      </c>
      <c r="H2196" s="3" t="s">
        <v>2379</v>
      </c>
      <c r="I2196" s="1">
        <v>1</v>
      </c>
      <c r="J2196">
        <v>1</v>
      </c>
      <c r="K2196" s="3" t="s">
        <v>2379</v>
      </c>
      <c r="P2196" s="3"/>
    </row>
    <row r="2197" spans="1:16" x14ac:dyDescent="0.25">
      <c r="A2197" s="3" t="s">
        <v>161</v>
      </c>
      <c r="B2197">
        <v>39.5</v>
      </c>
      <c r="C2197" t="str" cm="1">
        <f t="array" ref="C2197">_xlfn.IFS(B2197&lt;=18.5,  "Underweight",B2197&lt;=24.9,"Normal weight",B2197&lt;=29.9, "Over weight",B2197&gt;=30,"Obesity")</f>
        <v>Obesity</v>
      </c>
      <c r="D2197">
        <v>5.05</v>
      </c>
      <c r="E2197" t="str" cm="1">
        <f t="array" ref="E2197">_xlfn.IFS(D2197&lt;5.7,"Normal",D2197&lt;=6.4,"Prediabetes",D2197&gt;=6.5,"Diabetes")</f>
        <v>Normal</v>
      </c>
      <c r="F2197" s="3" t="s">
        <v>2379</v>
      </c>
      <c r="G2197" s="3" t="s">
        <v>2381</v>
      </c>
      <c r="H2197" s="3" t="s">
        <v>2379</v>
      </c>
      <c r="I2197" s="1">
        <v>1</v>
      </c>
      <c r="J2197">
        <v>1</v>
      </c>
      <c r="K2197" s="3" t="s">
        <v>2379</v>
      </c>
      <c r="P2197" s="3"/>
    </row>
    <row r="2198" spans="1:16" x14ac:dyDescent="0.25">
      <c r="A2198" s="3" t="s">
        <v>160</v>
      </c>
      <c r="B2198">
        <v>33.770000000000003</v>
      </c>
      <c r="C2198" t="str" cm="1">
        <f t="array" ref="C2198">_xlfn.IFS(B2198&lt;=18.5,  "Underweight",B2198&lt;=24.9,"Normal weight",B2198&lt;=29.9, "Over weight",B2198&gt;=30,"Obesity")</f>
        <v>Obesity</v>
      </c>
      <c r="D2198">
        <v>6</v>
      </c>
      <c r="E2198" t="str" cm="1">
        <f t="array" ref="E2198">_xlfn.IFS(D2198&lt;5.7,"Normal",D2198&lt;=6.4,"Prediabetes",D2198&gt;=6.5,"Diabetes")</f>
        <v>Prediabetes</v>
      </c>
      <c r="F2198" s="3" t="s">
        <v>2379</v>
      </c>
      <c r="G2198" s="3" t="s">
        <v>2381</v>
      </c>
      <c r="H2198" s="3" t="s">
        <v>2379</v>
      </c>
      <c r="I2198" s="1">
        <v>1</v>
      </c>
      <c r="J2198">
        <v>1</v>
      </c>
      <c r="K2198" s="3" t="s">
        <v>2379</v>
      </c>
      <c r="P2198" s="3"/>
    </row>
    <row r="2199" spans="1:16" x14ac:dyDescent="0.25">
      <c r="A2199" s="3" t="s">
        <v>159</v>
      </c>
      <c r="B2199">
        <v>26.84</v>
      </c>
      <c r="C2199" t="str" cm="1">
        <f t="array" ref="C2199">_xlfn.IFS(B2199&lt;=18.5,  "Underweight",B2199&lt;=24.9,"Normal weight",B2199&lt;=29.9, "Over weight",B2199&gt;=30,"Obesity")</f>
        <v>Over weight</v>
      </c>
      <c r="D2199">
        <v>5.99</v>
      </c>
      <c r="E2199" t="str" cm="1">
        <f t="array" ref="E2199">_xlfn.IFS(D2199&lt;5.7,"Normal",D2199&lt;=6.4,"Prediabetes",D2199&gt;=6.5,"Diabetes")</f>
        <v>Prediabetes</v>
      </c>
      <c r="F2199" s="3" t="s">
        <v>2382</v>
      </c>
      <c r="G2199" s="3" t="s">
        <v>2381</v>
      </c>
      <c r="H2199" s="3" t="s">
        <v>2379</v>
      </c>
      <c r="I2199" s="1">
        <v>1</v>
      </c>
      <c r="J2199">
        <v>1</v>
      </c>
      <c r="K2199" s="3" t="s">
        <v>2379</v>
      </c>
      <c r="P2199" s="3"/>
    </row>
    <row r="2200" spans="1:16" x14ac:dyDescent="0.25">
      <c r="A2200" s="3" t="s">
        <v>158</v>
      </c>
      <c r="B2200">
        <v>35.53</v>
      </c>
      <c r="C2200" t="str" cm="1">
        <f t="array" ref="C2200">_xlfn.IFS(B2200&lt;=18.5,  "Underweight",B2200&lt;=24.9,"Normal weight",B2200&lt;=29.9, "Over weight",B2200&gt;=30,"Obesity")</f>
        <v>Obesity</v>
      </c>
      <c r="D2200">
        <v>4.3600000000000003</v>
      </c>
      <c r="E2200" t="str" cm="1">
        <f t="array" ref="E2200">_xlfn.IFS(D2200&lt;5.7,"Normal",D2200&lt;=6.4,"Prediabetes",D2200&gt;=6.5,"Diabetes")</f>
        <v>Normal</v>
      </c>
      <c r="F2200" s="3" t="s">
        <v>2379</v>
      </c>
      <c r="G2200" s="3" t="s">
        <v>2379</v>
      </c>
      <c r="H2200" s="3" t="s">
        <v>2382</v>
      </c>
      <c r="I2200" s="1">
        <v>1</v>
      </c>
      <c r="J2200">
        <v>1</v>
      </c>
      <c r="K2200" s="3" t="s">
        <v>2379</v>
      </c>
      <c r="P2200" s="3"/>
    </row>
    <row r="2201" spans="1:16" x14ac:dyDescent="0.25">
      <c r="A2201" s="3" t="s">
        <v>157</v>
      </c>
      <c r="B2201">
        <v>30.59</v>
      </c>
      <c r="C2201" t="str" cm="1">
        <f t="array" ref="C2201">_xlfn.IFS(B2201&lt;=18.5,  "Underweight",B2201&lt;=24.9,"Normal weight",B2201&lt;=29.9, "Over weight",B2201&gt;=30,"Obesity")</f>
        <v>Obesity</v>
      </c>
      <c r="D2201">
        <v>4.41</v>
      </c>
      <c r="E2201" t="str" cm="1">
        <f t="array" ref="E2201">_xlfn.IFS(D2201&lt;5.7,"Normal",D2201&lt;=6.4,"Prediabetes",D2201&gt;=6.5,"Diabetes")</f>
        <v>Normal</v>
      </c>
      <c r="F2201" s="3" t="s">
        <v>2379</v>
      </c>
      <c r="G2201" s="3" t="s">
        <v>2379</v>
      </c>
      <c r="H2201" s="3" t="s">
        <v>2382</v>
      </c>
      <c r="I2201" s="1">
        <v>1</v>
      </c>
      <c r="J2201">
        <v>1</v>
      </c>
      <c r="K2201" s="3" t="s">
        <v>2379</v>
      </c>
      <c r="P2201" s="3"/>
    </row>
    <row r="2202" spans="1:16" x14ac:dyDescent="0.25">
      <c r="A2202" s="3" t="s">
        <v>156</v>
      </c>
      <c r="B2202">
        <v>30.59</v>
      </c>
      <c r="C2202" t="str" cm="1">
        <f t="array" ref="C2202">_xlfn.IFS(B2202&lt;=18.5,  "Underweight",B2202&lt;=24.9,"Normal weight",B2202&lt;=29.9, "Over weight",B2202&gt;=30,"Obesity")</f>
        <v>Obesity</v>
      </c>
      <c r="D2202">
        <v>4.17</v>
      </c>
      <c r="E2202" t="str" cm="1">
        <f t="array" ref="E2202">_xlfn.IFS(D2202&lt;5.7,"Normal",D2202&lt;=6.4,"Prediabetes",D2202&gt;=6.5,"Diabetes")</f>
        <v>Normal</v>
      </c>
      <c r="F2202" s="3" t="s">
        <v>2379</v>
      </c>
      <c r="G2202" s="3" t="s">
        <v>2379</v>
      </c>
      <c r="H2202" s="3" t="s">
        <v>2382</v>
      </c>
      <c r="I2202" s="1">
        <v>1</v>
      </c>
      <c r="J2202">
        <v>1</v>
      </c>
      <c r="K2202" s="3" t="s">
        <v>2379</v>
      </c>
      <c r="P2202" s="3"/>
    </row>
    <row r="2203" spans="1:16" x14ac:dyDescent="0.25">
      <c r="A2203" s="3" t="s">
        <v>155</v>
      </c>
      <c r="B2203">
        <v>27.835000000000001</v>
      </c>
      <c r="C2203" t="str" cm="1">
        <f t="array" ref="C2203">_xlfn.IFS(B2203&lt;=18.5,  "Underweight",B2203&lt;=24.9,"Normal weight",B2203&lt;=29.9, "Over weight",B2203&gt;=30,"Obesity")</f>
        <v>Over weight</v>
      </c>
      <c r="D2203">
        <v>4.4400000000000004</v>
      </c>
      <c r="E2203" t="str" cm="1">
        <f t="array" ref="E2203">_xlfn.IFS(D2203&lt;5.7,"Normal",D2203&lt;=6.4,"Prediabetes",D2203&gt;=6.5,"Diabetes")</f>
        <v>Normal</v>
      </c>
      <c r="F2203" s="3" t="s">
        <v>2379</v>
      </c>
      <c r="G2203" s="3" t="s">
        <v>2379</v>
      </c>
      <c r="H2203" s="3" t="s">
        <v>2382</v>
      </c>
      <c r="I2203" s="1">
        <v>1</v>
      </c>
      <c r="J2203">
        <v>1</v>
      </c>
      <c r="K2203" s="3" t="s">
        <v>2379</v>
      </c>
      <c r="P2203" s="3"/>
    </row>
    <row r="2204" spans="1:16" x14ac:dyDescent="0.25">
      <c r="A2204" s="3" t="s">
        <v>154</v>
      </c>
      <c r="B2204">
        <v>40.26</v>
      </c>
      <c r="C2204" t="str" cm="1">
        <f t="array" ref="C2204">_xlfn.IFS(B2204&lt;=18.5,  "Underweight",B2204&lt;=24.9,"Normal weight",B2204&lt;=29.9, "Over weight",B2204&gt;=30,"Obesity")</f>
        <v>Obesity</v>
      </c>
      <c r="D2204">
        <v>5.52</v>
      </c>
      <c r="E2204" t="str" cm="1">
        <f t="array" ref="E2204">_xlfn.IFS(D2204&lt;5.7,"Normal",D2204&lt;=6.4,"Prediabetes",D2204&gt;=6.5,"Diabetes")</f>
        <v>Normal</v>
      </c>
      <c r="F2204" s="3" t="s">
        <v>2379</v>
      </c>
      <c r="G2204" s="3" t="s">
        <v>2381</v>
      </c>
      <c r="H2204" s="3" t="s">
        <v>2379</v>
      </c>
      <c r="I2204" s="1">
        <v>1</v>
      </c>
      <c r="J2204">
        <v>1</v>
      </c>
      <c r="K2204" s="3" t="s">
        <v>2379</v>
      </c>
      <c r="P2204" s="3"/>
    </row>
    <row r="2205" spans="1:16" x14ac:dyDescent="0.25">
      <c r="A2205" s="3" t="s">
        <v>153</v>
      </c>
      <c r="B2205">
        <v>39.82</v>
      </c>
      <c r="C2205" t="str" cm="1">
        <f t="array" ref="C2205">_xlfn.IFS(B2205&lt;=18.5,  "Underweight",B2205&lt;=24.9,"Normal weight",B2205&lt;=29.9, "Over weight",B2205&gt;=30,"Obesity")</f>
        <v>Obesity</v>
      </c>
      <c r="D2205">
        <v>6.01</v>
      </c>
      <c r="E2205" t="str" cm="1">
        <f t="array" ref="E2205">_xlfn.IFS(D2205&lt;5.7,"Normal",D2205&lt;=6.4,"Prediabetes",D2205&gt;=6.5,"Diabetes")</f>
        <v>Prediabetes</v>
      </c>
      <c r="F2205" s="3" t="s">
        <v>2379</v>
      </c>
      <c r="G2205" s="3" t="s">
        <v>2381</v>
      </c>
      <c r="H2205" s="3" t="s">
        <v>2379</v>
      </c>
      <c r="I2205" s="1">
        <v>1</v>
      </c>
      <c r="J2205">
        <v>1</v>
      </c>
      <c r="K2205" s="3" t="s">
        <v>2379</v>
      </c>
      <c r="P2205" s="3"/>
    </row>
    <row r="2206" spans="1:16" x14ac:dyDescent="0.25">
      <c r="A2206" s="3" t="s">
        <v>152</v>
      </c>
      <c r="B2206">
        <v>39.159999999999997</v>
      </c>
      <c r="C2206" t="str" cm="1">
        <f t="array" ref="C2206">_xlfn.IFS(B2206&lt;=18.5,  "Underweight",B2206&lt;=24.9,"Normal weight",B2206&lt;=29.9, "Over weight",B2206&gt;=30,"Obesity")</f>
        <v>Obesity</v>
      </c>
      <c r="D2206">
        <v>5.81</v>
      </c>
      <c r="E2206" t="str" cm="1">
        <f t="array" ref="E2206">_xlfn.IFS(D2206&lt;5.7,"Normal",D2206&lt;=6.4,"Prediabetes",D2206&gt;=6.5,"Diabetes")</f>
        <v>Prediabetes</v>
      </c>
      <c r="F2206" s="3" t="s">
        <v>2379</v>
      </c>
      <c r="G2206" s="3" t="s">
        <v>2381</v>
      </c>
      <c r="H2206" s="3" t="s">
        <v>2379</v>
      </c>
      <c r="I2206" s="1">
        <v>1</v>
      </c>
      <c r="J2206">
        <v>1</v>
      </c>
      <c r="K2206" s="3" t="s">
        <v>2379</v>
      </c>
      <c r="P2206" s="3"/>
    </row>
    <row r="2207" spans="1:16" x14ac:dyDescent="0.25">
      <c r="A2207" s="3" t="s">
        <v>151</v>
      </c>
      <c r="B2207">
        <v>25.555</v>
      </c>
      <c r="C2207" t="str" cm="1">
        <f t="array" ref="C2207">_xlfn.IFS(B2207&lt;=18.5,  "Underweight",B2207&lt;=24.9,"Normal weight",B2207&lt;=29.9, "Over weight",B2207&gt;=30,"Obesity")</f>
        <v>Over weight</v>
      </c>
      <c r="D2207">
        <v>4.37</v>
      </c>
      <c r="E2207" t="str" cm="1">
        <f t="array" ref="E2207">_xlfn.IFS(D2207&lt;5.7,"Normal",D2207&lt;=6.4,"Prediabetes",D2207&gt;=6.5,"Diabetes")</f>
        <v>Normal</v>
      </c>
      <c r="F2207" s="3" t="s">
        <v>2379</v>
      </c>
      <c r="G2207" s="3" t="s">
        <v>2379</v>
      </c>
      <c r="H2207" s="3" t="s">
        <v>2382</v>
      </c>
      <c r="I2207" s="1">
        <v>1</v>
      </c>
      <c r="J2207">
        <v>1</v>
      </c>
      <c r="K2207" s="3" t="s">
        <v>2379</v>
      </c>
      <c r="P2207" s="3"/>
    </row>
    <row r="2208" spans="1:16" x14ac:dyDescent="0.25">
      <c r="A2208" s="3" t="s">
        <v>150</v>
      </c>
      <c r="B2208">
        <v>25.175000000000001</v>
      </c>
      <c r="C2208" t="str" cm="1">
        <f t="array" ref="C2208">_xlfn.IFS(B2208&lt;=18.5,  "Underweight",B2208&lt;=24.9,"Normal weight",B2208&lt;=29.9, "Over weight",B2208&gt;=30,"Obesity")</f>
        <v>Over weight</v>
      </c>
      <c r="D2208">
        <v>5.74</v>
      </c>
      <c r="E2208" t="str" cm="1">
        <f t="array" ref="E2208">_xlfn.IFS(D2208&lt;5.7,"Normal",D2208&lt;=6.4,"Prediabetes",D2208&gt;=6.5,"Diabetes")</f>
        <v>Prediabetes</v>
      </c>
      <c r="F2208" s="3" t="s">
        <v>2379</v>
      </c>
      <c r="G2208" s="3" t="s">
        <v>2379</v>
      </c>
      <c r="H2208" s="3" t="s">
        <v>2382</v>
      </c>
      <c r="I2208" s="1">
        <v>1</v>
      </c>
      <c r="J2208">
        <v>1</v>
      </c>
      <c r="K2208" s="3" t="s">
        <v>2379</v>
      </c>
      <c r="P2208" s="3"/>
    </row>
    <row r="2209" spans="1:16" x14ac:dyDescent="0.25">
      <c r="A2209" s="3" t="s">
        <v>149</v>
      </c>
      <c r="B2209">
        <v>38.28</v>
      </c>
      <c r="C2209" t="str" cm="1">
        <f t="array" ref="C2209">_xlfn.IFS(B2209&lt;=18.5,  "Underweight",B2209&lt;=24.9,"Normal weight",B2209&lt;=29.9, "Over weight",B2209&gt;=30,"Obesity")</f>
        <v>Obesity</v>
      </c>
      <c r="D2209">
        <v>5.39</v>
      </c>
      <c r="E2209" t="str" cm="1">
        <f t="array" ref="E2209">_xlfn.IFS(D2209&lt;5.7,"Normal",D2209&lt;=6.4,"Prediabetes",D2209&gt;=6.5,"Diabetes")</f>
        <v>Normal</v>
      </c>
      <c r="F2209" s="3" t="s">
        <v>2379</v>
      </c>
      <c r="G2209" s="3" t="s">
        <v>2381</v>
      </c>
      <c r="H2209" s="3" t="s">
        <v>2379</v>
      </c>
      <c r="I2209" s="1">
        <v>1</v>
      </c>
      <c r="J2209">
        <v>1</v>
      </c>
      <c r="K2209" s="3" t="s">
        <v>2379</v>
      </c>
      <c r="P2209" s="3"/>
    </row>
    <row r="2210" spans="1:16" x14ac:dyDescent="0.25">
      <c r="A2210" s="3" t="s">
        <v>148</v>
      </c>
      <c r="B2210">
        <v>38.17</v>
      </c>
      <c r="C2210" t="str" cm="1">
        <f t="array" ref="C2210">_xlfn.IFS(B2210&lt;=18.5,  "Underweight",B2210&lt;=24.9,"Normal weight",B2210&lt;=29.9, "Over weight",B2210&gt;=30,"Obesity")</f>
        <v>Obesity</v>
      </c>
      <c r="D2210">
        <v>4.07</v>
      </c>
      <c r="E2210" t="str" cm="1">
        <f t="array" ref="E2210">_xlfn.IFS(D2210&lt;5.7,"Normal",D2210&lt;=6.4,"Prediabetes",D2210&gt;=6.5,"Diabetes")</f>
        <v>Normal</v>
      </c>
      <c r="F2210" s="3" t="s">
        <v>2379</v>
      </c>
      <c r="G2210" s="3" t="s">
        <v>2381</v>
      </c>
      <c r="H2210" s="3" t="s">
        <v>2379</v>
      </c>
      <c r="I2210" s="1">
        <v>1</v>
      </c>
      <c r="J2210">
        <v>1</v>
      </c>
      <c r="K2210" s="3" t="s">
        <v>2379</v>
      </c>
      <c r="P2210" s="3"/>
    </row>
    <row r="2211" spans="1:16" x14ac:dyDescent="0.25">
      <c r="A2211" s="3" t="s">
        <v>147</v>
      </c>
      <c r="B2211">
        <v>36.85</v>
      </c>
      <c r="C2211" t="str" cm="1">
        <f t="array" ref="C2211">_xlfn.IFS(B2211&lt;=18.5,  "Underweight",B2211&lt;=24.9,"Normal weight",B2211&lt;=29.9, "Over weight",B2211&gt;=30,"Obesity")</f>
        <v>Obesity</v>
      </c>
      <c r="D2211">
        <v>5.49</v>
      </c>
      <c r="E2211" t="str" cm="1">
        <f t="array" ref="E2211">_xlfn.IFS(D2211&lt;5.7,"Normal",D2211&lt;=6.4,"Prediabetes",D2211&gt;=6.5,"Diabetes")</f>
        <v>Normal</v>
      </c>
      <c r="F2211" s="3" t="s">
        <v>2379</v>
      </c>
      <c r="G2211" s="3" t="s">
        <v>2381</v>
      </c>
      <c r="H2211" s="3" t="s">
        <v>2379</v>
      </c>
      <c r="I2211" s="1">
        <v>1</v>
      </c>
      <c r="J2211">
        <v>1</v>
      </c>
      <c r="K2211" s="3" t="s">
        <v>2379</v>
      </c>
      <c r="P2211" s="3"/>
    </row>
    <row r="2212" spans="1:16" x14ac:dyDescent="0.25">
      <c r="A2212" s="3" t="s">
        <v>146</v>
      </c>
      <c r="B2212">
        <v>22.61</v>
      </c>
      <c r="C2212" t="str" cm="1">
        <f t="array" ref="C2212">_xlfn.IFS(B2212&lt;=18.5,  "Underweight",B2212&lt;=24.9,"Normal weight",B2212&lt;=29.9, "Over weight",B2212&gt;=30,"Obesity")</f>
        <v>Normal weight</v>
      </c>
      <c r="D2212">
        <v>5.68</v>
      </c>
      <c r="E2212" t="str" cm="1">
        <f t="array" ref="E2212">_xlfn.IFS(D2212&lt;5.7,"Normal",D2212&lt;=6.4,"Prediabetes",D2212&gt;=6.5,"Diabetes")</f>
        <v>Normal</v>
      </c>
      <c r="F2212" s="3" t="s">
        <v>2379</v>
      </c>
      <c r="G2212" s="3" t="s">
        <v>2379</v>
      </c>
      <c r="H2212" s="3" t="s">
        <v>2382</v>
      </c>
      <c r="I2212" s="1">
        <v>1</v>
      </c>
      <c r="J2212">
        <v>1</v>
      </c>
      <c r="K2212" s="3" t="s">
        <v>2379</v>
      </c>
      <c r="P2212" s="3"/>
    </row>
    <row r="2213" spans="1:16" x14ac:dyDescent="0.25">
      <c r="A2213" s="3" t="s">
        <v>145</v>
      </c>
      <c r="B2213">
        <v>21.754999999999999</v>
      </c>
      <c r="C2213" t="str" cm="1">
        <f t="array" ref="C2213">_xlfn.IFS(B2213&lt;=18.5,  "Underweight",B2213&lt;=24.9,"Normal weight",B2213&lt;=29.9, "Over weight",B2213&gt;=30,"Obesity")</f>
        <v>Normal weight</v>
      </c>
      <c r="D2213">
        <v>6.09</v>
      </c>
      <c r="E2213" t="str" cm="1">
        <f t="array" ref="E2213">_xlfn.IFS(D2213&lt;5.7,"Normal",D2213&lt;=6.4,"Prediabetes",D2213&gt;=6.5,"Diabetes")</f>
        <v>Prediabetes</v>
      </c>
      <c r="F2213" s="3" t="s">
        <v>2379</v>
      </c>
      <c r="G2213" s="3" t="s">
        <v>2379</v>
      </c>
      <c r="H2213" s="3" t="s">
        <v>2382</v>
      </c>
      <c r="I2213" s="1">
        <v>1</v>
      </c>
      <c r="J2213">
        <v>1</v>
      </c>
      <c r="K2213" s="3" t="s">
        <v>2379</v>
      </c>
      <c r="P2213" s="3"/>
    </row>
    <row r="2214" spans="1:16" x14ac:dyDescent="0.25">
      <c r="A2214" s="3" t="s">
        <v>144</v>
      </c>
      <c r="B2214">
        <v>20.425000000000001</v>
      </c>
      <c r="C2214" t="str" cm="1">
        <f t="array" ref="C2214">_xlfn.IFS(B2214&lt;=18.5,  "Underweight",B2214&lt;=24.9,"Normal weight",B2214&lt;=29.9, "Over weight",B2214&gt;=30,"Obesity")</f>
        <v>Normal weight</v>
      </c>
      <c r="D2214">
        <v>5.53</v>
      </c>
      <c r="E2214" t="str" cm="1">
        <f t="array" ref="E2214">_xlfn.IFS(D2214&lt;5.7,"Normal",D2214&lt;=6.4,"Prediabetes",D2214&gt;=6.5,"Diabetes")</f>
        <v>Normal</v>
      </c>
      <c r="F2214" s="3" t="s">
        <v>2379</v>
      </c>
      <c r="G2214" s="3" t="s">
        <v>2379</v>
      </c>
      <c r="H2214" s="3" t="s">
        <v>2382</v>
      </c>
      <c r="I2214" s="1">
        <v>1</v>
      </c>
      <c r="J2214">
        <v>1</v>
      </c>
      <c r="K2214" s="3" t="s">
        <v>2379</v>
      </c>
      <c r="P2214" s="3"/>
    </row>
    <row r="2215" spans="1:16" x14ac:dyDescent="0.25">
      <c r="A2215" s="3" t="s">
        <v>143</v>
      </c>
      <c r="B2215">
        <v>31.35</v>
      </c>
      <c r="C2215" t="str" cm="1">
        <f t="array" ref="C2215">_xlfn.IFS(B2215&lt;=18.5,  "Underweight",B2215&lt;=24.9,"Normal weight",B2215&lt;=29.9, "Over weight",B2215&gt;=30,"Obesity")</f>
        <v>Obesity</v>
      </c>
      <c r="D2215">
        <v>4.28</v>
      </c>
      <c r="E2215" t="str" cm="1">
        <f t="array" ref="E2215">_xlfn.IFS(D2215&lt;5.7,"Normal",D2215&lt;=6.4,"Prediabetes",D2215&gt;=6.5,"Diabetes")</f>
        <v>Normal</v>
      </c>
      <c r="F2215" s="3" t="s">
        <v>2379</v>
      </c>
      <c r="G2215" s="3" t="s">
        <v>2381</v>
      </c>
      <c r="H2215" s="3" t="s">
        <v>2379</v>
      </c>
      <c r="I2215" s="1">
        <v>1</v>
      </c>
      <c r="J2215">
        <v>1</v>
      </c>
      <c r="K2215" s="3" t="s">
        <v>2379</v>
      </c>
      <c r="P2215" s="3"/>
    </row>
    <row r="2216" spans="1:16" x14ac:dyDescent="0.25">
      <c r="A2216" s="3" t="s">
        <v>142</v>
      </c>
      <c r="B2216">
        <v>31.13</v>
      </c>
      <c r="C2216" t="str" cm="1">
        <f t="array" ref="C2216">_xlfn.IFS(B2216&lt;=18.5,  "Underweight",B2216&lt;=24.9,"Normal weight",B2216&lt;=29.9, "Over weight",B2216&gt;=30,"Obesity")</f>
        <v>Obesity</v>
      </c>
      <c r="D2216">
        <v>6.01</v>
      </c>
      <c r="E2216" t="str" cm="1">
        <f t="array" ref="E2216">_xlfn.IFS(D2216&lt;5.7,"Normal",D2216&lt;=6.4,"Prediabetes",D2216&gt;=6.5,"Diabetes")</f>
        <v>Prediabetes</v>
      </c>
      <c r="F2216" s="3" t="s">
        <v>2379</v>
      </c>
      <c r="G2216" s="3" t="s">
        <v>2381</v>
      </c>
      <c r="H2216" s="3" t="s">
        <v>2379</v>
      </c>
      <c r="I2216" s="1">
        <v>1</v>
      </c>
      <c r="J2216">
        <v>1</v>
      </c>
      <c r="K2216" s="3" t="s">
        <v>2379</v>
      </c>
      <c r="P2216" s="3"/>
    </row>
    <row r="2217" spans="1:16" x14ac:dyDescent="0.25">
      <c r="A2217" s="3" t="s">
        <v>141</v>
      </c>
      <c r="B2217">
        <v>17.48</v>
      </c>
      <c r="C2217" t="str" cm="1">
        <f t="array" ref="C2217">_xlfn.IFS(B2217&lt;=18.5,  "Underweight",B2217&lt;=24.9,"Normal weight",B2217&lt;=29.9, "Over weight",B2217&gt;=30,"Obesity")</f>
        <v>Underweight</v>
      </c>
      <c r="D2217">
        <v>4.59</v>
      </c>
      <c r="E2217" t="str" cm="1">
        <f t="array" ref="E2217">_xlfn.IFS(D2217&lt;5.7,"Normal",D2217&lt;=6.4,"Prediabetes",D2217&gt;=6.5,"Diabetes")</f>
        <v>Normal</v>
      </c>
      <c r="F2217" s="3" t="s">
        <v>2379</v>
      </c>
      <c r="G2217" s="3" t="s">
        <v>2379</v>
      </c>
      <c r="H2217" s="3" t="s">
        <v>2382</v>
      </c>
      <c r="I2217" s="1">
        <v>1</v>
      </c>
      <c r="J2217">
        <v>1</v>
      </c>
      <c r="K2217" s="3" t="s">
        <v>2379</v>
      </c>
      <c r="P2217" s="3"/>
    </row>
    <row r="2218" spans="1:16" x14ac:dyDescent="0.25">
      <c r="A2218" s="3" t="s">
        <v>140</v>
      </c>
      <c r="B2218">
        <v>22.57</v>
      </c>
      <c r="C2218" t="str" cm="1">
        <f t="array" ref="C2218">_xlfn.IFS(B2218&lt;=18.5,  "Underweight",B2218&lt;=24.9,"Normal weight",B2218&lt;=29.9, "Over weight",B2218&gt;=30,"Obesity")</f>
        <v>Normal weight</v>
      </c>
      <c r="D2218">
        <v>5.8</v>
      </c>
      <c r="E2218" t="str" cm="1">
        <f t="array" ref="E2218">_xlfn.IFS(D2218&lt;5.7,"Normal",D2218&lt;=6.4,"Prediabetes",D2218&gt;=6.5,"Diabetes")</f>
        <v>Prediabetes</v>
      </c>
      <c r="F2218" s="3" t="s">
        <v>2382</v>
      </c>
      <c r="G2218" s="3" t="s">
        <v>2379</v>
      </c>
      <c r="H2218" s="3" t="s">
        <v>2379</v>
      </c>
      <c r="I2218" s="1">
        <v>1</v>
      </c>
      <c r="J2218">
        <v>1</v>
      </c>
      <c r="K2218" s="3" t="s">
        <v>2379</v>
      </c>
      <c r="P2218" s="3"/>
    </row>
    <row r="2219" spans="1:16" x14ac:dyDescent="0.25">
      <c r="A2219" s="3" t="s">
        <v>139</v>
      </c>
      <c r="B2219">
        <v>26.73</v>
      </c>
      <c r="C2219" t="str" cm="1">
        <f t="array" ref="C2219">_xlfn.IFS(B2219&lt;=18.5,  "Underweight",B2219&lt;=24.9,"Normal weight",B2219&lt;=29.9, "Over weight",B2219&gt;=30,"Obesity")</f>
        <v>Over weight</v>
      </c>
      <c r="D2219">
        <v>5.08</v>
      </c>
      <c r="E2219" t="str" cm="1">
        <f t="array" ref="E2219">_xlfn.IFS(D2219&lt;5.7,"Normal",D2219&lt;=6.4,"Prediabetes",D2219&gt;=6.5,"Diabetes")</f>
        <v>Normal</v>
      </c>
      <c r="F2219" s="3" t="s">
        <v>2379</v>
      </c>
      <c r="G2219" s="3" t="s">
        <v>2381</v>
      </c>
      <c r="H2219" s="3" t="s">
        <v>2379</v>
      </c>
      <c r="I2219" s="1">
        <v>1</v>
      </c>
      <c r="J2219">
        <v>1</v>
      </c>
      <c r="K2219" s="3" t="s">
        <v>2379</v>
      </c>
      <c r="P2219" s="3"/>
    </row>
    <row r="2220" spans="1:16" x14ac:dyDescent="0.25">
      <c r="A2220" s="3" t="s">
        <v>138</v>
      </c>
      <c r="B2220">
        <v>20.79</v>
      </c>
      <c r="C2220" t="str" cm="1">
        <f t="array" ref="C2220">_xlfn.IFS(B2220&lt;=18.5,  "Underweight",B2220&lt;=24.9,"Normal weight",B2220&lt;=29.9, "Over weight",B2220&gt;=30,"Obesity")</f>
        <v>Normal weight</v>
      </c>
      <c r="D2220">
        <v>5.84</v>
      </c>
      <c r="E2220" t="str" cm="1">
        <f t="array" ref="E2220">_xlfn.IFS(D2220&lt;5.7,"Normal",D2220&lt;=6.4,"Prediabetes",D2220&gt;=6.5,"Diabetes")</f>
        <v>Prediabetes</v>
      </c>
      <c r="F2220" s="3" t="s">
        <v>2379</v>
      </c>
      <c r="G2220" s="3" t="s">
        <v>2381</v>
      </c>
      <c r="H2220" s="3" t="s">
        <v>2379</v>
      </c>
      <c r="I2220" s="1">
        <v>1</v>
      </c>
      <c r="J2220">
        <v>1</v>
      </c>
      <c r="K2220" s="3" t="s">
        <v>2379</v>
      </c>
      <c r="P2220" s="3"/>
    </row>
    <row r="2221" spans="1:16" x14ac:dyDescent="0.25">
      <c r="A2221" s="3" t="s">
        <v>137</v>
      </c>
      <c r="B2221">
        <v>20.149999999999999</v>
      </c>
      <c r="C2221" t="str" cm="1">
        <f t="array" ref="C2221">_xlfn.IFS(B2221&lt;=18.5,  "Underweight",B2221&lt;=24.9,"Normal weight",B2221&lt;=29.9, "Over weight",B2221&gt;=30,"Obesity")</f>
        <v>Normal weight</v>
      </c>
      <c r="D2221">
        <v>4.1500000000000004</v>
      </c>
      <c r="E2221" t="str" cm="1">
        <f t="array" ref="E2221">_xlfn.IFS(D2221&lt;5.7,"Normal",D2221&lt;=6.4,"Prediabetes",D2221&gt;=6.5,"Diabetes")</f>
        <v>Normal</v>
      </c>
      <c r="F2221" s="3" t="s">
        <v>2379</v>
      </c>
      <c r="G2221" s="3" t="s">
        <v>2379</v>
      </c>
      <c r="H2221" s="3" t="s">
        <v>2379</v>
      </c>
      <c r="I2221" s="1">
        <v>1</v>
      </c>
      <c r="J2221">
        <v>1</v>
      </c>
      <c r="K2221" s="3" t="s">
        <v>2379</v>
      </c>
      <c r="P2221" s="3"/>
    </row>
    <row r="2222" spans="1:16" x14ac:dyDescent="0.25">
      <c r="A2222" s="3" t="s">
        <v>136</v>
      </c>
      <c r="B2222">
        <v>36.85</v>
      </c>
      <c r="C2222" t="str" cm="1">
        <f t="array" ref="C2222">_xlfn.IFS(B2222&lt;=18.5,  "Underweight",B2222&lt;=24.9,"Normal weight",B2222&lt;=29.9, "Over weight",B2222&gt;=30,"Obesity")</f>
        <v>Obesity</v>
      </c>
      <c r="D2222">
        <v>4.3600000000000003</v>
      </c>
      <c r="E2222" t="str" cm="1">
        <f t="array" ref="E2222">_xlfn.IFS(D2222&lt;5.7,"Normal",D2222&lt;=6.4,"Prediabetes",D2222&gt;=6.5,"Diabetes")</f>
        <v>Normal</v>
      </c>
      <c r="F2222" s="3" t="s">
        <v>2382</v>
      </c>
      <c r="G2222" s="3" t="s">
        <v>2379</v>
      </c>
      <c r="H2222" s="3" t="s">
        <v>2379</v>
      </c>
      <c r="I2222" s="1" t="s">
        <v>2380</v>
      </c>
      <c r="J2222">
        <v>0</v>
      </c>
      <c r="K2222" s="3" t="s">
        <v>2379</v>
      </c>
      <c r="P2222" s="3"/>
    </row>
    <row r="2223" spans="1:16" x14ac:dyDescent="0.25">
      <c r="A2223" s="3" t="s">
        <v>135</v>
      </c>
      <c r="B2223">
        <v>35.53</v>
      </c>
      <c r="C2223" t="str" cm="1">
        <f t="array" ref="C2223">_xlfn.IFS(B2223&lt;=18.5,  "Underweight",B2223&lt;=24.9,"Normal weight",B2223&lt;=29.9, "Over weight",B2223&gt;=30,"Obesity")</f>
        <v>Obesity</v>
      </c>
      <c r="D2223">
        <v>4.55</v>
      </c>
      <c r="E2223" t="str" cm="1">
        <f t="array" ref="E2223">_xlfn.IFS(D2223&lt;5.7,"Normal",D2223&lt;=6.4,"Prediabetes",D2223&gt;=6.5,"Diabetes")</f>
        <v>Normal</v>
      </c>
      <c r="F2223" s="3" t="s">
        <v>2382</v>
      </c>
      <c r="G2223" s="3" t="s">
        <v>2379</v>
      </c>
      <c r="H2223" s="3" t="s">
        <v>2379</v>
      </c>
      <c r="I2223" s="1" t="s">
        <v>2380</v>
      </c>
      <c r="J2223">
        <v>0</v>
      </c>
      <c r="K2223" s="3" t="s">
        <v>2379</v>
      </c>
      <c r="P2223" s="3"/>
    </row>
    <row r="2224" spans="1:16" x14ac:dyDescent="0.25">
      <c r="A2224" s="3" t="s">
        <v>134</v>
      </c>
      <c r="B2224">
        <v>31.1</v>
      </c>
      <c r="C2224" t="str" cm="1">
        <f t="array" ref="C2224">_xlfn.IFS(B2224&lt;=18.5,  "Underweight",B2224&lt;=24.9,"Normal weight",B2224&lt;=29.9, "Over weight",B2224&gt;=30,"Obesity")</f>
        <v>Obesity</v>
      </c>
      <c r="D2224">
        <v>4.37</v>
      </c>
      <c r="E2224" t="str" cm="1">
        <f t="array" ref="E2224">_xlfn.IFS(D2224&lt;5.7,"Normal",D2224&lt;=6.4,"Prediabetes",D2224&gt;=6.5,"Diabetes")</f>
        <v>Normal</v>
      </c>
      <c r="F2224" s="3" t="s">
        <v>2382</v>
      </c>
      <c r="G2224" s="3" t="s">
        <v>2379</v>
      </c>
      <c r="H2224" s="3" t="s">
        <v>2379</v>
      </c>
      <c r="I2224" s="1" t="s">
        <v>2380</v>
      </c>
      <c r="J2224">
        <v>0</v>
      </c>
      <c r="K2224" s="3" t="s">
        <v>2379</v>
      </c>
      <c r="P2224" s="3"/>
    </row>
    <row r="2225" spans="1:16" x14ac:dyDescent="0.25">
      <c r="A2225" s="3" t="s">
        <v>133</v>
      </c>
      <c r="B2225">
        <v>23.21</v>
      </c>
      <c r="C2225" t="str" cm="1">
        <f t="array" ref="C2225">_xlfn.IFS(B2225&lt;=18.5,  "Underweight",B2225&lt;=24.9,"Normal weight",B2225&lt;=29.9, "Over weight",B2225&gt;=30,"Obesity")</f>
        <v>Normal weight</v>
      </c>
      <c r="D2225">
        <v>5.24</v>
      </c>
      <c r="E2225" t="str" cm="1">
        <f t="array" ref="E2225">_xlfn.IFS(D2225&lt;5.7,"Normal",D2225&lt;=6.4,"Prediabetes",D2225&gt;=6.5,"Diabetes")</f>
        <v>Normal</v>
      </c>
      <c r="F2225" s="3" t="s">
        <v>2382</v>
      </c>
      <c r="G2225" s="3" t="s">
        <v>2379</v>
      </c>
      <c r="H2225" s="3" t="s">
        <v>2379</v>
      </c>
      <c r="I2225" s="1" t="s">
        <v>2380</v>
      </c>
      <c r="J2225">
        <v>0</v>
      </c>
      <c r="K2225" s="3" t="s">
        <v>2379</v>
      </c>
      <c r="P2225" s="3"/>
    </row>
    <row r="2226" spans="1:16" x14ac:dyDescent="0.25">
      <c r="A2226" s="3" t="s">
        <v>132</v>
      </c>
      <c r="B2226">
        <v>18.36</v>
      </c>
      <c r="C2226" t="str" cm="1">
        <f t="array" ref="C2226">_xlfn.IFS(B2226&lt;=18.5,  "Underweight",B2226&lt;=24.9,"Normal weight",B2226&lt;=29.9, "Over weight",B2226&gt;=30,"Obesity")</f>
        <v>Underweight</v>
      </c>
      <c r="D2226">
        <v>5.96</v>
      </c>
      <c r="E2226" t="str" cm="1">
        <f t="array" ref="E2226">_xlfn.IFS(D2226&lt;5.7,"Normal",D2226&lt;=6.4,"Prediabetes",D2226&gt;=6.5,"Diabetes")</f>
        <v>Prediabetes</v>
      </c>
      <c r="F2226" s="3" t="s">
        <v>2379</v>
      </c>
      <c r="G2226" s="3" t="s">
        <v>2379</v>
      </c>
      <c r="H2226" s="3" t="s">
        <v>2379</v>
      </c>
      <c r="I2226" s="1">
        <v>1</v>
      </c>
      <c r="J2226">
        <v>1</v>
      </c>
      <c r="K2226" s="3" t="s">
        <v>2379</v>
      </c>
      <c r="P2226" s="3"/>
    </row>
    <row r="2227" spans="1:16" x14ac:dyDescent="0.25">
      <c r="A2227" s="3" t="s">
        <v>131</v>
      </c>
      <c r="B2227">
        <v>15.92</v>
      </c>
      <c r="C2227" t="str" cm="1">
        <f t="array" ref="C2227">_xlfn.IFS(B2227&lt;=18.5,  "Underweight",B2227&lt;=24.9,"Normal weight",B2227&lt;=29.9, "Over weight",B2227&gt;=30,"Obesity")</f>
        <v>Underweight</v>
      </c>
      <c r="D2227">
        <v>4.76</v>
      </c>
      <c r="E2227" t="str" cm="1">
        <f t="array" ref="E2227">_xlfn.IFS(D2227&lt;5.7,"Normal",D2227&lt;=6.4,"Prediabetes",D2227&gt;=6.5,"Diabetes")</f>
        <v>Normal</v>
      </c>
      <c r="F2227" s="3" t="s">
        <v>2382</v>
      </c>
      <c r="G2227" s="3" t="s">
        <v>2379</v>
      </c>
      <c r="H2227" s="3" t="s">
        <v>2379</v>
      </c>
      <c r="I2227" s="1">
        <v>1</v>
      </c>
      <c r="J2227">
        <v>1</v>
      </c>
      <c r="K2227" s="3" t="s">
        <v>2379</v>
      </c>
      <c r="P2227" s="3"/>
    </row>
    <row r="2228" spans="1:16" x14ac:dyDescent="0.25">
      <c r="A2228" s="3" t="s">
        <v>130</v>
      </c>
      <c r="B2228">
        <v>15.17</v>
      </c>
      <c r="C2228" t="str" cm="1">
        <f t="array" ref="C2228">_xlfn.IFS(B2228&lt;=18.5,  "Underweight",B2228&lt;=24.9,"Normal weight",B2228&lt;=29.9, "Over weight",B2228&gt;=30,"Obesity")</f>
        <v>Underweight</v>
      </c>
      <c r="D2228">
        <v>4.3</v>
      </c>
      <c r="E2228" t="str" cm="1">
        <f t="array" ref="E2228">_xlfn.IFS(D2228&lt;5.7,"Normal",D2228&lt;=6.4,"Prediabetes",D2228&gt;=6.5,"Diabetes")</f>
        <v>Normal</v>
      </c>
      <c r="F2228" s="3" t="s">
        <v>2382</v>
      </c>
      <c r="G2228" s="3" t="s">
        <v>2379</v>
      </c>
      <c r="H2228" s="3" t="s">
        <v>2382</v>
      </c>
      <c r="I2228" s="1">
        <v>1</v>
      </c>
      <c r="J2228">
        <v>1</v>
      </c>
      <c r="K2228" s="3" t="s">
        <v>2379</v>
      </c>
      <c r="P2228" s="3"/>
    </row>
    <row r="2229" spans="1:16" x14ac:dyDescent="0.25">
      <c r="A2229" s="3" t="s">
        <v>129</v>
      </c>
      <c r="B2229">
        <v>16.63</v>
      </c>
      <c r="C2229" t="str" cm="1">
        <f t="array" ref="C2229">_xlfn.IFS(B2229&lt;=18.5,  "Underweight",B2229&lt;=24.9,"Normal weight",B2229&lt;=29.9, "Over weight",B2229&gt;=30,"Obesity")</f>
        <v>Underweight</v>
      </c>
      <c r="D2229">
        <v>4.5</v>
      </c>
      <c r="E2229" t="str" cm="1">
        <f t="array" ref="E2229">_xlfn.IFS(D2229&lt;5.7,"Normal",D2229&lt;=6.4,"Prediabetes",D2229&gt;=6.5,"Diabetes")</f>
        <v>Normal</v>
      </c>
      <c r="F2229" s="3" t="s">
        <v>2379</v>
      </c>
      <c r="G2229" s="3" t="s">
        <v>2379</v>
      </c>
      <c r="H2229" s="3" t="s">
        <v>2379</v>
      </c>
      <c r="I2229" s="1">
        <v>1</v>
      </c>
      <c r="J2229">
        <v>1</v>
      </c>
      <c r="K2229" s="3" t="s">
        <v>2379</v>
      </c>
      <c r="P2229" s="3"/>
    </row>
    <row r="2230" spans="1:16" x14ac:dyDescent="0.25">
      <c r="A2230" s="3" t="s">
        <v>128</v>
      </c>
      <c r="B2230">
        <v>19.39</v>
      </c>
      <c r="C2230" t="str" cm="1">
        <f t="array" ref="C2230">_xlfn.IFS(B2230&lt;=18.5,  "Underweight",B2230&lt;=24.9,"Normal weight",B2230&lt;=29.9, "Over weight",B2230&gt;=30,"Obesity")</f>
        <v>Normal weight</v>
      </c>
      <c r="D2230">
        <v>5.59</v>
      </c>
      <c r="E2230" t="str" cm="1">
        <f t="array" ref="E2230">_xlfn.IFS(D2230&lt;5.7,"Normal",D2230&lt;=6.4,"Prediabetes",D2230&gt;=6.5,"Diabetes")</f>
        <v>Normal</v>
      </c>
      <c r="F2230" s="3" t="s">
        <v>2379</v>
      </c>
      <c r="G2230" s="3" t="s">
        <v>2379</v>
      </c>
      <c r="H2230" s="3" t="s">
        <v>2382</v>
      </c>
      <c r="I2230" s="1">
        <v>1</v>
      </c>
      <c r="J2230">
        <v>1</v>
      </c>
      <c r="K2230" s="3" t="s">
        <v>2379</v>
      </c>
      <c r="P2230" s="3"/>
    </row>
    <row r="2231" spans="1:16" x14ac:dyDescent="0.25">
      <c r="A2231" s="3" t="s">
        <v>127</v>
      </c>
      <c r="B2231">
        <v>17.34</v>
      </c>
      <c r="C2231" t="str" cm="1">
        <f t="array" ref="C2231">_xlfn.IFS(B2231&lt;=18.5,  "Underweight",B2231&lt;=24.9,"Normal weight",B2231&lt;=29.9, "Over weight",B2231&gt;=30,"Obesity")</f>
        <v>Underweight</v>
      </c>
      <c r="D2231">
        <v>6.29</v>
      </c>
      <c r="E2231" t="str" cm="1">
        <f t="array" ref="E2231">_xlfn.IFS(D2231&lt;5.7,"Normal",D2231&lt;=6.4,"Prediabetes",D2231&gt;=6.5,"Diabetes")</f>
        <v>Prediabetes</v>
      </c>
      <c r="F2231" s="3" t="s">
        <v>2382</v>
      </c>
      <c r="G2231" s="3" t="s">
        <v>2379</v>
      </c>
      <c r="H2231" s="3" t="s">
        <v>2382</v>
      </c>
      <c r="I2231" s="1">
        <v>1</v>
      </c>
      <c r="J2231">
        <v>1</v>
      </c>
      <c r="K2231" s="3" t="s">
        <v>2379</v>
      </c>
      <c r="P2231" s="3"/>
    </row>
    <row r="2232" spans="1:16" x14ac:dyDescent="0.25">
      <c r="A2232" s="3" t="s">
        <v>126</v>
      </c>
      <c r="B2232">
        <v>17.940000000000001</v>
      </c>
      <c r="C2232" t="str" cm="1">
        <f t="array" ref="C2232">_xlfn.IFS(B2232&lt;=18.5,  "Underweight",B2232&lt;=24.9,"Normal weight",B2232&lt;=29.9, "Over weight",B2232&gt;=30,"Obesity")</f>
        <v>Underweight</v>
      </c>
      <c r="D2232">
        <v>4.1900000000000004</v>
      </c>
      <c r="E2232" t="str" cm="1">
        <f t="array" ref="E2232">_xlfn.IFS(D2232&lt;5.7,"Normal",D2232&lt;=6.4,"Prediabetes",D2232&gt;=6.5,"Diabetes")</f>
        <v>Normal</v>
      </c>
      <c r="F2232" s="3" t="s">
        <v>2379</v>
      </c>
      <c r="G2232" s="3" t="s">
        <v>2381</v>
      </c>
      <c r="H2232" s="3" t="s">
        <v>2379</v>
      </c>
      <c r="I2232" s="1">
        <v>1</v>
      </c>
      <c r="J2232">
        <v>1</v>
      </c>
      <c r="K2232" s="3" t="s">
        <v>2379</v>
      </c>
      <c r="P2232" s="3"/>
    </row>
    <row r="2233" spans="1:16" x14ac:dyDescent="0.25">
      <c r="A2233" s="3" t="s">
        <v>125</v>
      </c>
      <c r="B2233">
        <v>16.670000000000002</v>
      </c>
      <c r="C2233" t="str" cm="1">
        <f t="array" ref="C2233">_xlfn.IFS(B2233&lt;=18.5,  "Underweight",B2233&lt;=24.9,"Normal weight",B2233&lt;=29.9, "Over weight",B2233&gt;=30,"Obesity")</f>
        <v>Underweight</v>
      </c>
      <c r="D2233">
        <v>4.7</v>
      </c>
      <c r="E2233" t="str" cm="1">
        <f t="array" ref="E2233">_xlfn.IFS(D2233&lt;5.7,"Normal",D2233&lt;=6.4,"Prediabetes",D2233&gt;=6.5,"Diabetes")</f>
        <v>Normal</v>
      </c>
      <c r="F2233" s="3" t="s">
        <v>2382</v>
      </c>
      <c r="G2233" s="3" t="s">
        <v>2379</v>
      </c>
      <c r="H2233" s="3" t="s">
        <v>2382</v>
      </c>
      <c r="I2233" s="1">
        <v>1</v>
      </c>
      <c r="J2233">
        <v>1</v>
      </c>
      <c r="K2233" s="3" t="s">
        <v>2379</v>
      </c>
      <c r="P2233" s="3"/>
    </row>
    <row r="2234" spans="1:16" x14ac:dyDescent="0.25">
      <c r="A2234" s="3" t="s">
        <v>124</v>
      </c>
      <c r="B2234">
        <v>20.58</v>
      </c>
      <c r="C2234" t="str" cm="1">
        <f t="array" ref="C2234">_xlfn.IFS(B2234&lt;=18.5,  "Underweight",B2234&lt;=24.9,"Normal weight",B2234&lt;=29.9, "Over weight",B2234&gt;=30,"Obesity")</f>
        <v>Normal weight</v>
      </c>
      <c r="D2234">
        <v>5.64</v>
      </c>
      <c r="E2234" t="str" cm="1">
        <f t="array" ref="E2234">_xlfn.IFS(D2234&lt;5.7,"Normal",D2234&lt;=6.4,"Prediabetes",D2234&gt;=6.5,"Diabetes")</f>
        <v>Normal</v>
      </c>
      <c r="F2234" s="3" t="s">
        <v>2382</v>
      </c>
      <c r="G2234" s="3" t="s">
        <v>2379</v>
      </c>
      <c r="H2234" s="3" t="s">
        <v>2379</v>
      </c>
      <c r="I2234" s="1" t="s">
        <v>2380</v>
      </c>
      <c r="J2234">
        <v>0</v>
      </c>
      <c r="K2234" s="3" t="s">
        <v>2379</v>
      </c>
      <c r="P2234" s="3"/>
    </row>
    <row r="2235" spans="1:16" x14ac:dyDescent="0.25">
      <c r="A2235" s="3" t="s">
        <v>123</v>
      </c>
      <c r="B2235">
        <v>16.5</v>
      </c>
      <c r="C2235" t="str" cm="1">
        <f t="array" ref="C2235">_xlfn.IFS(B2235&lt;=18.5,  "Underweight",B2235&lt;=24.9,"Normal weight",B2235&lt;=29.9, "Over weight",B2235&gt;=30,"Obesity")</f>
        <v>Underweight</v>
      </c>
      <c r="D2235">
        <v>4.1100000000000003</v>
      </c>
      <c r="E2235" t="str" cm="1">
        <f t="array" ref="E2235">_xlfn.IFS(D2235&lt;5.7,"Normal",D2235&lt;=6.4,"Prediabetes",D2235&gt;=6.5,"Diabetes")</f>
        <v>Normal</v>
      </c>
      <c r="F2235" s="3" t="s">
        <v>2382</v>
      </c>
      <c r="G2235" s="3" t="s">
        <v>2379</v>
      </c>
      <c r="H2235" s="3" t="s">
        <v>2379</v>
      </c>
      <c r="I2235" s="1" t="s">
        <v>2380</v>
      </c>
      <c r="J2235">
        <v>0</v>
      </c>
      <c r="K2235" s="3" t="s">
        <v>2379</v>
      </c>
      <c r="P2235" s="3"/>
    </row>
    <row r="2236" spans="1:16" x14ac:dyDescent="0.25">
      <c r="A2236" s="3" t="s">
        <v>122</v>
      </c>
      <c r="B2236">
        <v>15.41</v>
      </c>
      <c r="C2236" t="str" cm="1">
        <f t="array" ref="C2236">_xlfn.IFS(B2236&lt;=18.5,  "Underweight",B2236&lt;=24.9,"Normal weight",B2236&lt;=29.9, "Over weight",B2236&gt;=30,"Obesity")</f>
        <v>Underweight</v>
      </c>
      <c r="D2236">
        <v>5.43</v>
      </c>
      <c r="E2236" t="str" cm="1">
        <f t="array" ref="E2236">_xlfn.IFS(D2236&lt;5.7,"Normal",D2236&lt;=6.4,"Prediabetes",D2236&gt;=6.5,"Diabetes")</f>
        <v>Normal</v>
      </c>
      <c r="F2236" s="3" t="s">
        <v>2382</v>
      </c>
      <c r="G2236" s="3" t="s">
        <v>2379</v>
      </c>
      <c r="H2236" s="3" t="s">
        <v>2382</v>
      </c>
      <c r="I2236" s="1">
        <v>1</v>
      </c>
      <c r="J2236">
        <v>1</v>
      </c>
      <c r="K2236" s="3" t="s">
        <v>2379</v>
      </c>
      <c r="P2236" s="3"/>
    </row>
    <row r="2237" spans="1:16" x14ac:dyDescent="0.25">
      <c r="A2237" s="3" t="s">
        <v>121</v>
      </c>
      <c r="B2237">
        <v>24.59</v>
      </c>
      <c r="C2237" t="str" cm="1">
        <f t="array" ref="C2237">_xlfn.IFS(B2237&lt;=18.5,  "Underweight",B2237&lt;=24.9,"Normal weight",B2237&lt;=29.9, "Over weight",B2237&gt;=30,"Obesity")</f>
        <v>Normal weight</v>
      </c>
      <c r="D2237">
        <v>4.38</v>
      </c>
      <c r="E2237" t="str" cm="1">
        <f t="array" ref="E2237">_xlfn.IFS(D2237&lt;5.7,"Normal",D2237&lt;=6.4,"Prediabetes",D2237&gt;=6.5,"Diabetes")</f>
        <v>Normal</v>
      </c>
      <c r="F2237" s="3" t="s">
        <v>2379</v>
      </c>
      <c r="G2237" s="3" t="s">
        <v>2379</v>
      </c>
      <c r="H2237" s="3" t="s">
        <v>2379</v>
      </c>
      <c r="I2237" s="1">
        <v>1</v>
      </c>
      <c r="J2237">
        <v>1</v>
      </c>
      <c r="K2237" s="3" t="s">
        <v>2379</v>
      </c>
      <c r="P2237" s="3"/>
    </row>
    <row r="2238" spans="1:16" x14ac:dyDescent="0.25">
      <c r="A2238" s="3" t="s">
        <v>120</v>
      </c>
      <c r="B2238">
        <v>33.33</v>
      </c>
      <c r="C2238" t="str" cm="1">
        <f t="array" ref="C2238">_xlfn.IFS(B2238&lt;=18.5,  "Underweight",B2238&lt;=24.9,"Normal weight",B2238&lt;=29.9, "Over weight",B2238&gt;=30,"Obesity")</f>
        <v>Obesity</v>
      </c>
      <c r="D2238">
        <v>9.7899999999999991</v>
      </c>
      <c r="E2238" t="str" cm="1">
        <f t="array" ref="E2238">_xlfn.IFS(D2238&lt;5.7,"Normal",D2238&lt;=6.4,"Prediabetes",D2238&gt;=6.5,"Diabetes")</f>
        <v>Diabetes</v>
      </c>
      <c r="F2238" s="3" t="s">
        <v>2379</v>
      </c>
      <c r="G2238" s="3" t="s">
        <v>2379</v>
      </c>
      <c r="H2238" s="3" t="s">
        <v>2379</v>
      </c>
      <c r="I2238" s="1" t="s">
        <v>2380</v>
      </c>
      <c r="J2238">
        <v>0</v>
      </c>
      <c r="K2238" s="3" t="s">
        <v>2379</v>
      </c>
      <c r="P2238" s="3"/>
    </row>
    <row r="2239" spans="1:16" x14ac:dyDescent="0.25">
      <c r="A2239" s="3" t="s">
        <v>119</v>
      </c>
      <c r="B2239">
        <v>18.5</v>
      </c>
      <c r="C2239" t="str" cm="1">
        <f t="array" ref="C2239">_xlfn.IFS(B2239&lt;=18.5,  "Underweight",B2239&lt;=24.9,"Normal weight",B2239&lt;=29.9, "Over weight",B2239&gt;=30,"Obesity")</f>
        <v>Underweight</v>
      </c>
      <c r="D2239">
        <v>11.84</v>
      </c>
      <c r="E2239" t="str" cm="1">
        <f t="array" ref="E2239">_xlfn.IFS(D2239&lt;5.7,"Normal",D2239&lt;=6.4,"Prediabetes",D2239&gt;=6.5,"Diabetes")</f>
        <v>Diabetes</v>
      </c>
      <c r="F2239" s="3" t="s">
        <v>2379</v>
      </c>
      <c r="G2239" s="3" t="s">
        <v>2379</v>
      </c>
      <c r="H2239" s="3" t="s">
        <v>2379</v>
      </c>
      <c r="I2239" s="1" t="s">
        <v>2380</v>
      </c>
      <c r="J2239">
        <v>0</v>
      </c>
      <c r="K2239" s="3" t="s">
        <v>2379</v>
      </c>
      <c r="P2239" s="3"/>
    </row>
    <row r="2240" spans="1:16" x14ac:dyDescent="0.25">
      <c r="A2240" s="3" t="s">
        <v>118</v>
      </c>
      <c r="B2240">
        <v>18.579999999999998</v>
      </c>
      <c r="C2240" t="str" cm="1">
        <f t="array" ref="C2240">_xlfn.IFS(B2240&lt;=18.5,  "Underweight",B2240&lt;=24.9,"Normal weight",B2240&lt;=29.9, "Over weight",B2240&gt;=30,"Obesity")</f>
        <v>Normal weight</v>
      </c>
      <c r="D2240">
        <v>6.22</v>
      </c>
      <c r="E2240" t="str" cm="1">
        <f t="array" ref="E2240">_xlfn.IFS(D2240&lt;5.7,"Normal",D2240&lt;=6.4,"Prediabetes",D2240&gt;=6.5,"Diabetes")</f>
        <v>Prediabetes</v>
      </c>
      <c r="F2240" s="3" t="s">
        <v>2379</v>
      </c>
      <c r="G2240" s="3" t="s">
        <v>2379</v>
      </c>
      <c r="H2240" s="3" t="s">
        <v>2379</v>
      </c>
      <c r="I2240" s="1" t="s">
        <v>2380</v>
      </c>
      <c r="J2240">
        <v>0</v>
      </c>
      <c r="K2240" s="3" t="s">
        <v>2379</v>
      </c>
      <c r="P2240" s="3"/>
    </row>
    <row r="2241" spans="1:16" x14ac:dyDescent="0.25">
      <c r="A2241" s="3" t="s">
        <v>117</v>
      </c>
      <c r="B2241">
        <v>16.64</v>
      </c>
      <c r="C2241" t="str" cm="1">
        <f t="array" ref="C2241">_xlfn.IFS(B2241&lt;=18.5,  "Underweight",B2241&lt;=24.9,"Normal weight",B2241&lt;=29.9, "Over weight",B2241&gt;=30,"Obesity")</f>
        <v>Underweight</v>
      </c>
      <c r="D2241">
        <v>10.01</v>
      </c>
      <c r="E2241" t="str" cm="1">
        <f t="array" ref="E2241">_xlfn.IFS(D2241&lt;5.7,"Normal",D2241&lt;=6.4,"Prediabetes",D2241&gt;=6.5,"Diabetes")</f>
        <v>Diabetes</v>
      </c>
      <c r="F2241" s="3" t="s">
        <v>2379</v>
      </c>
      <c r="G2241" s="3" t="s">
        <v>2379</v>
      </c>
      <c r="H2241" s="3" t="s">
        <v>2379</v>
      </c>
      <c r="I2241" s="1" t="s">
        <v>2380</v>
      </c>
      <c r="J2241">
        <v>0</v>
      </c>
      <c r="K2241" s="3" t="s">
        <v>2379</v>
      </c>
      <c r="P2241" s="3"/>
    </row>
    <row r="2242" spans="1:16" x14ac:dyDescent="0.25">
      <c r="A2242" s="3" t="s">
        <v>116</v>
      </c>
      <c r="B2242">
        <v>19.329999999999998</v>
      </c>
      <c r="C2242" t="str" cm="1">
        <f t="array" ref="C2242">_xlfn.IFS(B2242&lt;=18.5,  "Underweight",B2242&lt;=24.9,"Normal weight",B2242&lt;=29.9, "Over weight",B2242&gt;=30,"Obesity")</f>
        <v>Normal weight</v>
      </c>
      <c r="D2242">
        <v>4.32</v>
      </c>
      <c r="E2242" t="str" cm="1">
        <f t="array" ref="E2242">_xlfn.IFS(D2242&lt;5.7,"Normal",D2242&lt;=6.4,"Prediabetes",D2242&gt;=6.5,"Diabetes")</f>
        <v>Normal</v>
      </c>
      <c r="F2242" s="3" t="s">
        <v>2379</v>
      </c>
      <c r="G2242" s="3" t="s">
        <v>2379</v>
      </c>
      <c r="H2242" s="3" t="s">
        <v>2379</v>
      </c>
      <c r="I2242" s="1">
        <v>1</v>
      </c>
      <c r="J2242">
        <v>1</v>
      </c>
      <c r="K2242" s="3" t="s">
        <v>2379</v>
      </c>
      <c r="P2242" s="3"/>
    </row>
    <row r="2243" spans="1:16" x14ac:dyDescent="0.25">
      <c r="A2243" s="3" t="s">
        <v>115</v>
      </c>
      <c r="B2243">
        <v>21.26</v>
      </c>
      <c r="C2243" t="str" cm="1">
        <f t="array" ref="C2243">_xlfn.IFS(B2243&lt;=18.5,  "Underweight",B2243&lt;=24.9,"Normal weight",B2243&lt;=29.9, "Over weight",B2243&gt;=30,"Obesity")</f>
        <v>Normal weight</v>
      </c>
      <c r="D2243">
        <v>5.65</v>
      </c>
      <c r="E2243" t="str" cm="1">
        <f t="array" ref="E2243">_xlfn.IFS(D2243&lt;5.7,"Normal",D2243&lt;=6.4,"Prediabetes",D2243&gt;=6.5,"Diabetes")</f>
        <v>Normal</v>
      </c>
      <c r="F2243" s="3" t="s">
        <v>2382</v>
      </c>
      <c r="G2243" s="3" t="s">
        <v>2379</v>
      </c>
      <c r="H2243" s="3" t="s">
        <v>2382</v>
      </c>
      <c r="I2243" s="1">
        <v>1</v>
      </c>
      <c r="J2243">
        <v>1</v>
      </c>
      <c r="K2243" s="3" t="s">
        <v>2379</v>
      </c>
      <c r="P2243" s="3"/>
    </row>
    <row r="2244" spans="1:16" x14ac:dyDescent="0.25">
      <c r="A2244" s="3" t="s">
        <v>114</v>
      </c>
      <c r="B2244">
        <v>15.6</v>
      </c>
      <c r="C2244" t="str" cm="1">
        <f t="array" ref="C2244">_xlfn.IFS(B2244&lt;=18.5,  "Underweight",B2244&lt;=24.9,"Normal weight",B2244&lt;=29.9, "Over weight",B2244&gt;=30,"Obesity")</f>
        <v>Underweight</v>
      </c>
      <c r="D2244">
        <v>4.12</v>
      </c>
      <c r="E2244" t="str" cm="1">
        <f t="array" ref="E2244">_xlfn.IFS(D2244&lt;5.7,"Normal",D2244&lt;=6.4,"Prediabetes",D2244&gt;=6.5,"Diabetes")</f>
        <v>Normal</v>
      </c>
      <c r="F2244" s="3" t="s">
        <v>2382</v>
      </c>
      <c r="G2244" s="3" t="s">
        <v>2379</v>
      </c>
      <c r="H2244" s="3" t="s">
        <v>2379</v>
      </c>
      <c r="I2244" s="1">
        <v>1</v>
      </c>
      <c r="J2244">
        <v>1</v>
      </c>
      <c r="K2244" s="3" t="s">
        <v>2379</v>
      </c>
      <c r="P2244" s="3"/>
    </row>
    <row r="2245" spans="1:16" x14ac:dyDescent="0.25">
      <c r="A2245" s="3" t="s">
        <v>113</v>
      </c>
      <c r="B2245">
        <v>24.39</v>
      </c>
      <c r="C2245" t="str" cm="1">
        <f t="array" ref="C2245">_xlfn.IFS(B2245&lt;=18.5,  "Underweight",B2245&lt;=24.9,"Normal weight",B2245&lt;=29.9, "Over weight",B2245&gt;=30,"Obesity")</f>
        <v>Normal weight</v>
      </c>
      <c r="D2245">
        <v>6.24</v>
      </c>
      <c r="E2245" t="str" cm="1">
        <f t="array" ref="E2245">_xlfn.IFS(D2245&lt;5.7,"Normal",D2245&lt;=6.4,"Prediabetes",D2245&gt;=6.5,"Diabetes")</f>
        <v>Prediabetes</v>
      </c>
      <c r="F2245" s="3" t="s">
        <v>2379</v>
      </c>
      <c r="G2245" s="3" t="s">
        <v>2379</v>
      </c>
      <c r="H2245" s="3" t="s">
        <v>2379</v>
      </c>
      <c r="I2245" s="1">
        <v>1</v>
      </c>
      <c r="J2245">
        <v>1</v>
      </c>
      <c r="K2245" s="3" t="s">
        <v>2379</v>
      </c>
      <c r="P2245" s="3"/>
    </row>
    <row r="2246" spans="1:16" x14ac:dyDescent="0.25">
      <c r="A2246" s="3" t="s">
        <v>112</v>
      </c>
      <c r="B2246">
        <v>24.75</v>
      </c>
      <c r="C2246" t="str" cm="1">
        <f t="array" ref="C2246">_xlfn.IFS(B2246&lt;=18.5,  "Underweight",B2246&lt;=24.9,"Normal weight",B2246&lt;=29.9, "Over weight",B2246&gt;=30,"Obesity")</f>
        <v>Normal weight</v>
      </c>
      <c r="D2246">
        <v>4.83</v>
      </c>
      <c r="E2246" t="str" cm="1">
        <f t="array" ref="E2246">_xlfn.IFS(D2246&lt;5.7,"Normal",D2246&lt;=6.4,"Prediabetes",D2246&gt;=6.5,"Diabetes")</f>
        <v>Normal</v>
      </c>
      <c r="F2246" s="3" t="s">
        <v>2379</v>
      </c>
      <c r="G2246" s="3" t="s">
        <v>2379</v>
      </c>
      <c r="H2246" s="3" t="s">
        <v>2379</v>
      </c>
      <c r="I2246" s="1" t="s">
        <v>2380</v>
      </c>
      <c r="J2246">
        <v>0</v>
      </c>
      <c r="K2246" s="3" t="s">
        <v>2379</v>
      </c>
      <c r="P2246" s="3"/>
    </row>
    <row r="2247" spans="1:16" x14ac:dyDescent="0.25">
      <c r="A2247" s="3" t="s">
        <v>111</v>
      </c>
      <c r="B2247">
        <v>20.88</v>
      </c>
      <c r="C2247" t="str" cm="1">
        <f t="array" ref="C2247">_xlfn.IFS(B2247&lt;=18.5,  "Underweight",B2247&lt;=24.9,"Normal weight",B2247&lt;=29.9, "Over weight",B2247&gt;=30,"Obesity")</f>
        <v>Normal weight</v>
      </c>
      <c r="D2247">
        <v>7.4</v>
      </c>
      <c r="E2247" t="str" cm="1">
        <f t="array" ref="E2247">_xlfn.IFS(D2247&lt;5.7,"Normal",D2247&lt;=6.4,"Prediabetes",D2247&gt;=6.5,"Diabetes")</f>
        <v>Diabetes</v>
      </c>
      <c r="F2247" s="3" t="s">
        <v>2379</v>
      </c>
      <c r="G2247" s="3" t="s">
        <v>2379</v>
      </c>
      <c r="H2247" s="3" t="s">
        <v>2379</v>
      </c>
      <c r="I2247" s="1" t="s">
        <v>2380</v>
      </c>
      <c r="J2247">
        <v>0</v>
      </c>
      <c r="K2247" s="3" t="s">
        <v>2379</v>
      </c>
      <c r="P2247" s="3"/>
    </row>
    <row r="2248" spans="1:16" x14ac:dyDescent="0.25">
      <c r="A2248" s="3" t="s">
        <v>110</v>
      </c>
      <c r="B2248">
        <v>20.43</v>
      </c>
      <c r="C2248" t="str" cm="1">
        <f t="array" ref="C2248">_xlfn.IFS(B2248&lt;=18.5,  "Underweight",B2248&lt;=24.9,"Normal weight",B2248&lt;=29.9, "Over weight",B2248&gt;=30,"Obesity")</f>
        <v>Normal weight</v>
      </c>
      <c r="D2248">
        <v>4.54</v>
      </c>
      <c r="E2248" t="str" cm="1">
        <f t="array" ref="E2248">_xlfn.IFS(D2248&lt;5.7,"Normal",D2248&lt;=6.4,"Prediabetes",D2248&gt;=6.5,"Diabetes")</f>
        <v>Normal</v>
      </c>
      <c r="F2248" s="3" t="s">
        <v>2379</v>
      </c>
      <c r="G2248" s="3" t="s">
        <v>2379</v>
      </c>
      <c r="H2248" s="3" t="s">
        <v>2379</v>
      </c>
      <c r="I2248" s="1" t="s">
        <v>2380</v>
      </c>
      <c r="J2248">
        <v>0</v>
      </c>
      <c r="K2248" s="3" t="s">
        <v>2379</v>
      </c>
      <c r="P2248" s="3"/>
    </row>
    <row r="2249" spans="1:16" x14ac:dyDescent="0.25">
      <c r="A2249" s="3" t="s">
        <v>109</v>
      </c>
      <c r="B2249">
        <v>15.18</v>
      </c>
      <c r="C2249" t="str" cm="1">
        <f t="array" ref="C2249">_xlfn.IFS(B2249&lt;=18.5,  "Underweight",B2249&lt;=24.9,"Normal weight",B2249&lt;=29.9, "Over weight",B2249&gt;=30,"Obesity")</f>
        <v>Underweight</v>
      </c>
      <c r="D2249">
        <v>11.11</v>
      </c>
      <c r="E2249" t="str" cm="1">
        <f t="array" ref="E2249">_xlfn.IFS(D2249&lt;5.7,"Normal",D2249&lt;=6.4,"Prediabetes",D2249&gt;=6.5,"Diabetes")</f>
        <v>Diabetes</v>
      </c>
      <c r="F2249" s="3" t="s">
        <v>2379</v>
      </c>
      <c r="G2249" s="3" t="s">
        <v>2379</v>
      </c>
      <c r="H2249" s="3" t="s">
        <v>2379</v>
      </c>
      <c r="I2249" s="1" t="s">
        <v>2380</v>
      </c>
      <c r="J2249">
        <v>0</v>
      </c>
      <c r="K2249" s="3" t="s">
        <v>2379</v>
      </c>
      <c r="P2249" s="3"/>
    </row>
    <row r="2250" spans="1:16" x14ac:dyDescent="0.25">
      <c r="A2250" s="3" t="s">
        <v>108</v>
      </c>
      <c r="B2250">
        <v>15.12</v>
      </c>
      <c r="C2250" t="str" cm="1">
        <f t="array" ref="C2250">_xlfn.IFS(B2250&lt;=18.5,  "Underweight",B2250&lt;=24.9,"Normal weight",B2250&lt;=29.9, "Over weight",B2250&gt;=30,"Obesity")</f>
        <v>Underweight</v>
      </c>
      <c r="D2250">
        <v>4.03</v>
      </c>
      <c r="E2250" t="str" cm="1">
        <f t="array" ref="E2250">_xlfn.IFS(D2250&lt;5.7,"Normal",D2250&lt;=6.4,"Prediabetes",D2250&gt;=6.5,"Diabetes")</f>
        <v>Normal</v>
      </c>
      <c r="F2250" s="3" t="s">
        <v>2382</v>
      </c>
      <c r="G2250" s="3" t="s">
        <v>2379</v>
      </c>
      <c r="H2250" s="3" t="s">
        <v>2379</v>
      </c>
      <c r="I2250" s="1" t="s">
        <v>2380</v>
      </c>
      <c r="J2250">
        <v>0</v>
      </c>
      <c r="K2250" s="3" t="s">
        <v>2379</v>
      </c>
      <c r="P2250" s="3"/>
    </row>
    <row r="2251" spans="1:16" x14ac:dyDescent="0.25">
      <c r="A2251" s="3" t="s">
        <v>107</v>
      </c>
      <c r="B2251">
        <v>23.88</v>
      </c>
      <c r="C2251" t="str" cm="1">
        <f t="array" ref="C2251">_xlfn.IFS(B2251&lt;=18.5,  "Underweight",B2251&lt;=24.9,"Normal weight",B2251&lt;=29.9, "Over weight",B2251&gt;=30,"Obesity")</f>
        <v>Normal weight</v>
      </c>
      <c r="D2251">
        <v>4.51</v>
      </c>
      <c r="E2251" t="str" cm="1">
        <f t="array" ref="E2251">_xlfn.IFS(D2251&lt;5.7,"Normal",D2251&lt;=6.4,"Prediabetes",D2251&gt;=6.5,"Diabetes")</f>
        <v>Normal</v>
      </c>
      <c r="F2251" s="3" t="s">
        <v>2379</v>
      </c>
      <c r="G2251" s="3" t="s">
        <v>2379</v>
      </c>
      <c r="H2251" s="3" t="s">
        <v>2379</v>
      </c>
      <c r="I2251" s="1">
        <v>1</v>
      </c>
      <c r="J2251">
        <v>1</v>
      </c>
      <c r="K2251" s="3" t="s">
        <v>2379</v>
      </c>
      <c r="P2251" s="3"/>
    </row>
    <row r="2252" spans="1:16" x14ac:dyDescent="0.25">
      <c r="A2252" s="3" t="s">
        <v>106</v>
      </c>
      <c r="B2252">
        <v>16.13</v>
      </c>
      <c r="C2252" t="str" cm="1">
        <f t="array" ref="C2252">_xlfn.IFS(B2252&lt;=18.5,  "Underweight",B2252&lt;=24.9,"Normal weight",B2252&lt;=29.9, "Over weight",B2252&gt;=30,"Obesity")</f>
        <v>Underweight</v>
      </c>
      <c r="D2252">
        <v>5.56</v>
      </c>
      <c r="E2252" t="str" cm="1">
        <f t="array" ref="E2252">_xlfn.IFS(D2252&lt;5.7,"Normal",D2252&lt;=6.4,"Prediabetes",D2252&gt;=6.5,"Diabetes")</f>
        <v>Normal</v>
      </c>
      <c r="F2252" s="3" t="s">
        <v>2379</v>
      </c>
      <c r="G2252" s="3" t="s">
        <v>2381</v>
      </c>
      <c r="H2252" s="3" t="s">
        <v>2379</v>
      </c>
      <c r="I2252" s="1">
        <v>1</v>
      </c>
      <c r="J2252">
        <v>1</v>
      </c>
      <c r="K2252" s="3" t="s">
        <v>2379</v>
      </c>
      <c r="P2252" s="3"/>
    </row>
    <row r="2253" spans="1:16" x14ac:dyDescent="0.25">
      <c r="A2253" s="3" t="s">
        <v>105</v>
      </c>
      <c r="B2253">
        <v>24.09</v>
      </c>
      <c r="C2253" t="str" cm="1">
        <f t="array" ref="C2253">_xlfn.IFS(B2253&lt;=18.5,  "Underweight",B2253&lt;=24.9,"Normal weight",B2253&lt;=29.9, "Over weight",B2253&gt;=30,"Obesity")</f>
        <v>Normal weight</v>
      </c>
      <c r="D2253">
        <v>4.0999999999999996</v>
      </c>
      <c r="E2253" t="str" cm="1">
        <f t="array" ref="E2253">_xlfn.IFS(D2253&lt;5.7,"Normal",D2253&lt;=6.4,"Prediabetes",D2253&gt;=6.5,"Diabetes")</f>
        <v>Normal</v>
      </c>
      <c r="F2253" s="3" t="s">
        <v>2379</v>
      </c>
      <c r="G2253" s="3" t="s">
        <v>2381</v>
      </c>
      <c r="H2253" s="3" t="s">
        <v>2379</v>
      </c>
      <c r="I2253" s="1">
        <v>1</v>
      </c>
      <c r="J2253">
        <v>1</v>
      </c>
      <c r="K2253" s="3" t="s">
        <v>2379</v>
      </c>
      <c r="P2253" s="3"/>
    </row>
    <row r="2254" spans="1:16" x14ac:dyDescent="0.25">
      <c r="A2254" s="3" t="s">
        <v>104</v>
      </c>
      <c r="B2254">
        <v>19.43</v>
      </c>
      <c r="C2254" t="str" cm="1">
        <f t="array" ref="C2254">_xlfn.IFS(B2254&lt;=18.5,  "Underweight",B2254&lt;=24.9,"Normal weight",B2254&lt;=29.9, "Over weight",B2254&gt;=30,"Obesity")</f>
        <v>Normal weight</v>
      </c>
      <c r="D2254">
        <v>5.85</v>
      </c>
      <c r="E2254" t="str" cm="1">
        <f t="array" ref="E2254">_xlfn.IFS(D2254&lt;5.7,"Normal",D2254&lt;=6.4,"Prediabetes",D2254&gt;=6.5,"Diabetes")</f>
        <v>Prediabetes</v>
      </c>
      <c r="F2254" s="3" t="s">
        <v>2379</v>
      </c>
      <c r="G2254" s="3" t="s">
        <v>2381</v>
      </c>
      <c r="H2254" s="3" t="s">
        <v>2379</v>
      </c>
      <c r="I2254" s="1">
        <v>1</v>
      </c>
      <c r="J2254">
        <v>1</v>
      </c>
      <c r="K2254" s="3" t="s">
        <v>2379</v>
      </c>
      <c r="P2254" s="3"/>
    </row>
    <row r="2255" spans="1:16" x14ac:dyDescent="0.25">
      <c r="A2255" s="3" t="s">
        <v>103</v>
      </c>
      <c r="B2255">
        <v>15.22</v>
      </c>
      <c r="C2255" t="str" cm="1">
        <f t="array" ref="C2255">_xlfn.IFS(B2255&lt;=18.5,  "Underweight",B2255&lt;=24.9,"Normal weight",B2255&lt;=29.9, "Over weight",B2255&gt;=30,"Obesity")</f>
        <v>Underweight</v>
      </c>
      <c r="D2255">
        <v>4.92</v>
      </c>
      <c r="E2255" t="str" cm="1">
        <f t="array" ref="E2255">_xlfn.IFS(D2255&lt;5.7,"Normal",D2255&lt;=6.4,"Prediabetes",D2255&gt;=6.5,"Diabetes")</f>
        <v>Normal</v>
      </c>
      <c r="F2255" s="3" t="s">
        <v>2382</v>
      </c>
      <c r="G2255" s="3" t="s">
        <v>2379</v>
      </c>
      <c r="H2255" s="3" t="s">
        <v>2382</v>
      </c>
      <c r="I2255" s="1">
        <v>1</v>
      </c>
      <c r="J2255">
        <v>1</v>
      </c>
      <c r="K2255" s="3" t="s">
        <v>2379</v>
      </c>
      <c r="P2255" s="3"/>
    </row>
    <row r="2256" spans="1:16" x14ac:dyDescent="0.25">
      <c r="A2256" s="3" t="s">
        <v>102</v>
      </c>
      <c r="B2256">
        <v>20.72</v>
      </c>
      <c r="C2256" t="str" cm="1">
        <f t="array" ref="C2256">_xlfn.IFS(B2256&lt;=18.5,  "Underweight",B2256&lt;=24.9,"Normal weight",B2256&lt;=29.9, "Over weight",B2256&gt;=30,"Obesity")</f>
        <v>Normal weight</v>
      </c>
      <c r="D2256">
        <v>9.4600000000000009</v>
      </c>
      <c r="E2256" t="str" cm="1">
        <f t="array" ref="E2256">_xlfn.IFS(D2256&lt;5.7,"Normal",D2256&lt;=6.4,"Prediabetes",D2256&gt;=6.5,"Diabetes")</f>
        <v>Diabetes</v>
      </c>
      <c r="F2256" s="3" t="s">
        <v>2379</v>
      </c>
      <c r="G2256" s="3" t="s">
        <v>2379</v>
      </c>
      <c r="H2256" s="3" t="s">
        <v>2379</v>
      </c>
      <c r="I2256" s="1" t="s">
        <v>2380</v>
      </c>
      <c r="J2256">
        <v>0</v>
      </c>
      <c r="K2256" s="3" t="s">
        <v>2379</v>
      </c>
      <c r="P2256" s="3"/>
    </row>
    <row r="2257" spans="1:16" x14ac:dyDescent="0.25">
      <c r="A2257" s="3" t="s">
        <v>101</v>
      </c>
      <c r="B2257">
        <v>35.4</v>
      </c>
      <c r="C2257" t="str" cm="1">
        <f t="array" ref="C2257">_xlfn.IFS(B2257&lt;=18.5,  "Underweight",B2257&lt;=24.9,"Normal weight",B2257&lt;=29.9, "Over weight",B2257&gt;=30,"Obesity")</f>
        <v>Obesity</v>
      </c>
      <c r="D2257">
        <v>5.94</v>
      </c>
      <c r="E2257" t="str" cm="1">
        <f t="array" ref="E2257">_xlfn.IFS(D2257&lt;5.7,"Normal",D2257&lt;=6.4,"Prediabetes",D2257&gt;=6.5,"Diabetes")</f>
        <v>Prediabetes</v>
      </c>
      <c r="F2257" s="3" t="s">
        <v>2379</v>
      </c>
      <c r="G2257" s="3" t="s">
        <v>2379</v>
      </c>
      <c r="H2257" s="3" t="s">
        <v>2382</v>
      </c>
      <c r="I2257" s="1">
        <v>1</v>
      </c>
      <c r="J2257">
        <v>1</v>
      </c>
      <c r="K2257" s="3" t="s">
        <v>2379</v>
      </c>
      <c r="P2257" s="3"/>
    </row>
    <row r="2258" spans="1:16" x14ac:dyDescent="0.25">
      <c r="A2258" s="3" t="s">
        <v>100</v>
      </c>
      <c r="B2258">
        <v>34.4</v>
      </c>
      <c r="C2258" t="str" cm="1">
        <f t="array" ref="C2258">_xlfn.IFS(B2258&lt;=18.5,  "Underweight",B2258&lt;=24.9,"Normal weight",B2258&lt;=29.9, "Over weight",B2258&gt;=30,"Obesity")</f>
        <v>Obesity</v>
      </c>
      <c r="D2258">
        <v>5.7</v>
      </c>
      <c r="E2258" t="str" cm="1">
        <f t="array" ref="E2258">_xlfn.IFS(D2258&lt;5.7,"Normal",D2258&lt;=6.4,"Prediabetes",D2258&gt;=6.5,"Diabetes")</f>
        <v>Prediabetes</v>
      </c>
      <c r="F2258" s="3" t="s">
        <v>2379</v>
      </c>
      <c r="G2258" s="3" t="s">
        <v>2379</v>
      </c>
      <c r="H2258" s="3" t="s">
        <v>2382</v>
      </c>
      <c r="I2258" s="1">
        <v>1</v>
      </c>
      <c r="J2258">
        <v>1</v>
      </c>
      <c r="K2258" s="3" t="s">
        <v>2379</v>
      </c>
      <c r="P2258" s="3"/>
    </row>
    <row r="2259" spans="1:16" x14ac:dyDescent="0.25">
      <c r="A2259" s="3" t="s">
        <v>99</v>
      </c>
      <c r="B2259">
        <v>34.1</v>
      </c>
      <c r="C2259" t="str" cm="1">
        <f t="array" ref="C2259">_xlfn.IFS(B2259&lt;=18.5,  "Underweight",B2259&lt;=24.9,"Normal weight",B2259&lt;=29.9, "Over weight",B2259&gt;=30,"Obesity")</f>
        <v>Obesity</v>
      </c>
      <c r="D2259">
        <v>4.13</v>
      </c>
      <c r="E2259" t="str" cm="1">
        <f t="array" ref="E2259">_xlfn.IFS(D2259&lt;5.7,"Normal",D2259&lt;=6.4,"Prediabetes",D2259&gt;=6.5,"Diabetes")</f>
        <v>Normal</v>
      </c>
      <c r="F2259" s="3" t="s">
        <v>2379</v>
      </c>
      <c r="G2259" s="3" t="s">
        <v>2379</v>
      </c>
      <c r="H2259" s="3" t="s">
        <v>2382</v>
      </c>
      <c r="I2259" s="1">
        <v>1</v>
      </c>
      <c r="J2259">
        <v>1</v>
      </c>
      <c r="K2259" s="3" t="s">
        <v>2379</v>
      </c>
      <c r="P2259" s="3"/>
    </row>
    <row r="2260" spans="1:16" x14ac:dyDescent="0.25">
      <c r="A2260" s="3" t="s">
        <v>98</v>
      </c>
      <c r="B2260">
        <v>30.4</v>
      </c>
      <c r="C2260" t="str" cm="1">
        <f t="array" ref="C2260">_xlfn.IFS(B2260&lt;=18.5,  "Underweight",B2260&lt;=24.9,"Normal weight",B2260&lt;=29.9, "Over weight",B2260&gt;=30,"Obesity")</f>
        <v>Obesity</v>
      </c>
      <c r="D2260">
        <v>4.7699999999999996</v>
      </c>
      <c r="E2260" t="str" cm="1">
        <f t="array" ref="E2260">_xlfn.IFS(D2260&lt;5.7,"Normal",D2260&lt;=6.4,"Prediabetes",D2260&gt;=6.5,"Diabetes")</f>
        <v>Normal</v>
      </c>
      <c r="F2260" s="3" t="s">
        <v>2379</v>
      </c>
      <c r="G2260" s="3" t="s">
        <v>2379</v>
      </c>
      <c r="H2260" s="3" t="s">
        <v>2382</v>
      </c>
      <c r="I2260" s="1">
        <v>1</v>
      </c>
      <c r="J2260">
        <v>1</v>
      </c>
      <c r="K2260" s="3" t="s">
        <v>2379</v>
      </c>
      <c r="P2260" s="3"/>
    </row>
    <row r="2261" spans="1:16" x14ac:dyDescent="0.25">
      <c r="A2261" s="3" t="s">
        <v>97</v>
      </c>
      <c r="B2261">
        <v>28.7</v>
      </c>
      <c r="C2261" t="str" cm="1">
        <f t="array" ref="C2261">_xlfn.IFS(B2261&lt;=18.5,  "Underweight",B2261&lt;=24.9,"Normal weight",B2261&lt;=29.9, "Over weight",B2261&gt;=30,"Obesity")</f>
        <v>Over weight</v>
      </c>
      <c r="D2261">
        <v>4.99</v>
      </c>
      <c r="E2261" t="str" cm="1">
        <f t="array" ref="E2261">_xlfn.IFS(D2261&lt;5.7,"Normal",D2261&lt;=6.4,"Prediabetes",D2261&gt;=6.5,"Diabetes")</f>
        <v>Normal</v>
      </c>
      <c r="F2261" s="3" t="s">
        <v>2379</v>
      </c>
      <c r="G2261" s="3" t="s">
        <v>2379</v>
      </c>
      <c r="H2261" s="3" t="s">
        <v>2382</v>
      </c>
      <c r="I2261" s="1">
        <v>1</v>
      </c>
      <c r="J2261">
        <v>1</v>
      </c>
      <c r="K2261" s="3" t="s">
        <v>2379</v>
      </c>
      <c r="P2261" s="3"/>
    </row>
    <row r="2262" spans="1:16" x14ac:dyDescent="0.25">
      <c r="A2262" s="3" t="s">
        <v>96</v>
      </c>
      <c r="B2262">
        <v>17.440000000000001</v>
      </c>
      <c r="C2262" t="str" cm="1">
        <f t="array" ref="C2262">_xlfn.IFS(B2262&lt;=18.5,  "Underweight",B2262&lt;=24.9,"Normal weight",B2262&lt;=29.9, "Over weight",B2262&gt;=30,"Obesity")</f>
        <v>Underweight</v>
      </c>
      <c r="D2262">
        <v>4.42</v>
      </c>
      <c r="E2262" t="str" cm="1">
        <f t="array" ref="E2262">_xlfn.IFS(D2262&lt;5.7,"Normal",D2262&lt;=6.4,"Prediabetes",D2262&gt;=6.5,"Diabetes")</f>
        <v>Normal</v>
      </c>
      <c r="F2262" s="3" t="s">
        <v>2382</v>
      </c>
      <c r="G2262" s="3" t="s">
        <v>2379</v>
      </c>
      <c r="H2262" s="3" t="s">
        <v>2382</v>
      </c>
      <c r="I2262" s="1">
        <v>1</v>
      </c>
      <c r="J2262">
        <v>1</v>
      </c>
      <c r="K2262" s="3" t="s">
        <v>2379</v>
      </c>
      <c r="P2262" s="3"/>
    </row>
    <row r="2263" spans="1:16" x14ac:dyDescent="0.25">
      <c r="A2263" s="3" t="s">
        <v>95</v>
      </c>
      <c r="B2263">
        <v>27.6</v>
      </c>
      <c r="C2263" t="str" cm="1">
        <f t="array" ref="C2263">_xlfn.IFS(B2263&lt;=18.5,  "Underweight",B2263&lt;=24.9,"Normal weight",B2263&lt;=29.9, "Over weight",B2263&gt;=30,"Obesity")</f>
        <v>Over weight</v>
      </c>
      <c r="D2263">
        <v>4.01</v>
      </c>
      <c r="E2263" t="str" cm="1">
        <f t="array" ref="E2263">_xlfn.IFS(D2263&lt;5.7,"Normal",D2263&lt;=6.4,"Prediabetes",D2263&gt;=6.5,"Diabetes")</f>
        <v>Normal</v>
      </c>
      <c r="F2263" s="3" t="s">
        <v>2379</v>
      </c>
      <c r="G2263" s="3" t="s">
        <v>2379</v>
      </c>
      <c r="H2263" s="3" t="s">
        <v>2382</v>
      </c>
      <c r="I2263" s="1">
        <v>1</v>
      </c>
      <c r="J2263">
        <v>1</v>
      </c>
      <c r="K2263" s="3" t="s">
        <v>2379</v>
      </c>
      <c r="P2263" s="3"/>
    </row>
    <row r="2264" spans="1:16" x14ac:dyDescent="0.25">
      <c r="A2264" s="3" t="s">
        <v>94</v>
      </c>
      <c r="B2264">
        <v>20.7</v>
      </c>
      <c r="C2264" t="str" cm="1">
        <f t="array" ref="C2264">_xlfn.IFS(B2264&lt;=18.5,  "Underweight",B2264&lt;=24.9,"Normal weight",B2264&lt;=29.9, "Over weight",B2264&gt;=30,"Obesity")</f>
        <v>Normal weight</v>
      </c>
      <c r="D2264">
        <v>4.49</v>
      </c>
      <c r="E2264" t="str" cm="1">
        <f t="array" ref="E2264">_xlfn.IFS(D2264&lt;5.7,"Normal",D2264&lt;=6.4,"Prediabetes",D2264&gt;=6.5,"Diabetes")</f>
        <v>Normal</v>
      </c>
      <c r="F2264" s="3" t="s">
        <v>2379</v>
      </c>
      <c r="G2264" s="3" t="s">
        <v>2379</v>
      </c>
      <c r="H2264" s="3" t="s">
        <v>2382</v>
      </c>
      <c r="I2264" s="1">
        <v>1</v>
      </c>
      <c r="J2264">
        <v>1</v>
      </c>
      <c r="K2264" s="3" t="s">
        <v>2379</v>
      </c>
      <c r="P2264" s="3"/>
    </row>
    <row r="2265" spans="1:16" x14ac:dyDescent="0.25">
      <c r="A2265" s="3" t="s">
        <v>93</v>
      </c>
      <c r="B2265">
        <v>20.3</v>
      </c>
      <c r="C2265" t="str" cm="1">
        <f t="array" ref="C2265">_xlfn.IFS(B2265&lt;=18.5,  "Underweight",B2265&lt;=24.9,"Normal weight",B2265&lt;=29.9, "Over weight",B2265&gt;=30,"Obesity")</f>
        <v>Normal weight</v>
      </c>
      <c r="D2265">
        <v>6.37</v>
      </c>
      <c r="E2265" t="str" cm="1">
        <f t="array" ref="E2265">_xlfn.IFS(D2265&lt;5.7,"Normal",D2265&lt;=6.4,"Prediabetes",D2265&gt;=6.5,"Diabetes")</f>
        <v>Prediabetes</v>
      </c>
      <c r="F2265" s="3" t="s">
        <v>2379</v>
      </c>
      <c r="G2265" s="3" t="s">
        <v>2379</v>
      </c>
      <c r="H2265" s="3" t="s">
        <v>2382</v>
      </c>
      <c r="I2265" s="1">
        <v>1</v>
      </c>
      <c r="J2265">
        <v>1</v>
      </c>
      <c r="K2265" s="3" t="s">
        <v>2379</v>
      </c>
      <c r="P2265" s="3"/>
    </row>
    <row r="2266" spans="1:16" x14ac:dyDescent="0.25">
      <c r="A2266" s="3" t="s">
        <v>92</v>
      </c>
      <c r="B2266">
        <v>19.8</v>
      </c>
      <c r="C2266" t="str" cm="1">
        <f t="array" ref="C2266">_xlfn.IFS(B2266&lt;=18.5,  "Underweight",B2266&lt;=24.9,"Normal weight",B2266&lt;=29.9, "Over weight",B2266&gt;=30,"Obesity")</f>
        <v>Normal weight</v>
      </c>
      <c r="D2266">
        <v>5.12</v>
      </c>
      <c r="E2266" t="str" cm="1">
        <f t="array" ref="E2266">_xlfn.IFS(D2266&lt;5.7,"Normal",D2266&lt;=6.4,"Prediabetes",D2266&gt;=6.5,"Diabetes")</f>
        <v>Normal</v>
      </c>
      <c r="F2266" s="3" t="s">
        <v>2379</v>
      </c>
      <c r="G2266" s="3" t="s">
        <v>2379</v>
      </c>
      <c r="H2266" s="3" t="s">
        <v>2382</v>
      </c>
      <c r="I2266" s="1">
        <v>1</v>
      </c>
      <c r="J2266">
        <v>1</v>
      </c>
      <c r="K2266" s="3" t="s">
        <v>2379</v>
      </c>
      <c r="P2266" s="3"/>
    </row>
    <row r="2267" spans="1:16" x14ac:dyDescent="0.25">
      <c r="A2267" s="3" t="s">
        <v>91</v>
      </c>
      <c r="B2267">
        <v>21.87</v>
      </c>
      <c r="C2267" t="str" cm="1">
        <f t="array" ref="C2267">_xlfn.IFS(B2267&lt;=18.5,  "Underweight",B2267&lt;=24.9,"Normal weight",B2267&lt;=29.9, "Over weight",B2267&gt;=30,"Obesity")</f>
        <v>Normal weight</v>
      </c>
      <c r="D2267">
        <v>8.59</v>
      </c>
      <c r="E2267" t="str" cm="1">
        <f t="array" ref="E2267">_xlfn.IFS(D2267&lt;5.7,"Normal",D2267&lt;=6.4,"Prediabetes",D2267&gt;=6.5,"Diabetes")</f>
        <v>Diabetes</v>
      </c>
      <c r="F2267" s="3" t="s">
        <v>2379</v>
      </c>
      <c r="G2267" s="3" t="s">
        <v>2379</v>
      </c>
      <c r="H2267" s="3" t="s">
        <v>2379</v>
      </c>
      <c r="I2267" s="1" t="s">
        <v>2380</v>
      </c>
      <c r="J2267">
        <v>0</v>
      </c>
      <c r="K2267" s="3" t="s">
        <v>2379</v>
      </c>
      <c r="P2267" s="3"/>
    </row>
    <row r="2268" spans="1:16" x14ac:dyDescent="0.25">
      <c r="A2268" s="3" t="s">
        <v>90</v>
      </c>
      <c r="B2268">
        <v>16.600000000000001</v>
      </c>
      <c r="C2268" t="str" cm="1">
        <f t="array" ref="C2268">_xlfn.IFS(B2268&lt;=18.5,  "Underweight",B2268&lt;=24.9,"Normal weight",B2268&lt;=29.9, "Over weight",B2268&gt;=30,"Obesity")</f>
        <v>Underweight</v>
      </c>
      <c r="D2268">
        <v>5.87</v>
      </c>
      <c r="E2268" t="str" cm="1">
        <f t="array" ref="E2268">_xlfn.IFS(D2268&lt;5.7,"Normal",D2268&lt;=6.4,"Prediabetes",D2268&gt;=6.5,"Diabetes")</f>
        <v>Prediabetes</v>
      </c>
      <c r="F2268" s="3" t="s">
        <v>2379</v>
      </c>
      <c r="G2268" s="3" t="s">
        <v>2379</v>
      </c>
      <c r="H2268" s="3" t="s">
        <v>2379</v>
      </c>
      <c r="I2268" s="1">
        <v>1</v>
      </c>
      <c r="J2268">
        <v>1</v>
      </c>
      <c r="K2268" s="3" t="s">
        <v>2379</v>
      </c>
      <c r="P2268" s="3"/>
    </row>
    <row r="2269" spans="1:16" x14ac:dyDescent="0.25">
      <c r="A2269" s="3" t="s">
        <v>89</v>
      </c>
      <c r="B2269">
        <v>21.98</v>
      </c>
      <c r="C2269" t="str" cm="1">
        <f t="array" ref="C2269">_xlfn.IFS(B2269&lt;=18.5,  "Underweight",B2269&lt;=24.9,"Normal weight",B2269&lt;=29.9, "Over weight",B2269&gt;=30,"Obesity")</f>
        <v>Normal weight</v>
      </c>
      <c r="D2269">
        <v>7.03</v>
      </c>
      <c r="E2269" t="str" cm="1">
        <f t="array" ref="E2269">_xlfn.IFS(D2269&lt;5.7,"Normal",D2269&lt;=6.4,"Prediabetes",D2269&gt;=6.5,"Diabetes")</f>
        <v>Diabetes</v>
      </c>
      <c r="F2269" s="3" t="s">
        <v>2379</v>
      </c>
      <c r="G2269" s="3" t="s">
        <v>2379</v>
      </c>
      <c r="H2269" s="3" t="s">
        <v>2379</v>
      </c>
      <c r="I2269" s="1" t="s">
        <v>2380</v>
      </c>
      <c r="J2269">
        <v>0</v>
      </c>
      <c r="K2269" s="3" t="s">
        <v>2379</v>
      </c>
      <c r="P2269" s="3"/>
    </row>
    <row r="2270" spans="1:16" x14ac:dyDescent="0.25">
      <c r="A2270" s="3" t="s">
        <v>88</v>
      </c>
      <c r="B2270">
        <v>19.7</v>
      </c>
      <c r="C2270" t="str" cm="1">
        <f t="array" ref="C2270">_xlfn.IFS(B2270&lt;=18.5,  "Underweight",B2270&lt;=24.9,"Normal weight",B2270&lt;=29.9, "Over weight",B2270&gt;=30,"Obesity")</f>
        <v>Normal weight</v>
      </c>
      <c r="D2270">
        <v>5.51</v>
      </c>
      <c r="E2270" t="str" cm="1">
        <f t="array" ref="E2270">_xlfn.IFS(D2270&lt;5.7,"Normal",D2270&lt;=6.4,"Prediabetes",D2270&gt;=6.5,"Diabetes")</f>
        <v>Normal</v>
      </c>
      <c r="F2270" s="3" t="s">
        <v>2379</v>
      </c>
      <c r="G2270" s="3" t="s">
        <v>2379</v>
      </c>
      <c r="H2270" s="3" t="s">
        <v>2379</v>
      </c>
      <c r="I2270" s="1">
        <v>1</v>
      </c>
      <c r="J2270">
        <v>1</v>
      </c>
      <c r="K2270" s="3" t="s">
        <v>2379</v>
      </c>
      <c r="P2270" s="3"/>
    </row>
    <row r="2271" spans="1:16" x14ac:dyDescent="0.25">
      <c r="A2271" s="3" t="s">
        <v>87</v>
      </c>
      <c r="B2271">
        <v>19.21</v>
      </c>
      <c r="C2271" t="str" cm="1">
        <f t="array" ref="C2271">_xlfn.IFS(B2271&lt;=18.5,  "Underweight",B2271&lt;=24.9,"Normal weight",B2271&lt;=29.9, "Over weight",B2271&gt;=30,"Obesity")</f>
        <v>Normal weight</v>
      </c>
      <c r="D2271">
        <v>4.76</v>
      </c>
      <c r="E2271" t="str" cm="1">
        <f t="array" ref="E2271">_xlfn.IFS(D2271&lt;5.7,"Normal",D2271&lt;=6.4,"Prediabetes",D2271&gt;=6.5,"Diabetes")</f>
        <v>Normal</v>
      </c>
      <c r="F2271" s="3" t="s">
        <v>2379</v>
      </c>
      <c r="G2271" s="3" t="s">
        <v>2381</v>
      </c>
      <c r="H2271" s="3" t="s">
        <v>2379</v>
      </c>
      <c r="I2271" s="1">
        <v>1</v>
      </c>
      <c r="J2271">
        <v>1</v>
      </c>
      <c r="K2271" s="3" t="s">
        <v>2379</v>
      </c>
      <c r="P2271" s="3"/>
    </row>
    <row r="2272" spans="1:16" x14ac:dyDescent="0.25">
      <c r="A2272" s="3" t="s">
        <v>86</v>
      </c>
      <c r="B2272">
        <v>19.3</v>
      </c>
      <c r="C2272" t="str" cm="1">
        <f t="array" ref="C2272">_xlfn.IFS(B2272&lt;=18.5,  "Underweight",B2272&lt;=24.9,"Normal weight",B2272&lt;=29.9, "Over weight",B2272&gt;=30,"Obesity")</f>
        <v>Normal weight</v>
      </c>
      <c r="D2272">
        <v>4.7</v>
      </c>
      <c r="E2272" t="str" cm="1">
        <f t="array" ref="E2272">_xlfn.IFS(D2272&lt;5.7,"Normal",D2272&lt;=6.4,"Prediabetes",D2272&gt;=6.5,"Diabetes")</f>
        <v>Normal</v>
      </c>
      <c r="F2272" s="3" t="s">
        <v>2379</v>
      </c>
      <c r="G2272" s="3" t="s">
        <v>2381</v>
      </c>
      <c r="H2272" s="3" t="s">
        <v>2379</v>
      </c>
      <c r="I2272" s="1">
        <v>1</v>
      </c>
      <c r="J2272">
        <v>1</v>
      </c>
      <c r="K2272" s="3" t="s">
        <v>2379</v>
      </c>
      <c r="P2272" s="3"/>
    </row>
    <row r="2273" spans="1:16" x14ac:dyDescent="0.25">
      <c r="A2273" s="3" t="s">
        <v>85</v>
      </c>
      <c r="B2273">
        <v>16.22</v>
      </c>
      <c r="C2273" t="str" cm="1">
        <f t="array" ref="C2273">_xlfn.IFS(B2273&lt;=18.5,  "Underweight",B2273&lt;=24.9,"Normal weight",B2273&lt;=29.9, "Over weight",B2273&gt;=30,"Obesity")</f>
        <v>Underweight</v>
      </c>
      <c r="D2273">
        <v>6.21</v>
      </c>
      <c r="E2273" t="str" cm="1">
        <f t="array" ref="E2273">_xlfn.IFS(D2273&lt;5.7,"Normal",D2273&lt;=6.4,"Prediabetes",D2273&gt;=6.5,"Diabetes")</f>
        <v>Prediabetes</v>
      </c>
      <c r="F2273" s="3" t="s">
        <v>2382</v>
      </c>
      <c r="G2273" s="3" t="s">
        <v>2379</v>
      </c>
      <c r="H2273" s="3" t="s">
        <v>2379</v>
      </c>
      <c r="I2273" s="1" t="s">
        <v>2380</v>
      </c>
      <c r="J2273">
        <v>0</v>
      </c>
      <c r="K2273" s="3" t="s">
        <v>2379</v>
      </c>
      <c r="P2273" s="3"/>
    </row>
    <row r="2274" spans="1:16" x14ac:dyDescent="0.25">
      <c r="A2274" s="3" t="s">
        <v>84</v>
      </c>
      <c r="B2274">
        <v>17.12</v>
      </c>
      <c r="C2274" t="str" cm="1">
        <f t="array" ref="C2274">_xlfn.IFS(B2274&lt;=18.5,  "Underweight",B2274&lt;=24.9,"Normal weight",B2274&lt;=29.9, "Over weight",B2274&gt;=30,"Obesity")</f>
        <v>Underweight</v>
      </c>
      <c r="D2274">
        <v>4.5199999999999996</v>
      </c>
      <c r="E2274" t="str" cm="1">
        <f t="array" ref="E2274">_xlfn.IFS(D2274&lt;5.7,"Normal",D2274&lt;=6.4,"Prediabetes",D2274&gt;=6.5,"Diabetes")</f>
        <v>Normal</v>
      </c>
      <c r="F2274" s="3" t="s">
        <v>2379</v>
      </c>
      <c r="G2274" s="3" t="s">
        <v>2381</v>
      </c>
      <c r="H2274" s="3" t="s">
        <v>2379</v>
      </c>
      <c r="I2274" s="1">
        <v>1</v>
      </c>
      <c r="J2274">
        <v>1</v>
      </c>
      <c r="K2274" s="3" t="s">
        <v>2379</v>
      </c>
      <c r="P2274" s="3"/>
    </row>
    <row r="2275" spans="1:16" x14ac:dyDescent="0.25">
      <c r="A2275" s="3" t="s">
        <v>83</v>
      </c>
      <c r="B2275">
        <v>19.07</v>
      </c>
      <c r="C2275" t="str" cm="1">
        <f t="array" ref="C2275">_xlfn.IFS(B2275&lt;=18.5,  "Underweight",B2275&lt;=24.9,"Normal weight",B2275&lt;=29.9, "Over weight",B2275&gt;=30,"Obesity")</f>
        <v>Normal weight</v>
      </c>
      <c r="D2275">
        <v>5.45</v>
      </c>
      <c r="E2275" t="str" cm="1">
        <f t="array" ref="E2275">_xlfn.IFS(D2275&lt;5.7,"Normal",D2275&lt;=6.4,"Prediabetes",D2275&gt;=6.5,"Diabetes")</f>
        <v>Normal</v>
      </c>
      <c r="F2275" s="3" t="s">
        <v>2379</v>
      </c>
      <c r="G2275" s="3" t="s">
        <v>2379</v>
      </c>
      <c r="H2275" s="3" t="s">
        <v>2379</v>
      </c>
      <c r="I2275" s="1">
        <v>1</v>
      </c>
      <c r="J2275">
        <v>1</v>
      </c>
      <c r="K2275" s="3" t="s">
        <v>2379</v>
      </c>
      <c r="P2275" s="3"/>
    </row>
    <row r="2276" spans="1:16" x14ac:dyDescent="0.25">
      <c r="A2276" s="3" t="s">
        <v>82</v>
      </c>
      <c r="B2276">
        <v>15.56</v>
      </c>
      <c r="C2276" t="str" cm="1">
        <f t="array" ref="C2276">_xlfn.IFS(B2276&lt;=18.5,  "Underweight",B2276&lt;=24.9,"Normal weight",B2276&lt;=29.9, "Over weight",B2276&gt;=30,"Obesity")</f>
        <v>Underweight</v>
      </c>
      <c r="D2276">
        <v>4.42</v>
      </c>
      <c r="E2276" t="str" cm="1">
        <f t="array" ref="E2276">_xlfn.IFS(D2276&lt;5.7,"Normal",D2276&lt;=6.4,"Prediabetes",D2276&gt;=6.5,"Diabetes")</f>
        <v>Normal</v>
      </c>
      <c r="F2276" s="3" t="s">
        <v>2379</v>
      </c>
      <c r="G2276" s="3" t="s">
        <v>2379</v>
      </c>
      <c r="H2276" s="3" t="s">
        <v>2379</v>
      </c>
      <c r="I2276" s="1" t="s">
        <v>2380</v>
      </c>
      <c r="J2276">
        <v>0</v>
      </c>
      <c r="K2276" s="3" t="s">
        <v>2379</v>
      </c>
      <c r="P2276" s="3"/>
    </row>
    <row r="2277" spans="1:16" x14ac:dyDescent="0.25">
      <c r="A2277" s="3" t="s">
        <v>81</v>
      </c>
      <c r="B2277">
        <v>22.76</v>
      </c>
      <c r="C2277" t="str" cm="1">
        <f t="array" ref="C2277">_xlfn.IFS(B2277&lt;=18.5,  "Underweight",B2277&lt;=24.9,"Normal weight",B2277&lt;=29.9, "Over weight",B2277&gt;=30,"Obesity")</f>
        <v>Normal weight</v>
      </c>
      <c r="D2277">
        <v>9.44</v>
      </c>
      <c r="E2277" t="str" cm="1">
        <f t="array" ref="E2277">_xlfn.IFS(D2277&lt;5.7,"Normal",D2277&lt;=6.4,"Prediabetes",D2277&gt;=6.5,"Diabetes")</f>
        <v>Diabetes</v>
      </c>
      <c r="F2277" s="3" t="s">
        <v>2379</v>
      </c>
      <c r="G2277" s="3" t="s">
        <v>2379</v>
      </c>
      <c r="H2277" s="3" t="s">
        <v>2379</v>
      </c>
      <c r="I2277" s="1" t="s">
        <v>2380</v>
      </c>
      <c r="J2277">
        <v>0</v>
      </c>
      <c r="K2277" s="3" t="s">
        <v>2379</v>
      </c>
      <c r="P2277" s="3"/>
    </row>
    <row r="2278" spans="1:16" x14ac:dyDescent="0.25">
      <c r="A2278" s="3" t="s">
        <v>80</v>
      </c>
      <c r="B2278">
        <v>22.79</v>
      </c>
      <c r="C2278" t="str" cm="1">
        <f t="array" ref="C2278">_xlfn.IFS(B2278&lt;=18.5,  "Underweight",B2278&lt;=24.9,"Normal weight",B2278&lt;=29.9, "Over weight",B2278&gt;=30,"Obesity")</f>
        <v>Normal weight</v>
      </c>
      <c r="D2278">
        <v>6.15</v>
      </c>
      <c r="E2278" t="str" cm="1">
        <f t="array" ref="E2278">_xlfn.IFS(D2278&lt;5.7,"Normal",D2278&lt;=6.4,"Prediabetes",D2278&gt;=6.5,"Diabetes")</f>
        <v>Prediabetes</v>
      </c>
      <c r="F2278" s="3" t="s">
        <v>2382</v>
      </c>
      <c r="G2278" s="3" t="s">
        <v>2379</v>
      </c>
      <c r="H2278" s="3" t="s">
        <v>2382</v>
      </c>
      <c r="I2278" s="1">
        <v>1</v>
      </c>
      <c r="J2278">
        <v>1</v>
      </c>
      <c r="K2278" s="3" t="s">
        <v>2379</v>
      </c>
      <c r="P2278" s="3"/>
    </row>
    <row r="2279" spans="1:16" x14ac:dyDescent="0.25">
      <c r="A2279" s="3" t="s">
        <v>79</v>
      </c>
      <c r="B2279">
        <v>17.41</v>
      </c>
      <c r="C2279" t="str" cm="1">
        <f t="array" ref="C2279">_xlfn.IFS(B2279&lt;=18.5,  "Underweight",B2279&lt;=24.9,"Normal weight",B2279&lt;=29.9, "Over weight",B2279&gt;=30,"Obesity")</f>
        <v>Underweight</v>
      </c>
      <c r="D2279">
        <v>5.13</v>
      </c>
      <c r="E2279" t="str" cm="1">
        <f t="array" ref="E2279">_xlfn.IFS(D2279&lt;5.7,"Normal",D2279&lt;=6.4,"Prediabetes",D2279&gt;=6.5,"Diabetes")</f>
        <v>Normal</v>
      </c>
      <c r="F2279" s="3" t="s">
        <v>2382</v>
      </c>
      <c r="G2279" s="3" t="s">
        <v>2379</v>
      </c>
      <c r="H2279" s="3" t="s">
        <v>2379</v>
      </c>
      <c r="I2279" s="1" t="s">
        <v>2380</v>
      </c>
      <c r="J2279">
        <v>0</v>
      </c>
      <c r="K2279" s="3" t="s">
        <v>2379</v>
      </c>
      <c r="P2279" s="3"/>
    </row>
    <row r="2280" spans="1:16" x14ac:dyDescent="0.25">
      <c r="A2280" s="3" t="s">
        <v>78</v>
      </c>
      <c r="B2280">
        <v>19.32</v>
      </c>
      <c r="C2280" t="str" cm="1">
        <f t="array" ref="C2280">_xlfn.IFS(B2280&lt;=18.5,  "Underweight",B2280&lt;=24.9,"Normal weight",B2280&lt;=29.9, "Over weight",B2280&gt;=30,"Obesity")</f>
        <v>Normal weight</v>
      </c>
      <c r="D2280">
        <v>4.96</v>
      </c>
      <c r="E2280" t="str" cm="1">
        <f t="array" ref="E2280">_xlfn.IFS(D2280&lt;5.7,"Normal",D2280&lt;=6.4,"Prediabetes",D2280&gt;=6.5,"Diabetes")</f>
        <v>Normal</v>
      </c>
      <c r="F2280" s="3" t="s">
        <v>2382</v>
      </c>
      <c r="G2280" s="3" t="s">
        <v>2379</v>
      </c>
      <c r="H2280" s="3" t="s">
        <v>2379</v>
      </c>
      <c r="I2280" s="1" t="s">
        <v>2380</v>
      </c>
      <c r="J2280">
        <v>0</v>
      </c>
      <c r="K2280" s="3" t="s">
        <v>2379</v>
      </c>
      <c r="P2280" s="3"/>
    </row>
    <row r="2281" spans="1:16" x14ac:dyDescent="0.25">
      <c r="A2281" s="3" t="s">
        <v>77</v>
      </c>
      <c r="B2281">
        <v>18.25</v>
      </c>
      <c r="C2281" t="str" cm="1">
        <f t="array" ref="C2281">_xlfn.IFS(B2281&lt;=18.5,  "Underweight",B2281&lt;=24.9,"Normal weight",B2281&lt;=29.9, "Over weight",B2281&gt;=30,"Obesity")</f>
        <v>Underweight</v>
      </c>
      <c r="D2281">
        <v>10.95</v>
      </c>
      <c r="E2281" t="str" cm="1">
        <f t="array" ref="E2281">_xlfn.IFS(D2281&lt;5.7,"Normal",D2281&lt;=6.4,"Prediabetes",D2281&gt;=6.5,"Diabetes")</f>
        <v>Diabetes</v>
      </c>
      <c r="F2281" s="3" t="s">
        <v>2379</v>
      </c>
      <c r="G2281" s="3" t="s">
        <v>2379</v>
      </c>
      <c r="H2281" s="3" t="s">
        <v>2379</v>
      </c>
      <c r="I2281" s="1" t="s">
        <v>2380</v>
      </c>
      <c r="J2281">
        <v>0</v>
      </c>
      <c r="K2281" s="3" t="s">
        <v>2379</v>
      </c>
      <c r="P2281" s="3"/>
    </row>
    <row r="2282" spans="1:16" x14ac:dyDescent="0.25">
      <c r="A2282" s="3" t="s">
        <v>76</v>
      </c>
      <c r="B2282">
        <v>53.13</v>
      </c>
      <c r="C2282" t="str" cm="1">
        <f t="array" ref="C2282">_xlfn.IFS(B2282&lt;=18.5,  "Underweight",B2282&lt;=24.9,"Normal weight",B2282&lt;=29.9, "Over weight",B2282&gt;=30,"Obesity")</f>
        <v>Obesity</v>
      </c>
      <c r="D2282">
        <v>4.4400000000000004</v>
      </c>
      <c r="E2282" t="str" cm="1">
        <f t="array" ref="E2282">_xlfn.IFS(D2282&lt;5.7,"Normal",D2282&lt;=6.4,"Prediabetes",D2282&gt;=6.5,"Diabetes")</f>
        <v>Normal</v>
      </c>
      <c r="F2282" s="3" t="s">
        <v>2379</v>
      </c>
      <c r="G2282" s="3" t="s">
        <v>2381</v>
      </c>
      <c r="H2282" s="3" t="s">
        <v>2379</v>
      </c>
      <c r="I2282" s="1">
        <v>1</v>
      </c>
      <c r="J2282">
        <v>1</v>
      </c>
      <c r="K2282" s="3" t="s">
        <v>2379</v>
      </c>
      <c r="P2282" s="3"/>
    </row>
    <row r="2283" spans="1:16" x14ac:dyDescent="0.25">
      <c r="A2283" s="3" t="s">
        <v>75</v>
      </c>
      <c r="B2283">
        <v>20.46</v>
      </c>
      <c r="C2283" t="str" cm="1">
        <f t="array" ref="C2283">_xlfn.IFS(B2283&lt;=18.5,  "Underweight",B2283&lt;=24.9,"Normal weight",B2283&lt;=29.9, "Over weight",B2283&gt;=30,"Obesity")</f>
        <v>Normal weight</v>
      </c>
      <c r="D2283">
        <v>4.0199999999999996</v>
      </c>
      <c r="E2283" t="str" cm="1">
        <f t="array" ref="E2283">_xlfn.IFS(D2283&lt;5.7,"Normal",D2283&lt;=6.4,"Prediabetes",D2283&gt;=6.5,"Diabetes")</f>
        <v>Normal</v>
      </c>
      <c r="F2283" s="3" t="s">
        <v>2379</v>
      </c>
      <c r="G2283" s="3" t="s">
        <v>2379</v>
      </c>
      <c r="H2283" s="3" t="s">
        <v>2379</v>
      </c>
      <c r="I2283" s="1" t="s">
        <v>2380</v>
      </c>
      <c r="J2283">
        <v>0</v>
      </c>
      <c r="K2283" s="3" t="s">
        <v>2379</v>
      </c>
      <c r="P2283" s="3"/>
    </row>
    <row r="2284" spans="1:16" x14ac:dyDescent="0.25">
      <c r="A2284" s="3" t="s">
        <v>74</v>
      </c>
      <c r="B2284">
        <v>43.01</v>
      </c>
      <c r="C2284" t="str" cm="1">
        <f t="array" ref="C2284">_xlfn.IFS(B2284&lt;=18.5,  "Underweight",B2284&lt;=24.9,"Normal weight",B2284&lt;=29.9, "Over weight",B2284&gt;=30,"Obesity")</f>
        <v>Obesity</v>
      </c>
      <c r="D2284">
        <v>5.44</v>
      </c>
      <c r="E2284" t="str" cm="1">
        <f t="array" ref="E2284">_xlfn.IFS(D2284&lt;5.7,"Normal",D2284&lt;=6.4,"Prediabetes",D2284&gt;=6.5,"Diabetes")</f>
        <v>Normal</v>
      </c>
      <c r="F2284" s="3" t="s">
        <v>2379</v>
      </c>
      <c r="G2284" s="3" t="s">
        <v>2381</v>
      </c>
      <c r="H2284" s="3" t="s">
        <v>2379</v>
      </c>
      <c r="I2284" s="1">
        <v>1</v>
      </c>
      <c r="J2284">
        <v>1</v>
      </c>
      <c r="K2284" s="3" t="s">
        <v>2379</v>
      </c>
      <c r="P2284" s="3"/>
    </row>
    <row r="2285" spans="1:16" x14ac:dyDescent="0.25">
      <c r="A2285" s="3" t="s">
        <v>73</v>
      </c>
      <c r="B2285">
        <v>15.01</v>
      </c>
      <c r="C2285" t="str" cm="1">
        <f t="array" ref="C2285">_xlfn.IFS(B2285&lt;=18.5,  "Underweight",B2285&lt;=24.9,"Normal weight",B2285&lt;=29.9, "Over weight",B2285&gt;=30,"Obesity")</f>
        <v>Underweight</v>
      </c>
      <c r="D2285">
        <v>4.1500000000000004</v>
      </c>
      <c r="E2285" t="str" cm="1">
        <f t="array" ref="E2285">_xlfn.IFS(D2285&lt;5.7,"Normal",D2285&lt;=6.4,"Prediabetes",D2285&gt;=6.5,"Diabetes")</f>
        <v>Normal</v>
      </c>
      <c r="F2285" s="3" t="s">
        <v>2379</v>
      </c>
      <c r="G2285" s="3" t="s">
        <v>2379</v>
      </c>
      <c r="H2285" s="3" t="s">
        <v>2382</v>
      </c>
      <c r="I2285" s="1">
        <v>1</v>
      </c>
      <c r="J2285">
        <v>1</v>
      </c>
      <c r="K2285" s="3" t="s">
        <v>2379</v>
      </c>
      <c r="P2285" s="3"/>
    </row>
    <row r="2286" spans="1:16" x14ac:dyDescent="0.25">
      <c r="A2286" s="3" t="s">
        <v>72</v>
      </c>
      <c r="B2286">
        <v>41.14</v>
      </c>
      <c r="C2286" t="str" cm="1">
        <f t="array" ref="C2286">_xlfn.IFS(B2286&lt;=18.5,  "Underweight",B2286&lt;=24.9,"Normal weight",B2286&lt;=29.9, "Over weight",B2286&gt;=30,"Obesity")</f>
        <v>Obesity</v>
      </c>
      <c r="D2286">
        <v>6.02</v>
      </c>
      <c r="E2286" t="str" cm="1">
        <f t="array" ref="E2286">_xlfn.IFS(D2286&lt;5.7,"Normal",D2286&lt;=6.4,"Prediabetes",D2286&gt;=6.5,"Diabetes")</f>
        <v>Prediabetes</v>
      </c>
      <c r="F2286" s="3" t="s">
        <v>2379</v>
      </c>
      <c r="G2286" s="3" t="s">
        <v>2381</v>
      </c>
      <c r="H2286" s="3" t="s">
        <v>2379</v>
      </c>
      <c r="I2286" s="1">
        <v>1</v>
      </c>
      <c r="J2286">
        <v>1</v>
      </c>
      <c r="K2286" s="3" t="s">
        <v>2379</v>
      </c>
      <c r="P2286" s="3"/>
    </row>
    <row r="2287" spans="1:16" x14ac:dyDescent="0.25">
      <c r="A2287" s="3" t="s">
        <v>71</v>
      </c>
      <c r="B2287">
        <v>16.55</v>
      </c>
      <c r="C2287" t="str" cm="1">
        <f t="array" ref="C2287">_xlfn.IFS(B2287&lt;=18.5,  "Underweight",B2287&lt;=24.9,"Normal weight",B2287&lt;=29.9, "Over weight",B2287&gt;=30,"Obesity")</f>
        <v>Underweight</v>
      </c>
      <c r="D2287">
        <v>7.73</v>
      </c>
      <c r="E2287" t="str" cm="1">
        <f t="array" ref="E2287">_xlfn.IFS(D2287&lt;5.7,"Normal",D2287&lt;=6.4,"Prediabetes",D2287&gt;=6.5,"Diabetes")</f>
        <v>Diabetes</v>
      </c>
      <c r="F2287" s="3" t="s">
        <v>2379</v>
      </c>
      <c r="G2287" s="3" t="s">
        <v>2379</v>
      </c>
      <c r="H2287" s="3" t="s">
        <v>2379</v>
      </c>
      <c r="I2287" s="1" t="s">
        <v>2380</v>
      </c>
      <c r="J2287">
        <v>0</v>
      </c>
      <c r="K2287" s="3" t="s">
        <v>2379</v>
      </c>
      <c r="P2287" s="3"/>
    </row>
    <row r="2288" spans="1:16" x14ac:dyDescent="0.25">
      <c r="A2288" s="3" t="s">
        <v>70</v>
      </c>
      <c r="B2288">
        <v>37.29</v>
      </c>
      <c r="C2288" t="str" cm="1">
        <f t="array" ref="C2288">_xlfn.IFS(B2288&lt;=18.5,  "Underweight",B2288&lt;=24.9,"Normal weight",B2288&lt;=29.9, "Over weight",B2288&gt;=30,"Obesity")</f>
        <v>Obesity</v>
      </c>
      <c r="D2288">
        <v>5.03</v>
      </c>
      <c r="E2288" t="str" cm="1">
        <f t="array" ref="E2288">_xlfn.IFS(D2288&lt;5.7,"Normal",D2288&lt;=6.4,"Prediabetes",D2288&gt;=6.5,"Diabetes")</f>
        <v>Normal</v>
      </c>
      <c r="F2288" s="3" t="s">
        <v>2379</v>
      </c>
      <c r="G2288" s="3" t="s">
        <v>2381</v>
      </c>
      <c r="H2288" s="3" t="s">
        <v>2379</v>
      </c>
      <c r="I2288" s="1">
        <v>1</v>
      </c>
      <c r="J2288">
        <v>1</v>
      </c>
      <c r="K2288" s="3" t="s">
        <v>2379</v>
      </c>
      <c r="P2288" s="3"/>
    </row>
    <row r="2289" spans="1:16" x14ac:dyDescent="0.25">
      <c r="A2289" s="3" t="s">
        <v>69</v>
      </c>
      <c r="B2289">
        <v>16.739999999999998</v>
      </c>
      <c r="C2289" t="str" cm="1">
        <f t="array" ref="C2289">_xlfn.IFS(B2289&lt;=18.5,  "Underweight",B2289&lt;=24.9,"Normal weight",B2289&lt;=29.9, "Over weight",B2289&gt;=30,"Obesity")</f>
        <v>Underweight</v>
      </c>
      <c r="D2289">
        <v>4.08</v>
      </c>
      <c r="E2289" t="str" cm="1">
        <f t="array" ref="E2289">_xlfn.IFS(D2289&lt;5.7,"Normal",D2289&lt;=6.4,"Prediabetes",D2289&gt;=6.5,"Diabetes")</f>
        <v>Normal</v>
      </c>
      <c r="F2289" s="3" t="s">
        <v>2382</v>
      </c>
      <c r="G2289" s="3" t="s">
        <v>2379</v>
      </c>
      <c r="H2289" s="3" t="s">
        <v>2379</v>
      </c>
      <c r="I2289" s="1" t="s">
        <v>2380</v>
      </c>
      <c r="J2289">
        <v>0</v>
      </c>
      <c r="K2289" s="3" t="s">
        <v>2379</v>
      </c>
      <c r="P2289" s="3"/>
    </row>
    <row r="2290" spans="1:16" x14ac:dyDescent="0.25">
      <c r="A2290" s="3" t="s">
        <v>68</v>
      </c>
      <c r="B2290">
        <v>34.43</v>
      </c>
      <c r="C2290" t="str" cm="1">
        <f t="array" ref="C2290">_xlfn.IFS(B2290&lt;=18.5,  "Underweight",B2290&lt;=24.9,"Normal weight",B2290&lt;=29.9, "Over weight",B2290&gt;=30,"Obesity")</f>
        <v>Obesity</v>
      </c>
      <c r="D2290">
        <v>4.2699999999999996</v>
      </c>
      <c r="E2290" t="str" cm="1">
        <f t="array" ref="E2290">_xlfn.IFS(D2290&lt;5.7,"Normal",D2290&lt;=6.4,"Prediabetes",D2290&gt;=6.5,"Diabetes")</f>
        <v>Normal</v>
      </c>
      <c r="F2290" s="3" t="s">
        <v>2379</v>
      </c>
      <c r="G2290" s="3" t="s">
        <v>2381</v>
      </c>
      <c r="H2290" s="3" t="s">
        <v>2379</v>
      </c>
      <c r="I2290" s="1">
        <v>1</v>
      </c>
      <c r="J2290">
        <v>1</v>
      </c>
      <c r="K2290" s="3" t="s">
        <v>2379</v>
      </c>
      <c r="P2290" s="3"/>
    </row>
    <row r="2291" spans="1:16" x14ac:dyDescent="0.25">
      <c r="A2291" s="3" t="s">
        <v>67</v>
      </c>
      <c r="B2291">
        <v>34.1</v>
      </c>
      <c r="C2291" t="str" cm="1">
        <f t="array" ref="C2291">_xlfn.IFS(B2291&lt;=18.5,  "Underweight",B2291&lt;=24.9,"Normal weight",B2291&lt;=29.9, "Over weight",B2291&gt;=30,"Obesity")</f>
        <v>Obesity</v>
      </c>
      <c r="D2291">
        <v>4.07</v>
      </c>
      <c r="E2291" t="str" cm="1">
        <f t="array" ref="E2291">_xlfn.IFS(D2291&lt;5.7,"Normal",D2291&lt;=6.4,"Prediabetes",D2291&gt;=6.5,"Diabetes")</f>
        <v>Normal</v>
      </c>
      <c r="F2291" s="3" t="s">
        <v>2379</v>
      </c>
      <c r="G2291" s="3" t="s">
        <v>2381</v>
      </c>
      <c r="H2291" s="3" t="s">
        <v>2379</v>
      </c>
      <c r="I2291" s="1">
        <v>1</v>
      </c>
      <c r="J2291">
        <v>1</v>
      </c>
      <c r="K2291" s="3" t="s">
        <v>2379</v>
      </c>
      <c r="P2291" s="3"/>
    </row>
    <row r="2292" spans="1:16" x14ac:dyDescent="0.25">
      <c r="A2292" s="3" t="s">
        <v>66</v>
      </c>
      <c r="B2292">
        <v>19.3</v>
      </c>
      <c r="C2292" t="str" cm="1">
        <f t="array" ref="C2292">_xlfn.IFS(B2292&lt;=18.5,  "Underweight",B2292&lt;=24.9,"Normal weight",B2292&lt;=29.9, "Over weight",B2292&gt;=30,"Obesity")</f>
        <v>Normal weight</v>
      </c>
      <c r="D2292">
        <v>10.36</v>
      </c>
      <c r="E2292" t="str" cm="1">
        <f t="array" ref="E2292">_xlfn.IFS(D2292&lt;5.7,"Normal",D2292&lt;=6.4,"Prediabetes",D2292&gt;=6.5,"Diabetes")</f>
        <v>Diabetes</v>
      </c>
      <c r="F2292" s="3" t="s">
        <v>2379</v>
      </c>
      <c r="G2292" s="3" t="s">
        <v>2379</v>
      </c>
      <c r="H2292" s="3" t="s">
        <v>2379</v>
      </c>
      <c r="I2292" s="1" t="s">
        <v>2380</v>
      </c>
      <c r="J2292">
        <v>0</v>
      </c>
      <c r="K2292" s="3" t="s">
        <v>2379</v>
      </c>
      <c r="P2292" s="3"/>
    </row>
    <row r="2293" spans="1:16" x14ac:dyDescent="0.25">
      <c r="A2293" s="3" t="s">
        <v>65</v>
      </c>
      <c r="B2293">
        <v>33.659999999999997</v>
      </c>
      <c r="C2293" t="str" cm="1">
        <f t="array" ref="C2293">_xlfn.IFS(B2293&lt;=18.5,  "Underweight",B2293&lt;=24.9,"Normal weight",B2293&lt;=29.9, "Over weight",B2293&gt;=30,"Obesity")</f>
        <v>Obesity</v>
      </c>
      <c r="D2293">
        <v>5.71</v>
      </c>
      <c r="E2293" t="str" cm="1">
        <f t="array" ref="E2293">_xlfn.IFS(D2293&lt;5.7,"Normal",D2293&lt;=6.4,"Prediabetes",D2293&gt;=6.5,"Diabetes")</f>
        <v>Prediabetes</v>
      </c>
      <c r="F2293" s="3" t="s">
        <v>2379</v>
      </c>
      <c r="G2293" s="3" t="s">
        <v>2381</v>
      </c>
      <c r="H2293" s="3" t="s">
        <v>2379</v>
      </c>
      <c r="I2293" s="1">
        <v>1</v>
      </c>
      <c r="J2293">
        <v>1</v>
      </c>
      <c r="K2293" s="3" t="s">
        <v>2379</v>
      </c>
      <c r="P2293" s="3"/>
    </row>
    <row r="2294" spans="1:16" x14ac:dyDescent="0.25">
      <c r="A2294" s="3" t="s">
        <v>64</v>
      </c>
      <c r="B2294">
        <v>33.33</v>
      </c>
      <c r="C2294" t="str" cm="1">
        <f t="array" ref="C2294">_xlfn.IFS(B2294&lt;=18.5,  "Underweight",B2294&lt;=24.9,"Normal weight",B2294&lt;=29.9, "Over weight",B2294&gt;=30,"Obesity")</f>
        <v>Obesity</v>
      </c>
      <c r="D2294">
        <v>6.08</v>
      </c>
      <c r="E2294" t="str" cm="1">
        <f t="array" ref="E2294">_xlfn.IFS(D2294&lt;5.7,"Normal",D2294&lt;=6.4,"Prediabetes",D2294&gt;=6.5,"Diabetes")</f>
        <v>Prediabetes</v>
      </c>
      <c r="F2294" s="3" t="s">
        <v>2379</v>
      </c>
      <c r="G2294" s="3" t="s">
        <v>2381</v>
      </c>
      <c r="H2294" s="3" t="s">
        <v>2379</v>
      </c>
      <c r="I2294" s="1">
        <v>1</v>
      </c>
      <c r="J2294">
        <v>1</v>
      </c>
      <c r="K2294" s="3" t="s">
        <v>2379</v>
      </c>
      <c r="P2294" s="3"/>
    </row>
    <row r="2295" spans="1:16" x14ac:dyDescent="0.25">
      <c r="A2295" s="3" t="s">
        <v>63</v>
      </c>
      <c r="B2295">
        <v>21.84</v>
      </c>
      <c r="C2295" t="str" cm="1">
        <f t="array" ref="C2295">_xlfn.IFS(B2295&lt;=18.5,  "Underweight",B2295&lt;=24.9,"Normal weight",B2295&lt;=29.9, "Over weight",B2295&gt;=30,"Obesity")</f>
        <v>Normal weight</v>
      </c>
      <c r="D2295">
        <v>5.71</v>
      </c>
      <c r="E2295" t="str" cm="1">
        <f t="array" ref="E2295">_xlfn.IFS(D2295&lt;5.7,"Normal",D2295&lt;=6.4,"Prediabetes",D2295&gt;=6.5,"Diabetes")</f>
        <v>Prediabetes</v>
      </c>
      <c r="F2295" s="3" t="s">
        <v>2379</v>
      </c>
      <c r="G2295" s="3" t="s">
        <v>2381</v>
      </c>
      <c r="H2295" s="3" t="s">
        <v>2379</v>
      </c>
      <c r="I2295" s="1">
        <v>1</v>
      </c>
      <c r="J2295">
        <v>1</v>
      </c>
      <c r="K2295" s="3" t="s">
        <v>2379</v>
      </c>
      <c r="P2295" s="3"/>
    </row>
    <row r="2296" spans="1:16" x14ac:dyDescent="0.25">
      <c r="A2296" s="3" t="s">
        <v>62</v>
      </c>
      <c r="B2296">
        <v>16.87</v>
      </c>
      <c r="C2296" t="str" cm="1">
        <f t="array" ref="C2296">_xlfn.IFS(B2296&lt;=18.5,  "Underweight",B2296&lt;=24.9,"Normal weight",B2296&lt;=29.9, "Over weight",B2296&gt;=30,"Obesity")</f>
        <v>Underweight</v>
      </c>
      <c r="D2296">
        <v>9.1300000000000008</v>
      </c>
      <c r="E2296" t="str" cm="1">
        <f t="array" ref="E2296">_xlfn.IFS(D2296&lt;5.7,"Normal",D2296&lt;=6.4,"Prediabetes",D2296&gt;=6.5,"Diabetes")</f>
        <v>Diabetes</v>
      </c>
      <c r="F2296" s="3" t="s">
        <v>2379</v>
      </c>
      <c r="G2296" s="3" t="s">
        <v>2379</v>
      </c>
      <c r="H2296" s="3" t="s">
        <v>2379</v>
      </c>
      <c r="I2296" s="1" t="s">
        <v>2380</v>
      </c>
      <c r="J2296">
        <v>0</v>
      </c>
      <c r="K2296" s="3" t="s">
        <v>2379</v>
      </c>
      <c r="P2296" s="3"/>
    </row>
    <row r="2297" spans="1:16" x14ac:dyDescent="0.25">
      <c r="A2297" s="3" t="s">
        <v>61</v>
      </c>
      <c r="B2297">
        <v>30.14</v>
      </c>
      <c r="C2297" t="str" cm="1">
        <f t="array" ref="C2297">_xlfn.IFS(B2297&lt;=18.5,  "Underweight",B2297&lt;=24.9,"Normal weight",B2297&lt;=29.9, "Over weight",B2297&gt;=30,"Obesity")</f>
        <v>Obesity</v>
      </c>
      <c r="D2297">
        <v>5.49</v>
      </c>
      <c r="E2297" t="str" cm="1">
        <f t="array" ref="E2297">_xlfn.IFS(D2297&lt;5.7,"Normal",D2297&lt;=6.4,"Prediabetes",D2297&gt;=6.5,"Diabetes")</f>
        <v>Normal</v>
      </c>
      <c r="F2297" s="3" t="s">
        <v>2379</v>
      </c>
      <c r="G2297" s="3" t="s">
        <v>2381</v>
      </c>
      <c r="H2297" s="3" t="s">
        <v>2379</v>
      </c>
      <c r="I2297" s="1">
        <v>1</v>
      </c>
      <c r="J2297">
        <v>1</v>
      </c>
      <c r="K2297" s="3" t="s">
        <v>2379</v>
      </c>
      <c r="P2297" s="3"/>
    </row>
    <row r="2298" spans="1:16" x14ac:dyDescent="0.25">
      <c r="A2298" s="3" t="s">
        <v>60</v>
      </c>
      <c r="B2298">
        <v>23.21</v>
      </c>
      <c r="C2298" t="str" cm="1">
        <f t="array" ref="C2298">_xlfn.IFS(B2298&lt;=18.5,  "Underweight",B2298&lt;=24.9,"Normal weight",B2298&lt;=29.9, "Over weight",B2298&gt;=30,"Obesity")</f>
        <v>Normal weight</v>
      </c>
      <c r="D2298">
        <v>4.37</v>
      </c>
      <c r="E2298" t="str" cm="1">
        <f t="array" ref="E2298">_xlfn.IFS(D2298&lt;5.7,"Normal",D2298&lt;=6.4,"Prediabetes",D2298&gt;=6.5,"Diabetes")</f>
        <v>Normal</v>
      </c>
      <c r="F2298" s="3" t="s">
        <v>2379</v>
      </c>
      <c r="G2298" s="3" t="s">
        <v>2381</v>
      </c>
      <c r="H2298" s="3" t="s">
        <v>2379</v>
      </c>
      <c r="I2298" s="1">
        <v>1</v>
      </c>
      <c r="J2298">
        <v>1</v>
      </c>
      <c r="K2298" s="3" t="s">
        <v>2379</v>
      </c>
      <c r="P2298" s="3"/>
    </row>
    <row r="2299" spans="1:16" x14ac:dyDescent="0.25">
      <c r="A2299" s="3" t="s">
        <v>59</v>
      </c>
      <c r="B2299">
        <v>17.170000000000002</v>
      </c>
      <c r="C2299" t="str" cm="1">
        <f t="array" ref="C2299">_xlfn.IFS(B2299&lt;=18.5,  "Underweight",B2299&lt;=24.9,"Normal weight",B2299&lt;=29.9, "Over weight",B2299&gt;=30,"Obesity")</f>
        <v>Underweight</v>
      </c>
      <c r="D2299">
        <v>8.4600000000000009</v>
      </c>
      <c r="E2299" t="str" cm="1">
        <f t="array" ref="E2299">_xlfn.IFS(D2299&lt;5.7,"Normal",D2299&lt;=6.4,"Prediabetes",D2299&gt;=6.5,"Diabetes")</f>
        <v>Diabetes</v>
      </c>
      <c r="F2299" s="3" t="s">
        <v>2379</v>
      </c>
      <c r="G2299" s="3" t="s">
        <v>2379</v>
      </c>
      <c r="H2299" s="3" t="s">
        <v>2379</v>
      </c>
      <c r="I2299" s="1" t="s">
        <v>2380</v>
      </c>
      <c r="J2299">
        <v>0</v>
      </c>
      <c r="K2299" s="3" t="s">
        <v>2379</v>
      </c>
      <c r="P2299" s="3"/>
    </row>
    <row r="2300" spans="1:16" x14ac:dyDescent="0.25">
      <c r="A2300" s="3" t="s">
        <v>58</v>
      </c>
      <c r="B2300">
        <v>15.61</v>
      </c>
      <c r="C2300" t="str" cm="1">
        <f t="array" ref="C2300">_xlfn.IFS(B2300&lt;=18.5,  "Underweight",B2300&lt;=24.9,"Normal weight",B2300&lt;=29.9, "Over weight",B2300&gt;=30,"Obesity")</f>
        <v>Underweight</v>
      </c>
      <c r="D2300">
        <v>5.28</v>
      </c>
      <c r="E2300" t="str" cm="1">
        <f t="array" ref="E2300">_xlfn.IFS(D2300&lt;5.7,"Normal",D2300&lt;=6.4,"Prediabetes",D2300&gt;=6.5,"Diabetes")</f>
        <v>Normal</v>
      </c>
      <c r="F2300" s="3" t="s">
        <v>2379</v>
      </c>
      <c r="G2300" s="3" t="s">
        <v>2379</v>
      </c>
      <c r="H2300" s="3" t="s">
        <v>2379</v>
      </c>
      <c r="I2300" s="1">
        <v>1</v>
      </c>
      <c r="J2300">
        <v>1</v>
      </c>
      <c r="K2300" s="3" t="s">
        <v>2379</v>
      </c>
      <c r="P2300" s="3"/>
    </row>
    <row r="2301" spans="1:16" x14ac:dyDescent="0.25">
      <c r="A2301" s="3" t="s">
        <v>57</v>
      </c>
      <c r="B2301">
        <v>17.98</v>
      </c>
      <c r="C2301" t="str" cm="1">
        <f t="array" ref="C2301">_xlfn.IFS(B2301&lt;=18.5,  "Underweight",B2301&lt;=24.9,"Normal weight",B2301&lt;=29.9, "Over weight",B2301&gt;=30,"Obesity")</f>
        <v>Underweight</v>
      </c>
      <c r="D2301">
        <v>5.33</v>
      </c>
      <c r="E2301" t="str" cm="1">
        <f t="array" ref="E2301">_xlfn.IFS(D2301&lt;5.7,"Normal",D2301&lt;=6.4,"Prediabetes",D2301&gt;=6.5,"Diabetes")</f>
        <v>Normal</v>
      </c>
      <c r="F2301" s="3" t="s">
        <v>2382</v>
      </c>
      <c r="G2301" s="3" t="s">
        <v>2379</v>
      </c>
      <c r="H2301" s="3" t="s">
        <v>2382</v>
      </c>
      <c r="I2301" s="1">
        <v>1</v>
      </c>
      <c r="J2301">
        <v>1</v>
      </c>
      <c r="K2301" s="3" t="s">
        <v>2379</v>
      </c>
      <c r="P2301" s="3"/>
    </row>
    <row r="2302" spans="1:16" x14ac:dyDescent="0.25">
      <c r="A2302" s="3" t="s">
        <v>56</v>
      </c>
      <c r="B2302">
        <v>21.64</v>
      </c>
      <c r="C2302" t="str" cm="1">
        <f t="array" ref="C2302">_xlfn.IFS(B2302&lt;=18.5,  "Underweight",B2302&lt;=24.9,"Normal weight",B2302&lt;=29.9, "Over weight",B2302&gt;=30,"Obesity")</f>
        <v>Normal weight</v>
      </c>
      <c r="D2302">
        <v>5.5</v>
      </c>
      <c r="E2302" t="str" cm="1">
        <f t="array" ref="E2302">_xlfn.IFS(D2302&lt;5.7,"Normal",D2302&lt;=6.4,"Prediabetes",D2302&gt;=6.5,"Diabetes")</f>
        <v>Normal</v>
      </c>
      <c r="F2302" s="3" t="s">
        <v>2379</v>
      </c>
      <c r="G2302" s="3" t="s">
        <v>2381</v>
      </c>
      <c r="H2302" s="3" t="s">
        <v>2379</v>
      </c>
      <c r="I2302" s="1">
        <v>1</v>
      </c>
      <c r="J2302">
        <v>1</v>
      </c>
      <c r="K2302" s="3" t="s">
        <v>2379</v>
      </c>
      <c r="P2302" s="3"/>
    </row>
    <row r="2303" spans="1:16" x14ac:dyDescent="0.25">
      <c r="A2303" s="3" t="s">
        <v>55</v>
      </c>
      <c r="B2303">
        <v>16.399999999999999</v>
      </c>
      <c r="C2303" t="str" cm="1">
        <f t="array" ref="C2303">_xlfn.IFS(B2303&lt;=18.5,  "Underweight",B2303&lt;=24.9,"Normal weight",B2303&lt;=29.9, "Over weight",B2303&gt;=30,"Obesity")</f>
        <v>Underweight</v>
      </c>
      <c r="D2303">
        <v>5.4</v>
      </c>
      <c r="E2303" t="str" cm="1">
        <f t="array" ref="E2303">_xlfn.IFS(D2303&lt;5.7,"Normal",D2303&lt;=6.4,"Prediabetes",D2303&gt;=6.5,"Diabetes")</f>
        <v>Normal</v>
      </c>
      <c r="F2303" s="3" t="s">
        <v>2379</v>
      </c>
      <c r="G2303" s="3" t="s">
        <v>2379</v>
      </c>
      <c r="H2303" s="3" t="s">
        <v>2382</v>
      </c>
      <c r="I2303" s="1">
        <v>1</v>
      </c>
      <c r="J2303">
        <v>1</v>
      </c>
      <c r="K2303" s="3" t="s">
        <v>2379</v>
      </c>
      <c r="P2303" s="3"/>
    </row>
    <row r="2304" spans="1:16" x14ac:dyDescent="0.25">
      <c r="A2304" s="3" t="s">
        <v>54</v>
      </c>
      <c r="B2304">
        <v>15.77</v>
      </c>
      <c r="C2304" t="str" cm="1">
        <f t="array" ref="C2304">_xlfn.IFS(B2304&lt;=18.5,  "Underweight",B2304&lt;=24.9,"Normal weight",B2304&lt;=29.9, "Over weight",B2304&gt;=30,"Obesity")</f>
        <v>Underweight</v>
      </c>
      <c r="D2304">
        <v>6.05</v>
      </c>
      <c r="E2304" t="str" cm="1">
        <f t="array" ref="E2304">_xlfn.IFS(D2304&lt;5.7,"Normal",D2304&lt;=6.4,"Prediabetes",D2304&gt;=6.5,"Diabetes")</f>
        <v>Prediabetes</v>
      </c>
      <c r="F2304" s="3" t="s">
        <v>2382</v>
      </c>
      <c r="G2304" s="3" t="s">
        <v>2379</v>
      </c>
      <c r="H2304" s="3" t="s">
        <v>2379</v>
      </c>
      <c r="I2304" s="1">
        <v>1</v>
      </c>
      <c r="J2304">
        <v>1</v>
      </c>
      <c r="K2304" s="3" t="s">
        <v>2379</v>
      </c>
      <c r="P2304" s="3"/>
    </row>
    <row r="2305" spans="1:16" x14ac:dyDescent="0.25">
      <c r="A2305" s="3" t="s">
        <v>53</v>
      </c>
      <c r="B2305">
        <v>18.27</v>
      </c>
      <c r="C2305" t="str" cm="1">
        <f t="array" ref="C2305">_xlfn.IFS(B2305&lt;=18.5,  "Underweight",B2305&lt;=24.9,"Normal weight",B2305&lt;=29.9, "Over weight",B2305&gt;=30,"Obesity")</f>
        <v>Underweight</v>
      </c>
      <c r="D2305">
        <v>11.46</v>
      </c>
      <c r="E2305" t="str" cm="1">
        <f t="array" ref="E2305">_xlfn.IFS(D2305&lt;5.7,"Normal",D2305&lt;=6.4,"Prediabetes",D2305&gt;=6.5,"Diabetes")</f>
        <v>Diabetes</v>
      </c>
      <c r="F2305" s="3" t="s">
        <v>2379</v>
      </c>
      <c r="G2305" s="3" t="s">
        <v>2379</v>
      </c>
      <c r="H2305" s="3" t="s">
        <v>2379</v>
      </c>
      <c r="I2305" s="1" t="s">
        <v>2380</v>
      </c>
      <c r="J2305">
        <v>0</v>
      </c>
      <c r="K2305" s="3" t="s">
        <v>2379</v>
      </c>
      <c r="P2305" s="3"/>
    </row>
    <row r="2306" spans="1:16" x14ac:dyDescent="0.25">
      <c r="A2306" s="3" t="s">
        <v>52</v>
      </c>
      <c r="B2306">
        <v>16.489999999999998</v>
      </c>
      <c r="C2306" t="str" cm="1">
        <f t="array" ref="C2306">_xlfn.IFS(B2306&lt;=18.5,  "Underweight",B2306&lt;=24.9,"Normal weight",B2306&lt;=29.9, "Over weight",B2306&gt;=30,"Obesity")</f>
        <v>Underweight</v>
      </c>
      <c r="D2306">
        <v>8.48</v>
      </c>
      <c r="E2306" t="str" cm="1">
        <f t="array" ref="E2306">_xlfn.IFS(D2306&lt;5.7,"Normal",D2306&lt;=6.4,"Prediabetes",D2306&gt;=6.5,"Diabetes")</f>
        <v>Diabetes</v>
      </c>
      <c r="F2306" s="3" t="s">
        <v>2379</v>
      </c>
      <c r="G2306" s="3" t="s">
        <v>2379</v>
      </c>
      <c r="H2306" s="3" t="s">
        <v>2379</v>
      </c>
      <c r="I2306" s="1" t="s">
        <v>2380</v>
      </c>
      <c r="J2306">
        <v>0</v>
      </c>
      <c r="K2306" s="3" t="s">
        <v>2379</v>
      </c>
      <c r="P2306" s="3"/>
    </row>
    <row r="2307" spans="1:16" x14ac:dyDescent="0.25">
      <c r="A2307" s="3" t="s">
        <v>51</v>
      </c>
      <c r="B2307">
        <v>16.14</v>
      </c>
      <c r="C2307" t="str" cm="1">
        <f t="array" ref="C2307">_xlfn.IFS(B2307&lt;=18.5,  "Underweight",B2307&lt;=24.9,"Normal weight",B2307&lt;=29.9, "Over weight",B2307&gt;=30,"Obesity")</f>
        <v>Underweight</v>
      </c>
      <c r="D2307">
        <v>4.8600000000000003</v>
      </c>
      <c r="E2307" t="str" cm="1">
        <f t="array" ref="E2307">_xlfn.IFS(D2307&lt;5.7,"Normal",D2307&lt;=6.4,"Prediabetes",D2307&gt;=6.5,"Diabetes")</f>
        <v>Normal</v>
      </c>
      <c r="F2307" s="3" t="s">
        <v>2379</v>
      </c>
      <c r="G2307" s="3" t="s">
        <v>2379</v>
      </c>
      <c r="H2307" s="3" t="s">
        <v>2379</v>
      </c>
      <c r="I2307" s="1" t="s">
        <v>2380</v>
      </c>
      <c r="J2307">
        <v>0</v>
      </c>
      <c r="K2307" s="3" t="s">
        <v>2379</v>
      </c>
      <c r="P2307" s="3"/>
    </row>
    <row r="2308" spans="1:16" x14ac:dyDescent="0.25">
      <c r="A2308" s="3" t="s">
        <v>50</v>
      </c>
      <c r="B2308">
        <v>20.85</v>
      </c>
      <c r="C2308" t="str" cm="1">
        <f t="array" ref="C2308">_xlfn.IFS(B2308&lt;=18.5,  "Underweight",B2308&lt;=24.9,"Normal weight",B2308&lt;=29.9, "Over weight",B2308&gt;=30,"Obesity")</f>
        <v>Normal weight</v>
      </c>
      <c r="D2308">
        <v>4.45</v>
      </c>
      <c r="E2308" t="str" cm="1">
        <f t="array" ref="E2308">_xlfn.IFS(D2308&lt;5.7,"Normal",D2308&lt;=6.4,"Prediabetes",D2308&gt;=6.5,"Diabetes")</f>
        <v>Normal</v>
      </c>
      <c r="F2308" s="3" t="s">
        <v>2382</v>
      </c>
      <c r="G2308" s="3" t="s">
        <v>2379</v>
      </c>
      <c r="H2308" s="3" t="s">
        <v>2379</v>
      </c>
      <c r="I2308" s="1">
        <v>1</v>
      </c>
      <c r="J2308">
        <v>1</v>
      </c>
      <c r="K2308" s="3" t="s">
        <v>2379</v>
      </c>
      <c r="P2308" s="3"/>
    </row>
    <row r="2309" spans="1:16" x14ac:dyDescent="0.25">
      <c r="A2309" s="3" t="s">
        <v>49</v>
      </c>
      <c r="B2309">
        <v>15.88</v>
      </c>
      <c r="C2309" t="str" cm="1">
        <f t="array" ref="C2309">_xlfn.IFS(B2309&lt;=18.5,  "Underweight",B2309&lt;=24.9,"Normal weight",B2309&lt;=29.9, "Over weight",B2309&gt;=30,"Obesity")</f>
        <v>Underweight</v>
      </c>
      <c r="D2309">
        <v>4.3600000000000003</v>
      </c>
      <c r="E2309" t="str" cm="1">
        <f t="array" ref="E2309">_xlfn.IFS(D2309&lt;5.7,"Normal",D2309&lt;=6.4,"Prediabetes",D2309&gt;=6.5,"Diabetes")</f>
        <v>Normal</v>
      </c>
      <c r="F2309" s="3" t="s">
        <v>2379</v>
      </c>
      <c r="G2309" s="3" t="s">
        <v>2379</v>
      </c>
      <c r="H2309" s="3" t="s">
        <v>2379</v>
      </c>
      <c r="I2309" s="1" t="s">
        <v>2380</v>
      </c>
      <c r="J2309">
        <v>0</v>
      </c>
      <c r="K2309" s="3" t="s">
        <v>2379</v>
      </c>
      <c r="P2309" s="3"/>
    </row>
    <row r="2310" spans="1:16" x14ac:dyDescent="0.25">
      <c r="A2310" s="3" t="s">
        <v>48</v>
      </c>
      <c r="B2310">
        <v>20.66</v>
      </c>
      <c r="C2310" t="str" cm="1">
        <f t="array" ref="C2310">_xlfn.IFS(B2310&lt;=18.5,  "Underweight",B2310&lt;=24.9,"Normal weight",B2310&lt;=29.9, "Over weight",B2310&gt;=30,"Obesity")</f>
        <v>Normal weight</v>
      </c>
      <c r="D2310">
        <v>5.8</v>
      </c>
      <c r="E2310" t="str" cm="1">
        <f t="array" ref="E2310">_xlfn.IFS(D2310&lt;5.7,"Normal",D2310&lt;=6.4,"Prediabetes",D2310&gt;=6.5,"Diabetes")</f>
        <v>Prediabetes</v>
      </c>
      <c r="F2310" s="3" t="s">
        <v>2379</v>
      </c>
      <c r="G2310" s="3" t="s">
        <v>2381</v>
      </c>
      <c r="H2310" s="3" t="s">
        <v>2379</v>
      </c>
      <c r="I2310" s="1">
        <v>1</v>
      </c>
      <c r="J2310">
        <v>1</v>
      </c>
      <c r="K2310" s="3" t="s">
        <v>2379</v>
      </c>
      <c r="P2310" s="3"/>
    </row>
    <row r="2311" spans="1:16" x14ac:dyDescent="0.25">
      <c r="A2311" s="3" t="s">
        <v>47</v>
      </c>
      <c r="B2311">
        <v>20.399999999999999</v>
      </c>
      <c r="C2311" t="str" cm="1">
        <f t="array" ref="C2311">_xlfn.IFS(B2311&lt;=18.5,  "Underweight",B2311&lt;=24.9,"Normal weight",B2311&lt;=29.9, "Over weight",B2311&gt;=30,"Obesity")</f>
        <v>Normal weight</v>
      </c>
      <c r="D2311">
        <v>5.27</v>
      </c>
      <c r="E2311" t="str" cm="1">
        <f t="array" ref="E2311">_xlfn.IFS(D2311&lt;5.7,"Normal",D2311&lt;=6.4,"Prediabetes",D2311&gt;=6.5,"Diabetes")</f>
        <v>Normal</v>
      </c>
      <c r="F2311" s="3" t="s">
        <v>2379</v>
      </c>
      <c r="G2311" s="3" t="s">
        <v>2379</v>
      </c>
      <c r="H2311" s="3" t="s">
        <v>2379</v>
      </c>
      <c r="I2311" s="1" t="s">
        <v>2380</v>
      </c>
      <c r="J2311">
        <v>0</v>
      </c>
      <c r="K2311" s="3" t="s">
        <v>2379</v>
      </c>
      <c r="P2311" s="3"/>
    </row>
    <row r="2312" spans="1:16" x14ac:dyDescent="0.25">
      <c r="A2312" s="3" t="s">
        <v>46</v>
      </c>
      <c r="B2312">
        <v>25.19</v>
      </c>
      <c r="C2312" t="str" cm="1">
        <f t="array" ref="C2312">_xlfn.IFS(B2312&lt;=18.5,  "Underweight",B2312&lt;=24.9,"Normal weight",B2312&lt;=29.9, "Over weight",B2312&gt;=30,"Obesity")</f>
        <v>Over weight</v>
      </c>
      <c r="D2312">
        <v>5.64</v>
      </c>
      <c r="E2312" t="str" cm="1">
        <f t="array" ref="E2312">_xlfn.IFS(D2312&lt;5.7,"Normal",D2312&lt;=6.4,"Prediabetes",D2312&gt;=6.5,"Diabetes")</f>
        <v>Normal</v>
      </c>
      <c r="F2312" s="3" t="s">
        <v>2382</v>
      </c>
      <c r="G2312" s="3" t="s">
        <v>2379</v>
      </c>
      <c r="H2312" s="3" t="s">
        <v>2379</v>
      </c>
      <c r="I2312" s="1" t="s">
        <v>2380</v>
      </c>
      <c r="J2312">
        <v>0</v>
      </c>
      <c r="K2312" s="3" t="s">
        <v>2379</v>
      </c>
      <c r="P2312" s="3"/>
    </row>
    <row r="2313" spans="1:16" x14ac:dyDescent="0.25">
      <c r="A2313" s="3" t="s">
        <v>45</v>
      </c>
      <c r="B2313">
        <v>20.54</v>
      </c>
      <c r="C2313" t="str" cm="1">
        <f t="array" ref="C2313">_xlfn.IFS(B2313&lt;=18.5,  "Underweight",B2313&lt;=24.9,"Normal weight",B2313&lt;=29.9, "Over weight",B2313&gt;=30,"Obesity")</f>
        <v>Normal weight</v>
      </c>
      <c r="D2313">
        <v>4.2</v>
      </c>
      <c r="E2313" t="str" cm="1">
        <f t="array" ref="E2313">_xlfn.IFS(D2313&lt;5.7,"Normal",D2313&lt;=6.4,"Prediabetes",D2313&gt;=6.5,"Diabetes")</f>
        <v>Normal</v>
      </c>
      <c r="F2313" s="3" t="s">
        <v>2382</v>
      </c>
      <c r="G2313" s="3" t="s">
        <v>2379</v>
      </c>
      <c r="H2313" s="3" t="s">
        <v>2379</v>
      </c>
      <c r="I2313" s="1">
        <v>1</v>
      </c>
      <c r="J2313">
        <v>1</v>
      </c>
      <c r="K2313" s="3" t="s">
        <v>2379</v>
      </c>
      <c r="P2313" s="3"/>
    </row>
    <row r="2314" spans="1:16" x14ac:dyDescent="0.25">
      <c r="A2314" s="3" t="s">
        <v>44</v>
      </c>
      <c r="B2314">
        <v>20.13</v>
      </c>
      <c r="C2314" t="str" cm="1">
        <f t="array" ref="C2314">_xlfn.IFS(B2314&lt;=18.5,  "Underweight",B2314&lt;=24.9,"Normal weight",B2314&lt;=29.9, "Over weight",B2314&gt;=30,"Obesity")</f>
        <v>Normal weight</v>
      </c>
      <c r="D2314">
        <v>5.42</v>
      </c>
      <c r="E2314" t="str" cm="1">
        <f t="array" ref="E2314">_xlfn.IFS(D2314&lt;5.7,"Normal",D2314&lt;=6.4,"Prediabetes",D2314&gt;=6.5,"Diabetes")</f>
        <v>Normal</v>
      </c>
      <c r="F2314" s="3" t="s">
        <v>2379</v>
      </c>
      <c r="G2314" s="3" t="s">
        <v>2379</v>
      </c>
      <c r="H2314" s="3" t="s">
        <v>2379</v>
      </c>
      <c r="I2314" s="1" t="s">
        <v>2380</v>
      </c>
      <c r="J2314">
        <v>0</v>
      </c>
      <c r="K2314" s="3" t="s">
        <v>2379</v>
      </c>
      <c r="P2314" s="3"/>
    </row>
    <row r="2315" spans="1:16" x14ac:dyDescent="0.25">
      <c r="A2315" s="3" t="s">
        <v>43</v>
      </c>
      <c r="B2315">
        <v>18.93</v>
      </c>
      <c r="C2315" t="str" cm="1">
        <f t="array" ref="C2315">_xlfn.IFS(B2315&lt;=18.5,  "Underweight",B2315&lt;=24.9,"Normal weight",B2315&lt;=29.9, "Over weight",B2315&gt;=30,"Obesity")</f>
        <v>Normal weight</v>
      </c>
      <c r="D2315">
        <v>6.11</v>
      </c>
      <c r="E2315" t="str" cm="1">
        <f t="array" ref="E2315">_xlfn.IFS(D2315&lt;5.7,"Normal",D2315&lt;=6.4,"Prediabetes",D2315&gt;=6.5,"Diabetes")</f>
        <v>Prediabetes</v>
      </c>
      <c r="F2315" s="3" t="s">
        <v>2379</v>
      </c>
      <c r="G2315" s="3" t="s">
        <v>2379</v>
      </c>
      <c r="H2315" s="3" t="s">
        <v>2382</v>
      </c>
      <c r="I2315" s="1">
        <v>1</v>
      </c>
      <c r="J2315">
        <v>1</v>
      </c>
      <c r="K2315" s="3" t="s">
        <v>2379</v>
      </c>
      <c r="P2315" s="3"/>
    </row>
    <row r="2316" spans="1:16" x14ac:dyDescent="0.25">
      <c r="A2316" s="3" t="s">
        <v>42</v>
      </c>
      <c r="B2316">
        <v>24.14</v>
      </c>
      <c r="C2316" t="str" cm="1">
        <f t="array" ref="C2316">_xlfn.IFS(B2316&lt;=18.5,  "Underweight",B2316&lt;=24.9,"Normal weight",B2316&lt;=29.9, "Over weight",B2316&gt;=30,"Obesity")</f>
        <v>Normal weight</v>
      </c>
      <c r="D2316">
        <v>5.29</v>
      </c>
      <c r="E2316" t="str" cm="1">
        <f t="array" ref="E2316">_xlfn.IFS(D2316&lt;5.7,"Normal",D2316&lt;=6.4,"Prediabetes",D2316&gt;=6.5,"Diabetes")</f>
        <v>Normal</v>
      </c>
      <c r="F2316" s="3" t="s">
        <v>2379</v>
      </c>
      <c r="G2316" s="3" t="s">
        <v>2381</v>
      </c>
      <c r="H2316" s="3" t="s">
        <v>2379</v>
      </c>
      <c r="I2316" s="1">
        <v>1</v>
      </c>
      <c r="J2316">
        <v>1</v>
      </c>
      <c r="K2316" s="3" t="s">
        <v>2379</v>
      </c>
      <c r="P2316" s="3"/>
    </row>
    <row r="2317" spans="1:16" x14ac:dyDescent="0.25">
      <c r="A2317" s="3" t="s">
        <v>40</v>
      </c>
      <c r="B2317">
        <v>25.03</v>
      </c>
      <c r="C2317" t="str" cm="1">
        <f t="array" ref="C2317">_xlfn.IFS(B2317&lt;=18.5,  "Underweight",B2317&lt;=24.9,"Normal weight",B2317&lt;=29.9, "Over weight",B2317&gt;=30,"Obesity")</f>
        <v>Over weight</v>
      </c>
      <c r="D2317">
        <v>5.91</v>
      </c>
      <c r="E2317" t="str" cm="1">
        <f t="array" ref="E2317">_xlfn.IFS(D2317&lt;5.7,"Normal",D2317&lt;=6.4,"Prediabetes",D2317&gt;=6.5,"Diabetes")</f>
        <v>Prediabetes</v>
      </c>
      <c r="F2317" s="3" t="s">
        <v>2379</v>
      </c>
      <c r="G2317" s="3" t="s">
        <v>2381</v>
      </c>
      <c r="H2317" s="3" t="s">
        <v>2379</v>
      </c>
      <c r="I2317" s="1">
        <v>1</v>
      </c>
      <c r="J2317">
        <v>1</v>
      </c>
      <c r="K2317" s="3" t="s">
        <v>2379</v>
      </c>
      <c r="P2317" s="3"/>
    </row>
    <row r="2318" spans="1:16" x14ac:dyDescent="0.25">
      <c r="A2318" s="3" t="s">
        <v>39</v>
      </c>
      <c r="B2318">
        <v>20.47</v>
      </c>
      <c r="C2318" t="str" cm="1">
        <f t="array" ref="C2318">_xlfn.IFS(B2318&lt;=18.5,  "Underweight",B2318&lt;=24.9,"Normal weight",B2318&lt;=29.9, "Over weight",B2318&gt;=30,"Obesity")</f>
        <v>Normal weight</v>
      </c>
      <c r="D2318">
        <v>5.81</v>
      </c>
      <c r="E2318" t="str" cm="1">
        <f t="array" ref="E2318">_xlfn.IFS(D2318&lt;5.7,"Normal",D2318&lt;=6.4,"Prediabetes",D2318&gt;=6.5,"Diabetes")</f>
        <v>Prediabetes</v>
      </c>
      <c r="F2318" s="3" t="s">
        <v>2382</v>
      </c>
      <c r="G2318" s="3" t="s">
        <v>2379</v>
      </c>
      <c r="H2318" s="3" t="s">
        <v>2379</v>
      </c>
      <c r="I2318" s="1">
        <v>1</v>
      </c>
      <c r="J2318">
        <v>1</v>
      </c>
      <c r="K2318" s="3" t="s">
        <v>2379</v>
      </c>
      <c r="P2318" s="3"/>
    </row>
    <row r="2319" spans="1:16" x14ac:dyDescent="0.25">
      <c r="A2319" s="3" t="s">
        <v>38</v>
      </c>
      <c r="B2319">
        <v>18.82</v>
      </c>
      <c r="C2319" t="str" cm="1">
        <f t="array" ref="C2319">_xlfn.IFS(B2319&lt;=18.5,  "Underweight",B2319&lt;=24.9,"Normal weight",B2319&lt;=29.9, "Over weight",B2319&gt;=30,"Obesity")</f>
        <v>Normal weight</v>
      </c>
      <c r="D2319">
        <v>5.51</v>
      </c>
      <c r="E2319" t="str" cm="1">
        <f t="array" ref="E2319">_xlfn.IFS(D2319&lt;5.7,"Normal",D2319&lt;=6.4,"Prediabetes",D2319&gt;=6.5,"Diabetes")</f>
        <v>Normal</v>
      </c>
      <c r="F2319" s="3" t="s">
        <v>2382</v>
      </c>
      <c r="G2319" s="3" t="s">
        <v>2379</v>
      </c>
      <c r="H2319" s="3" t="s">
        <v>2379</v>
      </c>
      <c r="I2319" s="1" t="s">
        <v>2380</v>
      </c>
      <c r="J2319">
        <v>0</v>
      </c>
      <c r="K2319" s="3" t="s">
        <v>2379</v>
      </c>
      <c r="P2319" s="3"/>
    </row>
    <row r="2320" spans="1:16" x14ac:dyDescent="0.25">
      <c r="A2320" s="3" t="s">
        <v>37</v>
      </c>
      <c r="B2320">
        <v>17.079999999999998</v>
      </c>
      <c r="C2320" t="str" cm="1">
        <f t="array" ref="C2320">_xlfn.IFS(B2320&lt;=18.5,  "Underweight",B2320&lt;=24.9,"Normal weight",B2320&lt;=29.9, "Over weight",B2320&gt;=30,"Obesity")</f>
        <v>Underweight</v>
      </c>
      <c r="D2320">
        <v>5.73</v>
      </c>
      <c r="E2320" t="str" cm="1">
        <f t="array" ref="E2320">_xlfn.IFS(D2320&lt;5.7,"Normal",D2320&lt;=6.4,"Prediabetes",D2320&gt;=6.5,"Diabetes")</f>
        <v>Prediabetes</v>
      </c>
      <c r="F2320" s="3" t="s">
        <v>2379</v>
      </c>
      <c r="G2320" s="3" t="s">
        <v>2379</v>
      </c>
      <c r="H2320" s="3" t="s">
        <v>2382</v>
      </c>
      <c r="I2320" s="1">
        <v>1</v>
      </c>
      <c r="J2320">
        <v>1</v>
      </c>
      <c r="K2320" s="3" t="s">
        <v>2379</v>
      </c>
      <c r="P2320" s="3"/>
    </row>
    <row r="2321" spans="1:16" x14ac:dyDescent="0.25">
      <c r="A2321" s="3" t="s">
        <v>35</v>
      </c>
      <c r="B2321">
        <v>19.21</v>
      </c>
      <c r="C2321" t="str" cm="1">
        <f t="array" ref="C2321">_xlfn.IFS(B2321&lt;=18.5,  "Underweight",B2321&lt;=24.9,"Normal weight",B2321&lt;=29.9, "Over weight",B2321&gt;=30,"Obesity")</f>
        <v>Normal weight</v>
      </c>
      <c r="D2321">
        <v>5.53</v>
      </c>
      <c r="E2321" t="str" cm="1">
        <f t="array" ref="E2321">_xlfn.IFS(D2321&lt;5.7,"Normal",D2321&lt;=6.4,"Prediabetes",D2321&gt;=6.5,"Diabetes")</f>
        <v>Normal</v>
      </c>
      <c r="F2321" s="3" t="s">
        <v>2382</v>
      </c>
      <c r="G2321" s="3" t="s">
        <v>2379</v>
      </c>
      <c r="H2321" s="3" t="s">
        <v>2379</v>
      </c>
      <c r="I2321" s="1" t="s">
        <v>2380</v>
      </c>
      <c r="J2321">
        <v>0</v>
      </c>
      <c r="K2321" s="3" t="s">
        <v>2379</v>
      </c>
      <c r="P2321" s="3"/>
    </row>
    <row r="2322" spans="1:16" x14ac:dyDescent="0.25">
      <c r="A2322" s="3" t="s">
        <v>33</v>
      </c>
      <c r="B2322">
        <v>17.86</v>
      </c>
      <c r="C2322" t="str" cm="1">
        <f t="array" ref="C2322">_xlfn.IFS(B2322&lt;=18.5,  "Underweight",B2322&lt;=24.9,"Normal weight",B2322&lt;=29.9, "Over weight",B2322&gt;=30,"Obesity")</f>
        <v>Underweight</v>
      </c>
      <c r="D2322">
        <v>5.43</v>
      </c>
      <c r="E2322" t="str" cm="1">
        <f t="array" ref="E2322">_xlfn.IFS(D2322&lt;5.7,"Normal",D2322&lt;=6.4,"Prediabetes",D2322&gt;=6.5,"Diabetes")</f>
        <v>Normal</v>
      </c>
      <c r="F2322" s="3" t="s">
        <v>2379</v>
      </c>
      <c r="G2322" s="3" t="s">
        <v>2379</v>
      </c>
      <c r="H2322" s="3" t="s">
        <v>2382</v>
      </c>
      <c r="I2322" s="1">
        <v>1</v>
      </c>
      <c r="J2322">
        <v>1</v>
      </c>
      <c r="K2322" s="3" t="s">
        <v>2379</v>
      </c>
      <c r="P2322" s="3"/>
    </row>
    <row r="2323" spans="1:16" x14ac:dyDescent="0.25">
      <c r="A2323" s="3" t="s">
        <v>32</v>
      </c>
      <c r="B2323">
        <v>21.38</v>
      </c>
      <c r="C2323" t="str" cm="1">
        <f t="array" ref="C2323">_xlfn.IFS(B2323&lt;=18.5,  "Underweight",B2323&lt;=24.9,"Normal weight",B2323&lt;=29.9, "Over weight",B2323&gt;=30,"Obesity")</f>
        <v>Normal weight</v>
      </c>
      <c r="D2323">
        <v>8.01</v>
      </c>
      <c r="E2323" t="str" cm="1">
        <f t="array" ref="E2323">_xlfn.IFS(D2323&lt;5.7,"Normal",D2323&lt;=6.4,"Prediabetes",D2323&gt;=6.5,"Diabetes")</f>
        <v>Diabetes</v>
      </c>
      <c r="F2323" s="3" t="s">
        <v>2379</v>
      </c>
      <c r="G2323" s="3" t="s">
        <v>2379</v>
      </c>
      <c r="H2323" s="3" t="s">
        <v>2379</v>
      </c>
      <c r="I2323" s="1" t="s">
        <v>2380</v>
      </c>
      <c r="J2323">
        <v>0</v>
      </c>
      <c r="K2323" s="3" t="s">
        <v>2379</v>
      </c>
      <c r="P2323" s="3"/>
    </row>
    <row r="2324" spans="1:16" x14ac:dyDescent="0.25">
      <c r="A2324" s="3" t="s">
        <v>31</v>
      </c>
      <c r="B2324">
        <v>23.35</v>
      </c>
      <c r="C2324" t="str" cm="1">
        <f t="array" ref="C2324">_xlfn.IFS(B2324&lt;=18.5,  "Underweight",B2324&lt;=24.9,"Normal weight",B2324&lt;=29.9, "Over weight",B2324&gt;=30,"Obesity")</f>
        <v>Normal weight</v>
      </c>
      <c r="D2324">
        <v>5.94</v>
      </c>
      <c r="E2324" t="str" cm="1">
        <f t="array" ref="E2324">_xlfn.IFS(D2324&lt;5.7,"Normal",D2324&lt;=6.4,"Prediabetes",D2324&gt;=6.5,"Diabetes")</f>
        <v>Prediabetes</v>
      </c>
      <c r="F2324" s="3" t="s">
        <v>2379</v>
      </c>
      <c r="G2324" s="3" t="s">
        <v>2379</v>
      </c>
      <c r="H2324" s="3" t="s">
        <v>2379</v>
      </c>
      <c r="I2324" s="1" t="s">
        <v>2380</v>
      </c>
      <c r="J2324">
        <v>0</v>
      </c>
      <c r="K2324" s="3" t="s">
        <v>2379</v>
      </c>
      <c r="P2324" s="3"/>
    </row>
    <row r="2325" spans="1:16" x14ac:dyDescent="0.25">
      <c r="A2325" s="3" t="s">
        <v>28</v>
      </c>
      <c r="B2325">
        <v>22.24</v>
      </c>
      <c r="C2325" t="str" cm="1">
        <f t="array" ref="C2325">_xlfn.IFS(B2325&lt;=18.5,  "Underweight",B2325&lt;=24.9,"Normal weight",B2325&lt;=29.9, "Over weight",B2325&gt;=30,"Obesity")</f>
        <v>Normal weight</v>
      </c>
      <c r="D2325">
        <v>5.04</v>
      </c>
      <c r="E2325" t="str" cm="1">
        <f t="array" ref="E2325">_xlfn.IFS(D2325&lt;5.7,"Normal",D2325&lt;=6.4,"Prediabetes",D2325&gt;=6.5,"Diabetes")</f>
        <v>Normal</v>
      </c>
      <c r="F2325" s="3" t="s">
        <v>2379</v>
      </c>
      <c r="G2325" s="3" t="s">
        <v>2379</v>
      </c>
      <c r="H2325" s="3" t="s">
        <v>2379</v>
      </c>
      <c r="I2325" s="1" t="s">
        <v>2380</v>
      </c>
      <c r="J2325">
        <v>0</v>
      </c>
      <c r="K2325" s="3" t="s">
        <v>2379</v>
      </c>
      <c r="P2325" s="3"/>
    </row>
    <row r="2326" spans="1:16" x14ac:dyDescent="0.25">
      <c r="A2326" s="3" t="s">
        <v>27</v>
      </c>
      <c r="B2326">
        <v>24.76</v>
      </c>
      <c r="C2326" t="str" cm="1">
        <f t="array" ref="C2326">_xlfn.IFS(B2326&lt;=18.5,  "Underweight",B2326&lt;=24.9,"Normal weight",B2326&lt;=29.9, "Over weight",B2326&gt;=30,"Obesity")</f>
        <v>Normal weight</v>
      </c>
      <c r="D2326">
        <v>4.54</v>
      </c>
      <c r="E2326" t="str" cm="1">
        <f t="array" ref="E2326">_xlfn.IFS(D2326&lt;5.7,"Normal",D2326&lt;=6.4,"Prediabetes",D2326&gt;=6.5,"Diabetes")</f>
        <v>Normal</v>
      </c>
      <c r="F2326" s="3" t="s">
        <v>2382</v>
      </c>
      <c r="G2326" s="3" t="s">
        <v>2379</v>
      </c>
      <c r="H2326" s="3" t="s">
        <v>2379</v>
      </c>
      <c r="I2326" s="1" t="s">
        <v>2380</v>
      </c>
      <c r="J2326">
        <v>0</v>
      </c>
      <c r="K2326" s="3" t="s">
        <v>2379</v>
      </c>
      <c r="P2326" s="3"/>
    </row>
    <row r="2327" spans="1:16" x14ac:dyDescent="0.25">
      <c r="A2327" s="3" t="s">
        <v>26</v>
      </c>
      <c r="B2327">
        <v>20.100000000000001</v>
      </c>
      <c r="C2327" t="str" cm="1">
        <f t="array" ref="C2327">_xlfn.IFS(B2327&lt;=18.5,  "Underweight",B2327&lt;=24.9,"Normal weight",B2327&lt;=29.9, "Over weight",B2327&gt;=30,"Obesity")</f>
        <v>Normal weight</v>
      </c>
      <c r="D2327">
        <v>5.6</v>
      </c>
      <c r="E2327" t="str" cm="1">
        <f t="array" ref="E2327">_xlfn.IFS(D2327&lt;5.7,"Normal",D2327&lt;=6.4,"Prediabetes",D2327&gt;=6.5,"Diabetes")</f>
        <v>Normal</v>
      </c>
      <c r="F2327" s="3" t="s">
        <v>2382</v>
      </c>
      <c r="G2327" s="3" t="s">
        <v>2379</v>
      </c>
      <c r="H2327" s="3" t="s">
        <v>2382</v>
      </c>
      <c r="I2327" s="1">
        <v>1</v>
      </c>
      <c r="J2327">
        <v>1</v>
      </c>
      <c r="K2327" s="3" t="s">
        <v>2379</v>
      </c>
      <c r="P2327" s="3"/>
    </row>
    <row r="2328" spans="1:16" x14ac:dyDescent="0.25">
      <c r="A2328" s="3" t="s">
        <v>25</v>
      </c>
      <c r="B2328">
        <v>21.77</v>
      </c>
      <c r="C2328" t="str" cm="1">
        <f t="array" ref="C2328">_xlfn.IFS(B2328&lt;=18.5,  "Underweight",B2328&lt;=24.9,"Normal weight",B2328&lt;=29.9, "Over weight",B2328&gt;=30,"Obesity")</f>
        <v>Normal weight</v>
      </c>
      <c r="D2328">
        <v>10.67</v>
      </c>
      <c r="E2328" t="str" cm="1">
        <f t="array" ref="E2328">_xlfn.IFS(D2328&lt;5.7,"Normal",D2328&lt;=6.4,"Prediabetes",D2328&gt;=6.5,"Diabetes")</f>
        <v>Diabetes</v>
      </c>
      <c r="F2328" s="3" t="s">
        <v>2379</v>
      </c>
      <c r="G2328" s="3" t="s">
        <v>2379</v>
      </c>
      <c r="H2328" s="3" t="s">
        <v>2379</v>
      </c>
      <c r="I2328" s="1" t="s">
        <v>2380</v>
      </c>
      <c r="J2328">
        <v>0</v>
      </c>
      <c r="K2328" s="3" t="s">
        <v>2379</v>
      </c>
      <c r="P2328" s="3"/>
    </row>
    <row r="2329" spans="1:16" x14ac:dyDescent="0.25">
      <c r="A2329" s="3" t="s">
        <v>24</v>
      </c>
      <c r="B2329">
        <v>17.82</v>
      </c>
      <c r="C2329" t="str" cm="1">
        <f t="array" ref="C2329">_xlfn.IFS(B2329&lt;=18.5,  "Underweight",B2329&lt;=24.9,"Normal weight",B2329&lt;=29.9, "Over weight",B2329&gt;=30,"Obesity")</f>
        <v>Underweight</v>
      </c>
      <c r="D2329">
        <v>5.26</v>
      </c>
      <c r="E2329" t="str" cm="1">
        <f t="array" ref="E2329">_xlfn.IFS(D2329&lt;5.7,"Normal",D2329&lt;=6.4,"Prediabetes",D2329&gt;=6.5,"Diabetes")</f>
        <v>Normal</v>
      </c>
      <c r="F2329" s="3" t="s">
        <v>2382</v>
      </c>
      <c r="G2329" s="3" t="s">
        <v>2379</v>
      </c>
      <c r="H2329" s="3" t="s">
        <v>2379</v>
      </c>
      <c r="I2329" s="1">
        <v>1</v>
      </c>
      <c r="J2329">
        <v>1</v>
      </c>
      <c r="K2329" s="3" t="s">
        <v>2379</v>
      </c>
      <c r="P2329" s="3"/>
    </row>
    <row r="2330" spans="1:16" x14ac:dyDescent="0.25">
      <c r="A2330" s="3" t="s">
        <v>23</v>
      </c>
      <c r="B2330">
        <v>17.07</v>
      </c>
      <c r="C2330" t="str" cm="1">
        <f t="array" ref="C2330">_xlfn.IFS(B2330&lt;=18.5,  "Underweight",B2330&lt;=24.9,"Normal weight",B2330&lt;=29.9, "Over weight",B2330&gt;=30,"Obesity")</f>
        <v>Underweight</v>
      </c>
      <c r="D2330">
        <v>5.22</v>
      </c>
      <c r="E2330" t="str" cm="1">
        <f t="array" ref="E2330">_xlfn.IFS(D2330&lt;5.7,"Normal",D2330&lt;=6.4,"Prediabetes",D2330&gt;=6.5,"Diabetes")</f>
        <v>Normal</v>
      </c>
      <c r="F2330" s="3" t="s">
        <v>2379</v>
      </c>
      <c r="G2330" s="3" t="s">
        <v>2379</v>
      </c>
      <c r="H2330" s="3" t="s">
        <v>2382</v>
      </c>
      <c r="I2330" s="1">
        <v>1</v>
      </c>
      <c r="J2330">
        <v>1</v>
      </c>
      <c r="K2330" s="3" t="s">
        <v>2379</v>
      </c>
      <c r="P2330" s="3"/>
    </row>
    <row r="2331" spans="1:16" x14ac:dyDescent="0.25">
      <c r="A2331" s="3" t="s">
        <v>21</v>
      </c>
      <c r="B2331">
        <v>22.24</v>
      </c>
      <c r="C2331" t="str" cm="1">
        <f t="array" ref="C2331">_xlfn.IFS(B2331&lt;=18.5,  "Underweight",B2331&lt;=24.9,"Normal weight",B2331&lt;=29.9, "Over weight",B2331&gt;=30,"Obesity")</f>
        <v>Normal weight</v>
      </c>
      <c r="D2331">
        <v>4.29</v>
      </c>
      <c r="E2331" t="str" cm="1">
        <f t="array" ref="E2331">_xlfn.IFS(D2331&lt;5.7,"Normal",D2331&lt;=6.4,"Prediabetes",D2331&gt;=6.5,"Diabetes")</f>
        <v>Normal</v>
      </c>
      <c r="F2331" s="3" t="s">
        <v>2382</v>
      </c>
      <c r="G2331" s="3" t="s">
        <v>2379</v>
      </c>
      <c r="H2331" s="3" t="s">
        <v>2379</v>
      </c>
      <c r="I2331" s="1" t="s">
        <v>2380</v>
      </c>
      <c r="J2331">
        <v>0</v>
      </c>
      <c r="K2331" s="3" t="s">
        <v>2379</v>
      </c>
      <c r="P2331" s="3"/>
    </row>
    <row r="2332" spans="1:16" x14ac:dyDescent="0.25">
      <c r="A2332" s="3" t="s">
        <v>20</v>
      </c>
      <c r="B2332">
        <v>22.34</v>
      </c>
      <c r="C2332" t="str" cm="1">
        <f t="array" ref="C2332">_xlfn.IFS(B2332&lt;=18.5,  "Underweight",B2332&lt;=24.9,"Normal weight",B2332&lt;=29.9, "Over weight",B2332&gt;=30,"Obesity")</f>
        <v>Normal weight</v>
      </c>
      <c r="D2332">
        <v>5.57</v>
      </c>
      <c r="E2332" t="str" cm="1">
        <f t="array" ref="E2332">_xlfn.IFS(D2332&lt;5.7,"Normal",D2332&lt;=6.4,"Prediabetes",D2332&gt;=6.5,"Diabetes")</f>
        <v>Normal</v>
      </c>
      <c r="F2332" s="3" t="s">
        <v>2379</v>
      </c>
      <c r="G2332" s="3" t="s">
        <v>2379</v>
      </c>
      <c r="H2332" s="3" t="s">
        <v>2379</v>
      </c>
      <c r="I2332" s="1">
        <v>1</v>
      </c>
      <c r="J2332">
        <v>1</v>
      </c>
      <c r="K2332" s="3" t="s">
        <v>2379</v>
      </c>
      <c r="P2332" s="3"/>
    </row>
    <row r="2333" spans="1:16" x14ac:dyDescent="0.25">
      <c r="A2333" s="3" t="s">
        <v>18</v>
      </c>
      <c r="B2333">
        <v>17.7</v>
      </c>
      <c r="C2333" t="str" cm="1">
        <f t="array" ref="C2333">_xlfn.IFS(B2333&lt;=18.5,  "Underweight",B2333&lt;=24.9,"Normal weight",B2333&lt;=29.9, "Over weight",B2333&gt;=30,"Obesity")</f>
        <v>Underweight</v>
      </c>
      <c r="D2333">
        <v>6.28</v>
      </c>
      <c r="E2333" t="str" cm="1">
        <f t="array" ref="E2333">_xlfn.IFS(D2333&lt;5.7,"Normal",D2333&lt;=6.4,"Prediabetes",D2333&gt;=6.5,"Diabetes")</f>
        <v>Prediabetes</v>
      </c>
      <c r="F2333" s="3" t="s">
        <v>2379</v>
      </c>
      <c r="G2333" s="3" t="s">
        <v>2379</v>
      </c>
      <c r="H2333" s="3" t="s">
        <v>2379</v>
      </c>
      <c r="I2333" s="1">
        <v>1</v>
      </c>
      <c r="J2333">
        <v>1</v>
      </c>
      <c r="K2333" s="3" t="s">
        <v>2379</v>
      </c>
      <c r="P2333" s="3"/>
    </row>
    <row r="2334" spans="1:16" x14ac:dyDescent="0.25">
      <c r="A2334" s="3" t="s">
        <v>16</v>
      </c>
      <c r="B2334">
        <v>16.47</v>
      </c>
      <c r="C2334" t="str" cm="1">
        <f t="array" ref="C2334">_xlfn.IFS(B2334&lt;=18.5,  "Underweight",B2334&lt;=24.9,"Normal weight",B2334&lt;=29.9, "Over weight",B2334&gt;=30,"Obesity")</f>
        <v>Underweight</v>
      </c>
      <c r="D2334">
        <v>6.35</v>
      </c>
      <c r="E2334" t="str" cm="1">
        <f t="array" ref="E2334">_xlfn.IFS(D2334&lt;5.7,"Normal",D2334&lt;=6.4,"Prediabetes",D2334&gt;=6.5,"Diabetes")</f>
        <v>Prediabetes</v>
      </c>
      <c r="F2334" s="3" t="s">
        <v>2379</v>
      </c>
      <c r="G2334" s="3" t="s">
        <v>2379</v>
      </c>
      <c r="H2334" s="3" t="s">
        <v>2382</v>
      </c>
      <c r="I2334" s="1">
        <v>1</v>
      </c>
      <c r="J2334">
        <v>1</v>
      </c>
      <c r="K2334" s="3" t="s">
        <v>2379</v>
      </c>
      <c r="P2334" s="3"/>
    </row>
    <row r="2335" spans="1:16" x14ac:dyDescent="0.25">
      <c r="A2335" s="3" t="s">
        <v>13</v>
      </c>
      <c r="B2335">
        <v>17.600000000000001</v>
      </c>
      <c r="C2335" t="str" cm="1">
        <f t="array" ref="C2335">_xlfn.IFS(B2335&lt;=18.5,  "Underweight",B2335&lt;=24.9,"Normal weight",B2335&lt;=29.9, "Over weight",B2335&gt;=30,"Obesity")</f>
        <v>Underweight</v>
      </c>
      <c r="D2335">
        <v>4.3899999999999997</v>
      </c>
      <c r="E2335" t="str" cm="1">
        <f t="array" ref="E2335">_xlfn.IFS(D2335&lt;5.7,"Normal",D2335&lt;=6.4,"Prediabetes",D2335&gt;=6.5,"Diabetes")</f>
        <v>Normal</v>
      </c>
      <c r="F2335" s="3" t="s">
        <v>2379</v>
      </c>
      <c r="G2335" s="3" t="s">
        <v>2379</v>
      </c>
      <c r="H2335" s="3" t="s">
        <v>2379</v>
      </c>
      <c r="I2335" s="1">
        <v>1</v>
      </c>
      <c r="J2335">
        <v>1</v>
      </c>
      <c r="K2335" s="3" t="s">
        <v>2379</v>
      </c>
      <c r="P2335" s="3"/>
    </row>
    <row r="2336" spans="1:16" x14ac:dyDescent="0.25">
      <c r="A2336" s="3" t="s">
        <v>8</v>
      </c>
      <c r="B2336">
        <v>17.579999999999998</v>
      </c>
      <c r="C2336" t="str" cm="1">
        <f t="array" ref="C2336">_xlfn.IFS(B2336&lt;=18.5,  "Underweight",B2336&lt;=24.9,"Normal weight",B2336&lt;=29.9, "Over weight",B2336&gt;=30,"Obesity")</f>
        <v>Underweight</v>
      </c>
      <c r="D2336">
        <v>4.51</v>
      </c>
      <c r="E2336" t="str" cm="1">
        <f t="array" ref="E2336">_xlfn.IFS(D2336&lt;5.7,"Normal",D2336&lt;=6.4,"Prediabetes",D2336&gt;=6.5,"Diabetes")</f>
        <v>Normal</v>
      </c>
      <c r="F2336" s="3" t="s">
        <v>2379</v>
      </c>
      <c r="G2336" s="3" t="s">
        <v>2379</v>
      </c>
      <c r="H2336" s="3" t="s">
        <v>2379</v>
      </c>
      <c r="I2336" s="1">
        <v>1</v>
      </c>
      <c r="J2336">
        <v>1</v>
      </c>
      <c r="K2336" s="3" t="s">
        <v>2379</v>
      </c>
      <c r="P2336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86D27-9F87-4742-81F7-6561189828EB}">
  <dimension ref="A1:E2336"/>
  <sheetViews>
    <sheetView workbookViewId="0">
      <selection activeCell="D3" sqref="D3"/>
    </sheetView>
  </sheetViews>
  <sheetFormatPr defaultRowHeight="15" x14ac:dyDescent="0.25"/>
  <cols>
    <col min="1" max="1" width="11.85546875" bestFit="1" customWidth="1"/>
    <col min="2" max="2" width="35.5703125" style="6" bestFit="1" customWidth="1"/>
    <col min="4" max="4" width="24" bestFit="1" customWidth="1"/>
    <col min="5" max="5" width="12.42578125" bestFit="1" customWidth="1"/>
  </cols>
  <sheetData>
    <row r="1" spans="1:5" ht="12.75" customHeight="1" x14ac:dyDescent="0.25">
      <c r="A1" s="3" t="s">
        <v>0</v>
      </c>
      <c r="B1" s="6" t="s">
        <v>2383</v>
      </c>
      <c r="C1" s="3" t="s">
        <v>4743</v>
      </c>
      <c r="D1" s="3" t="s">
        <v>4744</v>
      </c>
      <c r="E1" s="3" t="s">
        <v>4745</v>
      </c>
    </row>
    <row r="2" spans="1:5" x14ac:dyDescent="0.25">
      <c r="A2" s="3" t="s">
        <v>2371</v>
      </c>
      <c r="B2" s="6" t="s">
        <v>2384</v>
      </c>
      <c r="C2" s="3" t="s">
        <v>8377</v>
      </c>
      <c r="D2" s="3" t="s">
        <v>4765</v>
      </c>
      <c r="E2" s="3" t="s">
        <v>4746</v>
      </c>
    </row>
    <row r="3" spans="1:5" x14ac:dyDescent="0.25">
      <c r="A3" s="3" t="s">
        <v>2370</v>
      </c>
      <c r="B3" s="6" t="s">
        <v>2385</v>
      </c>
      <c r="C3" s="3" t="s">
        <v>8378</v>
      </c>
      <c r="D3" s="3" t="s">
        <v>4775</v>
      </c>
      <c r="E3" s="3" t="s">
        <v>4747</v>
      </c>
    </row>
    <row r="4" spans="1:5" x14ac:dyDescent="0.25">
      <c r="A4" s="3" t="s">
        <v>2369</v>
      </c>
      <c r="B4" s="6" t="s">
        <v>2386</v>
      </c>
      <c r="C4" s="3" t="s">
        <v>8378</v>
      </c>
      <c r="D4" s="3" t="s">
        <v>4766</v>
      </c>
      <c r="E4" s="3" t="s">
        <v>4748</v>
      </c>
    </row>
    <row r="5" spans="1:5" x14ac:dyDescent="0.25">
      <c r="A5" s="3" t="s">
        <v>2368</v>
      </c>
      <c r="B5" s="6" t="s">
        <v>2387</v>
      </c>
      <c r="C5" s="3" t="s">
        <v>8377</v>
      </c>
      <c r="D5" s="3" t="s">
        <v>4767</v>
      </c>
      <c r="E5" s="3" t="s">
        <v>4749</v>
      </c>
    </row>
    <row r="6" spans="1:5" x14ac:dyDescent="0.25">
      <c r="A6" s="3" t="s">
        <v>2367</v>
      </c>
      <c r="B6" s="6" t="s">
        <v>2388</v>
      </c>
      <c r="C6" s="3" t="s">
        <v>8377</v>
      </c>
      <c r="D6" s="3" t="s">
        <v>4768</v>
      </c>
      <c r="E6" s="3" t="s">
        <v>4750</v>
      </c>
    </row>
    <row r="7" spans="1:5" x14ac:dyDescent="0.25">
      <c r="A7" s="3" t="s">
        <v>2366</v>
      </c>
      <c r="B7" s="6" t="s">
        <v>2389</v>
      </c>
      <c r="C7" s="3" t="s">
        <v>8378</v>
      </c>
      <c r="D7" s="3" t="s">
        <v>4776</v>
      </c>
      <c r="E7" s="3" t="s">
        <v>4751</v>
      </c>
    </row>
    <row r="8" spans="1:5" x14ac:dyDescent="0.25">
      <c r="A8" s="3" t="s">
        <v>2365</v>
      </c>
      <c r="B8" s="6" t="s">
        <v>2390</v>
      </c>
      <c r="C8" s="3" t="s">
        <v>8378</v>
      </c>
      <c r="D8" s="3" t="s">
        <v>4769</v>
      </c>
      <c r="E8" s="3" t="s">
        <v>4752</v>
      </c>
    </row>
    <row r="9" spans="1:5" x14ac:dyDescent="0.25">
      <c r="A9" s="3" t="s">
        <v>2364</v>
      </c>
      <c r="B9" s="6" t="s">
        <v>2391</v>
      </c>
      <c r="C9" s="3" t="s">
        <v>8378</v>
      </c>
      <c r="D9" s="3" t="s">
        <v>4770</v>
      </c>
      <c r="E9" s="3" t="s">
        <v>4753</v>
      </c>
    </row>
    <row r="10" spans="1:5" x14ac:dyDescent="0.25">
      <c r="A10" s="3" t="s">
        <v>2363</v>
      </c>
      <c r="B10" s="6" t="s">
        <v>2392</v>
      </c>
      <c r="C10" s="3" t="s">
        <v>8378</v>
      </c>
      <c r="D10" s="3" t="s">
        <v>4777</v>
      </c>
      <c r="E10" s="3" t="s">
        <v>4754</v>
      </c>
    </row>
    <row r="11" spans="1:5" x14ac:dyDescent="0.25">
      <c r="A11" s="3" t="s">
        <v>2362</v>
      </c>
      <c r="B11" s="6" t="s">
        <v>2393</v>
      </c>
      <c r="C11" s="3" t="s">
        <v>8377</v>
      </c>
      <c r="D11" s="3" t="s">
        <v>4778</v>
      </c>
      <c r="E11" s="3" t="s">
        <v>4755</v>
      </c>
    </row>
    <row r="12" spans="1:5" x14ac:dyDescent="0.25">
      <c r="A12" s="3" t="s">
        <v>2361</v>
      </c>
      <c r="B12" s="6" t="s">
        <v>2394</v>
      </c>
      <c r="C12" s="3" t="s">
        <v>8377</v>
      </c>
      <c r="D12" s="3" t="s">
        <v>6767</v>
      </c>
      <c r="E12" s="3" t="s">
        <v>4756</v>
      </c>
    </row>
    <row r="13" spans="1:5" x14ac:dyDescent="0.25">
      <c r="A13" s="3" t="s">
        <v>2360</v>
      </c>
      <c r="B13" s="6" t="s">
        <v>2395</v>
      </c>
      <c r="C13" s="3" t="s">
        <v>8378</v>
      </c>
      <c r="D13" s="3" t="s">
        <v>4772</v>
      </c>
      <c r="E13" s="3" t="s">
        <v>4757</v>
      </c>
    </row>
    <row r="14" spans="1:5" x14ac:dyDescent="0.25">
      <c r="A14" s="3" t="s">
        <v>2359</v>
      </c>
      <c r="B14" s="6" t="s">
        <v>2396</v>
      </c>
      <c r="C14" s="3" t="s">
        <v>8378</v>
      </c>
      <c r="D14" s="3" t="s">
        <v>4773</v>
      </c>
      <c r="E14" s="3" t="s">
        <v>4758</v>
      </c>
    </row>
    <row r="15" spans="1:5" x14ac:dyDescent="0.25">
      <c r="A15" s="3" t="s">
        <v>2358</v>
      </c>
      <c r="B15" s="6" t="s">
        <v>2397</v>
      </c>
      <c r="C15" s="3" t="s">
        <v>8378</v>
      </c>
      <c r="D15" s="3" t="s">
        <v>4774</v>
      </c>
      <c r="E15" s="3" t="s">
        <v>4759</v>
      </c>
    </row>
    <row r="16" spans="1:5" x14ac:dyDescent="0.25">
      <c r="A16" s="3" t="s">
        <v>2357</v>
      </c>
      <c r="B16" s="6" t="s">
        <v>2398</v>
      </c>
      <c r="C16" s="3" t="s">
        <v>8377</v>
      </c>
      <c r="D16" s="3" t="s">
        <v>4779</v>
      </c>
      <c r="E16" s="3" t="s">
        <v>4760</v>
      </c>
    </row>
    <row r="17" spans="1:5" x14ac:dyDescent="0.25">
      <c r="A17" s="3" t="s">
        <v>2356</v>
      </c>
      <c r="B17" s="6" t="s">
        <v>2399</v>
      </c>
      <c r="C17" s="3" t="s">
        <v>8378</v>
      </c>
      <c r="D17" s="3" t="s">
        <v>4780</v>
      </c>
      <c r="E17" s="3" t="s">
        <v>4761</v>
      </c>
    </row>
    <row r="18" spans="1:5" x14ac:dyDescent="0.25">
      <c r="A18" s="3" t="s">
        <v>2355</v>
      </c>
      <c r="B18" s="6" t="s">
        <v>2400</v>
      </c>
      <c r="C18" s="3" t="s">
        <v>8377</v>
      </c>
      <c r="D18" s="3" t="s">
        <v>4781</v>
      </c>
      <c r="E18" s="3" t="s">
        <v>4762</v>
      </c>
    </row>
    <row r="19" spans="1:5" x14ac:dyDescent="0.25">
      <c r="A19" s="3" t="s">
        <v>2354</v>
      </c>
      <c r="B19" s="6" t="s">
        <v>2401</v>
      </c>
      <c r="C19" s="3" t="s">
        <v>8377</v>
      </c>
      <c r="D19" s="3" t="s">
        <v>4782</v>
      </c>
      <c r="E19" s="3" t="s">
        <v>4763</v>
      </c>
    </row>
    <row r="20" spans="1:5" x14ac:dyDescent="0.25">
      <c r="A20" s="3" t="s">
        <v>2353</v>
      </c>
      <c r="B20" s="6" t="s">
        <v>2402</v>
      </c>
      <c r="C20" s="3" t="s">
        <v>8378</v>
      </c>
      <c r="D20" s="3" t="s">
        <v>4783</v>
      </c>
      <c r="E20" s="3" t="s">
        <v>4764</v>
      </c>
    </row>
    <row r="21" spans="1:5" x14ac:dyDescent="0.25">
      <c r="A21" s="3" t="s">
        <v>2352</v>
      </c>
      <c r="B21" s="6" t="s">
        <v>2403</v>
      </c>
      <c r="C21" s="3" t="s">
        <v>8378</v>
      </c>
      <c r="D21" s="3" t="s">
        <v>6768</v>
      </c>
      <c r="E21" s="3" t="s">
        <v>4784</v>
      </c>
    </row>
    <row r="22" spans="1:5" x14ac:dyDescent="0.25">
      <c r="A22" s="3" t="s">
        <v>2351</v>
      </c>
      <c r="B22" s="6" t="s">
        <v>2404</v>
      </c>
      <c r="C22" s="3" t="s">
        <v>8378</v>
      </c>
      <c r="D22" s="3" t="s">
        <v>6769</v>
      </c>
      <c r="E22" s="3" t="s">
        <v>4785</v>
      </c>
    </row>
    <row r="23" spans="1:5" x14ac:dyDescent="0.25">
      <c r="A23" s="3" t="s">
        <v>2350</v>
      </c>
      <c r="B23" s="6" t="s">
        <v>2405</v>
      </c>
      <c r="C23" s="3" t="s">
        <v>8377</v>
      </c>
      <c r="D23" s="3" t="s">
        <v>6770</v>
      </c>
      <c r="E23" s="3" t="s">
        <v>4786</v>
      </c>
    </row>
    <row r="24" spans="1:5" x14ac:dyDescent="0.25">
      <c r="A24" s="3" t="s">
        <v>2349</v>
      </c>
      <c r="B24" s="6" t="s">
        <v>2406</v>
      </c>
      <c r="C24" s="3" t="s">
        <v>8377</v>
      </c>
      <c r="D24" s="3" t="s">
        <v>6771</v>
      </c>
      <c r="E24" s="3" t="s">
        <v>4787</v>
      </c>
    </row>
    <row r="25" spans="1:5" x14ac:dyDescent="0.25">
      <c r="A25" s="3" t="s">
        <v>2348</v>
      </c>
      <c r="B25" s="6" t="s">
        <v>2407</v>
      </c>
      <c r="C25" s="3" t="s">
        <v>8378</v>
      </c>
      <c r="D25" s="3" t="s">
        <v>6772</v>
      </c>
      <c r="E25" s="3" t="s">
        <v>4788</v>
      </c>
    </row>
    <row r="26" spans="1:5" x14ac:dyDescent="0.25">
      <c r="A26" s="3" t="s">
        <v>2347</v>
      </c>
      <c r="B26" s="6" t="s">
        <v>2408</v>
      </c>
      <c r="C26" s="3" t="s">
        <v>8378</v>
      </c>
      <c r="D26" s="3" t="s">
        <v>6773</v>
      </c>
      <c r="E26" s="3" t="s">
        <v>4789</v>
      </c>
    </row>
    <row r="27" spans="1:5" x14ac:dyDescent="0.25">
      <c r="A27" s="3" t="s">
        <v>2346</v>
      </c>
      <c r="B27" s="6" t="s">
        <v>2409</v>
      </c>
      <c r="C27" s="3" t="s">
        <v>8378</v>
      </c>
      <c r="D27" s="3" t="s">
        <v>6774</v>
      </c>
      <c r="E27" s="3" t="s">
        <v>4790</v>
      </c>
    </row>
    <row r="28" spans="1:5" x14ac:dyDescent="0.25">
      <c r="A28" s="3" t="s">
        <v>2345</v>
      </c>
      <c r="B28" s="6" t="s">
        <v>2410</v>
      </c>
      <c r="C28" s="3" t="s">
        <v>8378</v>
      </c>
      <c r="D28" s="3" t="s">
        <v>6775</v>
      </c>
      <c r="E28" s="3" t="s">
        <v>4791</v>
      </c>
    </row>
    <row r="29" spans="1:5" x14ac:dyDescent="0.25">
      <c r="A29" s="3" t="s">
        <v>2344</v>
      </c>
      <c r="B29" s="6" t="s">
        <v>2411</v>
      </c>
      <c r="C29" s="3" t="s">
        <v>8377</v>
      </c>
      <c r="D29" s="3" t="s">
        <v>6776</v>
      </c>
      <c r="E29" s="3" t="s">
        <v>4792</v>
      </c>
    </row>
    <row r="30" spans="1:5" x14ac:dyDescent="0.25">
      <c r="A30" s="3" t="s">
        <v>2343</v>
      </c>
      <c r="B30" s="6" t="s">
        <v>2412</v>
      </c>
      <c r="C30" s="3" t="s">
        <v>8378</v>
      </c>
      <c r="D30" s="3" t="s">
        <v>4770</v>
      </c>
      <c r="E30" s="3" t="s">
        <v>4793</v>
      </c>
    </row>
    <row r="31" spans="1:5" x14ac:dyDescent="0.25">
      <c r="A31" s="3" t="s">
        <v>2342</v>
      </c>
      <c r="B31" s="6" t="s">
        <v>2413</v>
      </c>
      <c r="C31" s="3" t="s">
        <v>8377</v>
      </c>
      <c r="D31" s="3" t="s">
        <v>6777</v>
      </c>
      <c r="E31" s="3" t="s">
        <v>4794</v>
      </c>
    </row>
    <row r="32" spans="1:5" x14ac:dyDescent="0.25">
      <c r="A32" s="3" t="s">
        <v>2341</v>
      </c>
      <c r="B32" s="6" t="s">
        <v>2414</v>
      </c>
      <c r="C32" s="3" t="s">
        <v>8377</v>
      </c>
      <c r="D32" s="3" t="s">
        <v>6778</v>
      </c>
      <c r="E32" s="3" t="s">
        <v>4795</v>
      </c>
    </row>
    <row r="33" spans="1:5" x14ac:dyDescent="0.25">
      <c r="A33" s="3" t="s">
        <v>2340</v>
      </c>
      <c r="B33" s="6" t="s">
        <v>2415</v>
      </c>
      <c r="C33" s="3" t="s">
        <v>8378</v>
      </c>
      <c r="D33" s="3" t="s">
        <v>6779</v>
      </c>
      <c r="E33" s="3" t="s">
        <v>4796</v>
      </c>
    </row>
    <row r="34" spans="1:5" x14ac:dyDescent="0.25">
      <c r="A34" s="3" t="s">
        <v>2339</v>
      </c>
      <c r="B34" s="6" t="s">
        <v>2416</v>
      </c>
      <c r="C34" s="3" t="s">
        <v>8378</v>
      </c>
      <c r="D34" s="3" t="s">
        <v>6780</v>
      </c>
      <c r="E34" s="3" t="s">
        <v>4797</v>
      </c>
    </row>
    <row r="35" spans="1:5" x14ac:dyDescent="0.25">
      <c r="A35" s="3" t="s">
        <v>2338</v>
      </c>
      <c r="B35" s="6" t="s">
        <v>2417</v>
      </c>
      <c r="C35" s="3" t="s">
        <v>8377</v>
      </c>
      <c r="D35" s="3" t="s">
        <v>6781</v>
      </c>
      <c r="E35" s="3" t="s">
        <v>4798</v>
      </c>
    </row>
    <row r="36" spans="1:5" x14ac:dyDescent="0.25">
      <c r="A36" s="3" t="s">
        <v>2337</v>
      </c>
      <c r="B36" s="6" t="s">
        <v>2418</v>
      </c>
      <c r="C36" s="3" t="s">
        <v>8377</v>
      </c>
      <c r="D36" s="3" t="s">
        <v>6782</v>
      </c>
      <c r="E36" s="3" t="s">
        <v>4799</v>
      </c>
    </row>
    <row r="37" spans="1:5" x14ac:dyDescent="0.25">
      <c r="A37" s="3" t="s">
        <v>2336</v>
      </c>
      <c r="B37" s="6" t="s">
        <v>2419</v>
      </c>
      <c r="C37" s="3" t="s">
        <v>8378</v>
      </c>
      <c r="D37" s="3" t="s">
        <v>6783</v>
      </c>
      <c r="E37" s="3" t="s">
        <v>4800</v>
      </c>
    </row>
    <row r="38" spans="1:5" x14ac:dyDescent="0.25">
      <c r="A38" s="3" t="s">
        <v>2335</v>
      </c>
      <c r="B38" s="6" t="s">
        <v>2420</v>
      </c>
      <c r="C38" s="3" t="s">
        <v>8378</v>
      </c>
      <c r="D38" s="3" t="s">
        <v>6784</v>
      </c>
      <c r="E38" s="3" t="s">
        <v>4801</v>
      </c>
    </row>
    <row r="39" spans="1:5" x14ac:dyDescent="0.25">
      <c r="A39" s="3" t="s">
        <v>2334</v>
      </c>
      <c r="B39" s="6" t="s">
        <v>2421</v>
      </c>
      <c r="C39" s="3" t="s">
        <v>8377</v>
      </c>
      <c r="D39" s="3" t="s">
        <v>6785</v>
      </c>
      <c r="E39" s="3" t="s">
        <v>4802</v>
      </c>
    </row>
    <row r="40" spans="1:5" x14ac:dyDescent="0.25">
      <c r="A40" s="3" t="s">
        <v>2333</v>
      </c>
      <c r="B40" s="6" t="s">
        <v>2422</v>
      </c>
      <c r="C40" s="3" t="s">
        <v>8377</v>
      </c>
      <c r="D40" s="3" t="s">
        <v>6786</v>
      </c>
      <c r="E40" s="3" t="s">
        <v>4803</v>
      </c>
    </row>
    <row r="41" spans="1:5" x14ac:dyDescent="0.25">
      <c r="A41" s="3" t="s">
        <v>2332</v>
      </c>
      <c r="B41" s="6" t="s">
        <v>2423</v>
      </c>
      <c r="C41" s="3" t="s">
        <v>8378</v>
      </c>
      <c r="D41" s="3" t="s">
        <v>6787</v>
      </c>
      <c r="E41" s="3" t="s">
        <v>4804</v>
      </c>
    </row>
    <row r="42" spans="1:5" x14ac:dyDescent="0.25">
      <c r="A42" s="3" t="s">
        <v>2331</v>
      </c>
      <c r="B42" s="6" t="s">
        <v>2424</v>
      </c>
      <c r="C42" s="3" t="s">
        <v>8378</v>
      </c>
      <c r="D42" s="3" t="s">
        <v>6788</v>
      </c>
      <c r="E42" s="3" t="s">
        <v>4805</v>
      </c>
    </row>
    <row r="43" spans="1:5" x14ac:dyDescent="0.25">
      <c r="A43" s="3" t="s">
        <v>2330</v>
      </c>
      <c r="B43" s="6" t="s">
        <v>2425</v>
      </c>
      <c r="C43" s="3" t="s">
        <v>8377</v>
      </c>
      <c r="D43" s="3" t="s">
        <v>6789</v>
      </c>
      <c r="E43" s="3" t="s">
        <v>4806</v>
      </c>
    </row>
    <row r="44" spans="1:5" x14ac:dyDescent="0.25">
      <c r="A44" s="3" t="s">
        <v>2329</v>
      </c>
      <c r="B44" s="6" t="s">
        <v>2426</v>
      </c>
      <c r="C44" s="3" t="s">
        <v>8377</v>
      </c>
      <c r="D44" s="3" t="s">
        <v>6771</v>
      </c>
      <c r="E44" s="3" t="s">
        <v>4807</v>
      </c>
    </row>
    <row r="45" spans="1:5" x14ac:dyDescent="0.25">
      <c r="A45" s="3" t="s">
        <v>2328</v>
      </c>
      <c r="B45" s="6" t="s">
        <v>2427</v>
      </c>
      <c r="C45" s="3" t="s">
        <v>8378</v>
      </c>
      <c r="D45" s="3" t="s">
        <v>5087</v>
      </c>
      <c r="E45" s="3" t="s">
        <v>4808</v>
      </c>
    </row>
    <row r="46" spans="1:5" x14ac:dyDescent="0.25">
      <c r="A46" s="3" t="s">
        <v>2327</v>
      </c>
      <c r="B46" s="6" t="s">
        <v>2428</v>
      </c>
      <c r="C46" s="3" t="s">
        <v>8378</v>
      </c>
      <c r="D46" s="3" t="s">
        <v>6790</v>
      </c>
      <c r="E46" s="3" t="s">
        <v>4809</v>
      </c>
    </row>
    <row r="47" spans="1:5" x14ac:dyDescent="0.25">
      <c r="A47" s="3" t="s">
        <v>2326</v>
      </c>
      <c r="B47" s="6" t="s">
        <v>2429</v>
      </c>
      <c r="C47" s="3" t="s">
        <v>8377</v>
      </c>
      <c r="D47" s="3" t="s">
        <v>6791</v>
      </c>
      <c r="E47" s="3" t="s">
        <v>4810</v>
      </c>
    </row>
    <row r="48" spans="1:5" x14ac:dyDescent="0.25">
      <c r="A48" s="3" t="s">
        <v>2325</v>
      </c>
      <c r="B48" s="6" t="s">
        <v>2430</v>
      </c>
      <c r="C48" s="3" t="s">
        <v>8378</v>
      </c>
      <c r="D48" s="3" t="s">
        <v>6792</v>
      </c>
      <c r="E48" s="3" t="s">
        <v>4811</v>
      </c>
    </row>
    <row r="49" spans="1:5" x14ac:dyDescent="0.25">
      <c r="A49" s="3" t="s">
        <v>2324</v>
      </c>
      <c r="B49" s="6" t="s">
        <v>2431</v>
      </c>
      <c r="C49" s="3" t="s">
        <v>8377</v>
      </c>
      <c r="D49" s="3" t="s">
        <v>6793</v>
      </c>
      <c r="E49" s="3" t="s">
        <v>4806</v>
      </c>
    </row>
    <row r="50" spans="1:5" x14ac:dyDescent="0.25">
      <c r="A50" s="3" t="s">
        <v>2323</v>
      </c>
      <c r="B50" s="6" t="s">
        <v>2432</v>
      </c>
      <c r="C50" s="3" t="s">
        <v>8378</v>
      </c>
      <c r="D50" s="3" t="s">
        <v>6794</v>
      </c>
      <c r="E50" s="3" t="s">
        <v>4812</v>
      </c>
    </row>
    <row r="51" spans="1:5" x14ac:dyDescent="0.25">
      <c r="A51" s="3" t="s">
        <v>2322</v>
      </c>
      <c r="B51" s="6" t="s">
        <v>2433</v>
      </c>
      <c r="C51" s="3" t="s">
        <v>8378</v>
      </c>
      <c r="D51" s="3" t="s">
        <v>5229</v>
      </c>
      <c r="E51" s="3" t="s">
        <v>4813</v>
      </c>
    </row>
    <row r="52" spans="1:5" x14ac:dyDescent="0.25">
      <c r="A52" s="3" t="s">
        <v>2321</v>
      </c>
      <c r="B52" s="6" t="s">
        <v>2434</v>
      </c>
      <c r="C52" s="3" t="s">
        <v>8378</v>
      </c>
      <c r="D52" s="3" t="s">
        <v>6795</v>
      </c>
      <c r="E52" s="3" t="s">
        <v>4814</v>
      </c>
    </row>
    <row r="53" spans="1:5" x14ac:dyDescent="0.25">
      <c r="A53" s="3" t="s">
        <v>2320</v>
      </c>
      <c r="B53" s="6" t="s">
        <v>2435</v>
      </c>
      <c r="C53" s="3" t="s">
        <v>8377</v>
      </c>
      <c r="D53" s="3" t="s">
        <v>6796</v>
      </c>
      <c r="E53" s="3" t="s">
        <v>4815</v>
      </c>
    </row>
    <row r="54" spans="1:5" x14ac:dyDescent="0.25">
      <c r="A54" s="3" t="s">
        <v>2319</v>
      </c>
      <c r="B54" s="6" t="s">
        <v>2436</v>
      </c>
      <c r="C54" s="3" t="s">
        <v>8378</v>
      </c>
      <c r="D54" s="3" t="s">
        <v>4772</v>
      </c>
      <c r="E54" s="3" t="s">
        <v>4816</v>
      </c>
    </row>
    <row r="55" spans="1:5" x14ac:dyDescent="0.25">
      <c r="A55" s="3" t="s">
        <v>2318</v>
      </c>
      <c r="B55" s="6" t="s">
        <v>2437</v>
      </c>
      <c r="C55" s="3" t="s">
        <v>8378</v>
      </c>
      <c r="D55" s="3" t="s">
        <v>6797</v>
      </c>
      <c r="E55" s="3" t="s">
        <v>4817</v>
      </c>
    </row>
    <row r="56" spans="1:5" x14ac:dyDescent="0.25">
      <c r="A56" s="3" t="s">
        <v>2317</v>
      </c>
      <c r="B56" s="6" t="s">
        <v>2438</v>
      </c>
      <c r="C56" s="3" t="s">
        <v>8377</v>
      </c>
      <c r="D56" s="3" t="s">
        <v>6798</v>
      </c>
      <c r="E56" s="3" t="s">
        <v>4818</v>
      </c>
    </row>
    <row r="57" spans="1:5" x14ac:dyDescent="0.25">
      <c r="A57" s="3" t="s">
        <v>2316</v>
      </c>
      <c r="B57" s="6" t="s">
        <v>2439</v>
      </c>
      <c r="C57" s="3" t="s">
        <v>8377</v>
      </c>
      <c r="D57" s="3" t="s">
        <v>6799</v>
      </c>
      <c r="E57" s="3" t="s">
        <v>4819</v>
      </c>
    </row>
    <row r="58" spans="1:5" x14ac:dyDescent="0.25">
      <c r="A58" s="3" t="s">
        <v>2315</v>
      </c>
      <c r="B58" s="6" t="s">
        <v>2440</v>
      </c>
      <c r="C58" s="3" t="s">
        <v>8378</v>
      </c>
      <c r="D58" s="3" t="s">
        <v>6800</v>
      </c>
      <c r="E58" s="3" t="s">
        <v>4820</v>
      </c>
    </row>
    <row r="59" spans="1:5" x14ac:dyDescent="0.25">
      <c r="A59" s="3" t="s">
        <v>2314</v>
      </c>
      <c r="B59" s="6" t="s">
        <v>2441</v>
      </c>
      <c r="C59" s="3" t="s">
        <v>8377</v>
      </c>
      <c r="D59" s="3" t="s">
        <v>6008</v>
      </c>
      <c r="E59" s="3" t="s">
        <v>4821</v>
      </c>
    </row>
    <row r="60" spans="1:5" x14ac:dyDescent="0.25">
      <c r="A60" s="3" t="s">
        <v>2313</v>
      </c>
      <c r="B60" s="6" t="s">
        <v>2442</v>
      </c>
      <c r="C60" s="3" t="s">
        <v>8378</v>
      </c>
      <c r="D60" s="3" t="s">
        <v>6801</v>
      </c>
      <c r="E60" s="3" t="s">
        <v>4822</v>
      </c>
    </row>
    <row r="61" spans="1:5" x14ac:dyDescent="0.25">
      <c r="A61" s="3" t="s">
        <v>2312</v>
      </c>
      <c r="B61" s="6" t="s">
        <v>2443</v>
      </c>
      <c r="C61" s="3" t="s">
        <v>8377</v>
      </c>
      <c r="D61" s="3" t="s">
        <v>6802</v>
      </c>
      <c r="E61" s="3" t="s">
        <v>4823</v>
      </c>
    </row>
    <row r="62" spans="1:5" x14ac:dyDescent="0.25">
      <c r="A62" s="3" t="s">
        <v>2311</v>
      </c>
      <c r="B62" s="6" t="s">
        <v>2444</v>
      </c>
      <c r="C62" s="3" t="s">
        <v>8378</v>
      </c>
      <c r="D62" s="3" t="s">
        <v>6803</v>
      </c>
      <c r="E62" s="3" t="s">
        <v>4824</v>
      </c>
    </row>
    <row r="63" spans="1:5" x14ac:dyDescent="0.25">
      <c r="A63" s="3" t="s">
        <v>2310</v>
      </c>
      <c r="B63" s="6" t="s">
        <v>2445</v>
      </c>
      <c r="C63" s="3" t="s">
        <v>8377</v>
      </c>
      <c r="D63" s="3" t="s">
        <v>6804</v>
      </c>
      <c r="E63" s="3" t="s">
        <v>4825</v>
      </c>
    </row>
    <row r="64" spans="1:5" x14ac:dyDescent="0.25">
      <c r="A64" s="3" t="s">
        <v>2309</v>
      </c>
      <c r="B64" s="6" t="s">
        <v>2446</v>
      </c>
      <c r="C64" s="3" t="s">
        <v>8377</v>
      </c>
      <c r="D64" s="3" t="s">
        <v>6143</v>
      </c>
      <c r="E64" s="3" t="s">
        <v>4826</v>
      </c>
    </row>
    <row r="65" spans="1:5" x14ac:dyDescent="0.25">
      <c r="A65" s="3" t="s">
        <v>2308</v>
      </c>
      <c r="B65" s="6" t="s">
        <v>2447</v>
      </c>
      <c r="C65" s="3" t="s">
        <v>8378</v>
      </c>
      <c r="D65" s="3" t="s">
        <v>4772</v>
      </c>
      <c r="E65" s="3" t="s">
        <v>4827</v>
      </c>
    </row>
    <row r="66" spans="1:5" x14ac:dyDescent="0.25">
      <c r="A66" s="3" t="s">
        <v>2307</v>
      </c>
      <c r="B66" s="6" t="s">
        <v>2448</v>
      </c>
      <c r="C66" s="3" t="s">
        <v>8378</v>
      </c>
      <c r="D66" s="3" t="s">
        <v>6805</v>
      </c>
      <c r="E66" s="3" t="s">
        <v>4828</v>
      </c>
    </row>
    <row r="67" spans="1:5" x14ac:dyDescent="0.25">
      <c r="A67" s="3" t="s">
        <v>2306</v>
      </c>
      <c r="B67" s="6" t="s">
        <v>2449</v>
      </c>
      <c r="C67" s="3" t="s">
        <v>8377</v>
      </c>
      <c r="D67" s="3" t="s">
        <v>6806</v>
      </c>
      <c r="E67" s="3" t="s">
        <v>4829</v>
      </c>
    </row>
    <row r="68" spans="1:5" x14ac:dyDescent="0.25">
      <c r="A68" s="3" t="s">
        <v>2305</v>
      </c>
      <c r="B68" s="6" t="s">
        <v>2450</v>
      </c>
      <c r="C68" s="3" t="s">
        <v>8378</v>
      </c>
      <c r="D68" s="3" t="s">
        <v>6807</v>
      </c>
      <c r="E68" s="3" t="s">
        <v>4830</v>
      </c>
    </row>
    <row r="69" spans="1:5" x14ac:dyDescent="0.25">
      <c r="A69" s="3" t="s">
        <v>2304</v>
      </c>
      <c r="B69" s="6" t="s">
        <v>2451</v>
      </c>
      <c r="C69" s="3" t="s">
        <v>8378</v>
      </c>
      <c r="D69" s="3" t="s">
        <v>6808</v>
      </c>
      <c r="E69" s="3" t="s">
        <v>4831</v>
      </c>
    </row>
    <row r="70" spans="1:5" x14ac:dyDescent="0.25">
      <c r="A70" s="3" t="s">
        <v>2303</v>
      </c>
      <c r="B70" s="6" t="s">
        <v>2452</v>
      </c>
      <c r="C70" s="3" t="s">
        <v>8377</v>
      </c>
      <c r="D70" s="3" t="s">
        <v>6809</v>
      </c>
      <c r="E70" s="3" t="s">
        <v>4832</v>
      </c>
    </row>
    <row r="71" spans="1:5" x14ac:dyDescent="0.25">
      <c r="A71" s="3" t="s">
        <v>2302</v>
      </c>
      <c r="B71" s="6" t="s">
        <v>2453</v>
      </c>
      <c r="C71" s="3" t="s">
        <v>8378</v>
      </c>
      <c r="D71" s="3" t="s">
        <v>6670</v>
      </c>
      <c r="E71" s="3" t="s">
        <v>4833</v>
      </c>
    </row>
    <row r="72" spans="1:5" x14ac:dyDescent="0.25">
      <c r="A72" s="3" t="s">
        <v>2301</v>
      </c>
      <c r="B72" s="6" t="s">
        <v>2454</v>
      </c>
      <c r="C72" s="3" t="s">
        <v>8378</v>
      </c>
      <c r="D72" s="3" t="s">
        <v>6810</v>
      </c>
      <c r="E72" s="3" t="s">
        <v>4834</v>
      </c>
    </row>
    <row r="73" spans="1:5" x14ac:dyDescent="0.25">
      <c r="A73" s="3" t="s">
        <v>2300</v>
      </c>
      <c r="B73" s="6" t="s">
        <v>2455</v>
      </c>
      <c r="C73" s="3" t="s">
        <v>8378</v>
      </c>
      <c r="D73" s="3" t="s">
        <v>6811</v>
      </c>
      <c r="E73" s="3" t="s">
        <v>4835</v>
      </c>
    </row>
    <row r="74" spans="1:5" x14ac:dyDescent="0.25">
      <c r="A74" s="3" t="s">
        <v>2299</v>
      </c>
      <c r="B74" s="6" t="s">
        <v>2456</v>
      </c>
      <c r="C74" s="3" t="s">
        <v>8377</v>
      </c>
      <c r="D74" s="3" t="s">
        <v>6812</v>
      </c>
      <c r="E74" s="3" t="s">
        <v>4836</v>
      </c>
    </row>
    <row r="75" spans="1:5" x14ac:dyDescent="0.25">
      <c r="A75" s="3" t="s">
        <v>2298</v>
      </c>
      <c r="B75" s="6" t="s">
        <v>2457</v>
      </c>
      <c r="C75" s="3" t="s">
        <v>8377</v>
      </c>
      <c r="D75" s="3" t="s">
        <v>6813</v>
      </c>
      <c r="E75" s="3" t="s">
        <v>4837</v>
      </c>
    </row>
    <row r="76" spans="1:5" x14ac:dyDescent="0.25">
      <c r="A76" s="3" t="s">
        <v>2297</v>
      </c>
      <c r="B76" s="6" t="s">
        <v>2458</v>
      </c>
      <c r="C76" s="3" t="s">
        <v>8377</v>
      </c>
      <c r="D76" s="3" t="s">
        <v>6814</v>
      </c>
      <c r="E76" s="3" t="s">
        <v>4838</v>
      </c>
    </row>
    <row r="77" spans="1:5" x14ac:dyDescent="0.25">
      <c r="A77" s="3" t="s">
        <v>2296</v>
      </c>
      <c r="B77" s="6" t="s">
        <v>2459</v>
      </c>
      <c r="C77" s="3" t="s">
        <v>8378</v>
      </c>
      <c r="D77" s="3" t="s">
        <v>6815</v>
      </c>
      <c r="E77" s="3" t="s">
        <v>4839</v>
      </c>
    </row>
    <row r="78" spans="1:5" x14ac:dyDescent="0.25">
      <c r="A78" s="3" t="s">
        <v>2295</v>
      </c>
      <c r="B78" s="6" t="s">
        <v>2460</v>
      </c>
      <c r="C78" s="3" t="s">
        <v>8377</v>
      </c>
      <c r="D78" s="3" t="s">
        <v>6816</v>
      </c>
      <c r="E78" s="3" t="s">
        <v>4840</v>
      </c>
    </row>
    <row r="79" spans="1:5" x14ac:dyDescent="0.25">
      <c r="A79" s="3" t="s">
        <v>2294</v>
      </c>
      <c r="B79" s="6" t="s">
        <v>2461</v>
      </c>
      <c r="C79" s="3" t="s">
        <v>8377</v>
      </c>
      <c r="D79" s="3" t="s">
        <v>6018</v>
      </c>
      <c r="E79" s="3" t="s">
        <v>4841</v>
      </c>
    </row>
    <row r="80" spans="1:5" x14ac:dyDescent="0.25">
      <c r="A80" s="3" t="s">
        <v>2293</v>
      </c>
      <c r="B80" s="6" t="s">
        <v>2462</v>
      </c>
      <c r="C80" s="3" t="s">
        <v>8378</v>
      </c>
      <c r="D80" s="3" t="s">
        <v>6817</v>
      </c>
      <c r="E80" s="3" t="s">
        <v>4842</v>
      </c>
    </row>
    <row r="81" spans="1:5" x14ac:dyDescent="0.25">
      <c r="A81" s="3" t="s">
        <v>2292</v>
      </c>
      <c r="B81" s="6" t="s">
        <v>2463</v>
      </c>
      <c r="C81" s="3" t="s">
        <v>8377</v>
      </c>
      <c r="D81" s="3" t="s">
        <v>6818</v>
      </c>
      <c r="E81" s="3" t="s">
        <v>4843</v>
      </c>
    </row>
    <row r="82" spans="1:5" x14ac:dyDescent="0.25">
      <c r="A82" s="3" t="s">
        <v>2291</v>
      </c>
      <c r="B82" s="6" t="s">
        <v>2464</v>
      </c>
      <c r="C82" s="3" t="s">
        <v>8377</v>
      </c>
      <c r="D82" s="3" t="s">
        <v>6819</v>
      </c>
      <c r="E82" s="3" t="s">
        <v>4844</v>
      </c>
    </row>
    <row r="83" spans="1:5" x14ac:dyDescent="0.25">
      <c r="A83" s="3" t="s">
        <v>2290</v>
      </c>
      <c r="B83" s="6" t="s">
        <v>2465</v>
      </c>
      <c r="C83" s="3" t="s">
        <v>8378</v>
      </c>
      <c r="D83" s="3" t="s">
        <v>5893</v>
      </c>
      <c r="E83" s="3" t="s">
        <v>4845</v>
      </c>
    </row>
    <row r="84" spans="1:5" x14ac:dyDescent="0.25">
      <c r="A84" s="3" t="s">
        <v>2289</v>
      </c>
      <c r="B84" s="6" t="s">
        <v>2466</v>
      </c>
      <c r="C84" s="3" t="s">
        <v>8377</v>
      </c>
      <c r="D84" s="3" t="s">
        <v>6820</v>
      </c>
      <c r="E84" s="3" t="s">
        <v>4846</v>
      </c>
    </row>
    <row r="85" spans="1:5" x14ac:dyDescent="0.25">
      <c r="A85" s="3" t="s">
        <v>2288</v>
      </c>
      <c r="B85" s="6" t="s">
        <v>2467</v>
      </c>
      <c r="C85" s="3" t="s">
        <v>8378</v>
      </c>
      <c r="D85" s="3" t="s">
        <v>6821</v>
      </c>
      <c r="E85" s="3" t="s">
        <v>4847</v>
      </c>
    </row>
    <row r="86" spans="1:5" x14ac:dyDescent="0.25">
      <c r="A86" s="3" t="s">
        <v>2287</v>
      </c>
      <c r="B86" s="6" t="s">
        <v>2468</v>
      </c>
      <c r="C86" s="3" t="s">
        <v>8378</v>
      </c>
      <c r="D86" s="3" t="s">
        <v>6822</v>
      </c>
      <c r="E86" s="3" t="s">
        <v>4848</v>
      </c>
    </row>
    <row r="87" spans="1:5" x14ac:dyDescent="0.25">
      <c r="A87" s="3" t="s">
        <v>2286</v>
      </c>
      <c r="B87" s="6" t="s">
        <v>2469</v>
      </c>
      <c r="C87" s="3" t="s">
        <v>8378</v>
      </c>
      <c r="D87" s="3" t="s">
        <v>6823</v>
      </c>
      <c r="E87" s="3" t="s">
        <v>4849</v>
      </c>
    </row>
    <row r="88" spans="1:5" x14ac:dyDescent="0.25">
      <c r="A88" s="3" t="s">
        <v>2285</v>
      </c>
      <c r="B88" s="6" t="s">
        <v>2470</v>
      </c>
      <c r="C88" s="3" t="s">
        <v>8378</v>
      </c>
      <c r="D88" s="3" t="s">
        <v>6824</v>
      </c>
      <c r="E88" s="3" t="s">
        <v>4850</v>
      </c>
    </row>
    <row r="89" spans="1:5" x14ac:dyDescent="0.25">
      <c r="A89" s="3" t="s">
        <v>2284</v>
      </c>
      <c r="B89" s="6" t="s">
        <v>2471</v>
      </c>
      <c r="C89" s="3" t="s">
        <v>8377</v>
      </c>
      <c r="D89" s="3" t="s">
        <v>6825</v>
      </c>
      <c r="E89" s="3" t="s">
        <v>4851</v>
      </c>
    </row>
    <row r="90" spans="1:5" x14ac:dyDescent="0.25">
      <c r="A90" s="3" t="s">
        <v>2283</v>
      </c>
      <c r="B90" s="6" t="s">
        <v>2472</v>
      </c>
      <c r="C90" s="3" t="s">
        <v>8377</v>
      </c>
      <c r="D90" s="3" t="s">
        <v>5090</v>
      </c>
      <c r="E90" s="3" t="s">
        <v>4852</v>
      </c>
    </row>
    <row r="91" spans="1:5" x14ac:dyDescent="0.25">
      <c r="A91" s="3" t="s">
        <v>2282</v>
      </c>
      <c r="B91" s="6" t="s">
        <v>2473</v>
      </c>
      <c r="C91" s="3" t="s">
        <v>8377</v>
      </c>
      <c r="D91" s="3" t="s">
        <v>6826</v>
      </c>
      <c r="E91" s="3" t="s">
        <v>4853</v>
      </c>
    </row>
    <row r="92" spans="1:5" x14ac:dyDescent="0.25">
      <c r="A92" s="3" t="s">
        <v>2281</v>
      </c>
      <c r="B92" s="6" t="s">
        <v>2474</v>
      </c>
      <c r="C92" s="3" t="s">
        <v>8377</v>
      </c>
      <c r="D92" s="3" t="s">
        <v>6827</v>
      </c>
      <c r="E92" s="3" t="s">
        <v>4854</v>
      </c>
    </row>
    <row r="93" spans="1:5" x14ac:dyDescent="0.25">
      <c r="A93" s="3" t="s">
        <v>2280</v>
      </c>
      <c r="B93" s="6" t="s">
        <v>2475</v>
      </c>
      <c r="C93" s="3" t="s">
        <v>8377</v>
      </c>
      <c r="D93" s="3" t="s">
        <v>6828</v>
      </c>
      <c r="E93" s="3" t="s">
        <v>4855</v>
      </c>
    </row>
    <row r="94" spans="1:5" x14ac:dyDescent="0.25">
      <c r="A94" s="3" t="s">
        <v>2279</v>
      </c>
      <c r="B94" s="6" t="s">
        <v>2476</v>
      </c>
      <c r="C94" s="3" t="s">
        <v>8378</v>
      </c>
      <c r="D94" s="3" t="s">
        <v>6829</v>
      </c>
      <c r="E94" s="3" t="s">
        <v>4856</v>
      </c>
    </row>
    <row r="95" spans="1:5" x14ac:dyDescent="0.25">
      <c r="A95" s="3" t="s">
        <v>2278</v>
      </c>
      <c r="B95" s="6" t="s">
        <v>2477</v>
      </c>
      <c r="C95" s="3" t="s">
        <v>8378</v>
      </c>
      <c r="D95" s="3" t="s">
        <v>4772</v>
      </c>
      <c r="E95" s="3" t="s">
        <v>4857</v>
      </c>
    </row>
    <row r="96" spans="1:5" x14ac:dyDescent="0.25">
      <c r="A96" s="3" t="s">
        <v>2277</v>
      </c>
      <c r="B96" s="6" t="s">
        <v>2478</v>
      </c>
      <c r="C96" s="3" t="s">
        <v>8377</v>
      </c>
      <c r="D96" s="3" t="s">
        <v>6777</v>
      </c>
      <c r="E96" s="3" t="s">
        <v>4858</v>
      </c>
    </row>
    <row r="97" spans="1:5" x14ac:dyDescent="0.25">
      <c r="A97" s="3" t="s">
        <v>2276</v>
      </c>
      <c r="B97" s="6" t="s">
        <v>2479</v>
      </c>
      <c r="C97" s="3" t="s">
        <v>8378</v>
      </c>
      <c r="D97" s="3" t="s">
        <v>5603</v>
      </c>
      <c r="E97" s="3" t="s">
        <v>4859</v>
      </c>
    </row>
    <row r="98" spans="1:5" x14ac:dyDescent="0.25">
      <c r="A98" s="3" t="s">
        <v>2275</v>
      </c>
      <c r="B98" s="6" t="s">
        <v>2480</v>
      </c>
      <c r="C98" s="3" t="s">
        <v>8377</v>
      </c>
      <c r="D98" s="3" t="s">
        <v>6830</v>
      </c>
      <c r="E98" s="3" t="s">
        <v>4860</v>
      </c>
    </row>
    <row r="99" spans="1:5" x14ac:dyDescent="0.25">
      <c r="A99" s="3" t="s">
        <v>2274</v>
      </c>
      <c r="B99" s="6" t="s">
        <v>2481</v>
      </c>
      <c r="C99" s="3" t="s">
        <v>8377</v>
      </c>
      <c r="D99" s="3" t="s">
        <v>6831</v>
      </c>
      <c r="E99" s="3" t="s">
        <v>4861</v>
      </c>
    </row>
    <row r="100" spans="1:5" x14ac:dyDescent="0.25">
      <c r="A100" s="3" t="s">
        <v>2273</v>
      </c>
      <c r="B100" s="6" t="s">
        <v>2482</v>
      </c>
      <c r="C100" s="3" t="s">
        <v>8378</v>
      </c>
      <c r="D100" s="3" t="s">
        <v>6832</v>
      </c>
      <c r="E100" s="3" t="s">
        <v>4862</v>
      </c>
    </row>
    <row r="101" spans="1:5" x14ac:dyDescent="0.25">
      <c r="A101" s="3" t="s">
        <v>2272</v>
      </c>
      <c r="B101" s="6" t="s">
        <v>2483</v>
      </c>
      <c r="C101" s="3" t="s">
        <v>8378</v>
      </c>
      <c r="D101" s="3" t="s">
        <v>6807</v>
      </c>
      <c r="E101" s="3" t="s">
        <v>4863</v>
      </c>
    </row>
    <row r="102" spans="1:5" x14ac:dyDescent="0.25">
      <c r="A102" s="3" t="s">
        <v>2271</v>
      </c>
      <c r="B102" s="6" t="s">
        <v>2484</v>
      </c>
      <c r="C102" s="3" t="s">
        <v>8378</v>
      </c>
      <c r="D102" s="3" t="s">
        <v>6315</v>
      </c>
      <c r="E102" s="3" t="s">
        <v>4864</v>
      </c>
    </row>
    <row r="103" spans="1:5" x14ac:dyDescent="0.25">
      <c r="A103" s="3" t="s">
        <v>2270</v>
      </c>
      <c r="B103" s="6" t="s">
        <v>2485</v>
      </c>
      <c r="C103" s="3" t="s">
        <v>8377</v>
      </c>
      <c r="D103" s="3" t="s">
        <v>6833</v>
      </c>
      <c r="E103" s="3" t="s">
        <v>4865</v>
      </c>
    </row>
    <row r="104" spans="1:5" x14ac:dyDescent="0.25">
      <c r="A104" s="3" t="s">
        <v>2269</v>
      </c>
      <c r="B104" s="6" t="s">
        <v>2486</v>
      </c>
      <c r="C104" s="3" t="s">
        <v>8378</v>
      </c>
      <c r="D104" s="3" t="s">
        <v>6834</v>
      </c>
      <c r="E104" s="3" t="s">
        <v>4866</v>
      </c>
    </row>
    <row r="105" spans="1:5" x14ac:dyDescent="0.25">
      <c r="A105" s="3" t="s">
        <v>2268</v>
      </c>
      <c r="B105" s="6" t="s">
        <v>2487</v>
      </c>
      <c r="C105" s="3" t="s">
        <v>8378</v>
      </c>
      <c r="D105" s="3" t="s">
        <v>6835</v>
      </c>
      <c r="E105" s="3" t="s">
        <v>4867</v>
      </c>
    </row>
    <row r="106" spans="1:5" x14ac:dyDescent="0.25">
      <c r="A106" s="3" t="s">
        <v>2267</v>
      </c>
      <c r="B106" s="6" t="s">
        <v>2488</v>
      </c>
      <c r="C106" s="3" t="s">
        <v>8378</v>
      </c>
      <c r="D106" s="3" t="s">
        <v>6836</v>
      </c>
      <c r="E106" s="3" t="s">
        <v>4868</v>
      </c>
    </row>
    <row r="107" spans="1:5" x14ac:dyDescent="0.25">
      <c r="A107" s="3" t="s">
        <v>2266</v>
      </c>
      <c r="B107" s="6" t="s">
        <v>2489</v>
      </c>
      <c r="C107" s="3" t="s">
        <v>8378</v>
      </c>
      <c r="D107" s="3" t="s">
        <v>6837</v>
      </c>
      <c r="E107" s="3" t="s">
        <v>4869</v>
      </c>
    </row>
    <row r="108" spans="1:5" x14ac:dyDescent="0.25">
      <c r="A108" s="3" t="s">
        <v>2265</v>
      </c>
      <c r="B108" s="6" t="s">
        <v>2490</v>
      </c>
      <c r="C108" s="3" t="s">
        <v>8378</v>
      </c>
      <c r="D108" s="3" t="s">
        <v>6838</v>
      </c>
      <c r="E108" s="3" t="s">
        <v>4870</v>
      </c>
    </row>
    <row r="109" spans="1:5" x14ac:dyDescent="0.25">
      <c r="A109" s="3" t="s">
        <v>2264</v>
      </c>
      <c r="B109" s="6" t="s">
        <v>2491</v>
      </c>
      <c r="C109" s="3" t="s">
        <v>8377</v>
      </c>
      <c r="D109" s="3" t="s">
        <v>6839</v>
      </c>
      <c r="E109" s="3" t="s">
        <v>4871</v>
      </c>
    </row>
    <row r="110" spans="1:5" x14ac:dyDescent="0.25">
      <c r="A110" s="3" t="s">
        <v>2263</v>
      </c>
      <c r="B110" s="6" t="s">
        <v>2492</v>
      </c>
      <c r="C110" s="3" t="s">
        <v>8377</v>
      </c>
      <c r="D110" s="3" t="s">
        <v>6840</v>
      </c>
      <c r="E110" s="3" t="s">
        <v>4872</v>
      </c>
    </row>
    <row r="111" spans="1:5" x14ac:dyDescent="0.25">
      <c r="A111" s="3" t="s">
        <v>2262</v>
      </c>
      <c r="B111" s="6" t="s">
        <v>2493</v>
      </c>
      <c r="C111" s="3" t="s">
        <v>8378</v>
      </c>
      <c r="D111" s="3" t="s">
        <v>6829</v>
      </c>
      <c r="E111" s="3" t="s">
        <v>4873</v>
      </c>
    </row>
    <row r="112" spans="1:5" x14ac:dyDescent="0.25">
      <c r="A112" s="3" t="s">
        <v>2261</v>
      </c>
      <c r="B112" s="6" t="s">
        <v>2494</v>
      </c>
      <c r="C112" s="3" t="s">
        <v>8378</v>
      </c>
      <c r="D112" s="3" t="s">
        <v>6841</v>
      </c>
      <c r="E112" s="3" t="s">
        <v>4874</v>
      </c>
    </row>
    <row r="113" spans="1:5" x14ac:dyDescent="0.25">
      <c r="A113" s="3" t="s">
        <v>2260</v>
      </c>
      <c r="B113" s="6" t="s">
        <v>2495</v>
      </c>
      <c r="C113" s="3" t="s">
        <v>8377</v>
      </c>
      <c r="D113" s="3" t="s">
        <v>6842</v>
      </c>
      <c r="E113" s="3" t="s">
        <v>4875</v>
      </c>
    </row>
    <row r="114" spans="1:5" x14ac:dyDescent="0.25">
      <c r="A114" s="3" t="s">
        <v>2259</v>
      </c>
      <c r="B114" s="6" t="s">
        <v>2496</v>
      </c>
      <c r="C114" s="3" t="s">
        <v>8377</v>
      </c>
      <c r="D114" s="3" t="s">
        <v>6843</v>
      </c>
      <c r="E114" s="3" t="s">
        <v>4876</v>
      </c>
    </row>
    <row r="115" spans="1:5" x14ac:dyDescent="0.25">
      <c r="A115" s="3" t="s">
        <v>2258</v>
      </c>
      <c r="B115" s="6" t="s">
        <v>2497</v>
      </c>
      <c r="C115" s="3" t="s">
        <v>8378</v>
      </c>
      <c r="D115" s="3" t="s">
        <v>6844</v>
      </c>
      <c r="E115" s="3" t="s">
        <v>4877</v>
      </c>
    </row>
    <row r="116" spans="1:5" x14ac:dyDescent="0.25">
      <c r="A116" s="3" t="s">
        <v>2257</v>
      </c>
      <c r="B116" s="6" t="s">
        <v>2498</v>
      </c>
      <c r="C116" s="3" t="s">
        <v>8378</v>
      </c>
      <c r="D116" s="3" t="s">
        <v>5274</v>
      </c>
      <c r="E116" s="3" t="s">
        <v>4878</v>
      </c>
    </row>
    <row r="117" spans="1:5" x14ac:dyDescent="0.25">
      <c r="A117" s="3" t="s">
        <v>2256</v>
      </c>
      <c r="B117" s="6" t="s">
        <v>2499</v>
      </c>
      <c r="C117" s="3" t="s">
        <v>8377</v>
      </c>
      <c r="D117" s="3" t="s">
        <v>6845</v>
      </c>
      <c r="E117" s="3" t="s">
        <v>4879</v>
      </c>
    </row>
    <row r="118" spans="1:5" x14ac:dyDescent="0.25">
      <c r="A118" s="3" t="s">
        <v>2255</v>
      </c>
      <c r="B118" s="6" t="s">
        <v>2500</v>
      </c>
      <c r="C118" s="3" t="s">
        <v>8378</v>
      </c>
      <c r="D118" s="3" t="s">
        <v>6846</v>
      </c>
      <c r="E118" s="3" t="s">
        <v>4880</v>
      </c>
    </row>
    <row r="119" spans="1:5" x14ac:dyDescent="0.25">
      <c r="A119" s="3" t="s">
        <v>2254</v>
      </c>
      <c r="B119" s="6" t="s">
        <v>2501</v>
      </c>
      <c r="C119" s="3" t="s">
        <v>8378</v>
      </c>
      <c r="D119" s="3" t="s">
        <v>6768</v>
      </c>
      <c r="E119" s="3" t="s">
        <v>4881</v>
      </c>
    </row>
    <row r="120" spans="1:5" x14ac:dyDescent="0.25">
      <c r="A120" s="3" t="s">
        <v>2253</v>
      </c>
      <c r="B120" s="6" t="s">
        <v>2502</v>
      </c>
      <c r="C120" s="3" t="s">
        <v>8378</v>
      </c>
      <c r="D120" s="3" t="s">
        <v>6847</v>
      </c>
      <c r="E120" s="3" t="s">
        <v>4882</v>
      </c>
    </row>
    <row r="121" spans="1:5" x14ac:dyDescent="0.25">
      <c r="A121" s="3" t="s">
        <v>2252</v>
      </c>
      <c r="B121" s="6" t="s">
        <v>2503</v>
      </c>
      <c r="C121" s="3" t="s">
        <v>8378</v>
      </c>
      <c r="D121" s="3" t="s">
        <v>6848</v>
      </c>
      <c r="E121" s="3" t="s">
        <v>4883</v>
      </c>
    </row>
    <row r="122" spans="1:5" x14ac:dyDescent="0.25">
      <c r="A122" s="3" t="s">
        <v>2251</v>
      </c>
      <c r="B122" s="6" t="s">
        <v>2504</v>
      </c>
      <c r="C122" s="3" t="s">
        <v>8378</v>
      </c>
      <c r="D122" s="3" t="s">
        <v>6849</v>
      </c>
      <c r="E122" s="3" t="s">
        <v>4884</v>
      </c>
    </row>
    <row r="123" spans="1:5" x14ac:dyDescent="0.25">
      <c r="A123" s="3" t="s">
        <v>2250</v>
      </c>
      <c r="B123" s="6" t="s">
        <v>2505</v>
      </c>
      <c r="C123" s="3" t="s">
        <v>8378</v>
      </c>
      <c r="D123" s="3" t="s">
        <v>6850</v>
      </c>
      <c r="E123" s="3" t="s">
        <v>4885</v>
      </c>
    </row>
    <row r="124" spans="1:5" x14ac:dyDescent="0.25">
      <c r="A124" s="3" t="s">
        <v>2249</v>
      </c>
      <c r="B124" s="6" t="s">
        <v>2506</v>
      </c>
      <c r="C124" s="3" t="s">
        <v>8377</v>
      </c>
      <c r="D124" s="3" t="s">
        <v>6851</v>
      </c>
      <c r="E124" s="3" t="s">
        <v>4886</v>
      </c>
    </row>
    <row r="125" spans="1:5" x14ac:dyDescent="0.25">
      <c r="A125" s="3" t="s">
        <v>2248</v>
      </c>
      <c r="B125" s="6" t="s">
        <v>2507</v>
      </c>
      <c r="C125" s="3" t="s">
        <v>8378</v>
      </c>
      <c r="D125" s="3" t="s">
        <v>6852</v>
      </c>
      <c r="E125" s="3" t="s">
        <v>4887</v>
      </c>
    </row>
    <row r="126" spans="1:5" x14ac:dyDescent="0.25">
      <c r="A126" s="3" t="s">
        <v>2247</v>
      </c>
      <c r="B126" s="6" t="s">
        <v>2508</v>
      </c>
      <c r="C126" s="3" t="s">
        <v>8377</v>
      </c>
      <c r="D126" s="3" t="s">
        <v>6853</v>
      </c>
      <c r="E126" s="3" t="s">
        <v>4888</v>
      </c>
    </row>
    <row r="127" spans="1:5" x14ac:dyDescent="0.25">
      <c r="A127" s="3" t="s">
        <v>2246</v>
      </c>
      <c r="B127" s="6" t="s">
        <v>2509</v>
      </c>
      <c r="C127" s="3" t="s">
        <v>8378</v>
      </c>
      <c r="D127" s="3" t="s">
        <v>6854</v>
      </c>
      <c r="E127" s="3" t="s">
        <v>4889</v>
      </c>
    </row>
    <row r="128" spans="1:5" x14ac:dyDescent="0.25">
      <c r="A128" s="3" t="s">
        <v>2245</v>
      </c>
      <c r="B128" s="6" t="s">
        <v>2510</v>
      </c>
      <c r="C128" s="3" t="s">
        <v>8378</v>
      </c>
      <c r="D128" s="3" t="s">
        <v>6855</v>
      </c>
      <c r="E128" s="3" t="s">
        <v>4890</v>
      </c>
    </row>
    <row r="129" spans="1:5" x14ac:dyDescent="0.25">
      <c r="A129" s="3" t="s">
        <v>2244</v>
      </c>
      <c r="B129" s="6" t="s">
        <v>2511</v>
      </c>
      <c r="C129" s="3" t="s">
        <v>8378</v>
      </c>
      <c r="D129" s="3" t="s">
        <v>6856</v>
      </c>
      <c r="E129" s="3" t="s">
        <v>4891</v>
      </c>
    </row>
    <row r="130" spans="1:5" x14ac:dyDescent="0.25">
      <c r="A130" s="3" t="s">
        <v>2243</v>
      </c>
      <c r="B130" s="6" t="s">
        <v>2512</v>
      </c>
      <c r="C130" s="3" t="s">
        <v>8378</v>
      </c>
      <c r="D130" s="3" t="s">
        <v>6857</v>
      </c>
      <c r="E130" s="3" t="s">
        <v>4892</v>
      </c>
    </row>
    <row r="131" spans="1:5" x14ac:dyDescent="0.25">
      <c r="A131" s="3" t="s">
        <v>2242</v>
      </c>
      <c r="B131" s="6" t="s">
        <v>2513</v>
      </c>
      <c r="C131" s="3" t="s">
        <v>8378</v>
      </c>
      <c r="D131" s="3" t="s">
        <v>6858</v>
      </c>
      <c r="E131" s="3" t="s">
        <v>4893</v>
      </c>
    </row>
    <row r="132" spans="1:5" x14ac:dyDescent="0.25">
      <c r="A132" s="3" t="s">
        <v>2241</v>
      </c>
      <c r="B132" s="6" t="s">
        <v>2514</v>
      </c>
      <c r="C132" s="3" t="s">
        <v>8378</v>
      </c>
      <c r="D132" s="3" t="s">
        <v>6859</v>
      </c>
      <c r="E132" s="3" t="s">
        <v>4894</v>
      </c>
    </row>
    <row r="133" spans="1:5" x14ac:dyDescent="0.25">
      <c r="A133" s="3" t="s">
        <v>2240</v>
      </c>
      <c r="B133" s="6" t="s">
        <v>2515</v>
      </c>
      <c r="C133" s="3" t="s">
        <v>8377</v>
      </c>
      <c r="D133" s="3" t="s">
        <v>6860</v>
      </c>
      <c r="E133" s="3" t="s">
        <v>4895</v>
      </c>
    </row>
    <row r="134" spans="1:5" x14ac:dyDescent="0.25">
      <c r="A134" s="3" t="s">
        <v>2239</v>
      </c>
      <c r="B134" s="6" t="s">
        <v>2516</v>
      </c>
      <c r="C134" s="3" t="s">
        <v>8378</v>
      </c>
      <c r="D134" s="3" t="s">
        <v>6861</v>
      </c>
      <c r="E134" s="3" t="s">
        <v>4896</v>
      </c>
    </row>
    <row r="135" spans="1:5" x14ac:dyDescent="0.25">
      <c r="A135" s="3" t="s">
        <v>2238</v>
      </c>
      <c r="B135" s="6" t="s">
        <v>2517</v>
      </c>
      <c r="C135" s="3" t="s">
        <v>8378</v>
      </c>
      <c r="D135" s="3" t="s">
        <v>6862</v>
      </c>
      <c r="E135" s="3" t="s">
        <v>4897</v>
      </c>
    </row>
    <row r="136" spans="1:5" x14ac:dyDescent="0.25">
      <c r="A136" s="3" t="s">
        <v>2237</v>
      </c>
      <c r="B136" s="6" t="s">
        <v>2518</v>
      </c>
      <c r="C136" s="3" t="s">
        <v>8377</v>
      </c>
      <c r="D136" s="3" t="s">
        <v>6863</v>
      </c>
      <c r="E136" s="3" t="s">
        <v>4898</v>
      </c>
    </row>
    <row r="137" spans="1:5" x14ac:dyDescent="0.25">
      <c r="A137" s="3" t="s">
        <v>2236</v>
      </c>
      <c r="B137" s="6" t="s">
        <v>2519</v>
      </c>
      <c r="C137" s="3" t="s">
        <v>8377</v>
      </c>
      <c r="D137" s="3" t="s">
        <v>6864</v>
      </c>
      <c r="E137" s="3" t="s">
        <v>4899</v>
      </c>
    </row>
    <row r="138" spans="1:5" x14ac:dyDescent="0.25">
      <c r="A138" s="3" t="s">
        <v>2235</v>
      </c>
      <c r="B138" s="6" t="s">
        <v>2520</v>
      </c>
      <c r="C138" s="3" t="s">
        <v>8377</v>
      </c>
      <c r="D138" s="3" t="s">
        <v>6865</v>
      </c>
      <c r="E138" s="3" t="s">
        <v>4900</v>
      </c>
    </row>
    <row r="139" spans="1:5" x14ac:dyDescent="0.25">
      <c r="A139" s="3" t="s">
        <v>2234</v>
      </c>
      <c r="B139" s="6" t="s">
        <v>2521</v>
      </c>
      <c r="C139" s="3" t="s">
        <v>8378</v>
      </c>
      <c r="D139" s="3" t="s">
        <v>6866</v>
      </c>
      <c r="E139" s="3" t="s">
        <v>4901</v>
      </c>
    </row>
    <row r="140" spans="1:5" x14ac:dyDescent="0.25">
      <c r="A140" s="3" t="s">
        <v>2233</v>
      </c>
      <c r="B140" s="6" t="s">
        <v>2522</v>
      </c>
      <c r="C140" s="3" t="s">
        <v>8378</v>
      </c>
      <c r="D140" s="3" t="s">
        <v>6867</v>
      </c>
      <c r="E140" s="3" t="s">
        <v>4902</v>
      </c>
    </row>
    <row r="141" spans="1:5" x14ac:dyDescent="0.25">
      <c r="A141" s="3" t="s">
        <v>2232</v>
      </c>
      <c r="B141" s="6" t="s">
        <v>2523</v>
      </c>
      <c r="C141" s="3" t="s">
        <v>8378</v>
      </c>
      <c r="D141" s="3" t="s">
        <v>6868</v>
      </c>
      <c r="E141" s="3" t="s">
        <v>4903</v>
      </c>
    </row>
    <row r="142" spans="1:5" x14ac:dyDescent="0.25">
      <c r="A142" s="3" t="s">
        <v>2231</v>
      </c>
      <c r="B142" s="6" t="s">
        <v>2524</v>
      </c>
      <c r="C142" s="3" t="s">
        <v>8378</v>
      </c>
      <c r="D142" s="3" t="s">
        <v>6869</v>
      </c>
      <c r="E142" s="3" t="s">
        <v>4904</v>
      </c>
    </row>
    <row r="143" spans="1:5" x14ac:dyDescent="0.25">
      <c r="A143" s="3" t="s">
        <v>2230</v>
      </c>
      <c r="B143" s="6" t="s">
        <v>2525</v>
      </c>
      <c r="C143" s="3" t="s">
        <v>8378</v>
      </c>
      <c r="D143" s="3" t="s">
        <v>6870</v>
      </c>
      <c r="E143" s="3" t="s">
        <v>4905</v>
      </c>
    </row>
    <row r="144" spans="1:5" x14ac:dyDescent="0.25">
      <c r="A144" s="3" t="s">
        <v>2229</v>
      </c>
      <c r="B144" s="6" t="s">
        <v>2526</v>
      </c>
      <c r="C144" s="3" t="s">
        <v>8377</v>
      </c>
      <c r="D144" s="3" t="s">
        <v>6871</v>
      </c>
      <c r="E144" s="3" t="s">
        <v>4906</v>
      </c>
    </row>
    <row r="145" spans="1:5" x14ac:dyDescent="0.25">
      <c r="A145" s="3" t="s">
        <v>2228</v>
      </c>
      <c r="B145" s="6" t="s">
        <v>2527</v>
      </c>
      <c r="C145" s="3" t="s">
        <v>8378</v>
      </c>
      <c r="D145" s="3" t="s">
        <v>6872</v>
      </c>
      <c r="E145" s="3" t="s">
        <v>4907</v>
      </c>
    </row>
    <row r="146" spans="1:5" x14ac:dyDescent="0.25">
      <c r="A146" s="3" t="s">
        <v>2227</v>
      </c>
      <c r="B146" s="6" t="s">
        <v>2528</v>
      </c>
      <c r="C146" s="3" t="s">
        <v>8378</v>
      </c>
      <c r="D146" s="3" t="s">
        <v>6873</v>
      </c>
      <c r="E146" s="3" t="s">
        <v>4908</v>
      </c>
    </row>
    <row r="147" spans="1:5" x14ac:dyDescent="0.25">
      <c r="A147" s="3" t="s">
        <v>2226</v>
      </c>
      <c r="B147" s="6" t="s">
        <v>2529</v>
      </c>
      <c r="C147" s="3" t="s">
        <v>8377</v>
      </c>
      <c r="D147" s="3" t="s">
        <v>6874</v>
      </c>
      <c r="E147" s="3" t="s">
        <v>4909</v>
      </c>
    </row>
    <row r="148" spans="1:5" x14ac:dyDescent="0.25">
      <c r="A148" s="3" t="s">
        <v>2225</v>
      </c>
      <c r="B148" s="6" t="s">
        <v>2530</v>
      </c>
      <c r="C148" s="3" t="s">
        <v>8378</v>
      </c>
      <c r="D148" s="3" t="s">
        <v>6875</v>
      </c>
      <c r="E148" s="3" t="s">
        <v>4844</v>
      </c>
    </row>
    <row r="149" spans="1:5" x14ac:dyDescent="0.25">
      <c r="A149" s="3" t="s">
        <v>2224</v>
      </c>
      <c r="B149" s="6" t="s">
        <v>2531</v>
      </c>
      <c r="C149" s="3" t="s">
        <v>8378</v>
      </c>
      <c r="D149" s="3" t="s">
        <v>6876</v>
      </c>
      <c r="E149" s="3" t="s">
        <v>4910</v>
      </c>
    </row>
    <row r="150" spans="1:5" x14ac:dyDescent="0.25">
      <c r="A150" s="3" t="s">
        <v>2223</v>
      </c>
      <c r="B150" s="6" t="s">
        <v>2532</v>
      </c>
      <c r="C150" s="3" t="s">
        <v>8378</v>
      </c>
      <c r="D150" s="3" t="s">
        <v>6877</v>
      </c>
      <c r="E150" s="3" t="s">
        <v>4911</v>
      </c>
    </row>
    <row r="151" spans="1:5" x14ac:dyDescent="0.25">
      <c r="A151" s="3" t="s">
        <v>2222</v>
      </c>
      <c r="B151" s="6" t="s">
        <v>2533</v>
      </c>
      <c r="C151" s="3" t="s">
        <v>8378</v>
      </c>
      <c r="D151" s="3" t="s">
        <v>6878</v>
      </c>
      <c r="E151" s="3" t="s">
        <v>4912</v>
      </c>
    </row>
    <row r="152" spans="1:5" x14ac:dyDescent="0.25">
      <c r="A152" s="3" t="s">
        <v>2221</v>
      </c>
      <c r="B152" s="6" t="s">
        <v>2534</v>
      </c>
      <c r="C152" s="3" t="s">
        <v>8377</v>
      </c>
      <c r="D152" s="3" t="s">
        <v>6879</v>
      </c>
      <c r="E152" s="3" t="s">
        <v>4913</v>
      </c>
    </row>
    <row r="153" spans="1:5" x14ac:dyDescent="0.25">
      <c r="A153" s="3" t="s">
        <v>2220</v>
      </c>
      <c r="B153" s="6" t="s">
        <v>2535</v>
      </c>
      <c r="C153" s="3" t="s">
        <v>8378</v>
      </c>
      <c r="D153" s="3" t="s">
        <v>6875</v>
      </c>
      <c r="E153" s="3" t="s">
        <v>4914</v>
      </c>
    </row>
    <row r="154" spans="1:5" x14ac:dyDescent="0.25">
      <c r="A154" s="3" t="s">
        <v>2219</v>
      </c>
      <c r="B154" s="6" t="s">
        <v>2536</v>
      </c>
      <c r="C154" s="3" t="s">
        <v>8378</v>
      </c>
      <c r="D154" s="3" t="s">
        <v>5778</v>
      </c>
      <c r="E154" s="3" t="s">
        <v>4915</v>
      </c>
    </row>
    <row r="155" spans="1:5" x14ac:dyDescent="0.25">
      <c r="A155" s="3" t="s">
        <v>2218</v>
      </c>
      <c r="B155" s="6" t="s">
        <v>2537</v>
      </c>
      <c r="C155" s="3" t="s">
        <v>8378</v>
      </c>
      <c r="D155" s="3" t="s">
        <v>6880</v>
      </c>
      <c r="E155" s="3" t="s">
        <v>4916</v>
      </c>
    </row>
    <row r="156" spans="1:5" x14ac:dyDescent="0.25">
      <c r="A156" s="3" t="s">
        <v>2217</v>
      </c>
      <c r="B156" s="6" t="s">
        <v>2538</v>
      </c>
      <c r="C156" s="3" t="s">
        <v>8378</v>
      </c>
      <c r="D156" s="3" t="s">
        <v>6881</v>
      </c>
      <c r="E156" s="3" t="s">
        <v>4917</v>
      </c>
    </row>
    <row r="157" spans="1:5" x14ac:dyDescent="0.25">
      <c r="A157" s="3" t="s">
        <v>2216</v>
      </c>
      <c r="B157" s="6" t="s">
        <v>2539</v>
      </c>
      <c r="C157" s="3" t="s">
        <v>8378</v>
      </c>
      <c r="D157" s="3" t="s">
        <v>6882</v>
      </c>
      <c r="E157" s="3" t="s">
        <v>4918</v>
      </c>
    </row>
    <row r="158" spans="1:5" x14ac:dyDescent="0.25">
      <c r="A158" s="3" t="s">
        <v>2215</v>
      </c>
      <c r="B158" s="6" t="s">
        <v>2540</v>
      </c>
      <c r="C158" s="3" t="s">
        <v>8378</v>
      </c>
      <c r="D158" s="3" t="s">
        <v>6807</v>
      </c>
      <c r="E158" s="3" t="s">
        <v>4919</v>
      </c>
    </row>
    <row r="159" spans="1:5" x14ac:dyDescent="0.25">
      <c r="A159" s="3" t="s">
        <v>2214</v>
      </c>
      <c r="B159" s="6" t="s">
        <v>2541</v>
      </c>
      <c r="C159" s="3" t="s">
        <v>8377</v>
      </c>
      <c r="D159" s="3" t="s">
        <v>6883</v>
      </c>
      <c r="E159" s="3" t="s">
        <v>4920</v>
      </c>
    </row>
    <row r="160" spans="1:5" x14ac:dyDescent="0.25">
      <c r="A160" s="3" t="s">
        <v>2213</v>
      </c>
      <c r="B160" s="6" t="s">
        <v>2542</v>
      </c>
      <c r="C160" s="3" t="s">
        <v>8377</v>
      </c>
      <c r="D160" s="3" t="s">
        <v>6884</v>
      </c>
      <c r="E160" s="3" t="s">
        <v>4921</v>
      </c>
    </row>
    <row r="161" spans="1:5" x14ac:dyDescent="0.25">
      <c r="A161" s="3" t="s">
        <v>2212</v>
      </c>
      <c r="B161" s="6" t="s">
        <v>2543</v>
      </c>
      <c r="C161" s="3" t="s">
        <v>8378</v>
      </c>
      <c r="D161" s="3" t="s">
        <v>6885</v>
      </c>
      <c r="E161" s="3" t="s">
        <v>4922</v>
      </c>
    </row>
    <row r="162" spans="1:5" x14ac:dyDescent="0.25">
      <c r="A162" s="3" t="s">
        <v>2211</v>
      </c>
      <c r="B162" s="6" t="s">
        <v>2544</v>
      </c>
      <c r="C162" s="3" t="s">
        <v>8378</v>
      </c>
      <c r="D162" s="3" t="s">
        <v>6886</v>
      </c>
      <c r="E162" s="3" t="s">
        <v>4923</v>
      </c>
    </row>
    <row r="163" spans="1:5" x14ac:dyDescent="0.25">
      <c r="A163" s="3" t="s">
        <v>2210</v>
      </c>
      <c r="B163" s="6" t="s">
        <v>2545</v>
      </c>
      <c r="C163" s="3" t="s">
        <v>8378</v>
      </c>
      <c r="D163" s="3" t="s">
        <v>6887</v>
      </c>
      <c r="E163" s="3" t="s">
        <v>4924</v>
      </c>
    </row>
    <row r="164" spans="1:5" x14ac:dyDescent="0.25">
      <c r="A164" s="3" t="s">
        <v>2209</v>
      </c>
      <c r="B164" s="6" t="s">
        <v>2546</v>
      </c>
      <c r="C164" s="3" t="s">
        <v>8378</v>
      </c>
      <c r="D164" s="3" t="s">
        <v>6888</v>
      </c>
      <c r="E164" s="3" t="s">
        <v>4925</v>
      </c>
    </row>
    <row r="165" spans="1:5" x14ac:dyDescent="0.25">
      <c r="A165" s="3" t="s">
        <v>2208</v>
      </c>
      <c r="B165" s="6" t="s">
        <v>2547</v>
      </c>
      <c r="C165" s="3" t="s">
        <v>8378</v>
      </c>
      <c r="D165" s="3" t="s">
        <v>6889</v>
      </c>
      <c r="E165" s="3" t="s">
        <v>4926</v>
      </c>
    </row>
    <row r="166" spans="1:5" x14ac:dyDescent="0.25">
      <c r="A166" s="3" t="s">
        <v>2207</v>
      </c>
      <c r="B166" s="6" t="s">
        <v>2548</v>
      </c>
      <c r="C166" s="3" t="s">
        <v>8377</v>
      </c>
      <c r="D166" s="3" t="s">
        <v>6890</v>
      </c>
      <c r="E166" s="3" t="s">
        <v>4927</v>
      </c>
    </row>
    <row r="167" spans="1:5" x14ac:dyDescent="0.25">
      <c r="A167" s="3" t="s">
        <v>2206</v>
      </c>
      <c r="B167" s="6" t="s">
        <v>2549</v>
      </c>
      <c r="C167" s="3" t="s">
        <v>8378</v>
      </c>
      <c r="D167" s="3" t="s">
        <v>6891</v>
      </c>
      <c r="E167" s="3" t="s">
        <v>4928</v>
      </c>
    </row>
    <row r="168" spans="1:5" x14ac:dyDescent="0.25">
      <c r="A168" s="3" t="s">
        <v>2205</v>
      </c>
      <c r="B168" s="6" t="s">
        <v>2550</v>
      </c>
      <c r="C168" s="3" t="s">
        <v>8377</v>
      </c>
      <c r="D168" s="3" t="s">
        <v>6892</v>
      </c>
      <c r="E168" s="3" t="s">
        <v>4929</v>
      </c>
    </row>
    <row r="169" spans="1:5" x14ac:dyDescent="0.25">
      <c r="A169" s="3" t="s">
        <v>2204</v>
      </c>
      <c r="B169" s="6" t="s">
        <v>2551</v>
      </c>
      <c r="C169" s="3" t="s">
        <v>8377</v>
      </c>
      <c r="D169" s="3" t="s">
        <v>6893</v>
      </c>
      <c r="E169" s="3" t="s">
        <v>4930</v>
      </c>
    </row>
    <row r="170" spans="1:5" x14ac:dyDescent="0.25">
      <c r="A170" s="3" t="s">
        <v>2203</v>
      </c>
      <c r="B170" s="6" t="s">
        <v>2552</v>
      </c>
      <c r="C170" s="3" t="s">
        <v>8378</v>
      </c>
      <c r="D170" s="3" t="s">
        <v>6894</v>
      </c>
      <c r="E170" s="3" t="s">
        <v>4931</v>
      </c>
    </row>
    <row r="171" spans="1:5" x14ac:dyDescent="0.25">
      <c r="A171" s="3" t="s">
        <v>2202</v>
      </c>
      <c r="B171" s="6" t="s">
        <v>2553</v>
      </c>
      <c r="C171" s="3" t="s">
        <v>8378</v>
      </c>
      <c r="D171" s="3" t="s">
        <v>6895</v>
      </c>
      <c r="E171" s="3" t="s">
        <v>4932</v>
      </c>
    </row>
    <row r="172" spans="1:5" x14ac:dyDescent="0.25">
      <c r="A172" s="3" t="s">
        <v>2201</v>
      </c>
      <c r="B172" s="6" t="s">
        <v>2554</v>
      </c>
      <c r="C172" s="3" t="s">
        <v>8377</v>
      </c>
      <c r="D172" s="3" t="s">
        <v>6777</v>
      </c>
      <c r="E172" s="3" t="s">
        <v>4933</v>
      </c>
    </row>
    <row r="173" spans="1:5" x14ac:dyDescent="0.25">
      <c r="A173" s="3" t="s">
        <v>2200</v>
      </c>
      <c r="B173" s="6" t="s">
        <v>2555</v>
      </c>
      <c r="C173" s="3" t="s">
        <v>8377</v>
      </c>
      <c r="D173" s="3" t="s">
        <v>6896</v>
      </c>
      <c r="E173" s="3" t="s">
        <v>4934</v>
      </c>
    </row>
    <row r="174" spans="1:5" x14ac:dyDescent="0.25">
      <c r="A174" s="3" t="s">
        <v>2199</v>
      </c>
      <c r="B174" s="6" t="s">
        <v>2556</v>
      </c>
      <c r="C174" s="3" t="s">
        <v>8378</v>
      </c>
      <c r="D174" s="3" t="s">
        <v>6897</v>
      </c>
      <c r="E174" s="3" t="s">
        <v>4935</v>
      </c>
    </row>
    <row r="175" spans="1:5" x14ac:dyDescent="0.25">
      <c r="A175" s="3" t="s">
        <v>2198</v>
      </c>
      <c r="B175" s="6" t="s">
        <v>2557</v>
      </c>
      <c r="C175" s="3" t="s">
        <v>8377</v>
      </c>
      <c r="D175" s="3" t="s">
        <v>6840</v>
      </c>
      <c r="E175" s="3" t="s">
        <v>4936</v>
      </c>
    </row>
    <row r="176" spans="1:5" x14ac:dyDescent="0.25">
      <c r="A176" s="3" t="s">
        <v>2197</v>
      </c>
      <c r="B176" s="6" t="s">
        <v>2558</v>
      </c>
      <c r="C176" s="3" t="s">
        <v>8378</v>
      </c>
      <c r="D176" s="3" t="s">
        <v>6898</v>
      </c>
      <c r="E176" s="3" t="s">
        <v>4937</v>
      </c>
    </row>
    <row r="177" spans="1:5" x14ac:dyDescent="0.25">
      <c r="A177" s="3" t="s">
        <v>2196</v>
      </c>
      <c r="B177" s="6" t="s">
        <v>2559</v>
      </c>
      <c r="C177" s="3" t="s">
        <v>8378</v>
      </c>
      <c r="D177" s="3" t="s">
        <v>6768</v>
      </c>
      <c r="E177" s="3" t="s">
        <v>4938</v>
      </c>
    </row>
    <row r="178" spans="1:5" x14ac:dyDescent="0.25">
      <c r="A178" s="3" t="s">
        <v>2195</v>
      </c>
      <c r="B178" s="6" t="s">
        <v>2560</v>
      </c>
      <c r="C178" s="3" t="s">
        <v>8377</v>
      </c>
      <c r="D178" s="3" t="s">
        <v>6899</v>
      </c>
      <c r="E178" s="3" t="s">
        <v>4939</v>
      </c>
    </row>
    <row r="179" spans="1:5" x14ac:dyDescent="0.25">
      <c r="A179" s="3" t="s">
        <v>2194</v>
      </c>
      <c r="B179" s="6" t="s">
        <v>2561</v>
      </c>
      <c r="C179" s="3" t="s">
        <v>8377</v>
      </c>
      <c r="D179" s="3" t="s">
        <v>6900</v>
      </c>
      <c r="E179" s="3" t="s">
        <v>4940</v>
      </c>
    </row>
    <row r="180" spans="1:5" x14ac:dyDescent="0.25">
      <c r="A180" s="3" t="s">
        <v>2193</v>
      </c>
      <c r="B180" s="6" t="s">
        <v>2562</v>
      </c>
      <c r="C180" s="3" t="s">
        <v>8377</v>
      </c>
      <c r="D180" s="3" t="s">
        <v>6901</v>
      </c>
      <c r="E180" s="3" t="s">
        <v>4941</v>
      </c>
    </row>
    <row r="181" spans="1:5" x14ac:dyDescent="0.25">
      <c r="A181" s="3" t="s">
        <v>2192</v>
      </c>
      <c r="B181" s="6" t="s">
        <v>2563</v>
      </c>
      <c r="C181" s="3" t="s">
        <v>8377</v>
      </c>
      <c r="D181" s="3" t="s">
        <v>6902</v>
      </c>
      <c r="E181" s="3" t="s">
        <v>4942</v>
      </c>
    </row>
    <row r="182" spans="1:5" x14ac:dyDescent="0.25">
      <c r="A182" s="3" t="s">
        <v>2191</v>
      </c>
      <c r="B182" s="6" t="s">
        <v>2564</v>
      </c>
      <c r="C182" s="3" t="s">
        <v>8377</v>
      </c>
      <c r="D182" s="3" t="s">
        <v>6903</v>
      </c>
      <c r="E182" s="3" t="s">
        <v>4943</v>
      </c>
    </row>
    <row r="183" spans="1:5" x14ac:dyDescent="0.25">
      <c r="A183" s="3" t="s">
        <v>2190</v>
      </c>
      <c r="B183" s="6" t="s">
        <v>2565</v>
      </c>
      <c r="C183" s="3" t="s">
        <v>8378</v>
      </c>
      <c r="D183" s="3" t="s">
        <v>6904</v>
      </c>
      <c r="E183" s="3" t="s">
        <v>4944</v>
      </c>
    </row>
    <row r="184" spans="1:5" x14ac:dyDescent="0.25">
      <c r="A184" s="3" t="s">
        <v>2189</v>
      </c>
      <c r="B184" s="6" t="s">
        <v>2566</v>
      </c>
      <c r="C184" s="3" t="s">
        <v>8378</v>
      </c>
      <c r="D184" s="3" t="s">
        <v>6905</v>
      </c>
      <c r="E184" s="3" t="s">
        <v>4945</v>
      </c>
    </row>
    <row r="185" spans="1:5" x14ac:dyDescent="0.25">
      <c r="A185" s="3" t="s">
        <v>2188</v>
      </c>
      <c r="B185" s="6" t="s">
        <v>2567</v>
      </c>
      <c r="C185" s="3" t="s">
        <v>8378</v>
      </c>
      <c r="D185" s="3" t="s">
        <v>6906</v>
      </c>
      <c r="E185" s="3" t="s">
        <v>4946</v>
      </c>
    </row>
    <row r="186" spans="1:5" x14ac:dyDescent="0.25">
      <c r="A186" s="3" t="s">
        <v>2187</v>
      </c>
      <c r="B186" s="6" t="s">
        <v>2568</v>
      </c>
      <c r="C186" s="3" t="s">
        <v>8378</v>
      </c>
      <c r="D186" s="3" t="s">
        <v>6907</v>
      </c>
      <c r="E186" s="3" t="s">
        <v>4947</v>
      </c>
    </row>
    <row r="187" spans="1:5" x14ac:dyDescent="0.25">
      <c r="A187" s="3" t="s">
        <v>2186</v>
      </c>
      <c r="B187" s="6" t="s">
        <v>2569</v>
      </c>
      <c r="C187" s="3" t="s">
        <v>8377</v>
      </c>
      <c r="D187" s="3" t="s">
        <v>6908</v>
      </c>
      <c r="E187" s="3" t="s">
        <v>4948</v>
      </c>
    </row>
    <row r="188" spans="1:5" x14ac:dyDescent="0.25">
      <c r="A188" s="3" t="s">
        <v>2185</v>
      </c>
      <c r="B188" s="6" t="s">
        <v>2570</v>
      </c>
      <c r="C188" s="3" t="s">
        <v>8378</v>
      </c>
      <c r="D188" s="3" t="s">
        <v>6909</v>
      </c>
      <c r="E188" s="3" t="s">
        <v>4949</v>
      </c>
    </row>
    <row r="189" spans="1:5" x14ac:dyDescent="0.25">
      <c r="A189" s="3" t="s">
        <v>2184</v>
      </c>
      <c r="B189" s="6" t="s">
        <v>2571</v>
      </c>
      <c r="C189" s="3" t="s">
        <v>8378</v>
      </c>
      <c r="D189" s="3" t="s">
        <v>6910</v>
      </c>
      <c r="E189" s="3" t="s">
        <v>4950</v>
      </c>
    </row>
    <row r="190" spans="1:5" x14ac:dyDescent="0.25">
      <c r="A190" s="3" t="s">
        <v>2183</v>
      </c>
      <c r="B190" s="6" t="s">
        <v>2572</v>
      </c>
      <c r="C190" s="3" t="s">
        <v>8377</v>
      </c>
      <c r="D190" s="3" t="s">
        <v>6911</v>
      </c>
      <c r="E190" s="3" t="s">
        <v>4951</v>
      </c>
    </row>
    <row r="191" spans="1:5" x14ac:dyDescent="0.25">
      <c r="A191" s="3" t="s">
        <v>2182</v>
      </c>
      <c r="B191" s="6" t="s">
        <v>2573</v>
      </c>
      <c r="C191" s="3" t="s">
        <v>8377</v>
      </c>
      <c r="D191" s="3" t="s">
        <v>6912</v>
      </c>
      <c r="E191" s="3" t="s">
        <v>4952</v>
      </c>
    </row>
    <row r="192" spans="1:5" x14ac:dyDescent="0.25">
      <c r="A192" s="3" t="s">
        <v>2181</v>
      </c>
      <c r="B192" s="6" t="s">
        <v>2574</v>
      </c>
      <c r="C192" s="3" t="s">
        <v>8378</v>
      </c>
      <c r="D192" s="3" t="s">
        <v>6913</v>
      </c>
      <c r="E192" s="3" t="s">
        <v>4953</v>
      </c>
    </row>
    <row r="193" spans="1:5" x14ac:dyDescent="0.25">
      <c r="A193" s="3" t="s">
        <v>2180</v>
      </c>
      <c r="B193" s="6" t="s">
        <v>2575</v>
      </c>
      <c r="C193" s="3" t="s">
        <v>8378</v>
      </c>
      <c r="D193" s="3" t="s">
        <v>6914</v>
      </c>
      <c r="E193" s="3" t="s">
        <v>4954</v>
      </c>
    </row>
    <row r="194" spans="1:5" x14ac:dyDescent="0.25">
      <c r="A194" s="3" t="s">
        <v>2179</v>
      </c>
      <c r="B194" s="6" t="s">
        <v>2576</v>
      </c>
      <c r="C194" s="3" t="s">
        <v>8377</v>
      </c>
      <c r="D194" s="3" t="s">
        <v>6915</v>
      </c>
      <c r="E194" s="3" t="s">
        <v>4955</v>
      </c>
    </row>
    <row r="195" spans="1:5" x14ac:dyDescent="0.25">
      <c r="A195" s="3" t="s">
        <v>2178</v>
      </c>
      <c r="B195" s="6" t="s">
        <v>2577</v>
      </c>
      <c r="C195" s="3" t="s">
        <v>8378</v>
      </c>
      <c r="D195" s="3" t="s">
        <v>6916</v>
      </c>
      <c r="E195" s="3" t="s">
        <v>4956</v>
      </c>
    </row>
    <row r="196" spans="1:5" x14ac:dyDescent="0.25">
      <c r="A196" s="3" t="s">
        <v>2177</v>
      </c>
      <c r="B196" s="6" t="s">
        <v>2578</v>
      </c>
      <c r="C196" s="3" t="s">
        <v>8378</v>
      </c>
      <c r="D196" s="3" t="s">
        <v>6917</v>
      </c>
      <c r="E196" s="3" t="s">
        <v>4957</v>
      </c>
    </row>
    <row r="197" spans="1:5" x14ac:dyDescent="0.25">
      <c r="A197" s="3" t="s">
        <v>2176</v>
      </c>
      <c r="B197" s="6" t="s">
        <v>2579</v>
      </c>
      <c r="C197" s="3" t="s">
        <v>8378</v>
      </c>
      <c r="D197" s="3" t="s">
        <v>6918</v>
      </c>
      <c r="E197" s="3" t="s">
        <v>4958</v>
      </c>
    </row>
    <row r="198" spans="1:5" x14ac:dyDescent="0.25">
      <c r="A198" s="3" t="s">
        <v>2175</v>
      </c>
      <c r="B198" s="6" t="s">
        <v>2580</v>
      </c>
      <c r="C198" s="3" t="s">
        <v>8378</v>
      </c>
      <c r="D198" s="3" t="s">
        <v>6919</v>
      </c>
      <c r="E198" s="3" t="s">
        <v>4959</v>
      </c>
    </row>
    <row r="199" spans="1:5" x14ac:dyDescent="0.25">
      <c r="A199" s="3" t="s">
        <v>2174</v>
      </c>
      <c r="B199" s="6" t="s">
        <v>2581</v>
      </c>
      <c r="C199" s="3" t="s">
        <v>8378</v>
      </c>
      <c r="D199" s="3" t="s">
        <v>6870</v>
      </c>
      <c r="E199" s="3" t="s">
        <v>4960</v>
      </c>
    </row>
    <row r="200" spans="1:5" x14ac:dyDescent="0.25">
      <c r="A200" s="3" t="s">
        <v>2173</v>
      </c>
      <c r="B200" s="6" t="s">
        <v>2582</v>
      </c>
      <c r="C200" s="3" t="s">
        <v>8377</v>
      </c>
      <c r="D200" s="3" t="s">
        <v>6920</v>
      </c>
      <c r="E200" s="3" t="s">
        <v>4961</v>
      </c>
    </row>
    <row r="201" spans="1:5" x14ac:dyDescent="0.25">
      <c r="A201" s="3" t="s">
        <v>2172</v>
      </c>
      <c r="B201" s="6" t="s">
        <v>2583</v>
      </c>
      <c r="C201" s="3" t="s">
        <v>8378</v>
      </c>
      <c r="D201" s="3" t="s">
        <v>6867</v>
      </c>
      <c r="E201" s="3" t="s">
        <v>4962</v>
      </c>
    </row>
    <row r="202" spans="1:5" x14ac:dyDescent="0.25">
      <c r="A202" s="3" t="s">
        <v>2171</v>
      </c>
      <c r="B202" s="6" t="s">
        <v>2584</v>
      </c>
      <c r="C202" s="3" t="s">
        <v>8378</v>
      </c>
      <c r="D202" s="3" t="s">
        <v>6921</v>
      </c>
      <c r="E202" s="3" t="s">
        <v>4963</v>
      </c>
    </row>
    <row r="203" spans="1:5" x14ac:dyDescent="0.25">
      <c r="A203" s="3" t="s">
        <v>2170</v>
      </c>
      <c r="B203" s="6" t="s">
        <v>2585</v>
      </c>
      <c r="C203" s="3" t="s">
        <v>8378</v>
      </c>
      <c r="D203" s="3" t="s">
        <v>6922</v>
      </c>
      <c r="E203" s="3" t="s">
        <v>4964</v>
      </c>
    </row>
    <row r="204" spans="1:5" x14ac:dyDescent="0.25">
      <c r="A204" s="3" t="s">
        <v>2169</v>
      </c>
      <c r="B204" s="6" t="s">
        <v>2586</v>
      </c>
      <c r="C204" s="3" t="s">
        <v>8378</v>
      </c>
      <c r="D204" s="3" t="s">
        <v>6923</v>
      </c>
      <c r="E204" s="3" t="s">
        <v>4965</v>
      </c>
    </row>
    <row r="205" spans="1:5" x14ac:dyDescent="0.25">
      <c r="A205" s="3" t="s">
        <v>2168</v>
      </c>
      <c r="B205" s="6" t="s">
        <v>2587</v>
      </c>
      <c r="C205" s="3" t="s">
        <v>8377</v>
      </c>
      <c r="D205" s="3" t="s">
        <v>6825</v>
      </c>
      <c r="E205" s="3" t="s">
        <v>4966</v>
      </c>
    </row>
    <row r="206" spans="1:5" x14ac:dyDescent="0.25">
      <c r="A206" s="3" t="s">
        <v>2167</v>
      </c>
      <c r="B206" s="6" t="s">
        <v>2588</v>
      </c>
      <c r="C206" s="3" t="s">
        <v>8378</v>
      </c>
      <c r="D206" s="3" t="s">
        <v>6924</v>
      </c>
      <c r="E206" s="3" t="s">
        <v>4967</v>
      </c>
    </row>
    <row r="207" spans="1:5" x14ac:dyDescent="0.25">
      <c r="A207" s="3" t="s">
        <v>2166</v>
      </c>
      <c r="B207" s="6" t="s">
        <v>2589</v>
      </c>
      <c r="C207" s="3" t="s">
        <v>8377</v>
      </c>
      <c r="D207" s="3" t="s">
        <v>6925</v>
      </c>
      <c r="E207" s="3" t="s">
        <v>4968</v>
      </c>
    </row>
    <row r="208" spans="1:5" x14ac:dyDescent="0.25">
      <c r="A208" s="3" t="s">
        <v>2165</v>
      </c>
      <c r="B208" s="6" t="s">
        <v>2590</v>
      </c>
      <c r="C208" s="3" t="s">
        <v>8377</v>
      </c>
      <c r="D208" s="3" t="s">
        <v>6926</v>
      </c>
      <c r="E208" s="3" t="s">
        <v>4969</v>
      </c>
    </row>
    <row r="209" spans="1:5" x14ac:dyDescent="0.25">
      <c r="A209" s="3" t="s">
        <v>2164</v>
      </c>
      <c r="B209" s="6" t="s">
        <v>2591</v>
      </c>
      <c r="C209" s="3" t="s">
        <v>8378</v>
      </c>
      <c r="D209" s="3" t="s">
        <v>6927</v>
      </c>
      <c r="E209" s="3" t="s">
        <v>4970</v>
      </c>
    </row>
    <row r="210" spans="1:5" x14ac:dyDescent="0.25">
      <c r="A210" s="3" t="s">
        <v>2163</v>
      </c>
      <c r="B210" s="6" t="s">
        <v>2592</v>
      </c>
      <c r="C210" s="3" t="s">
        <v>8377</v>
      </c>
      <c r="D210" s="3" t="s">
        <v>6928</v>
      </c>
      <c r="E210" s="3" t="s">
        <v>4971</v>
      </c>
    </row>
    <row r="211" spans="1:5" x14ac:dyDescent="0.25">
      <c r="A211" s="3" t="s">
        <v>2162</v>
      </c>
      <c r="B211" s="6" t="s">
        <v>2593</v>
      </c>
      <c r="C211" s="3" t="s">
        <v>8377</v>
      </c>
      <c r="D211" s="3" t="s">
        <v>6929</v>
      </c>
      <c r="E211" s="3" t="s">
        <v>4972</v>
      </c>
    </row>
    <row r="212" spans="1:5" x14ac:dyDescent="0.25">
      <c r="A212" s="3" t="s">
        <v>2161</v>
      </c>
      <c r="B212" s="6" t="s">
        <v>2594</v>
      </c>
      <c r="C212" s="3" t="s">
        <v>8378</v>
      </c>
      <c r="D212" s="3" t="s">
        <v>6930</v>
      </c>
      <c r="E212" s="3" t="s">
        <v>4973</v>
      </c>
    </row>
    <row r="213" spans="1:5" x14ac:dyDescent="0.25">
      <c r="A213" s="3" t="s">
        <v>2160</v>
      </c>
      <c r="B213" s="6" t="s">
        <v>2595</v>
      </c>
      <c r="C213" s="3" t="s">
        <v>8378</v>
      </c>
      <c r="D213" s="3" t="s">
        <v>6931</v>
      </c>
      <c r="E213" s="3" t="s">
        <v>4974</v>
      </c>
    </row>
    <row r="214" spans="1:5" x14ac:dyDescent="0.25">
      <c r="A214" s="3" t="s">
        <v>2159</v>
      </c>
      <c r="B214" s="6" t="s">
        <v>2596</v>
      </c>
      <c r="C214" s="3" t="s">
        <v>8378</v>
      </c>
      <c r="D214" s="3" t="s">
        <v>6932</v>
      </c>
      <c r="E214" s="3" t="s">
        <v>4975</v>
      </c>
    </row>
    <row r="215" spans="1:5" x14ac:dyDescent="0.25">
      <c r="A215" s="3" t="s">
        <v>2158</v>
      </c>
      <c r="B215" s="6" t="s">
        <v>2597</v>
      </c>
      <c r="C215" s="3" t="s">
        <v>8378</v>
      </c>
      <c r="D215" s="3" t="s">
        <v>4775</v>
      </c>
      <c r="E215" s="3" t="s">
        <v>4976</v>
      </c>
    </row>
    <row r="216" spans="1:5" x14ac:dyDescent="0.25">
      <c r="A216" s="3" t="s">
        <v>2157</v>
      </c>
      <c r="B216" s="6" t="s">
        <v>2598</v>
      </c>
      <c r="C216" s="3" t="s">
        <v>8377</v>
      </c>
      <c r="D216" s="3" t="s">
        <v>6831</v>
      </c>
      <c r="E216" s="3" t="s">
        <v>4977</v>
      </c>
    </row>
    <row r="217" spans="1:5" x14ac:dyDescent="0.25">
      <c r="A217" s="3" t="s">
        <v>2156</v>
      </c>
      <c r="B217" s="6" t="s">
        <v>2599</v>
      </c>
      <c r="C217" s="3" t="s">
        <v>8378</v>
      </c>
      <c r="D217" s="3" t="s">
        <v>6933</v>
      </c>
      <c r="E217" s="3" t="s">
        <v>4978</v>
      </c>
    </row>
    <row r="218" spans="1:5" x14ac:dyDescent="0.25">
      <c r="A218" s="3" t="s">
        <v>2155</v>
      </c>
      <c r="B218" s="6" t="s">
        <v>2600</v>
      </c>
      <c r="C218" s="3" t="s">
        <v>8378</v>
      </c>
      <c r="D218" s="3" t="s">
        <v>6796</v>
      </c>
      <c r="E218" s="3" t="s">
        <v>4979</v>
      </c>
    </row>
    <row r="219" spans="1:5" x14ac:dyDescent="0.25">
      <c r="A219" s="3" t="s">
        <v>2154</v>
      </c>
      <c r="B219" s="6" t="s">
        <v>2601</v>
      </c>
      <c r="C219" s="3" t="s">
        <v>8378</v>
      </c>
      <c r="D219" s="3" t="s">
        <v>6821</v>
      </c>
      <c r="E219" s="3" t="s">
        <v>4980</v>
      </c>
    </row>
    <row r="220" spans="1:5" x14ac:dyDescent="0.25">
      <c r="A220" s="3" t="s">
        <v>2153</v>
      </c>
      <c r="B220" s="6" t="s">
        <v>2602</v>
      </c>
      <c r="C220" s="3" t="s">
        <v>8378</v>
      </c>
      <c r="D220" s="3" t="s">
        <v>6934</v>
      </c>
      <c r="E220" s="3" t="s">
        <v>4981</v>
      </c>
    </row>
    <row r="221" spans="1:5" x14ac:dyDescent="0.25">
      <c r="A221" s="3" t="s">
        <v>2152</v>
      </c>
      <c r="B221" s="6" t="s">
        <v>2603</v>
      </c>
      <c r="C221" s="3" t="s">
        <v>8378</v>
      </c>
      <c r="D221" s="3" t="s">
        <v>6935</v>
      </c>
      <c r="E221" s="3" t="s">
        <v>4844</v>
      </c>
    </row>
    <row r="222" spans="1:5" x14ac:dyDescent="0.25">
      <c r="A222" s="3" t="s">
        <v>2151</v>
      </c>
      <c r="B222" s="6" t="s">
        <v>2604</v>
      </c>
      <c r="C222" s="3" t="s">
        <v>8377</v>
      </c>
      <c r="D222" s="3" t="s">
        <v>6936</v>
      </c>
      <c r="E222" s="3" t="s">
        <v>4982</v>
      </c>
    </row>
    <row r="223" spans="1:5" x14ac:dyDescent="0.25">
      <c r="A223" s="3" t="s">
        <v>2150</v>
      </c>
      <c r="B223" s="6" t="s">
        <v>2605</v>
      </c>
      <c r="C223" s="3" t="s">
        <v>8378</v>
      </c>
      <c r="D223" s="3" t="s">
        <v>6937</v>
      </c>
      <c r="E223" s="3" t="s">
        <v>4983</v>
      </c>
    </row>
    <row r="224" spans="1:5" x14ac:dyDescent="0.25">
      <c r="A224" s="3" t="s">
        <v>2149</v>
      </c>
      <c r="B224" s="6" t="s">
        <v>2606</v>
      </c>
      <c r="C224" s="3" t="s">
        <v>8378</v>
      </c>
      <c r="D224" s="3" t="s">
        <v>6938</v>
      </c>
      <c r="E224" s="3" t="s">
        <v>4984</v>
      </c>
    </row>
    <row r="225" spans="1:5" x14ac:dyDescent="0.25">
      <c r="A225" s="3" t="s">
        <v>2148</v>
      </c>
      <c r="B225" s="6" t="s">
        <v>2607</v>
      </c>
      <c r="C225" s="3" t="s">
        <v>8377</v>
      </c>
      <c r="D225" s="3" t="s">
        <v>6939</v>
      </c>
      <c r="E225" s="3" t="s">
        <v>4985</v>
      </c>
    </row>
    <row r="226" spans="1:5" x14ac:dyDescent="0.25">
      <c r="A226" s="3" t="s">
        <v>2147</v>
      </c>
      <c r="B226" s="6" t="s">
        <v>2608</v>
      </c>
      <c r="C226" s="3" t="s">
        <v>8377</v>
      </c>
      <c r="D226" s="3" t="s">
        <v>6818</v>
      </c>
      <c r="E226" s="3" t="s">
        <v>4986</v>
      </c>
    </row>
    <row r="227" spans="1:5" x14ac:dyDescent="0.25">
      <c r="A227" s="3" t="s">
        <v>2146</v>
      </c>
      <c r="B227" s="6" t="s">
        <v>2609</v>
      </c>
      <c r="C227" s="3" t="s">
        <v>8378</v>
      </c>
      <c r="D227" s="3" t="s">
        <v>6940</v>
      </c>
      <c r="E227" s="3" t="s">
        <v>4828</v>
      </c>
    </row>
    <row r="228" spans="1:5" x14ac:dyDescent="0.25">
      <c r="A228" s="3" t="s">
        <v>2145</v>
      </c>
      <c r="B228" s="6" t="s">
        <v>2610</v>
      </c>
      <c r="C228" s="3" t="s">
        <v>8377</v>
      </c>
      <c r="D228" s="3" t="s">
        <v>6941</v>
      </c>
      <c r="E228" s="3" t="s">
        <v>4987</v>
      </c>
    </row>
    <row r="229" spans="1:5" x14ac:dyDescent="0.25">
      <c r="A229" s="3" t="s">
        <v>2144</v>
      </c>
      <c r="B229" s="6" t="s">
        <v>2611</v>
      </c>
      <c r="C229" s="3" t="s">
        <v>8378</v>
      </c>
      <c r="D229" s="3" t="s">
        <v>6942</v>
      </c>
      <c r="E229" s="3" t="s">
        <v>4988</v>
      </c>
    </row>
    <row r="230" spans="1:5" x14ac:dyDescent="0.25">
      <c r="A230" s="3" t="s">
        <v>2143</v>
      </c>
      <c r="B230" s="6" t="s">
        <v>2612</v>
      </c>
      <c r="C230" s="3" t="s">
        <v>8377</v>
      </c>
      <c r="D230" s="3" t="s">
        <v>6943</v>
      </c>
      <c r="E230" s="3" t="s">
        <v>4989</v>
      </c>
    </row>
    <row r="231" spans="1:5" x14ac:dyDescent="0.25">
      <c r="A231" s="3" t="s">
        <v>2142</v>
      </c>
      <c r="B231" s="6" t="s">
        <v>2613</v>
      </c>
      <c r="C231" s="3" t="s">
        <v>8377</v>
      </c>
      <c r="D231" s="3" t="s">
        <v>6944</v>
      </c>
      <c r="E231" s="3" t="s">
        <v>4990</v>
      </c>
    </row>
    <row r="232" spans="1:5" x14ac:dyDescent="0.25">
      <c r="A232" s="3" t="s">
        <v>2141</v>
      </c>
      <c r="B232" s="6" t="s">
        <v>2614</v>
      </c>
      <c r="C232" s="3" t="s">
        <v>8378</v>
      </c>
      <c r="D232" s="3" t="s">
        <v>6291</v>
      </c>
      <c r="E232" s="3" t="s">
        <v>4991</v>
      </c>
    </row>
    <row r="233" spans="1:5" x14ac:dyDescent="0.25">
      <c r="A233" s="3" t="s">
        <v>2140</v>
      </c>
      <c r="B233" s="6" t="s">
        <v>2615</v>
      </c>
      <c r="C233" s="3" t="s">
        <v>8378</v>
      </c>
      <c r="D233" s="3" t="s">
        <v>6945</v>
      </c>
      <c r="E233" s="3" t="s">
        <v>4992</v>
      </c>
    </row>
    <row r="234" spans="1:5" x14ac:dyDescent="0.25">
      <c r="A234" s="3" t="s">
        <v>2139</v>
      </c>
      <c r="B234" s="6" t="s">
        <v>2616</v>
      </c>
      <c r="C234" s="3" t="s">
        <v>8378</v>
      </c>
      <c r="D234" s="3" t="s">
        <v>6946</v>
      </c>
      <c r="E234" s="3" t="s">
        <v>4993</v>
      </c>
    </row>
    <row r="235" spans="1:5" x14ac:dyDescent="0.25">
      <c r="A235" s="3" t="s">
        <v>2138</v>
      </c>
      <c r="B235" s="6" t="s">
        <v>2617</v>
      </c>
      <c r="C235" s="3" t="s">
        <v>8378</v>
      </c>
      <c r="D235" s="3" t="s">
        <v>6947</v>
      </c>
      <c r="E235" s="3" t="s">
        <v>4994</v>
      </c>
    </row>
    <row r="236" spans="1:5" x14ac:dyDescent="0.25">
      <c r="A236" s="3" t="s">
        <v>2137</v>
      </c>
      <c r="B236" s="6" t="s">
        <v>2618</v>
      </c>
      <c r="C236" s="3" t="s">
        <v>8378</v>
      </c>
      <c r="D236" s="3" t="s">
        <v>6942</v>
      </c>
      <c r="E236" s="3" t="s">
        <v>4897</v>
      </c>
    </row>
    <row r="237" spans="1:5" x14ac:dyDescent="0.25">
      <c r="A237" s="3" t="s">
        <v>2136</v>
      </c>
      <c r="B237" s="6" t="s">
        <v>2619</v>
      </c>
      <c r="C237" s="3" t="s">
        <v>8377</v>
      </c>
      <c r="D237" s="3" t="s">
        <v>6948</v>
      </c>
      <c r="E237" s="3" t="s">
        <v>4995</v>
      </c>
    </row>
    <row r="238" spans="1:5" x14ac:dyDescent="0.25">
      <c r="A238" s="3" t="s">
        <v>2135</v>
      </c>
      <c r="B238" s="6" t="s">
        <v>2620</v>
      </c>
      <c r="C238" s="3" t="s">
        <v>8378</v>
      </c>
      <c r="D238" s="3" t="s">
        <v>6949</v>
      </c>
      <c r="E238" s="3" t="s">
        <v>4996</v>
      </c>
    </row>
    <row r="239" spans="1:5" x14ac:dyDescent="0.25">
      <c r="A239" s="3" t="s">
        <v>2134</v>
      </c>
      <c r="B239" s="6" t="s">
        <v>2621</v>
      </c>
      <c r="C239" s="3" t="s">
        <v>8378</v>
      </c>
      <c r="D239" s="3" t="s">
        <v>6950</v>
      </c>
      <c r="E239" s="3" t="s">
        <v>4997</v>
      </c>
    </row>
    <row r="240" spans="1:5" x14ac:dyDescent="0.25">
      <c r="A240" s="3" t="s">
        <v>2133</v>
      </c>
      <c r="B240" s="6" t="s">
        <v>2622</v>
      </c>
      <c r="C240" s="3" t="s">
        <v>8377</v>
      </c>
      <c r="D240" s="3" t="s">
        <v>6951</v>
      </c>
      <c r="E240" s="3" t="s">
        <v>4998</v>
      </c>
    </row>
    <row r="241" spans="1:5" x14ac:dyDescent="0.25">
      <c r="A241" s="3" t="s">
        <v>2132</v>
      </c>
      <c r="B241" s="6" t="s">
        <v>2623</v>
      </c>
      <c r="C241" s="3" t="s">
        <v>8377</v>
      </c>
      <c r="D241" s="3" t="s">
        <v>6952</v>
      </c>
      <c r="E241" s="3" t="s">
        <v>4999</v>
      </c>
    </row>
    <row r="242" spans="1:5" x14ac:dyDescent="0.25">
      <c r="A242" s="3" t="s">
        <v>2131</v>
      </c>
      <c r="B242" s="6" t="s">
        <v>2624</v>
      </c>
      <c r="C242" s="3" t="s">
        <v>8378</v>
      </c>
      <c r="D242" s="3" t="s">
        <v>6953</v>
      </c>
      <c r="E242" s="3" t="s">
        <v>5000</v>
      </c>
    </row>
    <row r="243" spans="1:5" x14ac:dyDescent="0.25">
      <c r="A243" s="3" t="s">
        <v>2129</v>
      </c>
      <c r="B243" s="6" t="s">
        <v>2625</v>
      </c>
      <c r="C243" s="3" t="s">
        <v>8378</v>
      </c>
      <c r="D243" s="3" t="s">
        <v>6069</v>
      </c>
      <c r="E243" s="3" t="s">
        <v>5001</v>
      </c>
    </row>
    <row r="244" spans="1:5" x14ac:dyDescent="0.25">
      <c r="A244" s="3" t="s">
        <v>2128</v>
      </c>
      <c r="B244" s="6" t="s">
        <v>2626</v>
      </c>
      <c r="C244" s="3" t="s">
        <v>8378</v>
      </c>
      <c r="D244" s="3" t="s">
        <v>6954</v>
      </c>
      <c r="E244" s="3" t="s">
        <v>5002</v>
      </c>
    </row>
    <row r="245" spans="1:5" x14ac:dyDescent="0.25">
      <c r="A245" s="3" t="s">
        <v>2127</v>
      </c>
      <c r="B245" s="6" t="s">
        <v>2627</v>
      </c>
      <c r="C245" s="3" t="s">
        <v>8378</v>
      </c>
      <c r="D245" s="3" t="s">
        <v>6955</v>
      </c>
      <c r="E245" s="3" t="s">
        <v>5003</v>
      </c>
    </row>
    <row r="246" spans="1:5" x14ac:dyDescent="0.25">
      <c r="A246" s="3" t="s">
        <v>2126</v>
      </c>
      <c r="B246" s="6" t="s">
        <v>2628</v>
      </c>
      <c r="C246" s="3" t="s">
        <v>8378</v>
      </c>
      <c r="D246" s="3" t="s">
        <v>6956</v>
      </c>
      <c r="E246" s="3" t="s">
        <v>5004</v>
      </c>
    </row>
    <row r="247" spans="1:5" x14ac:dyDescent="0.25">
      <c r="A247" s="3" t="s">
        <v>2125</v>
      </c>
      <c r="B247" s="6" t="s">
        <v>2629</v>
      </c>
      <c r="C247" s="3" t="s">
        <v>8378</v>
      </c>
      <c r="D247" s="3" t="s">
        <v>6957</v>
      </c>
      <c r="E247" s="3" t="s">
        <v>5005</v>
      </c>
    </row>
    <row r="248" spans="1:5" x14ac:dyDescent="0.25">
      <c r="A248" s="3" t="s">
        <v>2124</v>
      </c>
      <c r="B248" s="6" t="s">
        <v>2630</v>
      </c>
      <c r="C248" s="3" t="s">
        <v>8377</v>
      </c>
      <c r="D248" s="3" t="s">
        <v>6958</v>
      </c>
      <c r="E248" s="3" t="s">
        <v>5006</v>
      </c>
    </row>
    <row r="249" spans="1:5" x14ac:dyDescent="0.25">
      <c r="A249" s="3" t="s">
        <v>2123</v>
      </c>
      <c r="B249" s="6" t="s">
        <v>2631</v>
      </c>
      <c r="C249" s="3" t="s">
        <v>8377</v>
      </c>
      <c r="D249" s="3" t="s">
        <v>6959</v>
      </c>
      <c r="E249" s="3" t="s">
        <v>5007</v>
      </c>
    </row>
    <row r="250" spans="1:5" x14ac:dyDescent="0.25">
      <c r="A250" s="3" t="s">
        <v>2122</v>
      </c>
      <c r="B250" s="6" t="s">
        <v>2632</v>
      </c>
      <c r="C250" s="3" t="s">
        <v>8377</v>
      </c>
      <c r="D250" s="3" t="s">
        <v>5057</v>
      </c>
      <c r="E250" s="3" t="s">
        <v>5008</v>
      </c>
    </row>
    <row r="251" spans="1:5" x14ac:dyDescent="0.25">
      <c r="A251" s="3" t="s">
        <v>2121</v>
      </c>
      <c r="B251" s="6" t="s">
        <v>2633</v>
      </c>
      <c r="C251" s="3" t="s">
        <v>8377</v>
      </c>
      <c r="D251" s="3" t="s">
        <v>6960</v>
      </c>
      <c r="E251" s="3" t="s">
        <v>5009</v>
      </c>
    </row>
    <row r="252" spans="1:5" x14ac:dyDescent="0.25">
      <c r="A252" s="3" t="s">
        <v>2120</v>
      </c>
      <c r="B252" s="6" t="s">
        <v>2634</v>
      </c>
      <c r="C252" s="3" t="s">
        <v>8377</v>
      </c>
      <c r="D252" s="3" t="s">
        <v>6961</v>
      </c>
      <c r="E252" s="3" t="s">
        <v>5010</v>
      </c>
    </row>
    <row r="253" spans="1:5" x14ac:dyDescent="0.25">
      <c r="A253" s="3" t="s">
        <v>2119</v>
      </c>
      <c r="B253" s="6" t="s">
        <v>2635</v>
      </c>
      <c r="C253" s="3" t="s">
        <v>8377</v>
      </c>
      <c r="D253" s="3" t="s">
        <v>4765</v>
      </c>
      <c r="E253" s="3" t="s">
        <v>5011</v>
      </c>
    </row>
    <row r="254" spans="1:5" x14ac:dyDescent="0.25">
      <c r="A254" s="3" t="s">
        <v>2118</v>
      </c>
      <c r="B254" s="6" t="s">
        <v>2636</v>
      </c>
      <c r="C254" s="3" t="s">
        <v>8377</v>
      </c>
      <c r="D254" s="3" t="s">
        <v>6962</v>
      </c>
      <c r="E254" s="3" t="s">
        <v>5012</v>
      </c>
    </row>
    <row r="255" spans="1:5" x14ac:dyDescent="0.25">
      <c r="A255" s="3" t="s">
        <v>2117</v>
      </c>
      <c r="B255" s="6" t="s">
        <v>2637</v>
      </c>
      <c r="C255" s="3" t="s">
        <v>8378</v>
      </c>
      <c r="D255" s="3" t="s">
        <v>6796</v>
      </c>
      <c r="E255" s="3" t="s">
        <v>5013</v>
      </c>
    </row>
    <row r="256" spans="1:5" x14ac:dyDescent="0.25">
      <c r="A256" s="3" t="s">
        <v>2116</v>
      </c>
      <c r="B256" s="6" t="s">
        <v>2638</v>
      </c>
      <c r="C256" s="3" t="s">
        <v>8378</v>
      </c>
      <c r="D256" s="3" t="s">
        <v>6963</v>
      </c>
      <c r="E256" s="3" t="s">
        <v>5014</v>
      </c>
    </row>
    <row r="257" spans="1:5" x14ac:dyDescent="0.25">
      <c r="A257" s="3" t="s">
        <v>2115</v>
      </c>
      <c r="B257" s="6" t="s">
        <v>2639</v>
      </c>
      <c r="C257" s="3" t="s">
        <v>8378</v>
      </c>
      <c r="D257" s="3" t="s">
        <v>6964</v>
      </c>
      <c r="E257" s="3" t="s">
        <v>5015</v>
      </c>
    </row>
    <row r="258" spans="1:5" x14ac:dyDescent="0.25">
      <c r="A258" s="3" t="s">
        <v>2114</v>
      </c>
      <c r="B258" s="6" t="s">
        <v>2640</v>
      </c>
      <c r="C258" s="3" t="s">
        <v>8378</v>
      </c>
      <c r="D258" s="3" t="s">
        <v>6965</v>
      </c>
      <c r="E258" s="3" t="s">
        <v>5016</v>
      </c>
    </row>
    <row r="259" spans="1:5" x14ac:dyDescent="0.25">
      <c r="A259" s="3" t="s">
        <v>2113</v>
      </c>
      <c r="B259" s="6" t="s">
        <v>2641</v>
      </c>
      <c r="C259" s="3" t="s">
        <v>8378</v>
      </c>
      <c r="D259" s="3" t="s">
        <v>6966</v>
      </c>
      <c r="E259" s="3" t="s">
        <v>5017</v>
      </c>
    </row>
    <row r="260" spans="1:5" x14ac:dyDescent="0.25">
      <c r="A260" s="3" t="s">
        <v>2112</v>
      </c>
      <c r="B260" s="6" t="s">
        <v>2642</v>
      </c>
      <c r="C260" s="3" t="s">
        <v>8378</v>
      </c>
      <c r="D260" s="3" t="s">
        <v>6967</v>
      </c>
      <c r="E260" s="3" t="s">
        <v>5018</v>
      </c>
    </row>
    <row r="261" spans="1:5" x14ac:dyDescent="0.25">
      <c r="A261" s="3" t="s">
        <v>2111</v>
      </c>
      <c r="B261" s="6" t="s">
        <v>2643</v>
      </c>
      <c r="C261" s="3" t="s">
        <v>8377</v>
      </c>
      <c r="D261" s="3" t="s">
        <v>6968</v>
      </c>
      <c r="E261" s="3" t="s">
        <v>5019</v>
      </c>
    </row>
    <row r="262" spans="1:5" x14ac:dyDescent="0.25">
      <c r="A262" s="3" t="s">
        <v>2110</v>
      </c>
      <c r="B262" s="6" t="s">
        <v>2644</v>
      </c>
      <c r="C262" s="3" t="s">
        <v>8378</v>
      </c>
      <c r="D262" s="3" t="s">
        <v>6969</v>
      </c>
      <c r="E262" s="3" t="s">
        <v>5020</v>
      </c>
    </row>
    <row r="263" spans="1:5" x14ac:dyDescent="0.25">
      <c r="A263" s="3" t="s">
        <v>2109</v>
      </c>
      <c r="B263" s="6" t="s">
        <v>2645</v>
      </c>
      <c r="C263" s="3" t="s">
        <v>8377</v>
      </c>
      <c r="D263" s="3" t="s">
        <v>6970</v>
      </c>
      <c r="E263" s="3" t="s">
        <v>5021</v>
      </c>
    </row>
    <row r="264" spans="1:5" x14ac:dyDescent="0.25">
      <c r="A264" s="3" t="s">
        <v>2108</v>
      </c>
      <c r="B264" s="6" t="s">
        <v>2646</v>
      </c>
      <c r="C264" s="3" t="s">
        <v>8378</v>
      </c>
      <c r="D264" s="3" t="s">
        <v>6971</v>
      </c>
      <c r="E264" s="3" t="s">
        <v>5022</v>
      </c>
    </row>
    <row r="265" spans="1:5" x14ac:dyDescent="0.25">
      <c r="A265" s="3" t="s">
        <v>2107</v>
      </c>
      <c r="B265" s="6" t="s">
        <v>2647</v>
      </c>
      <c r="C265" s="3" t="s">
        <v>8377</v>
      </c>
      <c r="D265" s="3" t="s">
        <v>6972</v>
      </c>
      <c r="E265" s="3" t="s">
        <v>5023</v>
      </c>
    </row>
    <row r="266" spans="1:5" x14ac:dyDescent="0.25">
      <c r="A266" s="3" t="s">
        <v>2106</v>
      </c>
      <c r="B266" s="6" t="s">
        <v>2648</v>
      </c>
      <c r="C266" s="3" t="s">
        <v>8377</v>
      </c>
      <c r="D266" s="3" t="s">
        <v>6973</v>
      </c>
      <c r="E266" s="3" t="s">
        <v>5024</v>
      </c>
    </row>
    <row r="267" spans="1:5" x14ac:dyDescent="0.25">
      <c r="A267" s="3" t="s">
        <v>2105</v>
      </c>
      <c r="B267" s="6" t="s">
        <v>2649</v>
      </c>
      <c r="C267" s="3" t="s">
        <v>8378</v>
      </c>
      <c r="D267" s="3" t="s">
        <v>6938</v>
      </c>
      <c r="E267" s="3" t="s">
        <v>5025</v>
      </c>
    </row>
    <row r="268" spans="1:5" x14ac:dyDescent="0.25">
      <c r="A268" s="3" t="s">
        <v>2104</v>
      </c>
      <c r="B268" s="6" t="s">
        <v>2650</v>
      </c>
      <c r="C268" s="3" t="s">
        <v>8377</v>
      </c>
      <c r="D268" s="3" t="s">
        <v>6974</v>
      </c>
      <c r="E268" s="3" t="s">
        <v>5026</v>
      </c>
    </row>
    <row r="269" spans="1:5" x14ac:dyDescent="0.25">
      <c r="A269" s="3" t="s">
        <v>2103</v>
      </c>
      <c r="B269" s="6" t="s">
        <v>2651</v>
      </c>
      <c r="C269" s="3" t="s">
        <v>8377</v>
      </c>
      <c r="D269" s="3" t="s">
        <v>6975</v>
      </c>
      <c r="E269" s="3" t="s">
        <v>4952</v>
      </c>
    </row>
    <row r="270" spans="1:5" x14ac:dyDescent="0.25">
      <c r="A270" s="3" t="s">
        <v>2102</v>
      </c>
      <c r="B270" s="6" t="s">
        <v>2652</v>
      </c>
      <c r="C270" s="3" t="s">
        <v>8378</v>
      </c>
      <c r="D270" s="3" t="s">
        <v>6774</v>
      </c>
      <c r="E270" s="3" t="s">
        <v>5027</v>
      </c>
    </row>
    <row r="271" spans="1:5" x14ac:dyDescent="0.25">
      <c r="A271" s="3" t="s">
        <v>2101</v>
      </c>
      <c r="B271" s="6" t="s">
        <v>2653</v>
      </c>
      <c r="C271" s="3" t="s">
        <v>8378</v>
      </c>
      <c r="D271" s="3" t="s">
        <v>6976</v>
      </c>
      <c r="E271" s="3" t="s">
        <v>5028</v>
      </c>
    </row>
    <row r="272" spans="1:5" x14ac:dyDescent="0.25">
      <c r="A272" s="3" t="s">
        <v>2100</v>
      </c>
      <c r="B272" s="6" t="s">
        <v>2654</v>
      </c>
      <c r="C272" s="3" t="s">
        <v>8378</v>
      </c>
      <c r="D272" s="3" t="s">
        <v>6977</v>
      </c>
      <c r="E272" s="3" t="s">
        <v>5029</v>
      </c>
    </row>
    <row r="273" spans="1:5" x14ac:dyDescent="0.25">
      <c r="A273" s="3" t="s">
        <v>2099</v>
      </c>
      <c r="B273" s="6" t="s">
        <v>2655</v>
      </c>
      <c r="C273" s="3" t="s">
        <v>8378</v>
      </c>
      <c r="D273" s="3" t="s">
        <v>4770</v>
      </c>
      <c r="E273" s="3" t="s">
        <v>5030</v>
      </c>
    </row>
    <row r="274" spans="1:5" x14ac:dyDescent="0.25">
      <c r="A274" s="3" t="s">
        <v>2098</v>
      </c>
      <c r="B274" s="6" t="s">
        <v>2656</v>
      </c>
      <c r="C274" s="3" t="s">
        <v>8378</v>
      </c>
      <c r="D274" s="3" t="s">
        <v>6978</v>
      </c>
      <c r="E274" s="3" t="s">
        <v>5031</v>
      </c>
    </row>
    <row r="275" spans="1:5" x14ac:dyDescent="0.25">
      <c r="A275" s="3" t="s">
        <v>2097</v>
      </c>
      <c r="B275" s="6" t="s">
        <v>2657</v>
      </c>
      <c r="C275" s="3" t="s">
        <v>8378</v>
      </c>
      <c r="D275" s="3" t="s">
        <v>6979</v>
      </c>
      <c r="E275" s="3" t="s">
        <v>5032</v>
      </c>
    </row>
    <row r="276" spans="1:5" x14ac:dyDescent="0.25">
      <c r="A276" s="3" t="s">
        <v>2096</v>
      </c>
      <c r="B276" s="6" t="s">
        <v>2658</v>
      </c>
      <c r="C276" s="3" t="s">
        <v>8378</v>
      </c>
      <c r="D276" s="3" t="s">
        <v>6980</v>
      </c>
      <c r="E276" s="3" t="s">
        <v>5033</v>
      </c>
    </row>
    <row r="277" spans="1:5" x14ac:dyDescent="0.25">
      <c r="A277" s="3" t="s">
        <v>2095</v>
      </c>
      <c r="B277" s="6" t="s">
        <v>2659</v>
      </c>
      <c r="C277" s="3" t="s">
        <v>8378</v>
      </c>
      <c r="D277" s="3" t="s">
        <v>6924</v>
      </c>
      <c r="E277" s="3" t="s">
        <v>5034</v>
      </c>
    </row>
    <row r="278" spans="1:5" x14ac:dyDescent="0.25">
      <c r="A278" s="3" t="s">
        <v>2094</v>
      </c>
      <c r="B278" s="6" t="s">
        <v>2660</v>
      </c>
      <c r="C278" s="3" t="s">
        <v>8378</v>
      </c>
      <c r="D278" s="3" t="s">
        <v>6981</v>
      </c>
      <c r="E278" s="3" t="s">
        <v>5035</v>
      </c>
    </row>
    <row r="279" spans="1:5" x14ac:dyDescent="0.25">
      <c r="A279" s="3" t="s">
        <v>2093</v>
      </c>
      <c r="B279" s="6" t="s">
        <v>2661</v>
      </c>
      <c r="C279" s="3" t="s">
        <v>8378</v>
      </c>
      <c r="D279" s="3" t="s">
        <v>6982</v>
      </c>
      <c r="E279" s="3" t="s">
        <v>5036</v>
      </c>
    </row>
    <row r="280" spans="1:5" x14ac:dyDescent="0.25">
      <c r="A280" s="3" t="s">
        <v>2092</v>
      </c>
      <c r="B280" s="6" t="s">
        <v>2662</v>
      </c>
      <c r="C280" s="3" t="s">
        <v>8377</v>
      </c>
      <c r="D280" s="3" t="s">
        <v>6983</v>
      </c>
      <c r="E280" s="3" t="s">
        <v>4943</v>
      </c>
    </row>
    <row r="281" spans="1:5" x14ac:dyDescent="0.25">
      <c r="A281" s="3" t="s">
        <v>2091</v>
      </c>
      <c r="B281" s="6" t="s">
        <v>2663</v>
      </c>
      <c r="C281" s="3" t="s">
        <v>8378</v>
      </c>
      <c r="D281" s="3" t="s">
        <v>6984</v>
      </c>
      <c r="E281" s="3" t="s">
        <v>5037</v>
      </c>
    </row>
    <row r="282" spans="1:5" x14ac:dyDescent="0.25">
      <c r="A282" s="3" t="s">
        <v>2090</v>
      </c>
      <c r="B282" s="6" t="s">
        <v>2664</v>
      </c>
      <c r="C282" s="3" t="s">
        <v>8377</v>
      </c>
      <c r="D282" s="3" t="s">
        <v>6985</v>
      </c>
      <c r="E282" s="3" t="s">
        <v>5038</v>
      </c>
    </row>
    <row r="283" spans="1:5" x14ac:dyDescent="0.25">
      <c r="A283" s="3" t="s">
        <v>2089</v>
      </c>
      <c r="B283" s="6" t="s">
        <v>2665</v>
      </c>
      <c r="C283" s="3" t="s">
        <v>8378</v>
      </c>
      <c r="D283" s="3" t="s">
        <v>6986</v>
      </c>
      <c r="E283" s="3" t="s">
        <v>4857</v>
      </c>
    </row>
    <row r="284" spans="1:5" x14ac:dyDescent="0.25">
      <c r="A284" s="3" t="s">
        <v>2088</v>
      </c>
      <c r="B284" s="6" t="s">
        <v>2666</v>
      </c>
      <c r="C284" s="3" t="s">
        <v>8378</v>
      </c>
      <c r="D284" s="3" t="s">
        <v>6987</v>
      </c>
      <c r="E284" s="3" t="s">
        <v>5039</v>
      </c>
    </row>
    <row r="285" spans="1:5" x14ac:dyDescent="0.25">
      <c r="A285" s="3" t="s">
        <v>2087</v>
      </c>
      <c r="B285" s="6" t="s">
        <v>2667</v>
      </c>
      <c r="C285" s="3" t="s">
        <v>8378</v>
      </c>
      <c r="D285" s="3" t="s">
        <v>6988</v>
      </c>
      <c r="E285" s="3" t="s">
        <v>5040</v>
      </c>
    </row>
    <row r="286" spans="1:5" x14ac:dyDescent="0.25">
      <c r="A286" s="3" t="s">
        <v>2086</v>
      </c>
      <c r="B286" s="6" t="s">
        <v>2668</v>
      </c>
      <c r="C286" s="3" t="s">
        <v>8378</v>
      </c>
      <c r="D286" s="3" t="s">
        <v>6989</v>
      </c>
      <c r="E286" s="3" t="s">
        <v>5041</v>
      </c>
    </row>
    <row r="287" spans="1:5" x14ac:dyDescent="0.25">
      <c r="A287" s="3" t="s">
        <v>2085</v>
      </c>
      <c r="B287" s="6" t="s">
        <v>2669</v>
      </c>
      <c r="C287" s="3" t="s">
        <v>8377</v>
      </c>
      <c r="D287" s="3" t="s">
        <v>4771</v>
      </c>
      <c r="E287" s="3" t="s">
        <v>5042</v>
      </c>
    </row>
    <row r="288" spans="1:5" x14ac:dyDescent="0.25">
      <c r="A288" s="3" t="s">
        <v>2084</v>
      </c>
      <c r="B288" s="6" t="s">
        <v>2670</v>
      </c>
      <c r="C288" s="3" t="s">
        <v>8377</v>
      </c>
      <c r="D288" s="3" t="s">
        <v>6990</v>
      </c>
      <c r="E288" s="3" t="s">
        <v>5043</v>
      </c>
    </row>
    <row r="289" spans="1:5" x14ac:dyDescent="0.25">
      <c r="A289" s="3" t="s">
        <v>2083</v>
      </c>
      <c r="B289" s="6" t="s">
        <v>2671</v>
      </c>
      <c r="C289" s="3" t="s">
        <v>8378</v>
      </c>
      <c r="D289" s="3" t="s">
        <v>6924</v>
      </c>
      <c r="E289" s="3" t="s">
        <v>5044</v>
      </c>
    </row>
    <row r="290" spans="1:5" x14ac:dyDescent="0.25">
      <c r="A290" s="3" t="s">
        <v>2082</v>
      </c>
      <c r="B290" s="6" t="s">
        <v>2672</v>
      </c>
      <c r="C290" s="3" t="s">
        <v>8378</v>
      </c>
      <c r="D290" s="3" t="s">
        <v>4833</v>
      </c>
      <c r="E290" s="3" t="s">
        <v>5045</v>
      </c>
    </row>
    <row r="291" spans="1:5" x14ac:dyDescent="0.25">
      <c r="A291" s="3" t="s">
        <v>2081</v>
      </c>
      <c r="B291" s="6" t="s">
        <v>2673</v>
      </c>
      <c r="C291" s="3" t="s">
        <v>8378</v>
      </c>
      <c r="D291" s="3" t="s">
        <v>6940</v>
      </c>
      <c r="E291" s="3" t="s">
        <v>5046</v>
      </c>
    </row>
    <row r="292" spans="1:5" x14ac:dyDescent="0.25">
      <c r="A292" s="3" t="s">
        <v>2080</v>
      </c>
      <c r="B292" s="6" t="s">
        <v>2674</v>
      </c>
      <c r="C292" s="3" t="s">
        <v>8378</v>
      </c>
      <c r="D292" s="3" t="s">
        <v>6991</v>
      </c>
      <c r="E292" s="3" t="s">
        <v>5047</v>
      </c>
    </row>
    <row r="293" spans="1:5" x14ac:dyDescent="0.25">
      <c r="A293" s="3" t="s">
        <v>2079</v>
      </c>
      <c r="B293" s="6" t="s">
        <v>2675</v>
      </c>
      <c r="C293" s="3" t="s">
        <v>8378</v>
      </c>
      <c r="D293" s="3" t="s">
        <v>6992</v>
      </c>
      <c r="E293" s="3" t="s">
        <v>5048</v>
      </c>
    </row>
    <row r="294" spans="1:5" x14ac:dyDescent="0.25">
      <c r="A294" s="3" t="s">
        <v>2078</v>
      </c>
      <c r="B294" s="6" t="s">
        <v>2676</v>
      </c>
      <c r="C294" s="3" t="s">
        <v>8378</v>
      </c>
      <c r="D294" s="3" t="s">
        <v>6993</v>
      </c>
      <c r="E294" s="3" t="s">
        <v>5049</v>
      </c>
    </row>
    <row r="295" spans="1:5" x14ac:dyDescent="0.25">
      <c r="A295" s="3" t="s">
        <v>2077</v>
      </c>
      <c r="B295" s="6" t="s">
        <v>2677</v>
      </c>
      <c r="C295" s="3" t="s">
        <v>8377</v>
      </c>
      <c r="D295" s="3" t="s">
        <v>6994</v>
      </c>
      <c r="E295" s="3" t="s">
        <v>5050</v>
      </c>
    </row>
    <row r="296" spans="1:5" x14ac:dyDescent="0.25">
      <c r="A296" s="3" t="s">
        <v>2076</v>
      </c>
      <c r="B296" s="6" t="s">
        <v>2678</v>
      </c>
      <c r="C296" s="3" t="s">
        <v>8378</v>
      </c>
      <c r="D296" s="3" t="s">
        <v>6995</v>
      </c>
      <c r="E296" s="3" t="s">
        <v>5051</v>
      </c>
    </row>
    <row r="297" spans="1:5" x14ac:dyDescent="0.25">
      <c r="A297" s="3" t="s">
        <v>2075</v>
      </c>
      <c r="B297" s="6" t="s">
        <v>2679</v>
      </c>
      <c r="C297" s="3" t="s">
        <v>8378</v>
      </c>
      <c r="D297" s="3" t="s">
        <v>6996</v>
      </c>
      <c r="E297" s="3" t="s">
        <v>5052</v>
      </c>
    </row>
    <row r="298" spans="1:5" x14ac:dyDescent="0.25">
      <c r="A298" s="3" t="s">
        <v>2074</v>
      </c>
      <c r="B298" s="6" t="s">
        <v>2680</v>
      </c>
      <c r="C298" s="3" t="s">
        <v>8378</v>
      </c>
      <c r="D298" s="3" t="s">
        <v>6997</v>
      </c>
      <c r="E298" s="3" t="s">
        <v>5053</v>
      </c>
    </row>
    <row r="299" spans="1:5" x14ac:dyDescent="0.25">
      <c r="A299" s="3" t="s">
        <v>2073</v>
      </c>
      <c r="B299" s="6" t="s">
        <v>2681</v>
      </c>
      <c r="C299" s="3" t="s">
        <v>8377</v>
      </c>
      <c r="D299" s="3" t="s">
        <v>6998</v>
      </c>
      <c r="E299" s="3" t="s">
        <v>5054</v>
      </c>
    </row>
    <row r="300" spans="1:5" x14ac:dyDescent="0.25">
      <c r="A300" s="3" t="s">
        <v>2072</v>
      </c>
      <c r="B300" s="6" t="s">
        <v>2682</v>
      </c>
      <c r="C300" s="3" t="s">
        <v>8378</v>
      </c>
      <c r="D300" s="3" t="s">
        <v>6999</v>
      </c>
      <c r="E300" s="3" t="s">
        <v>5055</v>
      </c>
    </row>
    <row r="301" spans="1:5" x14ac:dyDescent="0.25">
      <c r="A301" s="3" t="s">
        <v>2071</v>
      </c>
      <c r="B301" s="6" t="s">
        <v>2683</v>
      </c>
      <c r="C301" s="3" t="s">
        <v>8377</v>
      </c>
      <c r="D301" s="3" t="s">
        <v>7000</v>
      </c>
      <c r="E301" s="3" t="s">
        <v>5056</v>
      </c>
    </row>
    <row r="302" spans="1:5" x14ac:dyDescent="0.25">
      <c r="A302" s="3" t="s">
        <v>2070</v>
      </c>
      <c r="B302" s="6" t="s">
        <v>2684</v>
      </c>
      <c r="C302" s="3" t="s">
        <v>8378</v>
      </c>
      <c r="D302" s="3" t="s">
        <v>6683</v>
      </c>
      <c r="E302" s="3" t="s">
        <v>5002</v>
      </c>
    </row>
    <row r="303" spans="1:5" x14ac:dyDescent="0.25">
      <c r="A303" s="3" t="s">
        <v>2069</v>
      </c>
      <c r="B303" s="6" t="s">
        <v>2685</v>
      </c>
      <c r="C303" s="3" t="s">
        <v>8377</v>
      </c>
      <c r="D303" s="3" t="s">
        <v>6820</v>
      </c>
      <c r="E303" s="3" t="s">
        <v>5057</v>
      </c>
    </row>
    <row r="304" spans="1:5" x14ac:dyDescent="0.25">
      <c r="A304" s="3" t="s">
        <v>2068</v>
      </c>
      <c r="B304" s="6" t="s">
        <v>2686</v>
      </c>
      <c r="C304" s="3" t="s">
        <v>8378</v>
      </c>
      <c r="D304" s="3" t="s">
        <v>7001</v>
      </c>
      <c r="E304" s="3" t="s">
        <v>5058</v>
      </c>
    </row>
    <row r="305" spans="1:5" x14ac:dyDescent="0.25">
      <c r="A305" s="3" t="s">
        <v>2067</v>
      </c>
      <c r="B305" s="6" t="s">
        <v>2687</v>
      </c>
      <c r="C305" s="3" t="s">
        <v>8377</v>
      </c>
      <c r="D305" s="3" t="s">
        <v>7002</v>
      </c>
      <c r="E305" s="3" t="s">
        <v>5059</v>
      </c>
    </row>
    <row r="306" spans="1:5" x14ac:dyDescent="0.25">
      <c r="A306" s="3" t="s">
        <v>2066</v>
      </c>
      <c r="B306" s="6" t="s">
        <v>2688</v>
      </c>
      <c r="C306" s="3" t="s">
        <v>8377</v>
      </c>
      <c r="D306" s="3" t="s">
        <v>7003</v>
      </c>
      <c r="E306" s="3" t="s">
        <v>5060</v>
      </c>
    </row>
    <row r="307" spans="1:5" x14ac:dyDescent="0.25">
      <c r="A307" s="3" t="s">
        <v>2065</v>
      </c>
      <c r="B307" s="6" t="s">
        <v>2689</v>
      </c>
      <c r="C307" s="3" t="s">
        <v>8377</v>
      </c>
      <c r="D307" s="3" t="s">
        <v>7004</v>
      </c>
      <c r="E307" s="3" t="s">
        <v>4999</v>
      </c>
    </row>
    <row r="308" spans="1:5" x14ac:dyDescent="0.25">
      <c r="A308" s="3" t="s">
        <v>2064</v>
      </c>
      <c r="B308" s="6" t="s">
        <v>2690</v>
      </c>
      <c r="C308" s="3" t="s">
        <v>8377</v>
      </c>
      <c r="D308" s="3" t="s">
        <v>6806</v>
      </c>
      <c r="E308" s="3" t="s">
        <v>5061</v>
      </c>
    </row>
    <row r="309" spans="1:5" x14ac:dyDescent="0.25">
      <c r="A309" s="3" t="s">
        <v>2063</v>
      </c>
      <c r="B309" s="6" t="s">
        <v>2691</v>
      </c>
      <c r="C309" s="3" t="s">
        <v>8378</v>
      </c>
      <c r="D309" s="3" t="s">
        <v>7005</v>
      </c>
      <c r="E309" s="3" t="s">
        <v>5062</v>
      </c>
    </row>
    <row r="310" spans="1:5" x14ac:dyDescent="0.25">
      <c r="A310" s="3" t="s">
        <v>2062</v>
      </c>
      <c r="B310" s="6" t="s">
        <v>2692</v>
      </c>
      <c r="C310" s="3" t="s">
        <v>8377</v>
      </c>
      <c r="D310" s="3" t="s">
        <v>7006</v>
      </c>
      <c r="E310" s="3" t="s">
        <v>5063</v>
      </c>
    </row>
    <row r="311" spans="1:5" x14ac:dyDescent="0.25">
      <c r="A311" s="3" t="s">
        <v>2061</v>
      </c>
      <c r="B311" s="6" t="s">
        <v>2693</v>
      </c>
      <c r="C311" s="3" t="s">
        <v>8377</v>
      </c>
      <c r="D311" s="3" t="s">
        <v>7007</v>
      </c>
      <c r="E311" s="3" t="s">
        <v>5064</v>
      </c>
    </row>
    <row r="312" spans="1:5" x14ac:dyDescent="0.25">
      <c r="A312" s="3" t="s">
        <v>2060</v>
      </c>
      <c r="B312" s="6" t="s">
        <v>2694</v>
      </c>
      <c r="C312" s="3" t="s">
        <v>8378</v>
      </c>
      <c r="D312" s="3" t="s">
        <v>7008</v>
      </c>
      <c r="E312" s="3" t="s">
        <v>4834</v>
      </c>
    </row>
    <row r="313" spans="1:5" x14ac:dyDescent="0.25">
      <c r="A313" s="3" t="s">
        <v>2059</v>
      </c>
      <c r="B313" s="6" t="s">
        <v>2695</v>
      </c>
      <c r="C313" s="3" t="s">
        <v>8378</v>
      </c>
      <c r="D313" s="3" t="s">
        <v>7009</v>
      </c>
      <c r="E313" s="3" t="s">
        <v>5065</v>
      </c>
    </row>
    <row r="314" spans="1:5" x14ac:dyDescent="0.25">
      <c r="A314" s="3" t="s">
        <v>2058</v>
      </c>
      <c r="B314" s="6" t="s">
        <v>2696</v>
      </c>
      <c r="C314" s="3" t="s">
        <v>8378</v>
      </c>
      <c r="D314" s="3" t="s">
        <v>7010</v>
      </c>
      <c r="E314" s="3" t="s">
        <v>5066</v>
      </c>
    </row>
    <row r="315" spans="1:5" x14ac:dyDescent="0.25">
      <c r="A315" s="3" t="s">
        <v>2057</v>
      </c>
      <c r="B315" s="6" t="s">
        <v>2697</v>
      </c>
      <c r="C315" s="3" t="s">
        <v>8377</v>
      </c>
      <c r="D315" s="3" t="s">
        <v>7011</v>
      </c>
      <c r="E315" s="3" t="s">
        <v>5067</v>
      </c>
    </row>
    <row r="316" spans="1:5" x14ac:dyDescent="0.25">
      <c r="A316" s="3" t="s">
        <v>2056</v>
      </c>
      <c r="B316" s="6" t="s">
        <v>2698</v>
      </c>
      <c r="C316" s="3" t="s">
        <v>8377</v>
      </c>
      <c r="D316" s="3" t="s">
        <v>7012</v>
      </c>
      <c r="E316" s="3" t="s">
        <v>5068</v>
      </c>
    </row>
    <row r="317" spans="1:5" x14ac:dyDescent="0.25">
      <c r="A317" s="3" t="s">
        <v>2055</v>
      </c>
      <c r="B317" s="6" t="s">
        <v>2699</v>
      </c>
      <c r="C317" s="3" t="s">
        <v>8378</v>
      </c>
      <c r="D317" s="3" t="s">
        <v>6898</v>
      </c>
      <c r="E317" s="3" t="s">
        <v>5069</v>
      </c>
    </row>
    <row r="318" spans="1:5" x14ac:dyDescent="0.25">
      <c r="A318" s="3" t="s">
        <v>2054</v>
      </c>
      <c r="B318" s="6" t="s">
        <v>2700</v>
      </c>
      <c r="C318" s="3" t="s">
        <v>8378</v>
      </c>
      <c r="D318" s="3" t="s">
        <v>6768</v>
      </c>
      <c r="E318" s="3" t="s">
        <v>5070</v>
      </c>
    </row>
    <row r="319" spans="1:5" x14ac:dyDescent="0.25">
      <c r="A319" s="3" t="s">
        <v>2053</v>
      </c>
      <c r="B319" s="6" t="s">
        <v>2701</v>
      </c>
      <c r="C319" s="3" t="s">
        <v>8378</v>
      </c>
      <c r="D319" s="3" t="s">
        <v>7013</v>
      </c>
      <c r="E319" s="3" t="s">
        <v>5071</v>
      </c>
    </row>
    <row r="320" spans="1:5" x14ac:dyDescent="0.25">
      <c r="A320" s="3" t="s">
        <v>2052</v>
      </c>
      <c r="B320" s="6" t="s">
        <v>2702</v>
      </c>
      <c r="C320" s="3" t="s">
        <v>8378</v>
      </c>
      <c r="D320" s="3" t="s">
        <v>7014</v>
      </c>
      <c r="E320" s="3" t="s">
        <v>5072</v>
      </c>
    </row>
    <row r="321" spans="1:5" x14ac:dyDescent="0.25">
      <c r="A321" s="3" t="s">
        <v>2051</v>
      </c>
      <c r="B321" s="6" t="s">
        <v>2703</v>
      </c>
      <c r="C321" s="3" t="s">
        <v>8377</v>
      </c>
      <c r="D321" s="3" t="s">
        <v>7015</v>
      </c>
      <c r="E321" s="3" t="s">
        <v>5073</v>
      </c>
    </row>
    <row r="322" spans="1:5" x14ac:dyDescent="0.25">
      <c r="A322" s="3" t="s">
        <v>2050</v>
      </c>
      <c r="B322" s="6" t="s">
        <v>2704</v>
      </c>
      <c r="C322" s="3" t="s">
        <v>8377</v>
      </c>
      <c r="D322" s="3" t="s">
        <v>7016</v>
      </c>
      <c r="E322" s="3" t="s">
        <v>5074</v>
      </c>
    </row>
    <row r="323" spans="1:5" x14ac:dyDescent="0.25">
      <c r="A323" s="3" t="s">
        <v>2049</v>
      </c>
      <c r="B323" s="6" t="s">
        <v>2705</v>
      </c>
      <c r="C323" s="3" t="s">
        <v>8378</v>
      </c>
      <c r="D323" s="3" t="s">
        <v>7017</v>
      </c>
      <c r="E323" s="3" t="s">
        <v>5075</v>
      </c>
    </row>
    <row r="324" spans="1:5" x14ac:dyDescent="0.25">
      <c r="A324" s="3" t="s">
        <v>2048</v>
      </c>
      <c r="B324" s="6" t="s">
        <v>2706</v>
      </c>
      <c r="C324" s="3" t="s">
        <v>8378</v>
      </c>
      <c r="D324" s="3" t="s">
        <v>7018</v>
      </c>
      <c r="E324" s="3" t="s">
        <v>5039</v>
      </c>
    </row>
    <row r="325" spans="1:5" x14ac:dyDescent="0.25">
      <c r="A325" s="3" t="s">
        <v>2047</v>
      </c>
      <c r="B325" s="6" t="s">
        <v>2707</v>
      </c>
      <c r="C325" s="3" t="s">
        <v>8378</v>
      </c>
      <c r="D325" s="3" t="s">
        <v>6880</v>
      </c>
      <c r="E325" s="3" t="s">
        <v>5076</v>
      </c>
    </row>
    <row r="326" spans="1:5" x14ac:dyDescent="0.25">
      <c r="A326" s="3" t="s">
        <v>2046</v>
      </c>
      <c r="B326" s="6" t="s">
        <v>2708</v>
      </c>
      <c r="C326" s="3" t="s">
        <v>8377</v>
      </c>
      <c r="D326" s="3" t="s">
        <v>7019</v>
      </c>
      <c r="E326" s="3" t="s">
        <v>5077</v>
      </c>
    </row>
    <row r="327" spans="1:5" x14ac:dyDescent="0.25">
      <c r="A327" s="3" t="s">
        <v>2045</v>
      </c>
      <c r="B327" s="6" t="s">
        <v>2709</v>
      </c>
      <c r="C327" s="3" t="s">
        <v>8378</v>
      </c>
      <c r="D327" s="3" t="s">
        <v>7020</v>
      </c>
      <c r="E327" s="3" t="s">
        <v>5078</v>
      </c>
    </row>
    <row r="328" spans="1:5" x14ac:dyDescent="0.25">
      <c r="A328" s="3" t="s">
        <v>2044</v>
      </c>
      <c r="B328" s="6" t="s">
        <v>2710</v>
      </c>
      <c r="C328" s="3" t="s">
        <v>8378</v>
      </c>
      <c r="D328" s="3" t="s">
        <v>6291</v>
      </c>
      <c r="E328" s="3" t="s">
        <v>5079</v>
      </c>
    </row>
    <row r="329" spans="1:5" x14ac:dyDescent="0.25">
      <c r="A329" s="3" t="s">
        <v>2043</v>
      </c>
      <c r="B329" s="6" t="s">
        <v>2711</v>
      </c>
      <c r="C329" s="3" t="s">
        <v>8378</v>
      </c>
      <c r="D329" s="3" t="s">
        <v>6335</v>
      </c>
      <c r="E329" s="3" t="s">
        <v>5080</v>
      </c>
    </row>
    <row r="330" spans="1:5" x14ac:dyDescent="0.25">
      <c r="A330" s="3" t="s">
        <v>2042</v>
      </c>
      <c r="B330" s="6" t="s">
        <v>2712</v>
      </c>
      <c r="C330" s="3" t="s">
        <v>8378</v>
      </c>
      <c r="D330" s="3" t="s">
        <v>6940</v>
      </c>
      <c r="E330" s="3" t="s">
        <v>5081</v>
      </c>
    </row>
    <row r="331" spans="1:5" x14ac:dyDescent="0.25">
      <c r="A331" s="3" t="s">
        <v>2041</v>
      </c>
      <c r="B331" s="6" t="s">
        <v>2713</v>
      </c>
      <c r="C331" s="3" t="s">
        <v>8378</v>
      </c>
      <c r="D331" s="3" t="s">
        <v>7021</v>
      </c>
      <c r="E331" s="3" t="s">
        <v>5082</v>
      </c>
    </row>
    <row r="332" spans="1:5" x14ac:dyDescent="0.25">
      <c r="A332" s="3" t="s">
        <v>2040</v>
      </c>
      <c r="B332" s="6" t="s">
        <v>2714</v>
      </c>
      <c r="C332" s="3" t="s">
        <v>8378</v>
      </c>
      <c r="D332" s="3" t="s">
        <v>7022</v>
      </c>
      <c r="E332" s="3" t="s">
        <v>5083</v>
      </c>
    </row>
    <row r="333" spans="1:5" x14ac:dyDescent="0.25">
      <c r="A333" s="3" t="s">
        <v>2039</v>
      </c>
      <c r="B333" s="6" t="s">
        <v>2715</v>
      </c>
      <c r="C333" s="3" t="s">
        <v>8378</v>
      </c>
      <c r="D333" s="3" t="s">
        <v>7014</v>
      </c>
      <c r="E333" s="3" t="s">
        <v>5084</v>
      </c>
    </row>
    <row r="334" spans="1:5" x14ac:dyDescent="0.25">
      <c r="A334" s="3" t="s">
        <v>2038</v>
      </c>
      <c r="B334" s="6" t="s">
        <v>2716</v>
      </c>
      <c r="C334" s="3" t="s">
        <v>8377</v>
      </c>
      <c r="D334" s="3" t="s">
        <v>7023</v>
      </c>
      <c r="E334" s="3" t="s">
        <v>5085</v>
      </c>
    </row>
    <row r="335" spans="1:5" x14ac:dyDescent="0.25">
      <c r="A335" s="3" t="s">
        <v>2037</v>
      </c>
      <c r="B335" s="6" t="s">
        <v>2717</v>
      </c>
      <c r="C335" s="3" t="s">
        <v>8378</v>
      </c>
      <c r="D335" s="3" t="s">
        <v>7024</v>
      </c>
      <c r="E335" s="3" t="s">
        <v>5086</v>
      </c>
    </row>
    <row r="336" spans="1:5" x14ac:dyDescent="0.25">
      <c r="A336" s="3" t="s">
        <v>2036</v>
      </c>
      <c r="B336" s="6" t="s">
        <v>2718</v>
      </c>
      <c r="C336" s="3" t="s">
        <v>8377</v>
      </c>
      <c r="D336" s="3" t="s">
        <v>7025</v>
      </c>
      <c r="E336" s="3" t="s">
        <v>5087</v>
      </c>
    </row>
    <row r="337" spans="1:5" x14ac:dyDescent="0.25">
      <c r="A337" s="3" t="s">
        <v>2035</v>
      </c>
      <c r="B337" s="6" t="s">
        <v>2719</v>
      </c>
      <c r="C337" s="3" t="s">
        <v>8378</v>
      </c>
      <c r="D337" s="3" t="s">
        <v>7026</v>
      </c>
      <c r="E337" s="3" t="s">
        <v>5088</v>
      </c>
    </row>
    <row r="338" spans="1:5" x14ac:dyDescent="0.25">
      <c r="A338" s="3" t="s">
        <v>2034</v>
      </c>
      <c r="B338" s="6" t="s">
        <v>2720</v>
      </c>
      <c r="C338" s="3" t="s">
        <v>8377</v>
      </c>
      <c r="D338" s="3" t="s">
        <v>7027</v>
      </c>
      <c r="E338" s="3" t="s">
        <v>5089</v>
      </c>
    </row>
    <row r="339" spans="1:5" x14ac:dyDescent="0.25">
      <c r="A339" s="3" t="s">
        <v>2033</v>
      </c>
      <c r="B339" s="6" t="s">
        <v>2721</v>
      </c>
      <c r="C339" s="3" t="s">
        <v>8377</v>
      </c>
      <c r="D339" s="3" t="s">
        <v>7028</v>
      </c>
      <c r="E339" s="3" t="s">
        <v>5090</v>
      </c>
    </row>
    <row r="340" spans="1:5" x14ac:dyDescent="0.25">
      <c r="A340" s="3" t="s">
        <v>2032</v>
      </c>
      <c r="B340" s="6" t="s">
        <v>2722</v>
      </c>
      <c r="C340" s="3" t="s">
        <v>8378</v>
      </c>
      <c r="D340" s="3" t="s">
        <v>6889</v>
      </c>
      <c r="E340" s="3" t="s">
        <v>5091</v>
      </c>
    </row>
    <row r="341" spans="1:5" x14ac:dyDescent="0.25">
      <c r="A341" s="3" t="s">
        <v>2031</v>
      </c>
      <c r="B341" s="6" t="s">
        <v>2723</v>
      </c>
      <c r="C341" s="3" t="s">
        <v>8377</v>
      </c>
      <c r="D341" s="3" t="s">
        <v>7029</v>
      </c>
      <c r="E341" s="3" t="s">
        <v>5092</v>
      </c>
    </row>
    <row r="342" spans="1:5" x14ac:dyDescent="0.25">
      <c r="A342" s="3" t="s">
        <v>2030</v>
      </c>
      <c r="B342" s="6" t="s">
        <v>2724</v>
      </c>
      <c r="C342" s="3" t="s">
        <v>8377</v>
      </c>
      <c r="D342" s="3" t="s">
        <v>7030</v>
      </c>
      <c r="E342" s="3" t="s">
        <v>5093</v>
      </c>
    </row>
    <row r="343" spans="1:5" x14ac:dyDescent="0.25">
      <c r="A343" s="3" t="s">
        <v>2029</v>
      </c>
      <c r="B343" s="6" t="s">
        <v>2725</v>
      </c>
      <c r="C343" s="3" t="s">
        <v>8377</v>
      </c>
      <c r="D343" s="3" t="s">
        <v>7031</v>
      </c>
      <c r="E343" s="3" t="s">
        <v>5094</v>
      </c>
    </row>
    <row r="344" spans="1:5" x14ac:dyDescent="0.25">
      <c r="A344" s="3" t="s">
        <v>2028</v>
      </c>
      <c r="B344" s="6" t="s">
        <v>2726</v>
      </c>
      <c r="C344" s="3" t="s">
        <v>8377</v>
      </c>
      <c r="D344" s="3" t="s">
        <v>6831</v>
      </c>
      <c r="E344" s="3" t="s">
        <v>5095</v>
      </c>
    </row>
    <row r="345" spans="1:5" x14ac:dyDescent="0.25">
      <c r="A345" s="3" t="s">
        <v>2027</v>
      </c>
      <c r="B345" s="6" t="s">
        <v>2727</v>
      </c>
      <c r="C345" s="3" t="s">
        <v>8378</v>
      </c>
      <c r="D345" s="3" t="s">
        <v>6116</v>
      </c>
      <c r="E345" s="3" t="s">
        <v>5096</v>
      </c>
    </row>
    <row r="346" spans="1:5" x14ac:dyDescent="0.25">
      <c r="A346" s="3" t="s">
        <v>2026</v>
      </c>
      <c r="B346" s="6" t="s">
        <v>2728</v>
      </c>
      <c r="C346" s="3" t="s">
        <v>8377</v>
      </c>
      <c r="D346" s="3" t="s">
        <v>7032</v>
      </c>
      <c r="E346" s="3" t="s">
        <v>5097</v>
      </c>
    </row>
    <row r="347" spans="1:5" x14ac:dyDescent="0.25">
      <c r="A347" s="3" t="s">
        <v>2025</v>
      </c>
      <c r="B347" s="6" t="s">
        <v>2729</v>
      </c>
      <c r="C347" s="3" t="s">
        <v>8378</v>
      </c>
      <c r="D347" s="3" t="s">
        <v>6796</v>
      </c>
      <c r="E347" s="3" t="s">
        <v>5098</v>
      </c>
    </row>
    <row r="348" spans="1:5" x14ac:dyDescent="0.25">
      <c r="A348" s="3" t="s">
        <v>2024</v>
      </c>
      <c r="B348" s="6" t="s">
        <v>2730</v>
      </c>
      <c r="C348" s="3" t="s">
        <v>8377</v>
      </c>
      <c r="D348" s="3" t="s">
        <v>7033</v>
      </c>
      <c r="E348" s="3" t="s">
        <v>5099</v>
      </c>
    </row>
    <row r="349" spans="1:5" x14ac:dyDescent="0.25">
      <c r="A349" s="3" t="s">
        <v>2023</v>
      </c>
      <c r="B349" s="6" t="s">
        <v>2731</v>
      </c>
      <c r="C349" s="3" t="s">
        <v>8377</v>
      </c>
      <c r="D349" s="3" t="s">
        <v>7034</v>
      </c>
      <c r="E349" s="3" t="s">
        <v>5100</v>
      </c>
    </row>
    <row r="350" spans="1:5" x14ac:dyDescent="0.25">
      <c r="A350" s="3" t="s">
        <v>2022</v>
      </c>
      <c r="B350" s="6" t="s">
        <v>2732</v>
      </c>
      <c r="C350" s="3" t="s">
        <v>8378</v>
      </c>
      <c r="D350" s="3" t="s">
        <v>7035</v>
      </c>
      <c r="E350" s="3" t="s">
        <v>5101</v>
      </c>
    </row>
    <row r="351" spans="1:5" x14ac:dyDescent="0.25">
      <c r="A351" s="3" t="s">
        <v>2021</v>
      </c>
      <c r="B351" s="6" t="s">
        <v>2733</v>
      </c>
      <c r="C351" s="3" t="s">
        <v>8377</v>
      </c>
      <c r="D351" s="3" t="s">
        <v>7036</v>
      </c>
      <c r="E351" s="3" t="s">
        <v>5102</v>
      </c>
    </row>
    <row r="352" spans="1:5" x14ac:dyDescent="0.25">
      <c r="A352" s="3" t="s">
        <v>2020</v>
      </c>
      <c r="B352" s="6" t="s">
        <v>2734</v>
      </c>
      <c r="C352" s="3" t="s">
        <v>8378</v>
      </c>
      <c r="D352" s="3" t="s">
        <v>7037</v>
      </c>
      <c r="E352" s="3" t="s">
        <v>5103</v>
      </c>
    </row>
    <row r="353" spans="1:5" x14ac:dyDescent="0.25">
      <c r="A353" s="3" t="s">
        <v>2019</v>
      </c>
      <c r="B353" s="6" t="s">
        <v>2735</v>
      </c>
      <c r="C353" s="3" t="s">
        <v>8377</v>
      </c>
      <c r="D353" s="3" t="s">
        <v>7038</v>
      </c>
      <c r="E353" s="3" t="s">
        <v>5104</v>
      </c>
    </row>
    <row r="354" spans="1:5" x14ac:dyDescent="0.25">
      <c r="A354" s="3" t="s">
        <v>2018</v>
      </c>
      <c r="B354" s="6" t="s">
        <v>2736</v>
      </c>
      <c r="C354" s="3" t="s">
        <v>8378</v>
      </c>
      <c r="D354" s="3" t="s">
        <v>7039</v>
      </c>
      <c r="E354" s="3" t="s">
        <v>4844</v>
      </c>
    </row>
    <row r="355" spans="1:5" x14ac:dyDescent="0.25">
      <c r="A355" s="3" t="s">
        <v>2017</v>
      </c>
      <c r="B355" s="6" t="s">
        <v>2737</v>
      </c>
      <c r="C355" s="3" t="s">
        <v>8377</v>
      </c>
      <c r="D355" s="3" t="s">
        <v>7040</v>
      </c>
      <c r="E355" s="3" t="s">
        <v>5105</v>
      </c>
    </row>
    <row r="356" spans="1:5" x14ac:dyDescent="0.25">
      <c r="A356" s="3" t="s">
        <v>2016</v>
      </c>
      <c r="B356" s="6" t="s">
        <v>2738</v>
      </c>
      <c r="C356" s="3" t="s">
        <v>8377</v>
      </c>
      <c r="D356" s="3" t="s">
        <v>7041</v>
      </c>
      <c r="E356" s="3" t="s">
        <v>5106</v>
      </c>
    </row>
    <row r="357" spans="1:5" x14ac:dyDescent="0.25">
      <c r="A357" s="3" t="s">
        <v>2015</v>
      </c>
      <c r="B357" s="6" t="s">
        <v>2739</v>
      </c>
      <c r="C357" s="3" t="s">
        <v>8377</v>
      </c>
      <c r="D357" s="3" t="s">
        <v>7042</v>
      </c>
      <c r="E357" s="3" t="s">
        <v>5107</v>
      </c>
    </row>
    <row r="358" spans="1:5" x14ac:dyDescent="0.25">
      <c r="A358" s="3" t="s">
        <v>2014</v>
      </c>
      <c r="B358" s="6" t="s">
        <v>2740</v>
      </c>
      <c r="C358" s="3" t="s">
        <v>8378</v>
      </c>
      <c r="D358" s="3" t="s">
        <v>6154</v>
      </c>
      <c r="E358" s="3" t="s">
        <v>5108</v>
      </c>
    </row>
    <row r="359" spans="1:5" x14ac:dyDescent="0.25">
      <c r="A359" s="3" t="s">
        <v>2013</v>
      </c>
      <c r="B359" s="6" t="s">
        <v>2741</v>
      </c>
      <c r="C359" s="3" t="s">
        <v>8378</v>
      </c>
      <c r="D359" s="3" t="s">
        <v>7043</v>
      </c>
      <c r="E359" s="3" t="s">
        <v>5109</v>
      </c>
    </row>
    <row r="360" spans="1:5" x14ac:dyDescent="0.25">
      <c r="A360" s="3" t="s">
        <v>2012</v>
      </c>
      <c r="B360" s="6" t="s">
        <v>2742</v>
      </c>
      <c r="C360" s="3" t="s">
        <v>8378</v>
      </c>
      <c r="D360" s="3" t="s">
        <v>7044</v>
      </c>
      <c r="E360" s="3" t="s">
        <v>5110</v>
      </c>
    </row>
    <row r="361" spans="1:5" x14ac:dyDescent="0.25">
      <c r="A361" s="3" t="s">
        <v>2011</v>
      </c>
      <c r="B361" s="6" t="s">
        <v>2743</v>
      </c>
      <c r="C361" s="3" t="s">
        <v>8378</v>
      </c>
      <c r="D361" s="3" t="s">
        <v>7045</v>
      </c>
      <c r="E361" s="3" t="s">
        <v>4951</v>
      </c>
    </row>
    <row r="362" spans="1:5" x14ac:dyDescent="0.25">
      <c r="A362" s="3" t="s">
        <v>2010</v>
      </c>
      <c r="B362" s="6" t="s">
        <v>2744</v>
      </c>
      <c r="C362" s="3" t="s">
        <v>8378</v>
      </c>
      <c r="D362" s="3" t="s">
        <v>7046</v>
      </c>
      <c r="E362" s="3" t="s">
        <v>5111</v>
      </c>
    </row>
    <row r="363" spans="1:5" x14ac:dyDescent="0.25">
      <c r="A363" s="3" t="s">
        <v>2009</v>
      </c>
      <c r="B363" s="6" t="s">
        <v>2745</v>
      </c>
      <c r="C363" s="3" t="s">
        <v>8378</v>
      </c>
      <c r="D363" s="3" t="s">
        <v>6807</v>
      </c>
      <c r="E363" s="3" t="s">
        <v>5112</v>
      </c>
    </row>
    <row r="364" spans="1:5" x14ac:dyDescent="0.25">
      <c r="A364" s="3" t="s">
        <v>2008</v>
      </c>
      <c r="B364" s="6" t="s">
        <v>2746</v>
      </c>
      <c r="C364" s="3" t="s">
        <v>8378</v>
      </c>
      <c r="D364" s="3" t="s">
        <v>7047</v>
      </c>
      <c r="E364" s="3" t="s">
        <v>5113</v>
      </c>
    </row>
    <row r="365" spans="1:5" x14ac:dyDescent="0.25">
      <c r="A365" s="3" t="s">
        <v>2007</v>
      </c>
      <c r="B365" s="6" t="s">
        <v>2747</v>
      </c>
      <c r="C365" s="3" t="s">
        <v>8377</v>
      </c>
      <c r="D365" s="3" t="s">
        <v>7048</v>
      </c>
      <c r="E365" s="3" t="s">
        <v>5114</v>
      </c>
    </row>
    <row r="366" spans="1:5" x14ac:dyDescent="0.25">
      <c r="A366" s="3" t="s">
        <v>2006</v>
      </c>
      <c r="B366" s="6" t="s">
        <v>2748</v>
      </c>
      <c r="C366" s="3" t="s">
        <v>8377</v>
      </c>
      <c r="D366" s="3" t="s">
        <v>7049</v>
      </c>
      <c r="E366" s="3" t="s">
        <v>5115</v>
      </c>
    </row>
    <row r="367" spans="1:5" x14ac:dyDescent="0.25">
      <c r="A367" s="3" t="s">
        <v>2005</v>
      </c>
      <c r="B367" s="6" t="s">
        <v>2749</v>
      </c>
      <c r="C367" s="3" t="s">
        <v>8378</v>
      </c>
      <c r="D367" s="3" t="s">
        <v>7050</v>
      </c>
      <c r="E367" s="3" t="s">
        <v>5116</v>
      </c>
    </row>
    <row r="368" spans="1:5" x14ac:dyDescent="0.25">
      <c r="A368" s="3" t="s">
        <v>2004</v>
      </c>
      <c r="B368" s="6" t="s">
        <v>2750</v>
      </c>
      <c r="C368" s="3" t="s">
        <v>8378</v>
      </c>
      <c r="D368" s="3" t="s">
        <v>7051</v>
      </c>
      <c r="E368" s="3" t="s">
        <v>5117</v>
      </c>
    </row>
    <row r="369" spans="1:5" x14ac:dyDescent="0.25">
      <c r="A369" s="3" t="s">
        <v>2003</v>
      </c>
      <c r="B369" s="6" t="s">
        <v>2751</v>
      </c>
      <c r="C369" s="3" t="s">
        <v>8377</v>
      </c>
      <c r="D369" s="3" t="s">
        <v>7052</v>
      </c>
      <c r="E369" s="3" t="s">
        <v>5118</v>
      </c>
    </row>
    <row r="370" spans="1:5" x14ac:dyDescent="0.25">
      <c r="A370" s="3" t="s">
        <v>2002</v>
      </c>
      <c r="B370" s="6" t="s">
        <v>2752</v>
      </c>
      <c r="C370" s="3" t="s">
        <v>8378</v>
      </c>
      <c r="D370" s="3" t="s">
        <v>7053</v>
      </c>
      <c r="E370" s="3" t="s">
        <v>5119</v>
      </c>
    </row>
    <row r="371" spans="1:5" x14ac:dyDescent="0.25">
      <c r="A371" s="3" t="s">
        <v>2001</v>
      </c>
      <c r="B371" s="6" t="s">
        <v>2753</v>
      </c>
      <c r="C371" s="3" t="s">
        <v>8378</v>
      </c>
      <c r="D371" s="3" t="s">
        <v>7054</v>
      </c>
      <c r="E371" s="3" t="s">
        <v>5120</v>
      </c>
    </row>
    <row r="372" spans="1:5" x14ac:dyDescent="0.25">
      <c r="A372" s="3" t="s">
        <v>2000</v>
      </c>
      <c r="B372" s="6" t="s">
        <v>2754</v>
      </c>
      <c r="C372" s="3" t="s">
        <v>8377</v>
      </c>
      <c r="D372" s="3" t="s">
        <v>7055</v>
      </c>
      <c r="E372" s="3" t="s">
        <v>5121</v>
      </c>
    </row>
    <row r="373" spans="1:5" x14ac:dyDescent="0.25">
      <c r="A373" s="3" t="s">
        <v>1999</v>
      </c>
      <c r="B373" s="6" t="s">
        <v>2755</v>
      </c>
      <c r="C373" s="3" t="s">
        <v>8378</v>
      </c>
      <c r="D373" s="3" t="s">
        <v>5493</v>
      </c>
      <c r="E373" s="3" t="s">
        <v>5122</v>
      </c>
    </row>
    <row r="374" spans="1:5" x14ac:dyDescent="0.25">
      <c r="A374" s="3" t="s">
        <v>1998</v>
      </c>
      <c r="B374" s="6" t="s">
        <v>2756</v>
      </c>
      <c r="C374" s="3" t="s">
        <v>8377</v>
      </c>
      <c r="D374" s="3" t="s">
        <v>7056</v>
      </c>
      <c r="E374" s="3" t="s">
        <v>5123</v>
      </c>
    </row>
    <row r="375" spans="1:5" x14ac:dyDescent="0.25">
      <c r="A375" s="3" t="s">
        <v>1997</v>
      </c>
      <c r="B375" s="6" t="s">
        <v>2757</v>
      </c>
      <c r="C375" s="3" t="s">
        <v>8377</v>
      </c>
      <c r="D375" s="3" t="s">
        <v>4771</v>
      </c>
      <c r="E375" s="3" t="s">
        <v>5124</v>
      </c>
    </row>
    <row r="376" spans="1:5" x14ac:dyDescent="0.25">
      <c r="A376" s="3" t="s">
        <v>1996</v>
      </c>
      <c r="B376" s="6" t="s">
        <v>2758</v>
      </c>
      <c r="C376" s="3" t="s">
        <v>8377</v>
      </c>
      <c r="D376" s="3" t="s">
        <v>7057</v>
      </c>
      <c r="E376" s="3" t="s">
        <v>5125</v>
      </c>
    </row>
    <row r="377" spans="1:5" x14ac:dyDescent="0.25">
      <c r="A377" s="3" t="s">
        <v>1995</v>
      </c>
      <c r="B377" s="6" t="s">
        <v>2759</v>
      </c>
      <c r="C377" s="3" t="s">
        <v>8378</v>
      </c>
      <c r="D377" s="3" t="s">
        <v>7058</v>
      </c>
      <c r="E377" s="3" t="s">
        <v>5126</v>
      </c>
    </row>
    <row r="378" spans="1:5" x14ac:dyDescent="0.25">
      <c r="A378" s="3" t="s">
        <v>1994</v>
      </c>
      <c r="B378" s="6" t="s">
        <v>2760</v>
      </c>
      <c r="C378" s="3" t="s">
        <v>8378</v>
      </c>
      <c r="D378" s="3" t="s">
        <v>6880</v>
      </c>
      <c r="E378" s="3" t="s">
        <v>5127</v>
      </c>
    </row>
    <row r="379" spans="1:5" x14ac:dyDescent="0.25">
      <c r="A379" s="3" t="s">
        <v>1993</v>
      </c>
      <c r="B379" s="6" t="s">
        <v>2761</v>
      </c>
      <c r="C379" s="3" t="s">
        <v>8377</v>
      </c>
      <c r="D379" s="3" t="s">
        <v>7059</v>
      </c>
      <c r="E379" s="3" t="s">
        <v>5128</v>
      </c>
    </row>
    <row r="380" spans="1:5" x14ac:dyDescent="0.25">
      <c r="A380" s="3" t="s">
        <v>1992</v>
      </c>
      <c r="B380" s="6" t="s">
        <v>2762</v>
      </c>
      <c r="C380" s="3" t="s">
        <v>8377</v>
      </c>
      <c r="D380" s="3" t="s">
        <v>6915</v>
      </c>
      <c r="E380" s="3" t="s">
        <v>5129</v>
      </c>
    </row>
    <row r="381" spans="1:5" x14ac:dyDescent="0.25">
      <c r="A381" s="3" t="s">
        <v>1991</v>
      </c>
      <c r="B381" s="6" t="s">
        <v>2763</v>
      </c>
      <c r="C381" s="3" t="s">
        <v>8378</v>
      </c>
      <c r="D381" s="3" t="s">
        <v>7060</v>
      </c>
      <c r="E381" s="3" t="s">
        <v>5130</v>
      </c>
    </row>
    <row r="382" spans="1:5" x14ac:dyDescent="0.25">
      <c r="A382" s="3" t="s">
        <v>1990</v>
      </c>
      <c r="B382" s="6" t="s">
        <v>2764</v>
      </c>
      <c r="C382" s="3" t="s">
        <v>8377</v>
      </c>
      <c r="D382" s="3" t="s">
        <v>7061</v>
      </c>
      <c r="E382" s="3" t="s">
        <v>5131</v>
      </c>
    </row>
    <row r="383" spans="1:5" x14ac:dyDescent="0.25">
      <c r="A383" s="3" t="s">
        <v>1989</v>
      </c>
      <c r="B383" s="6" t="s">
        <v>2765</v>
      </c>
      <c r="C383" s="3" t="s">
        <v>8378</v>
      </c>
      <c r="D383" s="3" t="s">
        <v>4769</v>
      </c>
      <c r="E383" s="3" t="s">
        <v>5132</v>
      </c>
    </row>
    <row r="384" spans="1:5" x14ac:dyDescent="0.25">
      <c r="A384" s="3" t="s">
        <v>1988</v>
      </c>
      <c r="B384" s="6" t="s">
        <v>2766</v>
      </c>
      <c r="C384" s="3" t="s">
        <v>8378</v>
      </c>
      <c r="D384" s="3" t="s">
        <v>6946</v>
      </c>
      <c r="E384" s="3" t="s">
        <v>5133</v>
      </c>
    </row>
    <row r="385" spans="1:5" x14ac:dyDescent="0.25">
      <c r="A385" s="3" t="s">
        <v>1987</v>
      </c>
      <c r="B385" s="6" t="s">
        <v>2767</v>
      </c>
      <c r="C385" s="3" t="s">
        <v>8377</v>
      </c>
      <c r="D385" s="3" t="s">
        <v>7062</v>
      </c>
      <c r="E385" s="3" t="s">
        <v>5134</v>
      </c>
    </row>
    <row r="386" spans="1:5" x14ac:dyDescent="0.25">
      <c r="A386" s="3" t="s">
        <v>1986</v>
      </c>
      <c r="B386" s="6" t="s">
        <v>2768</v>
      </c>
      <c r="C386" s="3" t="s">
        <v>8378</v>
      </c>
      <c r="D386" s="3" t="s">
        <v>7063</v>
      </c>
      <c r="E386" s="3" t="s">
        <v>5135</v>
      </c>
    </row>
    <row r="387" spans="1:5" x14ac:dyDescent="0.25">
      <c r="A387" s="3" t="s">
        <v>1985</v>
      </c>
      <c r="B387" s="6" t="s">
        <v>2769</v>
      </c>
      <c r="C387" s="3" t="s">
        <v>8378</v>
      </c>
      <c r="D387" s="3" t="s">
        <v>7064</v>
      </c>
      <c r="E387" s="3" t="s">
        <v>5136</v>
      </c>
    </row>
    <row r="388" spans="1:5" x14ac:dyDescent="0.25">
      <c r="A388" s="3" t="s">
        <v>1984</v>
      </c>
      <c r="B388" s="6" t="s">
        <v>2770</v>
      </c>
      <c r="C388" s="3" t="s">
        <v>8377</v>
      </c>
      <c r="D388" s="3" t="s">
        <v>7065</v>
      </c>
      <c r="E388" s="3" t="s">
        <v>5137</v>
      </c>
    </row>
    <row r="389" spans="1:5" x14ac:dyDescent="0.25">
      <c r="A389" s="3" t="s">
        <v>1983</v>
      </c>
      <c r="B389" s="6" t="s">
        <v>2771</v>
      </c>
      <c r="C389" s="3" t="s">
        <v>8378</v>
      </c>
      <c r="D389" s="3" t="s">
        <v>7066</v>
      </c>
      <c r="E389" s="3" t="s">
        <v>5138</v>
      </c>
    </row>
    <row r="390" spans="1:5" x14ac:dyDescent="0.25">
      <c r="A390" s="3" t="s">
        <v>1982</v>
      </c>
      <c r="B390" s="6" t="s">
        <v>2772</v>
      </c>
      <c r="C390" s="3" t="s">
        <v>8377</v>
      </c>
      <c r="D390" s="3" t="s">
        <v>7007</v>
      </c>
      <c r="E390" s="3" t="s">
        <v>5139</v>
      </c>
    </row>
    <row r="391" spans="1:5" x14ac:dyDescent="0.25">
      <c r="A391" s="3" t="s">
        <v>1981</v>
      </c>
      <c r="B391" s="6" t="s">
        <v>2773</v>
      </c>
      <c r="C391" s="3" t="s">
        <v>8377</v>
      </c>
      <c r="D391" s="3" t="s">
        <v>7067</v>
      </c>
      <c r="E391" s="3" t="s">
        <v>5140</v>
      </c>
    </row>
    <row r="392" spans="1:5" x14ac:dyDescent="0.25">
      <c r="A392" s="3" t="s">
        <v>1980</v>
      </c>
      <c r="B392" s="6" t="s">
        <v>2774</v>
      </c>
      <c r="C392" s="3" t="s">
        <v>8378</v>
      </c>
      <c r="D392" s="3" t="s">
        <v>7068</v>
      </c>
      <c r="E392" s="3" t="s">
        <v>5141</v>
      </c>
    </row>
    <row r="393" spans="1:5" x14ac:dyDescent="0.25">
      <c r="A393" s="3" t="s">
        <v>1979</v>
      </c>
      <c r="B393" s="6" t="s">
        <v>2775</v>
      </c>
      <c r="C393" s="3" t="s">
        <v>8378</v>
      </c>
      <c r="D393" s="3" t="s">
        <v>5229</v>
      </c>
      <c r="E393" s="3" t="s">
        <v>5142</v>
      </c>
    </row>
    <row r="394" spans="1:5" x14ac:dyDescent="0.25">
      <c r="A394" s="3" t="s">
        <v>1978</v>
      </c>
      <c r="B394" s="6" t="s">
        <v>2776</v>
      </c>
      <c r="C394" s="3" t="s">
        <v>8377</v>
      </c>
      <c r="D394" s="3" t="s">
        <v>7069</v>
      </c>
      <c r="E394" s="3" t="s">
        <v>5143</v>
      </c>
    </row>
    <row r="395" spans="1:5" x14ac:dyDescent="0.25">
      <c r="A395" s="3" t="s">
        <v>1977</v>
      </c>
      <c r="B395" s="6" t="s">
        <v>2777</v>
      </c>
      <c r="C395" s="3" t="s">
        <v>8378</v>
      </c>
      <c r="D395" s="3" t="s">
        <v>7070</v>
      </c>
      <c r="E395" s="3" t="s">
        <v>4968</v>
      </c>
    </row>
    <row r="396" spans="1:5" x14ac:dyDescent="0.25">
      <c r="A396" s="3" t="s">
        <v>1976</v>
      </c>
      <c r="B396" s="6" t="s">
        <v>2778</v>
      </c>
      <c r="C396" s="3" t="s">
        <v>8377</v>
      </c>
      <c r="D396" s="3" t="s">
        <v>7071</v>
      </c>
      <c r="E396" s="3" t="s">
        <v>5144</v>
      </c>
    </row>
    <row r="397" spans="1:5" x14ac:dyDescent="0.25">
      <c r="A397" s="3" t="s">
        <v>1975</v>
      </c>
      <c r="B397" s="6" t="s">
        <v>2779</v>
      </c>
      <c r="C397" s="3" t="s">
        <v>8377</v>
      </c>
      <c r="D397" s="3" t="s">
        <v>7072</v>
      </c>
      <c r="E397" s="3" t="s">
        <v>5145</v>
      </c>
    </row>
    <row r="398" spans="1:5" x14ac:dyDescent="0.25">
      <c r="A398" s="3" t="s">
        <v>1974</v>
      </c>
      <c r="B398" s="6" t="s">
        <v>2780</v>
      </c>
      <c r="C398" s="3" t="s">
        <v>8377</v>
      </c>
      <c r="D398" s="3" t="s">
        <v>7073</v>
      </c>
      <c r="E398" s="3" t="s">
        <v>5146</v>
      </c>
    </row>
    <row r="399" spans="1:5" x14ac:dyDescent="0.25">
      <c r="A399" s="3" t="s">
        <v>1973</v>
      </c>
      <c r="B399" s="6" t="s">
        <v>2781</v>
      </c>
      <c r="C399" s="3" t="s">
        <v>8378</v>
      </c>
      <c r="D399" s="3" t="s">
        <v>7074</v>
      </c>
      <c r="E399" s="3" t="s">
        <v>5147</v>
      </c>
    </row>
    <row r="400" spans="1:5" x14ac:dyDescent="0.25">
      <c r="A400" s="3" t="s">
        <v>1972</v>
      </c>
      <c r="B400" s="6" t="s">
        <v>2782</v>
      </c>
      <c r="C400" s="3" t="s">
        <v>8377</v>
      </c>
      <c r="D400" s="3" t="s">
        <v>6825</v>
      </c>
      <c r="E400" s="3" t="s">
        <v>5148</v>
      </c>
    </row>
    <row r="401" spans="1:5" x14ac:dyDescent="0.25">
      <c r="A401" s="3" t="s">
        <v>1971</v>
      </c>
      <c r="B401" s="6" t="s">
        <v>2783</v>
      </c>
      <c r="C401" s="3" t="s">
        <v>8377</v>
      </c>
      <c r="D401" s="3" t="s">
        <v>7075</v>
      </c>
      <c r="E401" s="3" t="s">
        <v>5149</v>
      </c>
    </row>
    <row r="402" spans="1:5" x14ac:dyDescent="0.25">
      <c r="A402" s="3" t="s">
        <v>1970</v>
      </c>
      <c r="B402" s="6" t="s">
        <v>2784</v>
      </c>
      <c r="C402" s="3" t="s">
        <v>8378</v>
      </c>
      <c r="D402" s="3" t="s">
        <v>7076</v>
      </c>
      <c r="E402" s="3" t="s">
        <v>5150</v>
      </c>
    </row>
    <row r="403" spans="1:5" x14ac:dyDescent="0.25">
      <c r="A403" s="3" t="s">
        <v>1969</v>
      </c>
      <c r="B403" s="6" t="s">
        <v>2785</v>
      </c>
      <c r="C403" s="3" t="s">
        <v>8377</v>
      </c>
      <c r="D403" s="3" t="s">
        <v>7077</v>
      </c>
      <c r="E403" s="3" t="s">
        <v>5151</v>
      </c>
    </row>
    <row r="404" spans="1:5" x14ac:dyDescent="0.25">
      <c r="A404" s="3" t="s">
        <v>1968</v>
      </c>
      <c r="B404" s="6" t="s">
        <v>2786</v>
      </c>
      <c r="C404" s="3" t="s">
        <v>8377</v>
      </c>
      <c r="D404" s="3" t="s">
        <v>7078</v>
      </c>
      <c r="E404" s="3" t="s">
        <v>5152</v>
      </c>
    </row>
    <row r="405" spans="1:5" x14ac:dyDescent="0.25">
      <c r="A405" s="3" t="s">
        <v>1967</v>
      </c>
      <c r="B405" s="6" t="s">
        <v>2787</v>
      </c>
      <c r="C405" s="3" t="s">
        <v>8378</v>
      </c>
      <c r="D405" s="3" t="s">
        <v>7079</v>
      </c>
      <c r="E405" s="3" t="s">
        <v>5153</v>
      </c>
    </row>
    <row r="406" spans="1:5" x14ac:dyDescent="0.25">
      <c r="A406" s="3" t="s">
        <v>1966</v>
      </c>
      <c r="B406" s="6" t="s">
        <v>2788</v>
      </c>
      <c r="C406" s="3" t="s">
        <v>8378</v>
      </c>
      <c r="D406" s="3" t="s">
        <v>7080</v>
      </c>
      <c r="E406" s="3" t="s">
        <v>5154</v>
      </c>
    </row>
    <row r="407" spans="1:5" x14ac:dyDescent="0.25">
      <c r="A407" s="3" t="s">
        <v>1965</v>
      </c>
      <c r="B407" s="6" t="s">
        <v>2789</v>
      </c>
      <c r="C407" s="3" t="s">
        <v>8378</v>
      </c>
      <c r="D407" s="3" t="s">
        <v>7081</v>
      </c>
      <c r="E407" s="3" t="s">
        <v>5155</v>
      </c>
    </row>
    <row r="408" spans="1:5" x14ac:dyDescent="0.25">
      <c r="A408" s="3" t="s">
        <v>1964</v>
      </c>
      <c r="B408" s="6" t="s">
        <v>2790</v>
      </c>
      <c r="C408" s="3" t="s">
        <v>8378</v>
      </c>
      <c r="D408" s="3" t="s">
        <v>7082</v>
      </c>
      <c r="E408" s="3" t="s">
        <v>5156</v>
      </c>
    </row>
    <row r="409" spans="1:5" x14ac:dyDescent="0.25">
      <c r="A409" s="3" t="s">
        <v>1963</v>
      </c>
      <c r="B409" s="6" t="s">
        <v>2791</v>
      </c>
      <c r="C409" s="3" t="s">
        <v>8378</v>
      </c>
      <c r="D409" s="3" t="s">
        <v>7083</v>
      </c>
      <c r="E409" s="3" t="s">
        <v>5157</v>
      </c>
    </row>
    <row r="410" spans="1:5" x14ac:dyDescent="0.25">
      <c r="A410" s="3" t="s">
        <v>1962</v>
      </c>
      <c r="B410" s="6" t="s">
        <v>2792</v>
      </c>
      <c r="C410" s="3" t="s">
        <v>8378</v>
      </c>
      <c r="D410" s="3" t="s">
        <v>7084</v>
      </c>
      <c r="E410" s="3" t="s">
        <v>5158</v>
      </c>
    </row>
    <row r="411" spans="1:5" x14ac:dyDescent="0.25">
      <c r="A411" s="3" t="s">
        <v>1961</v>
      </c>
      <c r="B411" s="6" t="s">
        <v>2793</v>
      </c>
      <c r="C411" s="3" t="s">
        <v>8377</v>
      </c>
      <c r="D411" s="3" t="s">
        <v>7085</v>
      </c>
      <c r="E411" s="3" t="s">
        <v>5159</v>
      </c>
    </row>
    <row r="412" spans="1:5" x14ac:dyDescent="0.25">
      <c r="A412" s="3" t="s">
        <v>1960</v>
      </c>
      <c r="B412" s="6" t="s">
        <v>2794</v>
      </c>
      <c r="C412" s="3" t="s">
        <v>8377</v>
      </c>
      <c r="D412" s="3" t="s">
        <v>7086</v>
      </c>
      <c r="E412" s="3" t="s">
        <v>5160</v>
      </c>
    </row>
    <row r="413" spans="1:5" x14ac:dyDescent="0.25">
      <c r="A413" s="3" t="s">
        <v>1959</v>
      </c>
      <c r="B413" s="6" t="s">
        <v>2795</v>
      </c>
      <c r="C413" s="3" t="s">
        <v>8378</v>
      </c>
      <c r="D413" s="3" t="s">
        <v>7087</v>
      </c>
      <c r="E413" s="3" t="s">
        <v>5161</v>
      </c>
    </row>
    <row r="414" spans="1:5" x14ac:dyDescent="0.25">
      <c r="A414" s="3" t="s">
        <v>1958</v>
      </c>
      <c r="B414" s="6" t="s">
        <v>2796</v>
      </c>
      <c r="C414" s="3" t="s">
        <v>8377</v>
      </c>
      <c r="D414" s="3" t="s">
        <v>7088</v>
      </c>
      <c r="E414" s="3" t="s">
        <v>5162</v>
      </c>
    </row>
    <row r="415" spans="1:5" x14ac:dyDescent="0.25">
      <c r="A415" s="3" t="s">
        <v>1957</v>
      </c>
      <c r="B415" s="6" t="s">
        <v>2797</v>
      </c>
      <c r="C415" s="3" t="s">
        <v>8377</v>
      </c>
      <c r="D415" s="3" t="s">
        <v>7089</v>
      </c>
      <c r="E415" s="3" t="s">
        <v>5163</v>
      </c>
    </row>
    <row r="416" spans="1:5" x14ac:dyDescent="0.25">
      <c r="A416" s="3" t="s">
        <v>1956</v>
      </c>
      <c r="B416" s="6" t="s">
        <v>2798</v>
      </c>
      <c r="C416" s="3" t="s">
        <v>8378</v>
      </c>
      <c r="D416" s="3" t="s">
        <v>7090</v>
      </c>
      <c r="E416" s="3" t="s">
        <v>5164</v>
      </c>
    </row>
    <row r="417" spans="1:5" x14ac:dyDescent="0.25">
      <c r="A417" s="3" t="s">
        <v>1955</v>
      </c>
      <c r="B417" s="6" t="s">
        <v>2799</v>
      </c>
      <c r="C417" s="3" t="s">
        <v>8378</v>
      </c>
      <c r="D417" s="3" t="s">
        <v>4769</v>
      </c>
      <c r="E417" s="3" t="s">
        <v>5165</v>
      </c>
    </row>
    <row r="418" spans="1:5" x14ac:dyDescent="0.25">
      <c r="A418" s="3" t="s">
        <v>1954</v>
      </c>
      <c r="B418" s="6" t="s">
        <v>2800</v>
      </c>
      <c r="C418" s="3" t="s">
        <v>8377</v>
      </c>
      <c r="D418" s="3" t="s">
        <v>7091</v>
      </c>
      <c r="E418" s="3" t="s">
        <v>5166</v>
      </c>
    </row>
    <row r="419" spans="1:5" x14ac:dyDescent="0.25">
      <c r="A419" s="3" t="s">
        <v>1953</v>
      </c>
      <c r="B419" s="6" t="s">
        <v>2801</v>
      </c>
      <c r="C419" s="3" t="s">
        <v>8377</v>
      </c>
      <c r="D419" s="3" t="s">
        <v>7032</v>
      </c>
      <c r="E419" s="3" t="s">
        <v>5167</v>
      </c>
    </row>
    <row r="420" spans="1:5" x14ac:dyDescent="0.25">
      <c r="A420" s="3" t="s">
        <v>1952</v>
      </c>
      <c r="B420" s="6" t="s">
        <v>2802</v>
      </c>
      <c r="C420" s="3" t="s">
        <v>8377</v>
      </c>
      <c r="D420" s="3" t="s">
        <v>7092</v>
      </c>
      <c r="E420" s="3" t="s">
        <v>5168</v>
      </c>
    </row>
    <row r="421" spans="1:5" x14ac:dyDescent="0.25">
      <c r="A421" s="3" t="s">
        <v>1951</v>
      </c>
      <c r="B421" s="6" t="s">
        <v>2803</v>
      </c>
      <c r="C421" s="3" t="s">
        <v>8377</v>
      </c>
      <c r="D421" s="3" t="s">
        <v>7093</v>
      </c>
      <c r="E421" s="3" t="s">
        <v>5169</v>
      </c>
    </row>
    <row r="422" spans="1:5" x14ac:dyDescent="0.25">
      <c r="A422" s="3" t="s">
        <v>1950</v>
      </c>
      <c r="B422" s="6" t="s">
        <v>2804</v>
      </c>
      <c r="C422" s="3" t="s">
        <v>8378</v>
      </c>
      <c r="D422" s="3" t="s">
        <v>7094</v>
      </c>
      <c r="E422" s="3" t="s">
        <v>5170</v>
      </c>
    </row>
    <row r="423" spans="1:5" x14ac:dyDescent="0.25">
      <c r="A423" s="3" t="s">
        <v>1949</v>
      </c>
      <c r="B423" s="6" t="s">
        <v>2805</v>
      </c>
      <c r="C423" s="3" t="s">
        <v>8377</v>
      </c>
      <c r="D423" s="3" t="s">
        <v>7095</v>
      </c>
      <c r="E423" s="3" t="s">
        <v>4874</v>
      </c>
    </row>
    <row r="424" spans="1:5" x14ac:dyDescent="0.25">
      <c r="A424" s="3" t="s">
        <v>1948</v>
      </c>
      <c r="B424" s="6" t="s">
        <v>2806</v>
      </c>
      <c r="C424" s="3" t="s">
        <v>8377</v>
      </c>
      <c r="D424" s="3" t="s">
        <v>7096</v>
      </c>
      <c r="E424" s="3" t="s">
        <v>5171</v>
      </c>
    </row>
    <row r="425" spans="1:5" x14ac:dyDescent="0.25">
      <c r="A425" s="3" t="s">
        <v>1947</v>
      </c>
      <c r="B425" s="6" t="s">
        <v>2807</v>
      </c>
      <c r="C425" s="3" t="s">
        <v>8377</v>
      </c>
      <c r="D425" s="3" t="s">
        <v>7097</v>
      </c>
      <c r="E425" s="3" t="s">
        <v>5172</v>
      </c>
    </row>
    <row r="426" spans="1:5" x14ac:dyDescent="0.25">
      <c r="A426" s="3" t="s">
        <v>1946</v>
      </c>
      <c r="B426" s="6" t="s">
        <v>2808</v>
      </c>
      <c r="C426" s="3" t="s">
        <v>8378</v>
      </c>
      <c r="D426" s="3" t="s">
        <v>7089</v>
      </c>
      <c r="E426" s="3" t="s">
        <v>5173</v>
      </c>
    </row>
    <row r="427" spans="1:5" x14ac:dyDescent="0.25">
      <c r="A427" s="3" t="s">
        <v>1945</v>
      </c>
      <c r="B427" s="6" t="s">
        <v>2809</v>
      </c>
      <c r="C427" s="3" t="s">
        <v>8378</v>
      </c>
      <c r="D427" s="3" t="s">
        <v>6924</v>
      </c>
      <c r="E427" s="3" t="s">
        <v>5174</v>
      </c>
    </row>
    <row r="428" spans="1:5" x14ac:dyDescent="0.25">
      <c r="A428" s="3" t="s">
        <v>1944</v>
      </c>
      <c r="B428" s="6" t="s">
        <v>2810</v>
      </c>
      <c r="C428" s="3" t="s">
        <v>8377</v>
      </c>
      <c r="D428" s="3" t="s">
        <v>7098</v>
      </c>
      <c r="E428" s="3" t="s">
        <v>5175</v>
      </c>
    </row>
    <row r="429" spans="1:5" x14ac:dyDescent="0.25">
      <c r="A429" s="3" t="s">
        <v>1943</v>
      </c>
      <c r="B429" s="6" t="s">
        <v>2811</v>
      </c>
      <c r="C429" s="3" t="s">
        <v>8377</v>
      </c>
      <c r="D429" s="3" t="s">
        <v>7099</v>
      </c>
      <c r="E429" s="3" t="s">
        <v>5176</v>
      </c>
    </row>
    <row r="430" spans="1:5" x14ac:dyDescent="0.25">
      <c r="A430" s="3" t="s">
        <v>1942</v>
      </c>
      <c r="B430" s="6" t="s">
        <v>2812</v>
      </c>
      <c r="C430" s="3" t="s">
        <v>8377</v>
      </c>
      <c r="D430" s="3" t="s">
        <v>6818</v>
      </c>
      <c r="E430" s="3" t="s">
        <v>5177</v>
      </c>
    </row>
    <row r="431" spans="1:5" x14ac:dyDescent="0.25">
      <c r="A431" s="3" t="s">
        <v>1941</v>
      </c>
      <c r="B431" s="6" t="s">
        <v>2813</v>
      </c>
      <c r="C431" s="3" t="s">
        <v>8377</v>
      </c>
      <c r="D431" s="3" t="s">
        <v>7100</v>
      </c>
      <c r="E431" s="3" t="s">
        <v>5178</v>
      </c>
    </row>
    <row r="432" spans="1:5" x14ac:dyDescent="0.25">
      <c r="A432" s="3" t="s">
        <v>1940</v>
      </c>
      <c r="B432" s="6" t="s">
        <v>2814</v>
      </c>
      <c r="C432" s="3" t="s">
        <v>8377</v>
      </c>
      <c r="D432" s="3" t="s">
        <v>7101</v>
      </c>
      <c r="E432" s="3" t="s">
        <v>5179</v>
      </c>
    </row>
    <row r="433" spans="1:5" x14ac:dyDescent="0.25">
      <c r="A433" s="3" t="s">
        <v>1939</v>
      </c>
      <c r="B433" s="6" t="s">
        <v>2815</v>
      </c>
      <c r="C433" s="3" t="s">
        <v>8377</v>
      </c>
      <c r="D433" s="3" t="s">
        <v>7102</v>
      </c>
      <c r="E433" s="3" t="s">
        <v>5180</v>
      </c>
    </row>
    <row r="434" spans="1:5" x14ac:dyDescent="0.25">
      <c r="A434" s="3" t="s">
        <v>1938</v>
      </c>
      <c r="B434" s="6" t="s">
        <v>2816</v>
      </c>
      <c r="C434" s="3" t="s">
        <v>8378</v>
      </c>
      <c r="D434" s="3" t="s">
        <v>7082</v>
      </c>
      <c r="E434" s="3" t="s">
        <v>5181</v>
      </c>
    </row>
    <row r="435" spans="1:5" x14ac:dyDescent="0.25">
      <c r="A435" s="3" t="s">
        <v>1937</v>
      </c>
      <c r="B435" s="6" t="s">
        <v>2817</v>
      </c>
      <c r="C435" s="3" t="s">
        <v>8377</v>
      </c>
      <c r="D435" s="3" t="s">
        <v>6825</v>
      </c>
      <c r="E435" s="3" t="s">
        <v>5182</v>
      </c>
    </row>
    <row r="436" spans="1:5" x14ac:dyDescent="0.25">
      <c r="A436" s="3" t="s">
        <v>1936</v>
      </c>
      <c r="B436" s="6" t="s">
        <v>2818</v>
      </c>
      <c r="C436" s="3" t="s">
        <v>8378</v>
      </c>
      <c r="D436" s="3" t="s">
        <v>7103</v>
      </c>
      <c r="E436" s="3" t="s">
        <v>5183</v>
      </c>
    </row>
    <row r="437" spans="1:5" x14ac:dyDescent="0.25">
      <c r="A437" s="3" t="s">
        <v>1935</v>
      </c>
      <c r="B437" s="6" t="s">
        <v>2819</v>
      </c>
      <c r="C437" s="3" t="s">
        <v>8378</v>
      </c>
      <c r="D437" s="3" t="s">
        <v>7104</v>
      </c>
      <c r="E437" s="3" t="s">
        <v>5184</v>
      </c>
    </row>
    <row r="438" spans="1:5" x14ac:dyDescent="0.25">
      <c r="A438" s="3" t="s">
        <v>1934</v>
      </c>
      <c r="B438" s="6" t="s">
        <v>2820</v>
      </c>
      <c r="C438" s="3" t="s">
        <v>8378</v>
      </c>
      <c r="D438" s="3" t="s">
        <v>7105</v>
      </c>
      <c r="E438" s="3" t="s">
        <v>5185</v>
      </c>
    </row>
    <row r="439" spans="1:5" x14ac:dyDescent="0.25">
      <c r="A439" s="3" t="s">
        <v>1933</v>
      </c>
      <c r="B439" s="6" t="s">
        <v>2821</v>
      </c>
      <c r="C439" s="3" t="s">
        <v>8377</v>
      </c>
      <c r="D439" s="3" t="s">
        <v>7049</v>
      </c>
      <c r="E439" s="3" t="s">
        <v>5186</v>
      </c>
    </row>
    <row r="440" spans="1:5" x14ac:dyDescent="0.25">
      <c r="A440" s="3" t="s">
        <v>1932</v>
      </c>
      <c r="B440" s="6" t="s">
        <v>2822</v>
      </c>
      <c r="C440" s="3" t="s">
        <v>8378</v>
      </c>
      <c r="D440" s="3" t="s">
        <v>7106</v>
      </c>
      <c r="E440" s="3" t="s">
        <v>5187</v>
      </c>
    </row>
    <row r="441" spans="1:5" x14ac:dyDescent="0.25">
      <c r="A441" s="3" t="s">
        <v>1931</v>
      </c>
      <c r="B441" s="6" t="s">
        <v>2823</v>
      </c>
      <c r="C441" s="3" t="s">
        <v>8377</v>
      </c>
      <c r="D441" s="3" t="s">
        <v>7107</v>
      </c>
      <c r="E441" s="3" t="s">
        <v>5188</v>
      </c>
    </row>
    <row r="442" spans="1:5" x14ac:dyDescent="0.25">
      <c r="A442" s="3" t="s">
        <v>1930</v>
      </c>
      <c r="B442" s="6" t="s">
        <v>2824</v>
      </c>
      <c r="C442" s="3" t="s">
        <v>8377</v>
      </c>
      <c r="D442" s="3" t="s">
        <v>7108</v>
      </c>
      <c r="E442" s="3" t="s">
        <v>5189</v>
      </c>
    </row>
    <row r="443" spans="1:5" x14ac:dyDescent="0.25">
      <c r="A443" s="3" t="s">
        <v>1929</v>
      </c>
      <c r="B443" s="6" t="s">
        <v>2825</v>
      </c>
      <c r="C443" s="3" t="s">
        <v>8378</v>
      </c>
      <c r="D443" s="3" t="s">
        <v>7109</v>
      </c>
      <c r="E443" s="3" t="s">
        <v>5190</v>
      </c>
    </row>
    <row r="444" spans="1:5" x14ac:dyDescent="0.25">
      <c r="A444" s="3" t="s">
        <v>1928</v>
      </c>
      <c r="B444" s="6" t="s">
        <v>2826</v>
      </c>
      <c r="C444" s="3" t="s">
        <v>8378</v>
      </c>
      <c r="D444" s="3" t="s">
        <v>7110</v>
      </c>
      <c r="E444" s="3" t="s">
        <v>4833</v>
      </c>
    </row>
    <row r="445" spans="1:5" x14ac:dyDescent="0.25">
      <c r="A445" s="3" t="s">
        <v>1927</v>
      </c>
      <c r="B445" s="6" t="s">
        <v>2827</v>
      </c>
      <c r="C445" s="3" t="s">
        <v>8377</v>
      </c>
      <c r="D445" s="3" t="s">
        <v>7111</v>
      </c>
      <c r="E445" s="3" t="s">
        <v>5191</v>
      </c>
    </row>
    <row r="446" spans="1:5" x14ac:dyDescent="0.25">
      <c r="A446" s="3" t="s">
        <v>1926</v>
      </c>
      <c r="B446" s="6" t="s">
        <v>2828</v>
      </c>
      <c r="C446" s="3" t="s">
        <v>8377</v>
      </c>
      <c r="D446" s="3" t="s">
        <v>7112</v>
      </c>
      <c r="E446" s="3" t="s">
        <v>5192</v>
      </c>
    </row>
    <row r="447" spans="1:5" x14ac:dyDescent="0.25">
      <c r="A447" s="3" t="s">
        <v>1925</v>
      </c>
      <c r="B447" s="6" t="s">
        <v>2829</v>
      </c>
      <c r="C447" s="3" t="s">
        <v>8378</v>
      </c>
      <c r="D447" s="3" t="s">
        <v>6335</v>
      </c>
      <c r="E447" s="3" t="s">
        <v>5193</v>
      </c>
    </row>
    <row r="448" spans="1:5" x14ac:dyDescent="0.25">
      <c r="A448" s="3" t="s">
        <v>1924</v>
      </c>
      <c r="B448" s="6" t="s">
        <v>2830</v>
      </c>
      <c r="C448" s="3" t="s">
        <v>8377</v>
      </c>
      <c r="D448" s="3" t="s">
        <v>7113</v>
      </c>
      <c r="E448" s="3" t="s">
        <v>5194</v>
      </c>
    </row>
    <row r="449" spans="1:5" x14ac:dyDescent="0.25">
      <c r="A449" s="3" t="s">
        <v>1923</v>
      </c>
      <c r="B449" s="6" t="s">
        <v>2831</v>
      </c>
      <c r="C449" s="3" t="s">
        <v>8378</v>
      </c>
      <c r="D449" s="3" t="s">
        <v>7114</v>
      </c>
      <c r="E449" s="3" t="s">
        <v>5195</v>
      </c>
    </row>
    <row r="450" spans="1:5" x14ac:dyDescent="0.25">
      <c r="A450" s="3" t="s">
        <v>1922</v>
      </c>
      <c r="B450" s="6" t="s">
        <v>2832</v>
      </c>
      <c r="C450" s="3" t="s">
        <v>8378</v>
      </c>
      <c r="D450" s="3" t="s">
        <v>7115</v>
      </c>
      <c r="E450" s="3" t="s">
        <v>4765</v>
      </c>
    </row>
    <row r="451" spans="1:5" x14ac:dyDescent="0.25">
      <c r="A451" s="3" t="s">
        <v>1921</v>
      </c>
      <c r="B451" s="6" t="s">
        <v>2833</v>
      </c>
      <c r="C451" s="3" t="s">
        <v>8377</v>
      </c>
      <c r="D451" s="3" t="s">
        <v>7116</v>
      </c>
      <c r="E451" s="3" t="s">
        <v>5196</v>
      </c>
    </row>
    <row r="452" spans="1:5" x14ac:dyDescent="0.25">
      <c r="A452" s="3" t="s">
        <v>1920</v>
      </c>
      <c r="B452" s="6" t="s">
        <v>2834</v>
      </c>
      <c r="C452" s="3" t="s">
        <v>8377</v>
      </c>
      <c r="D452" s="3" t="s">
        <v>7117</v>
      </c>
      <c r="E452" s="3" t="s">
        <v>5102</v>
      </c>
    </row>
    <row r="453" spans="1:5" x14ac:dyDescent="0.25">
      <c r="A453" s="3" t="s">
        <v>1919</v>
      </c>
      <c r="B453" s="6" t="s">
        <v>2835</v>
      </c>
      <c r="C453" s="3" t="s">
        <v>8378</v>
      </c>
      <c r="D453" s="3" t="s">
        <v>7118</v>
      </c>
      <c r="E453" s="3" t="s">
        <v>4815</v>
      </c>
    </row>
    <row r="454" spans="1:5" x14ac:dyDescent="0.25">
      <c r="A454" s="3" t="s">
        <v>1918</v>
      </c>
      <c r="B454" s="6" t="s">
        <v>2836</v>
      </c>
      <c r="C454" s="3" t="s">
        <v>8377</v>
      </c>
      <c r="D454" s="3" t="s">
        <v>7119</v>
      </c>
      <c r="E454" s="3" t="s">
        <v>5197</v>
      </c>
    </row>
    <row r="455" spans="1:5" x14ac:dyDescent="0.25">
      <c r="A455" s="3" t="s">
        <v>1917</v>
      </c>
      <c r="B455" s="6" t="s">
        <v>2837</v>
      </c>
      <c r="C455" s="3" t="s">
        <v>8378</v>
      </c>
      <c r="D455" s="3" t="s">
        <v>6861</v>
      </c>
      <c r="E455" s="3" t="s">
        <v>5198</v>
      </c>
    </row>
    <row r="456" spans="1:5" x14ac:dyDescent="0.25">
      <c r="A456" s="3" t="s">
        <v>1916</v>
      </c>
      <c r="B456" s="6" t="s">
        <v>2838</v>
      </c>
      <c r="C456" s="3" t="s">
        <v>8378</v>
      </c>
      <c r="D456" s="3" t="s">
        <v>4769</v>
      </c>
      <c r="E456" s="3" t="s">
        <v>5199</v>
      </c>
    </row>
    <row r="457" spans="1:5" x14ac:dyDescent="0.25">
      <c r="A457" s="3" t="s">
        <v>1915</v>
      </c>
      <c r="B457" s="6" t="s">
        <v>2839</v>
      </c>
      <c r="C457" s="3" t="s">
        <v>8378</v>
      </c>
      <c r="D457" s="3" t="s">
        <v>5001</v>
      </c>
      <c r="E457" s="3" t="s">
        <v>5200</v>
      </c>
    </row>
    <row r="458" spans="1:5" x14ac:dyDescent="0.25">
      <c r="A458" s="3" t="s">
        <v>1914</v>
      </c>
      <c r="B458" s="6" t="s">
        <v>2840</v>
      </c>
      <c r="C458" s="3" t="s">
        <v>8378</v>
      </c>
      <c r="D458" s="3" t="s">
        <v>4833</v>
      </c>
      <c r="E458" s="3" t="s">
        <v>5201</v>
      </c>
    </row>
    <row r="459" spans="1:5" x14ac:dyDescent="0.25">
      <c r="A459" s="3" t="s">
        <v>1913</v>
      </c>
      <c r="B459" s="6" t="s">
        <v>2841</v>
      </c>
      <c r="C459" s="3" t="s">
        <v>8378</v>
      </c>
      <c r="D459" s="3" t="s">
        <v>7120</v>
      </c>
      <c r="E459" s="3" t="s">
        <v>5202</v>
      </c>
    </row>
    <row r="460" spans="1:5" x14ac:dyDescent="0.25">
      <c r="A460" s="3" t="s">
        <v>1912</v>
      </c>
      <c r="B460" s="6" t="s">
        <v>2842</v>
      </c>
      <c r="C460" s="3" t="s">
        <v>8377</v>
      </c>
      <c r="D460" s="3" t="s">
        <v>7121</v>
      </c>
      <c r="E460" s="3" t="s">
        <v>5203</v>
      </c>
    </row>
    <row r="461" spans="1:5" x14ac:dyDescent="0.25">
      <c r="A461" s="3" t="s">
        <v>1911</v>
      </c>
      <c r="B461" s="6" t="s">
        <v>2843</v>
      </c>
      <c r="C461" s="3" t="s">
        <v>8378</v>
      </c>
      <c r="D461" s="3" t="s">
        <v>7122</v>
      </c>
      <c r="E461" s="3" t="s">
        <v>4828</v>
      </c>
    </row>
    <row r="462" spans="1:5" x14ac:dyDescent="0.25">
      <c r="A462" s="3" t="s">
        <v>1910</v>
      </c>
      <c r="B462" s="6" t="s">
        <v>2844</v>
      </c>
      <c r="C462" s="3" t="s">
        <v>8377</v>
      </c>
      <c r="D462" s="3" t="s">
        <v>7123</v>
      </c>
      <c r="E462" s="3" t="s">
        <v>5051</v>
      </c>
    </row>
    <row r="463" spans="1:5" x14ac:dyDescent="0.25">
      <c r="A463" s="3" t="s">
        <v>1909</v>
      </c>
      <c r="B463" s="6" t="s">
        <v>2845</v>
      </c>
      <c r="C463" s="3" t="s">
        <v>8377</v>
      </c>
      <c r="D463" s="3" t="s">
        <v>6008</v>
      </c>
      <c r="E463" s="3" t="s">
        <v>4844</v>
      </c>
    </row>
    <row r="464" spans="1:5" x14ac:dyDescent="0.25">
      <c r="A464" s="3" t="s">
        <v>1908</v>
      </c>
      <c r="B464" s="6" t="s">
        <v>2846</v>
      </c>
      <c r="C464" s="3" t="s">
        <v>8377</v>
      </c>
      <c r="D464" s="3" t="s">
        <v>7124</v>
      </c>
      <c r="E464" s="3" t="s">
        <v>5204</v>
      </c>
    </row>
    <row r="465" spans="1:5" x14ac:dyDescent="0.25">
      <c r="A465" s="3" t="s">
        <v>1907</v>
      </c>
      <c r="B465" s="6" t="s">
        <v>2847</v>
      </c>
      <c r="C465" s="3" t="s">
        <v>8378</v>
      </c>
      <c r="D465" s="3" t="s">
        <v>7125</v>
      </c>
      <c r="E465" s="3" t="s">
        <v>5205</v>
      </c>
    </row>
    <row r="466" spans="1:5" x14ac:dyDescent="0.25">
      <c r="A466" s="3" t="s">
        <v>1906</v>
      </c>
      <c r="B466" s="6" t="s">
        <v>2848</v>
      </c>
      <c r="C466" s="3" t="s">
        <v>8377</v>
      </c>
      <c r="D466" s="3" t="s">
        <v>7062</v>
      </c>
      <c r="E466" s="3" t="s">
        <v>5206</v>
      </c>
    </row>
    <row r="467" spans="1:5" x14ac:dyDescent="0.25">
      <c r="A467" s="3" t="s">
        <v>1905</v>
      </c>
      <c r="B467" s="6" t="s">
        <v>2849</v>
      </c>
      <c r="C467" s="3" t="s">
        <v>8378</v>
      </c>
      <c r="D467" s="3" t="s">
        <v>7126</v>
      </c>
      <c r="E467" s="3" t="s">
        <v>5207</v>
      </c>
    </row>
    <row r="468" spans="1:5" x14ac:dyDescent="0.25">
      <c r="A468" s="3" t="s">
        <v>1904</v>
      </c>
      <c r="B468" s="6" t="s">
        <v>2850</v>
      </c>
      <c r="C468" s="3" t="s">
        <v>8378</v>
      </c>
      <c r="D468" s="3" t="s">
        <v>7127</v>
      </c>
      <c r="E468" s="3" t="s">
        <v>4831</v>
      </c>
    </row>
    <row r="469" spans="1:5" x14ac:dyDescent="0.25">
      <c r="A469" s="3" t="s">
        <v>1903</v>
      </c>
      <c r="B469" s="6" t="s">
        <v>2851</v>
      </c>
      <c r="C469" s="3" t="s">
        <v>8377</v>
      </c>
      <c r="D469" s="3" t="s">
        <v>7128</v>
      </c>
      <c r="E469" s="3" t="s">
        <v>5208</v>
      </c>
    </row>
    <row r="470" spans="1:5" x14ac:dyDescent="0.25">
      <c r="A470" s="3" t="s">
        <v>1902</v>
      </c>
      <c r="B470" s="6" t="s">
        <v>2852</v>
      </c>
      <c r="C470" s="3" t="s">
        <v>8377</v>
      </c>
      <c r="D470" s="3" t="s">
        <v>7129</v>
      </c>
      <c r="E470" s="3" t="s">
        <v>5209</v>
      </c>
    </row>
    <row r="471" spans="1:5" x14ac:dyDescent="0.25">
      <c r="A471" s="3" t="s">
        <v>1901</v>
      </c>
      <c r="B471" s="6" t="s">
        <v>2853</v>
      </c>
      <c r="C471" s="3" t="s">
        <v>8378</v>
      </c>
      <c r="D471" s="3" t="s">
        <v>7130</v>
      </c>
      <c r="E471" s="3" t="s">
        <v>5210</v>
      </c>
    </row>
    <row r="472" spans="1:5" x14ac:dyDescent="0.25">
      <c r="A472" s="3" t="s">
        <v>1900</v>
      </c>
      <c r="B472" s="6" t="s">
        <v>2854</v>
      </c>
      <c r="C472" s="3" t="s">
        <v>8378</v>
      </c>
      <c r="D472" s="3" t="s">
        <v>7131</v>
      </c>
      <c r="E472" s="3" t="s">
        <v>5211</v>
      </c>
    </row>
    <row r="473" spans="1:5" x14ac:dyDescent="0.25">
      <c r="A473" s="3" t="s">
        <v>1899</v>
      </c>
      <c r="B473" s="6" t="s">
        <v>2855</v>
      </c>
      <c r="C473" s="3" t="s">
        <v>8378</v>
      </c>
      <c r="D473" s="3" t="s">
        <v>6940</v>
      </c>
      <c r="E473" s="3" t="s">
        <v>5212</v>
      </c>
    </row>
    <row r="474" spans="1:5" x14ac:dyDescent="0.25">
      <c r="A474" s="3" t="s">
        <v>1898</v>
      </c>
      <c r="B474" s="6" t="s">
        <v>2856</v>
      </c>
      <c r="C474" s="3" t="s">
        <v>8378</v>
      </c>
      <c r="D474" s="3" t="s">
        <v>7132</v>
      </c>
      <c r="E474" s="3" t="s">
        <v>5004</v>
      </c>
    </row>
    <row r="475" spans="1:5" x14ac:dyDescent="0.25">
      <c r="A475" s="3" t="s">
        <v>1897</v>
      </c>
      <c r="B475" s="6" t="s">
        <v>2857</v>
      </c>
      <c r="C475" s="3" t="s">
        <v>8378</v>
      </c>
      <c r="D475" s="3" t="s">
        <v>4772</v>
      </c>
      <c r="E475" s="3" t="s">
        <v>5213</v>
      </c>
    </row>
    <row r="476" spans="1:5" x14ac:dyDescent="0.25">
      <c r="A476" s="3" t="s">
        <v>1896</v>
      </c>
      <c r="B476" s="6" t="s">
        <v>2858</v>
      </c>
      <c r="C476" s="3" t="s">
        <v>8378</v>
      </c>
      <c r="D476" s="3" t="s">
        <v>7133</v>
      </c>
      <c r="E476" s="3" t="s">
        <v>5214</v>
      </c>
    </row>
    <row r="477" spans="1:5" x14ac:dyDescent="0.25">
      <c r="A477" s="3" t="s">
        <v>1894</v>
      </c>
      <c r="B477" s="6" t="s">
        <v>2859</v>
      </c>
      <c r="C477" s="3" t="s">
        <v>8378</v>
      </c>
      <c r="D477" s="3" t="s">
        <v>7134</v>
      </c>
      <c r="E477" s="3" t="s">
        <v>5215</v>
      </c>
    </row>
    <row r="478" spans="1:5" x14ac:dyDescent="0.25">
      <c r="A478" s="3" t="s">
        <v>1893</v>
      </c>
      <c r="B478" s="6" t="s">
        <v>2860</v>
      </c>
      <c r="C478" s="3" t="s">
        <v>8377</v>
      </c>
      <c r="D478" s="3" t="s">
        <v>7135</v>
      </c>
      <c r="E478" s="3" t="s">
        <v>5216</v>
      </c>
    </row>
    <row r="479" spans="1:5" x14ac:dyDescent="0.25">
      <c r="A479" s="3" t="s">
        <v>1892</v>
      </c>
      <c r="B479" s="6" t="s">
        <v>2861</v>
      </c>
      <c r="C479" s="3" t="s">
        <v>8378</v>
      </c>
      <c r="D479" s="3" t="s">
        <v>7136</v>
      </c>
      <c r="E479" s="3" t="s">
        <v>5217</v>
      </c>
    </row>
    <row r="480" spans="1:5" x14ac:dyDescent="0.25">
      <c r="A480" s="3" t="s">
        <v>1891</v>
      </c>
      <c r="B480" s="6" t="s">
        <v>2862</v>
      </c>
      <c r="C480" s="3" t="s">
        <v>8378</v>
      </c>
      <c r="D480" s="3" t="s">
        <v>7137</v>
      </c>
      <c r="E480" s="3" t="s">
        <v>5218</v>
      </c>
    </row>
    <row r="481" spans="1:5" x14ac:dyDescent="0.25">
      <c r="A481" s="3" t="s">
        <v>1890</v>
      </c>
      <c r="B481" s="6" t="s">
        <v>2863</v>
      </c>
      <c r="C481" s="3" t="s">
        <v>8378</v>
      </c>
      <c r="D481" s="3" t="s">
        <v>7138</v>
      </c>
      <c r="E481" s="3" t="s">
        <v>5219</v>
      </c>
    </row>
    <row r="482" spans="1:5" x14ac:dyDescent="0.25">
      <c r="A482" s="3" t="s">
        <v>1889</v>
      </c>
      <c r="B482" s="6" t="s">
        <v>2864</v>
      </c>
      <c r="C482" s="3" t="s">
        <v>8378</v>
      </c>
      <c r="D482" s="3" t="s">
        <v>6905</v>
      </c>
      <c r="E482" s="3" t="s">
        <v>5220</v>
      </c>
    </row>
    <row r="483" spans="1:5" x14ac:dyDescent="0.25">
      <c r="A483" s="3" t="s">
        <v>1888</v>
      </c>
      <c r="B483" s="6" t="s">
        <v>2865</v>
      </c>
      <c r="C483" s="3" t="s">
        <v>8378</v>
      </c>
      <c r="D483" s="3" t="s">
        <v>7139</v>
      </c>
      <c r="E483" s="3" t="s">
        <v>5221</v>
      </c>
    </row>
    <row r="484" spans="1:5" x14ac:dyDescent="0.25">
      <c r="A484" s="3" t="s">
        <v>1887</v>
      </c>
      <c r="B484" s="6" t="s">
        <v>2866</v>
      </c>
      <c r="C484" s="3" t="s">
        <v>8377</v>
      </c>
      <c r="D484" s="3" t="s">
        <v>7140</v>
      </c>
      <c r="E484" s="3" t="s">
        <v>5222</v>
      </c>
    </row>
    <row r="485" spans="1:5" x14ac:dyDescent="0.25">
      <c r="A485" s="3" t="s">
        <v>1886</v>
      </c>
      <c r="B485" s="6" t="s">
        <v>2867</v>
      </c>
      <c r="C485" s="3" t="s">
        <v>8377</v>
      </c>
      <c r="D485" s="3" t="s">
        <v>7141</v>
      </c>
      <c r="E485" s="3" t="s">
        <v>4894</v>
      </c>
    </row>
    <row r="486" spans="1:5" x14ac:dyDescent="0.25">
      <c r="A486" s="3" t="s">
        <v>1885</v>
      </c>
      <c r="B486" s="6" t="s">
        <v>2868</v>
      </c>
      <c r="C486" s="3" t="s">
        <v>8378</v>
      </c>
      <c r="D486" s="3" t="s">
        <v>6882</v>
      </c>
      <c r="E486" s="3" t="s">
        <v>5223</v>
      </c>
    </row>
    <row r="487" spans="1:5" x14ac:dyDescent="0.25">
      <c r="A487" s="3" t="s">
        <v>1884</v>
      </c>
      <c r="B487" s="6" t="s">
        <v>2869</v>
      </c>
      <c r="C487" s="3" t="s">
        <v>8378</v>
      </c>
      <c r="D487" s="3" t="s">
        <v>6810</v>
      </c>
      <c r="E487" s="3" t="s">
        <v>5081</v>
      </c>
    </row>
    <row r="488" spans="1:5" x14ac:dyDescent="0.25">
      <c r="A488" s="3" t="s">
        <v>1883</v>
      </c>
      <c r="B488" s="6" t="s">
        <v>2870</v>
      </c>
      <c r="C488" s="3" t="s">
        <v>8379</v>
      </c>
      <c r="D488" s="3" t="s">
        <v>7142</v>
      </c>
      <c r="E488" s="3" t="s">
        <v>5224</v>
      </c>
    </row>
    <row r="489" spans="1:5" x14ac:dyDescent="0.25">
      <c r="A489" s="3" t="s">
        <v>1882</v>
      </c>
      <c r="B489" s="6" t="s">
        <v>2871</v>
      </c>
      <c r="C489" s="3" t="s">
        <v>8377</v>
      </c>
      <c r="D489" s="3" t="s">
        <v>7143</v>
      </c>
      <c r="E489" s="3" t="s">
        <v>5225</v>
      </c>
    </row>
    <row r="490" spans="1:5" x14ac:dyDescent="0.25">
      <c r="A490" s="3" t="s">
        <v>1881</v>
      </c>
      <c r="B490" s="6" t="s">
        <v>2872</v>
      </c>
      <c r="C490" s="3" t="s">
        <v>8378</v>
      </c>
      <c r="D490" s="3" t="s">
        <v>6862</v>
      </c>
      <c r="E490" s="3" t="s">
        <v>5226</v>
      </c>
    </row>
    <row r="491" spans="1:5" x14ac:dyDescent="0.25">
      <c r="A491" s="3" t="s">
        <v>1880</v>
      </c>
      <c r="B491" s="6" t="s">
        <v>2873</v>
      </c>
      <c r="C491" s="3" t="s">
        <v>8378</v>
      </c>
      <c r="D491" s="3" t="s">
        <v>4769</v>
      </c>
      <c r="E491" s="3" t="s">
        <v>5227</v>
      </c>
    </row>
    <row r="492" spans="1:5" x14ac:dyDescent="0.25">
      <c r="A492" s="3" t="s">
        <v>1879</v>
      </c>
      <c r="B492" s="6" t="s">
        <v>2874</v>
      </c>
      <c r="C492" s="3" t="s">
        <v>8377</v>
      </c>
      <c r="D492" s="3" t="s">
        <v>7144</v>
      </c>
      <c r="E492" s="3" t="s">
        <v>5228</v>
      </c>
    </row>
    <row r="493" spans="1:5" x14ac:dyDescent="0.25">
      <c r="A493" s="3" t="s">
        <v>1878</v>
      </c>
      <c r="B493" s="6" t="s">
        <v>2875</v>
      </c>
      <c r="C493" s="3" t="s">
        <v>8377</v>
      </c>
      <c r="D493" s="3" t="s">
        <v>7145</v>
      </c>
      <c r="E493" s="3" t="s">
        <v>5229</v>
      </c>
    </row>
    <row r="494" spans="1:5" x14ac:dyDescent="0.25">
      <c r="A494" s="3" t="s">
        <v>1877</v>
      </c>
      <c r="B494" s="6" t="s">
        <v>2876</v>
      </c>
      <c r="C494" s="3" t="s">
        <v>8377</v>
      </c>
      <c r="D494" s="3" t="s">
        <v>7002</v>
      </c>
      <c r="E494" s="3" t="s">
        <v>5230</v>
      </c>
    </row>
    <row r="495" spans="1:5" x14ac:dyDescent="0.25">
      <c r="A495" s="3" t="s">
        <v>1876</v>
      </c>
      <c r="B495" s="6" t="s">
        <v>2877</v>
      </c>
      <c r="C495" s="3" t="s">
        <v>8378</v>
      </c>
      <c r="D495" s="3" t="s">
        <v>7146</v>
      </c>
      <c r="E495" s="3" t="s">
        <v>5231</v>
      </c>
    </row>
    <row r="496" spans="1:5" x14ac:dyDescent="0.25">
      <c r="A496" s="3" t="s">
        <v>1875</v>
      </c>
      <c r="B496" s="6" t="s">
        <v>2878</v>
      </c>
      <c r="C496" s="3" t="s">
        <v>8378</v>
      </c>
      <c r="D496" s="3" t="s">
        <v>7147</v>
      </c>
      <c r="E496" s="3" t="s">
        <v>5220</v>
      </c>
    </row>
    <row r="497" spans="1:5" x14ac:dyDescent="0.25">
      <c r="A497" s="3" t="s">
        <v>1874</v>
      </c>
      <c r="B497" s="6" t="s">
        <v>2879</v>
      </c>
      <c r="C497" s="3" t="s">
        <v>8379</v>
      </c>
      <c r="D497" s="3" t="s">
        <v>6831</v>
      </c>
      <c r="E497" s="3" t="s">
        <v>5232</v>
      </c>
    </row>
    <row r="498" spans="1:5" x14ac:dyDescent="0.25">
      <c r="A498" s="3" t="s">
        <v>1873</v>
      </c>
      <c r="B498" s="6" t="s">
        <v>2880</v>
      </c>
      <c r="C498" s="3" t="s">
        <v>8377</v>
      </c>
      <c r="D498" s="3" t="s">
        <v>7148</v>
      </c>
      <c r="E498" s="3" t="s">
        <v>5233</v>
      </c>
    </row>
    <row r="499" spans="1:5" x14ac:dyDescent="0.25">
      <c r="A499" s="3" t="s">
        <v>1872</v>
      </c>
      <c r="B499" s="6" t="s">
        <v>2881</v>
      </c>
      <c r="C499" s="3" t="s">
        <v>8378</v>
      </c>
      <c r="D499" s="3" t="s">
        <v>7149</v>
      </c>
      <c r="E499" s="3" t="s">
        <v>5234</v>
      </c>
    </row>
    <row r="500" spans="1:5" x14ac:dyDescent="0.25">
      <c r="A500" s="3" t="s">
        <v>1871</v>
      </c>
      <c r="B500" s="6" t="s">
        <v>2882</v>
      </c>
      <c r="C500" s="3" t="s">
        <v>8377</v>
      </c>
      <c r="D500" s="3" t="s">
        <v>7150</v>
      </c>
      <c r="E500" s="3" t="s">
        <v>5235</v>
      </c>
    </row>
    <row r="501" spans="1:5" x14ac:dyDescent="0.25">
      <c r="A501" s="3" t="s">
        <v>1870</v>
      </c>
      <c r="B501" s="6" t="s">
        <v>2883</v>
      </c>
      <c r="C501" s="3" t="s">
        <v>8377</v>
      </c>
      <c r="D501" s="3" t="s">
        <v>6831</v>
      </c>
      <c r="E501" s="3" t="s">
        <v>5236</v>
      </c>
    </row>
    <row r="502" spans="1:5" x14ac:dyDescent="0.25">
      <c r="A502" s="3" t="s">
        <v>1869</v>
      </c>
      <c r="B502" s="6" t="s">
        <v>2884</v>
      </c>
      <c r="C502" s="3" t="s">
        <v>8378</v>
      </c>
      <c r="D502" s="3" t="s">
        <v>7151</v>
      </c>
      <c r="E502" s="3" t="s">
        <v>5237</v>
      </c>
    </row>
    <row r="503" spans="1:5" x14ac:dyDescent="0.25">
      <c r="A503" s="3" t="s">
        <v>1868</v>
      </c>
      <c r="B503" s="6" t="s">
        <v>2885</v>
      </c>
      <c r="C503" s="3" t="s">
        <v>8378</v>
      </c>
      <c r="D503" s="3" t="s">
        <v>7152</v>
      </c>
      <c r="E503" s="3" t="s">
        <v>4833</v>
      </c>
    </row>
    <row r="504" spans="1:5" x14ac:dyDescent="0.25">
      <c r="A504" s="3" t="s">
        <v>1867</v>
      </c>
      <c r="B504" s="6" t="s">
        <v>2886</v>
      </c>
      <c r="C504" s="3" t="s">
        <v>8377</v>
      </c>
      <c r="D504" s="3" t="s">
        <v>7153</v>
      </c>
      <c r="E504" s="3" t="s">
        <v>5238</v>
      </c>
    </row>
    <row r="505" spans="1:5" x14ac:dyDescent="0.25">
      <c r="A505" s="3" t="s">
        <v>1866</v>
      </c>
      <c r="B505" s="6" t="s">
        <v>2887</v>
      </c>
      <c r="C505" s="3" t="s">
        <v>8377</v>
      </c>
      <c r="D505" s="3" t="s">
        <v>7154</v>
      </c>
      <c r="E505" s="3" t="s">
        <v>5239</v>
      </c>
    </row>
    <row r="506" spans="1:5" x14ac:dyDescent="0.25">
      <c r="A506" s="3" t="s">
        <v>1865</v>
      </c>
      <c r="B506" s="6" t="s">
        <v>2888</v>
      </c>
      <c r="C506" s="3" t="s">
        <v>8377</v>
      </c>
      <c r="D506" s="3" t="s">
        <v>6818</v>
      </c>
      <c r="E506" s="3" t="s">
        <v>5240</v>
      </c>
    </row>
    <row r="507" spans="1:5" x14ac:dyDescent="0.25">
      <c r="A507" s="3" t="s">
        <v>1864</v>
      </c>
      <c r="B507" s="6" t="s">
        <v>2889</v>
      </c>
      <c r="C507" s="3" t="s">
        <v>8377</v>
      </c>
      <c r="D507" s="3" t="s">
        <v>7155</v>
      </c>
      <c r="E507" s="3" t="s">
        <v>5241</v>
      </c>
    </row>
    <row r="508" spans="1:5" x14ac:dyDescent="0.25">
      <c r="A508" s="3" t="s">
        <v>1863</v>
      </c>
      <c r="B508" s="6" t="s">
        <v>2890</v>
      </c>
      <c r="C508" s="3" t="s">
        <v>8378</v>
      </c>
      <c r="D508" s="3" t="s">
        <v>7156</v>
      </c>
      <c r="E508" s="3" t="s">
        <v>5242</v>
      </c>
    </row>
    <row r="509" spans="1:5" x14ac:dyDescent="0.25">
      <c r="A509" s="3" t="s">
        <v>1862</v>
      </c>
      <c r="B509" s="6" t="s">
        <v>2891</v>
      </c>
      <c r="C509" s="3" t="s">
        <v>8378</v>
      </c>
      <c r="D509" s="3" t="s">
        <v>7157</v>
      </c>
      <c r="E509" s="3" t="s">
        <v>5243</v>
      </c>
    </row>
    <row r="510" spans="1:5" x14ac:dyDescent="0.25">
      <c r="A510" s="3" t="s">
        <v>1861</v>
      </c>
      <c r="B510" s="6" t="s">
        <v>2892</v>
      </c>
      <c r="C510" s="3" t="s">
        <v>8377</v>
      </c>
      <c r="D510" s="3" t="s">
        <v>7158</v>
      </c>
      <c r="E510" s="3" t="s">
        <v>5244</v>
      </c>
    </row>
    <row r="511" spans="1:5" x14ac:dyDescent="0.25">
      <c r="A511" s="3" t="s">
        <v>1860</v>
      </c>
      <c r="B511" s="6" t="s">
        <v>2893</v>
      </c>
      <c r="C511" s="3" t="s">
        <v>8378</v>
      </c>
      <c r="D511" s="3" t="s">
        <v>7159</v>
      </c>
      <c r="E511" s="3" t="s">
        <v>5245</v>
      </c>
    </row>
    <row r="512" spans="1:5" x14ac:dyDescent="0.25">
      <c r="A512" s="3" t="s">
        <v>1859</v>
      </c>
      <c r="B512" s="6" t="s">
        <v>2894</v>
      </c>
      <c r="C512" s="3" t="s">
        <v>8378</v>
      </c>
      <c r="D512" s="3" t="s">
        <v>7045</v>
      </c>
      <c r="E512" s="3" t="s">
        <v>5246</v>
      </c>
    </row>
    <row r="513" spans="1:5" x14ac:dyDescent="0.25">
      <c r="A513" s="3" t="s">
        <v>1858</v>
      </c>
      <c r="B513" s="6" t="s">
        <v>2895</v>
      </c>
      <c r="C513" s="3" t="s">
        <v>8378</v>
      </c>
      <c r="D513" s="3" t="s">
        <v>6882</v>
      </c>
      <c r="E513" s="3" t="s">
        <v>5247</v>
      </c>
    </row>
    <row r="514" spans="1:5" x14ac:dyDescent="0.25">
      <c r="A514" s="3" t="s">
        <v>1857</v>
      </c>
      <c r="B514" s="6" t="s">
        <v>2896</v>
      </c>
      <c r="C514" s="3" t="s">
        <v>8378</v>
      </c>
      <c r="D514" s="3" t="s">
        <v>6586</v>
      </c>
      <c r="E514" s="3" t="s">
        <v>5248</v>
      </c>
    </row>
    <row r="515" spans="1:5" x14ac:dyDescent="0.25">
      <c r="A515" s="3" t="s">
        <v>1856</v>
      </c>
      <c r="B515" s="6" t="s">
        <v>2897</v>
      </c>
      <c r="C515" s="3" t="s">
        <v>8377</v>
      </c>
      <c r="D515" s="3" t="s">
        <v>7160</v>
      </c>
      <c r="E515" s="3" t="s">
        <v>5249</v>
      </c>
    </row>
    <row r="516" spans="1:5" x14ac:dyDescent="0.25">
      <c r="A516" s="3" t="s">
        <v>1855</v>
      </c>
      <c r="B516" s="6" t="s">
        <v>2898</v>
      </c>
      <c r="C516" s="3" t="s">
        <v>8378</v>
      </c>
      <c r="D516" s="3" t="s">
        <v>7161</v>
      </c>
      <c r="E516" s="3" t="s">
        <v>5250</v>
      </c>
    </row>
    <row r="517" spans="1:5" x14ac:dyDescent="0.25">
      <c r="A517" s="3" t="s">
        <v>1854</v>
      </c>
      <c r="B517" s="6" t="s">
        <v>2899</v>
      </c>
      <c r="C517" s="3" t="s">
        <v>8378</v>
      </c>
      <c r="D517" s="3" t="s">
        <v>6807</v>
      </c>
      <c r="E517" s="3" t="s">
        <v>5251</v>
      </c>
    </row>
    <row r="518" spans="1:5" x14ac:dyDescent="0.25">
      <c r="A518" s="3" t="s">
        <v>1853</v>
      </c>
      <c r="B518" s="6" t="s">
        <v>2900</v>
      </c>
      <c r="C518" s="3" t="s">
        <v>8377</v>
      </c>
      <c r="D518" s="3" t="s">
        <v>6840</v>
      </c>
      <c r="E518" s="3" t="s">
        <v>5252</v>
      </c>
    </row>
    <row r="519" spans="1:5" x14ac:dyDescent="0.25">
      <c r="A519" s="3" t="s">
        <v>1852</v>
      </c>
      <c r="B519" s="6" t="s">
        <v>2901</v>
      </c>
      <c r="C519" s="3" t="s">
        <v>8377</v>
      </c>
      <c r="D519" s="3" t="s">
        <v>7150</v>
      </c>
      <c r="E519" s="3" t="s">
        <v>5253</v>
      </c>
    </row>
    <row r="520" spans="1:5" x14ac:dyDescent="0.25">
      <c r="A520" s="3" t="s">
        <v>1851</v>
      </c>
      <c r="B520" s="6" t="s">
        <v>2902</v>
      </c>
      <c r="C520" s="3" t="s">
        <v>8378</v>
      </c>
      <c r="D520" s="3" t="s">
        <v>7076</v>
      </c>
      <c r="E520" s="3" t="s">
        <v>5254</v>
      </c>
    </row>
    <row r="521" spans="1:5" x14ac:dyDescent="0.25">
      <c r="A521" s="3" t="s">
        <v>1850</v>
      </c>
      <c r="B521" s="6" t="s">
        <v>2903</v>
      </c>
      <c r="C521" s="3" t="s">
        <v>8377</v>
      </c>
      <c r="D521" s="3" t="s">
        <v>7162</v>
      </c>
      <c r="E521" s="3" t="s">
        <v>5255</v>
      </c>
    </row>
    <row r="522" spans="1:5" x14ac:dyDescent="0.25">
      <c r="A522" s="3" t="s">
        <v>1849</v>
      </c>
      <c r="B522" s="6" t="s">
        <v>2904</v>
      </c>
      <c r="C522" s="3" t="s">
        <v>8378</v>
      </c>
      <c r="D522" s="3" t="s">
        <v>7163</v>
      </c>
      <c r="E522" s="3" t="s">
        <v>5256</v>
      </c>
    </row>
    <row r="523" spans="1:5" x14ac:dyDescent="0.25">
      <c r="A523" s="3" t="s">
        <v>1848</v>
      </c>
      <c r="B523" s="6" t="s">
        <v>2905</v>
      </c>
      <c r="C523" s="3" t="s">
        <v>8378</v>
      </c>
      <c r="D523" s="3" t="s">
        <v>6774</v>
      </c>
      <c r="E523" s="3" t="s">
        <v>5257</v>
      </c>
    </row>
    <row r="524" spans="1:5" x14ac:dyDescent="0.25">
      <c r="A524" s="3" t="s">
        <v>1847</v>
      </c>
      <c r="B524" s="6" t="s">
        <v>2906</v>
      </c>
      <c r="C524" s="3" t="s">
        <v>8377</v>
      </c>
      <c r="D524" s="3" t="s">
        <v>7164</v>
      </c>
      <c r="E524" s="3" t="s">
        <v>5258</v>
      </c>
    </row>
    <row r="525" spans="1:5" x14ac:dyDescent="0.25">
      <c r="A525" s="3" t="s">
        <v>1846</v>
      </c>
      <c r="B525" s="6" t="s">
        <v>2907</v>
      </c>
      <c r="C525" s="3" t="s">
        <v>8379</v>
      </c>
      <c r="D525" s="3" t="s">
        <v>7165</v>
      </c>
      <c r="E525" s="3" t="s">
        <v>5259</v>
      </c>
    </row>
    <row r="526" spans="1:5" x14ac:dyDescent="0.25">
      <c r="A526" s="3" t="s">
        <v>1845</v>
      </c>
      <c r="B526" s="6" t="s">
        <v>2908</v>
      </c>
      <c r="C526" s="3" t="s">
        <v>8377</v>
      </c>
      <c r="D526" s="3" t="s">
        <v>7166</v>
      </c>
      <c r="E526" s="3" t="s">
        <v>5260</v>
      </c>
    </row>
    <row r="527" spans="1:5" x14ac:dyDescent="0.25">
      <c r="A527" s="3" t="s">
        <v>1844</v>
      </c>
      <c r="B527" s="6" t="s">
        <v>2909</v>
      </c>
      <c r="C527" s="3" t="s">
        <v>8377</v>
      </c>
      <c r="D527" s="3" t="s">
        <v>6911</v>
      </c>
      <c r="E527" s="3" t="s">
        <v>5261</v>
      </c>
    </row>
    <row r="528" spans="1:5" x14ac:dyDescent="0.25">
      <c r="A528" s="3" t="s">
        <v>1843</v>
      </c>
      <c r="B528" s="6" t="s">
        <v>2910</v>
      </c>
      <c r="C528" s="3" t="s">
        <v>8379</v>
      </c>
      <c r="D528" s="3" t="s">
        <v>7167</v>
      </c>
      <c r="E528" s="3" t="s">
        <v>5262</v>
      </c>
    </row>
    <row r="529" spans="1:5" x14ac:dyDescent="0.25">
      <c r="A529" s="3" t="s">
        <v>1842</v>
      </c>
      <c r="B529" s="6" t="s">
        <v>2911</v>
      </c>
      <c r="C529" s="3" t="s">
        <v>8377</v>
      </c>
      <c r="D529" s="3" t="s">
        <v>6008</v>
      </c>
      <c r="E529" s="3" t="s">
        <v>5263</v>
      </c>
    </row>
    <row r="530" spans="1:5" x14ac:dyDescent="0.25">
      <c r="A530" s="3" t="s">
        <v>1841</v>
      </c>
      <c r="B530" s="6" t="s">
        <v>2912</v>
      </c>
      <c r="C530" s="3" t="s">
        <v>8378</v>
      </c>
      <c r="D530" s="3" t="s">
        <v>6964</v>
      </c>
      <c r="E530" s="3" t="s">
        <v>5264</v>
      </c>
    </row>
    <row r="531" spans="1:5" x14ac:dyDescent="0.25">
      <c r="A531" s="3" t="s">
        <v>1840</v>
      </c>
      <c r="B531" s="6" t="s">
        <v>2913</v>
      </c>
      <c r="C531" s="3" t="s">
        <v>8378</v>
      </c>
      <c r="D531" s="3" t="s">
        <v>7168</v>
      </c>
      <c r="E531" s="3" t="s">
        <v>5265</v>
      </c>
    </row>
    <row r="532" spans="1:5" x14ac:dyDescent="0.25">
      <c r="A532" s="3" t="s">
        <v>1839</v>
      </c>
      <c r="B532" s="6" t="s">
        <v>2914</v>
      </c>
      <c r="C532" s="3" t="s">
        <v>8377</v>
      </c>
      <c r="D532" s="3" t="s">
        <v>7169</v>
      </c>
      <c r="E532" s="3" t="s">
        <v>5266</v>
      </c>
    </row>
    <row r="533" spans="1:5" x14ac:dyDescent="0.25">
      <c r="A533" s="3" t="s">
        <v>1838</v>
      </c>
      <c r="B533" s="6" t="s">
        <v>2915</v>
      </c>
      <c r="C533" s="3" t="s">
        <v>8378</v>
      </c>
      <c r="D533" s="3" t="s">
        <v>6873</v>
      </c>
      <c r="E533" s="3" t="s">
        <v>5267</v>
      </c>
    </row>
    <row r="534" spans="1:5" x14ac:dyDescent="0.25">
      <c r="A534" s="3" t="s">
        <v>1837</v>
      </c>
      <c r="B534" s="6" t="s">
        <v>2916</v>
      </c>
      <c r="C534" s="3" t="s">
        <v>8377</v>
      </c>
      <c r="D534" s="3" t="s">
        <v>7170</v>
      </c>
      <c r="E534" s="3" t="s">
        <v>5268</v>
      </c>
    </row>
    <row r="535" spans="1:5" x14ac:dyDescent="0.25">
      <c r="A535" s="3" t="s">
        <v>1836</v>
      </c>
      <c r="B535" s="6" t="s">
        <v>2917</v>
      </c>
      <c r="C535" s="3" t="s">
        <v>8378</v>
      </c>
      <c r="D535" s="3" t="s">
        <v>7157</v>
      </c>
      <c r="E535" s="3" t="s">
        <v>5269</v>
      </c>
    </row>
    <row r="536" spans="1:5" x14ac:dyDescent="0.25">
      <c r="A536" s="3" t="s">
        <v>1835</v>
      </c>
      <c r="B536" s="6" t="s">
        <v>2918</v>
      </c>
      <c r="C536" s="3" t="s">
        <v>8377</v>
      </c>
      <c r="D536" s="3" t="s">
        <v>7171</v>
      </c>
      <c r="E536" s="3" t="s">
        <v>5270</v>
      </c>
    </row>
    <row r="537" spans="1:5" x14ac:dyDescent="0.25">
      <c r="A537" s="3" t="s">
        <v>1834</v>
      </c>
      <c r="B537" s="6" t="s">
        <v>2919</v>
      </c>
      <c r="C537" s="3" t="s">
        <v>8378</v>
      </c>
      <c r="D537" s="3" t="s">
        <v>7172</v>
      </c>
      <c r="E537" s="3" t="s">
        <v>4833</v>
      </c>
    </row>
    <row r="538" spans="1:5" x14ac:dyDescent="0.25">
      <c r="A538" s="3" t="s">
        <v>1833</v>
      </c>
      <c r="B538" s="6" t="s">
        <v>2920</v>
      </c>
      <c r="C538" s="3" t="s">
        <v>8377</v>
      </c>
      <c r="D538" s="3" t="s">
        <v>7173</v>
      </c>
      <c r="E538" s="3" t="s">
        <v>5271</v>
      </c>
    </row>
    <row r="539" spans="1:5" x14ac:dyDescent="0.25">
      <c r="A539" s="3" t="s">
        <v>1832</v>
      </c>
      <c r="B539" s="6" t="s">
        <v>2921</v>
      </c>
      <c r="C539" s="3" t="s">
        <v>8377</v>
      </c>
      <c r="D539" s="3" t="s">
        <v>5022</v>
      </c>
      <c r="E539" s="3" t="s">
        <v>5272</v>
      </c>
    </row>
    <row r="540" spans="1:5" x14ac:dyDescent="0.25">
      <c r="A540" s="3" t="s">
        <v>1831</v>
      </c>
      <c r="B540" s="6" t="s">
        <v>2922</v>
      </c>
      <c r="C540" s="3" t="s">
        <v>8377</v>
      </c>
      <c r="D540" s="3" t="s">
        <v>7169</v>
      </c>
      <c r="E540" s="3" t="s">
        <v>5273</v>
      </c>
    </row>
    <row r="541" spans="1:5" x14ac:dyDescent="0.25">
      <c r="A541" s="3" t="s">
        <v>1830</v>
      </c>
      <c r="B541" s="6" t="s">
        <v>2923</v>
      </c>
      <c r="C541" s="3" t="s">
        <v>8378</v>
      </c>
      <c r="D541" s="3" t="s">
        <v>6807</v>
      </c>
      <c r="E541" s="3" t="s">
        <v>5274</v>
      </c>
    </row>
    <row r="542" spans="1:5" x14ac:dyDescent="0.25">
      <c r="A542" s="3" t="s">
        <v>1829</v>
      </c>
      <c r="B542" s="6" t="s">
        <v>2924</v>
      </c>
      <c r="C542" s="3" t="s">
        <v>8378</v>
      </c>
      <c r="D542" s="3" t="s">
        <v>7174</v>
      </c>
      <c r="E542" s="3" t="s">
        <v>5275</v>
      </c>
    </row>
    <row r="543" spans="1:5" x14ac:dyDescent="0.25">
      <c r="A543" s="3" t="s">
        <v>1828</v>
      </c>
      <c r="B543" s="6" t="s">
        <v>2925</v>
      </c>
      <c r="C543" s="3" t="s">
        <v>8378</v>
      </c>
      <c r="D543" s="3" t="s">
        <v>7175</v>
      </c>
      <c r="E543" s="3" t="s">
        <v>5276</v>
      </c>
    </row>
    <row r="544" spans="1:5" x14ac:dyDescent="0.25">
      <c r="A544" s="3" t="s">
        <v>1827</v>
      </c>
      <c r="B544" s="6" t="s">
        <v>2926</v>
      </c>
      <c r="C544" s="3" t="s">
        <v>8377</v>
      </c>
      <c r="D544" s="3" t="s">
        <v>6944</v>
      </c>
      <c r="E544" s="3" t="s">
        <v>5277</v>
      </c>
    </row>
    <row r="545" spans="1:5" x14ac:dyDescent="0.25">
      <c r="A545" s="3" t="s">
        <v>1826</v>
      </c>
      <c r="B545" s="6" t="s">
        <v>2927</v>
      </c>
      <c r="C545" s="3" t="s">
        <v>8377</v>
      </c>
      <c r="D545" s="3" t="s">
        <v>7176</v>
      </c>
      <c r="E545" s="3" t="s">
        <v>5278</v>
      </c>
    </row>
    <row r="546" spans="1:5" x14ac:dyDescent="0.25">
      <c r="A546" s="3" t="s">
        <v>1825</v>
      </c>
      <c r="B546" s="6" t="s">
        <v>2928</v>
      </c>
      <c r="C546" s="3" t="s">
        <v>8379</v>
      </c>
      <c r="D546" s="3" t="s">
        <v>7177</v>
      </c>
      <c r="E546" s="3" t="s">
        <v>5279</v>
      </c>
    </row>
    <row r="547" spans="1:5" x14ac:dyDescent="0.25">
      <c r="A547" s="3" t="s">
        <v>1824</v>
      </c>
      <c r="B547" s="6" t="s">
        <v>2929</v>
      </c>
      <c r="C547" s="3" t="s">
        <v>8378</v>
      </c>
      <c r="D547" s="3" t="s">
        <v>7058</v>
      </c>
      <c r="E547" s="3" t="s">
        <v>5280</v>
      </c>
    </row>
    <row r="548" spans="1:5" x14ac:dyDescent="0.25">
      <c r="A548" s="3" t="s">
        <v>1823</v>
      </c>
      <c r="B548" s="6" t="s">
        <v>2930</v>
      </c>
      <c r="C548" s="3" t="s">
        <v>8377</v>
      </c>
      <c r="D548" s="3" t="s">
        <v>7178</v>
      </c>
      <c r="E548" s="3" t="s">
        <v>5281</v>
      </c>
    </row>
    <row r="549" spans="1:5" x14ac:dyDescent="0.25">
      <c r="A549" s="3" t="s">
        <v>1822</v>
      </c>
      <c r="B549" s="6" t="s">
        <v>2931</v>
      </c>
      <c r="C549" s="3" t="s">
        <v>8378</v>
      </c>
      <c r="D549" s="3" t="s">
        <v>7179</v>
      </c>
      <c r="E549" s="3" t="s">
        <v>5282</v>
      </c>
    </row>
    <row r="550" spans="1:5" x14ac:dyDescent="0.25">
      <c r="A550" s="3" t="s">
        <v>1821</v>
      </c>
      <c r="B550" s="6" t="s">
        <v>2932</v>
      </c>
      <c r="C550" s="3" t="s">
        <v>8378</v>
      </c>
      <c r="D550" s="3" t="s">
        <v>7180</v>
      </c>
      <c r="E550" s="3" t="s">
        <v>5283</v>
      </c>
    </row>
    <row r="551" spans="1:5" x14ac:dyDescent="0.25">
      <c r="A551" s="3" t="s">
        <v>1820</v>
      </c>
      <c r="B551" s="6" t="s">
        <v>2933</v>
      </c>
      <c r="C551" s="3" t="s">
        <v>8378</v>
      </c>
      <c r="D551" s="3" t="s">
        <v>7181</v>
      </c>
      <c r="E551" s="3" t="s">
        <v>5284</v>
      </c>
    </row>
    <row r="552" spans="1:5" x14ac:dyDescent="0.25">
      <c r="A552" s="3" t="s">
        <v>1819</v>
      </c>
      <c r="B552" s="6" t="s">
        <v>2934</v>
      </c>
      <c r="C552" s="3" t="s">
        <v>8377</v>
      </c>
      <c r="D552" s="3" t="s">
        <v>7182</v>
      </c>
      <c r="E552" s="3" t="s">
        <v>5285</v>
      </c>
    </row>
    <row r="553" spans="1:5" x14ac:dyDescent="0.25">
      <c r="A553" s="3" t="s">
        <v>1818</v>
      </c>
      <c r="B553" s="6" t="s">
        <v>2935</v>
      </c>
      <c r="C553" s="3" t="s">
        <v>8378</v>
      </c>
      <c r="D553" s="3" t="s">
        <v>7131</v>
      </c>
      <c r="E553" s="3" t="s">
        <v>4942</v>
      </c>
    </row>
    <row r="554" spans="1:5" x14ac:dyDescent="0.25">
      <c r="A554" s="3" t="s">
        <v>1817</v>
      </c>
      <c r="B554" s="6" t="s">
        <v>2936</v>
      </c>
      <c r="C554" s="3" t="s">
        <v>8378</v>
      </c>
      <c r="D554" s="3" t="s">
        <v>7183</v>
      </c>
      <c r="E554" s="3" t="s">
        <v>5286</v>
      </c>
    </row>
    <row r="555" spans="1:5" x14ac:dyDescent="0.25">
      <c r="A555" s="3" t="s">
        <v>1816</v>
      </c>
      <c r="B555" s="6" t="s">
        <v>2937</v>
      </c>
      <c r="C555" s="3" t="s">
        <v>8377</v>
      </c>
      <c r="D555" s="3" t="s">
        <v>7184</v>
      </c>
      <c r="E555" s="3" t="s">
        <v>5287</v>
      </c>
    </row>
    <row r="556" spans="1:5" x14ac:dyDescent="0.25">
      <c r="A556" s="3" t="s">
        <v>1815</v>
      </c>
      <c r="B556" s="6" t="s">
        <v>2938</v>
      </c>
      <c r="C556" s="3" t="s">
        <v>8378</v>
      </c>
      <c r="D556" s="3" t="s">
        <v>6315</v>
      </c>
      <c r="E556" s="3" t="s">
        <v>5288</v>
      </c>
    </row>
    <row r="557" spans="1:5" x14ac:dyDescent="0.25">
      <c r="A557" s="3" t="s">
        <v>1814</v>
      </c>
      <c r="B557" s="6" t="s">
        <v>2939</v>
      </c>
      <c r="C557" s="3" t="s">
        <v>8378</v>
      </c>
      <c r="D557" s="3" t="s">
        <v>7185</v>
      </c>
      <c r="E557" s="3" t="s">
        <v>5289</v>
      </c>
    </row>
    <row r="558" spans="1:5" x14ac:dyDescent="0.25">
      <c r="A558" s="3" t="s">
        <v>1813</v>
      </c>
      <c r="B558" s="6" t="s">
        <v>2940</v>
      </c>
      <c r="C558" s="3" t="s">
        <v>8377</v>
      </c>
      <c r="D558" s="3" t="s">
        <v>7186</v>
      </c>
      <c r="E558" s="3" t="s">
        <v>5290</v>
      </c>
    </row>
    <row r="559" spans="1:5" x14ac:dyDescent="0.25">
      <c r="A559" s="3" t="s">
        <v>1812</v>
      </c>
      <c r="B559" s="6" t="s">
        <v>2941</v>
      </c>
      <c r="C559" s="3" t="s">
        <v>8378</v>
      </c>
      <c r="D559" s="3" t="s">
        <v>6829</v>
      </c>
      <c r="E559" s="3" t="s">
        <v>5291</v>
      </c>
    </row>
    <row r="560" spans="1:5" x14ac:dyDescent="0.25">
      <c r="A560" s="3" t="s">
        <v>1811</v>
      </c>
      <c r="B560" s="6" t="s">
        <v>2942</v>
      </c>
      <c r="C560" s="3" t="s">
        <v>8377</v>
      </c>
      <c r="D560" s="3" t="s">
        <v>7187</v>
      </c>
      <c r="E560" s="3" t="s">
        <v>5292</v>
      </c>
    </row>
    <row r="561" spans="1:5" x14ac:dyDescent="0.25">
      <c r="A561" s="3" t="s">
        <v>1810</v>
      </c>
      <c r="B561" s="6" t="s">
        <v>2943</v>
      </c>
      <c r="C561" s="3" t="s">
        <v>8378</v>
      </c>
      <c r="D561" s="3" t="s">
        <v>7188</v>
      </c>
      <c r="E561" s="3" t="s">
        <v>5293</v>
      </c>
    </row>
    <row r="562" spans="1:5" x14ac:dyDescent="0.25">
      <c r="A562" s="3" t="s">
        <v>1809</v>
      </c>
      <c r="B562" s="6" t="s">
        <v>2944</v>
      </c>
      <c r="C562" s="3" t="s">
        <v>8377</v>
      </c>
      <c r="D562" s="3" t="s">
        <v>7189</v>
      </c>
      <c r="E562" s="3" t="s">
        <v>5294</v>
      </c>
    </row>
    <row r="563" spans="1:5" x14ac:dyDescent="0.25">
      <c r="A563" s="3" t="s">
        <v>1808</v>
      </c>
      <c r="B563" s="6" t="s">
        <v>2945</v>
      </c>
      <c r="C563" s="3" t="s">
        <v>8378</v>
      </c>
      <c r="D563" s="3" t="s">
        <v>7190</v>
      </c>
      <c r="E563" s="3" t="s">
        <v>5295</v>
      </c>
    </row>
    <row r="564" spans="1:5" x14ac:dyDescent="0.25">
      <c r="A564" s="3" t="s">
        <v>1807</v>
      </c>
      <c r="B564" s="6" t="s">
        <v>2946</v>
      </c>
      <c r="C564" s="3" t="s">
        <v>8378</v>
      </c>
      <c r="D564" s="3" t="s">
        <v>7191</v>
      </c>
      <c r="E564" s="3" t="s">
        <v>5296</v>
      </c>
    </row>
    <row r="565" spans="1:5" x14ac:dyDescent="0.25">
      <c r="A565" s="3" t="s">
        <v>1806</v>
      </c>
      <c r="B565" s="6" t="s">
        <v>2947</v>
      </c>
      <c r="C565" s="3" t="s">
        <v>8377</v>
      </c>
      <c r="D565" s="3" t="s">
        <v>7192</v>
      </c>
      <c r="E565" s="3" t="s">
        <v>5297</v>
      </c>
    </row>
    <row r="566" spans="1:5" x14ac:dyDescent="0.25">
      <c r="A566" s="3" t="s">
        <v>1805</v>
      </c>
      <c r="B566" s="6" t="s">
        <v>2948</v>
      </c>
      <c r="C566" s="3" t="s">
        <v>8379</v>
      </c>
      <c r="D566" s="3" t="s">
        <v>7169</v>
      </c>
      <c r="E566" s="3" t="s">
        <v>5298</v>
      </c>
    </row>
    <row r="567" spans="1:5" x14ac:dyDescent="0.25">
      <c r="A567" s="3" t="s">
        <v>1804</v>
      </c>
      <c r="B567" s="6" t="s">
        <v>2949</v>
      </c>
      <c r="C567" s="3" t="s">
        <v>8378</v>
      </c>
      <c r="D567" s="3" t="s">
        <v>7193</v>
      </c>
      <c r="E567" s="3" t="s">
        <v>5299</v>
      </c>
    </row>
    <row r="568" spans="1:5" x14ac:dyDescent="0.25">
      <c r="A568" s="3" t="s">
        <v>1803</v>
      </c>
      <c r="B568" s="6" t="s">
        <v>2950</v>
      </c>
      <c r="C568" s="3" t="s">
        <v>8377</v>
      </c>
      <c r="D568" s="3" t="s">
        <v>7194</v>
      </c>
      <c r="E568" s="3" t="s">
        <v>5300</v>
      </c>
    </row>
    <row r="569" spans="1:5" x14ac:dyDescent="0.25">
      <c r="A569" s="3" t="s">
        <v>1802</v>
      </c>
      <c r="B569" s="6" t="s">
        <v>2951</v>
      </c>
      <c r="C569" s="3" t="s">
        <v>8377</v>
      </c>
      <c r="D569" s="3" t="s">
        <v>7195</v>
      </c>
      <c r="E569" s="3" t="s">
        <v>5301</v>
      </c>
    </row>
    <row r="570" spans="1:5" x14ac:dyDescent="0.25">
      <c r="A570" s="3" t="s">
        <v>1801</v>
      </c>
      <c r="B570" s="6" t="s">
        <v>2952</v>
      </c>
      <c r="C570" s="3" t="s">
        <v>8377</v>
      </c>
      <c r="D570" s="3" t="s">
        <v>7196</v>
      </c>
      <c r="E570" s="3" t="s">
        <v>5302</v>
      </c>
    </row>
    <row r="571" spans="1:5" x14ac:dyDescent="0.25">
      <c r="A571" s="3" t="s">
        <v>1800</v>
      </c>
      <c r="B571" s="6" t="s">
        <v>2953</v>
      </c>
      <c r="C571" s="3" t="s">
        <v>8378</v>
      </c>
      <c r="D571" s="3" t="s">
        <v>7197</v>
      </c>
      <c r="E571" s="3" t="s">
        <v>5303</v>
      </c>
    </row>
    <row r="572" spans="1:5" x14ac:dyDescent="0.25">
      <c r="A572" s="3" t="s">
        <v>1799</v>
      </c>
      <c r="B572" s="6" t="s">
        <v>2954</v>
      </c>
      <c r="C572" s="3" t="s">
        <v>8378</v>
      </c>
      <c r="D572" s="3" t="s">
        <v>7198</v>
      </c>
      <c r="E572" s="3" t="s">
        <v>5304</v>
      </c>
    </row>
    <row r="573" spans="1:5" x14ac:dyDescent="0.25">
      <c r="A573" s="3" t="s">
        <v>1798</v>
      </c>
      <c r="B573" s="6" t="s">
        <v>2955</v>
      </c>
      <c r="C573" s="3" t="s">
        <v>8378</v>
      </c>
      <c r="D573" s="3" t="s">
        <v>6921</v>
      </c>
      <c r="E573" s="3" t="s">
        <v>5305</v>
      </c>
    </row>
    <row r="574" spans="1:5" x14ac:dyDescent="0.25">
      <c r="A574" s="3" t="s">
        <v>1797</v>
      </c>
      <c r="B574" s="6" t="s">
        <v>2956</v>
      </c>
      <c r="C574" s="3" t="s">
        <v>8379</v>
      </c>
      <c r="D574" s="3" t="s">
        <v>7199</v>
      </c>
      <c r="E574" s="3" t="s">
        <v>5306</v>
      </c>
    </row>
    <row r="575" spans="1:5" x14ac:dyDescent="0.25">
      <c r="A575" s="3" t="s">
        <v>1796</v>
      </c>
      <c r="B575" s="6" t="s">
        <v>2957</v>
      </c>
      <c r="C575" s="3" t="s">
        <v>8378</v>
      </c>
      <c r="D575" s="3" t="s">
        <v>7200</v>
      </c>
      <c r="E575" s="3" t="s">
        <v>5307</v>
      </c>
    </row>
    <row r="576" spans="1:5" x14ac:dyDescent="0.25">
      <c r="A576" s="3" t="s">
        <v>1795</v>
      </c>
      <c r="B576" s="6" t="s">
        <v>2958</v>
      </c>
      <c r="C576" s="3" t="s">
        <v>8378</v>
      </c>
      <c r="D576" s="3" t="s">
        <v>7201</v>
      </c>
      <c r="E576" s="3" t="s">
        <v>5308</v>
      </c>
    </row>
    <row r="577" spans="1:5" x14ac:dyDescent="0.25">
      <c r="A577" s="3" t="s">
        <v>1794</v>
      </c>
      <c r="B577" s="6" t="s">
        <v>2959</v>
      </c>
      <c r="C577" s="3" t="s">
        <v>8377</v>
      </c>
      <c r="D577" s="3" t="s">
        <v>7202</v>
      </c>
      <c r="E577" s="3" t="s">
        <v>5309</v>
      </c>
    </row>
    <row r="578" spans="1:5" x14ac:dyDescent="0.25">
      <c r="A578" s="3" t="s">
        <v>1793</v>
      </c>
      <c r="B578" s="6" t="s">
        <v>2960</v>
      </c>
      <c r="C578" s="3" t="s">
        <v>8379</v>
      </c>
      <c r="D578" s="3" t="s">
        <v>6851</v>
      </c>
      <c r="E578" s="3" t="s">
        <v>5310</v>
      </c>
    </row>
    <row r="579" spans="1:5" x14ac:dyDescent="0.25">
      <c r="A579" s="3" t="s">
        <v>1792</v>
      </c>
      <c r="B579" s="6" t="s">
        <v>2961</v>
      </c>
      <c r="C579" s="3" t="s">
        <v>8378</v>
      </c>
      <c r="D579" s="3" t="s">
        <v>7203</v>
      </c>
      <c r="E579" s="3" t="s">
        <v>5311</v>
      </c>
    </row>
    <row r="580" spans="1:5" x14ac:dyDescent="0.25">
      <c r="A580" s="3" t="s">
        <v>1791</v>
      </c>
      <c r="B580" s="6" t="s">
        <v>2962</v>
      </c>
      <c r="C580" s="3" t="s">
        <v>8377</v>
      </c>
      <c r="D580" s="3" t="s">
        <v>7204</v>
      </c>
      <c r="E580" s="3" t="s">
        <v>5312</v>
      </c>
    </row>
    <row r="581" spans="1:5" x14ac:dyDescent="0.25">
      <c r="A581" s="3" t="s">
        <v>1790</v>
      </c>
      <c r="B581" s="6" t="s">
        <v>2963</v>
      </c>
      <c r="C581" s="3" t="s">
        <v>8377</v>
      </c>
      <c r="D581" s="3" t="s">
        <v>7205</v>
      </c>
      <c r="E581" s="3" t="s">
        <v>5313</v>
      </c>
    </row>
    <row r="582" spans="1:5" x14ac:dyDescent="0.25">
      <c r="A582" s="3" t="s">
        <v>1789</v>
      </c>
      <c r="B582" s="6" t="s">
        <v>2964</v>
      </c>
      <c r="C582" s="3" t="s">
        <v>8378</v>
      </c>
      <c r="D582" s="3" t="s">
        <v>7206</v>
      </c>
      <c r="E582" s="3" t="s">
        <v>5314</v>
      </c>
    </row>
    <row r="583" spans="1:5" x14ac:dyDescent="0.25">
      <c r="A583" s="3" t="s">
        <v>1788</v>
      </c>
      <c r="B583" s="6" t="s">
        <v>2965</v>
      </c>
      <c r="C583" s="3" t="s">
        <v>8378</v>
      </c>
      <c r="D583" s="3" t="s">
        <v>4766</v>
      </c>
      <c r="E583" s="3" t="s">
        <v>5315</v>
      </c>
    </row>
    <row r="584" spans="1:5" x14ac:dyDescent="0.25">
      <c r="A584" s="3" t="s">
        <v>1787</v>
      </c>
      <c r="B584" s="6" t="s">
        <v>2966</v>
      </c>
      <c r="C584" s="3" t="s">
        <v>8377</v>
      </c>
      <c r="D584" s="3" t="s">
        <v>7207</v>
      </c>
      <c r="E584" s="3" t="s">
        <v>5316</v>
      </c>
    </row>
    <row r="585" spans="1:5" x14ac:dyDescent="0.25">
      <c r="A585" s="3" t="s">
        <v>1786</v>
      </c>
      <c r="B585" s="6" t="s">
        <v>2967</v>
      </c>
      <c r="C585" s="3" t="s">
        <v>8378</v>
      </c>
      <c r="D585" s="3" t="s">
        <v>7087</v>
      </c>
      <c r="E585" s="3" t="s">
        <v>5317</v>
      </c>
    </row>
    <row r="586" spans="1:5" x14ac:dyDescent="0.25">
      <c r="A586" s="3" t="s">
        <v>1785</v>
      </c>
      <c r="B586" s="6" t="s">
        <v>2968</v>
      </c>
      <c r="C586" s="3" t="s">
        <v>8377</v>
      </c>
      <c r="D586" s="3" t="s">
        <v>7208</v>
      </c>
      <c r="E586" s="3" t="s">
        <v>5318</v>
      </c>
    </row>
    <row r="587" spans="1:5" x14ac:dyDescent="0.25">
      <c r="A587" s="3" t="s">
        <v>1784</v>
      </c>
      <c r="B587" s="6" t="s">
        <v>2969</v>
      </c>
      <c r="C587" s="3" t="s">
        <v>8377</v>
      </c>
      <c r="D587" s="3" t="s">
        <v>7049</v>
      </c>
      <c r="E587" s="3" t="s">
        <v>5319</v>
      </c>
    </row>
    <row r="588" spans="1:5" x14ac:dyDescent="0.25">
      <c r="A588" s="3" t="s">
        <v>1783</v>
      </c>
      <c r="B588" s="6" t="s">
        <v>2970</v>
      </c>
      <c r="C588" s="3" t="s">
        <v>8377</v>
      </c>
      <c r="D588" s="3" t="s">
        <v>7209</v>
      </c>
      <c r="E588" s="3" t="s">
        <v>5320</v>
      </c>
    </row>
    <row r="589" spans="1:5" x14ac:dyDescent="0.25">
      <c r="A589" s="3" t="s">
        <v>1782</v>
      </c>
      <c r="B589" s="6" t="s">
        <v>2971</v>
      </c>
      <c r="C589" s="3" t="s">
        <v>8377</v>
      </c>
      <c r="D589" s="3" t="s">
        <v>7210</v>
      </c>
      <c r="E589" s="3" t="s">
        <v>5321</v>
      </c>
    </row>
    <row r="590" spans="1:5" x14ac:dyDescent="0.25">
      <c r="A590" s="3" t="s">
        <v>1781</v>
      </c>
      <c r="B590" s="6" t="s">
        <v>2972</v>
      </c>
      <c r="C590" s="3" t="s">
        <v>8379</v>
      </c>
      <c r="D590" s="3" t="s">
        <v>4836</v>
      </c>
      <c r="E590" s="3" t="s">
        <v>4842</v>
      </c>
    </row>
    <row r="591" spans="1:5" x14ac:dyDescent="0.25">
      <c r="A591" s="3" t="s">
        <v>1780</v>
      </c>
      <c r="B591" s="6" t="s">
        <v>2973</v>
      </c>
      <c r="C591" s="3" t="s">
        <v>8377</v>
      </c>
      <c r="D591" s="3" t="s">
        <v>7211</v>
      </c>
      <c r="E591" s="3" t="s">
        <v>5322</v>
      </c>
    </row>
    <row r="592" spans="1:5" x14ac:dyDescent="0.25">
      <c r="A592" s="3" t="s">
        <v>1779</v>
      </c>
      <c r="B592" s="6" t="s">
        <v>2974</v>
      </c>
      <c r="C592" s="3" t="s">
        <v>8378</v>
      </c>
      <c r="D592" s="3" t="s">
        <v>6967</v>
      </c>
      <c r="E592" s="3" t="s">
        <v>5323</v>
      </c>
    </row>
    <row r="593" spans="1:5" x14ac:dyDescent="0.25">
      <c r="A593" s="3" t="s">
        <v>1778</v>
      </c>
      <c r="B593" s="6" t="s">
        <v>2975</v>
      </c>
      <c r="C593" s="3" t="s">
        <v>8377</v>
      </c>
      <c r="D593" s="3" t="s">
        <v>7212</v>
      </c>
      <c r="E593" s="3" t="s">
        <v>4831</v>
      </c>
    </row>
    <row r="594" spans="1:5" x14ac:dyDescent="0.25">
      <c r="A594" s="3" t="s">
        <v>1777</v>
      </c>
      <c r="B594" s="6" t="s">
        <v>2976</v>
      </c>
      <c r="C594" s="3" t="s">
        <v>8377</v>
      </c>
      <c r="D594" s="3" t="s">
        <v>7213</v>
      </c>
      <c r="E594" s="3" t="s">
        <v>5324</v>
      </c>
    </row>
    <row r="595" spans="1:5" x14ac:dyDescent="0.25">
      <c r="A595" s="3" t="s">
        <v>1776</v>
      </c>
      <c r="B595" s="6" t="s">
        <v>2977</v>
      </c>
      <c r="C595" s="3" t="s">
        <v>8379</v>
      </c>
      <c r="D595" s="3" t="s">
        <v>7214</v>
      </c>
      <c r="E595" s="3" t="s">
        <v>5325</v>
      </c>
    </row>
    <row r="596" spans="1:5" x14ac:dyDescent="0.25">
      <c r="A596" s="3" t="s">
        <v>1775</v>
      </c>
      <c r="B596" s="6" t="s">
        <v>2978</v>
      </c>
      <c r="C596" s="3" t="s">
        <v>8377</v>
      </c>
      <c r="D596" s="3" t="s">
        <v>7215</v>
      </c>
      <c r="E596" s="3" t="s">
        <v>5326</v>
      </c>
    </row>
    <row r="597" spans="1:5" x14ac:dyDescent="0.25">
      <c r="A597" s="3" t="s">
        <v>1774</v>
      </c>
      <c r="B597" s="6" t="s">
        <v>2979</v>
      </c>
      <c r="C597" s="3" t="s">
        <v>8378</v>
      </c>
      <c r="D597" s="3" t="s">
        <v>7216</v>
      </c>
      <c r="E597" s="3" t="s">
        <v>5327</v>
      </c>
    </row>
    <row r="598" spans="1:5" x14ac:dyDescent="0.25">
      <c r="A598" s="3" t="s">
        <v>1773</v>
      </c>
      <c r="B598" s="6" t="s">
        <v>2980</v>
      </c>
      <c r="C598" s="3" t="s">
        <v>8378</v>
      </c>
      <c r="D598" s="3" t="s">
        <v>7217</v>
      </c>
      <c r="E598" s="3" t="s">
        <v>5328</v>
      </c>
    </row>
    <row r="599" spans="1:5" x14ac:dyDescent="0.25">
      <c r="A599" s="3" t="s">
        <v>1772</v>
      </c>
      <c r="B599" s="6" t="s">
        <v>2981</v>
      </c>
      <c r="C599" s="3" t="s">
        <v>8377</v>
      </c>
      <c r="D599" s="3" t="s">
        <v>7218</v>
      </c>
      <c r="E599" s="3" t="s">
        <v>5329</v>
      </c>
    </row>
    <row r="600" spans="1:5" x14ac:dyDescent="0.25">
      <c r="A600" s="3" t="s">
        <v>1771</v>
      </c>
      <c r="B600" s="6" t="s">
        <v>2982</v>
      </c>
      <c r="C600" s="3" t="s">
        <v>8377</v>
      </c>
      <c r="D600" s="3" t="s">
        <v>7219</v>
      </c>
      <c r="E600" s="3" t="s">
        <v>5330</v>
      </c>
    </row>
    <row r="601" spans="1:5" x14ac:dyDescent="0.25">
      <c r="A601" s="3" t="s">
        <v>1770</v>
      </c>
      <c r="B601" s="6" t="s">
        <v>2983</v>
      </c>
      <c r="C601" s="3" t="s">
        <v>8378</v>
      </c>
      <c r="D601" s="3" t="s">
        <v>7220</v>
      </c>
      <c r="E601" s="3" t="s">
        <v>5331</v>
      </c>
    </row>
    <row r="602" spans="1:5" x14ac:dyDescent="0.25">
      <c r="A602" s="3" t="s">
        <v>1769</v>
      </c>
      <c r="B602" s="6" t="s">
        <v>2984</v>
      </c>
      <c r="C602" s="3" t="s">
        <v>8377</v>
      </c>
      <c r="D602" s="3" t="s">
        <v>7221</v>
      </c>
      <c r="E602" s="3" t="s">
        <v>5332</v>
      </c>
    </row>
    <row r="603" spans="1:5" x14ac:dyDescent="0.25">
      <c r="A603" s="3" t="s">
        <v>1768</v>
      </c>
      <c r="B603" s="6" t="s">
        <v>2985</v>
      </c>
      <c r="C603" s="3" t="s">
        <v>8379</v>
      </c>
      <c r="D603" s="3" t="s">
        <v>6915</v>
      </c>
      <c r="E603" s="3" t="s">
        <v>4769</v>
      </c>
    </row>
    <row r="604" spans="1:5" x14ac:dyDescent="0.25">
      <c r="A604" s="3" t="s">
        <v>1767</v>
      </c>
      <c r="B604" s="6" t="s">
        <v>2986</v>
      </c>
      <c r="C604" s="3" t="s">
        <v>8379</v>
      </c>
      <c r="D604" s="3" t="s">
        <v>7222</v>
      </c>
      <c r="E604" s="3" t="s">
        <v>5333</v>
      </c>
    </row>
    <row r="605" spans="1:5" x14ac:dyDescent="0.25">
      <c r="A605" s="3" t="s">
        <v>1766</v>
      </c>
      <c r="B605" s="6" t="s">
        <v>2987</v>
      </c>
      <c r="C605" s="3" t="s">
        <v>8378</v>
      </c>
      <c r="D605" s="3" t="s">
        <v>7206</v>
      </c>
      <c r="E605" s="3" t="s">
        <v>5334</v>
      </c>
    </row>
    <row r="606" spans="1:5" x14ac:dyDescent="0.25">
      <c r="A606" s="3" t="s">
        <v>1765</v>
      </c>
      <c r="B606" s="6" t="s">
        <v>2988</v>
      </c>
      <c r="C606" s="3" t="s">
        <v>8378</v>
      </c>
      <c r="D606" s="3" t="s">
        <v>7223</v>
      </c>
      <c r="E606" s="3" t="s">
        <v>4879</v>
      </c>
    </row>
    <row r="607" spans="1:5" x14ac:dyDescent="0.25">
      <c r="A607" s="3" t="s">
        <v>1764</v>
      </c>
      <c r="B607" s="6" t="s">
        <v>2989</v>
      </c>
      <c r="C607" s="3" t="s">
        <v>8378</v>
      </c>
      <c r="D607" s="3" t="s">
        <v>7224</v>
      </c>
      <c r="E607" s="3" t="s">
        <v>5335</v>
      </c>
    </row>
    <row r="608" spans="1:5" x14ac:dyDescent="0.25">
      <c r="A608" s="3" t="s">
        <v>1763</v>
      </c>
      <c r="B608" s="6" t="s">
        <v>2990</v>
      </c>
      <c r="C608" s="3" t="s">
        <v>8378</v>
      </c>
      <c r="D608" s="3" t="s">
        <v>7225</v>
      </c>
      <c r="E608" s="3" t="s">
        <v>5336</v>
      </c>
    </row>
    <row r="609" spans="1:5" x14ac:dyDescent="0.25">
      <c r="A609" s="3" t="s">
        <v>1762</v>
      </c>
      <c r="B609" s="6" t="s">
        <v>2991</v>
      </c>
      <c r="C609" s="3" t="s">
        <v>8378</v>
      </c>
      <c r="D609" s="3" t="s">
        <v>7226</v>
      </c>
      <c r="E609" s="3" t="s">
        <v>5337</v>
      </c>
    </row>
    <row r="610" spans="1:5" x14ac:dyDescent="0.25">
      <c r="A610" s="3" t="s">
        <v>1761</v>
      </c>
      <c r="B610" s="6" t="s">
        <v>2992</v>
      </c>
      <c r="C610" s="3" t="s">
        <v>8378</v>
      </c>
      <c r="D610" s="3" t="s">
        <v>7227</v>
      </c>
      <c r="E610" s="3" t="s">
        <v>5338</v>
      </c>
    </row>
    <row r="611" spans="1:5" x14ac:dyDescent="0.25">
      <c r="A611" s="3" t="s">
        <v>1760</v>
      </c>
      <c r="B611" s="6" t="s">
        <v>2993</v>
      </c>
      <c r="C611" s="3" t="s">
        <v>8379</v>
      </c>
      <c r="D611" s="3" t="s">
        <v>7228</v>
      </c>
      <c r="E611" s="3" t="s">
        <v>5339</v>
      </c>
    </row>
    <row r="612" spans="1:5" x14ac:dyDescent="0.25">
      <c r="A612" s="3" t="s">
        <v>1759</v>
      </c>
      <c r="B612" s="6" t="s">
        <v>2994</v>
      </c>
      <c r="C612" s="3" t="s">
        <v>8378</v>
      </c>
      <c r="D612" s="3" t="s">
        <v>7229</v>
      </c>
      <c r="E612" s="3" t="s">
        <v>5340</v>
      </c>
    </row>
    <row r="613" spans="1:5" x14ac:dyDescent="0.25">
      <c r="A613" s="3" t="s">
        <v>1758</v>
      </c>
      <c r="B613" s="6" t="s">
        <v>2995</v>
      </c>
      <c r="C613" s="3" t="s">
        <v>8377</v>
      </c>
      <c r="D613" s="3" t="s">
        <v>6968</v>
      </c>
      <c r="E613" s="3" t="s">
        <v>5341</v>
      </c>
    </row>
    <row r="614" spans="1:5" x14ac:dyDescent="0.25">
      <c r="A614" s="3" t="s">
        <v>1757</v>
      </c>
      <c r="B614" s="6" t="s">
        <v>2996</v>
      </c>
      <c r="C614" s="3" t="s">
        <v>8377</v>
      </c>
      <c r="D614" s="3" t="s">
        <v>7230</v>
      </c>
      <c r="E614" s="3" t="s">
        <v>5342</v>
      </c>
    </row>
    <row r="615" spans="1:5" x14ac:dyDescent="0.25">
      <c r="A615" s="3" t="s">
        <v>1756</v>
      </c>
      <c r="B615" s="6" t="s">
        <v>2997</v>
      </c>
      <c r="C615" s="3" t="s">
        <v>8378</v>
      </c>
      <c r="D615" s="3" t="s">
        <v>7231</v>
      </c>
      <c r="E615" s="3" t="s">
        <v>5343</v>
      </c>
    </row>
    <row r="616" spans="1:5" x14ac:dyDescent="0.25">
      <c r="A616" s="3" t="s">
        <v>1755</v>
      </c>
      <c r="B616" s="6" t="s">
        <v>2998</v>
      </c>
      <c r="C616" s="3" t="s">
        <v>8377</v>
      </c>
      <c r="D616" s="3" t="s">
        <v>7232</v>
      </c>
      <c r="E616" s="3" t="s">
        <v>5344</v>
      </c>
    </row>
    <row r="617" spans="1:5" x14ac:dyDescent="0.25">
      <c r="A617" s="3" t="s">
        <v>1754</v>
      </c>
      <c r="B617" s="6" t="s">
        <v>2999</v>
      </c>
      <c r="C617" s="3" t="s">
        <v>8377</v>
      </c>
      <c r="D617" s="3" t="s">
        <v>7233</v>
      </c>
      <c r="E617" s="3" t="s">
        <v>4834</v>
      </c>
    </row>
    <row r="618" spans="1:5" x14ac:dyDescent="0.25">
      <c r="A618" s="3" t="s">
        <v>1753</v>
      </c>
      <c r="B618" s="6" t="s">
        <v>3000</v>
      </c>
      <c r="C618" s="3" t="s">
        <v>8379</v>
      </c>
      <c r="D618" s="3" t="s">
        <v>6911</v>
      </c>
      <c r="E618" s="3" t="s">
        <v>5039</v>
      </c>
    </row>
    <row r="619" spans="1:5" x14ac:dyDescent="0.25">
      <c r="A619" s="3" t="s">
        <v>1752</v>
      </c>
      <c r="B619" s="6" t="s">
        <v>3001</v>
      </c>
      <c r="C619" s="3" t="s">
        <v>8377</v>
      </c>
      <c r="D619" s="3" t="s">
        <v>6908</v>
      </c>
      <c r="E619" s="3" t="s">
        <v>5345</v>
      </c>
    </row>
    <row r="620" spans="1:5" x14ac:dyDescent="0.25">
      <c r="A620" s="3" t="s">
        <v>1751</v>
      </c>
      <c r="B620" s="6" t="s">
        <v>3002</v>
      </c>
      <c r="C620" s="3" t="s">
        <v>8377</v>
      </c>
      <c r="D620" s="3" t="s">
        <v>6951</v>
      </c>
      <c r="E620" s="3" t="s">
        <v>5346</v>
      </c>
    </row>
    <row r="621" spans="1:5" x14ac:dyDescent="0.25">
      <c r="A621" s="3" t="s">
        <v>1750</v>
      </c>
      <c r="B621" s="6" t="s">
        <v>3003</v>
      </c>
      <c r="C621" s="3" t="s">
        <v>8377</v>
      </c>
      <c r="D621" s="3" t="s">
        <v>7234</v>
      </c>
      <c r="E621" s="3" t="s">
        <v>5347</v>
      </c>
    </row>
    <row r="622" spans="1:5" x14ac:dyDescent="0.25">
      <c r="A622" s="3" t="s">
        <v>1749</v>
      </c>
      <c r="B622" s="6" t="s">
        <v>3004</v>
      </c>
      <c r="C622" s="3" t="s">
        <v>8379</v>
      </c>
      <c r="D622" s="3" t="s">
        <v>7235</v>
      </c>
      <c r="E622" s="3" t="s">
        <v>5348</v>
      </c>
    </row>
    <row r="623" spans="1:5" x14ac:dyDescent="0.25">
      <c r="A623" s="3" t="s">
        <v>1748</v>
      </c>
      <c r="B623" s="6" t="s">
        <v>3005</v>
      </c>
      <c r="C623" s="3" t="s">
        <v>8378</v>
      </c>
      <c r="D623" s="3" t="s">
        <v>7236</v>
      </c>
      <c r="E623" s="3" t="s">
        <v>5349</v>
      </c>
    </row>
    <row r="624" spans="1:5" x14ac:dyDescent="0.25">
      <c r="A624" s="3" t="s">
        <v>1747</v>
      </c>
      <c r="B624" s="6" t="s">
        <v>3006</v>
      </c>
      <c r="C624" s="3" t="s">
        <v>8377</v>
      </c>
      <c r="D624" s="3" t="s">
        <v>7237</v>
      </c>
      <c r="E624" s="3" t="s">
        <v>5350</v>
      </c>
    </row>
    <row r="625" spans="1:5" x14ac:dyDescent="0.25">
      <c r="A625" s="3" t="s">
        <v>1746</v>
      </c>
      <c r="B625" s="6" t="s">
        <v>3007</v>
      </c>
      <c r="C625" s="3" t="s">
        <v>8378</v>
      </c>
      <c r="D625" s="3" t="s">
        <v>7238</v>
      </c>
      <c r="E625" s="3" t="s">
        <v>5351</v>
      </c>
    </row>
    <row r="626" spans="1:5" x14ac:dyDescent="0.25">
      <c r="A626" s="3" t="s">
        <v>1745</v>
      </c>
      <c r="B626" s="6" t="s">
        <v>3008</v>
      </c>
      <c r="C626" s="3" t="s">
        <v>8378</v>
      </c>
      <c r="D626" s="3" t="s">
        <v>7239</v>
      </c>
      <c r="E626" s="3" t="s">
        <v>5352</v>
      </c>
    </row>
    <row r="627" spans="1:5" x14ac:dyDescent="0.25">
      <c r="A627" s="3" t="s">
        <v>1744</v>
      </c>
      <c r="B627" s="6" t="s">
        <v>3009</v>
      </c>
      <c r="C627" s="3" t="s">
        <v>8378</v>
      </c>
      <c r="D627" s="3" t="s">
        <v>7240</v>
      </c>
      <c r="E627" s="3" t="s">
        <v>5353</v>
      </c>
    </row>
    <row r="628" spans="1:5" x14ac:dyDescent="0.25">
      <c r="A628" s="3" t="s">
        <v>1743</v>
      </c>
      <c r="B628" s="6" t="s">
        <v>3010</v>
      </c>
      <c r="C628" s="3" t="s">
        <v>8378</v>
      </c>
      <c r="D628" s="3" t="s">
        <v>7241</v>
      </c>
      <c r="E628" s="3" t="s">
        <v>5354</v>
      </c>
    </row>
    <row r="629" spans="1:5" x14ac:dyDescent="0.25">
      <c r="A629" s="3" t="s">
        <v>1742</v>
      </c>
      <c r="B629" s="6" t="s">
        <v>3011</v>
      </c>
      <c r="C629" s="3" t="s">
        <v>8379</v>
      </c>
      <c r="D629" s="3" t="s">
        <v>7242</v>
      </c>
      <c r="E629" s="3" t="s">
        <v>5355</v>
      </c>
    </row>
    <row r="630" spans="1:5" x14ac:dyDescent="0.25">
      <c r="A630" s="3" t="s">
        <v>1741</v>
      </c>
      <c r="B630" s="6" t="s">
        <v>3012</v>
      </c>
      <c r="C630" s="3" t="s">
        <v>8378</v>
      </c>
      <c r="D630" s="3" t="s">
        <v>7243</v>
      </c>
      <c r="E630" s="3" t="s">
        <v>5356</v>
      </c>
    </row>
    <row r="631" spans="1:5" x14ac:dyDescent="0.25">
      <c r="A631" s="3" t="s">
        <v>1740</v>
      </c>
      <c r="B631" s="6" t="s">
        <v>3013</v>
      </c>
      <c r="C631" s="3" t="s">
        <v>8377</v>
      </c>
      <c r="D631" s="3" t="s">
        <v>7244</v>
      </c>
      <c r="E631" s="3" t="s">
        <v>5029</v>
      </c>
    </row>
    <row r="632" spans="1:5" x14ac:dyDescent="0.25">
      <c r="A632" s="3" t="s">
        <v>1739</v>
      </c>
      <c r="B632" s="6" t="s">
        <v>3014</v>
      </c>
      <c r="C632" s="3" t="s">
        <v>8379</v>
      </c>
      <c r="D632" s="3" t="s">
        <v>7245</v>
      </c>
      <c r="E632" s="3" t="s">
        <v>5357</v>
      </c>
    </row>
    <row r="633" spans="1:5" x14ac:dyDescent="0.25">
      <c r="A633" s="3" t="s">
        <v>1738</v>
      </c>
      <c r="B633" s="6" t="s">
        <v>3015</v>
      </c>
      <c r="C633" s="3" t="s">
        <v>8378</v>
      </c>
      <c r="D633" s="3" t="s">
        <v>6938</v>
      </c>
      <c r="E633" s="3" t="s">
        <v>5358</v>
      </c>
    </row>
    <row r="634" spans="1:5" x14ac:dyDescent="0.25">
      <c r="A634" s="3" t="s">
        <v>1737</v>
      </c>
      <c r="B634" s="6" t="s">
        <v>3016</v>
      </c>
      <c r="C634" s="3" t="s">
        <v>8378</v>
      </c>
      <c r="D634" s="3" t="s">
        <v>7087</v>
      </c>
      <c r="E634" s="3" t="s">
        <v>5359</v>
      </c>
    </row>
    <row r="635" spans="1:5" x14ac:dyDescent="0.25">
      <c r="A635" s="3" t="s">
        <v>1736</v>
      </c>
      <c r="B635" s="6" t="s">
        <v>3017</v>
      </c>
      <c r="C635" s="3" t="s">
        <v>8379</v>
      </c>
      <c r="D635" s="3" t="s">
        <v>7246</v>
      </c>
      <c r="E635" s="3" t="s">
        <v>5360</v>
      </c>
    </row>
    <row r="636" spans="1:5" x14ac:dyDescent="0.25">
      <c r="A636" s="3" t="s">
        <v>1735</v>
      </c>
      <c r="B636" s="6" t="s">
        <v>3018</v>
      </c>
      <c r="C636" s="3" t="s">
        <v>8378</v>
      </c>
      <c r="D636" s="3" t="s">
        <v>7247</v>
      </c>
      <c r="E636" s="3" t="s">
        <v>5084</v>
      </c>
    </row>
    <row r="637" spans="1:5" x14ac:dyDescent="0.25">
      <c r="A637" s="3" t="s">
        <v>1734</v>
      </c>
      <c r="B637" s="6" t="s">
        <v>3019</v>
      </c>
      <c r="C637" s="3" t="s">
        <v>8379</v>
      </c>
      <c r="D637" s="3" t="s">
        <v>7248</v>
      </c>
      <c r="E637" s="3" t="s">
        <v>5361</v>
      </c>
    </row>
    <row r="638" spans="1:5" x14ac:dyDescent="0.25">
      <c r="A638" s="3" t="s">
        <v>1733</v>
      </c>
      <c r="B638" s="6" t="s">
        <v>3020</v>
      </c>
      <c r="C638" s="3" t="s">
        <v>8377</v>
      </c>
      <c r="D638" s="3" t="s">
        <v>6958</v>
      </c>
      <c r="E638" s="3" t="s">
        <v>5362</v>
      </c>
    </row>
    <row r="639" spans="1:5" x14ac:dyDescent="0.25">
      <c r="A639" s="3" t="s">
        <v>1732</v>
      </c>
      <c r="B639" s="6" t="s">
        <v>3021</v>
      </c>
      <c r="C639" s="3" t="s">
        <v>8378</v>
      </c>
      <c r="D639" s="3" t="s">
        <v>6852</v>
      </c>
      <c r="E639" s="3" t="s">
        <v>5363</v>
      </c>
    </row>
    <row r="640" spans="1:5" x14ac:dyDescent="0.25">
      <c r="A640" s="3" t="s">
        <v>1731</v>
      </c>
      <c r="B640" s="6" t="s">
        <v>3022</v>
      </c>
      <c r="C640" s="3" t="s">
        <v>8377</v>
      </c>
      <c r="D640" s="3" t="s">
        <v>7249</v>
      </c>
      <c r="E640" s="3" t="s">
        <v>5364</v>
      </c>
    </row>
    <row r="641" spans="1:5" x14ac:dyDescent="0.25">
      <c r="A641" s="3" t="s">
        <v>1730</v>
      </c>
      <c r="B641" s="6" t="s">
        <v>3023</v>
      </c>
      <c r="C641" s="3" t="s">
        <v>8379</v>
      </c>
      <c r="D641" s="3" t="s">
        <v>7250</v>
      </c>
      <c r="E641" s="3" t="s">
        <v>4749</v>
      </c>
    </row>
    <row r="642" spans="1:5" x14ac:dyDescent="0.25">
      <c r="A642" s="3" t="s">
        <v>1729</v>
      </c>
      <c r="B642" s="6" t="s">
        <v>3024</v>
      </c>
      <c r="C642" s="3" t="s">
        <v>8378</v>
      </c>
      <c r="D642" s="3" t="s">
        <v>7251</v>
      </c>
      <c r="E642" s="3" t="s">
        <v>5365</v>
      </c>
    </row>
    <row r="643" spans="1:5" x14ac:dyDescent="0.25">
      <c r="A643" s="3" t="s">
        <v>1728</v>
      </c>
      <c r="B643" s="6" t="s">
        <v>3025</v>
      </c>
      <c r="C643" s="3" t="s">
        <v>8377</v>
      </c>
      <c r="D643" s="3" t="s">
        <v>7252</v>
      </c>
      <c r="E643" s="3" t="s">
        <v>4828</v>
      </c>
    </row>
    <row r="644" spans="1:5" x14ac:dyDescent="0.25">
      <c r="A644" s="3" t="s">
        <v>1727</v>
      </c>
      <c r="B644" s="6" t="s">
        <v>3026</v>
      </c>
      <c r="C644" s="3" t="s">
        <v>8378</v>
      </c>
      <c r="D644" s="3" t="s">
        <v>4769</v>
      </c>
      <c r="E644" s="3" t="s">
        <v>5366</v>
      </c>
    </row>
    <row r="645" spans="1:5" x14ac:dyDescent="0.25">
      <c r="A645" s="3" t="s">
        <v>1726</v>
      </c>
      <c r="B645" s="6" t="s">
        <v>3027</v>
      </c>
      <c r="C645" s="3" t="s">
        <v>8378</v>
      </c>
      <c r="D645" s="3" t="s">
        <v>7253</v>
      </c>
      <c r="E645" s="3" t="s">
        <v>5367</v>
      </c>
    </row>
    <row r="646" spans="1:5" x14ac:dyDescent="0.25">
      <c r="A646" s="3" t="s">
        <v>1725</v>
      </c>
      <c r="B646" s="6" t="s">
        <v>3028</v>
      </c>
      <c r="C646" s="3" t="s">
        <v>8377</v>
      </c>
      <c r="D646" s="3" t="s">
        <v>7075</v>
      </c>
      <c r="E646" s="3" t="s">
        <v>5368</v>
      </c>
    </row>
    <row r="647" spans="1:5" x14ac:dyDescent="0.25">
      <c r="A647" s="3" t="s">
        <v>1724</v>
      </c>
      <c r="B647" s="6" t="s">
        <v>3029</v>
      </c>
      <c r="C647" s="3" t="s">
        <v>8377</v>
      </c>
      <c r="D647" s="3" t="s">
        <v>7254</v>
      </c>
      <c r="E647" s="3" t="s">
        <v>5369</v>
      </c>
    </row>
    <row r="648" spans="1:5" x14ac:dyDescent="0.25">
      <c r="A648" s="3" t="s">
        <v>1723</v>
      </c>
      <c r="B648" s="6" t="s">
        <v>3030</v>
      </c>
      <c r="C648" s="3" t="s">
        <v>8377</v>
      </c>
      <c r="D648" s="3" t="s">
        <v>7255</v>
      </c>
      <c r="E648" s="3" t="s">
        <v>5370</v>
      </c>
    </row>
    <row r="649" spans="1:5" x14ac:dyDescent="0.25">
      <c r="A649" s="3" t="s">
        <v>1722</v>
      </c>
      <c r="B649" s="6" t="s">
        <v>3031</v>
      </c>
      <c r="C649" s="3" t="s">
        <v>8378</v>
      </c>
      <c r="D649" s="3" t="s">
        <v>7256</v>
      </c>
      <c r="E649" s="3" t="s">
        <v>5371</v>
      </c>
    </row>
    <row r="650" spans="1:5" x14ac:dyDescent="0.25">
      <c r="A650" s="3" t="s">
        <v>1721</v>
      </c>
      <c r="B650" s="6" t="s">
        <v>3032</v>
      </c>
      <c r="C650" s="3" t="s">
        <v>8378</v>
      </c>
      <c r="D650" s="3" t="s">
        <v>7076</v>
      </c>
      <c r="E650" s="3" t="s">
        <v>5372</v>
      </c>
    </row>
    <row r="651" spans="1:5" x14ac:dyDescent="0.25">
      <c r="A651" s="3" t="s">
        <v>1720</v>
      </c>
      <c r="B651" s="6" t="s">
        <v>3033</v>
      </c>
      <c r="C651" s="3" t="s">
        <v>8377</v>
      </c>
      <c r="D651" s="3" t="s">
        <v>7257</v>
      </c>
      <c r="E651" s="3" t="s">
        <v>5373</v>
      </c>
    </row>
    <row r="652" spans="1:5" x14ac:dyDescent="0.25">
      <c r="A652" s="3" t="s">
        <v>1719</v>
      </c>
      <c r="B652" s="6" t="s">
        <v>3034</v>
      </c>
      <c r="C652" s="3" t="s">
        <v>8378</v>
      </c>
      <c r="D652" s="3" t="s">
        <v>4772</v>
      </c>
      <c r="E652" s="3" t="s">
        <v>5374</v>
      </c>
    </row>
    <row r="653" spans="1:5" x14ac:dyDescent="0.25">
      <c r="A653" s="3" t="s">
        <v>1718</v>
      </c>
      <c r="B653" s="6" t="s">
        <v>3035</v>
      </c>
      <c r="C653" s="3" t="s">
        <v>8377</v>
      </c>
      <c r="D653" s="3" t="s">
        <v>7258</v>
      </c>
      <c r="E653" s="3" t="s">
        <v>5375</v>
      </c>
    </row>
    <row r="654" spans="1:5" x14ac:dyDescent="0.25">
      <c r="A654" s="3" t="s">
        <v>1717</v>
      </c>
      <c r="B654" s="6" t="s">
        <v>3036</v>
      </c>
      <c r="C654" s="3" t="s">
        <v>8378</v>
      </c>
      <c r="D654" s="3" t="s">
        <v>7259</v>
      </c>
      <c r="E654" s="3" t="s">
        <v>5376</v>
      </c>
    </row>
    <row r="655" spans="1:5" x14ac:dyDescent="0.25">
      <c r="A655" s="3" t="s">
        <v>1716</v>
      </c>
      <c r="B655" s="6" t="s">
        <v>3037</v>
      </c>
      <c r="C655" s="3" t="s">
        <v>8378</v>
      </c>
      <c r="D655" s="3" t="s">
        <v>5603</v>
      </c>
      <c r="E655" s="3" t="s">
        <v>5377</v>
      </c>
    </row>
    <row r="656" spans="1:5" x14ac:dyDescent="0.25">
      <c r="A656" s="3" t="s">
        <v>1715</v>
      </c>
      <c r="B656" s="6" t="s">
        <v>3038</v>
      </c>
      <c r="C656" s="3" t="s">
        <v>8378</v>
      </c>
      <c r="D656" s="3" t="s">
        <v>7260</v>
      </c>
      <c r="E656" s="3" t="s">
        <v>5378</v>
      </c>
    </row>
    <row r="657" spans="1:5" x14ac:dyDescent="0.25">
      <c r="A657" s="3" t="s">
        <v>1714</v>
      </c>
      <c r="B657" s="6" t="s">
        <v>3039</v>
      </c>
      <c r="C657" s="3" t="s">
        <v>8378</v>
      </c>
      <c r="D657" s="3" t="s">
        <v>7261</v>
      </c>
      <c r="E657" s="3" t="s">
        <v>5379</v>
      </c>
    </row>
    <row r="658" spans="1:5" x14ac:dyDescent="0.25">
      <c r="A658" s="3" t="s">
        <v>1713</v>
      </c>
      <c r="B658" s="6" t="s">
        <v>3040</v>
      </c>
      <c r="C658" s="3" t="s">
        <v>8377</v>
      </c>
      <c r="D658" s="3" t="s">
        <v>7262</v>
      </c>
      <c r="E658" s="3" t="s">
        <v>5380</v>
      </c>
    </row>
    <row r="659" spans="1:5" x14ac:dyDescent="0.25">
      <c r="A659" s="3" t="s">
        <v>1712</v>
      </c>
      <c r="B659" s="6" t="s">
        <v>3041</v>
      </c>
      <c r="C659" s="3" t="s">
        <v>8377</v>
      </c>
      <c r="D659" s="3" t="s">
        <v>7263</v>
      </c>
      <c r="E659" s="3" t="s">
        <v>5381</v>
      </c>
    </row>
    <row r="660" spans="1:5" x14ac:dyDescent="0.25">
      <c r="A660" s="3" t="s">
        <v>1711</v>
      </c>
      <c r="B660" s="6" t="s">
        <v>3042</v>
      </c>
      <c r="C660" s="3" t="s">
        <v>8377</v>
      </c>
      <c r="D660" s="3" t="s">
        <v>7264</v>
      </c>
      <c r="E660" s="3" t="s">
        <v>5382</v>
      </c>
    </row>
    <row r="661" spans="1:5" x14ac:dyDescent="0.25">
      <c r="A661" s="3" t="s">
        <v>1710</v>
      </c>
      <c r="B661" s="6" t="s">
        <v>3043</v>
      </c>
      <c r="C661" s="3" t="s">
        <v>8377</v>
      </c>
      <c r="D661" s="3" t="s">
        <v>7265</v>
      </c>
      <c r="E661" s="3" t="s">
        <v>5383</v>
      </c>
    </row>
    <row r="662" spans="1:5" x14ac:dyDescent="0.25">
      <c r="A662" s="3" t="s">
        <v>1709</v>
      </c>
      <c r="B662" s="6" t="s">
        <v>3044</v>
      </c>
      <c r="C662" s="3" t="s">
        <v>8378</v>
      </c>
      <c r="D662" s="3" t="s">
        <v>7266</v>
      </c>
      <c r="E662" s="3" t="s">
        <v>5384</v>
      </c>
    </row>
    <row r="663" spans="1:5" x14ac:dyDescent="0.25">
      <c r="A663" s="3" t="s">
        <v>1708</v>
      </c>
      <c r="B663" s="6" t="s">
        <v>3045</v>
      </c>
      <c r="C663" s="3" t="s">
        <v>8378</v>
      </c>
      <c r="D663" s="3" t="s">
        <v>7267</v>
      </c>
      <c r="E663" s="3" t="s">
        <v>5385</v>
      </c>
    </row>
    <row r="664" spans="1:5" x14ac:dyDescent="0.25">
      <c r="A664" s="3" t="s">
        <v>1707</v>
      </c>
      <c r="B664" s="6" t="s">
        <v>3046</v>
      </c>
      <c r="C664" s="3" t="s">
        <v>8378</v>
      </c>
      <c r="D664" s="3" t="s">
        <v>7268</v>
      </c>
      <c r="E664" s="3" t="s">
        <v>5386</v>
      </c>
    </row>
    <row r="665" spans="1:5" x14ac:dyDescent="0.25">
      <c r="A665" s="3" t="s">
        <v>1706</v>
      </c>
      <c r="B665" s="6" t="s">
        <v>3047</v>
      </c>
      <c r="C665" s="3" t="s">
        <v>8377</v>
      </c>
      <c r="D665" s="3" t="s">
        <v>7269</v>
      </c>
      <c r="E665" s="3" t="s">
        <v>5387</v>
      </c>
    </row>
    <row r="666" spans="1:5" x14ac:dyDescent="0.25">
      <c r="A666" s="3" t="s">
        <v>1705</v>
      </c>
      <c r="B666" s="6" t="s">
        <v>3048</v>
      </c>
      <c r="C666" s="3" t="s">
        <v>8377</v>
      </c>
      <c r="D666" s="3" t="s">
        <v>7270</v>
      </c>
      <c r="E666" s="3" t="s">
        <v>5388</v>
      </c>
    </row>
    <row r="667" spans="1:5" x14ac:dyDescent="0.25">
      <c r="A667" s="3" t="s">
        <v>1704</v>
      </c>
      <c r="B667" s="6" t="s">
        <v>3049</v>
      </c>
      <c r="C667" s="3" t="s">
        <v>8378</v>
      </c>
      <c r="D667" s="3" t="s">
        <v>7271</v>
      </c>
      <c r="E667" s="3" t="s">
        <v>5389</v>
      </c>
    </row>
    <row r="668" spans="1:5" x14ac:dyDescent="0.25">
      <c r="A668" s="3" t="s">
        <v>1703</v>
      </c>
      <c r="B668" s="6" t="s">
        <v>3050</v>
      </c>
      <c r="C668" s="3" t="s">
        <v>8379</v>
      </c>
      <c r="D668" s="3" t="s">
        <v>7189</v>
      </c>
      <c r="E668" s="3" t="s">
        <v>5390</v>
      </c>
    </row>
    <row r="669" spans="1:5" x14ac:dyDescent="0.25">
      <c r="A669" s="3" t="s">
        <v>1702</v>
      </c>
      <c r="B669" s="6" t="s">
        <v>3051</v>
      </c>
      <c r="C669" s="3" t="s">
        <v>8379</v>
      </c>
      <c r="D669" s="3" t="s">
        <v>7272</v>
      </c>
      <c r="E669" s="3" t="s">
        <v>5391</v>
      </c>
    </row>
    <row r="670" spans="1:5" x14ac:dyDescent="0.25">
      <c r="A670" s="3" t="s">
        <v>1701</v>
      </c>
      <c r="B670" s="6" t="s">
        <v>3052</v>
      </c>
      <c r="C670" s="3" t="s">
        <v>8378</v>
      </c>
      <c r="D670" s="3" t="s">
        <v>6907</v>
      </c>
      <c r="E670" s="3" t="s">
        <v>5392</v>
      </c>
    </row>
    <row r="671" spans="1:5" x14ac:dyDescent="0.25">
      <c r="A671" s="3" t="s">
        <v>1700</v>
      </c>
      <c r="B671" s="6" t="s">
        <v>3053</v>
      </c>
      <c r="C671" s="3" t="s">
        <v>8379</v>
      </c>
      <c r="D671" s="3" t="s">
        <v>6818</v>
      </c>
      <c r="E671" s="3" t="s">
        <v>5116</v>
      </c>
    </row>
    <row r="672" spans="1:5" x14ac:dyDescent="0.25">
      <c r="A672" s="3" t="s">
        <v>1699</v>
      </c>
      <c r="B672" s="6" t="s">
        <v>3054</v>
      </c>
      <c r="C672" s="3" t="s">
        <v>8378</v>
      </c>
      <c r="D672" s="3" t="s">
        <v>7273</v>
      </c>
      <c r="E672" s="3" t="s">
        <v>5393</v>
      </c>
    </row>
    <row r="673" spans="1:5" x14ac:dyDescent="0.25">
      <c r="A673" s="3" t="s">
        <v>1698</v>
      </c>
      <c r="B673" s="6" t="s">
        <v>3055</v>
      </c>
      <c r="C673" s="3" t="s">
        <v>8377</v>
      </c>
      <c r="D673" s="3" t="s">
        <v>7274</v>
      </c>
      <c r="E673" s="3" t="s">
        <v>5394</v>
      </c>
    </row>
    <row r="674" spans="1:5" x14ac:dyDescent="0.25">
      <c r="A674" s="3" t="s">
        <v>1697</v>
      </c>
      <c r="B674" s="6" t="s">
        <v>3056</v>
      </c>
      <c r="C674" s="3" t="s">
        <v>8377</v>
      </c>
      <c r="D674" s="3" t="s">
        <v>7275</v>
      </c>
      <c r="E674" s="3" t="s">
        <v>5395</v>
      </c>
    </row>
    <row r="675" spans="1:5" x14ac:dyDescent="0.25">
      <c r="A675" s="3" t="s">
        <v>1696</v>
      </c>
      <c r="B675" s="6" t="s">
        <v>3057</v>
      </c>
      <c r="C675" s="3" t="s">
        <v>8377</v>
      </c>
      <c r="D675" s="3" t="s">
        <v>7276</v>
      </c>
      <c r="E675" s="3" t="s">
        <v>5396</v>
      </c>
    </row>
    <row r="676" spans="1:5" x14ac:dyDescent="0.25">
      <c r="A676" s="3" t="s">
        <v>1695</v>
      </c>
      <c r="B676" s="6" t="s">
        <v>3058</v>
      </c>
      <c r="C676" s="3" t="s">
        <v>8377</v>
      </c>
      <c r="D676" s="3" t="s">
        <v>7277</v>
      </c>
      <c r="E676" s="3" t="s">
        <v>5397</v>
      </c>
    </row>
    <row r="677" spans="1:5" x14ac:dyDescent="0.25">
      <c r="A677" s="3" t="s">
        <v>1694</v>
      </c>
      <c r="B677" s="6" t="s">
        <v>3059</v>
      </c>
      <c r="C677" s="3" t="s">
        <v>8377</v>
      </c>
      <c r="D677" s="3" t="s">
        <v>7278</v>
      </c>
      <c r="E677" s="3" t="s">
        <v>5398</v>
      </c>
    </row>
    <row r="678" spans="1:5" x14ac:dyDescent="0.25">
      <c r="A678" s="3" t="s">
        <v>1693</v>
      </c>
      <c r="B678" s="6" t="s">
        <v>3060</v>
      </c>
      <c r="C678" s="3" t="s">
        <v>8379</v>
      </c>
      <c r="D678" s="3" t="s">
        <v>7279</v>
      </c>
      <c r="E678" s="3" t="s">
        <v>5399</v>
      </c>
    </row>
    <row r="679" spans="1:5" x14ac:dyDescent="0.25">
      <c r="A679" s="3" t="s">
        <v>1692</v>
      </c>
      <c r="B679" s="6" t="s">
        <v>3061</v>
      </c>
      <c r="C679" s="3" t="s">
        <v>8377</v>
      </c>
      <c r="D679" s="3" t="s">
        <v>7280</v>
      </c>
      <c r="E679" s="3" t="s">
        <v>5400</v>
      </c>
    </row>
    <row r="680" spans="1:5" x14ac:dyDescent="0.25">
      <c r="A680" s="3" t="s">
        <v>1691</v>
      </c>
      <c r="B680" s="6" t="s">
        <v>3062</v>
      </c>
      <c r="C680" s="3" t="s">
        <v>8378</v>
      </c>
      <c r="D680" s="3" t="s">
        <v>7281</v>
      </c>
      <c r="E680" s="3" t="s">
        <v>5401</v>
      </c>
    </row>
    <row r="681" spans="1:5" x14ac:dyDescent="0.25">
      <c r="A681" s="3" t="s">
        <v>1690</v>
      </c>
      <c r="B681" s="6" t="s">
        <v>3063</v>
      </c>
      <c r="C681" s="3" t="s">
        <v>8378</v>
      </c>
      <c r="D681" s="3" t="s">
        <v>7074</v>
      </c>
      <c r="E681" s="3" t="s">
        <v>5402</v>
      </c>
    </row>
    <row r="682" spans="1:5" x14ac:dyDescent="0.25">
      <c r="A682" s="3" t="s">
        <v>1689</v>
      </c>
      <c r="B682" s="6" t="s">
        <v>3064</v>
      </c>
      <c r="C682" s="3" t="s">
        <v>8377</v>
      </c>
      <c r="D682" s="3" t="s">
        <v>7282</v>
      </c>
      <c r="E682" s="3" t="s">
        <v>5403</v>
      </c>
    </row>
    <row r="683" spans="1:5" x14ac:dyDescent="0.25">
      <c r="A683" s="3" t="s">
        <v>1688</v>
      </c>
      <c r="B683" s="6" t="s">
        <v>3065</v>
      </c>
      <c r="C683" s="3" t="s">
        <v>8379</v>
      </c>
      <c r="D683" s="3" t="s">
        <v>7283</v>
      </c>
      <c r="E683" s="3" t="s">
        <v>5404</v>
      </c>
    </row>
    <row r="684" spans="1:5" x14ac:dyDescent="0.25">
      <c r="A684" s="3" t="s">
        <v>1687</v>
      </c>
      <c r="B684" s="6" t="s">
        <v>3066</v>
      </c>
      <c r="C684" s="3" t="s">
        <v>8377</v>
      </c>
      <c r="D684" s="3" t="s">
        <v>6831</v>
      </c>
      <c r="E684" s="3" t="s">
        <v>5405</v>
      </c>
    </row>
    <row r="685" spans="1:5" x14ac:dyDescent="0.25">
      <c r="A685" s="3" t="s">
        <v>1686</v>
      </c>
      <c r="B685" s="6" t="s">
        <v>3067</v>
      </c>
      <c r="C685" s="3" t="s">
        <v>8377</v>
      </c>
      <c r="D685" s="3" t="s">
        <v>7284</v>
      </c>
      <c r="E685" s="3" t="s">
        <v>5406</v>
      </c>
    </row>
    <row r="686" spans="1:5" x14ac:dyDescent="0.25">
      <c r="A686" s="3" t="s">
        <v>1685</v>
      </c>
      <c r="B686" s="6" t="s">
        <v>3068</v>
      </c>
      <c r="C686" s="3" t="s">
        <v>8378</v>
      </c>
      <c r="D686" s="3" t="s">
        <v>7285</v>
      </c>
      <c r="E686" s="3" t="s">
        <v>5407</v>
      </c>
    </row>
    <row r="687" spans="1:5" x14ac:dyDescent="0.25">
      <c r="A687" s="3" t="s">
        <v>1684</v>
      </c>
      <c r="B687" s="6" t="s">
        <v>3069</v>
      </c>
      <c r="C687" s="3" t="s">
        <v>8378</v>
      </c>
      <c r="D687" s="3" t="s">
        <v>7286</v>
      </c>
      <c r="E687" s="3" t="s">
        <v>5408</v>
      </c>
    </row>
    <row r="688" spans="1:5" x14ac:dyDescent="0.25">
      <c r="A688" s="3" t="s">
        <v>1683</v>
      </c>
      <c r="B688" s="6" t="s">
        <v>3070</v>
      </c>
      <c r="C688" s="3" t="s">
        <v>8377</v>
      </c>
      <c r="D688" s="3" t="s">
        <v>7287</v>
      </c>
      <c r="E688" s="3" t="s">
        <v>5409</v>
      </c>
    </row>
    <row r="689" spans="1:5" x14ac:dyDescent="0.25">
      <c r="A689" s="3" t="s">
        <v>1682</v>
      </c>
      <c r="B689" s="6" t="s">
        <v>3071</v>
      </c>
      <c r="C689" s="3" t="s">
        <v>8377</v>
      </c>
      <c r="D689" s="3" t="s">
        <v>7288</v>
      </c>
      <c r="E689" s="3" t="s">
        <v>5410</v>
      </c>
    </row>
    <row r="690" spans="1:5" x14ac:dyDescent="0.25">
      <c r="A690" s="3" t="s">
        <v>1681</v>
      </c>
      <c r="B690" s="6" t="s">
        <v>3072</v>
      </c>
      <c r="C690" s="3" t="s">
        <v>8377</v>
      </c>
      <c r="D690" s="3" t="s">
        <v>7289</v>
      </c>
      <c r="E690" s="3" t="s">
        <v>5411</v>
      </c>
    </row>
    <row r="691" spans="1:5" x14ac:dyDescent="0.25">
      <c r="A691" s="3" t="s">
        <v>1680</v>
      </c>
      <c r="B691" s="6" t="s">
        <v>3073</v>
      </c>
      <c r="C691" s="3" t="s">
        <v>8377</v>
      </c>
      <c r="D691" s="3" t="s">
        <v>7290</v>
      </c>
      <c r="E691" s="3" t="s">
        <v>5412</v>
      </c>
    </row>
    <row r="692" spans="1:5" x14ac:dyDescent="0.25">
      <c r="A692" s="3" t="s">
        <v>1679</v>
      </c>
      <c r="B692" s="6" t="s">
        <v>3074</v>
      </c>
      <c r="C692" s="3" t="s">
        <v>8377</v>
      </c>
      <c r="D692" s="3" t="s">
        <v>7291</v>
      </c>
      <c r="E692" s="3" t="s">
        <v>5413</v>
      </c>
    </row>
    <row r="693" spans="1:5" x14ac:dyDescent="0.25">
      <c r="A693" s="3" t="s">
        <v>1678</v>
      </c>
      <c r="B693" s="6" t="s">
        <v>3075</v>
      </c>
      <c r="C693" s="3" t="s">
        <v>8378</v>
      </c>
      <c r="D693" s="3" t="s">
        <v>7292</v>
      </c>
      <c r="E693" s="3" t="s">
        <v>5414</v>
      </c>
    </row>
    <row r="694" spans="1:5" x14ac:dyDescent="0.25">
      <c r="A694" s="3" t="s">
        <v>1677</v>
      </c>
      <c r="B694" s="6" t="s">
        <v>3076</v>
      </c>
      <c r="C694" s="3" t="s">
        <v>8379</v>
      </c>
      <c r="D694" s="3" t="s">
        <v>7293</v>
      </c>
      <c r="E694" s="3" t="s">
        <v>5415</v>
      </c>
    </row>
    <row r="695" spans="1:5" x14ac:dyDescent="0.25">
      <c r="A695" s="3" t="s">
        <v>1676</v>
      </c>
      <c r="B695" s="6" t="s">
        <v>3077</v>
      </c>
      <c r="C695" s="3" t="s">
        <v>8377</v>
      </c>
      <c r="D695" s="3" t="s">
        <v>7294</v>
      </c>
      <c r="E695" s="3" t="s">
        <v>5416</v>
      </c>
    </row>
    <row r="696" spans="1:5" x14ac:dyDescent="0.25">
      <c r="A696" s="3" t="s">
        <v>1675</v>
      </c>
      <c r="B696" s="6" t="s">
        <v>3078</v>
      </c>
      <c r="C696" s="3" t="s">
        <v>8378</v>
      </c>
      <c r="D696" s="3" t="s">
        <v>6411</v>
      </c>
      <c r="E696" s="3" t="s">
        <v>5417</v>
      </c>
    </row>
    <row r="697" spans="1:5" x14ac:dyDescent="0.25">
      <c r="A697" s="3" t="s">
        <v>1674</v>
      </c>
      <c r="B697" s="6" t="s">
        <v>3079</v>
      </c>
      <c r="C697" s="3" t="s">
        <v>8378</v>
      </c>
      <c r="D697" s="3" t="s">
        <v>7295</v>
      </c>
      <c r="E697" s="3" t="s">
        <v>5418</v>
      </c>
    </row>
    <row r="698" spans="1:5" x14ac:dyDescent="0.25">
      <c r="A698" s="3" t="s">
        <v>1673</v>
      </c>
      <c r="B698" s="6" t="s">
        <v>3080</v>
      </c>
      <c r="C698" s="3" t="s">
        <v>8378</v>
      </c>
      <c r="D698" s="3" t="s">
        <v>7296</v>
      </c>
      <c r="E698" s="3" t="s">
        <v>5419</v>
      </c>
    </row>
    <row r="699" spans="1:5" x14ac:dyDescent="0.25">
      <c r="A699" s="3" t="s">
        <v>1672</v>
      </c>
      <c r="B699" s="6" t="s">
        <v>3081</v>
      </c>
      <c r="C699" s="3" t="s">
        <v>8377</v>
      </c>
      <c r="D699" s="3" t="s">
        <v>6820</v>
      </c>
      <c r="E699" s="3" t="s">
        <v>5420</v>
      </c>
    </row>
    <row r="700" spans="1:5" x14ac:dyDescent="0.25">
      <c r="A700" s="3" t="s">
        <v>1671</v>
      </c>
      <c r="B700" s="6" t="s">
        <v>3082</v>
      </c>
      <c r="C700" s="3" t="s">
        <v>8377</v>
      </c>
      <c r="D700" s="3" t="s">
        <v>7297</v>
      </c>
      <c r="E700" s="3" t="s">
        <v>5421</v>
      </c>
    </row>
    <row r="701" spans="1:5" x14ac:dyDescent="0.25">
      <c r="A701" s="3" t="s">
        <v>1670</v>
      </c>
      <c r="B701" s="6" t="s">
        <v>3083</v>
      </c>
      <c r="C701" s="3" t="s">
        <v>8378</v>
      </c>
      <c r="D701" s="3" t="s">
        <v>7298</v>
      </c>
      <c r="E701" s="3" t="s">
        <v>5422</v>
      </c>
    </row>
    <row r="702" spans="1:5" x14ac:dyDescent="0.25">
      <c r="A702" s="3" t="s">
        <v>1669</v>
      </c>
      <c r="B702" s="6" t="s">
        <v>3084</v>
      </c>
      <c r="C702" s="3" t="s">
        <v>8379</v>
      </c>
      <c r="D702" s="3" t="s">
        <v>7299</v>
      </c>
      <c r="E702" s="3" t="s">
        <v>5423</v>
      </c>
    </row>
    <row r="703" spans="1:5" x14ac:dyDescent="0.25">
      <c r="A703" s="3" t="s">
        <v>1668</v>
      </c>
      <c r="B703" s="6" t="s">
        <v>3085</v>
      </c>
      <c r="C703" s="3" t="s">
        <v>8378</v>
      </c>
      <c r="D703" s="3" t="s">
        <v>7300</v>
      </c>
      <c r="E703" s="3" t="s">
        <v>5424</v>
      </c>
    </row>
    <row r="704" spans="1:5" x14ac:dyDescent="0.25">
      <c r="A704" s="3" t="s">
        <v>1667</v>
      </c>
      <c r="B704" s="6" t="s">
        <v>3086</v>
      </c>
      <c r="C704" s="3" t="s">
        <v>8378</v>
      </c>
      <c r="D704" s="3" t="s">
        <v>7301</v>
      </c>
      <c r="E704" s="3" t="s">
        <v>5425</v>
      </c>
    </row>
    <row r="705" spans="1:5" x14ac:dyDescent="0.25">
      <c r="A705" s="3" t="s">
        <v>1666</v>
      </c>
      <c r="B705" s="6" t="s">
        <v>3087</v>
      </c>
      <c r="C705" s="3" t="s">
        <v>8377</v>
      </c>
      <c r="D705" s="3" t="s">
        <v>7062</v>
      </c>
      <c r="E705" s="3" t="s">
        <v>5426</v>
      </c>
    </row>
    <row r="706" spans="1:5" x14ac:dyDescent="0.25">
      <c r="A706" s="3" t="s">
        <v>1665</v>
      </c>
      <c r="B706" s="6" t="s">
        <v>3088</v>
      </c>
      <c r="C706" s="3" t="s">
        <v>8377</v>
      </c>
      <c r="D706" s="3" t="s">
        <v>7302</v>
      </c>
      <c r="E706" s="3" t="s">
        <v>5427</v>
      </c>
    </row>
    <row r="707" spans="1:5" x14ac:dyDescent="0.25">
      <c r="A707" s="3" t="s">
        <v>1664</v>
      </c>
      <c r="B707" s="6" t="s">
        <v>3089</v>
      </c>
      <c r="C707" s="3" t="s">
        <v>8378</v>
      </c>
      <c r="D707" s="3" t="s">
        <v>7303</v>
      </c>
      <c r="E707" s="3" t="s">
        <v>5428</v>
      </c>
    </row>
    <row r="708" spans="1:5" x14ac:dyDescent="0.25">
      <c r="A708" s="3" t="s">
        <v>1663</v>
      </c>
      <c r="B708" s="6" t="s">
        <v>3090</v>
      </c>
      <c r="C708" s="3" t="s">
        <v>8377</v>
      </c>
      <c r="D708" s="3" t="s">
        <v>7096</v>
      </c>
      <c r="E708" s="3" t="s">
        <v>5429</v>
      </c>
    </row>
    <row r="709" spans="1:5" x14ac:dyDescent="0.25">
      <c r="A709" s="3" t="s">
        <v>1662</v>
      </c>
      <c r="B709" s="6" t="s">
        <v>3091</v>
      </c>
      <c r="C709" s="3" t="s">
        <v>8379</v>
      </c>
      <c r="D709" s="3" t="s">
        <v>7169</v>
      </c>
      <c r="E709" s="3" t="s">
        <v>5220</v>
      </c>
    </row>
    <row r="710" spans="1:5" x14ac:dyDescent="0.25">
      <c r="A710" s="3" t="s">
        <v>1661</v>
      </c>
      <c r="B710" s="6" t="s">
        <v>3092</v>
      </c>
      <c r="C710" s="3" t="s">
        <v>8379</v>
      </c>
      <c r="D710" s="3" t="s">
        <v>7304</v>
      </c>
      <c r="E710" s="3" t="s">
        <v>5430</v>
      </c>
    </row>
    <row r="711" spans="1:5" x14ac:dyDescent="0.25">
      <c r="A711" s="3" t="s">
        <v>1660</v>
      </c>
      <c r="B711" s="6" t="s">
        <v>3093</v>
      </c>
      <c r="C711" s="3" t="s">
        <v>8377</v>
      </c>
      <c r="D711" s="3" t="s">
        <v>7305</v>
      </c>
      <c r="E711" s="3" t="s">
        <v>5431</v>
      </c>
    </row>
    <row r="712" spans="1:5" x14ac:dyDescent="0.25">
      <c r="A712" s="3" t="s">
        <v>1659</v>
      </c>
      <c r="B712" s="6" t="s">
        <v>3094</v>
      </c>
      <c r="C712" s="3" t="s">
        <v>8377</v>
      </c>
      <c r="D712" s="3" t="s">
        <v>7306</v>
      </c>
      <c r="E712" s="3" t="s">
        <v>5432</v>
      </c>
    </row>
    <row r="713" spans="1:5" x14ac:dyDescent="0.25">
      <c r="A713" s="3" t="s">
        <v>1658</v>
      </c>
      <c r="B713" s="6" t="s">
        <v>3095</v>
      </c>
      <c r="C713" s="3" t="s">
        <v>8377</v>
      </c>
      <c r="D713" s="3" t="s">
        <v>7307</v>
      </c>
      <c r="E713" s="3" t="s">
        <v>5433</v>
      </c>
    </row>
    <row r="714" spans="1:5" x14ac:dyDescent="0.25">
      <c r="A714" s="3" t="s">
        <v>1657</v>
      </c>
      <c r="B714" s="6" t="s">
        <v>3096</v>
      </c>
      <c r="C714" s="3" t="s">
        <v>8378</v>
      </c>
      <c r="D714" s="3" t="s">
        <v>7308</v>
      </c>
      <c r="E714" s="3" t="s">
        <v>5434</v>
      </c>
    </row>
    <row r="715" spans="1:5" x14ac:dyDescent="0.25">
      <c r="A715" s="3" t="s">
        <v>1656</v>
      </c>
      <c r="B715" s="6" t="s">
        <v>3097</v>
      </c>
      <c r="C715" s="3" t="s">
        <v>8379</v>
      </c>
      <c r="D715" s="3" t="s">
        <v>5057</v>
      </c>
      <c r="E715" s="3" t="s">
        <v>5435</v>
      </c>
    </row>
    <row r="716" spans="1:5" x14ac:dyDescent="0.25">
      <c r="A716" s="3" t="s">
        <v>1655</v>
      </c>
      <c r="B716" s="6" t="s">
        <v>3098</v>
      </c>
      <c r="C716" s="3" t="s">
        <v>8379</v>
      </c>
      <c r="D716" s="3" t="s">
        <v>7309</v>
      </c>
      <c r="E716" s="3" t="s">
        <v>4828</v>
      </c>
    </row>
    <row r="717" spans="1:5" x14ac:dyDescent="0.25">
      <c r="A717" s="3" t="s">
        <v>1654</v>
      </c>
      <c r="B717" s="6" t="s">
        <v>3099</v>
      </c>
      <c r="C717" s="3" t="s">
        <v>8377</v>
      </c>
      <c r="D717" s="3" t="s">
        <v>7310</v>
      </c>
      <c r="E717" s="3" t="s">
        <v>5436</v>
      </c>
    </row>
    <row r="718" spans="1:5" x14ac:dyDescent="0.25">
      <c r="A718" s="3" t="s">
        <v>1653</v>
      </c>
      <c r="B718" s="6" t="s">
        <v>3100</v>
      </c>
      <c r="C718" s="3" t="s">
        <v>8377</v>
      </c>
      <c r="D718" s="3" t="s">
        <v>7311</v>
      </c>
      <c r="E718" s="3" t="s">
        <v>5437</v>
      </c>
    </row>
    <row r="719" spans="1:5" x14ac:dyDescent="0.25">
      <c r="A719" s="3" t="s">
        <v>1652</v>
      </c>
      <c r="B719" s="6" t="s">
        <v>3101</v>
      </c>
      <c r="C719" s="3" t="s">
        <v>8378</v>
      </c>
      <c r="D719" s="3" t="s">
        <v>7312</v>
      </c>
      <c r="E719" s="3" t="s">
        <v>5438</v>
      </c>
    </row>
    <row r="720" spans="1:5" x14ac:dyDescent="0.25">
      <c r="A720" s="3" t="s">
        <v>1651</v>
      </c>
      <c r="B720" s="6" t="s">
        <v>3102</v>
      </c>
      <c r="C720" s="3" t="s">
        <v>8378</v>
      </c>
      <c r="D720" s="3" t="s">
        <v>7313</v>
      </c>
      <c r="E720" s="3" t="s">
        <v>5439</v>
      </c>
    </row>
    <row r="721" spans="1:5" x14ac:dyDescent="0.25">
      <c r="A721" s="3" t="s">
        <v>1650</v>
      </c>
      <c r="B721" s="6" t="s">
        <v>3103</v>
      </c>
      <c r="C721" s="3" t="s">
        <v>8378</v>
      </c>
      <c r="D721" s="3" t="s">
        <v>7314</v>
      </c>
      <c r="E721" s="3" t="s">
        <v>5440</v>
      </c>
    </row>
    <row r="722" spans="1:5" x14ac:dyDescent="0.25">
      <c r="A722" s="3" t="s">
        <v>1649</v>
      </c>
      <c r="B722" s="6" t="s">
        <v>3104</v>
      </c>
      <c r="C722" s="3" t="s">
        <v>8377</v>
      </c>
      <c r="D722" s="3" t="s">
        <v>6777</v>
      </c>
      <c r="E722" s="3" t="s">
        <v>5441</v>
      </c>
    </row>
    <row r="723" spans="1:5" x14ac:dyDescent="0.25">
      <c r="A723" s="3" t="s">
        <v>1648</v>
      </c>
      <c r="B723" s="6" t="s">
        <v>3105</v>
      </c>
      <c r="C723" s="3" t="s">
        <v>8377</v>
      </c>
      <c r="D723" s="3" t="s">
        <v>7085</v>
      </c>
      <c r="E723" s="3" t="s">
        <v>5442</v>
      </c>
    </row>
    <row r="724" spans="1:5" x14ac:dyDescent="0.25">
      <c r="A724" s="3" t="s">
        <v>1647</v>
      </c>
      <c r="B724" s="6" t="s">
        <v>3106</v>
      </c>
      <c r="C724" s="3" t="s">
        <v>8377</v>
      </c>
      <c r="D724" s="3" t="s">
        <v>7315</v>
      </c>
      <c r="E724" s="3" t="s">
        <v>5443</v>
      </c>
    </row>
    <row r="725" spans="1:5" x14ac:dyDescent="0.25">
      <c r="A725" s="3" t="s">
        <v>1646</v>
      </c>
      <c r="B725" s="6" t="s">
        <v>3107</v>
      </c>
      <c r="C725" s="3" t="s">
        <v>8379</v>
      </c>
      <c r="D725" s="3" t="s">
        <v>7145</v>
      </c>
      <c r="E725" s="3" t="s">
        <v>5444</v>
      </c>
    </row>
    <row r="726" spans="1:5" x14ac:dyDescent="0.25">
      <c r="A726" s="3" t="s">
        <v>1645</v>
      </c>
      <c r="B726" s="6" t="s">
        <v>3108</v>
      </c>
      <c r="C726" s="3" t="s">
        <v>8378</v>
      </c>
      <c r="D726" s="3" t="s">
        <v>7316</v>
      </c>
      <c r="E726" s="3" t="s">
        <v>5445</v>
      </c>
    </row>
    <row r="727" spans="1:5" x14ac:dyDescent="0.25">
      <c r="A727" s="3" t="s">
        <v>1644</v>
      </c>
      <c r="B727" s="6" t="s">
        <v>3109</v>
      </c>
      <c r="C727" s="3" t="s">
        <v>8378</v>
      </c>
      <c r="D727" s="3" t="s">
        <v>6979</v>
      </c>
      <c r="E727" s="3" t="s">
        <v>4852</v>
      </c>
    </row>
    <row r="728" spans="1:5" x14ac:dyDescent="0.25">
      <c r="A728" s="3" t="s">
        <v>1643</v>
      </c>
      <c r="B728" s="6" t="s">
        <v>3110</v>
      </c>
      <c r="C728" s="3" t="s">
        <v>8378</v>
      </c>
      <c r="D728" s="3" t="s">
        <v>6768</v>
      </c>
      <c r="E728" s="3" t="s">
        <v>5446</v>
      </c>
    </row>
    <row r="729" spans="1:5" x14ac:dyDescent="0.25">
      <c r="A729" s="3" t="s">
        <v>1642</v>
      </c>
      <c r="B729" s="6" t="s">
        <v>3111</v>
      </c>
      <c r="C729" s="3" t="s">
        <v>8378</v>
      </c>
      <c r="D729" s="3" t="s">
        <v>7317</v>
      </c>
      <c r="E729" s="3" t="s">
        <v>5447</v>
      </c>
    </row>
    <row r="730" spans="1:5" x14ac:dyDescent="0.25">
      <c r="A730" s="3" t="s">
        <v>1641</v>
      </c>
      <c r="B730" s="6" t="s">
        <v>3112</v>
      </c>
      <c r="C730" s="3" t="s">
        <v>8378</v>
      </c>
      <c r="D730" s="3" t="s">
        <v>7318</v>
      </c>
      <c r="E730" s="3" t="s">
        <v>5439</v>
      </c>
    </row>
    <row r="731" spans="1:5" x14ac:dyDescent="0.25">
      <c r="A731" s="3" t="s">
        <v>1640</v>
      </c>
      <c r="B731" s="6" t="s">
        <v>3113</v>
      </c>
      <c r="C731" s="3" t="s">
        <v>8377</v>
      </c>
      <c r="D731" s="3" t="s">
        <v>7319</v>
      </c>
      <c r="E731" s="3" t="s">
        <v>5448</v>
      </c>
    </row>
    <row r="732" spans="1:5" x14ac:dyDescent="0.25">
      <c r="A732" s="3" t="s">
        <v>1639</v>
      </c>
      <c r="B732" s="6" t="s">
        <v>3114</v>
      </c>
      <c r="C732" s="3" t="s">
        <v>8377</v>
      </c>
      <c r="D732" s="3" t="s">
        <v>6902</v>
      </c>
      <c r="E732" s="3" t="s">
        <v>5449</v>
      </c>
    </row>
    <row r="733" spans="1:5" x14ac:dyDescent="0.25">
      <c r="A733" s="3" t="s">
        <v>1638</v>
      </c>
      <c r="B733" s="6" t="s">
        <v>3115</v>
      </c>
      <c r="C733" s="3" t="s">
        <v>8378</v>
      </c>
      <c r="D733" s="3" t="s">
        <v>7320</v>
      </c>
      <c r="E733" s="3" t="s">
        <v>5450</v>
      </c>
    </row>
    <row r="734" spans="1:5" x14ac:dyDescent="0.25">
      <c r="A734" s="3" t="s">
        <v>1637</v>
      </c>
      <c r="B734" s="6" t="s">
        <v>3116</v>
      </c>
      <c r="C734" s="3" t="s">
        <v>8377</v>
      </c>
      <c r="D734" s="3" t="s">
        <v>7321</v>
      </c>
      <c r="E734" s="3" t="s">
        <v>5451</v>
      </c>
    </row>
    <row r="735" spans="1:5" x14ac:dyDescent="0.25">
      <c r="A735" s="3" t="s">
        <v>1636</v>
      </c>
      <c r="B735" s="6" t="s">
        <v>3117</v>
      </c>
      <c r="C735" s="3" t="s">
        <v>8377</v>
      </c>
      <c r="D735" s="3" t="s">
        <v>7322</v>
      </c>
      <c r="E735" s="3" t="s">
        <v>4831</v>
      </c>
    </row>
    <row r="736" spans="1:5" x14ac:dyDescent="0.25">
      <c r="A736" s="3" t="s">
        <v>1635</v>
      </c>
      <c r="B736" s="6" t="s">
        <v>3118</v>
      </c>
      <c r="C736" s="3" t="s">
        <v>8377</v>
      </c>
      <c r="D736" s="3" t="s">
        <v>7323</v>
      </c>
      <c r="E736" s="3" t="s">
        <v>5452</v>
      </c>
    </row>
    <row r="737" spans="1:5" x14ac:dyDescent="0.25">
      <c r="A737" s="3" t="s">
        <v>1634</v>
      </c>
      <c r="B737" s="6" t="s">
        <v>3119</v>
      </c>
      <c r="C737" s="3" t="s">
        <v>8377</v>
      </c>
      <c r="D737" s="3" t="s">
        <v>7324</v>
      </c>
      <c r="E737" s="3" t="s">
        <v>5453</v>
      </c>
    </row>
    <row r="738" spans="1:5" x14ac:dyDescent="0.25">
      <c r="A738" s="3" t="s">
        <v>1633</v>
      </c>
      <c r="B738" s="6" t="s">
        <v>3120</v>
      </c>
      <c r="C738" s="3" t="s">
        <v>8378</v>
      </c>
      <c r="D738" s="3" t="s">
        <v>6683</v>
      </c>
      <c r="E738" s="3" t="s">
        <v>5454</v>
      </c>
    </row>
    <row r="739" spans="1:5" x14ac:dyDescent="0.25">
      <c r="A739" s="3" t="s">
        <v>1632</v>
      </c>
      <c r="B739" s="6" t="s">
        <v>3121</v>
      </c>
      <c r="C739" s="3" t="s">
        <v>8378</v>
      </c>
      <c r="D739" s="3" t="s">
        <v>7325</v>
      </c>
      <c r="E739" s="3" t="s">
        <v>5455</v>
      </c>
    </row>
    <row r="740" spans="1:5" x14ac:dyDescent="0.25">
      <c r="A740" s="3" t="s">
        <v>1631</v>
      </c>
      <c r="B740" s="6" t="s">
        <v>3122</v>
      </c>
      <c r="C740" s="3" t="s">
        <v>8378</v>
      </c>
      <c r="D740" s="3" t="s">
        <v>7326</v>
      </c>
      <c r="E740" s="3" t="s">
        <v>5456</v>
      </c>
    </row>
    <row r="741" spans="1:5" x14ac:dyDescent="0.25">
      <c r="A741" s="3" t="s">
        <v>1630</v>
      </c>
      <c r="B741" s="6" t="s">
        <v>3123</v>
      </c>
      <c r="C741" s="3" t="s">
        <v>8379</v>
      </c>
      <c r="D741" s="3" t="s">
        <v>7327</v>
      </c>
      <c r="E741" s="3" t="s">
        <v>5457</v>
      </c>
    </row>
    <row r="742" spans="1:5" x14ac:dyDescent="0.25">
      <c r="A742" s="3" t="s">
        <v>1629</v>
      </c>
      <c r="B742" s="6" t="s">
        <v>3124</v>
      </c>
      <c r="C742" s="3" t="s">
        <v>8378</v>
      </c>
      <c r="D742" s="3" t="s">
        <v>6940</v>
      </c>
      <c r="E742" s="3" t="s">
        <v>5458</v>
      </c>
    </row>
    <row r="743" spans="1:5" x14ac:dyDescent="0.25">
      <c r="A743" s="3" t="s">
        <v>1628</v>
      </c>
      <c r="B743" s="6" t="s">
        <v>3125</v>
      </c>
      <c r="C743" s="3" t="s">
        <v>8378</v>
      </c>
      <c r="D743" s="3" t="s">
        <v>7328</v>
      </c>
      <c r="E743" s="3" t="s">
        <v>5459</v>
      </c>
    </row>
    <row r="744" spans="1:5" x14ac:dyDescent="0.25">
      <c r="A744" s="3" t="s">
        <v>1627</v>
      </c>
      <c r="B744" s="6" t="s">
        <v>3126</v>
      </c>
      <c r="C744" s="3" t="s">
        <v>8379</v>
      </c>
      <c r="D744" s="3" t="s">
        <v>7116</v>
      </c>
      <c r="E744" s="3" t="s">
        <v>5460</v>
      </c>
    </row>
    <row r="745" spans="1:5" x14ac:dyDescent="0.25">
      <c r="A745" s="3" t="s">
        <v>1626</v>
      </c>
      <c r="B745" s="6" t="s">
        <v>3127</v>
      </c>
      <c r="C745" s="3" t="s">
        <v>8379</v>
      </c>
      <c r="D745" s="3" t="s">
        <v>7329</v>
      </c>
      <c r="E745" s="3" t="s">
        <v>4786</v>
      </c>
    </row>
    <row r="746" spans="1:5" x14ac:dyDescent="0.25">
      <c r="A746" s="3" t="s">
        <v>1625</v>
      </c>
      <c r="B746" s="6" t="s">
        <v>3128</v>
      </c>
      <c r="C746" s="3" t="s">
        <v>8377</v>
      </c>
      <c r="D746" s="3" t="s">
        <v>7330</v>
      </c>
      <c r="E746" s="3" t="s">
        <v>5461</v>
      </c>
    </row>
    <row r="747" spans="1:5" x14ac:dyDescent="0.25">
      <c r="A747" s="3" t="s">
        <v>1624</v>
      </c>
      <c r="B747" s="6" t="s">
        <v>3129</v>
      </c>
      <c r="C747" s="3" t="s">
        <v>8378</v>
      </c>
      <c r="D747" s="3" t="s">
        <v>7331</v>
      </c>
      <c r="E747" s="3" t="s">
        <v>5462</v>
      </c>
    </row>
    <row r="748" spans="1:5" x14ac:dyDescent="0.25">
      <c r="A748" s="3" t="s">
        <v>1623</v>
      </c>
      <c r="B748" s="6" t="s">
        <v>3130</v>
      </c>
      <c r="C748" s="3" t="s">
        <v>8379</v>
      </c>
      <c r="D748" s="3" t="s">
        <v>7332</v>
      </c>
      <c r="E748" s="3" t="s">
        <v>5463</v>
      </c>
    </row>
    <row r="749" spans="1:5" x14ac:dyDescent="0.25">
      <c r="A749" s="3" t="s">
        <v>1622</v>
      </c>
      <c r="B749" s="6" t="s">
        <v>3131</v>
      </c>
      <c r="C749" s="3" t="s">
        <v>8378</v>
      </c>
      <c r="D749" s="3" t="s">
        <v>6940</v>
      </c>
      <c r="E749" s="3" t="s">
        <v>5464</v>
      </c>
    </row>
    <row r="750" spans="1:5" x14ac:dyDescent="0.25">
      <c r="A750" s="3" t="s">
        <v>1621</v>
      </c>
      <c r="B750" s="6" t="s">
        <v>3132</v>
      </c>
      <c r="C750" s="3" t="s">
        <v>8378</v>
      </c>
      <c r="D750" s="3" t="s">
        <v>6807</v>
      </c>
      <c r="E750" s="3" t="s">
        <v>5465</v>
      </c>
    </row>
    <row r="751" spans="1:5" x14ac:dyDescent="0.25">
      <c r="A751" s="3" t="s">
        <v>1620</v>
      </c>
      <c r="B751" s="6" t="s">
        <v>3133</v>
      </c>
      <c r="C751" s="3" t="s">
        <v>8377</v>
      </c>
      <c r="D751" s="3" t="s">
        <v>6806</v>
      </c>
      <c r="E751" s="3" t="s">
        <v>5466</v>
      </c>
    </row>
    <row r="752" spans="1:5" x14ac:dyDescent="0.25">
      <c r="A752" s="3" t="s">
        <v>1619</v>
      </c>
      <c r="B752" s="6" t="s">
        <v>3134</v>
      </c>
      <c r="C752" s="3" t="s">
        <v>8378</v>
      </c>
      <c r="D752" s="3" t="s">
        <v>6821</v>
      </c>
      <c r="E752" s="3" t="s">
        <v>5467</v>
      </c>
    </row>
    <row r="753" spans="1:5" x14ac:dyDescent="0.25">
      <c r="A753" s="3" t="s">
        <v>1618</v>
      </c>
      <c r="B753" s="6" t="s">
        <v>3135</v>
      </c>
      <c r="C753" s="3" t="s">
        <v>8377</v>
      </c>
      <c r="D753" s="3" t="s">
        <v>7333</v>
      </c>
      <c r="E753" s="3" t="s">
        <v>5468</v>
      </c>
    </row>
    <row r="754" spans="1:5" x14ac:dyDescent="0.25">
      <c r="A754" s="3" t="s">
        <v>1617</v>
      </c>
      <c r="B754" s="6" t="s">
        <v>3136</v>
      </c>
      <c r="C754" s="3" t="s">
        <v>8377</v>
      </c>
      <c r="D754" s="3" t="s">
        <v>7334</v>
      </c>
      <c r="E754" s="3" t="s">
        <v>5469</v>
      </c>
    </row>
    <row r="755" spans="1:5" x14ac:dyDescent="0.25">
      <c r="A755" s="3" t="s">
        <v>1616</v>
      </c>
      <c r="B755" s="6" t="s">
        <v>3137</v>
      </c>
      <c r="C755" s="3" t="s">
        <v>8377</v>
      </c>
      <c r="D755" s="3" t="s">
        <v>7335</v>
      </c>
      <c r="E755" s="3" t="s">
        <v>5470</v>
      </c>
    </row>
    <row r="756" spans="1:5" x14ac:dyDescent="0.25">
      <c r="A756" s="3" t="s">
        <v>1615</v>
      </c>
      <c r="B756" s="6" t="s">
        <v>3138</v>
      </c>
      <c r="C756" s="3" t="s">
        <v>8379</v>
      </c>
      <c r="D756" s="3" t="s">
        <v>7336</v>
      </c>
      <c r="E756" s="3" t="s">
        <v>5471</v>
      </c>
    </row>
    <row r="757" spans="1:5" x14ac:dyDescent="0.25">
      <c r="A757" s="3" t="s">
        <v>1614</v>
      </c>
      <c r="B757" s="6" t="s">
        <v>3139</v>
      </c>
      <c r="C757" s="3" t="s">
        <v>8378</v>
      </c>
      <c r="D757" s="3" t="s">
        <v>7337</v>
      </c>
      <c r="E757" s="3" t="s">
        <v>5472</v>
      </c>
    </row>
    <row r="758" spans="1:5" x14ac:dyDescent="0.25">
      <c r="A758" s="3" t="s">
        <v>1613</v>
      </c>
      <c r="B758" s="6" t="s">
        <v>3140</v>
      </c>
      <c r="C758" s="3" t="s">
        <v>8378</v>
      </c>
      <c r="D758" s="3" t="s">
        <v>7338</v>
      </c>
      <c r="E758" s="3" t="s">
        <v>5473</v>
      </c>
    </row>
    <row r="759" spans="1:5" x14ac:dyDescent="0.25">
      <c r="A759" s="3" t="s">
        <v>1612</v>
      </c>
      <c r="B759" s="6" t="s">
        <v>3141</v>
      </c>
      <c r="C759" s="3" t="s">
        <v>8378</v>
      </c>
      <c r="D759" s="3" t="s">
        <v>6898</v>
      </c>
      <c r="E759" s="3" t="s">
        <v>5474</v>
      </c>
    </row>
    <row r="760" spans="1:5" x14ac:dyDescent="0.25">
      <c r="A760" s="3" t="s">
        <v>1611</v>
      </c>
      <c r="B760" s="6" t="s">
        <v>3142</v>
      </c>
      <c r="C760" s="3" t="s">
        <v>8378</v>
      </c>
      <c r="D760" s="3" t="s">
        <v>7339</v>
      </c>
      <c r="E760" s="3" t="s">
        <v>5475</v>
      </c>
    </row>
    <row r="761" spans="1:5" x14ac:dyDescent="0.25">
      <c r="A761" s="3" t="s">
        <v>1610</v>
      </c>
      <c r="B761" s="6" t="s">
        <v>3143</v>
      </c>
      <c r="C761" s="3" t="s">
        <v>8377</v>
      </c>
      <c r="D761" s="3" t="s">
        <v>7340</v>
      </c>
      <c r="E761" s="3" t="s">
        <v>5476</v>
      </c>
    </row>
    <row r="762" spans="1:5" x14ac:dyDescent="0.25">
      <c r="A762" s="3" t="s">
        <v>1609</v>
      </c>
      <c r="B762" s="6" t="s">
        <v>3144</v>
      </c>
      <c r="C762" s="3" t="s">
        <v>8377</v>
      </c>
      <c r="D762" s="3" t="s">
        <v>7145</v>
      </c>
      <c r="E762" s="3" t="s">
        <v>5477</v>
      </c>
    </row>
    <row r="763" spans="1:5" x14ac:dyDescent="0.25">
      <c r="A763" s="3" t="s">
        <v>1608</v>
      </c>
      <c r="B763" s="6" t="s">
        <v>3145</v>
      </c>
      <c r="C763" s="3" t="s">
        <v>8378</v>
      </c>
      <c r="D763" s="3" t="s">
        <v>6967</v>
      </c>
      <c r="E763" s="3" t="s">
        <v>5478</v>
      </c>
    </row>
    <row r="764" spans="1:5" x14ac:dyDescent="0.25">
      <c r="A764" s="3" t="s">
        <v>1607</v>
      </c>
      <c r="B764" s="6" t="s">
        <v>3146</v>
      </c>
      <c r="C764" s="3" t="s">
        <v>8377</v>
      </c>
      <c r="D764" s="3" t="s">
        <v>6781</v>
      </c>
      <c r="E764" s="3" t="s">
        <v>5479</v>
      </c>
    </row>
    <row r="765" spans="1:5" x14ac:dyDescent="0.25">
      <c r="A765" s="3" t="s">
        <v>1606</v>
      </c>
      <c r="B765" s="6" t="s">
        <v>3147</v>
      </c>
      <c r="C765" s="3" t="s">
        <v>8377</v>
      </c>
      <c r="D765" s="3" t="s">
        <v>7341</v>
      </c>
      <c r="E765" s="3" t="s">
        <v>5480</v>
      </c>
    </row>
    <row r="766" spans="1:5" x14ac:dyDescent="0.25">
      <c r="A766" s="3" t="s">
        <v>1605</v>
      </c>
      <c r="B766" s="6" t="s">
        <v>3148</v>
      </c>
      <c r="C766" s="3" t="s">
        <v>8377</v>
      </c>
      <c r="D766" s="3" t="s">
        <v>7342</v>
      </c>
      <c r="E766" s="3" t="s">
        <v>5481</v>
      </c>
    </row>
    <row r="767" spans="1:5" x14ac:dyDescent="0.25">
      <c r="A767" s="3" t="s">
        <v>1604</v>
      </c>
      <c r="B767" s="6" t="s">
        <v>3149</v>
      </c>
      <c r="C767" s="3" t="s">
        <v>8377</v>
      </c>
      <c r="D767" s="3" t="s">
        <v>7343</v>
      </c>
      <c r="E767" s="3" t="s">
        <v>5482</v>
      </c>
    </row>
    <row r="768" spans="1:5" x14ac:dyDescent="0.25">
      <c r="A768" s="3" t="s">
        <v>1603</v>
      </c>
      <c r="B768" s="6" t="s">
        <v>3150</v>
      </c>
      <c r="C768" s="3" t="s">
        <v>8377</v>
      </c>
      <c r="D768" s="3" t="s">
        <v>7344</v>
      </c>
      <c r="E768" s="3" t="s">
        <v>5483</v>
      </c>
    </row>
    <row r="769" spans="1:5" x14ac:dyDescent="0.25">
      <c r="A769" s="3" t="s">
        <v>1602</v>
      </c>
      <c r="B769" s="6" t="s">
        <v>3151</v>
      </c>
      <c r="C769" s="3" t="s">
        <v>8377</v>
      </c>
      <c r="D769" s="3" t="s">
        <v>7345</v>
      </c>
      <c r="E769" s="3" t="s">
        <v>5484</v>
      </c>
    </row>
    <row r="770" spans="1:5" x14ac:dyDescent="0.25">
      <c r="A770" s="3" t="s">
        <v>1601</v>
      </c>
      <c r="B770" s="6" t="s">
        <v>3152</v>
      </c>
      <c r="C770" s="3" t="s">
        <v>8377</v>
      </c>
      <c r="D770" s="3" t="s">
        <v>7002</v>
      </c>
      <c r="E770" s="3" t="s">
        <v>5485</v>
      </c>
    </row>
    <row r="771" spans="1:5" x14ac:dyDescent="0.25">
      <c r="A771" s="3" t="s">
        <v>1600</v>
      </c>
      <c r="B771" s="6" t="s">
        <v>3153</v>
      </c>
      <c r="C771" s="3" t="s">
        <v>8377</v>
      </c>
      <c r="D771" s="3" t="s">
        <v>7346</v>
      </c>
      <c r="E771" s="3" t="s">
        <v>5486</v>
      </c>
    </row>
    <row r="772" spans="1:5" x14ac:dyDescent="0.25">
      <c r="A772" s="3" t="s">
        <v>1599</v>
      </c>
      <c r="B772" s="6" t="s">
        <v>3154</v>
      </c>
      <c r="C772" s="3" t="s">
        <v>8378</v>
      </c>
      <c r="D772" s="3" t="s">
        <v>4775</v>
      </c>
      <c r="E772" s="3" t="s">
        <v>5487</v>
      </c>
    </row>
    <row r="773" spans="1:5" x14ac:dyDescent="0.25">
      <c r="A773" s="3" t="s">
        <v>1598</v>
      </c>
      <c r="B773" s="6" t="s">
        <v>3155</v>
      </c>
      <c r="C773" s="3" t="s">
        <v>8378</v>
      </c>
      <c r="D773" s="3" t="s">
        <v>6880</v>
      </c>
      <c r="E773" s="3" t="s">
        <v>5488</v>
      </c>
    </row>
    <row r="774" spans="1:5" x14ac:dyDescent="0.25">
      <c r="A774" s="3" t="s">
        <v>1597</v>
      </c>
      <c r="B774" s="6" t="s">
        <v>3156</v>
      </c>
      <c r="C774" s="3" t="s">
        <v>8378</v>
      </c>
      <c r="D774" s="3" t="s">
        <v>6889</v>
      </c>
      <c r="E774" s="3" t="s">
        <v>5489</v>
      </c>
    </row>
    <row r="775" spans="1:5" x14ac:dyDescent="0.25">
      <c r="A775" s="3" t="s">
        <v>1596</v>
      </c>
      <c r="B775" s="6" t="s">
        <v>3157</v>
      </c>
      <c r="C775" s="3" t="s">
        <v>8378</v>
      </c>
      <c r="D775" s="3" t="s">
        <v>6940</v>
      </c>
      <c r="E775" s="3" t="s">
        <v>5490</v>
      </c>
    </row>
    <row r="776" spans="1:5" x14ac:dyDescent="0.25">
      <c r="A776" s="3" t="s">
        <v>1595</v>
      </c>
      <c r="B776" s="6" t="s">
        <v>3158</v>
      </c>
      <c r="C776" s="3" t="s">
        <v>8378</v>
      </c>
      <c r="D776" s="3" t="s">
        <v>7347</v>
      </c>
      <c r="E776" s="3" t="s">
        <v>5491</v>
      </c>
    </row>
    <row r="777" spans="1:5" x14ac:dyDescent="0.25">
      <c r="A777" s="3" t="s">
        <v>1594</v>
      </c>
      <c r="B777" s="6" t="s">
        <v>3159</v>
      </c>
      <c r="C777" s="3" t="s">
        <v>8379</v>
      </c>
      <c r="D777" s="3" t="s">
        <v>7348</v>
      </c>
      <c r="E777" s="3" t="s">
        <v>5492</v>
      </c>
    </row>
    <row r="778" spans="1:5" x14ac:dyDescent="0.25">
      <c r="A778" s="3" t="s">
        <v>1593</v>
      </c>
      <c r="B778" s="6" t="s">
        <v>3160</v>
      </c>
      <c r="C778" s="3" t="s">
        <v>8379</v>
      </c>
      <c r="D778" s="3" t="s">
        <v>7349</v>
      </c>
      <c r="E778" s="3" t="s">
        <v>4833</v>
      </c>
    </row>
    <row r="779" spans="1:5" x14ac:dyDescent="0.25">
      <c r="A779" s="3" t="s">
        <v>1592</v>
      </c>
      <c r="B779" s="6" t="s">
        <v>3161</v>
      </c>
      <c r="C779" s="3" t="s">
        <v>8377</v>
      </c>
      <c r="D779" s="3" t="s">
        <v>7350</v>
      </c>
      <c r="E779" s="3" t="s">
        <v>5493</v>
      </c>
    </row>
    <row r="780" spans="1:5" x14ac:dyDescent="0.25">
      <c r="A780" s="3" t="s">
        <v>1591</v>
      </c>
      <c r="B780" s="6" t="s">
        <v>3162</v>
      </c>
      <c r="C780" s="3" t="s">
        <v>8378</v>
      </c>
      <c r="D780" s="3" t="s">
        <v>6924</v>
      </c>
      <c r="E780" s="3" t="s">
        <v>5494</v>
      </c>
    </row>
    <row r="781" spans="1:5" x14ac:dyDescent="0.25">
      <c r="A781" s="3" t="s">
        <v>1590</v>
      </c>
      <c r="B781" s="6" t="s">
        <v>3163</v>
      </c>
      <c r="C781" s="3" t="s">
        <v>8377</v>
      </c>
      <c r="D781" s="3" t="s">
        <v>7096</v>
      </c>
      <c r="E781" s="3" t="s">
        <v>5495</v>
      </c>
    </row>
    <row r="782" spans="1:5" x14ac:dyDescent="0.25">
      <c r="A782" s="3" t="s">
        <v>1589</v>
      </c>
      <c r="B782" s="6" t="s">
        <v>3164</v>
      </c>
      <c r="C782" s="3" t="s">
        <v>8378</v>
      </c>
      <c r="D782" s="3" t="s">
        <v>7351</v>
      </c>
      <c r="E782" s="3" t="s">
        <v>5496</v>
      </c>
    </row>
    <row r="783" spans="1:5" x14ac:dyDescent="0.25">
      <c r="A783" s="3" t="s">
        <v>1588</v>
      </c>
      <c r="B783" s="6" t="s">
        <v>3165</v>
      </c>
      <c r="C783" s="3" t="s">
        <v>8377</v>
      </c>
      <c r="D783" s="3" t="s">
        <v>7352</v>
      </c>
      <c r="E783" s="3" t="s">
        <v>5390</v>
      </c>
    </row>
    <row r="784" spans="1:5" x14ac:dyDescent="0.25">
      <c r="A784" s="3" t="s">
        <v>1587</v>
      </c>
      <c r="B784" s="6" t="s">
        <v>3166</v>
      </c>
      <c r="C784" s="3" t="s">
        <v>8377</v>
      </c>
      <c r="D784" s="3" t="s">
        <v>7353</v>
      </c>
      <c r="E784" s="3" t="s">
        <v>5497</v>
      </c>
    </row>
    <row r="785" spans="1:5" x14ac:dyDescent="0.25">
      <c r="A785" s="3" t="s">
        <v>1586</v>
      </c>
      <c r="B785" s="6" t="s">
        <v>3167</v>
      </c>
      <c r="C785" s="3" t="s">
        <v>8377</v>
      </c>
      <c r="D785" s="3" t="s">
        <v>7354</v>
      </c>
      <c r="E785" s="3" t="s">
        <v>5498</v>
      </c>
    </row>
    <row r="786" spans="1:5" x14ac:dyDescent="0.25">
      <c r="A786" s="3" t="s">
        <v>1585</v>
      </c>
      <c r="B786" s="6" t="s">
        <v>3168</v>
      </c>
      <c r="C786" s="3" t="s">
        <v>8377</v>
      </c>
      <c r="D786" s="3" t="s">
        <v>7355</v>
      </c>
      <c r="E786" s="3" t="s">
        <v>5499</v>
      </c>
    </row>
    <row r="787" spans="1:5" x14ac:dyDescent="0.25">
      <c r="A787" s="3" t="s">
        <v>1584</v>
      </c>
      <c r="B787" s="6" t="s">
        <v>3169</v>
      </c>
      <c r="C787" s="3" t="s">
        <v>8377</v>
      </c>
      <c r="D787" s="3" t="s">
        <v>7356</v>
      </c>
      <c r="E787" s="3" t="s">
        <v>5500</v>
      </c>
    </row>
    <row r="788" spans="1:5" x14ac:dyDescent="0.25">
      <c r="A788" s="3" t="s">
        <v>1583</v>
      </c>
      <c r="B788" s="6" t="s">
        <v>3170</v>
      </c>
      <c r="C788" s="3" t="s">
        <v>8377</v>
      </c>
      <c r="D788" s="3" t="s">
        <v>7357</v>
      </c>
      <c r="E788" s="3" t="s">
        <v>5501</v>
      </c>
    </row>
    <row r="789" spans="1:5" x14ac:dyDescent="0.25">
      <c r="A789" s="3" t="s">
        <v>1582</v>
      </c>
      <c r="B789" s="6" t="s">
        <v>3171</v>
      </c>
      <c r="C789" s="3" t="s">
        <v>8378</v>
      </c>
      <c r="D789" s="3" t="s">
        <v>7358</v>
      </c>
      <c r="E789" s="3" t="s">
        <v>4804</v>
      </c>
    </row>
    <row r="790" spans="1:5" x14ac:dyDescent="0.25">
      <c r="A790" s="3" t="s">
        <v>1581</v>
      </c>
      <c r="B790" s="6" t="s">
        <v>3172</v>
      </c>
      <c r="C790" s="3" t="s">
        <v>8378</v>
      </c>
      <c r="D790" s="3" t="s">
        <v>7359</v>
      </c>
      <c r="E790" s="3" t="s">
        <v>5502</v>
      </c>
    </row>
    <row r="791" spans="1:5" x14ac:dyDescent="0.25">
      <c r="A791" s="3" t="s">
        <v>1580</v>
      </c>
      <c r="B791" s="6" t="s">
        <v>3173</v>
      </c>
      <c r="C791" s="3" t="s">
        <v>8378</v>
      </c>
      <c r="D791" s="3" t="s">
        <v>7360</v>
      </c>
      <c r="E791" s="3" t="s">
        <v>5503</v>
      </c>
    </row>
    <row r="792" spans="1:5" x14ac:dyDescent="0.25">
      <c r="A792" s="3" t="s">
        <v>1579</v>
      </c>
      <c r="B792" s="6" t="s">
        <v>3174</v>
      </c>
      <c r="C792" s="3" t="s">
        <v>8377</v>
      </c>
      <c r="D792" s="3" t="s">
        <v>7361</v>
      </c>
      <c r="E792" s="3" t="s">
        <v>5504</v>
      </c>
    </row>
    <row r="793" spans="1:5" x14ac:dyDescent="0.25">
      <c r="A793" s="3" t="s">
        <v>1578</v>
      </c>
      <c r="B793" s="6" t="s">
        <v>3175</v>
      </c>
      <c r="C793" s="3" t="s">
        <v>8377</v>
      </c>
      <c r="D793" s="3" t="s">
        <v>7362</v>
      </c>
      <c r="E793" s="3" t="s">
        <v>5505</v>
      </c>
    </row>
    <row r="794" spans="1:5" x14ac:dyDescent="0.25">
      <c r="A794" s="3" t="s">
        <v>1577</v>
      </c>
      <c r="B794" s="6" t="s">
        <v>3176</v>
      </c>
      <c r="C794" s="3" t="s">
        <v>8379</v>
      </c>
      <c r="D794" s="3" t="s">
        <v>7363</v>
      </c>
      <c r="E794" s="3" t="s">
        <v>5506</v>
      </c>
    </row>
    <row r="795" spans="1:5" x14ac:dyDescent="0.25">
      <c r="A795" s="3" t="s">
        <v>1576</v>
      </c>
      <c r="B795" s="6" t="s">
        <v>3177</v>
      </c>
      <c r="C795" s="3" t="s">
        <v>8378</v>
      </c>
      <c r="D795" s="3" t="s">
        <v>7364</v>
      </c>
      <c r="E795" s="3" t="s">
        <v>5507</v>
      </c>
    </row>
    <row r="796" spans="1:5" x14ac:dyDescent="0.25">
      <c r="A796" s="3" t="s">
        <v>1575</v>
      </c>
      <c r="B796" s="6" t="s">
        <v>3178</v>
      </c>
      <c r="C796" s="3" t="s">
        <v>8377</v>
      </c>
      <c r="D796" s="3" t="s">
        <v>6911</v>
      </c>
      <c r="E796" s="3" t="s">
        <v>5508</v>
      </c>
    </row>
    <row r="797" spans="1:5" x14ac:dyDescent="0.25">
      <c r="A797" s="3" t="s">
        <v>1574</v>
      </c>
      <c r="B797" s="6" t="s">
        <v>3179</v>
      </c>
      <c r="C797" s="3" t="s">
        <v>8379</v>
      </c>
      <c r="D797" s="3" t="s">
        <v>7365</v>
      </c>
      <c r="E797" s="3" t="s">
        <v>5509</v>
      </c>
    </row>
    <row r="798" spans="1:5" x14ac:dyDescent="0.25">
      <c r="A798" s="3" t="s">
        <v>1573</v>
      </c>
      <c r="B798" s="6" t="s">
        <v>3180</v>
      </c>
      <c r="C798" s="3" t="s">
        <v>8377</v>
      </c>
      <c r="D798" s="3" t="s">
        <v>7366</v>
      </c>
      <c r="E798" s="3" t="s">
        <v>5510</v>
      </c>
    </row>
    <row r="799" spans="1:5" x14ac:dyDescent="0.25">
      <c r="A799" s="3" t="s">
        <v>1572</v>
      </c>
      <c r="B799" s="6" t="s">
        <v>3181</v>
      </c>
      <c r="C799" s="3" t="s">
        <v>8379</v>
      </c>
      <c r="D799" s="3" t="s">
        <v>7367</v>
      </c>
      <c r="E799" s="3" t="s">
        <v>5511</v>
      </c>
    </row>
    <row r="800" spans="1:5" x14ac:dyDescent="0.25">
      <c r="A800" s="3" t="s">
        <v>1571</v>
      </c>
      <c r="B800" s="6" t="s">
        <v>3182</v>
      </c>
      <c r="C800" s="3" t="s">
        <v>8377</v>
      </c>
      <c r="D800" s="3" t="s">
        <v>7368</v>
      </c>
      <c r="E800" s="3" t="s">
        <v>5229</v>
      </c>
    </row>
    <row r="801" spans="1:5" x14ac:dyDescent="0.25">
      <c r="A801" s="3" t="s">
        <v>1570</v>
      </c>
      <c r="B801" s="6" t="s">
        <v>3183</v>
      </c>
      <c r="C801" s="3" t="s">
        <v>8377</v>
      </c>
      <c r="D801" s="3" t="s">
        <v>7369</v>
      </c>
      <c r="E801" s="3" t="s">
        <v>5512</v>
      </c>
    </row>
    <row r="802" spans="1:5" x14ac:dyDescent="0.25">
      <c r="A802" s="3" t="s">
        <v>1569</v>
      </c>
      <c r="B802" s="6" t="s">
        <v>3184</v>
      </c>
      <c r="C802" s="3" t="s">
        <v>8377</v>
      </c>
      <c r="D802" s="3" t="s">
        <v>7370</v>
      </c>
      <c r="E802" s="3" t="s">
        <v>5513</v>
      </c>
    </row>
    <row r="803" spans="1:5" x14ac:dyDescent="0.25">
      <c r="A803" s="3" t="s">
        <v>1568</v>
      </c>
      <c r="B803" s="6" t="s">
        <v>3185</v>
      </c>
      <c r="C803" s="3" t="s">
        <v>8379</v>
      </c>
      <c r="D803" s="3" t="s">
        <v>7371</v>
      </c>
      <c r="E803" s="3" t="s">
        <v>5514</v>
      </c>
    </row>
    <row r="804" spans="1:5" x14ac:dyDescent="0.25">
      <c r="A804" s="3" t="s">
        <v>1567</v>
      </c>
      <c r="B804" s="6" t="s">
        <v>3186</v>
      </c>
      <c r="C804" s="3" t="s">
        <v>8377</v>
      </c>
      <c r="D804" s="3" t="s">
        <v>7111</v>
      </c>
      <c r="E804" s="3" t="s">
        <v>5029</v>
      </c>
    </row>
    <row r="805" spans="1:5" x14ac:dyDescent="0.25">
      <c r="A805" s="3" t="s">
        <v>1566</v>
      </c>
      <c r="B805" s="6" t="s">
        <v>3187</v>
      </c>
      <c r="C805" s="3" t="s">
        <v>8377</v>
      </c>
      <c r="D805" s="3" t="s">
        <v>7111</v>
      </c>
      <c r="E805" s="3" t="s">
        <v>5515</v>
      </c>
    </row>
    <row r="806" spans="1:5" x14ac:dyDescent="0.25">
      <c r="A806" s="3" t="s">
        <v>1565</v>
      </c>
      <c r="B806" s="6" t="s">
        <v>3188</v>
      </c>
      <c r="C806" s="3" t="s">
        <v>8378</v>
      </c>
      <c r="D806" s="3" t="s">
        <v>7372</v>
      </c>
      <c r="E806" s="3" t="s">
        <v>5516</v>
      </c>
    </row>
    <row r="807" spans="1:5" x14ac:dyDescent="0.25">
      <c r="A807" s="3" t="s">
        <v>1564</v>
      </c>
      <c r="B807" s="6" t="s">
        <v>3189</v>
      </c>
      <c r="C807" s="3" t="s">
        <v>8378</v>
      </c>
      <c r="D807" s="3" t="s">
        <v>4770</v>
      </c>
      <c r="E807" s="3" t="s">
        <v>5517</v>
      </c>
    </row>
    <row r="808" spans="1:5" x14ac:dyDescent="0.25">
      <c r="A808" s="3" t="s">
        <v>1563</v>
      </c>
      <c r="B808" s="6" t="s">
        <v>3190</v>
      </c>
      <c r="C808" s="3" t="s">
        <v>8378</v>
      </c>
      <c r="D808" s="3" t="s">
        <v>7373</v>
      </c>
      <c r="E808" s="3" t="s">
        <v>5518</v>
      </c>
    </row>
    <row r="809" spans="1:5" x14ac:dyDescent="0.25">
      <c r="A809" s="3" t="s">
        <v>1562</v>
      </c>
      <c r="B809" s="6" t="s">
        <v>3191</v>
      </c>
      <c r="C809" s="3" t="s">
        <v>8378</v>
      </c>
      <c r="D809" s="3" t="s">
        <v>7374</v>
      </c>
      <c r="E809" s="3" t="s">
        <v>5519</v>
      </c>
    </row>
    <row r="810" spans="1:5" x14ac:dyDescent="0.25">
      <c r="A810" s="3" t="s">
        <v>1561</v>
      </c>
      <c r="B810" s="6" t="s">
        <v>3192</v>
      </c>
      <c r="C810" s="3" t="s">
        <v>8379</v>
      </c>
      <c r="D810" s="3" t="s">
        <v>7375</v>
      </c>
      <c r="E810" s="3" t="s">
        <v>5520</v>
      </c>
    </row>
    <row r="811" spans="1:5" x14ac:dyDescent="0.25">
      <c r="A811" s="3" t="s">
        <v>1560</v>
      </c>
      <c r="B811" s="6" t="s">
        <v>3193</v>
      </c>
      <c r="C811" s="3" t="s">
        <v>8378</v>
      </c>
      <c r="D811" s="3" t="s">
        <v>7376</v>
      </c>
      <c r="E811" s="3" t="s">
        <v>5521</v>
      </c>
    </row>
    <row r="812" spans="1:5" x14ac:dyDescent="0.25">
      <c r="A812" s="3" t="s">
        <v>1559</v>
      </c>
      <c r="B812" s="6" t="s">
        <v>3194</v>
      </c>
      <c r="C812" s="3" t="s">
        <v>8378</v>
      </c>
      <c r="D812" s="3" t="s">
        <v>6852</v>
      </c>
      <c r="E812" s="3" t="s">
        <v>5522</v>
      </c>
    </row>
    <row r="813" spans="1:5" x14ac:dyDescent="0.25">
      <c r="A813" s="3" t="s">
        <v>1558</v>
      </c>
      <c r="B813" s="6" t="s">
        <v>3195</v>
      </c>
      <c r="C813" s="3" t="s">
        <v>8378</v>
      </c>
      <c r="D813" s="3" t="s">
        <v>7377</v>
      </c>
      <c r="E813" s="3" t="s">
        <v>5149</v>
      </c>
    </row>
    <row r="814" spans="1:5" x14ac:dyDescent="0.25">
      <c r="A814" s="3" t="s">
        <v>1557</v>
      </c>
      <c r="B814" s="6" t="s">
        <v>3196</v>
      </c>
      <c r="C814" s="3" t="s">
        <v>8378</v>
      </c>
      <c r="D814" s="3" t="s">
        <v>7206</v>
      </c>
      <c r="E814" s="3" t="s">
        <v>5523</v>
      </c>
    </row>
    <row r="815" spans="1:5" x14ac:dyDescent="0.25">
      <c r="A815" s="3" t="s">
        <v>1556</v>
      </c>
      <c r="B815" s="6" t="s">
        <v>3197</v>
      </c>
      <c r="C815" s="3" t="s">
        <v>8378</v>
      </c>
      <c r="D815" s="3" t="s">
        <v>7378</v>
      </c>
      <c r="E815" s="3" t="s">
        <v>5524</v>
      </c>
    </row>
    <row r="816" spans="1:5" x14ac:dyDescent="0.25">
      <c r="A816" s="3" t="s">
        <v>1555</v>
      </c>
      <c r="B816" s="6" t="s">
        <v>3198</v>
      </c>
      <c r="C816" s="3" t="s">
        <v>8378</v>
      </c>
      <c r="D816" s="3" t="s">
        <v>7379</v>
      </c>
      <c r="E816" s="3" t="s">
        <v>5525</v>
      </c>
    </row>
    <row r="817" spans="1:5" x14ac:dyDescent="0.25">
      <c r="A817" s="3" t="s">
        <v>1554</v>
      </c>
      <c r="B817" s="6" t="s">
        <v>3199</v>
      </c>
      <c r="C817" s="3" t="s">
        <v>8378</v>
      </c>
      <c r="D817" s="3" t="s">
        <v>6288</v>
      </c>
      <c r="E817" s="3" t="s">
        <v>5526</v>
      </c>
    </row>
    <row r="818" spans="1:5" x14ac:dyDescent="0.25">
      <c r="A818" s="3" t="s">
        <v>1553</v>
      </c>
      <c r="B818" s="6" t="s">
        <v>3200</v>
      </c>
      <c r="C818" s="3" t="s">
        <v>8378</v>
      </c>
      <c r="D818" s="3" t="s">
        <v>7380</v>
      </c>
      <c r="E818" s="3" t="s">
        <v>5527</v>
      </c>
    </row>
    <row r="819" spans="1:5" x14ac:dyDescent="0.25">
      <c r="A819" s="3" t="s">
        <v>1552</v>
      </c>
      <c r="B819" s="6" t="s">
        <v>3201</v>
      </c>
      <c r="C819" s="3" t="s">
        <v>8378</v>
      </c>
      <c r="D819" s="3" t="s">
        <v>7070</v>
      </c>
      <c r="E819" s="3" t="s">
        <v>5059</v>
      </c>
    </row>
    <row r="820" spans="1:5" x14ac:dyDescent="0.25">
      <c r="A820" s="3" t="s">
        <v>1551</v>
      </c>
      <c r="B820" s="6" t="s">
        <v>3202</v>
      </c>
      <c r="C820" s="3" t="s">
        <v>8378</v>
      </c>
      <c r="D820" s="3" t="s">
        <v>7381</v>
      </c>
      <c r="E820" s="3" t="s">
        <v>5528</v>
      </c>
    </row>
    <row r="821" spans="1:5" x14ac:dyDescent="0.25">
      <c r="A821" s="3" t="s">
        <v>1550</v>
      </c>
      <c r="B821" s="6" t="s">
        <v>3203</v>
      </c>
      <c r="C821" s="3" t="s">
        <v>8377</v>
      </c>
      <c r="D821" s="3" t="s">
        <v>7212</v>
      </c>
      <c r="E821" s="3" t="s">
        <v>5529</v>
      </c>
    </row>
    <row r="822" spans="1:5" x14ac:dyDescent="0.25">
      <c r="A822" s="3" t="s">
        <v>1549</v>
      </c>
      <c r="B822" s="6" t="s">
        <v>3204</v>
      </c>
      <c r="C822" s="3" t="s">
        <v>8378</v>
      </c>
      <c r="D822" s="3" t="s">
        <v>7382</v>
      </c>
      <c r="E822" s="3" t="s">
        <v>5530</v>
      </c>
    </row>
    <row r="823" spans="1:5" x14ac:dyDescent="0.25">
      <c r="A823" s="3" t="s">
        <v>1548</v>
      </c>
      <c r="B823" s="6" t="s">
        <v>3205</v>
      </c>
      <c r="C823" s="3" t="s">
        <v>8378</v>
      </c>
      <c r="D823" s="3" t="s">
        <v>7383</v>
      </c>
      <c r="E823" s="3" t="s">
        <v>5531</v>
      </c>
    </row>
    <row r="824" spans="1:5" x14ac:dyDescent="0.25">
      <c r="A824" s="3" t="s">
        <v>1547</v>
      </c>
      <c r="B824" s="6" t="s">
        <v>3206</v>
      </c>
      <c r="C824" s="3" t="s">
        <v>8378</v>
      </c>
      <c r="D824" s="3" t="s">
        <v>6787</v>
      </c>
      <c r="E824" s="3" t="s">
        <v>5532</v>
      </c>
    </row>
    <row r="825" spans="1:5" x14ac:dyDescent="0.25">
      <c r="A825" s="3" t="s">
        <v>1546</v>
      </c>
      <c r="B825" s="6" t="s">
        <v>3207</v>
      </c>
      <c r="C825" s="3" t="s">
        <v>8378</v>
      </c>
      <c r="D825" s="3" t="s">
        <v>7384</v>
      </c>
      <c r="E825" s="3" t="s">
        <v>5412</v>
      </c>
    </row>
    <row r="826" spans="1:5" x14ac:dyDescent="0.25">
      <c r="A826" s="3" t="s">
        <v>1545</v>
      </c>
      <c r="B826" s="6" t="s">
        <v>3208</v>
      </c>
      <c r="C826" s="3" t="s">
        <v>8378</v>
      </c>
      <c r="D826" s="3" t="s">
        <v>7385</v>
      </c>
      <c r="E826" s="3" t="s">
        <v>5533</v>
      </c>
    </row>
    <row r="827" spans="1:5" x14ac:dyDescent="0.25">
      <c r="A827" s="3" t="s">
        <v>1544</v>
      </c>
      <c r="B827" s="6" t="s">
        <v>3209</v>
      </c>
      <c r="C827" s="3" t="s">
        <v>8377</v>
      </c>
      <c r="D827" s="3" t="s">
        <v>7386</v>
      </c>
      <c r="E827" s="3" t="s">
        <v>5534</v>
      </c>
    </row>
    <row r="828" spans="1:5" x14ac:dyDescent="0.25">
      <c r="A828" s="3" t="s">
        <v>1543</v>
      </c>
      <c r="B828" s="6" t="s">
        <v>3210</v>
      </c>
      <c r="C828" s="3" t="s">
        <v>8377</v>
      </c>
      <c r="D828" s="3" t="s">
        <v>7387</v>
      </c>
      <c r="E828" s="3" t="s">
        <v>5535</v>
      </c>
    </row>
    <row r="829" spans="1:5" x14ac:dyDescent="0.25">
      <c r="A829" s="3" t="s">
        <v>1542</v>
      </c>
      <c r="B829" s="6" t="s">
        <v>3211</v>
      </c>
      <c r="C829" s="3" t="s">
        <v>8379</v>
      </c>
      <c r="D829" s="3" t="s">
        <v>7388</v>
      </c>
      <c r="E829" s="3" t="s">
        <v>5229</v>
      </c>
    </row>
    <row r="830" spans="1:5" x14ac:dyDescent="0.25">
      <c r="A830" s="3" t="s">
        <v>1541</v>
      </c>
      <c r="B830" s="6" t="s">
        <v>3212</v>
      </c>
      <c r="C830" s="3" t="s">
        <v>8379</v>
      </c>
      <c r="D830" s="3" t="s">
        <v>7389</v>
      </c>
      <c r="E830" s="3" t="s">
        <v>5245</v>
      </c>
    </row>
    <row r="831" spans="1:5" x14ac:dyDescent="0.25">
      <c r="A831" s="3" t="s">
        <v>1540</v>
      </c>
      <c r="B831" s="6" t="s">
        <v>3213</v>
      </c>
      <c r="C831" s="3" t="s">
        <v>8379</v>
      </c>
      <c r="D831" s="3" t="s">
        <v>7390</v>
      </c>
      <c r="E831" s="3" t="s">
        <v>5536</v>
      </c>
    </row>
    <row r="832" spans="1:5" x14ac:dyDescent="0.25">
      <c r="A832" s="3" t="s">
        <v>1539</v>
      </c>
      <c r="B832" s="6" t="s">
        <v>3214</v>
      </c>
      <c r="C832" s="3" t="s">
        <v>8378</v>
      </c>
      <c r="D832" s="3" t="s">
        <v>6880</v>
      </c>
      <c r="E832" s="3" t="s">
        <v>5537</v>
      </c>
    </row>
    <row r="833" spans="1:5" x14ac:dyDescent="0.25">
      <c r="A833" s="3" t="s">
        <v>1538</v>
      </c>
      <c r="B833" s="6" t="s">
        <v>3215</v>
      </c>
      <c r="C833" s="3" t="s">
        <v>8378</v>
      </c>
      <c r="D833" s="3" t="s">
        <v>7391</v>
      </c>
      <c r="E833" s="3" t="s">
        <v>5538</v>
      </c>
    </row>
    <row r="834" spans="1:5" x14ac:dyDescent="0.25">
      <c r="A834" s="3" t="s">
        <v>1537</v>
      </c>
      <c r="B834" s="6" t="s">
        <v>3216</v>
      </c>
      <c r="C834" s="3" t="s">
        <v>8378</v>
      </c>
      <c r="D834" s="3" t="s">
        <v>7392</v>
      </c>
      <c r="E834" s="3" t="s">
        <v>5539</v>
      </c>
    </row>
    <row r="835" spans="1:5" x14ac:dyDescent="0.25">
      <c r="A835" s="3" t="s">
        <v>1536</v>
      </c>
      <c r="B835" s="6" t="s">
        <v>3217</v>
      </c>
      <c r="C835" s="3" t="s">
        <v>8379</v>
      </c>
      <c r="D835" s="3" t="s">
        <v>7287</v>
      </c>
      <c r="E835" s="3" t="s">
        <v>5540</v>
      </c>
    </row>
    <row r="836" spans="1:5" x14ac:dyDescent="0.25">
      <c r="A836" s="3" t="s">
        <v>1535</v>
      </c>
      <c r="B836" s="6" t="s">
        <v>3218</v>
      </c>
      <c r="C836" s="3" t="s">
        <v>8377</v>
      </c>
      <c r="D836" s="3" t="s">
        <v>7393</v>
      </c>
      <c r="E836" s="3" t="s">
        <v>5541</v>
      </c>
    </row>
    <row r="837" spans="1:5" x14ac:dyDescent="0.25">
      <c r="A837" s="3" t="s">
        <v>1534</v>
      </c>
      <c r="B837" s="6" t="s">
        <v>3219</v>
      </c>
      <c r="C837" s="3" t="s">
        <v>8377</v>
      </c>
      <c r="D837" s="3" t="s">
        <v>7394</v>
      </c>
      <c r="E837" s="3" t="s">
        <v>4981</v>
      </c>
    </row>
    <row r="838" spans="1:5" x14ac:dyDescent="0.25">
      <c r="A838" s="3" t="s">
        <v>1533</v>
      </c>
      <c r="B838" s="6" t="s">
        <v>3220</v>
      </c>
      <c r="C838" s="3" t="s">
        <v>8377</v>
      </c>
      <c r="D838" s="3" t="s">
        <v>7395</v>
      </c>
      <c r="E838" s="3" t="s">
        <v>5542</v>
      </c>
    </row>
    <row r="839" spans="1:5" x14ac:dyDescent="0.25">
      <c r="A839" s="3" t="s">
        <v>1532</v>
      </c>
      <c r="B839" s="6" t="s">
        <v>3221</v>
      </c>
      <c r="C839" s="3" t="s">
        <v>8378</v>
      </c>
      <c r="D839" s="3" t="s">
        <v>7193</v>
      </c>
      <c r="E839" s="3" t="s">
        <v>5356</v>
      </c>
    </row>
    <row r="840" spans="1:5" x14ac:dyDescent="0.25">
      <c r="A840" s="3" t="s">
        <v>1531</v>
      </c>
      <c r="B840" s="6" t="s">
        <v>3222</v>
      </c>
      <c r="C840" s="3" t="s">
        <v>8377</v>
      </c>
      <c r="D840" s="3" t="s">
        <v>6944</v>
      </c>
      <c r="E840" s="3" t="s">
        <v>5543</v>
      </c>
    </row>
    <row r="841" spans="1:5" x14ac:dyDescent="0.25">
      <c r="A841" s="3" t="s">
        <v>1530</v>
      </c>
      <c r="B841" s="6" t="s">
        <v>3223</v>
      </c>
      <c r="C841" s="3" t="s">
        <v>8377</v>
      </c>
      <c r="D841" s="3" t="s">
        <v>7396</v>
      </c>
      <c r="E841" s="3" t="s">
        <v>5544</v>
      </c>
    </row>
    <row r="842" spans="1:5" x14ac:dyDescent="0.25">
      <c r="A842" s="3" t="s">
        <v>1529</v>
      </c>
      <c r="B842" s="6" t="s">
        <v>3224</v>
      </c>
      <c r="C842" s="3" t="s">
        <v>8377</v>
      </c>
      <c r="D842" s="3" t="s">
        <v>7397</v>
      </c>
      <c r="E842" s="3" t="s">
        <v>5545</v>
      </c>
    </row>
    <row r="843" spans="1:5" x14ac:dyDescent="0.25">
      <c r="A843" s="3" t="s">
        <v>1528</v>
      </c>
      <c r="B843" s="6" t="s">
        <v>3225</v>
      </c>
      <c r="C843" s="3" t="s">
        <v>8377</v>
      </c>
      <c r="D843" s="3" t="s">
        <v>7398</v>
      </c>
      <c r="E843" s="3" t="s">
        <v>5546</v>
      </c>
    </row>
    <row r="844" spans="1:5" x14ac:dyDescent="0.25">
      <c r="A844" s="3" t="s">
        <v>1527</v>
      </c>
      <c r="B844" s="6" t="s">
        <v>3226</v>
      </c>
      <c r="C844" s="3" t="s">
        <v>8377</v>
      </c>
      <c r="D844" s="3" t="s">
        <v>7399</v>
      </c>
      <c r="E844" s="3" t="s">
        <v>5547</v>
      </c>
    </row>
    <row r="845" spans="1:5" x14ac:dyDescent="0.25">
      <c r="A845" s="3" t="s">
        <v>1526</v>
      </c>
      <c r="B845" s="6" t="s">
        <v>3227</v>
      </c>
      <c r="C845" s="3" t="s">
        <v>8377</v>
      </c>
      <c r="D845" s="3" t="s">
        <v>7166</v>
      </c>
      <c r="E845" s="3" t="s">
        <v>4907</v>
      </c>
    </row>
    <row r="846" spans="1:5" x14ac:dyDescent="0.25">
      <c r="A846" s="3" t="s">
        <v>1525</v>
      </c>
      <c r="B846" s="6" t="s">
        <v>3228</v>
      </c>
      <c r="C846" s="3" t="s">
        <v>8379</v>
      </c>
      <c r="D846" s="3" t="s">
        <v>7400</v>
      </c>
      <c r="E846" s="3" t="s">
        <v>5548</v>
      </c>
    </row>
    <row r="847" spans="1:5" x14ac:dyDescent="0.25">
      <c r="A847" s="3" t="s">
        <v>1524</v>
      </c>
      <c r="B847" s="6" t="s">
        <v>3229</v>
      </c>
      <c r="C847" s="3" t="s">
        <v>8377</v>
      </c>
      <c r="D847" s="3" t="s">
        <v>7401</v>
      </c>
      <c r="E847" s="3" t="s">
        <v>5549</v>
      </c>
    </row>
    <row r="848" spans="1:5" x14ac:dyDescent="0.25">
      <c r="A848" s="3" t="s">
        <v>1523</v>
      </c>
      <c r="B848" s="6" t="s">
        <v>3230</v>
      </c>
      <c r="C848" s="3" t="s">
        <v>8377</v>
      </c>
      <c r="D848" s="3" t="s">
        <v>7402</v>
      </c>
      <c r="E848" s="3" t="s">
        <v>5550</v>
      </c>
    </row>
    <row r="849" spans="1:5" x14ac:dyDescent="0.25">
      <c r="A849" s="3" t="s">
        <v>1522</v>
      </c>
      <c r="B849" s="6" t="s">
        <v>3231</v>
      </c>
      <c r="C849" s="3" t="s">
        <v>8377</v>
      </c>
      <c r="D849" s="3" t="s">
        <v>7403</v>
      </c>
      <c r="E849" s="3" t="s">
        <v>5551</v>
      </c>
    </row>
    <row r="850" spans="1:5" x14ac:dyDescent="0.25">
      <c r="A850" s="3" t="s">
        <v>1521</v>
      </c>
      <c r="B850" s="6" t="s">
        <v>3232</v>
      </c>
      <c r="C850" s="3" t="s">
        <v>8378</v>
      </c>
      <c r="D850" s="3" t="s">
        <v>6796</v>
      </c>
      <c r="E850" s="3" t="s">
        <v>5552</v>
      </c>
    </row>
    <row r="851" spans="1:5" x14ac:dyDescent="0.25">
      <c r="A851" s="3" t="s">
        <v>1520</v>
      </c>
      <c r="B851" s="6" t="s">
        <v>3233</v>
      </c>
      <c r="C851" s="3" t="s">
        <v>8378</v>
      </c>
      <c r="D851" s="3" t="s">
        <v>5087</v>
      </c>
      <c r="E851" s="3" t="s">
        <v>5553</v>
      </c>
    </row>
    <row r="852" spans="1:5" x14ac:dyDescent="0.25">
      <c r="A852" s="3" t="s">
        <v>1519</v>
      </c>
      <c r="B852" s="6" t="s">
        <v>3234</v>
      </c>
      <c r="C852" s="3" t="s">
        <v>8377</v>
      </c>
      <c r="D852" s="3" t="s">
        <v>7404</v>
      </c>
      <c r="E852" s="3" t="s">
        <v>5554</v>
      </c>
    </row>
    <row r="853" spans="1:5" x14ac:dyDescent="0.25">
      <c r="A853" s="3" t="s">
        <v>1518</v>
      </c>
      <c r="B853" s="6" t="s">
        <v>3235</v>
      </c>
      <c r="C853" s="3" t="s">
        <v>8379</v>
      </c>
      <c r="D853" s="3" t="s">
        <v>6908</v>
      </c>
      <c r="E853" s="3" t="s">
        <v>5555</v>
      </c>
    </row>
    <row r="854" spans="1:5" x14ac:dyDescent="0.25">
      <c r="A854" s="3" t="s">
        <v>1517</v>
      </c>
      <c r="B854" s="6" t="s">
        <v>3236</v>
      </c>
      <c r="C854" s="3" t="s">
        <v>8378</v>
      </c>
      <c r="D854" s="3" t="s">
        <v>6817</v>
      </c>
      <c r="E854" s="3" t="s">
        <v>4938</v>
      </c>
    </row>
    <row r="855" spans="1:5" x14ac:dyDescent="0.25">
      <c r="A855" s="3" t="s">
        <v>1516</v>
      </c>
      <c r="B855" s="6" t="s">
        <v>3237</v>
      </c>
      <c r="C855" s="3" t="s">
        <v>8378</v>
      </c>
      <c r="D855" s="3" t="s">
        <v>7405</v>
      </c>
      <c r="E855" s="3" t="s">
        <v>5556</v>
      </c>
    </row>
    <row r="856" spans="1:5" x14ac:dyDescent="0.25">
      <c r="A856" s="3" t="s">
        <v>1515</v>
      </c>
      <c r="B856" s="6" t="s">
        <v>3238</v>
      </c>
      <c r="C856" s="3" t="s">
        <v>8378</v>
      </c>
      <c r="D856" s="3" t="s">
        <v>6942</v>
      </c>
      <c r="E856" s="3" t="s">
        <v>5557</v>
      </c>
    </row>
    <row r="857" spans="1:5" x14ac:dyDescent="0.25">
      <c r="A857" s="3" t="s">
        <v>1514</v>
      </c>
      <c r="B857" s="6" t="s">
        <v>3239</v>
      </c>
      <c r="C857" s="3" t="s">
        <v>8378</v>
      </c>
      <c r="D857" s="3" t="s">
        <v>7406</v>
      </c>
      <c r="E857" s="3" t="s">
        <v>5558</v>
      </c>
    </row>
    <row r="858" spans="1:5" x14ac:dyDescent="0.25">
      <c r="A858" s="3" t="s">
        <v>1513</v>
      </c>
      <c r="B858" s="6" t="s">
        <v>3240</v>
      </c>
      <c r="C858" s="3" t="s">
        <v>8377</v>
      </c>
      <c r="D858" s="3" t="s">
        <v>7407</v>
      </c>
      <c r="E858" s="3" t="s">
        <v>5559</v>
      </c>
    </row>
    <row r="859" spans="1:5" x14ac:dyDescent="0.25">
      <c r="A859" s="3" t="s">
        <v>1512</v>
      </c>
      <c r="B859" s="6" t="s">
        <v>3241</v>
      </c>
      <c r="C859" s="3" t="s">
        <v>8377</v>
      </c>
      <c r="D859" s="3" t="s">
        <v>7111</v>
      </c>
      <c r="E859" s="3" t="s">
        <v>5560</v>
      </c>
    </row>
    <row r="860" spans="1:5" x14ac:dyDescent="0.25">
      <c r="A860" s="3" t="s">
        <v>1511</v>
      </c>
      <c r="B860" s="6" t="s">
        <v>3242</v>
      </c>
      <c r="C860" s="3" t="s">
        <v>8377</v>
      </c>
      <c r="D860" s="3" t="s">
        <v>7408</v>
      </c>
      <c r="E860" s="3" t="s">
        <v>5561</v>
      </c>
    </row>
    <row r="861" spans="1:5" x14ac:dyDescent="0.25">
      <c r="A861" s="3" t="s">
        <v>1510</v>
      </c>
      <c r="B861" s="6" t="s">
        <v>3243</v>
      </c>
      <c r="C861" s="3" t="s">
        <v>8377</v>
      </c>
      <c r="D861" s="3" t="s">
        <v>7409</v>
      </c>
      <c r="E861" s="3" t="s">
        <v>5562</v>
      </c>
    </row>
    <row r="862" spans="1:5" x14ac:dyDescent="0.25">
      <c r="A862" s="3" t="s">
        <v>1509</v>
      </c>
      <c r="B862" s="6" t="s">
        <v>3244</v>
      </c>
      <c r="C862" s="3" t="s">
        <v>8378</v>
      </c>
      <c r="D862" s="3" t="s">
        <v>6796</v>
      </c>
      <c r="E862" s="3" t="s">
        <v>5563</v>
      </c>
    </row>
    <row r="863" spans="1:5" x14ac:dyDescent="0.25">
      <c r="A863" s="3" t="s">
        <v>1508</v>
      </c>
      <c r="B863" s="6" t="s">
        <v>3245</v>
      </c>
      <c r="C863" s="3" t="s">
        <v>8377</v>
      </c>
      <c r="D863" s="3" t="s">
        <v>7027</v>
      </c>
      <c r="E863" s="3" t="s">
        <v>5564</v>
      </c>
    </row>
    <row r="864" spans="1:5" x14ac:dyDescent="0.25">
      <c r="A864" s="3" t="s">
        <v>1507</v>
      </c>
      <c r="B864" s="6" t="s">
        <v>3246</v>
      </c>
      <c r="C864" s="3" t="s">
        <v>8378</v>
      </c>
      <c r="D864" s="3" t="s">
        <v>7410</v>
      </c>
      <c r="E864" s="3" t="s">
        <v>5565</v>
      </c>
    </row>
    <row r="865" spans="1:5" x14ac:dyDescent="0.25">
      <c r="A865" s="3" t="s">
        <v>1506</v>
      </c>
      <c r="B865" s="6" t="s">
        <v>3247</v>
      </c>
      <c r="C865" s="3" t="s">
        <v>8378</v>
      </c>
      <c r="D865" s="3" t="s">
        <v>7411</v>
      </c>
      <c r="E865" s="3" t="s">
        <v>5566</v>
      </c>
    </row>
    <row r="866" spans="1:5" x14ac:dyDescent="0.25">
      <c r="A866" s="3" t="s">
        <v>1505</v>
      </c>
      <c r="B866" s="6" t="s">
        <v>3248</v>
      </c>
      <c r="C866" s="3" t="s">
        <v>8378</v>
      </c>
      <c r="D866" s="3" t="s">
        <v>6808</v>
      </c>
      <c r="E866" s="3" t="s">
        <v>5567</v>
      </c>
    </row>
    <row r="867" spans="1:5" x14ac:dyDescent="0.25">
      <c r="A867" s="3" t="s">
        <v>1504</v>
      </c>
      <c r="B867" s="6" t="s">
        <v>3249</v>
      </c>
      <c r="C867" s="3" t="s">
        <v>8379</v>
      </c>
      <c r="D867" s="3" t="s">
        <v>7412</v>
      </c>
      <c r="E867" s="3" t="s">
        <v>5568</v>
      </c>
    </row>
    <row r="868" spans="1:5" x14ac:dyDescent="0.25">
      <c r="A868" s="3" t="s">
        <v>1503</v>
      </c>
      <c r="B868" s="6" t="s">
        <v>3250</v>
      </c>
      <c r="C868" s="3" t="s">
        <v>8378</v>
      </c>
      <c r="D868" s="3" t="s">
        <v>7413</v>
      </c>
      <c r="E868" s="3" t="s">
        <v>5569</v>
      </c>
    </row>
    <row r="869" spans="1:5" x14ac:dyDescent="0.25">
      <c r="A869" s="3" t="s">
        <v>1502</v>
      </c>
      <c r="B869" s="6" t="s">
        <v>3251</v>
      </c>
      <c r="C869" s="3" t="s">
        <v>8378</v>
      </c>
      <c r="D869" s="3" t="s">
        <v>7414</v>
      </c>
      <c r="E869" s="3" t="s">
        <v>5570</v>
      </c>
    </row>
    <row r="870" spans="1:5" x14ac:dyDescent="0.25">
      <c r="A870" s="3" t="s">
        <v>1501</v>
      </c>
      <c r="B870" s="6" t="s">
        <v>3252</v>
      </c>
      <c r="C870" s="3" t="s">
        <v>8378</v>
      </c>
      <c r="D870" s="3" t="s">
        <v>4772</v>
      </c>
      <c r="E870" s="3" t="s">
        <v>5571</v>
      </c>
    </row>
    <row r="871" spans="1:5" x14ac:dyDescent="0.25">
      <c r="A871" s="3" t="s">
        <v>1500</v>
      </c>
      <c r="B871" s="6" t="s">
        <v>3253</v>
      </c>
      <c r="C871" s="3" t="s">
        <v>8378</v>
      </c>
      <c r="D871" s="3" t="s">
        <v>7415</v>
      </c>
      <c r="E871" s="3" t="s">
        <v>5572</v>
      </c>
    </row>
    <row r="872" spans="1:5" x14ac:dyDescent="0.25">
      <c r="A872" s="3" t="s">
        <v>1499</v>
      </c>
      <c r="B872" s="6" t="s">
        <v>3254</v>
      </c>
      <c r="C872" s="3" t="s">
        <v>8379</v>
      </c>
      <c r="D872" s="3" t="s">
        <v>7416</v>
      </c>
      <c r="E872" s="3" t="s">
        <v>5573</v>
      </c>
    </row>
    <row r="873" spans="1:5" x14ac:dyDescent="0.25">
      <c r="A873" s="3" t="s">
        <v>1498</v>
      </c>
      <c r="B873" s="6" t="s">
        <v>3255</v>
      </c>
      <c r="C873" s="3" t="s">
        <v>8377</v>
      </c>
      <c r="D873" s="3" t="s">
        <v>7417</v>
      </c>
      <c r="E873" s="3" t="s">
        <v>5574</v>
      </c>
    </row>
    <row r="874" spans="1:5" x14ac:dyDescent="0.25">
      <c r="A874" s="3" t="s">
        <v>1497</v>
      </c>
      <c r="B874" s="6" t="s">
        <v>3256</v>
      </c>
      <c r="C874" s="3" t="s">
        <v>8379</v>
      </c>
      <c r="D874" s="3" t="s">
        <v>7418</v>
      </c>
      <c r="E874" s="3" t="s">
        <v>5575</v>
      </c>
    </row>
    <row r="875" spans="1:5" x14ac:dyDescent="0.25">
      <c r="A875" s="3" t="s">
        <v>1496</v>
      </c>
      <c r="B875" s="6" t="s">
        <v>3257</v>
      </c>
      <c r="C875" s="3" t="s">
        <v>8377</v>
      </c>
      <c r="D875" s="3" t="s">
        <v>7419</v>
      </c>
      <c r="E875" s="3" t="s">
        <v>5576</v>
      </c>
    </row>
    <row r="876" spans="1:5" x14ac:dyDescent="0.25">
      <c r="A876" s="3" t="s">
        <v>1495</v>
      </c>
      <c r="B876" s="6" t="s">
        <v>3258</v>
      </c>
      <c r="C876" s="3" t="s">
        <v>8377</v>
      </c>
      <c r="D876" s="3" t="s">
        <v>7420</v>
      </c>
      <c r="E876" s="3" t="s">
        <v>5577</v>
      </c>
    </row>
    <row r="877" spans="1:5" x14ac:dyDescent="0.25">
      <c r="A877" s="3" t="s">
        <v>1494</v>
      </c>
      <c r="B877" s="6" t="s">
        <v>3259</v>
      </c>
      <c r="C877" s="3" t="s">
        <v>8377</v>
      </c>
      <c r="D877" s="3" t="s">
        <v>7421</v>
      </c>
      <c r="E877" s="3" t="s">
        <v>5578</v>
      </c>
    </row>
    <row r="878" spans="1:5" x14ac:dyDescent="0.25">
      <c r="A878" s="3" t="s">
        <v>1493</v>
      </c>
      <c r="B878" s="6" t="s">
        <v>3260</v>
      </c>
      <c r="C878" s="3" t="s">
        <v>8379</v>
      </c>
      <c r="D878" s="3" t="s">
        <v>7258</v>
      </c>
      <c r="E878" s="3" t="s">
        <v>5579</v>
      </c>
    </row>
    <row r="879" spans="1:5" x14ac:dyDescent="0.25">
      <c r="A879" s="3" t="s">
        <v>1492</v>
      </c>
      <c r="B879" s="6" t="s">
        <v>3261</v>
      </c>
      <c r="C879" s="3" t="s">
        <v>8379</v>
      </c>
      <c r="D879" s="3" t="s">
        <v>7422</v>
      </c>
      <c r="E879" s="3" t="s">
        <v>5580</v>
      </c>
    </row>
    <row r="880" spans="1:5" x14ac:dyDescent="0.25">
      <c r="A880" s="3" t="s">
        <v>1491</v>
      </c>
      <c r="B880" s="6" t="s">
        <v>3262</v>
      </c>
      <c r="C880" s="3" t="s">
        <v>8377</v>
      </c>
      <c r="D880" s="3" t="s">
        <v>7423</v>
      </c>
      <c r="E880" s="3" t="s">
        <v>5581</v>
      </c>
    </row>
    <row r="881" spans="1:5" x14ac:dyDescent="0.25">
      <c r="A881" s="3" t="s">
        <v>1490</v>
      </c>
      <c r="B881" s="6" t="s">
        <v>3263</v>
      </c>
      <c r="C881" s="3" t="s">
        <v>8377</v>
      </c>
      <c r="D881" s="3" t="s">
        <v>7424</v>
      </c>
      <c r="E881" s="3" t="s">
        <v>5582</v>
      </c>
    </row>
    <row r="882" spans="1:5" x14ac:dyDescent="0.25">
      <c r="A882" s="3" t="s">
        <v>1489</v>
      </c>
      <c r="B882" s="6" t="s">
        <v>3264</v>
      </c>
      <c r="C882" s="3" t="s">
        <v>8377</v>
      </c>
      <c r="D882" s="3" t="s">
        <v>7425</v>
      </c>
      <c r="E882" s="3" t="s">
        <v>5583</v>
      </c>
    </row>
    <row r="883" spans="1:5" x14ac:dyDescent="0.25">
      <c r="A883" s="3" t="s">
        <v>1488</v>
      </c>
      <c r="B883" s="6" t="s">
        <v>3265</v>
      </c>
      <c r="C883" s="3" t="s">
        <v>8377</v>
      </c>
      <c r="D883" s="3" t="s">
        <v>6983</v>
      </c>
      <c r="E883" s="3" t="s">
        <v>5584</v>
      </c>
    </row>
    <row r="884" spans="1:5" x14ac:dyDescent="0.25">
      <c r="A884" s="3" t="s">
        <v>1487</v>
      </c>
      <c r="B884" s="6" t="s">
        <v>3266</v>
      </c>
      <c r="C884" s="3" t="s">
        <v>8377</v>
      </c>
      <c r="D884" s="3" t="s">
        <v>7426</v>
      </c>
      <c r="E884" s="3" t="s">
        <v>5585</v>
      </c>
    </row>
    <row r="885" spans="1:5" x14ac:dyDescent="0.25">
      <c r="A885" s="3" t="s">
        <v>1486</v>
      </c>
      <c r="B885" s="6" t="s">
        <v>3267</v>
      </c>
      <c r="C885" s="3" t="s">
        <v>8377</v>
      </c>
      <c r="D885" s="3" t="s">
        <v>7427</v>
      </c>
      <c r="E885" s="3" t="s">
        <v>5586</v>
      </c>
    </row>
    <row r="886" spans="1:5" x14ac:dyDescent="0.25">
      <c r="A886" s="3" t="s">
        <v>1485</v>
      </c>
      <c r="B886" s="6" t="s">
        <v>3268</v>
      </c>
      <c r="C886" s="3" t="s">
        <v>8377</v>
      </c>
      <c r="D886" s="3" t="s">
        <v>7428</v>
      </c>
      <c r="E886" s="3" t="s">
        <v>5587</v>
      </c>
    </row>
    <row r="887" spans="1:5" x14ac:dyDescent="0.25">
      <c r="A887" s="3" t="s">
        <v>1484</v>
      </c>
      <c r="B887" s="6" t="s">
        <v>3269</v>
      </c>
      <c r="C887" s="3" t="s">
        <v>8377</v>
      </c>
      <c r="D887" s="3" t="s">
        <v>7429</v>
      </c>
      <c r="E887" s="3" t="s">
        <v>5588</v>
      </c>
    </row>
    <row r="888" spans="1:5" x14ac:dyDescent="0.25">
      <c r="A888" s="3" t="s">
        <v>1483</v>
      </c>
      <c r="B888" s="6" t="s">
        <v>3270</v>
      </c>
      <c r="C888" s="3" t="s">
        <v>8377</v>
      </c>
      <c r="D888" s="3" t="s">
        <v>7430</v>
      </c>
      <c r="E888" s="3" t="s">
        <v>5589</v>
      </c>
    </row>
    <row r="889" spans="1:5" x14ac:dyDescent="0.25">
      <c r="A889" s="3" t="s">
        <v>1482</v>
      </c>
      <c r="B889" s="6" t="s">
        <v>3271</v>
      </c>
      <c r="C889" s="3" t="s">
        <v>8379</v>
      </c>
      <c r="D889" s="3" t="s">
        <v>7431</v>
      </c>
      <c r="E889" s="3" t="s">
        <v>5590</v>
      </c>
    </row>
    <row r="890" spans="1:5" x14ac:dyDescent="0.25">
      <c r="A890" s="3" t="s">
        <v>1481</v>
      </c>
      <c r="B890" s="6" t="s">
        <v>3272</v>
      </c>
      <c r="C890" s="3" t="s">
        <v>8378</v>
      </c>
      <c r="D890" s="3" t="s">
        <v>7432</v>
      </c>
      <c r="E890" s="3" t="s">
        <v>5591</v>
      </c>
    </row>
    <row r="891" spans="1:5" x14ac:dyDescent="0.25">
      <c r="A891" s="3" t="s">
        <v>1480</v>
      </c>
      <c r="B891" s="6" t="s">
        <v>3273</v>
      </c>
      <c r="C891" s="3" t="s">
        <v>8378</v>
      </c>
      <c r="D891" s="3" t="s">
        <v>6905</v>
      </c>
      <c r="E891" s="3" t="s">
        <v>5592</v>
      </c>
    </row>
    <row r="892" spans="1:5" x14ac:dyDescent="0.25">
      <c r="A892" s="3" t="s">
        <v>1479</v>
      </c>
      <c r="B892" s="6" t="s">
        <v>3274</v>
      </c>
      <c r="C892" s="3" t="s">
        <v>8378</v>
      </c>
      <c r="D892" s="3" t="s">
        <v>7433</v>
      </c>
      <c r="E892" s="3" t="s">
        <v>5593</v>
      </c>
    </row>
    <row r="893" spans="1:5" x14ac:dyDescent="0.25">
      <c r="A893" s="3" t="s">
        <v>1478</v>
      </c>
      <c r="B893" s="6" t="s">
        <v>3275</v>
      </c>
      <c r="C893" s="3" t="s">
        <v>8378</v>
      </c>
      <c r="D893" s="3" t="s">
        <v>7434</v>
      </c>
      <c r="E893" s="3" t="s">
        <v>5594</v>
      </c>
    </row>
    <row r="894" spans="1:5" x14ac:dyDescent="0.25">
      <c r="A894" s="3" t="s">
        <v>1477</v>
      </c>
      <c r="B894" s="6" t="s">
        <v>3276</v>
      </c>
      <c r="C894" s="3" t="s">
        <v>8379</v>
      </c>
      <c r="D894" s="3" t="s">
        <v>7435</v>
      </c>
      <c r="E894" s="3" t="s">
        <v>5595</v>
      </c>
    </row>
    <row r="895" spans="1:5" x14ac:dyDescent="0.25">
      <c r="A895" s="3" t="s">
        <v>1476</v>
      </c>
      <c r="B895" s="6" t="s">
        <v>3277</v>
      </c>
      <c r="C895" s="3" t="s">
        <v>8378</v>
      </c>
      <c r="D895" s="3" t="s">
        <v>6768</v>
      </c>
      <c r="E895" s="3" t="s">
        <v>5596</v>
      </c>
    </row>
    <row r="896" spans="1:5" x14ac:dyDescent="0.25">
      <c r="A896" s="3" t="s">
        <v>1475</v>
      </c>
      <c r="B896" s="6" t="s">
        <v>3278</v>
      </c>
      <c r="C896" s="3" t="s">
        <v>8378</v>
      </c>
      <c r="D896" s="3" t="s">
        <v>7436</v>
      </c>
      <c r="E896" s="3" t="s">
        <v>5597</v>
      </c>
    </row>
    <row r="897" spans="1:5" x14ac:dyDescent="0.25">
      <c r="A897" s="3" t="s">
        <v>1474</v>
      </c>
      <c r="B897" s="6" t="s">
        <v>3279</v>
      </c>
      <c r="C897" s="3" t="s">
        <v>8377</v>
      </c>
      <c r="D897" s="3" t="s">
        <v>7437</v>
      </c>
      <c r="E897" s="3" t="s">
        <v>5598</v>
      </c>
    </row>
    <row r="898" spans="1:5" x14ac:dyDescent="0.25">
      <c r="A898" s="3" t="s">
        <v>1473</v>
      </c>
      <c r="B898" s="6" t="s">
        <v>3280</v>
      </c>
      <c r="C898" s="3" t="s">
        <v>8377</v>
      </c>
      <c r="D898" s="3" t="s">
        <v>7438</v>
      </c>
      <c r="E898" s="3" t="s">
        <v>5259</v>
      </c>
    </row>
    <row r="899" spans="1:5" x14ac:dyDescent="0.25">
      <c r="A899" s="3" t="s">
        <v>1472</v>
      </c>
      <c r="B899" s="6" t="s">
        <v>3281</v>
      </c>
      <c r="C899" s="3" t="s">
        <v>8377</v>
      </c>
      <c r="D899" s="3" t="s">
        <v>6731</v>
      </c>
      <c r="E899" s="3" t="s">
        <v>5599</v>
      </c>
    </row>
    <row r="900" spans="1:5" x14ac:dyDescent="0.25">
      <c r="A900" s="3" t="s">
        <v>1471</v>
      </c>
      <c r="B900" s="6" t="s">
        <v>3282</v>
      </c>
      <c r="C900" s="3" t="s">
        <v>8378</v>
      </c>
      <c r="D900" s="3" t="s">
        <v>6787</v>
      </c>
      <c r="E900" s="3" t="s">
        <v>4962</v>
      </c>
    </row>
    <row r="901" spans="1:5" x14ac:dyDescent="0.25">
      <c r="A901" s="3" t="s">
        <v>1470</v>
      </c>
      <c r="B901" s="6" t="s">
        <v>3283</v>
      </c>
      <c r="C901" s="3" t="s">
        <v>8379</v>
      </c>
      <c r="D901" s="3" t="s">
        <v>7439</v>
      </c>
      <c r="E901" s="3" t="s">
        <v>4979</v>
      </c>
    </row>
    <row r="902" spans="1:5" x14ac:dyDescent="0.25">
      <c r="A902" s="3" t="s">
        <v>1469</v>
      </c>
      <c r="B902" s="6" t="s">
        <v>3284</v>
      </c>
      <c r="C902" s="3" t="s">
        <v>8377</v>
      </c>
      <c r="D902" s="3" t="s">
        <v>7440</v>
      </c>
      <c r="E902" s="3" t="s">
        <v>5600</v>
      </c>
    </row>
    <row r="903" spans="1:5" x14ac:dyDescent="0.25">
      <c r="A903" s="3" t="s">
        <v>1468</v>
      </c>
      <c r="B903" s="6" t="s">
        <v>3285</v>
      </c>
      <c r="C903" s="3" t="s">
        <v>8378</v>
      </c>
      <c r="D903" s="3" t="s">
        <v>7198</v>
      </c>
      <c r="E903" s="3" t="s">
        <v>5601</v>
      </c>
    </row>
    <row r="904" spans="1:5" x14ac:dyDescent="0.25">
      <c r="A904" s="3" t="s">
        <v>1467</v>
      </c>
      <c r="B904" s="6" t="s">
        <v>3286</v>
      </c>
      <c r="C904" s="3" t="s">
        <v>8377</v>
      </c>
      <c r="D904" s="3" t="s">
        <v>7441</v>
      </c>
      <c r="E904" s="3" t="s">
        <v>5602</v>
      </c>
    </row>
    <row r="905" spans="1:5" x14ac:dyDescent="0.25">
      <c r="A905" s="3" t="s">
        <v>1466</v>
      </c>
      <c r="B905" s="6" t="s">
        <v>3287</v>
      </c>
      <c r="C905" s="3" t="s">
        <v>8377</v>
      </c>
      <c r="D905" s="3" t="s">
        <v>7442</v>
      </c>
      <c r="E905" s="3" t="s">
        <v>5603</v>
      </c>
    </row>
    <row r="906" spans="1:5" x14ac:dyDescent="0.25">
      <c r="A906" s="3" t="s">
        <v>1465</v>
      </c>
      <c r="B906" s="6" t="s">
        <v>3288</v>
      </c>
      <c r="C906" s="3" t="s">
        <v>8378</v>
      </c>
      <c r="D906" s="3" t="s">
        <v>7443</v>
      </c>
      <c r="E906" s="3" t="s">
        <v>5604</v>
      </c>
    </row>
    <row r="907" spans="1:5" x14ac:dyDescent="0.25">
      <c r="A907" s="3" t="s">
        <v>1464</v>
      </c>
      <c r="B907" s="6" t="s">
        <v>3289</v>
      </c>
      <c r="C907" s="3" t="s">
        <v>8377</v>
      </c>
      <c r="D907" s="3" t="s">
        <v>7395</v>
      </c>
      <c r="E907" s="3" t="s">
        <v>5605</v>
      </c>
    </row>
    <row r="908" spans="1:5" x14ac:dyDescent="0.25">
      <c r="A908" s="3" t="s">
        <v>1463</v>
      </c>
      <c r="B908" s="6" t="s">
        <v>3290</v>
      </c>
      <c r="C908" s="3" t="s">
        <v>8379</v>
      </c>
      <c r="D908" s="3" t="s">
        <v>7444</v>
      </c>
      <c r="E908" s="3" t="s">
        <v>5606</v>
      </c>
    </row>
    <row r="909" spans="1:5" x14ac:dyDescent="0.25">
      <c r="A909" s="3" t="s">
        <v>1462</v>
      </c>
      <c r="B909" s="6" t="s">
        <v>3291</v>
      </c>
      <c r="C909" s="3" t="s">
        <v>8378</v>
      </c>
      <c r="D909" s="3" t="s">
        <v>7445</v>
      </c>
      <c r="E909" s="3" t="s">
        <v>5607</v>
      </c>
    </row>
    <row r="910" spans="1:5" x14ac:dyDescent="0.25">
      <c r="A910" s="3" t="s">
        <v>1461</v>
      </c>
      <c r="B910" s="6" t="s">
        <v>3292</v>
      </c>
      <c r="C910" s="3" t="s">
        <v>8378</v>
      </c>
      <c r="D910" s="3" t="s">
        <v>7014</v>
      </c>
      <c r="E910" s="3" t="s">
        <v>5608</v>
      </c>
    </row>
    <row r="911" spans="1:5" x14ac:dyDescent="0.25">
      <c r="A911" s="3" t="s">
        <v>1460</v>
      </c>
      <c r="B911" s="6" t="s">
        <v>3293</v>
      </c>
      <c r="C911" s="3" t="s">
        <v>8378</v>
      </c>
      <c r="D911" s="3" t="s">
        <v>7446</v>
      </c>
      <c r="E911" s="3" t="s">
        <v>5609</v>
      </c>
    </row>
    <row r="912" spans="1:5" x14ac:dyDescent="0.25">
      <c r="A912" s="3" t="s">
        <v>1459</v>
      </c>
      <c r="B912" s="6" t="s">
        <v>3294</v>
      </c>
      <c r="C912" s="3" t="s">
        <v>8378</v>
      </c>
      <c r="D912" s="3" t="s">
        <v>7447</v>
      </c>
      <c r="E912" s="3" t="s">
        <v>5610</v>
      </c>
    </row>
    <row r="913" spans="1:5" x14ac:dyDescent="0.25">
      <c r="A913" s="3" t="s">
        <v>1458</v>
      </c>
      <c r="B913" s="6" t="s">
        <v>3295</v>
      </c>
      <c r="C913" s="3" t="s">
        <v>8378</v>
      </c>
      <c r="D913" s="3" t="s">
        <v>7087</v>
      </c>
      <c r="E913" s="3" t="s">
        <v>5611</v>
      </c>
    </row>
    <row r="914" spans="1:5" x14ac:dyDescent="0.25">
      <c r="A914" s="3" t="s">
        <v>1457</v>
      </c>
      <c r="B914" s="6" t="s">
        <v>3296</v>
      </c>
      <c r="C914" s="3" t="s">
        <v>8378</v>
      </c>
      <c r="D914" s="3" t="s">
        <v>6821</v>
      </c>
      <c r="E914" s="3" t="s">
        <v>5612</v>
      </c>
    </row>
    <row r="915" spans="1:5" x14ac:dyDescent="0.25">
      <c r="A915" s="3" t="s">
        <v>1456</v>
      </c>
      <c r="B915" s="6" t="s">
        <v>3297</v>
      </c>
      <c r="C915" s="3" t="s">
        <v>8378</v>
      </c>
      <c r="D915" s="3" t="s">
        <v>7448</v>
      </c>
      <c r="E915" s="3" t="s">
        <v>4894</v>
      </c>
    </row>
    <row r="916" spans="1:5" x14ac:dyDescent="0.25">
      <c r="A916" s="3" t="s">
        <v>1455</v>
      </c>
      <c r="B916" s="6" t="s">
        <v>3298</v>
      </c>
      <c r="C916" s="3" t="s">
        <v>8378</v>
      </c>
      <c r="D916" s="3" t="s">
        <v>7449</v>
      </c>
      <c r="E916" s="3" t="s">
        <v>5613</v>
      </c>
    </row>
    <row r="917" spans="1:5" x14ac:dyDescent="0.25">
      <c r="A917" s="3" t="s">
        <v>1454</v>
      </c>
      <c r="B917" s="6" t="s">
        <v>3299</v>
      </c>
      <c r="C917" s="3" t="s">
        <v>8378</v>
      </c>
      <c r="D917" s="3" t="s">
        <v>7450</v>
      </c>
      <c r="E917" s="3" t="s">
        <v>4979</v>
      </c>
    </row>
    <row r="918" spans="1:5" x14ac:dyDescent="0.25">
      <c r="A918" s="3" t="s">
        <v>1453</v>
      </c>
      <c r="B918" s="6" t="s">
        <v>3300</v>
      </c>
      <c r="C918" s="3" t="s">
        <v>8377</v>
      </c>
      <c r="D918" s="3" t="s">
        <v>7451</v>
      </c>
      <c r="E918" s="3" t="s">
        <v>5614</v>
      </c>
    </row>
    <row r="919" spans="1:5" x14ac:dyDescent="0.25">
      <c r="A919" s="3" t="s">
        <v>1452</v>
      </c>
      <c r="B919" s="6" t="s">
        <v>3301</v>
      </c>
      <c r="C919" s="3" t="s">
        <v>8377</v>
      </c>
      <c r="D919" s="3" t="s">
        <v>7095</v>
      </c>
      <c r="E919" s="3" t="s">
        <v>5615</v>
      </c>
    </row>
    <row r="920" spans="1:5" x14ac:dyDescent="0.25">
      <c r="A920" s="3" t="s">
        <v>1451</v>
      </c>
      <c r="B920" s="6" t="s">
        <v>3302</v>
      </c>
      <c r="C920" s="3" t="s">
        <v>8377</v>
      </c>
      <c r="D920" s="3" t="s">
        <v>6793</v>
      </c>
      <c r="E920" s="3" t="s">
        <v>5616</v>
      </c>
    </row>
    <row r="921" spans="1:5" x14ac:dyDescent="0.25">
      <c r="A921" s="3" t="s">
        <v>1450</v>
      </c>
      <c r="B921" s="6" t="s">
        <v>3303</v>
      </c>
      <c r="C921" s="3" t="s">
        <v>8377</v>
      </c>
      <c r="D921" s="3" t="s">
        <v>7452</v>
      </c>
      <c r="E921" s="3" t="s">
        <v>5617</v>
      </c>
    </row>
    <row r="922" spans="1:5" x14ac:dyDescent="0.25">
      <c r="A922" s="3" t="s">
        <v>1449</v>
      </c>
      <c r="B922" s="6" t="s">
        <v>3304</v>
      </c>
      <c r="C922" s="3" t="s">
        <v>8377</v>
      </c>
      <c r="D922" s="3" t="s">
        <v>7453</v>
      </c>
      <c r="E922" s="3" t="s">
        <v>5618</v>
      </c>
    </row>
    <row r="923" spans="1:5" x14ac:dyDescent="0.25">
      <c r="A923" s="3" t="s">
        <v>1448</v>
      </c>
      <c r="B923" s="6" t="s">
        <v>3305</v>
      </c>
      <c r="C923" s="3" t="s">
        <v>8377</v>
      </c>
      <c r="D923" s="3" t="s">
        <v>7454</v>
      </c>
      <c r="E923" s="3" t="s">
        <v>5619</v>
      </c>
    </row>
    <row r="924" spans="1:5" x14ac:dyDescent="0.25">
      <c r="A924" s="3" t="s">
        <v>1447</v>
      </c>
      <c r="B924" s="6" t="s">
        <v>3306</v>
      </c>
      <c r="C924" s="3" t="s">
        <v>8377</v>
      </c>
      <c r="D924" s="3" t="s">
        <v>7455</v>
      </c>
      <c r="E924" s="3" t="s">
        <v>5620</v>
      </c>
    </row>
    <row r="925" spans="1:5" x14ac:dyDescent="0.25">
      <c r="A925" s="3" t="s">
        <v>1446</v>
      </c>
      <c r="B925" s="6" t="s">
        <v>3307</v>
      </c>
      <c r="C925" s="3" t="s">
        <v>8377</v>
      </c>
      <c r="D925" s="3" t="s">
        <v>7456</v>
      </c>
      <c r="E925" s="3" t="s">
        <v>5621</v>
      </c>
    </row>
    <row r="926" spans="1:5" x14ac:dyDescent="0.25">
      <c r="A926" s="3" t="s">
        <v>1445</v>
      </c>
      <c r="B926" s="6" t="s">
        <v>3308</v>
      </c>
      <c r="C926" s="3" t="s">
        <v>8377</v>
      </c>
      <c r="D926" s="3" t="s">
        <v>7457</v>
      </c>
      <c r="E926" s="3" t="s">
        <v>5622</v>
      </c>
    </row>
    <row r="927" spans="1:5" x14ac:dyDescent="0.25">
      <c r="A927" s="3" t="s">
        <v>1444</v>
      </c>
      <c r="B927" s="6" t="s">
        <v>3309</v>
      </c>
      <c r="C927" s="3" t="s">
        <v>8377</v>
      </c>
      <c r="D927" s="3" t="s">
        <v>7458</v>
      </c>
      <c r="E927" s="3" t="s">
        <v>5623</v>
      </c>
    </row>
    <row r="928" spans="1:5" x14ac:dyDescent="0.25">
      <c r="A928" s="3" t="s">
        <v>1443</v>
      </c>
      <c r="B928" s="6" t="s">
        <v>3310</v>
      </c>
      <c r="C928" s="3" t="s">
        <v>8377</v>
      </c>
      <c r="D928" s="3" t="s">
        <v>7293</v>
      </c>
      <c r="E928" s="3" t="s">
        <v>5624</v>
      </c>
    </row>
    <row r="929" spans="1:5" x14ac:dyDescent="0.25">
      <c r="A929" s="3" t="s">
        <v>1442</v>
      </c>
      <c r="B929" s="6" t="s">
        <v>3311</v>
      </c>
      <c r="C929" s="3" t="s">
        <v>8377</v>
      </c>
      <c r="D929" s="3" t="s">
        <v>7459</v>
      </c>
      <c r="E929" s="3" t="s">
        <v>5625</v>
      </c>
    </row>
    <row r="930" spans="1:5" x14ac:dyDescent="0.25">
      <c r="A930" s="3" t="s">
        <v>1441</v>
      </c>
      <c r="B930" s="6" t="s">
        <v>3312</v>
      </c>
      <c r="C930" s="3" t="s">
        <v>8379</v>
      </c>
      <c r="D930" s="3" t="s">
        <v>7460</v>
      </c>
      <c r="E930" s="3" t="s">
        <v>5626</v>
      </c>
    </row>
    <row r="931" spans="1:5" x14ac:dyDescent="0.25">
      <c r="A931" s="3" t="s">
        <v>1440</v>
      </c>
      <c r="B931" s="6" t="s">
        <v>3313</v>
      </c>
      <c r="C931" s="3" t="s">
        <v>8378</v>
      </c>
      <c r="D931" s="3" t="s">
        <v>7461</v>
      </c>
      <c r="E931" s="3" t="s">
        <v>5627</v>
      </c>
    </row>
    <row r="932" spans="1:5" x14ac:dyDescent="0.25">
      <c r="A932" s="3" t="s">
        <v>1439</v>
      </c>
      <c r="B932" s="6" t="s">
        <v>3314</v>
      </c>
      <c r="C932" s="3" t="s">
        <v>8379</v>
      </c>
      <c r="D932" s="3" t="s">
        <v>7294</v>
      </c>
      <c r="E932" s="3" t="s">
        <v>5628</v>
      </c>
    </row>
    <row r="933" spans="1:5" x14ac:dyDescent="0.25">
      <c r="A933" s="3" t="s">
        <v>1438</v>
      </c>
      <c r="B933" s="6" t="s">
        <v>3315</v>
      </c>
      <c r="C933" s="3" t="s">
        <v>8378</v>
      </c>
      <c r="D933" s="3" t="s">
        <v>6898</v>
      </c>
      <c r="E933" s="3" t="s">
        <v>5629</v>
      </c>
    </row>
    <row r="934" spans="1:5" x14ac:dyDescent="0.25">
      <c r="A934" s="3" t="s">
        <v>1437</v>
      </c>
      <c r="B934" s="6" t="s">
        <v>3316</v>
      </c>
      <c r="C934" s="3" t="s">
        <v>8378</v>
      </c>
      <c r="D934" s="3" t="s">
        <v>7462</v>
      </c>
      <c r="E934" s="3" t="s">
        <v>5630</v>
      </c>
    </row>
    <row r="935" spans="1:5" x14ac:dyDescent="0.25">
      <c r="A935" s="3" t="s">
        <v>1436</v>
      </c>
      <c r="B935" s="6" t="s">
        <v>3317</v>
      </c>
      <c r="C935" s="3" t="s">
        <v>8377</v>
      </c>
      <c r="D935" s="3" t="s">
        <v>7463</v>
      </c>
      <c r="E935" s="3" t="s">
        <v>4754</v>
      </c>
    </row>
    <row r="936" spans="1:5" x14ac:dyDescent="0.25">
      <c r="A936" s="3" t="s">
        <v>1435</v>
      </c>
      <c r="B936" s="6" t="s">
        <v>3318</v>
      </c>
      <c r="C936" s="3" t="s">
        <v>8378</v>
      </c>
      <c r="D936" s="3" t="s">
        <v>7464</v>
      </c>
      <c r="E936" s="3" t="s">
        <v>5631</v>
      </c>
    </row>
    <row r="937" spans="1:5" x14ac:dyDescent="0.25">
      <c r="A937" s="3" t="s">
        <v>1434</v>
      </c>
      <c r="B937" s="6" t="s">
        <v>3319</v>
      </c>
      <c r="C937" s="3" t="s">
        <v>8378</v>
      </c>
      <c r="D937" s="3" t="s">
        <v>6803</v>
      </c>
      <c r="E937" s="3" t="s">
        <v>5632</v>
      </c>
    </row>
    <row r="938" spans="1:5" x14ac:dyDescent="0.25">
      <c r="A938" s="3" t="s">
        <v>1433</v>
      </c>
      <c r="B938" s="6" t="s">
        <v>3320</v>
      </c>
      <c r="C938" s="3" t="s">
        <v>8379</v>
      </c>
      <c r="D938" s="3" t="s">
        <v>7465</v>
      </c>
      <c r="E938" s="3" t="s">
        <v>5614</v>
      </c>
    </row>
    <row r="939" spans="1:5" x14ac:dyDescent="0.25">
      <c r="A939" s="3" t="s">
        <v>1432</v>
      </c>
      <c r="B939" s="6" t="s">
        <v>3321</v>
      </c>
      <c r="C939" s="3" t="s">
        <v>8377</v>
      </c>
      <c r="D939" s="3" t="s">
        <v>7466</v>
      </c>
      <c r="E939" s="3" t="s">
        <v>5633</v>
      </c>
    </row>
    <row r="940" spans="1:5" x14ac:dyDescent="0.25">
      <c r="A940" s="3" t="s">
        <v>1431</v>
      </c>
      <c r="B940" s="6" t="s">
        <v>3322</v>
      </c>
      <c r="C940" s="3" t="s">
        <v>8378</v>
      </c>
      <c r="D940" s="3" t="s">
        <v>7467</v>
      </c>
      <c r="E940" s="3" t="s">
        <v>5634</v>
      </c>
    </row>
    <row r="941" spans="1:5" x14ac:dyDescent="0.25">
      <c r="A941" s="3" t="s">
        <v>1430</v>
      </c>
      <c r="B941" s="6" t="s">
        <v>3323</v>
      </c>
      <c r="C941" s="3" t="s">
        <v>8378</v>
      </c>
      <c r="D941" s="3" t="s">
        <v>7074</v>
      </c>
      <c r="E941" s="3" t="s">
        <v>5635</v>
      </c>
    </row>
    <row r="942" spans="1:5" x14ac:dyDescent="0.25">
      <c r="A942" s="3" t="s">
        <v>1429</v>
      </c>
      <c r="B942" s="6" t="s">
        <v>3324</v>
      </c>
      <c r="C942" s="3" t="s">
        <v>8377</v>
      </c>
      <c r="D942" s="3" t="s">
        <v>6301</v>
      </c>
      <c r="E942" s="3" t="s">
        <v>5636</v>
      </c>
    </row>
    <row r="943" spans="1:5" x14ac:dyDescent="0.25">
      <c r="A943" s="3" t="s">
        <v>1428</v>
      </c>
      <c r="B943" s="6" t="s">
        <v>3325</v>
      </c>
      <c r="C943" s="3" t="s">
        <v>8377</v>
      </c>
      <c r="D943" s="3" t="s">
        <v>7468</v>
      </c>
      <c r="E943" s="3" t="s">
        <v>5637</v>
      </c>
    </row>
    <row r="944" spans="1:5" x14ac:dyDescent="0.25">
      <c r="A944" s="3" t="s">
        <v>1427</v>
      </c>
      <c r="B944" s="6" t="s">
        <v>3326</v>
      </c>
      <c r="C944" s="3" t="s">
        <v>8377</v>
      </c>
      <c r="D944" s="3" t="s">
        <v>7469</v>
      </c>
      <c r="E944" s="3" t="s">
        <v>5638</v>
      </c>
    </row>
    <row r="945" spans="1:5" x14ac:dyDescent="0.25">
      <c r="A945" s="3" t="s">
        <v>1426</v>
      </c>
      <c r="B945" s="6" t="s">
        <v>3327</v>
      </c>
      <c r="C945" s="3" t="s">
        <v>8378</v>
      </c>
      <c r="D945" s="3" t="s">
        <v>7470</v>
      </c>
      <c r="E945" s="3" t="s">
        <v>5138</v>
      </c>
    </row>
    <row r="946" spans="1:5" x14ac:dyDescent="0.25">
      <c r="A946" s="3" t="s">
        <v>1425</v>
      </c>
      <c r="B946" s="6" t="s">
        <v>3328</v>
      </c>
      <c r="C946" s="3" t="s">
        <v>8377</v>
      </c>
      <c r="D946" s="3" t="s">
        <v>6825</v>
      </c>
      <c r="E946" s="3" t="s">
        <v>5639</v>
      </c>
    </row>
    <row r="947" spans="1:5" x14ac:dyDescent="0.25">
      <c r="A947" s="3" t="s">
        <v>1424</v>
      </c>
      <c r="B947" s="6" t="s">
        <v>3329</v>
      </c>
      <c r="C947" s="3" t="s">
        <v>8378</v>
      </c>
      <c r="D947" s="3" t="s">
        <v>6768</v>
      </c>
      <c r="E947" s="3" t="s">
        <v>5640</v>
      </c>
    </row>
    <row r="948" spans="1:5" x14ac:dyDescent="0.25">
      <c r="A948" s="3" t="s">
        <v>1423</v>
      </c>
      <c r="B948" s="6" t="s">
        <v>3330</v>
      </c>
      <c r="C948" s="3" t="s">
        <v>8378</v>
      </c>
      <c r="D948" s="3" t="s">
        <v>7471</v>
      </c>
      <c r="E948" s="3" t="s">
        <v>4769</v>
      </c>
    </row>
    <row r="949" spans="1:5" x14ac:dyDescent="0.25">
      <c r="A949" s="3" t="s">
        <v>1422</v>
      </c>
      <c r="B949" s="6" t="s">
        <v>3331</v>
      </c>
      <c r="C949" s="3" t="s">
        <v>8378</v>
      </c>
      <c r="D949" s="3" t="s">
        <v>6873</v>
      </c>
      <c r="E949" s="3" t="s">
        <v>5641</v>
      </c>
    </row>
    <row r="950" spans="1:5" x14ac:dyDescent="0.25">
      <c r="A950" s="3" t="s">
        <v>1421</v>
      </c>
      <c r="B950" s="6" t="s">
        <v>3332</v>
      </c>
      <c r="C950" s="3" t="s">
        <v>8378</v>
      </c>
      <c r="D950" s="3" t="s">
        <v>6938</v>
      </c>
      <c r="E950" s="3" t="s">
        <v>5642</v>
      </c>
    </row>
    <row r="951" spans="1:5" x14ac:dyDescent="0.25">
      <c r="A951" s="3" t="s">
        <v>1420</v>
      </c>
      <c r="B951" s="6" t="s">
        <v>3333</v>
      </c>
      <c r="C951" s="3" t="s">
        <v>8378</v>
      </c>
      <c r="D951" s="3" t="s">
        <v>7127</v>
      </c>
      <c r="E951" s="3" t="s">
        <v>5643</v>
      </c>
    </row>
    <row r="952" spans="1:5" x14ac:dyDescent="0.25">
      <c r="A952" s="3" t="s">
        <v>1419</v>
      </c>
      <c r="B952" s="6" t="s">
        <v>3334</v>
      </c>
      <c r="C952" s="3" t="s">
        <v>8377</v>
      </c>
      <c r="D952" s="3" t="s">
        <v>7472</v>
      </c>
      <c r="E952" s="3" t="s">
        <v>5644</v>
      </c>
    </row>
    <row r="953" spans="1:5" x14ac:dyDescent="0.25">
      <c r="A953" s="3" t="s">
        <v>1418</v>
      </c>
      <c r="B953" s="6" t="s">
        <v>3335</v>
      </c>
      <c r="C953" s="3" t="s">
        <v>8377</v>
      </c>
      <c r="D953" s="3" t="s">
        <v>7473</v>
      </c>
      <c r="E953" s="3" t="s">
        <v>5090</v>
      </c>
    </row>
    <row r="954" spans="1:5" x14ac:dyDescent="0.25">
      <c r="A954" s="3" t="s">
        <v>1417</v>
      </c>
      <c r="B954" s="6" t="s">
        <v>3336</v>
      </c>
      <c r="C954" s="3" t="s">
        <v>8377</v>
      </c>
      <c r="D954" s="3" t="s">
        <v>7474</v>
      </c>
      <c r="E954" s="3" t="s">
        <v>5645</v>
      </c>
    </row>
    <row r="955" spans="1:5" x14ac:dyDescent="0.25">
      <c r="A955" s="3" t="s">
        <v>1416</v>
      </c>
      <c r="B955" s="6" t="s">
        <v>3337</v>
      </c>
      <c r="C955" s="3" t="s">
        <v>8378</v>
      </c>
      <c r="D955" s="3" t="s">
        <v>7475</v>
      </c>
      <c r="E955" s="3" t="s">
        <v>5646</v>
      </c>
    </row>
    <row r="956" spans="1:5" x14ac:dyDescent="0.25">
      <c r="A956" s="3" t="s">
        <v>1415</v>
      </c>
      <c r="B956" s="6" t="s">
        <v>3338</v>
      </c>
      <c r="C956" s="3" t="s">
        <v>8378</v>
      </c>
      <c r="D956" s="3" t="s">
        <v>7476</v>
      </c>
      <c r="E956" s="3" t="s">
        <v>5647</v>
      </c>
    </row>
    <row r="957" spans="1:5" x14ac:dyDescent="0.25">
      <c r="A957" s="3" t="s">
        <v>1414</v>
      </c>
      <c r="B957" s="6" t="s">
        <v>3339</v>
      </c>
      <c r="C957" s="3" t="s">
        <v>8379</v>
      </c>
      <c r="D957" s="3" t="s">
        <v>7477</v>
      </c>
      <c r="E957" s="3" t="s">
        <v>5648</v>
      </c>
    </row>
    <row r="958" spans="1:5" x14ac:dyDescent="0.25">
      <c r="A958" s="3" t="s">
        <v>1413</v>
      </c>
      <c r="B958" s="6" t="s">
        <v>3340</v>
      </c>
      <c r="C958" s="3" t="s">
        <v>8378</v>
      </c>
      <c r="D958" s="3" t="s">
        <v>6873</v>
      </c>
      <c r="E958" s="3" t="s">
        <v>5594</v>
      </c>
    </row>
    <row r="959" spans="1:5" x14ac:dyDescent="0.25">
      <c r="A959" s="3" t="s">
        <v>1412</v>
      </c>
      <c r="B959" s="6" t="s">
        <v>3341</v>
      </c>
      <c r="C959" s="3" t="s">
        <v>8377</v>
      </c>
      <c r="D959" s="3" t="s">
        <v>7478</v>
      </c>
      <c r="E959" s="3" t="s">
        <v>5649</v>
      </c>
    </row>
    <row r="960" spans="1:5" x14ac:dyDescent="0.25">
      <c r="A960" s="3" t="s">
        <v>1411</v>
      </c>
      <c r="B960" s="6" t="s">
        <v>3342</v>
      </c>
      <c r="C960" s="3" t="s">
        <v>8379</v>
      </c>
      <c r="D960" s="3" t="s">
        <v>7479</v>
      </c>
      <c r="E960" s="3" t="s">
        <v>5650</v>
      </c>
    </row>
    <row r="961" spans="1:5" x14ac:dyDescent="0.25">
      <c r="A961" s="3" t="s">
        <v>1410</v>
      </c>
      <c r="B961" s="6" t="s">
        <v>3343</v>
      </c>
      <c r="C961" s="3" t="s">
        <v>8377</v>
      </c>
      <c r="D961" s="3" t="s">
        <v>7480</v>
      </c>
      <c r="E961" s="3" t="s">
        <v>5651</v>
      </c>
    </row>
    <row r="962" spans="1:5" x14ac:dyDescent="0.25">
      <c r="A962" s="3" t="s">
        <v>1409</v>
      </c>
      <c r="B962" s="6" t="s">
        <v>3344</v>
      </c>
      <c r="C962" s="3" t="s">
        <v>8379</v>
      </c>
      <c r="D962" s="3" t="s">
        <v>7481</v>
      </c>
      <c r="E962" s="3" t="s">
        <v>5652</v>
      </c>
    </row>
    <row r="963" spans="1:5" x14ac:dyDescent="0.25">
      <c r="A963" s="3" t="s">
        <v>1408</v>
      </c>
      <c r="B963" s="6" t="s">
        <v>3345</v>
      </c>
      <c r="C963" s="3" t="s">
        <v>8378</v>
      </c>
      <c r="D963" s="3" t="s">
        <v>7482</v>
      </c>
      <c r="E963" s="3" t="s">
        <v>5050</v>
      </c>
    </row>
    <row r="964" spans="1:5" x14ac:dyDescent="0.25">
      <c r="A964" s="3" t="s">
        <v>1407</v>
      </c>
      <c r="B964" s="6" t="s">
        <v>3346</v>
      </c>
      <c r="C964" s="3" t="s">
        <v>8377</v>
      </c>
      <c r="D964" s="3" t="s">
        <v>7483</v>
      </c>
      <c r="E964" s="3" t="s">
        <v>5653</v>
      </c>
    </row>
    <row r="965" spans="1:5" x14ac:dyDescent="0.25">
      <c r="A965" s="3" t="s">
        <v>1406</v>
      </c>
      <c r="B965" s="6" t="s">
        <v>3347</v>
      </c>
      <c r="C965" s="3" t="s">
        <v>8379</v>
      </c>
      <c r="D965" s="3" t="s">
        <v>7484</v>
      </c>
      <c r="E965" s="3" t="s">
        <v>5654</v>
      </c>
    </row>
    <row r="966" spans="1:5" x14ac:dyDescent="0.25">
      <c r="A966" s="3" t="s">
        <v>1405</v>
      </c>
      <c r="B966" s="6" t="s">
        <v>3348</v>
      </c>
      <c r="C966" s="3" t="s">
        <v>8377</v>
      </c>
      <c r="D966" s="3" t="s">
        <v>7485</v>
      </c>
      <c r="E966" s="3" t="s">
        <v>5655</v>
      </c>
    </row>
    <row r="967" spans="1:5" x14ac:dyDescent="0.25">
      <c r="A967" s="3" t="s">
        <v>1404</v>
      </c>
      <c r="B967" s="6" t="s">
        <v>3349</v>
      </c>
      <c r="C967" s="3" t="s">
        <v>8377</v>
      </c>
      <c r="D967" s="3" t="s">
        <v>7486</v>
      </c>
      <c r="E967" s="3" t="s">
        <v>5656</v>
      </c>
    </row>
    <row r="968" spans="1:5" x14ac:dyDescent="0.25">
      <c r="A968" s="3" t="s">
        <v>1403</v>
      </c>
      <c r="B968" s="6" t="s">
        <v>3350</v>
      </c>
      <c r="C968" s="3" t="s">
        <v>8377</v>
      </c>
      <c r="D968" s="3" t="s">
        <v>7487</v>
      </c>
      <c r="E968" s="3" t="s">
        <v>5657</v>
      </c>
    </row>
    <row r="969" spans="1:5" x14ac:dyDescent="0.25">
      <c r="A969" s="3" t="s">
        <v>1402</v>
      </c>
      <c r="B969" s="6" t="s">
        <v>3351</v>
      </c>
      <c r="C969" s="3" t="s">
        <v>8378</v>
      </c>
      <c r="D969" s="3" t="s">
        <v>6143</v>
      </c>
      <c r="E969" s="3" t="s">
        <v>5658</v>
      </c>
    </row>
    <row r="970" spans="1:5" x14ac:dyDescent="0.25">
      <c r="A970" s="3" t="s">
        <v>1401</v>
      </c>
      <c r="B970" s="6" t="s">
        <v>3352</v>
      </c>
      <c r="C970" s="3" t="s">
        <v>8377</v>
      </c>
      <c r="D970" s="3" t="s">
        <v>7234</v>
      </c>
      <c r="E970" s="3" t="s">
        <v>5659</v>
      </c>
    </row>
    <row r="971" spans="1:5" x14ac:dyDescent="0.25">
      <c r="A971" s="3" t="s">
        <v>1400</v>
      </c>
      <c r="B971" s="6" t="s">
        <v>3353</v>
      </c>
      <c r="C971" s="3" t="s">
        <v>8378</v>
      </c>
      <c r="D971" s="3" t="s">
        <v>7488</v>
      </c>
      <c r="E971" s="3" t="s">
        <v>5660</v>
      </c>
    </row>
    <row r="972" spans="1:5" x14ac:dyDescent="0.25">
      <c r="A972" s="3" t="s">
        <v>1399</v>
      </c>
      <c r="B972" s="6" t="s">
        <v>3354</v>
      </c>
      <c r="C972" s="3" t="s">
        <v>8377</v>
      </c>
      <c r="D972" s="3" t="s">
        <v>7085</v>
      </c>
      <c r="E972" s="3" t="s">
        <v>5661</v>
      </c>
    </row>
    <row r="973" spans="1:5" x14ac:dyDescent="0.25">
      <c r="A973" s="3" t="s">
        <v>1398</v>
      </c>
      <c r="B973" s="6" t="s">
        <v>3355</v>
      </c>
      <c r="C973" s="3" t="s">
        <v>8377</v>
      </c>
      <c r="D973" s="3" t="s">
        <v>7489</v>
      </c>
      <c r="E973" s="3" t="s">
        <v>5662</v>
      </c>
    </row>
    <row r="974" spans="1:5" x14ac:dyDescent="0.25">
      <c r="A974" s="3" t="s">
        <v>1397</v>
      </c>
      <c r="B974" s="6" t="s">
        <v>3356</v>
      </c>
      <c r="C974" s="3" t="s">
        <v>8378</v>
      </c>
      <c r="D974" s="3" t="s">
        <v>6882</v>
      </c>
      <c r="E974" s="3" t="s">
        <v>5663</v>
      </c>
    </row>
    <row r="975" spans="1:5" x14ac:dyDescent="0.25">
      <c r="A975" s="3" t="s">
        <v>1396</v>
      </c>
      <c r="B975" s="6" t="s">
        <v>3357</v>
      </c>
      <c r="C975" s="3" t="s">
        <v>8379</v>
      </c>
      <c r="D975" s="3" t="s">
        <v>7490</v>
      </c>
      <c r="E975" s="3" t="s">
        <v>5480</v>
      </c>
    </row>
    <row r="976" spans="1:5" x14ac:dyDescent="0.25">
      <c r="A976" s="3" t="s">
        <v>1395</v>
      </c>
      <c r="B976" s="6" t="s">
        <v>3358</v>
      </c>
      <c r="C976" s="3" t="s">
        <v>8378</v>
      </c>
      <c r="D976" s="3" t="s">
        <v>6411</v>
      </c>
      <c r="E976" s="3" t="s">
        <v>5664</v>
      </c>
    </row>
    <row r="977" spans="1:5" x14ac:dyDescent="0.25">
      <c r="A977" s="3" t="s">
        <v>1394</v>
      </c>
      <c r="B977" s="6" t="s">
        <v>3359</v>
      </c>
      <c r="C977" s="3" t="s">
        <v>8379</v>
      </c>
      <c r="D977" s="3" t="s">
        <v>7491</v>
      </c>
      <c r="E977" s="3" t="s">
        <v>5665</v>
      </c>
    </row>
    <row r="978" spans="1:5" x14ac:dyDescent="0.25">
      <c r="A978" s="3" t="s">
        <v>1393</v>
      </c>
      <c r="B978" s="6" t="s">
        <v>3360</v>
      </c>
      <c r="C978" s="3" t="s">
        <v>8379</v>
      </c>
      <c r="D978" s="3" t="s">
        <v>7492</v>
      </c>
      <c r="E978" s="3" t="s">
        <v>5220</v>
      </c>
    </row>
    <row r="979" spans="1:5" x14ac:dyDescent="0.25">
      <c r="A979" s="3" t="s">
        <v>1392</v>
      </c>
      <c r="B979" s="6" t="s">
        <v>3361</v>
      </c>
      <c r="C979" s="3" t="s">
        <v>8378</v>
      </c>
      <c r="D979" s="3" t="s">
        <v>6683</v>
      </c>
      <c r="E979" s="3" t="s">
        <v>5666</v>
      </c>
    </row>
    <row r="980" spans="1:5" x14ac:dyDescent="0.25">
      <c r="A980" s="3" t="s">
        <v>1391</v>
      </c>
      <c r="B980" s="6" t="s">
        <v>3362</v>
      </c>
      <c r="C980" s="3" t="s">
        <v>8378</v>
      </c>
      <c r="D980" s="3" t="s">
        <v>7493</v>
      </c>
      <c r="E980" s="3" t="s">
        <v>5667</v>
      </c>
    </row>
    <row r="981" spans="1:5" x14ac:dyDescent="0.25">
      <c r="A981" s="3" t="s">
        <v>1390</v>
      </c>
      <c r="B981" s="6" t="s">
        <v>3363</v>
      </c>
      <c r="C981" s="3" t="s">
        <v>8378</v>
      </c>
      <c r="D981" s="3" t="s">
        <v>6940</v>
      </c>
      <c r="E981" s="3" t="s">
        <v>5668</v>
      </c>
    </row>
    <row r="982" spans="1:5" x14ac:dyDescent="0.25">
      <c r="A982" s="3" t="s">
        <v>1389</v>
      </c>
      <c r="B982" s="6" t="s">
        <v>3364</v>
      </c>
      <c r="C982" s="3" t="s">
        <v>8378</v>
      </c>
      <c r="D982" s="3" t="s">
        <v>5134</v>
      </c>
      <c r="E982" s="3" t="s">
        <v>5669</v>
      </c>
    </row>
    <row r="983" spans="1:5" x14ac:dyDescent="0.25">
      <c r="A983" s="3" t="s">
        <v>1388</v>
      </c>
      <c r="B983" s="6" t="s">
        <v>3365</v>
      </c>
      <c r="C983" s="3" t="s">
        <v>8378</v>
      </c>
      <c r="D983" s="3" t="s">
        <v>7494</v>
      </c>
      <c r="E983" s="3" t="s">
        <v>5670</v>
      </c>
    </row>
    <row r="984" spans="1:5" x14ac:dyDescent="0.25">
      <c r="A984" s="3" t="s">
        <v>1387</v>
      </c>
      <c r="B984" s="6" t="s">
        <v>3366</v>
      </c>
      <c r="C984" s="3" t="s">
        <v>8378</v>
      </c>
      <c r="D984" s="3" t="s">
        <v>6291</v>
      </c>
      <c r="E984" s="3" t="s">
        <v>5671</v>
      </c>
    </row>
    <row r="985" spans="1:5" x14ac:dyDescent="0.25">
      <c r="A985" s="3" t="s">
        <v>1386</v>
      </c>
      <c r="B985" s="6" t="s">
        <v>3367</v>
      </c>
      <c r="C985" s="3" t="s">
        <v>8379</v>
      </c>
      <c r="D985" s="3" t="s">
        <v>7495</v>
      </c>
      <c r="E985" s="3" t="s">
        <v>5672</v>
      </c>
    </row>
    <row r="986" spans="1:5" x14ac:dyDescent="0.25">
      <c r="A986" s="3" t="s">
        <v>1385</v>
      </c>
      <c r="B986" s="6" t="s">
        <v>3368</v>
      </c>
      <c r="C986" s="3" t="s">
        <v>8378</v>
      </c>
      <c r="D986" s="3" t="s">
        <v>7496</v>
      </c>
      <c r="E986" s="3" t="s">
        <v>5673</v>
      </c>
    </row>
    <row r="987" spans="1:5" x14ac:dyDescent="0.25">
      <c r="A987" s="3" t="s">
        <v>1384</v>
      </c>
      <c r="B987" s="6" t="s">
        <v>3369</v>
      </c>
      <c r="C987" s="3" t="s">
        <v>8377</v>
      </c>
      <c r="D987" s="3" t="s">
        <v>7497</v>
      </c>
      <c r="E987" s="3" t="s">
        <v>5674</v>
      </c>
    </row>
    <row r="988" spans="1:5" x14ac:dyDescent="0.25">
      <c r="A988" s="3" t="s">
        <v>1383</v>
      </c>
      <c r="B988" s="6" t="s">
        <v>3370</v>
      </c>
      <c r="C988" s="3" t="s">
        <v>8377</v>
      </c>
      <c r="D988" s="3" t="s">
        <v>6962</v>
      </c>
      <c r="E988" s="3" t="s">
        <v>4907</v>
      </c>
    </row>
    <row r="989" spans="1:5" x14ac:dyDescent="0.25">
      <c r="A989" s="3" t="s">
        <v>1382</v>
      </c>
      <c r="B989" s="6" t="s">
        <v>3371</v>
      </c>
      <c r="C989" s="3" t="s">
        <v>8379</v>
      </c>
      <c r="D989" s="3" t="s">
        <v>7427</v>
      </c>
      <c r="E989" s="3" t="s">
        <v>5675</v>
      </c>
    </row>
    <row r="990" spans="1:5" x14ac:dyDescent="0.25">
      <c r="A990" s="3" t="s">
        <v>1381</v>
      </c>
      <c r="B990" s="6" t="s">
        <v>3372</v>
      </c>
      <c r="C990" s="3" t="s">
        <v>8377</v>
      </c>
      <c r="D990" s="3" t="s">
        <v>7498</v>
      </c>
      <c r="E990" s="3" t="s">
        <v>5676</v>
      </c>
    </row>
    <row r="991" spans="1:5" x14ac:dyDescent="0.25">
      <c r="A991" s="3" t="s">
        <v>1380</v>
      </c>
      <c r="B991" s="6" t="s">
        <v>3373</v>
      </c>
      <c r="C991" s="3" t="s">
        <v>8377</v>
      </c>
      <c r="D991" s="3" t="s">
        <v>6818</v>
      </c>
      <c r="E991" s="3" t="s">
        <v>5677</v>
      </c>
    </row>
    <row r="992" spans="1:5" x14ac:dyDescent="0.25">
      <c r="A992" s="3" t="s">
        <v>1379</v>
      </c>
      <c r="B992" s="6" t="s">
        <v>3374</v>
      </c>
      <c r="C992" s="3" t="s">
        <v>8377</v>
      </c>
      <c r="D992" s="3" t="s">
        <v>7499</v>
      </c>
      <c r="E992" s="3" t="s">
        <v>5678</v>
      </c>
    </row>
    <row r="993" spans="1:5" x14ac:dyDescent="0.25">
      <c r="A993" s="3" t="s">
        <v>1378</v>
      </c>
      <c r="B993" s="6" t="s">
        <v>3375</v>
      </c>
      <c r="C993" s="3" t="s">
        <v>8378</v>
      </c>
      <c r="D993" s="3" t="s">
        <v>7500</v>
      </c>
      <c r="E993" s="3" t="s">
        <v>4853</v>
      </c>
    </row>
    <row r="994" spans="1:5" x14ac:dyDescent="0.25">
      <c r="A994" s="3" t="s">
        <v>1377</v>
      </c>
      <c r="B994" s="6" t="s">
        <v>3376</v>
      </c>
      <c r="C994" s="3" t="s">
        <v>8378</v>
      </c>
      <c r="D994" s="3" t="s">
        <v>7501</v>
      </c>
      <c r="E994" s="3" t="s">
        <v>5679</v>
      </c>
    </row>
    <row r="995" spans="1:5" x14ac:dyDescent="0.25">
      <c r="A995" s="3" t="s">
        <v>1376</v>
      </c>
      <c r="B995" s="6" t="s">
        <v>3377</v>
      </c>
      <c r="C995" s="3" t="s">
        <v>8377</v>
      </c>
      <c r="D995" s="3" t="s">
        <v>7502</v>
      </c>
      <c r="E995" s="3" t="s">
        <v>5680</v>
      </c>
    </row>
    <row r="996" spans="1:5" x14ac:dyDescent="0.25">
      <c r="A996" s="3" t="s">
        <v>1375</v>
      </c>
      <c r="B996" s="6" t="s">
        <v>3378</v>
      </c>
      <c r="C996" s="3" t="s">
        <v>8378</v>
      </c>
      <c r="D996" s="3" t="s">
        <v>7503</v>
      </c>
      <c r="E996" s="3" t="s">
        <v>4806</v>
      </c>
    </row>
    <row r="997" spans="1:5" x14ac:dyDescent="0.25">
      <c r="A997" s="3" t="s">
        <v>1374</v>
      </c>
      <c r="B997" s="6" t="s">
        <v>3379</v>
      </c>
      <c r="C997" s="3" t="s">
        <v>8379</v>
      </c>
      <c r="D997" s="3" t="s">
        <v>7504</v>
      </c>
      <c r="E997" s="3" t="s">
        <v>5681</v>
      </c>
    </row>
    <row r="998" spans="1:5" x14ac:dyDescent="0.25">
      <c r="A998" s="3" t="s">
        <v>1373</v>
      </c>
      <c r="B998" s="6" t="s">
        <v>3380</v>
      </c>
      <c r="C998" s="3" t="s">
        <v>8378</v>
      </c>
      <c r="D998" s="3" t="s">
        <v>7505</v>
      </c>
      <c r="E998" s="3" t="s">
        <v>4789</v>
      </c>
    </row>
    <row r="999" spans="1:5" x14ac:dyDescent="0.25">
      <c r="A999" s="3" t="s">
        <v>1372</v>
      </c>
      <c r="B999" s="6" t="s">
        <v>3381</v>
      </c>
      <c r="C999" s="3" t="s">
        <v>8379</v>
      </c>
      <c r="D999" s="3" t="s">
        <v>7116</v>
      </c>
      <c r="E999" s="3" t="s">
        <v>5682</v>
      </c>
    </row>
    <row r="1000" spans="1:5" x14ac:dyDescent="0.25">
      <c r="A1000" s="3" t="s">
        <v>1371</v>
      </c>
      <c r="B1000" s="6" t="s">
        <v>3382</v>
      </c>
      <c r="C1000" s="3" t="s">
        <v>8378</v>
      </c>
      <c r="D1000" s="3" t="s">
        <v>7506</v>
      </c>
      <c r="E1000" s="3" t="s">
        <v>5287</v>
      </c>
    </row>
    <row r="1001" spans="1:5" x14ac:dyDescent="0.25">
      <c r="A1001" s="3" t="s">
        <v>1370</v>
      </c>
      <c r="B1001" s="6" t="s">
        <v>3383</v>
      </c>
      <c r="C1001" s="3" t="s">
        <v>8379</v>
      </c>
      <c r="D1001" s="3" t="s">
        <v>7507</v>
      </c>
      <c r="E1001" s="3" t="s">
        <v>5683</v>
      </c>
    </row>
    <row r="1002" spans="1:5" x14ac:dyDescent="0.25">
      <c r="A1002" s="3" t="s">
        <v>1369</v>
      </c>
      <c r="B1002" s="6" t="s">
        <v>3384</v>
      </c>
      <c r="C1002" s="3" t="s">
        <v>8378</v>
      </c>
      <c r="D1002" s="3" t="s">
        <v>5893</v>
      </c>
      <c r="E1002" s="3" t="s">
        <v>5684</v>
      </c>
    </row>
    <row r="1003" spans="1:5" x14ac:dyDescent="0.25">
      <c r="A1003" s="3" t="s">
        <v>1368</v>
      </c>
      <c r="B1003" s="6" t="s">
        <v>3385</v>
      </c>
      <c r="C1003" s="3" t="s">
        <v>8379</v>
      </c>
      <c r="D1003" s="3" t="s">
        <v>7508</v>
      </c>
      <c r="E1003" s="3" t="s">
        <v>5685</v>
      </c>
    </row>
    <row r="1004" spans="1:5" x14ac:dyDescent="0.25">
      <c r="A1004" s="3" t="s">
        <v>1367</v>
      </c>
      <c r="B1004" s="6" t="s">
        <v>3386</v>
      </c>
      <c r="C1004" s="3" t="s">
        <v>8377</v>
      </c>
      <c r="D1004" s="3" t="s">
        <v>7509</v>
      </c>
      <c r="E1004" s="3" t="s">
        <v>5686</v>
      </c>
    </row>
    <row r="1005" spans="1:5" x14ac:dyDescent="0.25">
      <c r="A1005" s="3" t="s">
        <v>1366</v>
      </c>
      <c r="B1005" s="6" t="s">
        <v>3387</v>
      </c>
      <c r="C1005" s="3" t="s">
        <v>8378</v>
      </c>
      <c r="D1005" s="3" t="s">
        <v>7510</v>
      </c>
      <c r="E1005" s="3" t="s">
        <v>5687</v>
      </c>
    </row>
    <row r="1006" spans="1:5" x14ac:dyDescent="0.25">
      <c r="A1006" s="3" t="s">
        <v>1365</v>
      </c>
      <c r="B1006" s="6" t="s">
        <v>3388</v>
      </c>
      <c r="C1006" s="3" t="s">
        <v>8378</v>
      </c>
      <c r="D1006" s="3" t="s">
        <v>5603</v>
      </c>
      <c r="E1006" s="3" t="s">
        <v>5688</v>
      </c>
    </row>
    <row r="1007" spans="1:5" x14ac:dyDescent="0.25">
      <c r="A1007" s="3" t="s">
        <v>1364</v>
      </c>
      <c r="B1007" s="6" t="s">
        <v>3389</v>
      </c>
      <c r="C1007" s="3" t="s">
        <v>8377</v>
      </c>
      <c r="D1007" s="3" t="s">
        <v>7511</v>
      </c>
      <c r="E1007" s="3" t="s">
        <v>5689</v>
      </c>
    </row>
    <row r="1008" spans="1:5" x14ac:dyDescent="0.25">
      <c r="A1008" s="3" t="s">
        <v>1363</v>
      </c>
      <c r="B1008" s="6" t="s">
        <v>3390</v>
      </c>
      <c r="C1008" s="3" t="s">
        <v>8377</v>
      </c>
      <c r="D1008" s="3" t="s">
        <v>7512</v>
      </c>
      <c r="E1008" s="3" t="s">
        <v>5020</v>
      </c>
    </row>
    <row r="1009" spans="1:5" x14ac:dyDescent="0.25">
      <c r="A1009" s="3" t="s">
        <v>1362</v>
      </c>
      <c r="B1009" s="6" t="s">
        <v>3391</v>
      </c>
      <c r="C1009" s="3" t="s">
        <v>8378</v>
      </c>
      <c r="D1009" s="3" t="s">
        <v>7513</v>
      </c>
      <c r="E1009" s="3" t="s">
        <v>5690</v>
      </c>
    </row>
    <row r="1010" spans="1:5" x14ac:dyDescent="0.25">
      <c r="A1010" s="3" t="s">
        <v>1361</v>
      </c>
      <c r="B1010" s="6" t="s">
        <v>3392</v>
      </c>
      <c r="C1010" s="3" t="s">
        <v>8377</v>
      </c>
      <c r="D1010" s="3" t="s">
        <v>6908</v>
      </c>
      <c r="E1010" s="3" t="s">
        <v>5691</v>
      </c>
    </row>
    <row r="1011" spans="1:5" x14ac:dyDescent="0.25">
      <c r="A1011" s="3" t="s">
        <v>1360</v>
      </c>
      <c r="B1011" s="6" t="s">
        <v>3393</v>
      </c>
      <c r="C1011" s="3" t="s">
        <v>8377</v>
      </c>
      <c r="D1011" s="3" t="s">
        <v>7514</v>
      </c>
      <c r="E1011" s="3" t="s">
        <v>5692</v>
      </c>
    </row>
    <row r="1012" spans="1:5" x14ac:dyDescent="0.25">
      <c r="A1012" s="3" t="s">
        <v>1359</v>
      </c>
      <c r="B1012" s="6" t="s">
        <v>3394</v>
      </c>
      <c r="C1012" s="3" t="s">
        <v>8377</v>
      </c>
      <c r="D1012" s="3" t="s">
        <v>5057</v>
      </c>
      <c r="E1012" s="3" t="s">
        <v>5693</v>
      </c>
    </row>
    <row r="1013" spans="1:5" x14ac:dyDescent="0.25">
      <c r="A1013" s="3" t="s">
        <v>1358</v>
      </c>
      <c r="B1013" s="6" t="s">
        <v>3395</v>
      </c>
      <c r="C1013" s="3" t="s">
        <v>8377</v>
      </c>
      <c r="D1013" s="3" t="s">
        <v>7515</v>
      </c>
      <c r="E1013" s="3" t="s">
        <v>5694</v>
      </c>
    </row>
    <row r="1014" spans="1:5" x14ac:dyDescent="0.25">
      <c r="A1014" s="3" t="s">
        <v>1357</v>
      </c>
      <c r="B1014" s="6" t="s">
        <v>3396</v>
      </c>
      <c r="C1014" s="3" t="s">
        <v>8377</v>
      </c>
      <c r="D1014" s="3" t="s">
        <v>7516</v>
      </c>
      <c r="E1014" s="3" t="s">
        <v>5695</v>
      </c>
    </row>
    <row r="1015" spans="1:5" x14ac:dyDescent="0.25">
      <c r="A1015" s="3" t="s">
        <v>1356</v>
      </c>
      <c r="B1015" s="6" t="s">
        <v>3397</v>
      </c>
      <c r="C1015" s="3" t="s">
        <v>8377</v>
      </c>
      <c r="D1015" s="3" t="s">
        <v>7167</v>
      </c>
      <c r="E1015" s="3" t="s">
        <v>5696</v>
      </c>
    </row>
    <row r="1016" spans="1:5" x14ac:dyDescent="0.25">
      <c r="A1016" s="3" t="s">
        <v>1355</v>
      </c>
      <c r="B1016" s="6" t="s">
        <v>3398</v>
      </c>
      <c r="C1016" s="3" t="s">
        <v>8377</v>
      </c>
      <c r="D1016" s="3" t="s">
        <v>6884</v>
      </c>
      <c r="E1016" s="3" t="s">
        <v>5697</v>
      </c>
    </row>
    <row r="1017" spans="1:5" x14ac:dyDescent="0.25">
      <c r="A1017" s="3" t="s">
        <v>1354</v>
      </c>
      <c r="B1017" s="6" t="s">
        <v>3399</v>
      </c>
      <c r="C1017" s="3" t="s">
        <v>8377</v>
      </c>
      <c r="D1017" s="3" t="s">
        <v>7517</v>
      </c>
      <c r="E1017" s="3" t="s">
        <v>5698</v>
      </c>
    </row>
    <row r="1018" spans="1:5" x14ac:dyDescent="0.25">
      <c r="A1018" s="3" t="s">
        <v>1353</v>
      </c>
      <c r="B1018" s="6" t="s">
        <v>3400</v>
      </c>
      <c r="C1018" s="3" t="s">
        <v>8379</v>
      </c>
      <c r="D1018" s="3" t="s">
        <v>7518</v>
      </c>
      <c r="E1018" s="3" t="s">
        <v>5699</v>
      </c>
    </row>
    <row r="1019" spans="1:5" x14ac:dyDescent="0.25">
      <c r="A1019" s="3" t="s">
        <v>1352</v>
      </c>
      <c r="B1019" s="6" t="s">
        <v>3401</v>
      </c>
      <c r="C1019" s="3" t="s">
        <v>8379</v>
      </c>
      <c r="D1019" s="3" t="s">
        <v>7519</v>
      </c>
      <c r="E1019" s="3" t="s">
        <v>5700</v>
      </c>
    </row>
    <row r="1020" spans="1:5" x14ac:dyDescent="0.25">
      <c r="A1020" s="3" t="s">
        <v>1351</v>
      </c>
      <c r="B1020" s="6" t="s">
        <v>3402</v>
      </c>
      <c r="C1020" s="3" t="s">
        <v>8378</v>
      </c>
      <c r="D1020" s="3" t="s">
        <v>4770</v>
      </c>
      <c r="E1020" s="3" t="s">
        <v>5701</v>
      </c>
    </row>
    <row r="1021" spans="1:5" x14ac:dyDescent="0.25">
      <c r="A1021" s="3" t="s">
        <v>1350</v>
      </c>
      <c r="B1021" s="6" t="s">
        <v>3403</v>
      </c>
      <c r="C1021" s="3" t="s">
        <v>8377</v>
      </c>
      <c r="D1021" s="3" t="s">
        <v>7520</v>
      </c>
      <c r="E1021" s="3" t="s">
        <v>5702</v>
      </c>
    </row>
    <row r="1022" spans="1:5" x14ac:dyDescent="0.25">
      <c r="A1022" s="3" t="s">
        <v>1349</v>
      </c>
      <c r="B1022" s="6" t="s">
        <v>3404</v>
      </c>
      <c r="C1022" s="3" t="s">
        <v>8378</v>
      </c>
      <c r="D1022" s="3" t="s">
        <v>7521</v>
      </c>
      <c r="E1022" s="3" t="s">
        <v>5703</v>
      </c>
    </row>
    <row r="1023" spans="1:5" x14ac:dyDescent="0.25">
      <c r="A1023" s="3" t="s">
        <v>1348</v>
      </c>
      <c r="B1023" s="6" t="s">
        <v>3405</v>
      </c>
      <c r="C1023" s="3" t="s">
        <v>8377</v>
      </c>
      <c r="D1023" s="3" t="s">
        <v>7522</v>
      </c>
      <c r="E1023" s="3" t="s">
        <v>5704</v>
      </c>
    </row>
    <row r="1024" spans="1:5" x14ac:dyDescent="0.25">
      <c r="A1024" s="3" t="s">
        <v>1347</v>
      </c>
      <c r="B1024" s="6" t="s">
        <v>3406</v>
      </c>
      <c r="C1024" s="3" t="s">
        <v>8377</v>
      </c>
      <c r="D1024" s="3" t="s">
        <v>7523</v>
      </c>
      <c r="E1024" s="3" t="s">
        <v>5705</v>
      </c>
    </row>
    <row r="1025" spans="1:5" x14ac:dyDescent="0.25">
      <c r="A1025" s="3" t="s">
        <v>1346</v>
      </c>
      <c r="B1025" s="6" t="s">
        <v>3407</v>
      </c>
      <c r="C1025" s="3" t="s">
        <v>8378</v>
      </c>
      <c r="D1025" s="3" t="s">
        <v>7524</v>
      </c>
      <c r="E1025" s="3" t="s">
        <v>5706</v>
      </c>
    </row>
    <row r="1026" spans="1:5" x14ac:dyDescent="0.25">
      <c r="A1026" s="3" t="s">
        <v>1345</v>
      </c>
      <c r="B1026" s="6" t="s">
        <v>3408</v>
      </c>
      <c r="C1026" s="3" t="s">
        <v>8378</v>
      </c>
      <c r="D1026" s="3" t="s">
        <v>4772</v>
      </c>
      <c r="E1026" s="3" t="s">
        <v>5707</v>
      </c>
    </row>
    <row r="1027" spans="1:5" x14ac:dyDescent="0.25">
      <c r="A1027" s="3" t="s">
        <v>1344</v>
      </c>
      <c r="B1027" s="6" t="s">
        <v>3409</v>
      </c>
      <c r="C1027" s="3" t="s">
        <v>8378</v>
      </c>
      <c r="D1027" s="3" t="s">
        <v>7525</v>
      </c>
      <c r="E1027" s="3" t="s">
        <v>5708</v>
      </c>
    </row>
    <row r="1028" spans="1:5" x14ac:dyDescent="0.25">
      <c r="A1028" s="3" t="s">
        <v>1343</v>
      </c>
      <c r="B1028" s="6" t="s">
        <v>3410</v>
      </c>
      <c r="C1028" s="3" t="s">
        <v>8377</v>
      </c>
      <c r="D1028" s="3" t="s">
        <v>7526</v>
      </c>
      <c r="E1028" s="3" t="s">
        <v>5709</v>
      </c>
    </row>
    <row r="1029" spans="1:5" x14ac:dyDescent="0.25">
      <c r="A1029" s="3" t="s">
        <v>1342</v>
      </c>
      <c r="B1029" s="6" t="s">
        <v>3411</v>
      </c>
      <c r="C1029" s="3" t="s">
        <v>8378</v>
      </c>
      <c r="D1029" s="3" t="s">
        <v>7525</v>
      </c>
      <c r="E1029" s="3" t="s">
        <v>5710</v>
      </c>
    </row>
    <row r="1030" spans="1:5" x14ac:dyDescent="0.25">
      <c r="A1030" s="3" t="s">
        <v>1341</v>
      </c>
      <c r="B1030" s="6" t="s">
        <v>3412</v>
      </c>
      <c r="C1030" s="3" t="s">
        <v>8378</v>
      </c>
      <c r="D1030" s="3" t="s">
        <v>5893</v>
      </c>
      <c r="E1030" s="3" t="s">
        <v>5711</v>
      </c>
    </row>
    <row r="1031" spans="1:5" x14ac:dyDescent="0.25">
      <c r="A1031" s="3" t="s">
        <v>1340</v>
      </c>
      <c r="B1031" s="6" t="s">
        <v>3413</v>
      </c>
      <c r="C1031" s="3" t="s">
        <v>8377</v>
      </c>
      <c r="D1031" s="3" t="s">
        <v>7527</v>
      </c>
      <c r="E1031" s="3" t="s">
        <v>5712</v>
      </c>
    </row>
    <row r="1032" spans="1:5" x14ac:dyDescent="0.25">
      <c r="A1032" s="3" t="s">
        <v>1339</v>
      </c>
      <c r="B1032" s="6" t="s">
        <v>3414</v>
      </c>
      <c r="C1032" s="3" t="s">
        <v>8378</v>
      </c>
      <c r="D1032" s="3" t="s">
        <v>7528</v>
      </c>
      <c r="E1032" s="3" t="s">
        <v>5713</v>
      </c>
    </row>
    <row r="1033" spans="1:5" x14ac:dyDescent="0.25">
      <c r="A1033" s="3" t="s">
        <v>1338</v>
      </c>
      <c r="B1033" s="6" t="s">
        <v>3415</v>
      </c>
      <c r="C1033" s="3" t="s">
        <v>8377</v>
      </c>
      <c r="D1033" s="3" t="s">
        <v>7529</v>
      </c>
      <c r="E1033" s="3" t="s">
        <v>5714</v>
      </c>
    </row>
    <row r="1034" spans="1:5" x14ac:dyDescent="0.25">
      <c r="A1034" s="3" t="s">
        <v>1337</v>
      </c>
      <c r="B1034" s="6" t="s">
        <v>3416</v>
      </c>
      <c r="C1034" s="3" t="s">
        <v>8377</v>
      </c>
      <c r="D1034" s="3" t="s">
        <v>7530</v>
      </c>
      <c r="E1034" s="3" t="s">
        <v>5385</v>
      </c>
    </row>
    <row r="1035" spans="1:5" x14ac:dyDescent="0.25">
      <c r="A1035" s="3" t="s">
        <v>1336</v>
      </c>
      <c r="B1035" s="6" t="s">
        <v>3417</v>
      </c>
      <c r="C1035" s="3" t="s">
        <v>8377</v>
      </c>
      <c r="D1035" s="3" t="s">
        <v>7065</v>
      </c>
      <c r="E1035" s="3" t="s">
        <v>5715</v>
      </c>
    </row>
    <row r="1036" spans="1:5" x14ac:dyDescent="0.25">
      <c r="A1036" s="3" t="s">
        <v>1335</v>
      </c>
      <c r="B1036" s="6" t="s">
        <v>3418</v>
      </c>
      <c r="C1036" s="3" t="s">
        <v>8377</v>
      </c>
      <c r="D1036" s="3" t="s">
        <v>7531</v>
      </c>
      <c r="E1036" s="3" t="s">
        <v>5716</v>
      </c>
    </row>
    <row r="1037" spans="1:5" x14ac:dyDescent="0.25">
      <c r="A1037" s="3" t="s">
        <v>1334</v>
      </c>
      <c r="B1037" s="6" t="s">
        <v>3419</v>
      </c>
      <c r="C1037" s="3" t="s">
        <v>8377</v>
      </c>
      <c r="D1037" s="3" t="s">
        <v>7194</v>
      </c>
      <c r="E1037" s="3" t="s">
        <v>5717</v>
      </c>
    </row>
    <row r="1038" spans="1:5" x14ac:dyDescent="0.25">
      <c r="A1038" s="3" t="s">
        <v>1333</v>
      </c>
      <c r="B1038" s="6" t="s">
        <v>3420</v>
      </c>
      <c r="C1038" s="3" t="s">
        <v>8378</v>
      </c>
      <c r="D1038" s="3" t="s">
        <v>6807</v>
      </c>
      <c r="E1038" s="3" t="s">
        <v>5718</v>
      </c>
    </row>
    <row r="1039" spans="1:5" x14ac:dyDescent="0.25">
      <c r="A1039" s="3" t="s">
        <v>1332</v>
      </c>
      <c r="B1039" s="6" t="s">
        <v>3421</v>
      </c>
      <c r="C1039" s="3" t="s">
        <v>8378</v>
      </c>
      <c r="D1039" s="3" t="s">
        <v>7532</v>
      </c>
      <c r="E1039" s="3" t="s">
        <v>5719</v>
      </c>
    </row>
    <row r="1040" spans="1:5" x14ac:dyDescent="0.25">
      <c r="A1040" s="3" t="s">
        <v>1331</v>
      </c>
      <c r="B1040" s="6" t="s">
        <v>3422</v>
      </c>
      <c r="C1040" s="3" t="s">
        <v>8377</v>
      </c>
      <c r="D1040" s="3" t="s">
        <v>7533</v>
      </c>
      <c r="E1040" s="3" t="s">
        <v>5720</v>
      </c>
    </row>
    <row r="1041" spans="1:5" x14ac:dyDescent="0.25">
      <c r="A1041" s="3" t="s">
        <v>1330</v>
      </c>
      <c r="B1041" s="6" t="s">
        <v>3423</v>
      </c>
      <c r="C1041" s="3" t="s">
        <v>8377</v>
      </c>
      <c r="D1041" s="3" t="s">
        <v>7534</v>
      </c>
      <c r="E1041" s="3" t="s">
        <v>5721</v>
      </c>
    </row>
    <row r="1042" spans="1:5" x14ac:dyDescent="0.25">
      <c r="A1042" s="3" t="s">
        <v>1329</v>
      </c>
      <c r="B1042" s="6" t="s">
        <v>3424</v>
      </c>
      <c r="C1042" s="3" t="s">
        <v>8378</v>
      </c>
      <c r="D1042" s="3" t="s">
        <v>6886</v>
      </c>
      <c r="E1042" s="3" t="s">
        <v>5412</v>
      </c>
    </row>
    <row r="1043" spans="1:5" x14ac:dyDescent="0.25">
      <c r="A1043" s="3" t="s">
        <v>1328</v>
      </c>
      <c r="B1043" s="6" t="s">
        <v>3425</v>
      </c>
      <c r="C1043" s="3" t="s">
        <v>8377</v>
      </c>
      <c r="D1043" s="3" t="s">
        <v>7535</v>
      </c>
      <c r="E1043" s="3" t="s">
        <v>5722</v>
      </c>
    </row>
    <row r="1044" spans="1:5" x14ac:dyDescent="0.25">
      <c r="A1044" s="3" t="s">
        <v>1327</v>
      </c>
      <c r="B1044" s="6" t="s">
        <v>3426</v>
      </c>
      <c r="C1044" s="3" t="s">
        <v>8378</v>
      </c>
      <c r="D1044" s="3" t="s">
        <v>7536</v>
      </c>
      <c r="E1044" s="3" t="s">
        <v>5723</v>
      </c>
    </row>
    <row r="1045" spans="1:5" x14ac:dyDescent="0.25">
      <c r="A1045" s="3" t="s">
        <v>1326</v>
      </c>
      <c r="B1045" s="6" t="s">
        <v>3427</v>
      </c>
      <c r="C1045" s="3" t="s">
        <v>8378</v>
      </c>
      <c r="D1045" s="3" t="s">
        <v>7537</v>
      </c>
      <c r="E1045" s="3" t="s">
        <v>5724</v>
      </c>
    </row>
    <row r="1046" spans="1:5" x14ac:dyDescent="0.25">
      <c r="A1046" s="3" t="s">
        <v>1325</v>
      </c>
      <c r="B1046" s="6" t="s">
        <v>3428</v>
      </c>
      <c r="C1046" s="3" t="s">
        <v>8379</v>
      </c>
      <c r="D1046" s="3" t="s">
        <v>7538</v>
      </c>
      <c r="E1046" s="3" t="s">
        <v>5725</v>
      </c>
    </row>
    <row r="1047" spans="1:5" x14ac:dyDescent="0.25">
      <c r="A1047" s="3" t="s">
        <v>1324</v>
      </c>
      <c r="B1047" s="6" t="s">
        <v>3429</v>
      </c>
      <c r="C1047" s="3" t="s">
        <v>8378</v>
      </c>
      <c r="D1047" s="3" t="s">
        <v>7539</v>
      </c>
      <c r="E1047" s="3" t="s">
        <v>5726</v>
      </c>
    </row>
    <row r="1048" spans="1:5" x14ac:dyDescent="0.25">
      <c r="A1048" s="3" t="s">
        <v>1323</v>
      </c>
      <c r="B1048" s="6" t="s">
        <v>3430</v>
      </c>
      <c r="C1048" s="3" t="s">
        <v>8378</v>
      </c>
      <c r="D1048" s="3" t="s">
        <v>7525</v>
      </c>
      <c r="E1048" s="3" t="s">
        <v>5727</v>
      </c>
    </row>
    <row r="1049" spans="1:5" x14ac:dyDescent="0.25">
      <c r="A1049" s="3" t="s">
        <v>1322</v>
      </c>
      <c r="B1049" s="6" t="s">
        <v>3431</v>
      </c>
      <c r="C1049" s="3" t="s">
        <v>8377</v>
      </c>
      <c r="D1049" s="3" t="s">
        <v>7540</v>
      </c>
      <c r="E1049" s="3" t="s">
        <v>5728</v>
      </c>
    </row>
    <row r="1050" spans="1:5" x14ac:dyDescent="0.25">
      <c r="A1050" s="3" t="s">
        <v>1321</v>
      </c>
      <c r="B1050" s="6" t="s">
        <v>3432</v>
      </c>
      <c r="C1050" s="3" t="s">
        <v>8377</v>
      </c>
      <c r="D1050" s="3" t="s">
        <v>7541</v>
      </c>
      <c r="E1050" s="3" t="s">
        <v>5729</v>
      </c>
    </row>
    <row r="1051" spans="1:5" x14ac:dyDescent="0.25">
      <c r="A1051" s="3" t="s">
        <v>1320</v>
      </c>
      <c r="B1051" s="6" t="s">
        <v>3433</v>
      </c>
      <c r="C1051" s="3" t="s">
        <v>8377</v>
      </c>
      <c r="D1051" s="3" t="s">
        <v>7294</v>
      </c>
      <c r="E1051" s="3" t="s">
        <v>5730</v>
      </c>
    </row>
    <row r="1052" spans="1:5" x14ac:dyDescent="0.25">
      <c r="A1052" s="3" t="s">
        <v>1319</v>
      </c>
      <c r="B1052" s="6" t="s">
        <v>3434</v>
      </c>
      <c r="C1052" s="3" t="s">
        <v>8379</v>
      </c>
      <c r="D1052" s="3" t="s">
        <v>7542</v>
      </c>
      <c r="E1052" s="3" t="s">
        <v>5731</v>
      </c>
    </row>
    <row r="1053" spans="1:5" x14ac:dyDescent="0.25">
      <c r="A1053" s="3" t="s">
        <v>1318</v>
      </c>
      <c r="B1053" s="6" t="s">
        <v>3435</v>
      </c>
      <c r="C1053" s="3" t="s">
        <v>8378</v>
      </c>
      <c r="D1053" s="3" t="s">
        <v>7543</v>
      </c>
      <c r="E1053" s="3" t="s">
        <v>5732</v>
      </c>
    </row>
    <row r="1054" spans="1:5" x14ac:dyDescent="0.25">
      <c r="A1054" s="3" t="s">
        <v>1317</v>
      </c>
      <c r="B1054" s="6" t="s">
        <v>3436</v>
      </c>
      <c r="C1054" s="3" t="s">
        <v>8377</v>
      </c>
      <c r="D1054" s="3" t="s">
        <v>7544</v>
      </c>
      <c r="E1054" s="3" t="s">
        <v>5733</v>
      </c>
    </row>
    <row r="1055" spans="1:5" x14ac:dyDescent="0.25">
      <c r="A1055" s="3" t="s">
        <v>1316</v>
      </c>
      <c r="B1055" s="6" t="s">
        <v>3437</v>
      </c>
      <c r="C1055" s="3" t="s">
        <v>8378</v>
      </c>
      <c r="D1055" s="3" t="s">
        <v>7545</v>
      </c>
      <c r="E1055" s="3" t="s">
        <v>5734</v>
      </c>
    </row>
    <row r="1056" spans="1:5" x14ac:dyDescent="0.25">
      <c r="A1056" s="3" t="s">
        <v>1315</v>
      </c>
      <c r="B1056" s="6" t="s">
        <v>3438</v>
      </c>
      <c r="C1056" s="3" t="s">
        <v>8379</v>
      </c>
      <c r="D1056" s="3" t="s">
        <v>7096</v>
      </c>
      <c r="E1056" s="3" t="s">
        <v>5735</v>
      </c>
    </row>
    <row r="1057" spans="1:5" x14ac:dyDescent="0.25">
      <c r="A1057" s="3" t="s">
        <v>1314</v>
      </c>
      <c r="B1057" s="6" t="s">
        <v>3439</v>
      </c>
      <c r="C1057" s="3" t="s">
        <v>8377</v>
      </c>
      <c r="D1057" s="3" t="s">
        <v>7546</v>
      </c>
      <c r="E1057" s="3" t="s">
        <v>5736</v>
      </c>
    </row>
    <row r="1058" spans="1:5" x14ac:dyDescent="0.25">
      <c r="A1058" s="3" t="s">
        <v>1313</v>
      </c>
      <c r="B1058" s="6" t="s">
        <v>3440</v>
      </c>
      <c r="C1058" s="3" t="s">
        <v>8379</v>
      </c>
      <c r="D1058" s="3" t="s">
        <v>7547</v>
      </c>
      <c r="E1058" s="3" t="s">
        <v>5677</v>
      </c>
    </row>
    <row r="1059" spans="1:5" x14ac:dyDescent="0.25">
      <c r="A1059" s="3" t="s">
        <v>1312</v>
      </c>
      <c r="B1059" s="6" t="s">
        <v>3441</v>
      </c>
      <c r="C1059" s="3" t="s">
        <v>8377</v>
      </c>
      <c r="D1059" s="3" t="s">
        <v>7460</v>
      </c>
      <c r="E1059" s="3" t="s">
        <v>5737</v>
      </c>
    </row>
    <row r="1060" spans="1:5" x14ac:dyDescent="0.25">
      <c r="A1060" s="3" t="s">
        <v>1311</v>
      </c>
      <c r="B1060" s="6" t="s">
        <v>3442</v>
      </c>
      <c r="C1060" s="3" t="s">
        <v>8378</v>
      </c>
      <c r="D1060" s="3" t="s">
        <v>6924</v>
      </c>
      <c r="E1060" s="3" t="s">
        <v>5738</v>
      </c>
    </row>
    <row r="1061" spans="1:5" x14ac:dyDescent="0.25">
      <c r="A1061" s="3" t="s">
        <v>1310</v>
      </c>
      <c r="B1061" s="6" t="s">
        <v>3443</v>
      </c>
      <c r="C1061" s="3" t="s">
        <v>8378</v>
      </c>
      <c r="D1061" s="3" t="s">
        <v>7548</v>
      </c>
      <c r="E1061" s="3" t="s">
        <v>5739</v>
      </c>
    </row>
    <row r="1062" spans="1:5" x14ac:dyDescent="0.25">
      <c r="A1062" s="3" t="s">
        <v>1309</v>
      </c>
      <c r="B1062" s="6" t="s">
        <v>3444</v>
      </c>
      <c r="C1062" s="3" t="s">
        <v>8378</v>
      </c>
      <c r="D1062" s="3" t="s">
        <v>7549</v>
      </c>
      <c r="E1062" s="3" t="s">
        <v>5740</v>
      </c>
    </row>
    <row r="1063" spans="1:5" x14ac:dyDescent="0.25">
      <c r="A1063" s="3" t="s">
        <v>1308</v>
      </c>
      <c r="B1063" s="6" t="s">
        <v>3445</v>
      </c>
      <c r="C1063" s="3" t="s">
        <v>8378</v>
      </c>
      <c r="D1063" s="3" t="s">
        <v>7550</v>
      </c>
      <c r="E1063" s="3" t="s">
        <v>5483</v>
      </c>
    </row>
    <row r="1064" spans="1:5" x14ac:dyDescent="0.25">
      <c r="A1064" s="3" t="s">
        <v>1307</v>
      </c>
      <c r="B1064" s="6" t="s">
        <v>3446</v>
      </c>
      <c r="C1064" s="3" t="s">
        <v>8378</v>
      </c>
      <c r="D1064" s="3" t="s">
        <v>7551</v>
      </c>
      <c r="E1064" s="3" t="s">
        <v>5741</v>
      </c>
    </row>
    <row r="1065" spans="1:5" x14ac:dyDescent="0.25">
      <c r="A1065" s="3" t="s">
        <v>1306</v>
      </c>
      <c r="B1065" s="6" t="s">
        <v>3447</v>
      </c>
      <c r="C1065" s="3" t="s">
        <v>8378</v>
      </c>
      <c r="D1065" s="3" t="s">
        <v>7552</v>
      </c>
      <c r="E1065" s="3" t="s">
        <v>5742</v>
      </c>
    </row>
    <row r="1066" spans="1:5" x14ac:dyDescent="0.25">
      <c r="A1066" s="3" t="s">
        <v>1305</v>
      </c>
      <c r="B1066" s="6" t="s">
        <v>3448</v>
      </c>
      <c r="C1066" s="3" t="s">
        <v>8377</v>
      </c>
      <c r="D1066" s="3" t="s">
        <v>7553</v>
      </c>
      <c r="E1066" s="3" t="s">
        <v>5743</v>
      </c>
    </row>
    <row r="1067" spans="1:5" x14ac:dyDescent="0.25">
      <c r="A1067" s="3" t="s">
        <v>1304</v>
      </c>
      <c r="B1067" s="6" t="s">
        <v>3449</v>
      </c>
      <c r="C1067" s="3" t="s">
        <v>8378</v>
      </c>
      <c r="D1067" s="3" t="s">
        <v>7554</v>
      </c>
      <c r="E1067" s="3" t="s">
        <v>5744</v>
      </c>
    </row>
    <row r="1068" spans="1:5" x14ac:dyDescent="0.25">
      <c r="A1068" s="3" t="s">
        <v>1303</v>
      </c>
      <c r="B1068" s="6" t="s">
        <v>3450</v>
      </c>
      <c r="C1068" s="3" t="s">
        <v>8377</v>
      </c>
      <c r="D1068" s="3" t="s">
        <v>7555</v>
      </c>
      <c r="E1068" s="3" t="s">
        <v>5745</v>
      </c>
    </row>
    <row r="1069" spans="1:5" x14ac:dyDescent="0.25">
      <c r="A1069" s="3" t="s">
        <v>1302</v>
      </c>
      <c r="B1069" s="6" t="s">
        <v>3451</v>
      </c>
      <c r="C1069" s="3" t="s">
        <v>8378</v>
      </c>
      <c r="D1069" s="3" t="s">
        <v>4769</v>
      </c>
      <c r="E1069" s="3" t="s">
        <v>5746</v>
      </c>
    </row>
    <row r="1070" spans="1:5" x14ac:dyDescent="0.25">
      <c r="A1070" s="3" t="s">
        <v>1301</v>
      </c>
      <c r="B1070" s="6" t="s">
        <v>3452</v>
      </c>
      <c r="C1070" s="3" t="s">
        <v>8377</v>
      </c>
      <c r="D1070" s="3" t="s">
        <v>7556</v>
      </c>
      <c r="E1070" s="3" t="s">
        <v>5491</v>
      </c>
    </row>
    <row r="1071" spans="1:5" x14ac:dyDescent="0.25">
      <c r="A1071" s="3" t="s">
        <v>1300</v>
      </c>
      <c r="B1071" s="6" t="s">
        <v>3453</v>
      </c>
      <c r="C1071" s="3" t="s">
        <v>8377</v>
      </c>
      <c r="D1071" s="3" t="s">
        <v>7557</v>
      </c>
      <c r="E1071" s="3" t="s">
        <v>5747</v>
      </c>
    </row>
    <row r="1072" spans="1:5" x14ac:dyDescent="0.25">
      <c r="A1072" s="3" t="s">
        <v>1299</v>
      </c>
      <c r="B1072" s="6" t="s">
        <v>3454</v>
      </c>
      <c r="C1072" s="3" t="s">
        <v>8377</v>
      </c>
      <c r="D1072" s="3" t="s">
        <v>7034</v>
      </c>
      <c r="E1072" s="3" t="s">
        <v>5748</v>
      </c>
    </row>
    <row r="1073" spans="1:5" x14ac:dyDescent="0.25">
      <c r="A1073" s="3" t="s">
        <v>1298</v>
      </c>
      <c r="B1073" s="6" t="s">
        <v>3455</v>
      </c>
      <c r="C1073" s="3" t="s">
        <v>8379</v>
      </c>
      <c r="D1073" s="3" t="s">
        <v>7558</v>
      </c>
      <c r="E1073" s="3" t="s">
        <v>5749</v>
      </c>
    </row>
    <row r="1074" spans="1:5" x14ac:dyDescent="0.25">
      <c r="A1074" s="3" t="s">
        <v>1297</v>
      </c>
      <c r="B1074" s="6" t="s">
        <v>3456</v>
      </c>
      <c r="C1074" s="3" t="s">
        <v>8377</v>
      </c>
      <c r="D1074" s="3" t="s">
        <v>7559</v>
      </c>
      <c r="E1074" s="3" t="s">
        <v>5750</v>
      </c>
    </row>
    <row r="1075" spans="1:5" x14ac:dyDescent="0.25">
      <c r="A1075" s="3" t="s">
        <v>1296</v>
      </c>
      <c r="B1075" s="6" t="s">
        <v>3457</v>
      </c>
      <c r="C1075" s="3" t="s">
        <v>8378</v>
      </c>
      <c r="D1075" s="3" t="s">
        <v>6873</v>
      </c>
      <c r="E1075" s="3" t="s">
        <v>5751</v>
      </c>
    </row>
    <row r="1076" spans="1:5" x14ac:dyDescent="0.25">
      <c r="A1076" s="3" t="s">
        <v>1295</v>
      </c>
      <c r="B1076" s="6" t="s">
        <v>3458</v>
      </c>
      <c r="C1076" s="3" t="s">
        <v>8378</v>
      </c>
      <c r="D1076" s="3" t="s">
        <v>7181</v>
      </c>
      <c r="E1076" s="3" t="s">
        <v>5752</v>
      </c>
    </row>
    <row r="1077" spans="1:5" x14ac:dyDescent="0.25">
      <c r="A1077" s="3" t="s">
        <v>1294</v>
      </c>
      <c r="B1077" s="6" t="s">
        <v>3459</v>
      </c>
      <c r="C1077" s="3" t="s">
        <v>8378</v>
      </c>
      <c r="D1077" s="3" t="s">
        <v>7560</v>
      </c>
      <c r="E1077" s="3" t="s">
        <v>5240</v>
      </c>
    </row>
    <row r="1078" spans="1:5" x14ac:dyDescent="0.25">
      <c r="A1078" s="3" t="s">
        <v>1293</v>
      </c>
      <c r="B1078" s="6" t="s">
        <v>3460</v>
      </c>
      <c r="C1078" s="3" t="s">
        <v>8377</v>
      </c>
      <c r="D1078" s="3" t="s">
        <v>7561</v>
      </c>
      <c r="E1078" s="3" t="s">
        <v>5753</v>
      </c>
    </row>
    <row r="1079" spans="1:5" x14ac:dyDescent="0.25">
      <c r="A1079" s="3" t="s">
        <v>1292</v>
      </c>
      <c r="B1079" s="6" t="s">
        <v>3461</v>
      </c>
      <c r="C1079" s="3" t="s">
        <v>8378</v>
      </c>
      <c r="D1079" s="3" t="s">
        <v>6940</v>
      </c>
      <c r="E1079" s="3" t="s">
        <v>5754</v>
      </c>
    </row>
    <row r="1080" spans="1:5" x14ac:dyDescent="0.25">
      <c r="A1080" s="3" t="s">
        <v>1291</v>
      </c>
      <c r="B1080" s="6" t="s">
        <v>3462</v>
      </c>
      <c r="C1080" s="3" t="s">
        <v>8378</v>
      </c>
      <c r="D1080" s="3" t="s">
        <v>7562</v>
      </c>
      <c r="E1080" s="3" t="s">
        <v>5755</v>
      </c>
    </row>
    <row r="1081" spans="1:5" x14ac:dyDescent="0.25">
      <c r="A1081" s="3" t="s">
        <v>1290</v>
      </c>
      <c r="B1081" s="6" t="s">
        <v>3463</v>
      </c>
      <c r="C1081" s="3" t="s">
        <v>8378</v>
      </c>
      <c r="D1081" s="3" t="s">
        <v>7563</v>
      </c>
      <c r="E1081" s="3" t="s">
        <v>5756</v>
      </c>
    </row>
    <row r="1082" spans="1:5" x14ac:dyDescent="0.25">
      <c r="A1082" s="3" t="s">
        <v>1289</v>
      </c>
      <c r="B1082" s="6" t="s">
        <v>3464</v>
      </c>
      <c r="C1082" s="3" t="s">
        <v>8378</v>
      </c>
      <c r="D1082" s="3" t="s">
        <v>7564</v>
      </c>
      <c r="E1082" s="3" t="s">
        <v>5757</v>
      </c>
    </row>
    <row r="1083" spans="1:5" x14ac:dyDescent="0.25">
      <c r="A1083" s="3" t="s">
        <v>1288</v>
      </c>
      <c r="B1083" s="6" t="s">
        <v>3465</v>
      </c>
      <c r="C1083" s="3" t="s">
        <v>8379</v>
      </c>
      <c r="D1083" s="3" t="s">
        <v>7565</v>
      </c>
      <c r="E1083" s="3" t="s">
        <v>5758</v>
      </c>
    </row>
    <row r="1084" spans="1:5" x14ac:dyDescent="0.25">
      <c r="A1084" s="3" t="s">
        <v>1287</v>
      </c>
      <c r="B1084" s="6" t="s">
        <v>3466</v>
      </c>
      <c r="C1084" s="3" t="s">
        <v>8379</v>
      </c>
      <c r="D1084" s="3" t="s">
        <v>7566</v>
      </c>
      <c r="E1084" s="3" t="s">
        <v>5759</v>
      </c>
    </row>
    <row r="1085" spans="1:5" x14ac:dyDescent="0.25">
      <c r="A1085" s="3" t="s">
        <v>1286</v>
      </c>
      <c r="B1085" s="6" t="s">
        <v>3467</v>
      </c>
      <c r="C1085" s="3" t="s">
        <v>8378</v>
      </c>
      <c r="D1085" s="3" t="s">
        <v>7567</v>
      </c>
      <c r="E1085" s="3" t="s">
        <v>5760</v>
      </c>
    </row>
    <row r="1086" spans="1:5" x14ac:dyDescent="0.25">
      <c r="A1086" s="3" t="s">
        <v>1285</v>
      </c>
      <c r="B1086" s="6" t="s">
        <v>3468</v>
      </c>
      <c r="C1086" s="3" t="s">
        <v>8378</v>
      </c>
      <c r="D1086" s="3" t="s">
        <v>7181</v>
      </c>
      <c r="E1086" s="3" t="s">
        <v>5761</v>
      </c>
    </row>
    <row r="1087" spans="1:5" x14ac:dyDescent="0.25">
      <c r="A1087" s="3" t="s">
        <v>1284</v>
      </c>
      <c r="B1087" s="6" t="s">
        <v>3469</v>
      </c>
      <c r="C1087" s="3" t="s">
        <v>8378</v>
      </c>
      <c r="D1087" s="3" t="s">
        <v>6940</v>
      </c>
      <c r="E1087" s="3" t="s">
        <v>5762</v>
      </c>
    </row>
    <row r="1088" spans="1:5" x14ac:dyDescent="0.25">
      <c r="A1088" s="3" t="s">
        <v>1283</v>
      </c>
      <c r="B1088" s="6" t="s">
        <v>3470</v>
      </c>
      <c r="C1088" s="3" t="s">
        <v>8377</v>
      </c>
      <c r="D1088" s="3" t="s">
        <v>7568</v>
      </c>
      <c r="E1088" s="3" t="s">
        <v>5763</v>
      </c>
    </row>
    <row r="1089" spans="1:5" x14ac:dyDescent="0.25">
      <c r="A1089" s="3" t="s">
        <v>1282</v>
      </c>
      <c r="B1089" s="6" t="s">
        <v>3471</v>
      </c>
      <c r="C1089" s="3" t="s">
        <v>8377</v>
      </c>
      <c r="D1089" s="3" t="s">
        <v>7569</v>
      </c>
      <c r="E1089" s="3" t="s">
        <v>5764</v>
      </c>
    </row>
    <row r="1090" spans="1:5" x14ac:dyDescent="0.25">
      <c r="A1090" s="3" t="s">
        <v>1281</v>
      </c>
      <c r="B1090" s="6" t="s">
        <v>3472</v>
      </c>
      <c r="C1090" s="3" t="s">
        <v>8379</v>
      </c>
      <c r="D1090" s="3" t="s">
        <v>7570</v>
      </c>
      <c r="E1090" s="3" t="s">
        <v>5765</v>
      </c>
    </row>
    <row r="1091" spans="1:5" x14ac:dyDescent="0.25">
      <c r="A1091" s="3" t="s">
        <v>1280</v>
      </c>
      <c r="B1091" s="6" t="s">
        <v>3473</v>
      </c>
      <c r="C1091" s="3" t="s">
        <v>8377</v>
      </c>
      <c r="D1091" s="3" t="s">
        <v>7571</v>
      </c>
      <c r="E1091" s="3" t="s">
        <v>5766</v>
      </c>
    </row>
    <row r="1092" spans="1:5" x14ac:dyDescent="0.25">
      <c r="A1092" s="3" t="s">
        <v>1279</v>
      </c>
      <c r="B1092" s="6" t="s">
        <v>3474</v>
      </c>
      <c r="C1092" s="3" t="s">
        <v>8377</v>
      </c>
      <c r="D1092" s="3" t="s">
        <v>7572</v>
      </c>
      <c r="E1092" s="3" t="s">
        <v>5719</v>
      </c>
    </row>
    <row r="1093" spans="1:5" x14ac:dyDescent="0.25">
      <c r="A1093" s="3" t="s">
        <v>1278</v>
      </c>
      <c r="B1093" s="6" t="s">
        <v>3475</v>
      </c>
      <c r="C1093" s="3" t="s">
        <v>8378</v>
      </c>
      <c r="D1093" s="3" t="s">
        <v>7573</v>
      </c>
      <c r="E1093" s="3" t="s">
        <v>5767</v>
      </c>
    </row>
    <row r="1094" spans="1:5" x14ac:dyDescent="0.25">
      <c r="A1094" s="3" t="s">
        <v>1277</v>
      </c>
      <c r="B1094" s="6" t="s">
        <v>3476</v>
      </c>
      <c r="C1094" s="3" t="s">
        <v>8377</v>
      </c>
      <c r="D1094" s="3" t="s">
        <v>7574</v>
      </c>
      <c r="E1094" s="3" t="s">
        <v>5768</v>
      </c>
    </row>
    <row r="1095" spans="1:5" x14ac:dyDescent="0.25">
      <c r="A1095" s="3" t="s">
        <v>1276</v>
      </c>
      <c r="B1095" s="6" t="s">
        <v>3477</v>
      </c>
      <c r="C1095" s="3" t="s">
        <v>8378</v>
      </c>
      <c r="D1095" s="3" t="s">
        <v>7392</v>
      </c>
      <c r="E1095" s="3" t="s">
        <v>4828</v>
      </c>
    </row>
    <row r="1096" spans="1:5" x14ac:dyDescent="0.25">
      <c r="A1096" s="3" t="s">
        <v>1275</v>
      </c>
      <c r="B1096" s="6" t="s">
        <v>3478</v>
      </c>
      <c r="C1096" s="3" t="s">
        <v>8378</v>
      </c>
      <c r="D1096" s="3" t="s">
        <v>6882</v>
      </c>
      <c r="E1096" s="3" t="s">
        <v>5769</v>
      </c>
    </row>
    <row r="1097" spans="1:5" x14ac:dyDescent="0.25">
      <c r="A1097" s="3" t="s">
        <v>1274</v>
      </c>
      <c r="B1097" s="6" t="s">
        <v>3479</v>
      </c>
      <c r="C1097" s="3" t="s">
        <v>8379</v>
      </c>
      <c r="D1097" s="3" t="s">
        <v>7575</v>
      </c>
      <c r="E1097" s="3" t="s">
        <v>5770</v>
      </c>
    </row>
    <row r="1098" spans="1:5" x14ac:dyDescent="0.25">
      <c r="A1098" s="3" t="s">
        <v>1273</v>
      </c>
      <c r="B1098" s="6" t="s">
        <v>3480</v>
      </c>
      <c r="C1098" s="3" t="s">
        <v>8377</v>
      </c>
      <c r="D1098" s="3" t="s">
        <v>7576</v>
      </c>
      <c r="E1098" s="3" t="s">
        <v>5771</v>
      </c>
    </row>
    <row r="1099" spans="1:5" x14ac:dyDescent="0.25">
      <c r="A1099" s="3" t="s">
        <v>1272</v>
      </c>
      <c r="B1099" s="6" t="s">
        <v>3481</v>
      </c>
      <c r="C1099" s="3" t="s">
        <v>8377</v>
      </c>
      <c r="D1099" s="3" t="s">
        <v>7294</v>
      </c>
      <c r="E1099" s="3" t="s">
        <v>5772</v>
      </c>
    </row>
    <row r="1100" spans="1:5" x14ac:dyDescent="0.25">
      <c r="A1100" s="3" t="s">
        <v>1271</v>
      </c>
      <c r="B1100" s="6" t="s">
        <v>3482</v>
      </c>
      <c r="C1100" s="3" t="s">
        <v>8377</v>
      </c>
      <c r="D1100" s="3" t="s">
        <v>7577</v>
      </c>
      <c r="E1100" s="3" t="s">
        <v>5015</v>
      </c>
    </row>
    <row r="1101" spans="1:5" x14ac:dyDescent="0.25">
      <c r="A1101" s="3" t="s">
        <v>1270</v>
      </c>
      <c r="B1101" s="6" t="s">
        <v>3483</v>
      </c>
      <c r="C1101" s="3" t="s">
        <v>8378</v>
      </c>
      <c r="D1101" s="3" t="s">
        <v>7578</v>
      </c>
      <c r="E1101" s="3" t="s">
        <v>5773</v>
      </c>
    </row>
    <row r="1102" spans="1:5" x14ac:dyDescent="0.25">
      <c r="A1102" s="3" t="s">
        <v>1269</v>
      </c>
      <c r="B1102" s="6" t="s">
        <v>3484</v>
      </c>
      <c r="C1102" s="3" t="s">
        <v>8379</v>
      </c>
      <c r="D1102" s="3" t="s">
        <v>7116</v>
      </c>
      <c r="E1102" s="3" t="s">
        <v>5774</v>
      </c>
    </row>
    <row r="1103" spans="1:5" x14ac:dyDescent="0.25">
      <c r="A1103" s="3" t="s">
        <v>1268</v>
      </c>
      <c r="B1103" s="6" t="s">
        <v>3485</v>
      </c>
      <c r="C1103" s="3" t="s">
        <v>8378</v>
      </c>
      <c r="D1103" s="3" t="s">
        <v>4769</v>
      </c>
      <c r="E1103" s="3" t="s">
        <v>5218</v>
      </c>
    </row>
    <row r="1104" spans="1:5" x14ac:dyDescent="0.25">
      <c r="A1104" s="3" t="s">
        <v>1267</v>
      </c>
      <c r="B1104" s="6" t="s">
        <v>3486</v>
      </c>
      <c r="C1104" s="3" t="s">
        <v>8378</v>
      </c>
      <c r="D1104" s="3" t="s">
        <v>7579</v>
      </c>
      <c r="E1104" s="3" t="s">
        <v>5775</v>
      </c>
    </row>
    <row r="1105" spans="1:5" x14ac:dyDescent="0.25">
      <c r="A1105" s="3" t="s">
        <v>1266</v>
      </c>
      <c r="B1105" s="6" t="s">
        <v>3487</v>
      </c>
      <c r="C1105" s="3" t="s">
        <v>8377</v>
      </c>
      <c r="D1105" s="3" t="s">
        <v>7580</v>
      </c>
      <c r="E1105" s="3" t="s">
        <v>5776</v>
      </c>
    </row>
    <row r="1106" spans="1:5" x14ac:dyDescent="0.25">
      <c r="A1106" s="3" t="s">
        <v>1265</v>
      </c>
      <c r="B1106" s="6" t="s">
        <v>3488</v>
      </c>
      <c r="C1106" s="3" t="s">
        <v>8378</v>
      </c>
      <c r="D1106" s="3" t="s">
        <v>7581</v>
      </c>
      <c r="E1106" s="3" t="s">
        <v>5777</v>
      </c>
    </row>
    <row r="1107" spans="1:5" x14ac:dyDescent="0.25">
      <c r="A1107" s="3" t="s">
        <v>1264</v>
      </c>
      <c r="B1107" s="6" t="s">
        <v>3489</v>
      </c>
      <c r="C1107" s="3" t="s">
        <v>8378</v>
      </c>
      <c r="D1107" s="3" t="s">
        <v>6847</v>
      </c>
      <c r="E1107" s="3" t="s">
        <v>5778</v>
      </c>
    </row>
    <row r="1108" spans="1:5" x14ac:dyDescent="0.25">
      <c r="A1108" s="3" t="s">
        <v>1263</v>
      </c>
      <c r="B1108" s="6" t="s">
        <v>3490</v>
      </c>
      <c r="C1108" s="3" t="s">
        <v>8378</v>
      </c>
      <c r="D1108" s="3" t="s">
        <v>7216</v>
      </c>
      <c r="E1108" s="3" t="s">
        <v>5779</v>
      </c>
    </row>
    <row r="1109" spans="1:5" x14ac:dyDescent="0.25">
      <c r="A1109" s="3" t="s">
        <v>1262</v>
      </c>
      <c r="B1109" s="6" t="s">
        <v>3491</v>
      </c>
      <c r="C1109" s="3" t="s">
        <v>8377</v>
      </c>
      <c r="D1109" s="3" t="s">
        <v>7582</v>
      </c>
      <c r="E1109" s="3" t="s">
        <v>5780</v>
      </c>
    </row>
    <row r="1110" spans="1:5" x14ac:dyDescent="0.25">
      <c r="A1110" s="3" t="s">
        <v>1261</v>
      </c>
      <c r="B1110" s="6" t="s">
        <v>3492</v>
      </c>
      <c r="C1110" s="3" t="s">
        <v>8379</v>
      </c>
      <c r="D1110" s="3" t="s">
        <v>7583</v>
      </c>
      <c r="E1110" s="3" t="s">
        <v>5781</v>
      </c>
    </row>
    <row r="1111" spans="1:5" x14ac:dyDescent="0.25">
      <c r="A1111" s="3" t="s">
        <v>1260</v>
      </c>
      <c r="B1111" s="6" t="s">
        <v>3493</v>
      </c>
      <c r="C1111" s="3" t="s">
        <v>8379</v>
      </c>
      <c r="D1111" s="3" t="s">
        <v>7584</v>
      </c>
      <c r="E1111" s="3" t="s">
        <v>5782</v>
      </c>
    </row>
    <row r="1112" spans="1:5" x14ac:dyDescent="0.25">
      <c r="A1112" s="3" t="s">
        <v>1259</v>
      </c>
      <c r="B1112" s="6" t="s">
        <v>3494</v>
      </c>
      <c r="C1112" s="3" t="s">
        <v>8377</v>
      </c>
      <c r="D1112" s="3" t="s">
        <v>6818</v>
      </c>
      <c r="E1112" s="3" t="s">
        <v>5149</v>
      </c>
    </row>
    <row r="1113" spans="1:5" x14ac:dyDescent="0.25">
      <c r="A1113" s="3" t="s">
        <v>1258</v>
      </c>
      <c r="B1113" s="6" t="s">
        <v>3495</v>
      </c>
      <c r="C1113" s="3" t="s">
        <v>8379</v>
      </c>
      <c r="D1113" s="3" t="s">
        <v>7585</v>
      </c>
      <c r="E1113" s="3" t="s">
        <v>5783</v>
      </c>
    </row>
    <row r="1114" spans="1:5" x14ac:dyDescent="0.25">
      <c r="A1114" s="3" t="s">
        <v>1257</v>
      </c>
      <c r="B1114" s="6" t="s">
        <v>3496</v>
      </c>
      <c r="C1114" s="3" t="s">
        <v>8378</v>
      </c>
      <c r="D1114" s="3" t="s">
        <v>5603</v>
      </c>
      <c r="E1114" s="3" t="s">
        <v>5784</v>
      </c>
    </row>
    <row r="1115" spans="1:5" x14ac:dyDescent="0.25">
      <c r="A1115" s="3" t="s">
        <v>1256</v>
      </c>
      <c r="B1115" s="6" t="s">
        <v>3497</v>
      </c>
      <c r="C1115" s="3" t="s">
        <v>8377</v>
      </c>
      <c r="D1115" s="3" t="s">
        <v>7586</v>
      </c>
      <c r="E1115" s="3" t="s">
        <v>5785</v>
      </c>
    </row>
    <row r="1116" spans="1:5" x14ac:dyDescent="0.25">
      <c r="A1116" s="3" t="s">
        <v>1255</v>
      </c>
      <c r="B1116" s="6" t="s">
        <v>3498</v>
      </c>
      <c r="C1116" s="3" t="s">
        <v>8377</v>
      </c>
      <c r="D1116" s="3" t="s">
        <v>7587</v>
      </c>
      <c r="E1116" s="3" t="s">
        <v>5786</v>
      </c>
    </row>
    <row r="1117" spans="1:5" x14ac:dyDescent="0.25">
      <c r="A1117" s="3" t="s">
        <v>1254</v>
      </c>
      <c r="B1117" s="6" t="s">
        <v>3499</v>
      </c>
      <c r="C1117" s="3" t="s">
        <v>8377</v>
      </c>
      <c r="D1117" s="3" t="s">
        <v>7588</v>
      </c>
      <c r="E1117" s="3" t="s">
        <v>5787</v>
      </c>
    </row>
    <row r="1118" spans="1:5" x14ac:dyDescent="0.25">
      <c r="A1118" s="3" t="s">
        <v>1253</v>
      </c>
      <c r="B1118" s="6" t="s">
        <v>3500</v>
      </c>
      <c r="C1118" s="3" t="s">
        <v>8377</v>
      </c>
      <c r="D1118" s="3" t="s">
        <v>7589</v>
      </c>
      <c r="E1118" s="3" t="s">
        <v>5788</v>
      </c>
    </row>
    <row r="1119" spans="1:5" x14ac:dyDescent="0.25">
      <c r="A1119" s="3" t="s">
        <v>1252</v>
      </c>
      <c r="B1119" s="6" t="s">
        <v>3501</v>
      </c>
      <c r="C1119" s="3" t="s">
        <v>8377</v>
      </c>
      <c r="D1119" s="3" t="s">
        <v>6944</v>
      </c>
      <c r="E1119" s="3" t="s">
        <v>5789</v>
      </c>
    </row>
    <row r="1120" spans="1:5" x14ac:dyDescent="0.25">
      <c r="A1120" s="3" t="s">
        <v>1251</v>
      </c>
      <c r="B1120" s="6" t="s">
        <v>3502</v>
      </c>
      <c r="C1120" s="3" t="s">
        <v>8378</v>
      </c>
      <c r="D1120" s="3" t="s">
        <v>7590</v>
      </c>
      <c r="E1120" s="3" t="s">
        <v>5790</v>
      </c>
    </row>
    <row r="1121" spans="1:5" x14ac:dyDescent="0.25">
      <c r="A1121" s="3" t="s">
        <v>1250</v>
      </c>
      <c r="B1121" s="6" t="s">
        <v>3503</v>
      </c>
      <c r="C1121" s="3" t="s">
        <v>8378</v>
      </c>
      <c r="D1121" s="3" t="s">
        <v>7591</v>
      </c>
      <c r="E1121" s="3" t="s">
        <v>5791</v>
      </c>
    </row>
    <row r="1122" spans="1:5" x14ac:dyDescent="0.25">
      <c r="A1122" s="3" t="s">
        <v>1249</v>
      </c>
      <c r="B1122" s="6" t="s">
        <v>3504</v>
      </c>
      <c r="C1122" s="3" t="s">
        <v>8378</v>
      </c>
      <c r="D1122" s="3" t="s">
        <v>7592</v>
      </c>
      <c r="E1122" s="3" t="s">
        <v>5792</v>
      </c>
    </row>
    <row r="1123" spans="1:5" x14ac:dyDescent="0.25">
      <c r="A1123" s="3" t="s">
        <v>1248</v>
      </c>
      <c r="B1123" s="6" t="s">
        <v>3505</v>
      </c>
      <c r="C1123" s="3" t="s">
        <v>8378</v>
      </c>
      <c r="D1123" s="3" t="s">
        <v>7593</v>
      </c>
      <c r="E1123" s="3" t="s">
        <v>5793</v>
      </c>
    </row>
    <row r="1124" spans="1:5" x14ac:dyDescent="0.25">
      <c r="A1124" s="3" t="s">
        <v>1247</v>
      </c>
      <c r="B1124" s="6" t="s">
        <v>3506</v>
      </c>
      <c r="C1124" s="3" t="s">
        <v>8377</v>
      </c>
      <c r="D1124" s="3" t="s">
        <v>7594</v>
      </c>
      <c r="E1124" s="3" t="s">
        <v>5794</v>
      </c>
    </row>
    <row r="1125" spans="1:5" x14ac:dyDescent="0.25">
      <c r="A1125" s="3" t="s">
        <v>1246</v>
      </c>
      <c r="B1125" s="6" t="s">
        <v>3507</v>
      </c>
      <c r="C1125" s="3" t="s">
        <v>8378</v>
      </c>
      <c r="D1125" s="3" t="s">
        <v>7081</v>
      </c>
      <c r="E1125" s="3" t="s">
        <v>5795</v>
      </c>
    </row>
    <row r="1126" spans="1:5" x14ac:dyDescent="0.25">
      <c r="A1126" s="3" t="s">
        <v>1245</v>
      </c>
      <c r="B1126" s="6" t="s">
        <v>3508</v>
      </c>
      <c r="C1126" s="3" t="s">
        <v>8379</v>
      </c>
      <c r="D1126" s="3" t="s">
        <v>7595</v>
      </c>
      <c r="E1126" s="3" t="s">
        <v>5796</v>
      </c>
    </row>
    <row r="1127" spans="1:5" x14ac:dyDescent="0.25">
      <c r="A1127" s="3" t="s">
        <v>1244</v>
      </c>
      <c r="B1127" s="6" t="s">
        <v>3509</v>
      </c>
      <c r="C1127" s="3" t="s">
        <v>8377</v>
      </c>
      <c r="D1127" s="3" t="s">
        <v>7596</v>
      </c>
      <c r="E1127" s="3" t="s">
        <v>5797</v>
      </c>
    </row>
    <row r="1128" spans="1:5" x14ac:dyDescent="0.25">
      <c r="A1128" s="3" t="s">
        <v>1243</v>
      </c>
      <c r="B1128" s="6" t="s">
        <v>3510</v>
      </c>
      <c r="C1128" s="3" t="s">
        <v>8378</v>
      </c>
      <c r="D1128" s="3" t="s">
        <v>7087</v>
      </c>
      <c r="E1128" s="3" t="s">
        <v>5798</v>
      </c>
    </row>
    <row r="1129" spans="1:5" x14ac:dyDescent="0.25">
      <c r="A1129" s="3" t="s">
        <v>1242</v>
      </c>
      <c r="B1129" s="6" t="s">
        <v>3511</v>
      </c>
      <c r="C1129" s="3" t="s">
        <v>8378</v>
      </c>
      <c r="D1129" s="3" t="s">
        <v>5229</v>
      </c>
      <c r="E1129" s="3" t="s">
        <v>5799</v>
      </c>
    </row>
    <row r="1130" spans="1:5" x14ac:dyDescent="0.25">
      <c r="A1130" s="3" t="s">
        <v>1241</v>
      </c>
      <c r="B1130" s="6" t="s">
        <v>3512</v>
      </c>
      <c r="C1130" s="3" t="s">
        <v>8378</v>
      </c>
      <c r="D1130" s="3" t="s">
        <v>7597</v>
      </c>
      <c r="E1130" s="3" t="s">
        <v>5800</v>
      </c>
    </row>
    <row r="1131" spans="1:5" x14ac:dyDescent="0.25">
      <c r="A1131" s="3" t="s">
        <v>1240</v>
      </c>
      <c r="B1131" s="6" t="s">
        <v>3513</v>
      </c>
      <c r="C1131" s="3" t="s">
        <v>8377</v>
      </c>
      <c r="D1131" s="3" t="s">
        <v>7169</v>
      </c>
      <c r="E1131" s="3" t="s">
        <v>5801</v>
      </c>
    </row>
    <row r="1132" spans="1:5" x14ac:dyDescent="0.25">
      <c r="A1132" s="3" t="s">
        <v>1239</v>
      </c>
      <c r="B1132" s="6" t="s">
        <v>3514</v>
      </c>
      <c r="C1132" s="3" t="s">
        <v>8379</v>
      </c>
      <c r="D1132" s="3" t="s">
        <v>7598</v>
      </c>
      <c r="E1132" s="3" t="s">
        <v>5802</v>
      </c>
    </row>
    <row r="1133" spans="1:5" x14ac:dyDescent="0.25">
      <c r="A1133" s="3" t="s">
        <v>1238</v>
      </c>
      <c r="B1133" s="6" t="s">
        <v>3515</v>
      </c>
      <c r="C1133" s="3" t="s">
        <v>8377</v>
      </c>
      <c r="D1133" s="3" t="s">
        <v>7599</v>
      </c>
      <c r="E1133" s="3" t="s">
        <v>5803</v>
      </c>
    </row>
    <row r="1134" spans="1:5" x14ac:dyDescent="0.25">
      <c r="A1134" s="3" t="s">
        <v>1237</v>
      </c>
      <c r="B1134" s="6" t="s">
        <v>3516</v>
      </c>
      <c r="C1134" s="3" t="s">
        <v>8378</v>
      </c>
      <c r="D1134" s="3" t="s">
        <v>7600</v>
      </c>
      <c r="E1134" s="3" t="s">
        <v>5804</v>
      </c>
    </row>
    <row r="1135" spans="1:5" x14ac:dyDescent="0.25">
      <c r="A1135" s="3" t="s">
        <v>1236</v>
      </c>
      <c r="B1135" s="6" t="s">
        <v>3517</v>
      </c>
      <c r="C1135" s="3" t="s">
        <v>8377</v>
      </c>
      <c r="D1135" s="3" t="s">
        <v>6912</v>
      </c>
      <c r="E1135" s="3" t="s">
        <v>5805</v>
      </c>
    </row>
    <row r="1136" spans="1:5" x14ac:dyDescent="0.25">
      <c r="A1136" s="3" t="s">
        <v>1235</v>
      </c>
      <c r="B1136" s="6" t="s">
        <v>3518</v>
      </c>
      <c r="C1136" s="3" t="s">
        <v>8377</v>
      </c>
      <c r="D1136" s="3" t="s">
        <v>6806</v>
      </c>
      <c r="E1136" s="3" t="s">
        <v>5806</v>
      </c>
    </row>
    <row r="1137" spans="1:5" x14ac:dyDescent="0.25">
      <c r="A1137" s="3" t="s">
        <v>1234</v>
      </c>
      <c r="B1137" s="6" t="s">
        <v>3519</v>
      </c>
      <c r="C1137" s="3" t="s">
        <v>8377</v>
      </c>
      <c r="D1137" s="3" t="s">
        <v>7601</v>
      </c>
      <c r="E1137" s="3" t="s">
        <v>5807</v>
      </c>
    </row>
    <row r="1138" spans="1:5" x14ac:dyDescent="0.25">
      <c r="A1138" s="3" t="s">
        <v>1233</v>
      </c>
      <c r="B1138" s="6" t="s">
        <v>3520</v>
      </c>
      <c r="C1138" s="3" t="s">
        <v>8377</v>
      </c>
      <c r="D1138" s="3" t="s">
        <v>7602</v>
      </c>
      <c r="E1138" s="3" t="s">
        <v>5808</v>
      </c>
    </row>
    <row r="1139" spans="1:5" x14ac:dyDescent="0.25">
      <c r="A1139" s="3" t="s">
        <v>1232</v>
      </c>
      <c r="B1139" s="6" t="s">
        <v>3521</v>
      </c>
      <c r="C1139" s="3" t="s">
        <v>8377</v>
      </c>
      <c r="D1139" s="3" t="s">
        <v>7603</v>
      </c>
      <c r="E1139" s="3" t="s">
        <v>5809</v>
      </c>
    </row>
    <row r="1140" spans="1:5" x14ac:dyDescent="0.25">
      <c r="A1140" s="3" t="s">
        <v>1231</v>
      </c>
      <c r="B1140" s="6" t="s">
        <v>3522</v>
      </c>
      <c r="C1140" s="3" t="s">
        <v>8377</v>
      </c>
      <c r="D1140" s="3" t="s">
        <v>7604</v>
      </c>
      <c r="E1140" s="3" t="s">
        <v>5810</v>
      </c>
    </row>
    <row r="1141" spans="1:5" x14ac:dyDescent="0.25">
      <c r="A1141" s="3" t="s">
        <v>1230</v>
      </c>
      <c r="B1141" s="6" t="s">
        <v>3523</v>
      </c>
      <c r="C1141" s="3" t="s">
        <v>8378</v>
      </c>
      <c r="D1141" s="3" t="s">
        <v>5229</v>
      </c>
      <c r="E1141" s="3" t="s">
        <v>5811</v>
      </c>
    </row>
    <row r="1142" spans="1:5" x14ac:dyDescent="0.25">
      <c r="A1142" s="3" t="s">
        <v>1229</v>
      </c>
      <c r="B1142" s="6" t="s">
        <v>3524</v>
      </c>
      <c r="C1142" s="3" t="s">
        <v>8378</v>
      </c>
      <c r="D1142" s="3" t="s">
        <v>6807</v>
      </c>
      <c r="E1142" s="3" t="s">
        <v>4981</v>
      </c>
    </row>
    <row r="1143" spans="1:5" x14ac:dyDescent="0.25">
      <c r="A1143" s="3" t="s">
        <v>1228</v>
      </c>
      <c r="B1143" s="6" t="s">
        <v>3525</v>
      </c>
      <c r="C1143" s="3" t="s">
        <v>8377</v>
      </c>
      <c r="D1143" s="3" t="s">
        <v>6911</v>
      </c>
      <c r="E1143" s="3" t="s">
        <v>5812</v>
      </c>
    </row>
    <row r="1144" spans="1:5" x14ac:dyDescent="0.25">
      <c r="A1144" s="3" t="s">
        <v>1227</v>
      </c>
      <c r="B1144" s="6" t="s">
        <v>3526</v>
      </c>
      <c r="C1144" s="3" t="s">
        <v>8378</v>
      </c>
      <c r="D1144" s="3" t="s">
        <v>7392</v>
      </c>
      <c r="E1144" s="3" t="s">
        <v>5813</v>
      </c>
    </row>
    <row r="1145" spans="1:5" x14ac:dyDescent="0.25">
      <c r="A1145" s="3" t="s">
        <v>1226</v>
      </c>
      <c r="B1145" s="6" t="s">
        <v>3527</v>
      </c>
      <c r="C1145" s="3" t="s">
        <v>8377</v>
      </c>
      <c r="D1145" s="3" t="s">
        <v>7605</v>
      </c>
      <c r="E1145" s="3" t="s">
        <v>5814</v>
      </c>
    </row>
    <row r="1146" spans="1:5" x14ac:dyDescent="0.25">
      <c r="A1146" s="3" t="s">
        <v>1225</v>
      </c>
      <c r="B1146" s="6" t="s">
        <v>3528</v>
      </c>
      <c r="C1146" s="3" t="s">
        <v>8377</v>
      </c>
      <c r="D1146" s="3" t="s">
        <v>6771</v>
      </c>
      <c r="E1146" s="3" t="s">
        <v>5815</v>
      </c>
    </row>
    <row r="1147" spans="1:5" x14ac:dyDescent="0.25">
      <c r="A1147" s="3" t="s">
        <v>1224</v>
      </c>
      <c r="B1147" s="6" t="s">
        <v>3529</v>
      </c>
      <c r="C1147" s="3" t="s">
        <v>8378</v>
      </c>
      <c r="D1147" s="3" t="s">
        <v>7606</v>
      </c>
      <c r="E1147" s="3" t="s">
        <v>5816</v>
      </c>
    </row>
    <row r="1148" spans="1:5" x14ac:dyDescent="0.25">
      <c r="A1148" s="3" t="s">
        <v>1223</v>
      </c>
      <c r="B1148" s="6" t="s">
        <v>3530</v>
      </c>
      <c r="C1148" s="3" t="s">
        <v>8378</v>
      </c>
      <c r="D1148" s="3" t="s">
        <v>7607</v>
      </c>
      <c r="E1148" s="3" t="s">
        <v>5817</v>
      </c>
    </row>
    <row r="1149" spans="1:5" x14ac:dyDescent="0.25">
      <c r="A1149" s="3" t="s">
        <v>1222</v>
      </c>
      <c r="B1149" s="6" t="s">
        <v>3531</v>
      </c>
      <c r="C1149" s="3" t="s">
        <v>8378</v>
      </c>
      <c r="D1149" s="3" t="s">
        <v>6315</v>
      </c>
      <c r="E1149" s="3" t="s">
        <v>5818</v>
      </c>
    </row>
    <row r="1150" spans="1:5" x14ac:dyDescent="0.25">
      <c r="A1150" s="3" t="s">
        <v>1221</v>
      </c>
      <c r="B1150" s="6" t="s">
        <v>3532</v>
      </c>
      <c r="C1150" s="3" t="s">
        <v>8378</v>
      </c>
      <c r="D1150" s="3" t="s">
        <v>6882</v>
      </c>
      <c r="E1150" s="3" t="s">
        <v>5819</v>
      </c>
    </row>
    <row r="1151" spans="1:5" x14ac:dyDescent="0.25">
      <c r="A1151" s="3" t="s">
        <v>1220</v>
      </c>
      <c r="B1151" s="6" t="s">
        <v>3533</v>
      </c>
      <c r="C1151" s="3" t="s">
        <v>8377</v>
      </c>
      <c r="D1151" s="3" t="s">
        <v>7608</v>
      </c>
      <c r="E1151" s="3" t="s">
        <v>5820</v>
      </c>
    </row>
    <row r="1152" spans="1:5" x14ac:dyDescent="0.25">
      <c r="A1152" s="3" t="s">
        <v>1219</v>
      </c>
      <c r="B1152" s="6" t="s">
        <v>3534</v>
      </c>
      <c r="C1152" s="3" t="s">
        <v>8378</v>
      </c>
      <c r="D1152" s="3" t="s">
        <v>7609</v>
      </c>
      <c r="E1152" s="3" t="s">
        <v>5259</v>
      </c>
    </row>
    <row r="1153" spans="1:5" x14ac:dyDescent="0.25">
      <c r="A1153" s="3" t="s">
        <v>1218</v>
      </c>
      <c r="B1153" s="6" t="s">
        <v>3535</v>
      </c>
      <c r="C1153" s="3" t="s">
        <v>8378</v>
      </c>
      <c r="D1153" s="3" t="s">
        <v>7610</v>
      </c>
      <c r="E1153" s="3" t="s">
        <v>5821</v>
      </c>
    </row>
    <row r="1154" spans="1:5" x14ac:dyDescent="0.25">
      <c r="A1154" s="3" t="s">
        <v>1217</v>
      </c>
      <c r="B1154" s="6" t="s">
        <v>3536</v>
      </c>
      <c r="C1154" s="3" t="s">
        <v>8377</v>
      </c>
      <c r="D1154" s="3" t="s">
        <v>7155</v>
      </c>
      <c r="E1154" s="3" t="s">
        <v>5822</v>
      </c>
    </row>
    <row r="1155" spans="1:5" x14ac:dyDescent="0.25">
      <c r="A1155" s="3" t="s">
        <v>1216</v>
      </c>
      <c r="B1155" s="6" t="s">
        <v>3537</v>
      </c>
      <c r="C1155" s="3" t="s">
        <v>8377</v>
      </c>
      <c r="D1155" s="3" t="s">
        <v>7611</v>
      </c>
      <c r="E1155" s="3" t="s">
        <v>5823</v>
      </c>
    </row>
    <row r="1156" spans="1:5" x14ac:dyDescent="0.25">
      <c r="A1156" s="3" t="s">
        <v>1215</v>
      </c>
      <c r="B1156" s="6" t="s">
        <v>3538</v>
      </c>
      <c r="C1156" s="3" t="s">
        <v>8377</v>
      </c>
      <c r="D1156" s="3" t="s">
        <v>7612</v>
      </c>
      <c r="E1156" s="3" t="s">
        <v>5824</v>
      </c>
    </row>
    <row r="1157" spans="1:5" x14ac:dyDescent="0.25">
      <c r="A1157" s="3" t="s">
        <v>1214</v>
      </c>
      <c r="B1157" s="6" t="s">
        <v>3539</v>
      </c>
      <c r="C1157" s="3" t="s">
        <v>8378</v>
      </c>
      <c r="D1157" s="3" t="s">
        <v>7613</v>
      </c>
      <c r="E1157" s="3" t="s">
        <v>5825</v>
      </c>
    </row>
    <row r="1158" spans="1:5" x14ac:dyDescent="0.25">
      <c r="A1158" s="3" t="s">
        <v>1213</v>
      </c>
      <c r="B1158" s="6" t="s">
        <v>3540</v>
      </c>
      <c r="C1158" s="3" t="s">
        <v>8378</v>
      </c>
      <c r="D1158" s="3" t="s">
        <v>7614</v>
      </c>
      <c r="E1158" s="3" t="s">
        <v>5826</v>
      </c>
    </row>
    <row r="1159" spans="1:5" x14ac:dyDescent="0.25">
      <c r="A1159" s="3" t="s">
        <v>1212</v>
      </c>
      <c r="B1159" s="6" t="s">
        <v>3541</v>
      </c>
      <c r="C1159" s="3" t="s">
        <v>8378</v>
      </c>
      <c r="D1159" s="3" t="s">
        <v>7615</v>
      </c>
      <c r="E1159" s="3" t="s">
        <v>5827</v>
      </c>
    </row>
    <row r="1160" spans="1:5" x14ac:dyDescent="0.25">
      <c r="A1160" s="3" t="s">
        <v>1211</v>
      </c>
      <c r="B1160" s="6" t="s">
        <v>3542</v>
      </c>
      <c r="C1160" s="3" t="s">
        <v>8377</v>
      </c>
      <c r="D1160" s="3" t="s">
        <v>7616</v>
      </c>
      <c r="E1160" s="3" t="s">
        <v>5828</v>
      </c>
    </row>
    <row r="1161" spans="1:5" x14ac:dyDescent="0.25">
      <c r="A1161" s="3" t="s">
        <v>1210</v>
      </c>
      <c r="B1161" s="6" t="s">
        <v>3543</v>
      </c>
      <c r="C1161" s="3" t="s">
        <v>8378</v>
      </c>
      <c r="D1161" s="3" t="s">
        <v>7617</v>
      </c>
      <c r="E1161" s="3" t="s">
        <v>5829</v>
      </c>
    </row>
    <row r="1162" spans="1:5" x14ac:dyDescent="0.25">
      <c r="A1162" s="3" t="s">
        <v>1209</v>
      </c>
      <c r="B1162" s="6" t="s">
        <v>3544</v>
      </c>
      <c r="C1162" s="3" t="s">
        <v>8377</v>
      </c>
      <c r="D1162" s="3" t="s">
        <v>7618</v>
      </c>
      <c r="E1162" s="3" t="s">
        <v>5830</v>
      </c>
    </row>
    <row r="1163" spans="1:5" x14ac:dyDescent="0.25">
      <c r="A1163" s="3" t="s">
        <v>1208</v>
      </c>
      <c r="B1163" s="6" t="s">
        <v>3545</v>
      </c>
      <c r="C1163" s="3" t="s">
        <v>8377</v>
      </c>
      <c r="D1163" s="3" t="s">
        <v>7619</v>
      </c>
      <c r="E1163" s="3" t="s">
        <v>5831</v>
      </c>
    </row>
    <row r="1164" spans="1:5" x14ac:dyDescent="0.25">
      <c r="A1164" s="3" t="s">
        <v>1207</v>
      </c>
      <c r="B1164" s="6" t="s">
        <v>3546</v>
      </c>
      <c r="C1164" s="3" t="s">
        <v>8378</v>
      </c>
      <c r="D1164" s="3" t="s">
        <v>7620</v>
      </c>
      <c r="E1164" s="3" t="s">
        <v>5832</v>
      </c>
    </row>
    <row r="1165" spans="1:5" x14ac:dyDescent="0.25">
      <c r="A1165" s="3" t="s">
        <v>1206</v>
      </c>
      <c r="B1165" s="6" t="s">
        <v>3547</v>
      </c>
      <c r="C1165" s="3" t="s">
        <v>8377</v>
      </c>
      <c r="D1165" s="3" t="s">
        <v>7621</v>
      </c>
      <c r="E1165" s="3" t="s">
        <v>5833</v>
      </c>
    </row>
    <row r="1166" spans="1:5" x14ac:dyDescent="0.25">
      <c r="A1166" s="3" t="s">
        <v>1205</v>
      </c>
      <c r="B1166" s="6" t="s">
        <v>3548</v>
      </c>
      <c r="C1166" s="3" t="s">
        <v>8377</v>
      </c>
      <c r="D1166" s="3" t="s">
        <v>7622</v>
      </c>
      <c r="E1166" s="3" t="s">
        <v>5834</v>
      </c>
    </row>
    <row r="1167" spans="1:5" x14ac:dyDescent="0.25">
      <c r="A1167" s="3" t="s">
        <v>1204</v>
      </c>
      <c r="B1167" s="6" t="s">
        <v>3549</v>
      </c>
      <c r="C1167" s="3" t="s">
        <v>8377</v>
      </c>
      <c r="D1167" s="3" t="s">
        <v>6926</v>
      </c>
      <c r="E1167" s="3" t="s">
        <v>5835</v>
      </c>
    </row>
    <row r="1168" spans="1:5" x14ac:dyDescent="0.25">
      <c r="A1168" s="3" t="s">
        <v>1203</v>
      </c>
      <c r="B1168" s="6" t="s">
        <v>3550</v>
      </c>
      <c r="C1168" s="3" t="s">
        <v>8377</v>
      </c>
      <c r="D1168" s="3" t="s">
        <v>6786</v>
      </c>
      <c r="E1168" s="3" t="s">
        <v>5836</v>
      </c>
    </row>
    <row r="1169" spans="1:5" x14ac:dyDescent="0.25">
      <c r="A1169" s="3" t="s">
        <v>1202</v>
      </c>
      <c r="B1169" s="6" t="s">
        <v>3551</v>
      </c>
      <c r="C1169" s="3" t="s">
        <v>8379</v>
      </c>
      <c r="D1169" s="3" t="s">
        <v>7623</v>
      </c>
      <c r="E1169" s="3" t="s">
        <v>5837</v>
      </c>
    </row>
    <row r="1170" spans="1:5" x14ac:dyDescent="0.25">
      <c r="A1170" s="3" t="s">
        <v>1201</v>
      </c>
      <c r="B1170" s="6" t="s">
        <v>3552</v>
      </c>
      <c r="C1170" s="3" t="s">
        <v>8378</v>
      </c>
      <c r="D1170" s="3" t="s">
        <v>7624</v>
      </c>
      <c r="E1170" s="3" t="s">
        <v>4806</v>
      </c>
    </row>
    <row r="1171" spans="1:5" x14ac:dyDescent="0.25">
      <c r="A1171" s="3" t="s">
        <v>1200</v>
      </c>
      <c r="B1171" s="6" t="s">
        <v>3553</v>
      </c>
      <c r="C1171" s="3" t="s">
        <v>8378</v>
      </c>
      <c r="D1171" s="3" t="s">
        <v>7625</v>
      </c>
      <c r="E1171" s="3" t="s">
        <v>5838</v>
      </c>
    </row>
    <row r="1172" spans="1:5" x14ac:dyDescent="0.25">
      <c r="A1172" s="3" t="s">
        <v>1199</v>
      </c>
      <c r="B1172" s="6" t="s">
        <v>3554</v>
      </c>
      <c r="C1172" s="3" t="s">
        <v>8379</v>
      </c>
      <c r="D1172" s="3" t="s">
        <v>7626</v>
      </c>
      <c r="E1172" s="3" t="s">
        <v>5679</v>
      </c>
    </row>
    <row r="1173" spans="1:5" x14ac:dyDescent="0.25">
      <c r="A1173" s="3" t="s">
        <v>1198</v>
      </c>
      <c r="B1173" s="6" t="s">
        <v>3555</v>
      </c>
      <c r="C1173" s="3" t="s">
        <v>8377</v>
      </c>
      <c r="D1173" s="3" t="s">
        <v>7627</v>
      </c>
      <c r="E1173" s="3" t="s">
        <v>5839</v>
      </c>
    </row>
    <row r="1174" spans="1:5" x14ac:dyDescent="0.25">
      <c r="A1174" s="3" t="s">
        <v>1197</v>
      </c>
      <c r="B1174" s="6" t="s">
        <v>3556</v>
      </c>
      <c r="C1174" s="3" t="s">
        <v>8378</v>
      </c>
      <c r="D1174" s="3" t="s">
        <v>7628</v>
      </c>
      <c r="E1174" s="3" t="s">
        <v>5840</v>
      </c>
    </row>
    <row r="1175" spans="1:5" x14ac:dyDescent="0.25">
      <c r="A1175" s="3" t="s">
        <v>1196</v>
      </c>
      <c r="B1175" s="6" t="s">
        <v>3557</v>
      </c>
      <c r="C1175" s="3" t="s">
        <v>8379</v>
      </c>
      <c r="D1175" s="3" t="s">
        <v>7629</v>
      </c>
      <c r="E1175" s="3" t="s">
        <v>5841</v>
      </c>
    </row>
    <row r="1176" spans="1:5" x14ac:dyDescent="0.25">
      <c r="A1176" s="3" t="s">
        <v>1195</v>
      </c>
      <c r="B1176" s="6" t="s">
        <v>3558</v>
      </c>
      <c r="C1176" s="3" t="s">
        <v>8378</v>
      </c>
      <c r="D1176" s="3" t="s">
        <v>7630</v>
      </c>
      <c r="E1176" s="3" t="s">
        <v>5842</v>
      </c>
    </row>
    <row r="1177" spans="1:5" x14ac:dyDescent="0.25">
      <c r="A1177" s="3" t="s">
        <v>1194</v>
      </c>
      <c r="B1177" s="6" t="s">
        <v>3559</v>
      </c>
      <c r="C1177" s="3" t="s">
        <v>8378</v>
      </c>
      <c r="D1177" s="3" t="s">
        <v>7631</v>
      </c>
      <c r="E1177" s="3" t="s">
        <v>5843</v>
      </c>
    </row>
    <row r="1178" spans="1:5" x14ac:dyDescent="0.25">
      <c r="A1178" s="3" t="s">
        <v>1193</v>
      </c>
      <c r="B1178" s="6" t="s">
        <v>3560</v>
      </c>
      <c r="C1178" s="3" t="s">
        <v>8378</v>
      </c>
      <c r="D1178" s="3" t="s">
        <v>7632</v>
      </c>
      <c r="E1178" s="3" t="s">
        <v>5844</v>
      </c>
    </row>
    <row r="1179" spans="1:5" x14ac:dyDescent="0.25">
      <c r="A1179" s="3" t="s">
        <v>1192</v>
      </c>
      <c r="B1179" s="6" t="s">
        <v>3561</v>
      </c>
      <c r="C1179" s="3" t="s">
        <v>8377</v>
      </c>
      <c r="D1179" s="3" t="s">
        <v>7633</v>
      </c>
      <c r="E1179" s="3" t="s">
        <v>5845</v>
      </c>
    </row>
    <row r="1180" spans="1:5" x14ac:dyDescent="0.25">
      <c r="A1180" s="3" t="s">
        <v>1191</v>
      </c>
      <c r="B1180" s="6" t="s">
        <v>3562</v>
      </c>
      <c r="C1180" s="3" t="s">
        <v>8378</v>
      </c>
      <c r="D1180" s="3" t="s">
        <v>6810</v>
      </c>
      <c r="E1180" s="3" t="s">
        <v>5846</v>
      </c>
    </row>
    <row r="1181" spans="1:5" x14ac:dyDescent="0.25">
      <c r="A1181" s="3" t="s">
        <v>1190</v>
      </c>
      <c r="B1181" s="6" t="s">
        <v>3563</v>
      </c>
      <c r="C1181" s="3" t="s">
        <v>8377</v>
      </c>
      <c r="D1181" s="3" t="s">
        <v>6908</v>
      </c>
      <c r="E1181" s="3" t="s">
        <v>5847</v>
      </c>
    </row>
    <row r="1182" spans="1:5" x14ac:dyDescent="0.25">
      <c r="A1182" s="3" t="s">
        <v>1189</v>
      </c>
      <c r="B1182" s="6" t="s">
        <v>3564</v>
      </c>
      <c r="C1182" s="3" t="s">
        <v>8378</v>
      </c>
      <c r="D1182" s="3" t="s">
        <v>6774</v>
      </c>
      <c r="E1182" s="3" t="s">
        <v>5848</v>
      </c>
    </row>
    <row r="1183" spans="1:5" x14ac:dyDescent="0.25">
      <c r="A1183" s="3" t="s">
        <v>1188</v>
      </c>
      <c r="B1183" s="6" t="s">
        <v>3565</v>
      </c>
      <c r="C1183" s="3" t="s">
        <v>8377</v>
      </c>
      <c r="D1183" s="3" t="s">
        <v>7634</v>
      </c>
      <c r="E1183" s="3" t="s">
        <v>4805</v>
      </c>
    </row>
    <row r="1184" spans="1:5" x14ac:dyDescent="0.25">
      <c r="A1184" s="3" t="s">
        <v>1187</v>
      </c>
      <c r="B1184" s="6" t="s">
        <v>3566</v>
      </c>
      <c r="C1184" s="3" t="s">
        <v>8377</v>
      </c>
      <c r="D1184" s="3" t="s">
        <v>7635</v>
      </c>
      <c r="E1184" s="3" t="s">
        <v>5849</v>
      </c>
    </row>
    <row r="1185" spans="1:5" x14ac:dyDescent="0.25">
      <c r="A1185" s="3" t="s">
        <v>1186</v>
      </c>
      <c r="B1185" s="6" t="s">
        <v>3567</v>
      </c>
      <c r="C1185" s="3" t="s">
        <v>8379</v>
      </c>
      <c r="D1185" s="3" t="s">
        <v>7636</v>
      </c>
      <c r="E1185" s="3" t="s">
        <v>5850</v>
      </c>
    </row>
    <row r="1186" spans="1:5" x14ac:dyDescent="0.25">
      <c r="A1186" s="3" t="s">
        <v>1185</v>
      </c>
      <c r="B1186" s="6" t="s">
        <v>3568</v>
      </c>
      <c r="C1186" s="3" t="s">
        <v>8378</v>
      </c>
      <c r="D1186" s="3" t="s">
        <v>7637</v>
      </c>
      <c r="E1186" s="3" t="s">
        <v>5851</v>
      </c>
    </row>
    <row r="1187" spans="1:5" x14ac:dyDescent="0.25">
      <c r="A1187" s="3" t="s">
        <v>1184</v>
      </c>
      <c r="B1187" s="6" t="s">
        <v>3569</v>
      </c>
      <c r="C1187" s="3" t="s">
        <v>8377</v>
      </c>
      <c r="D1187" s="3" t="s">
        <v>7638</v>
      </c>
      <c r="E1187" s="3" t="s">
        <v>5852</v>
      </c>
    </row>
    <row r="1188" spans="1:5" x14ac:dyDescent="0.25">
      <c r="A1188" s="3" t="s">
        <v>1183</v>
      </c>
      <c r="B1188" s="6" t="s">
        <v>3570</v>
      </c>
      <c r="C1188" s="3" t="s">
        <v>8377</v>
      </c>
      <c r="D1188" s="3" t="s">
        <v>7639</v>
      </c>
      <c r="E1188" s="3" t="s">
        <v>5853</v>
      </c>
    </row>
    <row r="1189" spans="1:5" x14ac:dyDescent="0.25">
      <c r="A1189" s="3" t="s">
        <v>1182</v>
      </c>
      <c r="B1189" s="6" t="s">
        <v>3571</v>
      </c>
      <c r="C1189" s="3" t="s">
        <v>8378</v>
      </c>
      <c r="D1189" s="3" t="s">
        <v>6455</v>
      </c>
      <c r="E1189" s="3" t="s">
        <v>5033</v>
      </c>
    </row>
    <row r="1190" spans="1:5" x14ac:dyDescent="0.25">
      <c r="A1190" s="3" t="s">
        <v>1181</v>
      </c>
      <c r="B1190" s="6" t="s">
        <v>3572</v>
      </c>
      <c r="C1190" s="3" t="s">
        <v>8378</v>
      </c>
      <c r="D1190" s="3" t="s">
        <v>7640</v>
      </c>
      <c r="E1190" s="3" t="s">
        <v>5854</v>
      </c>
    </row>
    <row r="1191" spans="1:5" x14ac:dyDescent="0.25">
      <c r="A1191" s="3" t="s">
        <v>1180</v>
      </c>
      <c r="B1191" s="6" t="s">
        <v>3573</v>
      </c>
      <c r="C1191" s="3" t="s">
        <v>8378</v>
      </c>
      <c r="D1191" s="3" t="s">
        <v>7641</v>
      </c>
      <c r="E1191" s="3" t="s">
        <v>5855</v>
      </c>
    </row>
    <row r="1192" spans="1:5" x14ac:dyDescent="0.25">
      <c r="A1192" s="3" t="s">
        <v>1179</v>
      </c>
      <c r="B1192" s="6" t="s">
        <v>3574</v>
      </c>
      <c r="C1192" s="3" t="s">
        <v>8378</v>
      </c>
      <c r="D1192" s="3" t="s">
        <v>7642</v>
      </c>
      <c r="E1192" s="3" t="s">
        <v>5856</v>
      </c>
    </row>
    <row r="1193" spans="1:5" x14ac:dyDescent="0.25">
      <c r="A1193" s="3" t="s">
        <v>1178</v>
      </c>
      <c r="B1193" s="6" t="s">
        <v>3575</v>
      </c>
      <c r="C1193" s="3" t="s">
        <v>8378</v>
      </c>
      <c r="D1193" s="3" t="s">
        <v>6954</v>
      </c>
      <c r="E1193" s="3" t="s">
        <v>5857</v>
      </c>
    </row>
    <row r="1194" spans="1:5" x14ac:dyDescent="0.25">
      <c r="A1194" s="3" t="s">
        <v>1177</v>
      </c>
      <c r="B1194" s="6" t="s">
        <v>3576</v>
      </c>
      <c r="C1194" s="3" t="s">
        <v>8377</v>
      </c>
      <c r="D1194" s="3" t="s">
        <v>7643</v>
      </c>
      <c r="E1194" s="3" t="s">
        <v>5858</v>
      </c>
    </row>
    <row r="1195" spans="1:5" x14ac:dyDescent="0.25">
      <c r="A1195" s="3" t="s">
        <v>1176</v>
      </c>
      <c r="B1195" s="6" t="s">
        <v>3577</v>
      </c>
      <c r="C1195" s="3" t="s">
        <v>8377</v>
      </c>
      <c r="D1195" s="3" t="s">
        <v>6840</v>
      </c>
      <c r="E1195" s="3" t="s">
        <v>5859</v>
      </c>
    </row>
    <row r="1196" spans="1:5" x14ac:dyDescent="0.25">
      <c r="A1196" s="3" t="s">
        <v>1175</v>
      </c>
      <c r="B1196" s="6" t="s">
        <v>3578</v>
      </c>
      <c r="C1196" s="3" t="s">
        <v>8377</v>
      </c>
      <c r="D1196" s="3" t="s">
        <v>7644</v>
      </c>
      <c r="E1196" s="3" t="s">
        <v>5860</v>
      </c>
    </row>
    <row r="1197" spans="1:5" x14ac:dyDescent="0.25">
      <c r="A1197" s="3" t="s">
        <v>1174</v>
      </c>
      <c r="B1197" s="6" t="s">
        <v>3579</v>
      </c>
      <c r="C1197" s="3" t="s">
        <v>8377</v>
      </c>
      <c r="D1197" s="3" t="s">
        <v>7645</v>
      </c>
      <c r="E1197" s="3" t="s">
        <v>5861</v>
      </c>
    </row>
    <row r="1198" spans="1:5" x14ac:dyDescent="0.25">
      <c r="A1198" s="3" t="s">
        <v>1173</v>
      </c>
      <c r="B1198" s="6" t="s">
        <v>3580</v>
      </c>
      <c r="C1198" s="3" t="s">
        <v>8377</v>
      </c>
      <c r="D1198" s="3" t="s">
        <v>7646</v>
      </c>
      <c r="E1198" s="3" t="s">
        <v>5862</v>
      </c>
    </row>
    <row r="1199" spans="1:5" x14ac:dyDescent="0.25">
      <c r="A1199" s="3" t="s">
        <v>1172</v>
      </c>
      <c r="B1199" s="6" t="s">
        <v>3581</v>
      </c>
      <c r="C1199" s="3" t="s">
        <v>8378</v>
      </c>
      <c r="D1199" s="3" t="s">
        <v>7525</v>
      </c>
      <c r="E1199" s="3" t="s">
        <v>5863</v>
      </c>
    </row>
    <row r="1200" spans="1:5" x14ac:dyDescent="0.25">
      <c r="A1200" s="3" t="s">
        <v>1171</v>
      </c>
      <c r="B1200" s="6" t="s">
        <v>3582</v>
      </c>
      <c r="C1200" s="3" t="s">
        <v>8378</v>
      </c>
      <c r="D1200" s="3" t="s">
        <v>7647</v>
      </c>
      <c r="E1200" s="3" t="s">
        <v>5864</v>
      </c>
    </row>
    <row r="1201" spans="1:5" x14ac:dyDescent="0.25">
      <c r="A1201" s="3" t="s">
        <v>1170</v>
      </c>
      <c r="B1201" s="6" t="s">
        <v>3583</v>
      </c>
      <c r="C1201" s="3" t="s">
        <v>8379</v>
      </c>
      <c r="D1201" s="3" t="s">
        <v>7460</v>
      </c>
      <c r="E1201" s="3" t="s">
        <v>5865</v>
      </c>
    </row>
    <row r="1202" spans="1:5" x14ac:dyDescent="0.25">
      <c r="A1202" s="3" t="s">
        <v>1169</v>
      </c>
      <c r="B1202" s="6" t="s">
        <v>3584</v>
      </c>
      <c r="C1202" s="3" t="s">
        <v>8378</v>
      </c>
      <c r="D1202" s="3" t="s">
        <v>5229</v>
      </c>
      <c r="E1202" s="3" t="s">
        <v>5542</v>
      </c>
    </row>
    <row r="1203" spans="1:5" x14ac:dyDescent="0.25">
      <c r="A1203" s="3" t="s">
        <v>1168</v>
      </c>
      <c r="B1203" s="6" t="s">
        <v>3585</v>
      </c>
      <c r="C1203" s="3" t="s">
        <v>8379</v>
      </c>
      <c r="D1203" s="3" t="s">
        <v>7648</v>
      </c>
      <c r="E1203" s="3" t="s">
        <v>5866</v>
      </c>
    </row>
    <row r="1204" spans="1:5" x14ac:dyDescent="0.25">
      <c r="A1204" s="3" t="s">
        <v>1167</v>
      </c>
      <c r="B1204" s="6" t="s">
        <v>3586</v>
      </c>
      <c r="C1204" s="3" t="s">
        <v>8378</v>
      </c>
      <c r="D1204" s="3" t="s">
        <v>7649</v>
      </c>
      <c r="E1204" s="3" t="s">
        <v>5867</v>
      </c>
    </row>
    <row r="1205" spans="1:5" x14ac:dyDescent="0.25">
      <c r="A1205" s="3" t="s">
        <v>1166</v>
      </c>
      <c r="B1205" s="6" t="s">
        <v>3587</v>
      </c>
      <c r="C1205" s="3" t="s">
        <v>8378</v>
      </c>
      <c r="D1205" s="3" t="s">
        <v>6116</v>
      </c>
      <c r="E1205" s="3" t="s">
        <v>5868</v>
      </c>
    </row>
    <row r="1206" spans="1:5" x14ac:dyDescent="0.25">
      <c r="A1206" s="3" t="s">
        <v>1165</v>
      </c>
      <c r="B1206" s="6" t="s">
        <v>3588</v>
      </c>
      <c r="C1206" s="3" t="s">
        <v>8379</v>
      </c>
      <c r="D1206" s="3" t="s">
        <v>7650</v>
      </c>
      <c r="E1206" s="3" t="s">
        <v>5869</v>
      </c>
    </row>
    <row r="1207" spans="1:5" x14ac:dyDescent="0.25">
      <c r="A1207" s="3" t="s">
        <v>1164</v>
      </c>
      <c r="B1207" s="6" t="s">
        <v>3589</v>
      </c>
      <c r="C1207" s="3" t="s">
        <v>8378</v>
      </c>
      <c r="D1207" s="3" t="s">
        <v>7651</v>
      </c>
      <c r="E1207" s="3" t="s">
        <v>5870</v>
      </c>
    </row>
    <row r="1208" spans="1:5" x14ac:dyDescent="0.25">
      <c r="A1208" s="3" t="s">
        <v>1163</v>
      </c>
      <c r="B1208" s="6" t="s">
        <v>3590</v>
      </c>
      <c r="C1208" s="3" t="s">
        <v>8379</v>
      </c>
      <c r="D1208" s="3" t="s">
        <v>7652</v>
      </c>
      <c r="E1208" s="3" t="s">
        <v>5871</v>
      </c>
    </row>
    <row r="1209" spans="1:5" x14ac:dyDescent="0.25">
      <c r="A1209" s="3" t="s">
        <v>1162</v>
      </c>
      <c r="B1209" s="6" t="s">
        <v>3591</v>
      </c>
      <c r="C1209" s="3" t="s">
        <v>8377</v>
      </c>
      <c r="D1209" s="3" t="s">
        <v>7653</v>
      </c>
      <c r="E1209" s="3" t="s">
        <v>5299</v>
      </c>
    </row>
    <row r="1210" spans="1:5" x14ac:dyDescent="0.25">
      <c r="A1210" s="3" t="s">
        <v>1161</v>
      </c>
      <c r="B1210" s="6" t="s">
        <v>3592</v>
      </c>
      <c r="C1210" s="3" t="s">
        <v>8378</v>
      </c>
      <c r="D1210" s="3" t="s">
        <v>7654</v>
      </c>
      <c r="E1210" s="3" t="s">
        <v>5872</v>
      </c>
    </row>
    <row r="1211" spans="1:5" x14ac:dyDescent="0.25">
      <c r="A1211" s="3" t="s">
        <v>1160</v>
      </c>
      <c r="B1211" s="6" t="s">
        <v>3593</v>
      </c>
      <c r="C1211" s="3" t="s">
        <v>8378</v>
      </c>
      <c r="D1211" s="3" t="s">
        <v>6882</v>
      </c>
      <c r="E1211" s="3" t="s">
        <v>5355</v>
      </c>
    </row>
    <row r="1212" spans="1:5" x14ac:dyDescent="0.25">
      <c r="A1212" s="3" t="s">
        <v>1159</v>
      </c>
      <c r="B1212" s="6" t="s">
        <v>3594</v>
      </c>
      <c r="C1212" s="3" t="s">
        <v>8378</v>
      </c>
      <c r="D1212" s="3" t="s">
        <v>5552</v>
      </c>
      <c r="E1212" s="3" t="s">
        <v>5873</v>
      </c>
    </row>
    <row r="1213" spans="1:5" x14ac:dyDescent="0.25">
      <c r="A1213" s="3" t="s">
        <v>1158</v>
      </c>
      <c r="B1213" s="6" t="s">
        <v>3595</v>
      </c>
      <c r="C1213" s="3" t="s">
        <v>8378</v>
      </c>
      <c r="D1213" s="3" t="s">
        <v>6881</v>
      </c>
      <c r="E1213" s="3" t="s">
        <v>5874</v>
      </c>
    </row>
    <row r="1214" spans="1:5" x14ac:dyDescent="0.25">
      <c r="A1214" s="3" t="s">
        <v>1157</v>
      </c>
      <c r="B1214" s="6" t="s">
        <v>3596</v>
      </c>
      <c r="C1214" s="3" t="s">
        <v>8379</v>
      </c>
      <c r="D1214" s="3" t="s">
        <v>7096</v>
      </c>
      <c r="E1214" s="3" t="s">
        <v>5875</v>
      </c>
    </row>
    <row r="1215" spans="1:5" x14ac:dyDescent="0.25">
      <c r="A1215" s="3" t="s">
        <v>1156</v>
      </c>
      <c r="B1215" s="6" t="s">
        <v>3597</v>
      </c>
      <c r="C1215" s="3" t="s">
        <v>8377</v>
      </c>
      <c r="D1215" s="3" t="s">
        <v>7294</v>
      </c>
      <c r="E1215" s="3" t="s">
        <v>5876</v>
      </c>
    </row>
    <row r="1216" spans="1:5" x14ac:dyDescent="0.25">
      <c r="A1216" s="3" t="s">
        <v>1155</v>
      </c>
      <c r="B1216" s="6" t="s">
        <v>3598</v>
      </c>
      <c r="C1216" s="3" t="s">
        <v>8378</v>
      </c>
      <c r="D1216" s="3" t="s">
        <v>7655</v>
      </c>
      <c r="E1216" s="3" t="s">
        <v>5877</v>
      </c>
    </row>
    <row r="1217" spans="1:5" x14ac:dyDescent="0.25">
      <c r="A1217" s="3" t="s">
        <v>1154</v>
      </c>
      <c r="B1217" s="6" t="s">
        <v>3599</v>
      </c>
      <c r="C1217" s="3" t="s">
        <v>8377</v>
      </c>
      <c r="D1217" s="3" t="s">
        <v>7656</v>
      </c>
      <c r="E1217" s="3" t="s">
        <v>5878</v>
      </c>
    </row>
    <row r="1218" spans="1:5" x14ac:dyDescent="0.25">
      <c r="A1218" s="3" t="s">
        <v>1153</v>
      </c>
      <c r="B1218" s="6" t="s">
        <v>3600</v>
      </c>
      <c r="C1218" s="3" t="s">
        <v>8377</v>
      </c>
      <c r="D1218" s="3" t="s">
        <v>7289</v>
      </c>
      <c r="E1218" s="3" t="s">
        <v>5466</v>
      </c>
    </row>
    <row r="1219" spans="1:5" x14ac:dyDescent="0.25">
      <c r="A1219" s="3" t="s">
        <v>1152</v>
      </c>
      <c r="B1219" s="6" t="s">
        <v>3601</v>
      </c>
      <c r="C1219" s="3" t="s">
        <v>8378</v>
      </c>
      <c r="D1219" s="3" t="s">
        <v>7657</v>
      </c>
      <c r="E1219" s="3" t="s">
        <v>5879</v>
      </c>
    </row>
    <row r="1220" spans="1:5" x14ac:dyDescent="0.25">
      <c r="A1220" s="3" t="s">
        <v>1151</v>
      </c>
      <c r="B1220" s="6" t="s">
        <v>3602</v>
      </c>
      <c r="C1220" s="3" t="s">
        <v>8378</v>
      </c>
      <c r="D1220" s="3" t="s">
        <v>4770</v>
      </c>
      <c r="E1220" s="3" t="s">
        <v>5880</v>
      </c>
    </row>
    <row r="1221" spans="1:5" x14ac:dyDescent="0.25">
      <c r="A1221" s="3" t="s">
        <v>1150</v>
      </c>
      <c r="B1221" s="6" t="s">
        <v>3603</v>
      </c>
      <c r="C1221" s="3" t="s">
        <v>8378</v>
      </c>
      <c r="D1221" s="3" t="s">
        <v>7658</v>
      </c>
      <c r="E1221" s="3" t="s">
        <v>5881</v>
      </c>
    </row>
    <row r="1222" spans="1:5" x14ac:dyDescent="0.25">
      <c r="A1222" s="3" t="s">
        <v>1149</v>
      </c>
      <c r="B1222" s="6" t="s">
        <v>3604</v>
      </c>
      <c r="C1222" s="3" t="s">
        <v>8378</v>
      </c>
      <c r="D1222" s="3" t="s">
        <v>7659</v>
      </c>
      <c r="E1222" s="3" t="s">
        <v>5882</v>
      </c>
    </row>
    <row r="1223" spans="1:5" x14ac:dyDescent="0.25">
      <c r="A1223" s="3" t="s">
        <v>1148</v>
      </c>
      <c r="B1223" s="6" t="s">
        <v>3605</v>
      </c>
      <c r="C1223" s="3" t="s">
        <v>8377</v>
      </c>
      <c r="D1223" s="3" t="s">
        <v>7660</v>
      </c>
      <c r="E1223" s="3" t="s">
        <v>5883</v>
      </c>
    </row>
    <row r="1224" spans="1:5" x14ac:dyDescent="0.25">
      <c r="A1224" s="3" t="s">
        <v>1147</v>
      </c>
      <c r="B1224" s="6" t="s">
        <v>3606</v>
      </c>
      <c r="C1224" s="3" t="s">
        <v>8377</v>
      </c>
      <c r="D1224" s="3" t="s">
        <v>7661</v>
      </c>
      <c r="E1224" s="3" t="s">
        <v>5884</v>
      </c>
    </row>
    <row r="1225" spans="1:5" x14ac:dyDescent="0.25">
      <c r="A1225" s="3" t="s">
        <v>1146</v>
      </c>
      <c r="B1225" s="6" t="s">
        <v>3607</v>
      </c>
      <c r="C1225" s="3" t="s">
        <v>8378</v>
      </c>
      <c r="D1225" s="3" t="s">
        <v>7662</v>
      </c>
      <c r="E1225" s="3" t="s">
        <v>5059</v>
      </c>
    </row>
    <row r="1226" spans="1:5" x14ac:dyDescent="0.25">
      <c r="A1226" s="3" t="s">
        <v>1145</v>
      </c>
      <c r="B1226" s="6" t="s">
        <v>3608</v>
      </c>
      <c r="C1226" s="3" t="s">
        <v>8377</v>
      </c>
      <c r="D1226" s="3" t="s">
        <v>7663</v>
      </c>
      <c r="E1226" s="3" t="s">
        <v>4815</v>
      </c>
    </row>
    <row r="1227" spans="1:5" x14ac:dyDescent="0.25">
      <c r="A1227" s="3" t="s">
        <v>1144</v>
      </c>
      <c r="B1227" s="6" t="s">
        <v>3609</v>
      </c>
      <c r="C1227" s="3" t="s">
        <v>8378</v>
      </c>
      <c r="D1227" s="3" t="s">
        <v>7664</v>
      </c>
      <c r="E1227" s="3" t="s">
        <v>5885</v>
      </c>
    </row>
    <row r="1228" spans="1:5" x14ac:dyDescent="0.25">
      <c r="A1228" s="3" t="s">
        <v>1143</v>
      </c>
      <c r="B1228" s="6" t="s">
        <v>3610</v>
      </c>
      <c r="C1228" s="3" t="s">
        <v>8377</v>
      </c>
      <c r="D1228" s="3" t="s">
        <v>7665</v>
      </c>
      <c r="E1228" s="3" t="s">
        <v>5886</v>
      </c>
    </row>
    <row r="1229" spans="1:5" x14ac:dyDescent="0.25">
      <c r="A1229" s="3" t="s">
        <v>1142</v>
      </c>
      <c r="B1229" s="6" t="s">
        <v>3611</v>
      </c>
      <c r="C1229" s="3" t="s">
        <v>8378</v>
      </c>
      <c r="D1229" s="3" t="s">
        <v>7666</v>
      </c>
      <c r="E1229" s="3" t="s">
        <v>5887</v>
      </c>
    </row>
    <row r="1230" spans="1:5" x14ac:dyDescent="0.25">
      <c r="A1230" s="3" t="s">
        <v>1141</v>
      </c>
      <c r="B1230" s="6" t="s">
        <v>3612</v>
      </c>
      <c r="C1230" s="3" t="s">
        <v>8378</v>
      </c>
      <c r="D1230" s="3" t="s">
        <v>6954</v>
      </c>
      <c r="E1230" s="3" t="s">
        <v>5888</v>
      </c>
    </row>
    <row r="1231" spans="1:5" x14ac:dyDescent="0.25">
      <c r="A1231" s="3" t="s">
        <v>1140</v>
      </c>
      <c r="B1231" s="6" t="s">
        <v>3613</v>
      </c>
      <c r="C1231" s="3" t="s">
        <v>8377</v>
      </c>
      <c r="D1231" s="3" t="s">
        <v>7667</v>
      </c>
      <c r="E1231" s="3" t="s">
        <v>5889</v>
      </c>
    </row>
    <row r="1232" spans="1:5" x14ac:dyDescent="0.25">
      <c r="A1232" s="3" t="s">
        <v>1139</v>
      </c>
      <c r="B1232" s="6" t="s">
        <v>3614</v>
      </c>
      <c r="C1232" s="3" t="s">
        <v>8377</v>
      </c>
      <c r="D1232" s="3" t="s">
        <v>7668</v>
      </c>
      <c r="E1232" s="3" t="s">
        <v>5890</v>
      </c>
    </row>
    <row r="1233" spans="1:5" x14ac:dyDescent="0.25">
      <c r="A1233" s="3" t="s">
        <v>1138</v>
      </c>
      <c r="B1233" s="6" t="s">
        <v>3615</v>
      </c>
      <c r="C1233" s="3" t="s">
        <v>8377</v>
      </c>
      <c r="D1233" s="3" t="s">
        <v>7669</v>
      </c>
      <c r="E1233" s="3" t="s">
        <v>5891</v>
      </c>
    </row>
    <row r="1234" spans="1:5" x14ac:dyDescent="0.25">
      <c r="A1234" s="3" t="s">
        <v>1137</v>
      </c>
      <c r="B1234" s="6" t="s">
        <v>3616</v>
      </c>
      <c r="C1234" s="3" t="s">
        <v>8378</v>
      </c>
      <c r="D1234" s="3" t="s">
        <v>7670</v>
      </c>
      <c r="E1234" s="3" t="s">
        <v>5892</v>
      </c>
    </row>
    <row r="1235" spans="1:5" x14ac:dyDescent="0.25">
      <c r="A1235" s="3" t="s">
        <v>1136</v>
      </c>
      <c r="B1235" s="6" t="s">
        <v>3617</v>
      </c>
      <c r="C1235" s="3" t="s">
        <v>8378</v>
      </c>
      <c r="D1235" s="3" t="s">
        <v>7671</v>
      </c>
      <c r="E1235" s="3" t="s">
        <v>5702</v>
      </c>
    </row>
    <row r="1236" spans="1:5" x14ac:dyDescent="0.25">
      <c r="A1236" s="3" t="s">
        <v>1135</v>
      </c>
      <c r="B1236" s="6" t="s">
        <v>3618</v>
      </c>
      <c r="C1236" s="3" t="s">
        <v>8379</v>
      </c>
      <c r="D1236" s="3" t="s">
        <v>7672</v>
      </c>
      <c r="E1236" s="3" t="s">
        <v>5893</v>
      </c>
    </row>
    <row r="1237" spans="1:5" x14ac:dyDescent="0.25">
      <c r="A1237" s="3" t="s">
        <v>1134</v>
      </c>
      <c r="B1237" s="6" t="s">
        <v>3619</v>
      </c>
      <c r="C1237" s="3" t="s">
        <v>8379</v>
      </c>
      <c r="D1237" s="3" t="s">
        <v>7673</v>
      </c>
      <c r="E1237" s="3" t="s">
        <v>5894</v>
      </c>
    </row>
    <row r="1238" spans="1:5" x14ac:dyDescent="0.25">
      <c r="A1238" s="3" t="s">
        <v>1133</v>
      </c>
      <c r="B1238" s="6" t="s">
        <v>3620</v>
      </c>
      <c r="C1238" s="3" t="s">
        <v>8377</v>
      </c>
      <c r="D1238" s="3" t="s">
        <v>7674</v>
      </c>
      <c r="E1238" s="3" t="s">
        <v>5895</v>
      </c>
    </row>
    <row r="1239" spans="1:5" x14ac:dyDescent="0.25">
      <c r="A1239" s="3" t="s">
        <v>1132</v>
      </c>
      <c r="B1239" s="6" t="s">
        <v>3621</v>
      </c>
      <c r="C1239" s="3" t="s">
        <v>8378</v>
      </c>
      <c r="D1239" s="3" t="s">
        <v>6881</v>
      </c>
      <c r="E1239" s="3" t="s">
        <v>5896</v>
      </c>
    </row>
    <row r="1240" spans="1:5" x14ac:dyDescent="0.25">
      <c r="A1240" s="3" t="s">
        <v>1131</v>
      </c>
      <c r="B1240" s="6" t="s">
        <v>3622</v>
      </c>
      <c r="C1240" s="3" t="s">
        <v>8378</v>
      </c>
      <c r="D1240" s="3" t="s">
        <v>7675</v>
      </c>
      <c r="E1240" s="3" t="s">
        <v>5897</v>
      </c>
    </row>
    <row r="1241" spans="1:5" x14ac:dyDescent="0.25">
      <c r="A1241" s="3" t="s">
        <v>1130</v>
      </c>
      <c r="B1241" s="6" t="s">
        <v>3623</v>
      </c>
      <c r="C1241" s="3" t="s">
        <v>8377</v>
      </c>
      <c r="D1241" s="3" t="s">
        <v>7676</v>
      </c>
      <c r="E1241" s="3" t="s">
        <v>5898</v>
      </c>
    </row>
    <row r="1242" spans="1:5" x14ac:dyDescent="0.25">
      <c r="A1242" s="3" t="s">
        <v>1129</v>
      </c>
      <c r="B1242" s="6" t="s">
        <v>3624</v>
      </c>
      <c r="C1242" s="3" t="s">
        <v>8378</v>
      </c>
      <c r="D1242" s="3" t="s">
        <v>7677</v>
      </c>
      <c r="E1242" s="3" t="s">
        <v>5899</v>
      </c>
    </row>
    <row r="1243" spans="1:5" x14ac:dyDescent="0.25">
      <c r="A1243" s="3" t="s">
        <v>1128</v>
      </c>
      <c r="B1243" s="6" t="s">
        <v>3625</v>
      </c>
      <c r="C1243" s="3" t="s">
        <v>8379</v>
      </c>
      <c r="D1243" s="3" t="s">
        <v>7678</v>
      </c>
      <c r="E1243" s="3" t="s">
        <v>5611</v>
      </c>
    </row>
    <row r="1244" spans="1:5" x14ac:dyDescent="0.25">
      <c r="A1244" s="3" t="s">
        <v>1127</v>
      </c>
      <c r="B1244" s="6" t="s">
        <v>3626</v>
      </c>
      <c r="C1244" s="3" t="s">
        <v>8378</v>
      </c>
      <c r="D1244" s="3" t="s">
        <v>7679</v>
      </c>
      <c r="E1244" s="3" t="s">
        <v>5900</v>
      </c>
    </row>
    <row r="1245" spans="1:5" x14ac:dyDescent="0.25">
      <c r="A1245" s="3" t="s">
        <v>1126</v>
      </c>
      <c r="B1245" s="6" t="s">
        <v>3627</v>
      </c>
      <c r="C1245" s="3" t="s">
        <v>8377</v>
      </c>
      <c r="D1245" s="3" t="s">
        <v>7556</v>
      </c>
      <c r="E1245" s="3" t="s">
        <v>5901</v>
      </c>
    </row>
    <row r="1246" spans="1:5" x14ac:dyDescent="0.25">
      <c r="A1246" s="3" t="s">
        <v>1125</v>
      </c>
      <c r="B1246" s="6" t="s">
        <v>3628</v>
      </c>
      <c r="C1246" s="3" t="s">
        <v>8377</v>
      </c>
      <c r="D1246" s="3" t="s">
        <v>7680</v>
      </c>
      <c r="E1246" s="3" t="s">
        <v>5867</v>
      </c>
    </row>
    <row r="1247" spans="1:5" x14ac:dyDescent="0.25">
      <c r="A1247" s="3" t="s">
        <v>1124</v>
      </c>
      <c r="B1247" s="6" t="s">
        <v>3629</v>
      </c>
      <c r="C1247" s="3" t="s">
        <v>8378</v>
      </c>
      <c r="D1247" s="3" t="s">
        <v>7681</v>
      </c>
      <c r="E1247" s="3" t="s">
        <v>5902</v>
      </c>
    </row>
    <row r="1248" spans="1:5" x14ac:dyDescent="0.25">
      <c r="A1248" s="3" t="s">
        <v>1123</v>
      </c>
      <c r="B1248" s="6" t="s">
        <v>3630</v>
      </c>
      <c r="C1248" s="3" t="s">
        <v>8378</v>
      </c>
      <c r="D1248" s="3" t="s">
        <v>7682</v>
      </c>
      <c r="E1248" s="3" t="s">
        <v>5903</v>
      </c>
    </row>
    <row r="1249" spans="1:5" x14ac:dyDescent="0.25">
      <c r="A1249" s="3" t="s">
        <v>1122</v>
      </c>
      <c r="B1249" s="6" t="s">
        <v>3631</v>
      </c>
      <c r="C1249" s="3" t="s">
        <v>8378</v>
      </c>
      <c r="D1249" s="3" t="s">
        <v>7076</v>
      </c>
      <c r="E1249" s="3" t="s">
        <v>5904</v>
      </c>
    </row>
    <row r="1250" spans="1:5" x14ac:dyDescent="0.25">
      <c r="A1250" s="3" t="s">
        <v>1121</v>
      </c>
      <c r="B1250" s="6" t="s">
        <v>3632</v>
      </c>
      <c r="C1250" s="3" t="s">
        <v>8378</v>
      </c>
      <c r="D1250" s="3" t="s">
        <v>6873</v>
      </c>
      <c r="E1250" s="3" t="s">
        <v>5905</v>
      </c>
    </row>
    <row r="1251" spans="1:5" x14ac:dyDescent="0.25">
      <c r="A1251" s="3" t="s">
        <v>1120</v>
      </c>
      <c r="B1251" s="6" t="s">
        <v>3633</v>
      </c>
      <c r="C1251" s="3" t="s">
        <v>8377</v>
      </c>
      <c r="D1251" s="3" t="s">
        <v>7683</v>
      </c>
      <c r="E1251" s="3" t="s">
        <v>5906</v>
      </c>
    </row>
    <row r="1252" spans="1:5" x14ac:dyDescent="0.25">
      <c r="A1252" s="3" t="s">
        <v>1119</v>
      </c>
      <c r="B1252" s="6" t="s">
        <v>3634</v>
      </c>
      <c r="C1252" s="3" t="s">
        <v>8378</v>
      </c>
      <c r="D1252" s="3" t="s">
        <v>7684</v>
      </c>
      <c r="E1252" s="3" t="s">
        <v>5907</v>
      </c>
    </row>
    <row r="1253" spans="1:5" x14ac:dyDescent="0.25">
      <c r="A1253" s="3" t="s">
        <v>1118</v>
      </c>
      <c r="B1253" s="6" t="s">
        <v>3635</v>
      </c>
      <c r="C1253" s="3" t="s">
        <v>8378</v>
      </c>
      <c r="D1253" s="3" t="s">
        <v>7236</v>
      </c>
      <c r="E1253" s="3" t="s">
        <v>5908</v>
      </c>
    </row>
    <row r="1254" spans="1:5" x14ac:dyDescent="0.25">
      <c r="A1254" s="3" t="s">
        <v>1117</v>
      </c>
      <c r="B1254" s="6" t="s">
        <v>3636</v>
      </c>
      <c r="C1254" s="3" t="s">
        <v>8377</v>
      </c>
      <c r="D1254" s="3" t="s">
        <v>7685</v>
      </c>
      <c r="E1254" s="3" t="s">
        <v>5909</v>
      </c>
    </row>
    <row r="1255" spans="1:5" x14ac:dyDescent="0.25">
      <c r="A1255" s="3" t="s">
        <v>1116</v>
      </c>
      <c r="B1255" s="6" t="s">
        <v>3637</v>
      </c>
      <c r="C1255" s="3" t="s">
        <v>8379</v>
      </c>
      <c r="D1255" s="3" t="s">
        <v>6818</v>
      </c>
      <c r="E1255" s="3" t="s">
        <v>5910</v>
      </c>
    </row>
    <row r="1256" spans="1:5" x14ac:dyDescent="0.25">
      <c r="A1256" s="3" t="s">
        <v>1115</v>
      </c>
      <c r="B1256" s="6" t="s">
        <v>3638</v>
      </c>
      <c r="C1256" s="3" t="s">
        <v>8377</v>
      </c>
      <c r="D1256" s="3" t="s">
        <v>7686</v>
      </c>
      <c r="E1256" s="3" t="s">
        <v>5911</v>
      </c>
    </row>
    <row r="1257" spans="1:5" x14ac:dyDescent="0.25">
      <c r="A1257" s="3" t="s">
        <v>1114</v>
      </c>
      <c r="B1257" s="6" t="s">
        <v>3639</v>
      </c>
      <c r="C1257" s="3" t="s">
        <v>8377</v>
      </c>
      <c r="D1257" s="3" t="s">
        <v>7687</v>
      </c>
      <c r="E1257" s="3" t="s">
        <v>5912</v>
      </c>
    </row>
    <row r="1258" spans="1:5" x14ac:dyDescent="0.25">
      <c r="A1258" s="3" t="s">
        <v>1113</v>
      </c>
      <c r="B1258" s="6" t="s">
        <v>3640</v>
      </c>
      <c r="C1258" s="3" t="s">
        <v>8378</v>
      </c>
      <c r="D1258" s="3" t="s">
        <v>6880</v>
      </c>
      <c r="E1258" s="3" t="s">
        <v>5913</v>
      </c>
    </row>
    <row r="1259" spans="1:5" x14ac:dyDescent="0.25">
      <c r="A1259" s="3" t="s">
        <v>1112</v>
      </c>
      <c r="B1259" s="6" t="s">
        <v>3641</v>
      </c>
      <c r="C1259" s="3" t="s">
        <v>8377</v>
      </c>
      <c r="D1259" s="3" t="s">
        <v>7688</v>
      </c>
      <c r="E1259" s="3" t="s">
        <v>5914</v>
      </c>
    </row>
    <row r="1260" spans="1:5" x14ac:dyDescent="0.25">
      <c r="A1260" s="3" t="s">
        <v>1111</v>
      </c>
      <c r="B1260" s="6" t="s">
        <v>3642</v>
      </c>
      <c r="C1260" s="3" t="s">
        <v>8378</v>
      </c>
      <c r="D1260" s="3" t="s">
        <v>7689</v>
      </c>
      <c r="E1260" s="3" t="s">
        <v>5915</v>
      </c>
    </row>
    <row r="1261" spans="1:5" x14ac:dyDescent="0.25">
      <c r="A1261" s="3" t="s">
        <v>1110</v>
      </c>
      <c r="B1261" s="6" t="s">
        <v>3643</v>
      </c>
      <c r="C1261" s="3" t="s">
        <v>8378</v>
      </c>
      <c r="D1261" s="3" t="s">
        <v>7690</v>
      </c>
      <c r="E1261" s="3" t="s">
        <v>5683</v>
      </c>
    </row>
    <row r="1262" spans="1:5" x14ac:dyDescent="0.25">
      <c r="A1262" s="3" t="s">
        <v>1109</v>
      </c>
      <c r="B1262" s="6" t="s">
        <v>3644</v>
      </c>
      <c r="C1262" s="3" t="s">
        <v>8378</v>
      </c>
      <c r="D1262" s="3" t="s">
        <v>7074</v>
      </c>
      <c r="E1262" s="3" t="s">
        <v>5916</v>
      </c>
    </row>
    <row r="1263" spans="1:5" x14ac:dyDescent="0.25">
      <c r="A1263" s="3" t="s">
        <v>1108</v>
      </c>
      <c r="B1263" s="6" t="s">
        <v>3645</v>
      </c>
      <c r="C1263" s="3" t="s">
        <v>8377</v>
      </c>
      <c r="D1263" s="3" t="s">
        <v>7691</v>
      </c>
      <c r="E1263" s="3" t="s">
        <v>5917</v>
      </c>
    </row>
    <row r="1264" spans="1:5" x14ac:dyDescent="0.25">
      <c r="A1264" s="3" t="s">
        <v>1107</v>
      </c>
      <c r="B1264" s="6" t="s">
        <v>3646</v>
      </c>
      <c r="C1264" s="3" t="s">
        <v>8377</v>
      </c>
      <c r="D1264" s="3" t="s">
        <v>7692</v>
      </c>
      <c r="E1264" s="3" t="s">
        <v>5918</v>
      </c>
    </row>
    <row r="1265" spans="1:5" x14ac:dyDescent="0.25">
      <c r="A1265" s="3" t="s">
        <v>1106</v>
      </c>
      <c r="B1265" s="6" t="s">
        <v>3647</v>
      </c>
      <c r="C1265" s="3" t="s">
        <v>8378</v>
      </c>
      <c r="D1265" s="3" t="s">
        <v>7693</v>
      </c>
      <c r="E1265" s="3" t="s">
        <v>5919</v>
      </c>
    </row>
    <row r="1266" spans="1:5" x14ac:dyDescent="0.25">
      <c r="A1266" s="3" t="s">
        <v>1105</v>
      </c>
      <c r="B1266" s="6" t="s">
        <v>3648</v>
      </c>
      <c r="C1266" s="3" t="s">
        <v>8378</v>
      </c>
      <c r="D1266" s="3" t="s">
        <v>7694</v>
      </c>
      <c r="E1266" s="3" t="s">
        <v>5920</v>
      </c>
    </row>
    <row r="1267" spans="1:5" x14ac:dyDescent="0.25">
      <c r="A1267" s="3" t="s">
        <v>1104</v>
      </c>
      <c r="B1267" s="6" t="s">
        <v>3649</v>
      </c>
      <c r="C1267" s="3" t="s">
        <v>8378</v>
      </c>
      <c r="D1267" s="3" t="s">
        <v>6924</v>
      </c>
      <c r="E1267" s="3" t="s">
        <v>5921</v>
      </c>
    </row>
    <row r="1268" spans="1:5" x14ac:dyDescent="0.25">
      <c r="A1268" s="3" t="s">
        <v>1103</v>
      </c>
      <c r="B1268" s="6" t="s">
        <v>3650</v>
      </c>
      <c r="C1268" s="3" t="s">
        <v>8378</v>
      </c>
      <c r="D1268" s="3" t="s">
        <v>7695</v>
      </c>
      <c r="E1268" s="3" t="s">
        <v>5922</v>
      </c>
    </row>
    <row r="1269" spans="1:5" x14ac:dyDescent="0.25">
      <c r="A1269" s="3" t="s">
        <v>1102</v>
      </c>
      <c r="B1269" s="6" t="s">
        <v>3651</v>
      </c>
      <c r="C1269" s="3" t="s">
        <v>8377</v>
      </c>
      <c r="D1269" s="3" t="s">
        <v>7696</v>
      </c>
      <c r="E1269" s="3" t="s">
        <v>5923</v>
      </c>
    </row>
    <row r="1270" spans="1:5" x14ac:dyDescent="0.25">
      <c r="A1270" s="3" t="s">
        <v>1101</v>
      </c>
      <c r="B1270" s="6" t="s">
        <v>3652</v>
      </c>
      <c r="C1270" s="3" t="s">
        <v>8377</v>
      </c>
      <c r="D1270" s="3" t="s">
        <v>7691</v>
      </c>
      <c r="E1270" s="3" t="s">
        <v>5924</v>
      </c>
    </row>
    <row r="1271" spans="1:5" x14ac:dyDescent="0.25">
      <c r="A1271" s="3" t="s">
        <v>1100</v>
      </c>
      <c r="B1271" s="6" t="s">
        <v>3653</v>
      </c>
      <c r="C1271" s="3" t="s">
        <v>8377</v>
      </c>
      <c r="D1271" s="3" t="s">
        <v>7697</v>
      </c>
      <c r="E1271" s="3" t="s">
        <v>4951</v>
      </c>
    </row>
    <row r="1272" spans="1:5" x14ac:dyDescent="0.25">
      <c r="A1272" s="3" t="s">
        <v>1099</v>
      </c>
      <c r="B1272" s="6" t="s">
        <v>3654</v>
      </c>
      <c r="C1272" s="3" t="s">
        <v>8378</v>
      </c>
      <c r="D1272" s="3" t="s">
        <v>7698</v>
      </c>
      <c r="E1272" s="3" t="s">
        <v>4907</v>
      </c>
    </row>
    <row r="1273" spans="1:5" x14ac:dyDescent="0.25">
      <c r="A1273" s="3" t="s">
        <v>1098</v>
      </c>
      <c r="B1273" s="6" t="s">
        <v>3655</v>
      </c>
      <c r="C1273" s="3" t="s">
        <v>8378</v>
      </c>
      <c r="D1273" s="3" t="s">
        <v>7699</v>
      </c>
      <c r="E1273" s="3" t="s">
        <v>5925</v>
      </c>
    </row>
    <row r="1274" spans="1:5" x14ac:dyDescent="0.25">
      <c r="A1274" s="3" t="s">
        <v>1097</v>
      </c>
      <c r="B1274" s="6" t="s">
        <v>3656</v>
      </c>
      <c r="C1274" s="3" t="s">
        <v>8378</v>
      </c>
      <c r="D1274" s="3" t="s">
        <v>7700</v>
      </c>
      <c r="E1274" s="3" t="s">
        <v>5926</v>
      </c>
    </row>
    <row r="1275" spans="1:5" x14ac:dyDescent="0.25">
      <c r="A1275" s="3" t="s">
        <v>1096</v>
      </c>
      <c r="B1275" s="6" t="s">
        <v>3657</v>
      </c>
      <c r="C1275" s="3" t="s">
        <v>8378</v>
      </c>
      <c r="D1275" s="3" t="s">
        <v>7701</v>
      </c>
      <c r="E1275" s="3" t="s">
        <v>5927</v>
      </c>
    </row>
    <row r="1276" spans="1:5" x14ac:dyDescent="0.25">
      <c r="A1276" s="3" t="s">
        <v>1095</v>
      </c>
      <c r="B1276" s="6" t="s">
        <v>3658</v>
      </c>
      <c r="C1276" s="3" t="s">
        <v>8378</v>
      </c>
      <c r="D1276" s="3" t="s">
        <v>6774</v>
      </c>
      <c r="E1276" s="3" t="s">
        <v>5928</v>
      </c>
    </row>
    <row r="1277" spans="1:5" x14ac:dyDescent="0.25">
      <c r="A1277" s="3" t="s">
        <v>1094</v>
      </c>
      <c r="B1277" s="6" t="s">
        <v>3659</v>
      </c>
      <c r="C1277" s="3" t="s">
        <v>8378</v>
      </c>
      <c r="D1277" s="3" t="s">
        <v>7702</v>
      </c>
      <c r="E1277" s="3" t="s">
        <v>5667</v>
      </c>
    </row>
    <row r="1278" spans="1:5" x14ac:dyDescent="0.25">
      <c r="A1278" s="3" t="s">
        <v>1093</v>
      </c>
      <c r="B1278" s="6" t="s">
        <v>3660</v>
      </c>
      <c r="C1278" s="3" t="s">
        <v>8377</v>
      </c>
      <c r="D1278" s="3" t="s">
        <v>7703</v>
      </c>
      <c r="E1278" s="3" t="s">
        <v>5929</v>
      </c>
    </row>
    <row r="1279" spans="1:5" x14ac:dyDescent="0.25">
      <c r="A1279" s="3" t="s">
        <v>1092</v>
      </c>
      <c r="B1279" s="6" t="s">
        <v>3661</v>
      </c>
      <c r="C1279" s="3" t="s">
        <v>8377</v>
      </c>
      <c r="D1279" s="3" t="s">
        <v>7704</v>
      </c>
      <c r="E1279" s="3" t="s">
        <v>5930</v>
      </c>
    </row>
    <row r="1280" spans="1:5" x14ac:dyDescent="0.25">
      <c r="A1280" s="3" t="s">
        <v>1091</v>
      </c>
      <c r="B1280" s="6" t="s">
        <v>3662</v>
      </c>
      <c r="C1280" s="3" t="s">
        <v>8377</v>
      </c>
      <c r="D1280" s="3" t="s">
        <v>7571</v>
      </c>
      <c r="E1280" s="3" t="s">
        <v>5931</v>
      </c>
    </row>
    <row r="1281" spans="1:5" x14ac:dyDescent="0.25">
      <c r="A1281" s="3" t="s">
        <v>1090</v>
      </c>
      <c r="B1281" s="6" t="s">
        <v>3663</v>
      </c>
      <c r="C1281" s="3" t="s">
        <v>8378</v>
      </c>
      <c r="D1281" s="3" t="s">
        <v>7705</v>
      </c>
      <c r="E1281" s="3" t="s">
        <v>5932</v>
      </c>
    </row>
    <row r="1282" spans="1:5" x14ac:dyDescent="0.25">
      <c r="A1282" s="3" t="s">
        <v>1089</v>
      </c>
      <c r="B1282" s="6" t="s">
        <v>3664</v>
      </c>
      <c r="C1282" s="3" t="s">
        <v>8378</v>
      </c>
      <c r="D1282" s="3" t="s">
        <v>5778</v>
      </c>
      <c r="E1282" s="3" t="s">
        <v>5933</v>
      </c>
    </row>
    <row r="1283" spans="1:5" x14ac:dyDescent="0.25">
      <c r="A1283" s="3" t="s">
        <v>1088</v>
      </c>
      <c r="B1283" s="6" t="s">
        <v>3665</v>
      </c>
      <c r="C1283" s="3" t="s">
        <v>8377</v>
      </c>
      <c r="D1283" s="3" t="s">
        <v>7706</v>
      </c>
      <c r="E1283" s="3" t="s">
        <v>5934</v>
      </c>
    </row>
    <row r="1284" spans="1:5" x14ac:dyDescent="0.25">
      <c r="A1284" s="3" t="s">
        <v>1087</v>
      </c>
      <c r="B1284" s="6" t="s">
        <v>3666</v>
      </c>
      <c r="C1284" s="3" t="s">
        <v>8378</v>
      </c>
      <c r="D1284" s="3" t="s">
        <v>6938</v>
      </c>
      <c r="E1284" s="3" t="s">
        <v>5003</v>
      </c>
    </row>
    <row r="1285" spans="1:5" x14ac:dyDescent="0.25">
      <c r="A1285" s="3" t="s">
        <v>1086</v>
      </c>
      <c r="B1285" s="6" t="s">
        <v>3667</v>
      </c>
      <c r="C1285" s="3" t="s">
        <v>8377</v>
      </c>
      <c r="D1285" s="3" t="s">
        <v>7707</v>
      </c>
      <c r="E1285" s="3" t="s">
        <v>5935</v>
      </c>
    </row>
    <row r="1286" spans="1:5" x14ac:dyDescent="0.25">
      <c r="A1286" s="3" t="s">
        <v>1085</v>
      </c>
      <c r="B1286" s="6" t="s">
        <v>3668</v>
      </c>
      <c r="C1286" s="3" t="s">
        <v>8377</v>
      </c>
      <c r="D1286" s="3" t="s">
        <v>7708</v>
      </c>
      <c r="E1286" s="3" t="s">
        <v>5936</v>
      </c>
    </row>
    <row r="1287" spans="1:5" x14ac:dyDescent="0.25">
      <c r="A1287" s="3" t="s">
        <v>1084</v>
      </c>
      <c r="B1287" s="6" t="s">
        <v>3669</v>
      </c>
      <c r="C1287" s="3" t="s">
        <v>8377</v>
      </c>
      <c r="D1287" s="3" t="s">
        <v>7709</v>
      </c>
      <c r="E1287" s="3" t="s">
        <v>5937</v>
      </c>
    </row>
    <row r="1288" spans="1:5" x14ac:dyDescent="0.25">
      <c r="A1288" s="3" t="s">
        <v>1083</v>
      </c>
      <c r="B1288" s="6" t="s">
        <v>3670</v>
      </c>
      <c r="C1288" s="3" t="s">
        <v>8377</v>
      </c>
      <c r="D1288" s="3" t="s">
        <v>7710</v>
      </c>
      <c r="E1288" s="3" t="s">
        <v>4758</v>
      </c>
    </row>
    <row r="1289" spans="1:5" x14ac:dyDescent="0.25">
      <c r="A1289" s="3" t="s">
        <v>1082</v>
      </c>
      <c r="B1289" s="6" t="s">
        <v>3671</v>
      </c>
      <c r="C1289" s="3" t="s">
        <v>8377</v>
      </c>
      <c r="D1289" s="3" t="s">
        <v>6911</v>
      </c>
      <c r="E1289" s="3" t="s">
        <v>5938</v>
      </c>
    </row>
    <row r="1290" spans="1:5" x14ac:dyDescent="0.25">
      <c r="A1290" s="3" t="s">
        <v>1081</v>
      </c>
      <c r="B1290" s="6" t="s">
        <v>3672</v>
      </c>
      <c r="C1290" s="3" t="s">
        <v>8377</v>
      </c>
      <c r="D1290" s="3" t="s">
        <v>7711</v>
      </c>
      <c r="E1290" s="3" t="s">
        <v>5939</v>
      </c>
    </row>
    <row r="1291" spans="1:5" x14ac:dyDescent="0.25">
      <c r="A1291" s="3" t="s">
        <v>1080</v>
      </c>
      <c r="B1291" s="6" t="s">
        <v>3673</v>
      </c>
      <c r="C1291" s="3" t="s">
        <v>8377</v>
      </c>
      <c r="D1291" s="3" t="s">
        <v>7712</v>
      </c>
      <c r="E1291" s="3" t="s">
        <v>5940</v>
      </c>
    </row>
    <row r="1292" spans="1:5" x14ac:dyDescent="0.25">
      <c r="A1292" s="3" t="s">
        <v>1079</v>
      </c>
      <c r="B1292" s="6" t="s">
        <v>3674</v>
      </c>
      <c r="C1292" s="3" t="s">
        <v>8377</v>
      </c>
      <c r="D1292" s="3" t="s">
        <v>6008</v>
      </c>
      <c r="E1292" s="3" t="s">
        <v>5941</v>
      </c>
    </row>
    <row r="1293" spans="1:5" x14ac:dyDescent="0.25">
      <c r="A1293" s="3" t="s">
        <v>1078</v>
      </c>
      <c r="B1293" s="6" t="s">
        <v>3675</v>
      </c>
      <c r="C1293" s="3" t="s">
        <v>8377</v>
      </c>
      <c r="D1293" s="3" t="s">
        <v>7571</v>
      </c>
      <c r="E1293" s="3" t="s">
        <v>5942</v>
      </c>
    </row>
    <row r="1294" spans="1:5" x14ac:dyDescent="0.25">
      <c r="A1294" s="3" t="s">
        <v>1077</v>
      </c>
      <c r="B1294" s="6" t="s">
        <v>3676</v>
      </c>
      <c r="C1294" s="3" t="s">
        <v>8377</v>
      </c>
      <c r="D1294" s="3" t="s">
        <v>7713</v>
      </c>
      <c r="E1294" s="3" t="s">
        <v>5943</v>
      </c>
    </row>
    <row r="1295" spans="1:5" x14ac:dyDescent="0.25">
      <c r="A1295" s="3" t="s">
        <v>1076</v>
      </c>
      <c r="B1295" s="6" t="s">
        <v>3677</v>
      </c>
      <c r="C1295" s="3" t="s">
        <v>8377</v>
      </c>
      <c r="D1295" s="3" t="s">
        <v>7714</v>
      </c>
      <c r="E1295" s="3" t="s">
        <v>5944</v>
      </c>
    </row>
    <row r="1296" spans="1:5" x14ac:dyDescent="0.25">
      <c r="A1296" s="3" t="s">
        <v>1075</v>
      </c>
      <c r="B1296" s="6" t="s">
        <v>3678</v>
      </c>
      <c r="C1296" s="3" t="s">
        <v>8378</v>
      </c>
      <c r="D1296" s="3" t="s">
        <v>7715</v>
      </c>
      <c r="E1296" s="3" t="s">
        <v>5945</v>
      </c>
    </row>
    <row r="1297" spans="1:5" x14ac:dyDescent="0.25">
      <c r="A1297" s="3" t="s">
        <v>1074</v>
      </c>
      <c r="B1297" s="6" t="s">
        <v>3679</v>
      </c>
      <c r="C1297" s="3" t="s">
        <v>8377</v>
      </c>
      <c r="D1297" s="3" t="s">
        <v>7716</v>
      </c>
      <c r="E1297" s="3" t="s">
        <v>5946</v>
      </c>
    </row>
    <row r="1298" spans="1:5" x14ac:dyDescent="0.25">
      <c r="A1298" s="3" t="s">
        <v>1073</v>
      </c>
      <c r="B1298" s="6" t="s">
        <v>3680</v>
      </c>
      <c r="C1298" s="3" t="s">
        <v>8378</v>
      </c>
      <c r="D1298" s="3" t="s">
        <v>7717</v>
      </c>
      <c r="E1298" s="3" t="s">
        <v>5947</v>
      </c>
    </row>
    <row r="1299" spans="1:5" x14ac:dyDescent="0.25">
      <c r="A1299" s="3" t="s">
        <v>1072</v>
      </c>
      <c r="B1299" s="6" t="s">
        <v>3681</v>
      </c>
      <c r="C1299" s="3" t="s">
        <v>8379</v>
      </c>
      <c r="D1299" s="3" t="s">
        <v>7718</v>
      </c>
      <c r="E1299" s="3" t="s">
        <v>5366</v>
      </c>
    </row>
    <row r="1300" spans="1:5" x14ac:dyDescent="0.25">
      <c r="A1300" s="3" t="s">
        <v>1071</v>
      </c>
      <c r="B1300" s="6" t="s">
        <v>3682</v>
      </c>
      <c r="C1300" s="3" t="s">
        <v>8377</v>
      </c>
      <c r="D1300" s="3" t="s">
        <v>7719</v>
      </c>
      <c r="E1300" s="3" t="s">
        <v>5766</v>
      </c>
    </row>
    <row r="1301" spans="1:5" x14ac:dyDescent="0.25">
      <c r="A1301" s="3" t="s">
        <v>1070</v>
      </c>
      <c r="B1301" s="6" t="s">
        <v>3683</v>
      </c>
      <c r="C1301" s="3" t="s">
        <v>8378</v>
      </c>
      <c r="D1301" s="3" t="s">
        <v>6787</v>
      </c>
      <c r="E1301" s="3" t="s">
        <v>5948</v>
      </c>
    </row>
    <row r="1302" spans="1:5" x14ac:dyDescent="0.25">
      <c r="A1302" s="3" t="s">
        <v>1069</v>
      </c>
      <c r="B1302" s="6" t="s">
        <v>3684</v>
      </c>
      <c r="C1302" s="3" t="s">
        <v>8378</v>
      </c>
      <c r="D1302" s="3" t="s">
        <v>7720</v>
      </c>
      <c r="E1302" s="3" t="s">
        <v>5949</v>
      </c>
    </row>
    <row r="1303" spans="1:5" x14ac:dyDescent="0.25">
      <c r="A1303" s="3" t="s">
        <v>1068</v>
      </c>
      <c r="B1303" s="6" t="s">
        <v>3685</v>
      </c>
      <c r="C1303" s="3" t="s">
        <v>8378</v>
      </c>
      <c r="D1303" s="3" t="s">
        <v>7721</v>
      </c>
      <c r="E1303" s="3" t="s">
        <v>5950</v>
      </c>
    </row>
    <row r="1304" spans="1:5" x14ac:dyDescent="0.25">
      <c r="A1304" s="3" t="s">
        <v>1067</v>
      </c>
      <c r="B1304" s="6" t="s">
        <v>3686</v>
      </c>
      <c r="C1304" s="3" t="s">
        <v>8378</v>
      </c>
      <c r="D1304" s="3" t="s">
        <v>7722</v>
      </c>
      <c r="E1304" s="3" t="s">
        <v>5951</v>
      </c>
    </row>
    <row r="1305" spans="1:5" x14ac:dyDescent="0.25">
      <c r="A1305" s="3" t="s">
        <v>1066</v>
      </c>
      <c r="B1305" s="6" t="s">
        <v>3687</v>
      </c>
      <c r="C1305" s="3" t="s">
        <v>8378</v>
      </c>
      <c r="D1305" s="3" t="s">
        <v>6938</v>
      </c>
      <c r="E1305" s="3" t="s">
        <v>5952</v>
      </c>
    </row>
    <row r="1306" spans="1:5" x14ac:dyDescent="0.25">
      <c r="A1306" s="3" t="s">
        <v>1065</v>
      </c>
      <c r="B1306" s="6" t="s">
        <v>3688</v>
      </c>
      <c r="C1306" s="3" t="s">
        <v>8378</v>
      </c>
      <c r="D1306" s="3" t="s">
        <v>7087</v>
      </c>
      <c r="E1306" s="3" t="s">
        <v>5953</v>
      </c>
    </row>
    <row r="1307" spans="1:5" x14ac:dyDescent="0.25">
      <c r="A1307" s="3" t="s">
        <v>1064</v>
      </c>
      <c r="B1307" s="6" t="s">
        <v>3689</v>
      </c>
      <c r="C1307" s="3" t="s">
        <v>8378</v>
      </c>
      <c r="D1307" s="3" t="s">
        <v>7723</v>
      </c>
      <c r="E1307" s="3" t="s">
        <v>5954</v>
      </c>
    </row>
    <row r="1308" spans="1:5" x14ac:dyDescent="0.25">
      <c r="A1308" s="3" t="s">
        <v>1063</v>
      </c>
      <c r="B1308" s="6" t="s">
        <v>3690</v>
      </c>
      <c r="C1308" s="3" t="s">
        <v>8378</v>
      </c>
      <c r="D1308" s="3" t="s">
        <v>7724</v>
      </c>
      <c r="E1308" s="3" t="s">
        <v>5955</v>
      </c>
    </row>
    <row r="1309" spans="1:5" x14ac:dyDescent="0.25">
      <c r="A1309" s="3" t="s">
        <v>1062</v>
      </c>
      <c r="B1309" s="6" t="s">
        <v>3691</v>
      </c>
      <c r="C1309" s="3" t="s">
        <v>8378</v>
      </c>
      <c r="D1309" s="3" t="s">
        <v>7415</v>
      </c>
      <c r="E1309" s="3" t="s">
        <v>5956</v>
      </c>
    </row>
    <row r="1310" spans="1:5" x14ac:dyDescent="0.25">
      <c r="A1310" s="3" t="s">
        <v>1061</v>
      </c>
      <c r="B1310" s="6" t="s">
        <v>3692</v>
      </c>
      <c r="C1310" s="3" t="s">
        <v>8378</v>
      </c>
      <c r="D1310" s="3" t="s">
        <v>7725</v>
      </c>
      <c r="E1310" s="3" t="s">
        <v>5077</v>
      </c>
    </row>
    <row r="1311" spans="1:5" x14ac:dyDescent="0.25">
      <c r="A1311" s="3" t="s">
        <v>1060</v>
      </c>
      <c r="B1311" s="6" t="s">
        <v>3693</v>
      </c>
      <c r="C1311" s="3" t="s">
        <v>8378</v>
      </c>
      <c r="D1311" s="3" t="s">
        <v>7726</v>
      </c>
      <c r="E1311" s="3" t="s">
        <v>5957</v>
      </c>
    </row>
    <row r="1312" spans="1:5" x14ac:dyDescent="0.25">
      <c r="A1312" s="3" t="s">
        <v>1059</v>
      </c>
      <c r="B1312" s="6" t="s">
        <v>3694</v>
      </c>
      <c r="C1312" s="3" t="s">
        <v>8378</v>
      </c>
      <c r="D1312" s="3" t="s">
        <v>7727</v>
      </c>
      <c r="E1312" s="3" t="s">
        <v>5958</v>
      </c>
    </row>
    <row r="1313" spans="1:5" x14ac:dyDescent="0.25">
      <c r="A1313" s="3" t="s">
        <v>1058</v>
      </c>
      <c r="B1313" s="6" t="s">
        <v>3695</v>
      </c>
      <c r="C1313" s="3" t="s">
        <v>8378</v>
      </c>
      <c r="D1313" s="3" t="s">
        <v>7074</v>
      </c>
      <c r="E1313" s="3" t="s">
        <v>5959</v>
      </c>
    </row>
    <row r="1314" spans="1:5" x14ac:dyDescent="0.25">
      <c r="A1314" s="3" t="s">
        <v>1057</v>
      </c>
      <c r="B1314" s="6" t="s">
        <v>3696</v>
      </c>
      <c r="C1314" s="3" t="s">
        <v>8377</v>
      </c>
      <c r="D1314" s="3" t="s">
        <v>7728</v>
      </c>
      <c r="E1314" s="3" t="s">
        <v>5960</v>
      </c>
    </row>
    <row r="1315" spans="1:5" x14ac:dyDescent="0.25">
      <c r="A1315" s="3" t="s">
        <v>1056</v>
      </c>
      <c r="B1315" s="6" t="s">
        <v>3697</v>
      </c>
      <c r="C1315" s="3" t="s">
        <v>8377</v>
      </c>
      <c r="D1315" s="3" t="s">
        <v>6974</v>
      </c>
      <c r="E1315" s="3" t="s">
        <v>5961</v>
      </c>
    </row>
    <row r="1316" spans="1:5" x14ac:dyDescent="0.25">
      <c r="A1316" s="3" t="s">
        <v>1055</v>
      </c>
      <c r="B1316" s="6" t="s">
        <v>3698</v>
      </c>
      <c r="C1316" s="3" t="s">
        <v>8378</v>
      </c>
      <c r="D1316" s="3" t="s">
        <v>7729</v>
      </c>
      <c r="E1316" s="3" t="s">
        <v>5962</v>
      </c>
    </row>
    <row r="1317" spans="1:5" x14ac:dyDescent="0.25">
      <c r="A1317" s="3" t="s">
        <v>1054</v>
      </c>
      <c r="B1317" s="6" t="s">
        <v>3699</v>
      </c>
      <c r="C1317" s="3" t="s">
        <v>8377</v>
      </c>
      <c r="D1317" s="3" t="s">
        <v>7145</v>
      </c>
      <c r="E1317" s="3" t="s">
        <v>5963</v>
      </c>
    </row>
    <row r="1318" spans="1:5" x14ac:dyDescent="0.25">
      <c r="A1318" s="3" t="s">
        <v>1053</v>
      </c>
      <c r="B1318" s="6" t="s">
        <v>3700</v>
      </c>
      <c r="C1318" s="3" t="s">
        <v>8377</v>
      </c>
      <c r="D1318" s="3" t="s">
        <v>7730</v>
      </c>
      <c r="E1318" s="3" t="s">
        <v>5964</v>
      </c>
    </row>
    <row r="1319" spans="1:5" x14ac:dyDescent="0.25">
      <c r="A1319" s="3" t="s">
        <v>1052</v>
      </c>
      <c r="B1319" s="6" t="s">
        <v>3701</v>
      </c>
      <c r="C1319" s="3" t="s">
        <v>8377</v>
      </c>
      <c r="D1319" s="3" t="s">
        <v>7731</v>
      </c>
      <c r="E1319" s="3" t="s">
        <v>5965</v>
      </c>
    </row>
    <row r="1320" spans="1:5" x14ac:dyDescent="0.25">
      <c r="A1320" s="3" t="s">
        <v>1051</v>
      </c>
      <c r="B1320" s="6" t="s">
        <v>3702</v>
      </c>
      <c r="C1320" s="3" t="s">
        <v>8378</v>
      </c>
      <c r="D1320" s="3" t="s">
        <v>7732</v>
      </c>
      <c r="E1320" s="3" t="s">
        <v>5966</v>
      </c>
    </row>
    <row r="1321" spans="1:5" x14ac:dyDescent="0.25">
      <c r="A1321" s="3" t="s">
        <v>1050</v>
      </c>
      <c r="B1321" s="6" t="s">
        <v>3703</v>
      </c>
      <c r="C1321" s="3" t="s">
        <v>8377</v>
      </c>
      <c r="D1321" s="3" t="s">
        <v>4767</v>
      </c>
      <c r="E1321" s="3" t="s">
        <v>5967</v>
      </c>
    </row>
    <row r="1322" spans="1:5" x14ac:dyDescent="0.25">
      <c r="A1322" s="3" t="s">
        <v>1049</v>
      </c>
      <c r="B1322" s="6" t="s">
        <v>3704</v>
      </c>
      <c r="C1322" s="3" t="s">
        <v>8378</v>
      </c>
      <c r="D1322" s="3" t="s">
        <v>7733</v>
      </c>
      <c r="E1322" s="3" t="s">
        <v>5968</v>
      </c>
    </row>
    <row r="1323" spans="1:5" x14ac:dyDescent="0.25">
      <c r="A1323" s="3" t="s">
        <v>1048</v>
      </c>
      <c r="B1323" s="6" t="s">
        <v>3705</v>
      </c>
      <c r="C1323" s="3" t="s">
        <v>8377</v>
      </c>
      <c r="D1323" s="3" t="s">
        <v>7734</v>
      </c>
      <c r="E1323" s="3" t="s">
        <v>5969</v>
      </c>
    </row>
    <row r="1324" spans="1:5" x14ac:dyDescent="0.25">
      <c r="A1324" s="3" t="s">
        <v>1047</v>
      </c>
      <c r="B1324" s="6" t="s">
        <v>3706</v>
      </c>
      <c r="C1324" s="3" t="s">
        <v>8377</v>
      </c>
      <c r="D1324" s="3" t="s">
        <v>7735</v>
      </c>
      <c r="E1324" s="3" t="s">
        <v>5970</v>
      </c>
    </row>
    <row r="1325" spans="1:5" x14ac:dyDescent="0.25">
      <c r="A1325" s="3" t="s">
        <v>1046</v>
      </c>
      <c r="B1325" s="6" t="s">
        <v>3707</v>
      </c>
      <c r="C1325" s="3" t="s">
        <v>8377</v>
      </c>
      <c r="D1325" s="3" t="s">
        <v>7736</v>
      </c>
      <c r="E1325" s="3" t="s">
        <v>5971</v>
      </c>
    </row>
    <row r="1326" spans="1:5" x14ac:dyDescent="0.25">
      <c r="A1326" s="3" t="s">
        <v>1045</v>
      </c>
      <c r="B1326" s="6" t="s">
        <v>3708</v>
      </c>
      <c r="C1326" s="3" t="s">
        <v>8377</v>
      </c>
      <c r="D1326" s="3" t="s">
        <v>6806</v>
      </c>
      <c r="E1326" s="3" t="s">
        <v>5972</v>
      </c>
    </row>
    <row r="1327" spans="1:5" x14ac:dyDescent="0.25">
      <c r="A1327" s="3" t="s">
        <v>1044</v>
      </c>
      <c r="B1327" s="6" t="s">
        <v>3709</v>
      </c>
      <c r="C1327" s="3" t="s">
        <v>8377</v>
      </c>
      <c r="D1327" s="3" t="s">
        <v>7737</v>
      </c>
      <c r="E1327" s="3" t="s">
        <v>5973</v>
      </c>
    </row>
    <row r="1328" spans="1:5" x14ac:dyDescent="0.25">
      <c r="A1328" s="3" t="s">
        <v>1043</v>
      </c>
      <c r="B1328" s="6" t="s">
        <v>3710</v>
      </c>
      <c r="C1328" s="3" t="s">
        <v>8377</v>
      </c>
      <c r="D1328" s="3" t="s">
        <v>7143</v>
      </c>
      <c r="E1328" s="3" t="s">
        <v>5974</v>
      </c>
    </row>
    <row r="1329" spans="1:5" x14ac:dyDescent="0.25">
      <c r="A1329" s="3" t="s">
        <v>1042</v>
      </c>
      <c r="B1329" s="6" t="s">
        <v>3711</v>
      </c>
      <c r="C1329" s="3" t="s">
        <v>8378</v>
      </c>
      <c r="D1329" s="3" t="s">
        <v>7738</v>
      </c>
      <c r="E1329" s="3" t="s">
        <v>5975</v>
      </c>
    </row>
    <row r="1330" spans="1:5" x14ac:dyDescent="0.25">
      <c r="A1330" s="3" t="s">
        <v>1041</v>
      </c>
      <c r="B1330" s="6" t="s">
        <v>3712</v>
      </c>
      <c r="C1330" s="3" t="s">
        <v>8379</v>
      </c>
      <c r="D1330" s="3" t="s">
        <v>7739</v>
      </c>
      <c r="E1330" s="3" t="s">
        <v>5976</v>
      </c>
    </row>
    <row r="1331" spans="1:5" x14ac:dyDescent="0.25">
      <c r="A1331" s="3" t="s">
        <v>1040</v>
      </c>
      <c r="B1331" s="6" t="s">
        <v>3713</v>
      </c>
      <c r="C1331" s="3" t="s">
        <v>8378</v>
      </c>
      <c r="D1331" s="3" t="s">
        <v>6291</v>
      </c>
      <c r="E1331" s="3" t="s">
        <v>5977</v>
      </c>
    </row>
    <row r="1332" spans="1:5" x14ac:dyDescent="0.25">
      <c r="A1332" s="3" t="s">
        <v>1039</v>
      </c>
      <c r="B1332" s="6" t="s">
        <v>3714</v>
      </c>
      <c r="C1332" s="3" t="s">
        <v>8377</v>
      </c>
      <c r="D1332" s="3" t="s">
        <v>7148</v>
      </c>
      <c r="E1332" s="3" t="s">
        <v>5978</v>
      </c>
    </row>
    <row r="1333" spans="1:5" x14ac:dyDescent="0.25">
      <c r="A1333" s="3" t="s">
        <v>1038</v>
      </c>
      <c r="B1333" s="6" t="s">
        <v>3715</v>
      </c>
      <c r="C1333" s="3" t="s">
        <v>8378</v>
      </c>
      <c r="D1333" s="3" t="s">
        <v>7740</v>
      </c>
      <c r="E1333" s="3" t="s">
        <v>5979</v>
      </c>
    </row>
    <row r="1334" spans="1:5" x14ac:dyDescent="0.25">
      <c r="A1334" s="3" t="s">
        <v>1037</v>
      </c>
      <c r="B1334" s="6" t="s">
        <v>3716</v>
      </c>
      <c r="C1334" s="3" t="s">
        <v>8379</v>
      </c>
      <c r="D1334" s="3" t="s">
        <v>7741</v>
      </c>
      <c r="E1334" s="3" t="s">
        <v>5980</v>
      </c>
    </row>
    <row r="1335" spans="1:5" x14ac:dyDescent="0.25">
      <c r="A1335" s="3" t="s">
        <v>1036</v>
      </c>
      <c r="B1335" s="6" t="s">
        <v>3717</v>
      </c>
      <c r="C1335" s="3" t="s">
        <v>8378</v>
      </c>
      <c r="D1335" s="3" t="s">
        <v>7742</v>
      </c>
      <c r="E1335" s="3" t="s">
        <v>5981</v>
      </c>
    </row>
    <row r="1336" spans="1:5" x14ac:dyDescent="0.25">
      <c r="A1336" s="3" t="s">
        <v>1035</v>
      </c>
      <c r="B1336" s="6" t="s">
        <v>3718</v>
      </c>
      <c r="C1336" s="3" t="s">
        <v>8378</v>
      </c>
      <c r="D1336" s="3" t="s">
        <v>7743</v>
      </c>
      <c r="E1336" s="3" t="s">
        <v>5982</v>
      </c>
    </row>
    <row r="1337" spans="1:5" x14ac:dyDescent="0.25">
      <c r="A1337" s="3" t="s">
        <v>1034</v>
      </c>
      <c r="B1337" s="6" t="s">
        <v>3719</v>
      </c>
      <c r="C1337" s="3" t="s">
        <v>8378</v>
      </c>
      <c r="D1337" s="3" t="s">
        <v>7744</v>
      </c>
      <c r="E1337" s="3" t="s">
        <v>4751</v>
      </c>
    </row>
    <row r="1338" spans="1:5" x14ac:dyDescent="0.25">
      <c r="A1338" s="3" t="s">
        <v>1033</v>
      </c>
      <c r="B1338" s="6" t="s">
        <v>3720</v>
      </c>
      <c r="C1338" s="3" t="s">
        <v>8378</v>
      </c>
      <c r="D1338" s="3" t="s">
        <v>7745</v>
      </c>
      <c r="E1338" s="3" t="s">
        <v>5983</v>
      </c>
    </row>
    <row r="1339" spans="1:5" x14ac:dyDescent="0.25">
      <c r="A1339" s="3" t="s">
        <v>1032</v>
      </c>
      <c r="B1339" s="6" t="s">
        <v>3721</v>
      </c>
      <c r="C1339" s="3" t="s">
        <v>8379</v>
      </c>
      <c r="D1339" s="3" t="s">
        <v>7212</v>
      </c>
      <c r="E1339" s="3" t="s">
        <v>4831</v>
      </c>
    </row>
    <row r="1340" spans="1:5" x14ac:dyDescent="0.25">
      <c r="A1340" s="3" t="s">
        <v>1031</v>
      </c>
      <c r="B1340" s="6" t="s">
        <v>3722</v>
      </c>
      <c r="C1340" s="3" t="s">
        <v>8378</v>
      </c>
      <c r="D1340" s="3" t="s">
        <v>6881</v>
      </c>
      <c r="E1340" s="3" t="s">
        <v>5984</v>
      </c>
    </row>
    <row r="1341" spans="1:5" x14ac:dyDescent="0.25">
      <c r="A1341" s="3" t="s">
        <v>1030</v>
      </c>
      <c r="B1341" s="6" t="s">
        <v>3723</v>
      </c>
      <c r="C1341" s="3" t="s">
        <v>8378</v>
      </c>
      <c r="D1341" s="3" t="s">
        <v>7746</v>
      </c>
      <c r="E1341" s="3" t="s">
        <v>5985</v>
      </c>
    </row>
    <row r="1342" spans="1:5" x14ac:dyDescent="0.25">
      <c r="A1342" s="3" t="s">
        <v>1029</v>
      </c>
      <c r="B1342" s="6" t="s">
        <v>3724</v>
      </c>
      <c r="C1342" s="3" t="s">
        <v>8379</v>
      </c>
      <c r="D1342" s="3" t="s">
        <v>7747</v>
      </c>
      <c r="E1342" s="3" t="s">
        <v>5986</v>
      </c>
    </row>
    <row r="1343" spans="1:5" x14ac:dyDescent="0.25">
      <c r="A1343" s="3" t="s">
        <v>1028</v>
      </c>
      <c r="B1343" s="6" t="s">
        <v>3725</v>
      </c>
      <c r="C1343" s="3" t="s">
        <v>8377</v>
      </c>
      <c r="D1343" s="3" t="s">
        <v>7748</v>
      </c>
      <c r="E1343" s="3" t="s">
        <v>5987</v>
      </c>
    </row>
    <row r="1344" spans="1:5" x14ac:dyDescent="0.25">
      <c r="A1344" s="3" t="s">
        <v>1027</v>
      </c>
      <c r="B1344" s="6" t="s">
        <v>3726</v>
      </c>
      <c r="C1344" s="3" t="s">
        <v>8379</v>
      </c>
      <c r="D1344" s="3" t="s">
        <v>7749</v>
      </c>
      <c r="E1344" s="3" t="s">
        <v>5988</v>
      </c>
    </row>
    <row r="1345" spans="1:5" x14ac:dyDescent="0.25">
      <c r="A1345" s="3" t="s">
        <v>1026</v>
      </c>
      <c r="B1345" s="6" t="s">
        <v>3727</v>
      </c>
      <c r="C1345" s="3" t="s">
        <v>8377</v>
      </c>
      <c r="D1345" s="3" t="s">
        <v>7095</v>
      </c>
      <c r="E1345" s="3" t="s">
        <v>5989</v>
      </c>
    </row>
    <row r="1346" spans="1:5" x14ac:dyDescent="0.25">
      <c r="A1346" s="3" t="s">
        <v>1025</v>
      </c>
      <c r="B1346" s="6" t="s">
        <v>3728</v>
      </c>
      <c r="C1346" s="3" t="s">
        <v>8378</v>
      </c>
      <c r="D1346" s="3" t="s">
        <v>6315</v>
      </c>
      <c r="E1346" s="3" t="s">
        <v>5990</v>
      </c>
    </row>
    <row r="1347" spans="1:5" x14ac:dyDescent="0.25">
      <c r="A1347" s="3" t="s">
        <v>1024</v>
      </c>
      <c r="B1347" s="6" t="s">
        <v>3729</v>
      </c>
      <c r="C1347" s="3" t="s">
        <v>8377</v>
      </c>
      <c r="D1347" s="3" t="s">
        <v>7750</v>
      </c>
      <c r="E1347" s="3" t="s">
        <v>5991</v>
      </c>
    </row>
    <row r="1348" spans="1:5" x14ac:dyDescent="0.25">
      <c r="A1348" s="3" t="s">
        <v>1023</v>
      </c>
      <c r="B1348" s="6" t="s">
        <v>3730</v>
      </c>
      <c r="C1348" s="3" t="s">
        <v>8378</v>
      </c>
      <c r="D1348" s="3" t="s">
        <v>6904</v>
      </c>
      <c r="E1348" s="3" t="s">
        <v>5992</v>
      </c>
    </row>
    <row r="1349" spans="1:5" x14ac:dyDescent="0.25">
      <c r="A1349" s="3" t="s">
        <v>1022</v>
      </c>
      <c r="B1349" s="6" t="s">
        <v>3731</v>
      </c>
      <c r="C1349" s="3" t="s">
        <v>8377</v>
      </c>
      <c r="D1349" s="3" t="s">
        <v>7751</v>
      </c>
      <c r="E1349" s="3" t="s">
        <v>5993</v>
      </c>
    </row>
    <row r="1350" spans="1:5" x14ac:dyDescent="0.25">
      <c r="A1350" s="3" t="s">
        <v>1021</v>
      </c>
      <c r="B1350" s="6" t="s">
        <v>3732</v>
      </c>
      <c r="C1350" s="3" t="s">
        <v>8379</v>
      </c>
      <c r="D1350" s="3" t="s">
        <v>7096</v>
      </c>
      <c r="E1350" s="3" t="s">
        <v>5994</v>
      </c>
    </row>
    <row r="1351" spans="1:5" x14ac:dyDescent="0.25">
      <c r="A1351" s="3" t="s">
        <v>1020</v>
      </c>
      <c r="B1351" s="6" t="s">
        <v>3733</v>
      </c>
      <c r="C1351" s="3" t="s">
        <v>8378</v>
      </c>
      <c r="D1351" s="3" t="s">
        <v>7752</v>
      </c>
      <c r="E1351" s="3" t="s">
        <v>5995</v>
      </c>
    </row>
    <row r="1352" spans="1:5" x14ac:dyDescent="0.25">
      <c r="A1352" s="3" t="s">
        <v>1019</v>
      </c>
      <c r="B1352" s="6" t="s">
        <v>3734</v>
      </c>
      <c r="C1352" s="3" t="s">
        <v>8377</v>
      </c>
      <c r="D1352" s="3" t="s">
        <v>7753</v>
      </c>
      <c r="E1352" s="3" t="s">
        <v>5059</v>
      </c>
    </row>
    <row r="1353" spans="1:5" x14ac:dyDescent="0.25">
      <c r="A1353" s="3" t="s">
        <v>1018</v>
      </c>
      <c r="B1353" s="6" t="s">
        <v>3735</v>
      </c>
      <c r="C1353" s="3" t="s">
        <v>8378</v>
      </c>
      <c r="D1353" s="3" t="s">
        <v>7066</v>
      </c>
      <c r="E1353" s="3" t="s">
        <v>5996</v>
      </c>
    </row>
    <row r="1354" spans="1:5" x14ac:dyDescent="0.25">
      <c r="A1354" s="3" t="s">
        <v>1017</v>
      </c>
      <c r="B1354" s="6" t="s">
        <v>3736</v>
      </c>
      <c r="C1354" s="3" t="s">
        <v>8377</v>
      </c>
      <c r="D1354" s="3" t="s">
        <v>7754</v>
      </c>
      <c r="E1354" s="3" t="s">
        <v>5997</v>
      </c>
    </row>
    <row r="1355" spans="1:5" x14ac:dyDescent="0.25">
      <c r="A1355" s="3" t="s">
        <v>1016</v>
      </c>
      <c r="B1355" s="6" t="s">
        <v>3737</v>
      </c>
      <c r="C1355" s="3" t="s">
        <v>8377</v>
      </c>
      <c r="D1355" s="3" t="s">
        <v>7755</v>
      </c>
      <c r="E1355" s="3" t="s">
        <v>5103</v>
      </c>
    </row>
    <row r="1356" spans="1:5" x14ac:dyDescent="0.25">
      <c r="A1356" s="3" t="s">
        <v>1015</v>
      </c>
      <c r="B1356" s="6" t="s">
        <v>3738</v>
      </c>
      <c r="C1356" s="3" t="s">
        <v>8377</v>
      </c>
      <c r="D1356" s="3" t="s">
        <v>7756</v>
      </c>
      <c r="E1356" s="3" t="s">
        <v>5844</v>
      </c>
    </row>
    <row r="1357" spans="1:5" x14ac:dyDescent="0.25">
      <c r="A1357" s="3" t="s">
        <v>1014</v>
      </c>
      <c r="B1357" s="6" t="s">
        <v>3739</v>
      </c>
      <c r="C1357" s="3" t="s">
        <v>8377</v>
      </c>
      <c r="D1357" s="3" t="s">
        <v>7757</v>
      </c>
      <c r="E1357" s="3" t="s">
        <v>5998</v>
      </c>
    </row>
    <row r="1358" spans="1:5" x14ac:dyDescent="0.25">
      <c r="A1358" s="3" t="s">
        <v>1013</v>
      </c>
      <c r="B1358" s="6" t="s">
        <v>3740</v>
      </c>
      <c r="C1358" s="3" t="s">
        <v>8377</v>
      </c>
      <c r="D1358" s="3" t="s">
        <v>7758</v>
      </c>
      <c r="E1358" s="3" t="s">
        <v>5999</v>
      </c>
    </row>
    <row r="1359" spans="1:5" x14ac:dyDescent="0.25">
      <c r="A1359" s="3" t="s">
        <v>1012</v>
      </c>
      <c r="B1359" s="6" t="s">
        <v>3741</v>
      </c>
      <c r="C1359" s="3" t="s">
        <v>8378</v>
      </c>
      <c r="D1359" s="3" t="s">
        <v>7229</v>
      </c>
      <c r="E1359" s="3" t="s">
        <v>6000</v>
      </c>
    </row>
    <row r="1360" spans="1:5" x14ac:dyDescent="0.25">
      <c r="A1360" s="3" t="s">
        <v>1011</v>
      </c>
      <c r="B1360" s="6" t="s">
        <v>3742</v>
      </c>
      <c r="C1360" s="3" t="s">
        <v>8377</v>
      </c>
      <c r="D1360" s="3" t="s">
        <v>7759</v>
      </c>
      <c r="E1360" s="3" t="s">
        <v>6001</v>
      </c>
    </row>
    <row r="1361" spans="1:5" x14ac:dyDescent="0.25">
      <c r="A1361" s="3" t="s">
        <v>1010</v>
      </c>
      <c r="B1361" s="6" t="s">
        <v>3743</v>
      </c>
      <c r="C1361" s="3" t="s">
        <v>8377</v>
      </c>
      <c r="D1361" s="3" t="s">
        <v>7760</v>
      </c>
      <c r="E1361" s="3" t="s">
        <v>4897</v>
      </c>
    </row>
    <row r="1362" spans="1:5" x14ac:dyDescent="0.25">
      <c r="A1362" s="3" t="s">
        <v>1009</v>
      </c>
      <c r="B1362" s="6" t="s">
        <v>3744</v>
      </c>
      <c r="C1362" s="3" t="s">
        <v>8378</v>
      </c>
      <c r="D1362" s="3" t="s">
        <v>6161</v>
      </c>
      <c r="E1362" s="3" t="s">
        <v>6002</v>
      </c>
    </row>
    <row r="1363" spans="1:5" x14ac:dyDescent="0.25">
      <c r="A1363" s="3" t="s">
        <v>1008</v>
      </c>
      <c r="B1363" s="6" t="s">
        <v>3745</v>
      </c>
      <c r="C1363" s="3" t="s">
        <v>8378</v>
      </c>
      <c r="D1363" s="3" t="s">
        <v>7761</v>
      </c>
      <c r="E1363" s="3" t="s">
        <v>6003</v>
      </c>
    </row>
    <row r="1364" spans="1:5" x14ac:dyDescent="0.25">
      <c r="A1364" s="3" t="s">
        <v>1007</v>
      </c>
      <c r="B1364" s="6" t="s">
        <v>3746</v>
      </c>
      <c r="C1364" s="3" t="s">
        <v>8378</v>
      </c>
      <c r="D1364" s="3" t="s">
        <v>7762</v>
      </c>
      <c r="E1364" s="3" t="s">
        <v>5526</v>
      </c>
    </row>
    <row r="1365" spans="1:5" x14ac:dyDescent="0.25">
      <c r="A1365" s="3" t="s">
        <v>1006</v>
      </c>
      <c r="B1365" s="6" t="s">
        <v>3747</v>
      </c>
      <c r="C1365" s="3" t="s">
        <v>8377</v>
      </c>
      <c r="D1365" s="3" t="s">
        <v>7763</v>
      </c>
      <c r="E1365" s="3" t="s">
        <v>6004</v>
      </c>
    </row>
    <row r="1366" spans="1:5" x14ac:dyDescent="0.25">
      <c r="A1366" s="3" t="s">
        <v>1005</v>
      </c>
      <c r="B1366" s="6" t="s">
        <v>3748</v>
      </c>
      <c r="C1366" s="3" t="s">
        <v>8377</v>
      </c>
      <c r="D1366" s="3" t="s">
        <v>6771</v>
      </c>
      <c r="E1366" s="3" t="s">
        <v>6005</v>
      </c>
    </row>
    <row r="1367" spans="1:5" x14ac:dyDescent="0.25">
      <c r="A1367" s="3" t="s">
        <v>1004</v>
      </c>
      <c r="B1367" s="6" t="s">
        <v>3749</v>
      </c>
      <c r="C1367" s="3" t="s">
        <v>8379</v>
      </c>
      <c r="D1367" s="3" t="s">
        <v>7764</v>
      </c>
      <c r="E1367" s="3" t="s">
        <v>6006</v>
      </c>
    </row>
    <row r="1368" spans="1:5" x14ac:dyDescent="0.25">
      <c r="A1368" s="3" t="s">
        <v>1003</v>
      </c>
      <c r="B1368" s="6" t="s">
        <v>3750</v>
      </c>
      <c r="C1368" s="3" t="s">
        <v>8377</v>
      </c>
      <c r="D1368" s="3" t="s">
        <v>7765</v>
      </c>
      <c r="E1368" s="3" t="s">
        <v>6007</v>
      </c>
    </row>
    <row r="1369" spans="1:5" x14ac:dyDescent="0.25">
      <c r="A1369" s="3" t="s">
        <v>1002</v>
      </c>
      <c r="B1369" s="6" t="s">
        <v>3751</v>
      </c>
      <c r="C1369" s="3" t="s">
        <v>8378</v>
      </c>
      <c r="D1369" s="3" t="s">
        <v>6315</v>
      </c>
      <c r="E1369" s="3" t="s">
        <v>6008</v>
      </c>
    </row>
    <row r="1370" spans="1:5" x14ac:dyDescent="0.25">
      <c r="A1370" s="3" t="s">
        <v>1001</v>
      </c>
      <c r="B1370" s="6" t="s">
        <v>3752</v>
      </c>
      <c r="C1370" s="3" t="s">
        <v>8378</v>
      </c>
      <c r="D1370" s="3" t="s">
        <v>7766</v>
      </c>
      <c r="E1370" s="3" t="s">
        <v>6009</v>
      </c>
    </row>
    <row r="1371" spans="1:5" x14ac:dyDescent="0.25">
      <c r="A1371" s="3" t="s">
        <v>1000</v>
      </c>
      <c r="B1371" s="6" t="s">
        <v>3753</v>
      </c>
      <c r="C1371" s="3" t="s">
        <v>8378</v>
      </c>
      <c r="D1371" s="3" t="s">
        <v>7767</v>
      </c>
      <c r="E1371" s="3" t="s">
        <v>6010</v>
      </c>
    </row>
    <row r="1372" spans="1:5" x14ac:dyDescent="0.25">
      <c r="A1372" s="3" t="s">
        <v>999</v>
      </c>
      <c r="B1372" s="6" t="s">
        <v>3754</v>
      </c>
      <c r="C1372" s="3" t="s">
        <v>8377</v>
      </c>
      <c r="D1372" s="3" t="s">
        <v>7768</v>
      </c>
      <c r="E1372" s="3" t="s">
        <v>6011</v>
      </c>
    </row>
    <row r="1373" spans="1:5" x14ac:dyDescent="0.25">
      <c r="A1373" s="3" t="s">
        <v>998</v>
      </c>
      <c r="B1373" s="6" t="s">
        <v>3755</v>
      </c>
      <c r="C1373" s="3" t="s">
        <v>8377</v>
      </c>
      <c r="D1373" s="3" t="s">
        <v>7769</v>
      </c>
      <c r="E1373" s="3" t="s">
        <v>6012</v>
      </c>
    </row>
    <row r="1374" spans="1:5" x14ac:dyDescent="0.25">
      <c r="A1374" s="3" t="s">
        <v>997</v>
      </c>
      <c r="B1374" s="6" t="s">
        <v>3756</v>
      </c>
      <c r="C1374" s="3" t="s">
        <v>8378</v>
      </c>
      <c r="D1374" s="3" t="s">
        <v>7770</v>
      </c>
      <c r="E1374" s="3" t="s">
        <v>4942</v>
      </c>
    </row>
    <row r="1375" spans="1:5" x14ac:dyDescent="0.25">
      <c r="A1375" s="3" t="s">
        <v>996</v>
      </c>
      <c r="B1375" s="6" t="s">
        <v>3757</v>
      </c>
      <c r="C1375" s="3" t="s">
        <v>8378</v>
      </c>
      <c r="D1375" s="3" t="s">
        <v>7771</v>
      </c>
      <c r="E1375" s="3" t="s">
        <v>6013</v>
      </c>
    </row>
    <row r="1376" spans="1:5" x14ac:dyDescent="0.25">
      <c r="A1376" s="3" t="s">
        <v>995</v>
      </c>
      <c r="B1376" s="6" t="s">
        <v>3758</v>
      </c>
      <c r="C1376" s="3" t="s">
        <v>8379</v>
      </c>
      <c r="D1376" s="3" t="s">
        <v>7772</v>
      </c>
      <c r="E1376" s="3" t="s">
        <v>5287</v>
      </c>
    </row>
    <row r="1377" spans="1:5" x14ac:dyDescent="0.25">
      <c r="A1377" s="3" t="s">
        <v>994</v>
      </c>
      <c r="B1377" s="6" t="s">
        <v>3759</v>
      </c>
      <c r="C1377" s="3" t="s">
        <v>8378</v>
      </c>
      <c r="D1377" s="3" t="s">
        <v>7773</v>
      </c>
      <c r="E1377" s="3" t="s">
        <v>6014</v>
      </c>
    </row>
    <row r="1378" spans="1:5" x14ac:dyDescent="0.25">
      <c r="A1378" s="3" t="s">
        <v>993</v>
      </c>
      <c r="B1378" s="6" t="s">
        <v>3760</v>
      </c>
      <c r="C1378" s="3" t="s">
        <v>8378</v>
      </c>
      <c r="D1378" s="3" t="s">
        <v>7045</v>
      </c>
      <c r="E1378" s="3" t="s">
        <v>6015</v>
      </c>
    </row>
    <row r="1379" spans="1:5" x14ac:dyDescent="0.25">
      <c r="A1379" s="3" t="s">
        <v>992</v>
      </c>
      <c r="B1379" s="6" t="s">
        <v>3761</v>
      </c>
      <c r="C1379" s="3" t="s">
        <v>8377</v>
      </c>
      <c r="D1379" s="3" t="s">
        <v>7774</v>
      </c>
      <c r="E1379" s="3" t="s">
        <v>6016</v>
      </c>
    </row>
    <row r="1380" spans="1:5" x14ac:dyDescent="0.25">
      <c r="A1380" s="3" t="s">
        <v>991</v>
      </c>
      <c r="B1380" s="6" t="s">
        <v>3762</v>
      </c>
      <c r="C1380" s="3" t="s">
        <v>8378</v>
      </c>
      <c r="D1380" s="3" t="s">
        <v>6807</v>
      </c>
      <c r="E1380" s="3" t="s">
        <v>6017</v>
      </c>
    </row>
    <row r="1381" spans="1:5" x14ac:dyDescent="0.25">
      <c r="A1381" s="3" t="s">
        <v>990</v>
      </c>
      <c r="B1381" s="6" t="s">
        <v>3763</v>
      </c>
      <c r="C1381" s="3" t="s">
        <v>8378</v>
      </c>
      <c r="D1381" s="3" t="s">
        <v>6927</v>
      </c>
      <c r="E1381" s="3" t="s">
        <v>6018</v>
      </c>
    </row>
    <row r="1382" spans="1:5" x14ac:dyDescent="0.25">
      <c r="A1382" s="3" t="s">
        <v>989</v>
      </c>
      <c r="B1382" s="6" t="s">
        <v>3764</v>
      </c>
      <c r="C1382" s="3" t="s">
        <v>8378</v>
      </c>
      <c r="D1382" s="3" t="s">
        <v>7775</v>
      </c>
      <c r="E1382" s="3" t="s">
        <v>6019</v>
      </c>
    </row>
    <row r="1383" spans="1:5" x14ac:dyDescent="0.25">
      <c r="A1383" s="3" t="s">
        <v>988</v>
      </c>
      <c r="B1383" s="6" t="s">
        <v>3765</v>
      </c>
      <c r="C1383" s="3" t="s">
        <v>8377</v>
      </c>
      <c r="D1383" s="3" t="s">
        <v>7169</v>
      </c>
      <c r="E1383" s="3" t="s">
        <v>6020</v>
      </c>
    </row>
    <row r="1384" spans="1:5" x14ac:dyDescent="0.25">
      <c r="A1384" s="3" t="s">
        <v>987</v>
      </c>
      <c r="B1384" s="6" t="s">
        <v>3766</v>
      </c>
      <c r="C1384" s="3" t="s">
        <v>8378</v>
      </c>
      <c r="D1384" s="3" t="s">
        <v>7776</v>
      </c>
      <c r="E1384" s="3" t="s">
        <v>5369</v>
      </c>
    </row>
    <row r="1385" spans="1:5" x14ac:dyDescent="0.25">
      <c r="A1385" s="3" t="s">
        <v>986</v>
      </c>
      <c r="B1385" s="6" t="s">
        <v>3767</v>
      </c>
      <c r="C1385" s="3" t="s">
        <v>8378</v>
      </c>
      <c r="D1385" s="3" t="s">
        <v>7777</v>
      </c>
      <c r="E1385" s="3" t="s">
        <v>6021</v>
      </c>
    </row>
    <row r="1386" spans="1:5" x14ac:dyDescent="0.25">
      <c r="A1386" s="3" t="s">
        <v>985</v>
      </c>
      <c r="B1386" s="6" t="s">
        <v>3768</v>
      </c>
      <c r="C1386" s="3" t="s">
        <v>8377</v>
      </c>
      <c r="D1386" s="3" t="s">
        <v>7778</v>
      </c>
      <c r="E1386" s="3" t="s">
        <v>5039</v>
      </c>
    </row>
    <row r="1387" spans="1:5" x14ac:dyDescent="0.25">
      <c r="A1387" s="3" t="s">
        <v>984</v>
      </c>
      <c r="B1387" s="6" t="s">
        <v>3769</v>
      </c>
      <c r="C1387" s="3" t="s">
        <v>8378</v>
      </c>
      <c r="D1387" s="3" t="s">
        <v>7779</v>
      </c>
      <c r="E1387" s="3" t="s">
        <v>6022</v>
      </c>
    </row>
    <row r="1388" spans="1:5" x14ac:dyDescent="0.25">
      <c r="A1388" s="3" t="s">
        <v>983</v>
      </c>
      <c r="B1388" s="6" t="s">
        <v>3770</v>
      </c>
      <c r="C1388" s="3" t="s">
        <v>8378</v>
      </c>
      <c r="D1388" s="3" t="s">
        <v>7780</v>
      </c>
      <c r="E1388" s="3" t="s">
        <v>5686</v>
      </c>
    </row>
    <row r="1389" spans="1:5" x14ac:dyDescent="0.25">
      <c r="A1389" s="3" t="s">
        <v>982</v>
      </c>
      <c r="B1389" s="6" t="s">
        <v>3771</v>
      </c>
      <c r="C1389" s="3" t="s">
        <v>8377</v>
      </c>
      <c r="D1389" s="3" t="s">
        <v>7781</v>
      </c>
      <c r="E1389" s="3" t="s">
        <v>6023</v>
      </c>
    </row>
    <row r="1390" spans="1:5" x14ac:dyDescent="0.25">
      <c r="A1390" s="3" t="s">
        <v>981</v>
      </c>
      <c r="B1390" s="6" t="s">
        <v>3772</v>
      </c>
      <c r="C1390" s="3" t="s">
        <v>8378</v>
      </c>
      <c r="D1390" s="3" t="s">
        <v>4772</v>
      </c>
      <c r="E1390" s="3" t="s">
        <v>6024</v>
      </c>
    </row>
    <row r="1391" spans="1:5" x14ac:dyDescent="0.25">
      <c r="A1391" s="3" t="s">
        <v>980</v>
      </c>
      <c r="B1391" s="6" t="s">
        <v>3773</v>
      </c>
      <c r="C1391" s="3" t="s">
        <v>8378</v>
      </c>
      <c r="D1391" s="3" t="s">
        <v>7126</v>
      </c>
      <c r="E1391" s="3" t="s">
        <v>6025</v>
      </c>
    </row>
    <row r="1392" spans="1:5" x14ac:dyDescent="0.25">
      <c r="A1392" s="3" t="s">
        <v>979</v>
      </c>
      <c r="B1392" s="6" t="s">
        <v>3774</v>
      </c>
      <c r="C1392" s="3" t="s">
        <v>8378</v>
      </c>
      <c r="D1392" s="3" t="s">
        <v>7782</v>
      </c>
      <c r="E1392" s="3" t="s">
        <v>4765</v>
      </c>
    </row>
    <row r="1393" spans="1:5" x14ac:dyDescent="0.25">
      <c r="A1393" s="3" t="s">
        <v>978</v>
      </c>
      <c r="B1393" s="6" t="s">
        <v>3775</v>
      </c>
      <c r="C1393" s="3" t="s">
        <v>8378</v>
      </c>
      <c r="D1393" s="3" t="s">
        <v>6880</v>
      </c>
      <c r="E1393" s="3" t="s">
        <v>6026</v>
      </c>
    </row>
    <row r="1394" spans="1:5" x14ac:dyDescent="0.25">
      <c r="A1394" s="3" t="s">
        <v>977</v>
      </c>
      <c r="B1394" s="6" t="s">
        <v>3776</v>
      </c>
      <c r="C1394" s="3" t="s">
        <v>8377</v>
      </c>
      <c r="D1394" s="3" t="s">
        <v>7783</v>
      </c>
      <c r="E1394" s="3" t="s">
        <v>6027</v>
      </c>
    </row>
    <row r="1395" spans="1:5" x14ac:dyDescent="0.25">
      <c r="A1395" s="3" t="s">
        <v>976</v>
      </c>
      <c r="B1395" s="6" t="s">
        <v>3777</v>
      </c>
      <c r="C1395" s="3" t="s">
        <v>8377</v>
      </c>
      <c r="D1395" s="3" t="s">
        <v>7784</v>
      </c>
      <c r="E1395" s="3" t="s">
        <v>6028</v>
      </c>
    </row>
    <row r="1396" spans="1:5" x14ac:dyDescent="0.25">
      <c r="A1396" s="3" t="s">
        <v>975</v>
      </c>
      <c r="B1396" s="6" t="s">
        <v>3778</v>
      </c>
      <c r="C1396" s="3" t="s">
        <v>8378</v>
      </c>
      <c r="D1396" s="3" t="s">
        <v>6315</v>
      </c>
      <c r="E1396" s="3" t="s">
        <v>6029</v>
      </c>
    </row>
    <row r="1397" spans="1:5" x14ac:dyDescent="0.25">
      <c r="A1397" s="3" t="s">
        <v>974</v>
      </c>
      <c r="B1397" s="6" t="s">
        <v>3779</v>
      </c>
      <c r="C1397" s="3" t="s">
        <v>8378</v>
      </c>
      <c r="D1397" s="3" t="s">
        <v>6315</v>
      </c>
      <c r="E1397" s="3" t="s">
        <v>6030</v>
      </c>
    </row>
    <row r="1398" spans="1:5" x14ac:dyDescent="0.25">
      <c r="A1398" s="3" t="s">
        <v>973</v>
      </c>
      <c r="B1398" s="6" t="s">
        <v>3780</v>
      </c>
      <c r="C1398" s="3" t="s">
        <v>8377</v>
      </c>
      <c r="D1398" s="3" t="s">
        <v>7785</v>
      </c>
      <c r="E1398" s="3" t="s">
        <v>6031</v>
      </c>
    </row>
    <row r="1399" spans="1:5" x14ac:dyDescent="0.25">
      <c r="A1399" s="3" t="s">
        <v>972</v>
      </c>
      <c r="B1399" s="6" t="s">
        <v>3781</v>
      </c>
      <c r="C1399" s="3" t="s">
        <v>8379</v>
      </c>
      <c r="D1399" s="3" t="s">
        <v>7786</v>
      </c>
      <c r="E1399" s="3" t="s">
        <v>6032</v>
      </c>
    </row>
    <row r="1400" spans="1:5" x14ac:dyDescent="0.25">
      <c r="A1400" s="3" t="s">
        <v>971</v>
      </c>
      <c r="B1400" s="6" t="s">
        <v>3782</v>
      </c>
      <c r="C1400" s="3" t="s">
        <v>8377</v>
      </c>
      <c r="D1400" s="3" t="s">
        <v>5057</v>
      </c>
      <c r="E1400" s="3" t="s">
        <v>6033</v>
      </c>
    </row>
    <row r="1401" spans="1:5" x14ac:dyDescent="0.25">
      <c r="A1401" s="3" t="s">
        <v>970</v>
      </c>
      <c r="B1401" s="6" t="s">
        <v>3783</v>
      </c>
      <c r="C1401" s="3" t="s">
        <v>8377</v>
      </c>
      <c r="D1401" s="3" t="s">
        <v>7787</v>
      </c>
      <c r="E1401" s="3" t="s">
        <v>6034</v>
      </c>
    </row>
    <row r="1402" spans="1:5" x14ac:dyDescent="0.25">
      <c r="A1402" s="3" t="s">
        <v>969</v>
      </c>
      <c r="B1402" s="6" t="s">
        <v>3784</v>
      </c>
      <c r="C1402" s="3" t="s">
        <v>8377</v>
      </c>
      <c r="D1402" s="3" t="s">
        <v>7788</v>
      </c>
      <c r="E1402" s="3" t="s">
        <v>5862</v>
      </c>
    </row>
    <row r="1403" spans="1:5" x14ac:dyDescent="0.25">
      <c r="A1403" s="3" t="s">
        <v>968</v>
      </c>
      <c r="B1403" s="6" t="s">
        <v>3785</v>
      </c>
      <c r="C1403" s="3" t="s">
        <v>8377</v>
      </c>
      <c r="D1403" s="3" t="s">
        <v>6008</v>
      </c>
      <c r="E1403" s="3" t="s">
        <v>6035</v>
      </c>
    </row>
    <row r="1404" spans="1:5" x14ac:dyDescent="0.25">
      <c r="A1404" s="3" t="s">
        <v>967</v>
      </c>
      <c r="B1404" s="6" t="s">
        <v>3786</v>
      </c>
      <c r="C1404" s="3" t="s">
        <v>8377</v>
      </c>
      <c r="D1404" s="3" t="s">
        <v>7789</v>
      </c>
      <c r="E1404" s="3" t="s">
        <v>6036</v>
      </c>
    </row>
    <row r="1405" spans="1:5" x14ac:dyDescent="0.25">
      <c r="A1405" s="3" t="s">
        <v>966</v>
      </c>
      <c r="B1405" s="6" t="s">
        <v>3787</v>
      </c>
      <c r="C1405" s="3" t="s">
        <v>8377</v>
      </c>
      <c r="D1405" s="3" t="s">
        <v>7790</v>
      </c>
      <c r="E1405" s="3" t="s">
        <v>6037</v>
      </c>
    </row>
    <row r="1406" spans="1:5" x14ac:dyDescent="0.25">
      <c r="A1406" s="3" t="s">
        <v>965</v>
      </c>
      <c r="B1406" s="6" t="s">
        <v>3788</v>
      </c>
      <c r="C1406" s="3" t="s">
        <v>8377</v>
      </c>
      <c r="D1406" s="3" t="s">
        <v>7791</v>
      </c>
      <c r="E1406" s="3" t="s">
        <v>6038</v>
      </c>
    </row>
    <row r="1407" spans="1:5" x14ac:dyDescent="0.25">
      <c r="A1407" s="3" t="s">
        <v>964</v>
      </c>
      <c r="B1407" s="6" t="s">
        <v>3789</v>
      </c>
      <c r="C1407" s="3" t="s">
        <v>8378</v>
      </c>
      <c r="D1407" s="3" t="s">
        <v>6774</v>
      </c>
      <c r="E1407" s="3" t="s">
        <v>6039</v>
      </c>
    </row>
    <row r="1408" spans="1:5" x14ac:dyDescent="0.25">
      <c r="A1408" s="3" t="s">
        <v>963</v>
      </c>
      <c r="B1408" s="6" t="s">
        <v>3790</v>
      </c>
      <c r="C1408" s="3" t="s">
        <v>8377</v>
      </c>
      <c r="D1408" s="3" t="s">
        <v>7787</v>
      </c>
      <c r="E1408" s="3" t="s">
        <v>6040</v>
      </c>
    </row>
    <row r="1409" spans="1:5" x14ac:dyDescent="0.25">
      <c r="A1409" s="3" t="s">
        <v>962</v>
      </c>
      <c r="B1409" s="6" t="s">
        <v>3791</v>
      </c>
      <c r="C1409" s="3" t="s">
        <v>8378</v>
      </c>
      <c r="D1409" s="3" t="s">
        <v>6790</v>
      </c>
      <c r="E1409" s="3" t="s">
        <v>6041</v>
      </c>
    </row>
    <row r="1410" spans="1:5" x14ac:dyDescent="0.25">
      <c r="A1410" s="3" t="s">
        <v>961</v>
      </c>
      <c r="B1410" s="6" t="s">
        <v>3792</v>
      </c>
      <c r="C1410" s="3" t="s">
        <v>8378</v>
      </c>
      <c r="D1410" s="3" t="s">
        <v>4775</v>
      </c>
      <c r="E1410" s="3" t="s">
        <v>6042</v>
      </c>
    </row>
    <row r="1411" spans="1:5" x14ac:dyDescent="0.25">
      <c r="A1411" s="3" t="s">
        <v>960</v>
      </c>
      <c r="B1411" s="6" t="s">
        <v>3793</v>
      </c>
      <c r="C1411" s="3" t="s">
        <v>8378</v>
      </c>
      <c r="D1411" s="3" t="s">
        <v>7792</v>
      </c>
      <c r="E1411" s="3" t="s">
        <v>6043</v>
      </c>
    </row>
    <row r="1412" spans="1:5" x14ac:dyDescent="0.25">
      <c r="A1412" s="3" t="s">
        <v>959</v>
      </c>
      <c r="B1412" s="6" t="s">
        <v>3794</v>
      </c>
      <c r="C1412" s="3" t="s">
        <v>8377</v>
      </c>
      <c r="D1412" s="3" t="s">
        <v>7793</v>
      </c>
      <c r="E1412" s="3" t="s">
        <v>5783</v>
      </c>
    </row>
    <row r="1413" spans="1:5" x14ac:dyDescent="0.25">
      <c r="A1413" s="3" t="s">
        <v>958</v>
      </c>
      <c r="B1413" s="6" t="s">
        <v>3795</v>
      </c>
      <c r="C1413" s="3" t="s">
        <v>8377</v>
      </c>
      <c r="D1413" s="3" t="s">
        <v>7794</v>
      </c>
      <c r="E1413" s="3" t="s">
        <v>6044</v>
      </c>
    </row>
    <row r="1414" spans="1:5" x14ac:dyDescent="0.25">
      <c r="A1414" s="3" t="s">
        <v>957</v>
      </c>
      <c r="B1414" s="6" t="s">
        <v>3796</v>
      </c>
      <c r="C1414" s="3" t="s">
        <v>8377</v>
      </c>
      <c r="D1414" s="3" t="s">
        <v>7795</v>
      </c>
      <c r="E1414" s="3" t="s">
        <v>5887</v>
      </c>
    </row>
    <row r="1415" spans="1:5" x14ac:dyDescent="0.25">
      <c r="A1415" s="3" t="s">
        <v>956</v>
      </c>
      <c r="B1415" s="6" t="s">
        <v>3797</v>
      </c>
      <c r="C1415" s="3" t="s">
        <v>8378</v>
      </c>
      <c r="D1415" s="3" t="s">
        <v>6882</v>
      </c>
      <c r="E1415" s="3" t="s">
        <v>6045</v>
      </c>
    </row>
    <row r="1416" spans="1:5" x14ac:dyDescent="0.25">
      <c r="A1416" s="3" t="s">
        <v>955</v>
      </c>
      <c r="B1416" s="6" t="s">
        <v>3798</v>
      </c>
      <c r="C1416" s="3" t="s">
        <v>8378</v>
      </c>
      <c r="D1416" s="3" t="s">
        <v>7796</v>
      </c>
      <c r="E1416" s="3" t="s">
        <v>6046</v>
      </c>
    </row>
    <row r="1417" spans="1:5" x14ac:dyDescent="0.25">
      <c r="A1417" s="3" t="s">
        <v>954</v>
      </c>
      <c r="B1417" s="6" t="s">
        <v>3799</v>
      </c>
      <c r="C1417" s="3" t="s">
        <v>8378</v>
      </c>
      <c r="D1417" s="3" t="s">
        <v>6821</v>
      </c>
      <c r="E1417" s="3" t="s">
        <v>6047</v>
      </c>
    </row>
    <row r="1418" spans="1:5" x14ac:dyDescent="0.25">
      <c r="A1418" s="3" t="s">
        <v>953</v>
      </c>
      <c r="B1418" s="6" t="s">
        <v>3800</v>
      </c>
      <c r="C1418" s="3" t="s">
        <v>8377</v>
      </c>
      <c r="D1418" s="3" t="s">
        <v>7797</v>
      </c>
      <c r="E1418" s="3" t="s">
        <v>6048</v>
      </c>
    </row>
    <row r="1419" spans="1:5" x14ac:dyDescent="0.25">
      <c r="A1419" s="3" t="s">
        <v>952</v>
      </c>
      <c r="B1419" s="6" t="s">
        <v>3801</v>
      </c>
      <c r="C1419" s="3" t="s">
        <v>8379</v>
      </c>
      <c r="D1419" s="3" t="s">
        <v>6840</v>
      </c>
      <c r="E1419" s="3" t="s">
        <v>6049</v>
      </c>
    </row>
    <row r="1420" spans="1:5" x14ac:dyDescent="0.25">
      <c r="A1420" s="3" t="s">
        <v>951</v>
      </c>
      <c r="B1420" s="6" t="s">
        <v>3802</v>
      </c>
      <c r="C1420" s="3" t="s">
        <v>8378</v>
      </c>
      <c r="D1420" s="3" t="s">
        <v>6979</v>
      </c>
      <c r="E1420" s="3" t="s">
        <v>6050</v>
      </c>
    </row>
    <row r="1421" spans="1:5" x14ac:dyDescent="0.25">
      <c r="A1421" s="3" t="s">
        <v>950</v>
      </c>
      <c r="B1421" s="6" t="s">
        <v>3803</v>
      </c>
      <c r="C1421" s="3" t="s">
        <v>8378</v>
      </c>
      <c r="D1421" s="3" t="s">
        <v>7798</v>
      </c>
      <c r="E1421" s="3" t="s">
        <v>6051</v>
      </c>
    </row>
    <row r="1422" spans="1:5" x14ac:dyDescent="0.25">
      <c r="A1422" s="3" t="s">
        <v>949</v>
      </c>
      <c r="B1422" s="6" t="s">
        <v>3804</v>
      </c>
      <c r="C1422" s="3" t="s">
        <v>8377</v>
      </c>
      <c r="D1422" s="3" t="s">
        <v>7799</v>
      </c>
      <c r="E1422" s="3" t="s">
        <v>6052</v>
      </c>
    </row>
    <row r="1423" spans="1:5" x14ac:dyDescent="0.25">
      <c r="A1423" s="3" t="s">
        <v>948</v>
      </c>
      <c r="B1423" s="6" t="s">
        <v>3805</v>
      </c>
      <c r="C1423" s="3" t="s">
        <v>8378</v>
      </c>
      <c r="D1423" s="3" t="s">
        <v>7800</v>
      </c>
      <c r="E1423" s="3" t="s">
        <v>6053</v>
      </c>
    </row>
    <row r="1424" spans="1:5" x14ac:dyDescent="0.25">
      <c r="A1424" s="3" t="s">
        <v>947</v>
      </c>
      <c r="B1424" s="6" t="s">
        <v>3806</v>
      </c>
      <c r="C1424" s="3" t="s">
        <v>8378</v>
      </c>
      <c r="D1424" s="3" t="s">
        <v>7801</v>
      </c>
      <c r="E1424" s="3" t="s">
        <v>6054</v>
      </c>
    </row>
    <row r="1425" spans="1:5" x14ac:dyDescent="0.25">
      <c r="A1425" s="3" t="s">
        <v>946</v>
      </c>
      <c r="B1425" s="6" t="s">
        <v>3807</v>
      </c>
      <c r="C1425" s="3" t="s">
        <v>8377</v>
      </c>
      <c r="D1425" s="3" t="s">
        <v>7802</v>
      </c>
      <c r="E1425" s="3" t="s">
        <v>6055</v>
      </c>
    </row>
    <row r="1426" spans="1:5" x14ac:dyDescent="0.25">
      <c r="A1426" s="3" t="s">
        <v>945</v>
      </c>
      <c r="B1426" s="6" t="s">
        <v>3808</v>
      </c>
      <c r="C1426" s="3" t="s">
        <v>8378</v>
      </c>
      <c r="D1426" s="3" t="s">
        <v>7803</v>
      </c>
      <c r="E1426" s="3" t="s">
        <v>6056</v>
      </c>
    </row>
    <row r="1427" spans="1:5" x14ac:dyDescent="0.25">
      <c r="A1427" s="3" t="s">
        <v>944</v>
      </c>
      <c r="B1427" s="6" t="s">
        <v>3809</v>
      </c>
      <c r="C1427" s="3" t="s">
        <v>8378</v>
      </c>
      <c r="D1427" s="3" t="s">
        <v>4769</v>
      </c>
      <c r="E1427" s="3" t="s">
        <v>6057</v>
      </c>
    </row>
    <row r="1428" spans="1:5" x14ac:dyDescent="0.25">
      <c r="A1428" s="3" t="s">
        <v>943</v>
      </c>
      <c r="B1428" s="6" t="s">
        <v>3810</v>
      </c>
      <c r="C1428" s="3" t="s">
        <v>8377</v>
      </c>
      <c r="D1428" s="3" t="s">
        <v>7804</v>
      </c>
      <c r="E1428" s="3" t="s">
        <v>5051</v>
      </c>
    </row>
    <row r="1429" spans="1:5" x14ac:dyDescent="0.25">
      <c r="A1429" s="3" t="s">
        <v>942</v>
      </c>
      <c r="B1429" s="6" t="s">
        <v>3811</v>
      </c>
      <c r="C1429" s="3" t="s">
        <v>8377</v>
      </c>
      <c r="D1429" s="3" t="s">
        <v>7805</v>
      </c>
      <c r="E1429" s="3" t="s">
        <v>6058</v>
      </c>
    </row>
    <row r="1430" spans="1:5" x14ac:dyDescent="0.25">
      <c r="A1430" s="3" t="s">
        <v>941</v>
      </c>
      <c r="B1430" s="6" t="s">
        <v>3812</v>
      </c>
      <c r="C1430" s="3" t="s">
        <v>8377</v>
      </c>
      <c r="D1430" s="3" t="s">
        <v>7123</v>
      </c>
      <c r="E1430" s="3" t="s">
        <v>4828</v>
      </c>
    </row>
    <row r="1431" spans="1:5" x14ac:dyDescent="0.25">
      <c r="A1431" s="3" t="s">
        <v>940</v>
      </c>
      <c r="B1431" s="6" t="s">
        <v>3813</v>
      </c>
      <c r="C1431" s="3" t="s">
        <v>8378</v>
      </c>
      <c r="D1431" s="3" t="s">
        <v>7806</v>
      </c>
      <c r="E1431" s="3" t="s">
        <v>6059</v>
      </c>
    </row>
    <row r="1432" spans="1:5" x14ac:dyDescent="0.25">
      <c r="A1432" s="3" t="s">
        <v>939</v>
      </c>
      <c r="B1432" s="6" t="s">
        <v>3814</v>
      </c>
      <c r="C1432" s="3" t="s">
        <v>8379</v>
      </c>
      <c r="D1432" s="3" t="s">
        <v>7807</v>
      </c>
      <c r="E1432" s="3" t="s">
        <v>6060</v>
      </c>
    </row>
    <row r="1433" spans="1:5" x14ac:dyDescent="0.25">
      <c r="A1433" s="3" t="s">
        <v>938</v>
      </c>
      <c r="B1433" s="6" t="s">
        <v>3815</v>
      </c>
      <c r="C1433" s="3" t="s">
        <v>8377</v>
      </c>
      <c r="D1433" s="3" t="s">
        <v>6771</v>
      </c>
      <c r="E1433" s="3" t="s">
        <v>6061</v>
      </c>
    </row>
    <row r="1434" spans="1:5" x14ac:dyDescent="0.25">
      <c r="A1434" s="3" t="s">
        <v>937</v>
      </c>
      <c r="B1434" s="6" t="s">
        <v>3816</v>
      </c>
      <c r="C1434" s="3" t="s">
        <v>8377</v>
      </c>
      <c r="D1434" s="3" t="s">
        <v>7808</v>
      </c>
      <c r="E1434" s="3" t="s">
        <v>6062</v>
      </c>
    </row>
    <row r="1435" spans="1:5" x14ac:dyDescent="0.25">
      <c r="A1435" s="3" t="s">
        <v>936</v>
      </c>
      <c r="B1435" s="6" t="s">
        <v>3817</v>
      </c>
      <c r="C1435" s="3" t="s">
        <v>8377</v>
      </c>
      <c r="D1435" s="3" t="s">
        <v>7032</v>
      </c>
      <c r="E1435" s="3" t="s">
        <v>6063</v>
      </c>
    </row>
    <row r="1436" spans="1:5" x14ac:dyDescent="0.25">
      <c r="A1436" s="3" t="s">
        <v>935</v>
      </c>
      <c r="B1436" s="6" t="s">
        <v>3818</v>
      </c>
      <c r="C1436" s="3" t="s">
        <v>8377</v>
      </c>
      <c r="D1436" s="3" t="s">
        <v>7809</v>
      </c>
      <c r="E1436" s="3" t="s">
        <v>5063</v>
      </c>
    </row>
    <row r="1437" spans="1:5" x14ac:dyDescent="0.25">
      <c r="A1437" s="3" t="s">
        <v>934</v>
      </c>
      <c r="B1437" s="6" t="s">
        <v>3819</v>
      </c>
      <c r="C1437" s="3" t="s">
        <v>8378</v>
      </c>
      <c r="D1437" s="3" t="s">
        <v>7810</v>
      </c>
      <c r="E1437" s="3" t="s">
        <v>6064</v>
      </c>
    </row>
    <row r="1438" spans="1:5" x14ac:dyDescent="0.25">
      <c r="A1438" s="3" t="s">
        <v>933</v>
      </c>
      <c r="B1438" s="6" t="s">
        <v>3820</v>
      </c>
      <c r="C1438" s="3" t="s">
        <v>8377</v>
      </c>
      <c r="D1438" s="3" t="s">
        <v>6731</v>
      </c>
      <c r="E1438" s="3" t="s">
        <v>6065</v>
      </c>
    </row>
    <row r="1439" spans="1:5" x14ac:dyDescent="0.25">
      <c r="A1439" s="3" t="s">
        <v>932</v>
      </c>
      <c r="B1439" s="6" t="s">
        <v>3821</v>
      </c>
      <c r="C1439" s="3" t="s">
        <v>8377</v>
      </c>
      <c r="D1439" s="3" t="s">
        <v>7811</v>
      </c>
      <c r="E1439" s="3" t="s">
        <v>6066</v>
      </c>
    </row>
    <row r="1440" spans="1:5" x14ac:dyDescent="0.25">
      <c r="A1440" s="3" t="s">
        <v>931</v>
      </c>
      <c r="B1440" s="6" t="s">
        <v>3822</v>
      </c>
      <c r="C1440" s="3" t="s">
        <v>8377</v>
      </c>
      <c r="D1440" s="3" t="s">
        <v>7345</v>
      </c>
      <c r="E1440" s="3" t="s">
        <v>6067</v>
      </c>
    </row>
    <row r="1441" spans="1:5" x14ac:dyDescent="0.25">
      <c r="A1441" s="3" t="s">
        <v>930</v>
      </c>
      <c r="B1441" s="6" t="s">
        <v>3823</v>
      </c>
      <c r="C1441" s="3" t="s">
        <v>8377</v>
      </c>
      <c r="D1441" s="3" t="s">
        <v>7812</v>
      </c>
      <c r="E1441" s="3" t="s">
        <v>6068</v>
      </c>
    </row>
    <row r="1442" spans="1:5" x14ac:dyDescent="0.25">
      <c r="A1442" s="3" t="s">
        <v>929</v>
      </c>
      <c r="B1442" s="6" t="s">
        <v>3824</v>
      </c>
      <c r="C1442" s="3" t="s">
        <v>8377</v>
      </c>
      <c r="D1442" s="3" t="s">
        <v>7813</v>
      </c>
      <c r="E1442" s="3" t="s">
        <v>4907</v>
      </c>
    </row>
    <row r="1443" spans="1:5" x14ac:dyDescent="0.25">
      <c r="A1443" s="3" t="s">
        <v>928</v>
      </c>
      <c r="B1443" s="6" t="s">
        <v>3825</v>
      </c>
      <c r="C1443" s="3" t="s">
        <v>8378</v>
      </c>
      <c r="D1443" s="3" t="s">
        <v>6821</v>
      </c>
      <c r="E1443" s="3" t="s">
        <v>6069</v>
      </c>
    </row>
    <row r="1444" spans="1:5" x14ac:dyDescent="0.25">
      <c r="A1444" s="3" t="s">
        <v>927</v>
      </c>
      <c r="B1444" s="6" t="s">
        <v>3826</v>
      </c>
      <c r="C1444" s="3" t="s">
        <v>8377</v>
      </c>
      <c r="D1444" s="3" t="s">
        <v>7145</v>
      </c>
      <c r="E1444" s="3" t="s">
        <v>6070</v>
      </c>
    </row>
    <row r="1445" spans="1:5" x14ac:dyDescent="0.25">
      <c r="A1445" s="3" t="s">
        <v>926</v>
      </c>
      <c r="B1445" s="6" t="s">
        <v>3827</v>
      </c>
      <c r="C1445" s="3" t="s">
        <v>8377</v>
      </c>
      <c r="D1445" s="3" t="s">
        <v>7814</v>
      </c>
      <c r="E1445" s="3" t="s">
        <v>4751</v>
      </c>
    </row>
    <row r="1446" spans="1:5" x14ac:dyDescent="0.25">
      <c r="A1446" s="3" t="s">
        <v>925</v>
      </c>
      <c r="B1446" s="6" t="s">
        <v>3828</v>
      </c>
      <c r="C1446" s="3" t="s">
        <v>8378</v>
      </c>
      <c r="D1446" s="3" t="s">
        <v>7815</v>
      </c>
      <c r="E1446" s="3" t="s">
        <v>6071</v>
      </c>
    </row>
    <row r="1447" spans="1:5" x14ac:dyDescent="0.25">
      <c r="A1447" s="3" t="s">
        <v>924</v>
      </c>
      <c r="B1447" s="6" t="s">
        <v>3829</v>
      </c>
      <c r="C1447" s="3" t="s">
        <v>8377</v>
      </c>
      <c r="D1447" s="3" t="s">
        <v>7816</v>
      </c>
      <c r="E1447" s="3" t="s">
        <v>4831</v>
      </c>
    </row>
    <row r="1448" spans="1:5" x14ac:dyDescent="0.25">
      <c r="A1448" s="3" t="s">
        <v>923</v>
      </c>
      <c r="B1448" s="6" t="s">
        <v>3830</v>
      </c>
      <c r="C1448" s="3" t="s">
        <v>8377</v>
      </c>
      <c r="D1448" s="3" t="s">
        <v>7403</v>
      </c>
      <c r="E1448" s="3" t="s">
        <v>6072</v>
      </c>
    </row>
    <row r="1449" spans="1:5" x14ac:dyDescent="0.25">
      <c r="A1449" s="3" t="s">
        <v>922</v>
      </c>
      <c r="B1449" s="6" t="s">
        <v>3831</v>
      </c>
      <c r="C1449" s="3" t="s">
        <v>8377</v>
      </c>
      <c r="D1449" s="3" t="s">
        <v>7817</v>
      </c>
      <c r="E1449" s="3" t="s">
        <v>6073</v>
      </c>
    </row>
    <row r="1450" spans="1:5" x14ac:dyDescent="0.25">
      <c r="A1450" s="3" t="s">
        <v>921</v>
      </c>
      <c r="B1450" s="6" t="s">
        <v>3832</v>
      </c>
      <c r="C1450" s="3" t="s">
        <v>8377</v>
      </c>
      <c r="D1450" s="3" t="s">
        <v>7818</v>
      </c>
      <c r="E1450" s="3" t="s">
        <v>6074</v>
      </c>
    </row>
    <row r="1451" spans="1:5" x14ac:dyDescent="0.25">
      <c r="A1451" s="3" t="s">
        <v>920</v>
      </c>
      <c r="B1451" s="6" t="s">
        <v>3833</v>
      </c>
      <c r="C1451" s="3" t="s">
        <v>8377</v>
      </c>
      <c r="D1451" s="3" t="s">
        <v>7819</v>
      </c>
      <c r="E1451" s="3" t="s">
        <v>6075</v>
      </c>
    </row>
    <row r="1452" spans="1:5" x14ac:dyDescent="0.25">
      <c r="A1452" s="3" t="s">
        <v>919</v>
      </c>
      <c r="B1452" s="6" t="s">
        <v>3834</v>
      </c>
      <c r="C1452" s="3" t="s">
        <v>8378</v>
      </c>
      <c r="D1452" s="3" t="s">
        <v>7820</v>
      </c>
      <c r="E1452" s="3" t="s">
        <v>6076</v>
      </c>
    </row>
    <row r="1453" spans="1:5" x14ac:dyDescent="0.25">
      <c r="A1453" s="3" t="s">
        <v>918</v>
      </c>
      <c r="B1453" s="6" t="s">
        <v>3835</v>
      </c>
      <c r="C1453" s="3" t="s">
        <v>8378</v>
      </c>
      <c r="D1453" s="3" t="s">
        <v>6774</v>
      </c>
      <c r="E1453" s="3" t="s">
        <v>6077</v>
      </c>
    </row>
    <row r="1454" spans="1:5" x14ac:dyDescent="0.25">
      <c r="A1454" s="3" t="s">
        <v>917</v>
      </c>
      <c r="B1454" s="6" t="s">
        <v>3836</v>
      </c>
      <c r="C1454" s="3" t="s">
        <v>8378</v>
      </c>
      <c r="D1454" s="3" t="s">
        <v>7347</v>
      </c>
      <c r="E1454" s="3" t="s">
        <v>6078</v>
      </c>
    </row>
    <row r="1455" spans="1:5" x14ac:dyDescent="0.25">
      <c r="A1455" s="3" t="s">
        <v>916</v>
      </c>
      <c r="B1455" s="6" t="s">
        <v>3837</v>
      </c>
      <c r="C1455" s="3" t="s">
        <v>8378</v>
      </c>
      <c r="D1455" s="3" t="s">
        <v>7821</v>
      </c>
      <c r="E1455" s="3" t="s">
        <v>6079</v>
      </c>
    </row>
    <row r="1456" spans="1:5" x14ac:dyDescent="0.25">
      <c r="A1456" s="3" t="s">
        <v>915</v>
      </c>
      <c r="B1456" s="6" t="s">
        <v>3838</v>
      </c>
      <c r="C1456" s="3" t="s">
        <v>8378</v>
      </c>
      <c r="D1456" s="3" t="s">
        <v>7822</v>
      </c>
      <c r="E1456" s="3" t="s">
        <v>6080</v>
      </c>
    </row>
    <row r="1457" spans="1:5" x14ac:dyDescent="0.25">
      <c r="A1457" s="3" t="s">
        <v>914</v>
      </c>
      <c r="B1457" s="6" t="s">
        <v>3839</v>
      </c>
      <c r="C1457" s="3" t="s">
        <v>8378</v>
      </c>
      <c r="D1457" s="3" t="s">
        <v>7823</v>
      </c>
      <c r="E1457" s="3" t="s">
        <v>5107</v>
      </c>
    </row>
    <row r="1458" spans="1:5" x14ac:dyDescent="0.25">
      <c r="A1458" s="3" t="s">
        <v>913</v>
      </c>
      <c r="B1458" s="6" t="s">
        <v>3840</v>
      </c>
      <c r="C1458" s="3" t="s">
        <v>8377</v>
      </c>
      <c r="D1458" s="3" t="s">
        <v>7824</v>
      </c>
      <c r="E1458" s="3" t="s">
        <v>6081</v>
      </c>
    </row>
    <row r="1459" spans="1:5" x14ac:dyDescent="0.25">
      <c r="A1459" s="3" t="s">
        <v>912</v>
      </c>
      <c r="B1459" s="6" t="s">
        <v>3841</v>
      </c>
      <c r="C1459" s="3" t="s">
        <v>8377</v>
      </c>
      <c r="D1459" s="3" t="s">
        <v>5057</v>
      </c>
      <c r="E1459" s="3" t="s">
        <v>6082</v>
      </c>
    </row>
    <row r="1460" spans="1:5" x14ac:dyDescent="0.25">
      <c r="A1460" s="3" t="s">
        <v>911</v>
      </c>
      <c r="B1460" s="6" t="s">
        <v>3842</v>
      </c>
      <c r="C1460" s="3" t="s">
        <v>8378</v>
      </c>
      <c r="D1460" s="3" t="s">
        <v>7825</v>
      </c>
      <c r="E1460" s="3" t="s">
        <v>6083</v>
      </c>
    </row>
    <row r="1461" spans="1:5" x14ac:dyDescent="0.25">
      <c r="A1461" s="3" t="s">
        <v>910</v>
      </c>
      <c r="B1461" s="6" t="s">
        <v>3843</v>
      </c>
      <c r="C1461" s="3" t="s">
        <v>8378</v>
      </c>
      <c r="D1461" s="3" t="s">
        <v>7826</v>
      </c>
      <c r="E1461" s="3" t="s">
        <v>5512</v>
      </c>
    </row>
    <row r="1462" spans="1:5" x14ac:dyDescent="0.25">
      <c r="A1462" s="3" t="s">
        <v>909</v>
      </c>
      <c r="B1462" s="6" t="s">
        <v>3844</v>
      </c>
      <c r="C1462" s="3" t="s">
        <v>8377</v>
      </c>
      <c r="D1462" s="3" t="s">
        <v>7169</v>
      </c>
      <c r="E1462" s="3" t="s">
        <v>5048</v>
      </c>
    </row>
    <row r="1463" spans="1:5" x14ac:dyDescent="0.25">
      <c r="A1463" s="3" t="s">
        <v>908</v>
      </c>
      <c r="B1463" s="6" t="s">
        <v>3845</v>
      </c>
      <c r="C1463" s="3" t="s">
        <v>8377</v>
      </c>
      <c r="D1463" s="3" t="s">
        <v>7827</v>
      </c>
      <c r="E1463" s="3" t="s">
        <v>4987</v>
      </c>
    </row>
    <row r="1464" spans="1:5" x14ac:dyDescent="0.25">
      <c r="A1464" s="3" t="s">
        <v>907</v>
      </c>
      <c r="B1464" s="6" t="s">
        <v>3846</v>
      </c>
      <c r="C1464" s="3" t="s">
        <v>8378</v>
      </c>
      <c r="D1464" s="3" t="s">
        <v>6964</v>
      </c>
      <c r="E1464" s="3" t="s">
        <v>6084</v>
      </c>
    </row>
    <row r="1465" spans="1:5" x14ac:dyDescent="0.25">
      <c r="A1465" s="3" t="s">
        <v>906</v>
      </c>
      <c r="B1465" s="6" t="s">
        <v>3847</v>
      </c>
      <c r="C1465" s="3" t="s">
        <v>8378</v>
      </c>
      <c r="D1465" s="3" t="s">
        <v>7828</v>
      </c>
      <c r="E1465" s="3" t="s">
        <v>6085</v>
      </c>
    </row>
    <row r="1466" spans="1:5" x14ac:dyDescent="0.25">
      <c r="A1466" s="3" t="s">
        <v>905</v>
      </c>
      <c r="B1466" s="6" t="s">
        <v>3848</v>
      </c>
      <c r="C1466" s="3" t="s">
        <v>8377</v>
      </c>
      <c r="D1466" s="3" t="s">
        <v>7829</v>
      </c>
      <c r="E1466" s="3" t="s">
        <v>5029</v>
      </c>
    </row>
    <row r="1467" spans="1:5" x14ac:dyDescent="0.25">
      <c r="A1467" s="3" t="s">
        <v>904</v>
      </c>
      <c r="B1467" s="6" t="s">
        <v>3849</v>
      </c>
      <c r="C1467" s="3" t="s">
        <v>8378</v>
      </c>
      <c r="D1467" s="3" t="s">
        <v>7830</v>
      </c>
      <c r="E1467" s="3" t="s">
        <v>4765</v>
      </c>
    </row>
    <row r="1468" spans="1:5" x14ac:dyDescent="0.25">
      <c r="A1468" s="3" t="s">
        <v>903</v>
      </c>
      <c r="B1468" s="6" t="s">
        <v>3850</v>
      </c>
      <c r="C1468" s="3" t="s">
        <v>8378</v>
      </c>
      <c r="D1468" s="3" t="s">
        <v>7831</v>
      </c>
      <c r="E1468" s="3" t="s">
        <v>6086</v>
      </c>
    </row>
    <row r="1469" spans="1:5" x14ac:dyDescent="0.25">
      <c r="A1469" s="3" t="s">
        <v>902</v>
      </c>
      <c r="B1469" s="6" t="s">
        <v>3851</v>
      </c>
      <c r="C1469" s="3" t="s">
        <v>8378</v>
      </c>
      <c r="D1469" s="3" t="s">
        <v>7832</v>
      </c>
      <c r="E1469" s="3" t="s">
        <v>6087</v>
      </c>
    </row>
    <row r="1470" spans="1:5" x14ac:dyDescent="0.25">
      <c r="A1470" s="3" t="s">
        <v>901</v>
      </c>
      <c r="B1470" s="6" t="s">
        <v>3852</v>
      </c>
      <c r="C1470" s="3" t="s">
        <v>8378</v>
      </c>
      <c r="D1470" s="3" t="s">
        <v>6291</v>
      </c>
      <c r="E1470" s="3" t="s">
        <v>6088</v>
      </c>
    </row>
    <row r="1471" spans="1:5" x14ac:dyDescent="0.25">
      <c r="A1471" s="3" t="s">
        <v>900</v>
      </c>
      <c r="B1471" s="6" t="s">
        <v>3853</v>
      </c>
      <c r="C1471" s="3" t="s">
        <v>8377</v>
      </c>
      <c r="D1471" s="3" t="s">
        <v>7833</v>
      </c>
      <c r="E1471" s="3" t="s">
        <v>6089</v>
      </c>
    </row>
    <row r="1472" spans="1:5" x14ac:dyDescent="0.25">
      <c r="A1472" s="3" t="s">
        <v>899</v>
      </c>
      <c r="B1472" s="6" t="s">
        <v>3854</v>
      </c>
      <c r="C1472" s="3" t="s">
        <v>8378</v>
      </c>
      <c r="D1472" s="3" t="s">
        <v>7834</v>
      </c>
      <c r="E1472" s="3" t="s">
        <v>6090</v>
      </c>
    </row>
    <row r="1473" spans="1:5" x14ac:dyDescent="0.25">
      <c r="A1473" s="3" t="s">
        <v>898</v>
      </c>
      <c r="B1473" s="6" t="s">
        <v>3855</v>
      </c>
      <c r="C1473" s="3" t="s">
        <v>8377</v>
      </c>
      <c r="D1473" s="3" t="s">
        <v>7369</v>
      </c>
      <c r="E1473" s="3" t="s">
        <v>6091</v>
      </c>
    </row>
    <row r="1474" spans="1:5" x14ac:dyDescent="0.25">
      <c r="A1474" s="3" t="s">
        <v>897</v>
      </c>
      <c r="B1474" s="6" t="s">
        <v>3856</v>
      </c>
      <c r="C1474" s="3" t="s">
        <v>8378</v>
      </c>
      <c r="D1474" s="3" t="s">
        <v>7313</v>
      </c>
      <c r="E1474" s="3" t="s">
        <v>6092</v>
      </c>
    </row>
    <row r="1475" spans="1:5" x14ac:dyDescent="0.25">
      <c r="A1475" s="3" t="s">
        <v>896</v>
      </c>
      <c r="B1475" s="6" t="s">
        <v>3857</v>
      </c>
      <c r="C1475" s="3" t="s">
        <v>8378</v>
      </c>
      <c r="D1475" s="3" t="s">
        <v>7835</v>
      </c>
      <c r="E1475" s="3" t="s">
        <v>6093</v>
      </c>
    </row>
    <row r="1476" spans="1:5" x14ac:dyDescent="0.25">
      <c r="A1476" s="3" t="s">
        <v>895</v>
      </c>
      <c r="B1476" s="6" t="s">
        <v>3858</v>
      </c>
      <c r="C1476" s="3" t="s">
        <v>8377</v>
      </c>
      <c r="D1476" s="3" t="s">
        <v>7836</v>
      </c>
      <c r="E1476" s="3" t="s">
        <v>6094</v>
      </c>
    </row>
    <row r="1477" spans="1:5" x14ac:dyDescent="0.25">
      <c r="A1477" s="3" t="s">
        <v>894</v>
      </c>
      <c r="B1477" s="6" t="s">
        <v>3859</v>
      </c>
      <c r="C1477" s="3" t="s">
        <v>8378</v>
      </c>
      <c r="D1477" s="3" t="s">
        <v>7837</v>
      </c>
      <c r="E1477" s="3" t="s">
        <v>6095</v>
      </c>
    </row>
    <row r="1478" spans="1:5" x14ac:dyDescent="0.25">
      <c r="A1478" s="3" t="s">
        <v>893</v>
      </c>
      <c r="B1478" s="6" t="s">
        <v>3860</v>
      </c>
      <c r="C1478" s="3" t="s">
        <v>8377</v>
      </c>
      <c r="D1478" s="3" t="s">
        <v>7716</v>
      </c>
      <c r="E1478" s="3" t="s">
        <v>6096</v>
      </c>
    </row>
    <row r="1479" spans="1:5" x14ac:dyDescent="0.25">
      <c r="A1479" s="3" t="s">
        <v>892</v>
      </c>
      <c r="B1479" s="6" t="s">
        <v>3861</v>
      </c>
      <c r="C1479" s="3" t="s">
        <v>8378</v>
      </c>
      <c r="D1479" s="3" t="s">
        <v>7838</v>
      </c>
      <c r="E1479" s="3" t="s">
        <v>6097</v>
      </c>
    </row>
    <row r="1480" spans="1:5" x14ac:dyDescent="0.25">
      <c r="A1480" s="3" t="s">
        <v>891</v>
      </c>
      <c r="B1480" s="6" t="s">
        <v>3862</v>
      </c>
      <c r="C1480" s="3" t="s">
        <v>8378</v>
      </c>
      <c r="D1480" s="3" t="s">
        <v>7839</v>
      </c>
      <c r="E1480" s="3" t="s">
        <v>6098</v>
      </c>
    </row>
    <row r="1481" spans="1:5" x14ac:dyDescent="0.25">
      <c r="A1481" s="3" t="s">
        <v>890</v>
      </c>
      <c r="B1481" s="6" t="s">
        <v>3863</v>
      </c>
      <c r="C1481" s="3" t="s">
        <v>8377</v>
      </c>
      <c r="D1481" s="3" t="s">
        <v>7840</v>
      </c>
      <c r="E1481" s="3" t="s">
        <v>6099</v>
      </c>
    </row>
    <row r="1482" spans="1:5" x14ac:dyDescent="0.25">
      <c r="A1482" s="3" t="s">
        <v>889</v>
      </c>
      <c r="B1482" s="6" t="s">
        <v>3864</v>
      </c>
      <c r="C1482" s="3" t="s">
        <v>8378</v>
      </c>
      <c r="D1482" s="3" t="s">
        <v>6981</v>
      </c>
      <c r="E1482" s="3" t="s">
        <v>6100</v>
      </c>
    </row>
    <row r="1483" spans="1:5" x14ac:dyDescent="0.25">
      <c r="A1483" s="3" t="s">
        <v>888</v>
      </c>
      <c r="B1483" s="6" t="s">
        <v>3865</v>
      </c>
      <c r="C1483" s="3" t="s">
        <v>8377</v>
      </c>
      <c r="D1483" s="3" t="s">
        <v>7841</v>
      </c>
      <c r="E1483" s="3" t="s">
        <v>5993</v>
      </c>
    </row>
    <row r="1484" spans="1:5" x14ac:dyDescent="0.25">
      <c r="A1484" s="3" t="s">
        <v>887</v>
      </c>
      <c r="B1484" s="6" t="s">
        <v>3866</v>
      </c>
      <c r="C1484" s="3" t="s">
        <v>8378</v>
      </c>
      <c r="D1484" s="3" t="s">
        <v>7842</v>
      </c>
      <c r="E1484" s="3" t="s">
        <v>6101</v>
      </c>
    </row>
    <row r="1485" spans="1:5" x14ac:dyDescent="0.25">
      <c r="A1485" s="3" t="s">
        <v>886</v>
      </c>
      <c r="B1485" s="6" t="s">
        <v>3867</v>
      </c>
      <c r="C1485" s="3" t="s">
        <v>8377</v>
      </c>
      <c r="D1485" s="3" t="s">
        <v>6143</v>
      </c>
      <c r="E1485" s="3" t="s">
        <v>6102</v>
      </c>
    </row>
    <row r="1486" spans="1:5" x14ac:dyDescent="0.25">
      <c r="A1486" s="3" t="s">
        <v>885</v>
      </c>
      <c r="B1486" s="6" t="s">
        <v>3868</v>
      </c>
      <c r="C1486" s="3" t="s">
        <v>8377</v>
      </c>
      <c r="D1486" s="3" t="s">
        <v>7422</v>
      </c>
      <c r="E1486" s="3" t="s">
        <v>6103</v>
      </c>
    </row>
    <row r="1487" spans="1:5" x14ac:dyDescent="0.25">
      <c r="A1487" s="3" t="s">
        <v>884</v>
      </c>
      <c r="B1487" s="6" t="s">
        <v>3869</v>
      </c>
      <c r="C1487" s="3" t="s">
        <v>8377</v>
      </c>
      <c r="D1487" s="3" t="s">
        <v>7843</v>
      </c>
      <c r="E1487" s="3" t="s">
        <v>6104</v>
      </c>
    </row>
    <row r="1488" spans="1:5" x14ac:dyDescent="0.25">
      <c r="A1488" s="3" t="s">
        <v>883</v>
      </c>
      <c r="B1488" s="6" t="s">
        <v>3870</v>
      </c>
      <c r="C1488" s="3" t="s">
        <v>8377</v>
      </c>
      <c r="D1488" s="3" t="s">
        <v>7844</v>
      </c>
      <c r="E1488" s="3" t="s">
        <v>6105</v>
      </c>
    </row>
    <row r="1489" spans="1:5" x14ac:dyDescent="0.25">
      <c r="A1489" s="3" t="s">
        <v>882</v>
      </c>
      <c r="B1489" s="6" t="s">
        <v>3871</v>
      </c>
      <c r="C1489" s="3" t="s">
        <v>8378</v>
      </c>
      <c r="D1489" s="3" t="s">
        <v>7845</v>
      </c>
      <c r="E1489" s="3" t="s">
        <v>5669</v>
      </c>
    </row>
    <row r="1490" spans="1:5" x14ac:dyDescent="0.25">
      <c r="A1490" s="3" t="s">
        <v>881</v>
      </c>
      <c r="B1490" s="6" t="s">
        <v>3872</v>
      </c>
      <c r="C1490" s="3" t="s">
        <v>8377</v>
      </c>
      <c r="D1490" s="3" t="s">
        <v>7846</v>
      </c>
      <c r="E1490" s="3" t="s">
        <v>6106</v>
      </c>
    </row>
    <row r="1491" spans="1:5" x14ac:dyDescent="0.25">
      <c r="A1491" s="3" t="s">
        <v>880</v>
      </c>
      <c r="B1491" s="6" t="s">
        <v>3873</v>
      </c>
      <c r="C1491" s="3" t="s">
        <v>8377</v>
      </c>
      <c r="D1491" s="3" t="s">
        <v>7847</v>
      </c>
      <c r="E1491" s="3" t="s">
        <v>6107</v>
      </c>
    </row>
    <row r="1492" spans="1:5" x14ac:dyDescent="0.25">
      <c r="A1492" s="3" t="s">
        <v>879</v>
      </c>
      <c r="B1492" s="6" t="s">
        <v>3874</v>
      </c>
      <c r="C1492" s="3" t="s">
        <v>8377</v>
      </c>
      <c r="D1492" s="3" t="s">
        <v>7848</v>
      </c>
      <c r="E1492" s="3" t="s">
        <v>6108</v>
      </c>
    </row>
    <row r="1493" spans="1:5" x14ac:dyDescent="0.25">
      <c r="A1493" s="3" t="s">
        <v>878</v>
      </c>
      <c r="B1493" s="6" t="s">
        <v>3875</v>
      </c>
      <c r="C1493" s="3" t="s">
        <v>8378</v>
      </c>
      <c r="D1493" s="3" t="s">
        <v>7849</v>
      </c>
      <c r="E1493" s="3" t="s">
        <v>6109</v>
      </c>
    </row>
    <row r="1494" spans="1:5" x14ac:dyDescent="0.25">
      <c r="A1494" s="3" t="s">
        <v>877</v>
      </c>
      <c r="B1494" s="6" t="s">
        <v>3876</v>
      </c>
      <c r="C1494" s="3" t="s">
        <v>8378</v>
      </c>
      <c r="D1494" s="3" t="s">
        <v>7850</v>
      </c>
      <c r="E1494" s="3" t="s">
        <v>6110</v>
      </c>
    </row>
    <row r="1495" spans="1:5" x14ac:dyDescent="0.25">
      <c r="A1495" s="3" t="s">
        <v>876</v>
      </c>
      <c r="B1495" s="6" t="s">
        <v>3877</v>
      </c>
      <c r="C1495" s="3" t="s">
        <v>8377</v>
      </c>
      <c r="D1495" s="3" t="s">
        <v>7739</v>
      </c>
      <c r="E1495" s="3" t="s">
        <v>6111</v>
      </c>
    </row>
    <row r="1496" spans="1:5" x14ac:dyDescent="0.25">
      <c r="A1496" s="3" t="s">
        <v>875</v>
      </c>
      <c r="B1496" s="6" t="s">
        <v>3878</v>
      </c>
      <c r="C1496" s="3" t="s">
        <v>8378</v>
      </c>
      <c r="D1496" s="3" t="s">
        <v>7851</v>
      </c>
      <c r="E1496" s="3" t="s">
        <v>6112</v>
      </c>
    </row>
    <row r="1497" spans="1:5" x14ac:dyDescent="0.25">
      <c r="A1497" s="3" t="s">
        <v>874</v>
      </c>
      <c r="B1497" s="6" t="s">
        <v>3879</v>
      </c>
      <c r="C1497" s="3" t="s">
        <v>8378</v>
      </c>
      <c r="D1497" s="3" t="s">
        <v>7852</v>
      </c>
      <c r="E1497" s="3" t="s">
        <v>6113</v>
      </c>
    </row>
    <row r="1498" spans="1:5" x14ac:dyDescent="0.25">
      <c r="A1498" s="3" t="s">
        <v>873</v>
      </c>
      <c r="B1498" s="6" t="s">
        <v>3880</v>
      </c>
      <c r="C1498" s="3" t="s">
        <v>8378</v>
      </c>
      <c r="D1498" s="3" t="s">
        <v>7853</v>
      </c>
      <c r="E1498" s="3" t="s">
        <v>6114</v>
      </c>
    </row>
    <row r="1499" spans="1:5" x14ac:dyDescent="0.25">
      <c r="A1499" s="3" t="s">
        <v>872</v>
      </c>
      <c r="B1499" s="6" t="s">
        <v>3881</v>
      </c>
      <c r="C1499" s="3" t="s">
        <v>8378</v>
      </c>
      <c r="D1499" s="3" t="s">
        <v>6315</v>
      </c>
      <c r="E1499" s="3" t="s">
        <v>6115</v>
      </c>
    </row>
    <row r="1500" spans="1:5" x14ac:dyDescent="0.25">
      <c r="A1500" s="3" t="s">
        <v>871</v>
      </c>
      <c r="B1500" s="6" t="s">
        <v>3882</v>
      </c>
      <c r="C1500" s="3" t="s">
        <v>8377</v>
      </c>
      <c r="D1500" s="3" t="s">
        <v>7854</v>
      </c>
      <c r="E1500" s="3" t="s">
        <v>6116</v>
      </c>
    </row>
    <row r="1501" spans="1:5" x14ac:dyDescent="0.25">
      <c r="A1501" s="3" t="s">
        <v>870</v>
      </c>
      <c r="B1501" s="6" t="s">
        <v>3883</v>
      </c>
      <c r="C1501" s="3" t="s">
        <v>8377</v>
      </c>
      <c r="D1501" s="3" t="s">
        <v>7277</v>
      </c>
      <c r="E1501" s="3" t="s">
        <v>6117</v>
      </c>
    </row>
    <row r="1502" spans="1:5" x14ac:dyDescent="0.25">
      <c r="A1502" s="3" t="s">
        <v>869</v>
      </c>
      <c r="B1502" s="6" t="s">
        <v>3884</v>
      </c>
      <c r="C1502" s="3" t="s">
        <v>8379</v>
      </c>
      <c r="D1502" s="3" t="s">
        <v>7855</v>
      </c>
      <c r="E1502" s="3" t="s">
        <v>6118</v>
      </c>
    </row>
    <row r="1503" spans="1:5" x14ac:dyDescent="0.25">
      <c r="A1503" s="3" t="s">
        <v>868</v>
      </c>
      <c r="B1503" s="6" t="s">
        <v>3885</v>
      </c>
      <c r="C1503" s="3" t="s">
        <v>8377</v>
      </c>
      <c r="D1503" s="3" t="s">
        <v>7265</v>
      </c>
      <c r="E1503" s="3" t="s">
        <v>6119</v>
      </c>
    </row>
    <row r="1504" spans="1:5" x14ac:dyDescent="0.25">
      <c r="A1504" s="3" t="s">
        <v>867</v>
      </c>
      <c r="B1504" s="6" t="s">
        <v>3886</v>
      </c>
      <c r="C1504" s="3" t="s">
        <v>8377</v>
      </c>
      <c r="D1504" s="3" t="s">
        <v>7856</v>
      </c>
      <c r="E1504" s="3" t="s">
        <v>6120</v>
      </c>
    </row>
    <row r="1505" spans="1:5" x14ac:dyDescent="0.25">
      <c r="A1505" s="3" t="s">
        <v>866</v>
      </c>
      <c r="B1505" s="6" t="s">
        <v>3887</v>
      </c>
      <c r="C1505" s="3" t="s">
        <v>8378</v>
      </c>
      <c r="D1505" s="3" t="s">
        <v>7857</v>
      </c>
      <c r="E1505" s="3" t="s">
        <v>5603</v>
      </c>
    </row>
    <row r="1506" spans="1:5" x14ac:dyDescent="0.25">
      <c r="A1506" s="3" t="s">
        <v>865</v>
      </c>
      <c r="B1506" s="6" t="s">
        <v>3888</v>
      </c>
      <c r="C1506" s="3" t="s">
        <v>8378</v>
      </c>
      <c r="D1506" s="3" t="s">
        <v>7858</v>
      </c>
      <c r="E1506" s="3" t="s">
        <v>6121</v>
      </c>
    </row>
    <row r="1507" spans="1:5" x14ac:dyDescent="0.25">
      <c r="A1507" s="3" t="s">
        <v>864</v>
      </c>
      <c r="B1507" s="6" t="s">
        <v>3889</v>
      </c>
      <c r="C1507" s="3" t="s">
        <v>8377</v>
      </c>
      <c r="D1507" s="3" t="s">
        <v>7859</v>
      </c>
      <c r="E1507" s="3" t="s">
        <v>6122</v>
      </c>
    </row>
    <row r="1508" spans="1:5" x14ac:dyDescent="0.25">
      <c r="A1508" s="3" t="s">
        <v>863</v>
      </c>
      <c r="B1508" s="6" t="s">
        <v>3890</v>
      </c>
      <c r="C1508" s="3" t="s">
        <v>8378</v>
      </c>
      <c r="D1508" s="3" t="s">
        <v>7780</v>
      </c>
      <c r="E1508" s="3" t="s">
        <v>6123</v>
      </c>
    </row>
    <row r="1509" spans="1:5" x14ac:dyDescent="0.25">
      <c r="A1509" s="3" t="s">
        <v>862</v>
      </c>
      <c r="B1509" s="6" t="s">
        <v>3891</v>
      </c>
      <c r="C1509" s="3" t="s">
        <v>8378</v>
      </c>
      <c r="D1509" s="3" t="s">
        <v>7860</v>
      </c>
      <c r="E1509" s="3" t="s">
        <v>5530</v>
      </c>
    </row>
    <row r="1510" spans="1:5" x14ac:dyDescent="0.25">
      <c r="A1510" s="3" t="s">
        <v>861</v>
      </c>
      <c r="B1510" s="6" t="s">
        <v>3892</v>
      </c>
      <c r="C1510" s="3" t="s">
        <v>8378</v>
      </c>
      <c r="D1510" s="3" t="s">
        <v>6913</v>
      </c>
      <c r="E1510" s="3" t="s">
        <v>4929</v>
      </c>
    </row>
    <row r="1511" spans="1:5" x14ac:dyDescent="0.25">
      <c r="A1511" s="3" t="s">
        <v>860</v>
      </c>
      <c r="B1511" s="6" t="s">
        <v>3893</v>
      </c>
      <c r="C1511" s="3" t="s">
        <v>8377</v>
      </c>
      <c r="D1511" s="3" t="s">
        <v>7861</v>
      </c>
      <c r="E1511" s="3" t="s">
        <v>6124</v>
      </c>
    </row>
    <row r="1512" spans="1:5" x14ac:dyDescent="0.25">
      <c r="A1512" s="3" t="s">
        <v>859</v>
      </c>
      <c r="B1512" s="6" t="s">
        <v>3894</v>
      </c>
      <c r="C1512" s="3" t="s">
        <v>8378</v>
      </c>
      <c r="D1512" s="3" t="s">
        <v>6882</v>
      </c>
      <c r="E1512" s="3" t="s">
        <v>6125</v>
      </c>
    </row>
    <row r="1513" spans="1:5" x14ac:dyDescent="0.25">
      <c r="A1513" s="3" t="s">
        <v>858</v>
      </c>
      <c r="B1513" s="6" t="s">
        <v>3895</v>
      </c>
      <c r="C1513" s="3" t="s">
        <v>8378</v>
      </c>
      <c r="D1513" s="3" t="s">
        <v>7862</v>
      </c>
      <c r="E1513" s="3" t="s">
        <v>6126</v>
      </c>
    </row>
    <row r="1514" spans="1:5" x14ac:dyDescent="0.25">
      <c r="A1514" s="3" t="s">
        <v>857</v>
      </c>
      <c r="B1514" s="6" t="s">
        <v>3896</v>
      </c>
      <c r="C1514" s="3" t="s">
        <v>8377</v>
      </c>
      <c r="D1514" s="3" t="s">
        <v>7863</v>
      </c>
      <c r="E1514" s="3" t="s">
        <v>6127</v>
      </c>
    </row>
    <row r="1515" spans="1:5" x14ac:dyDescent="0.25">
      <c r="A1515" s="3" t="s">
        <v>856</v>
      </c>
      <c r="B1515" s="6" t="s">
        <v>3897</v>
      </c>
      <c r="C1515" s="3" t="s">
        <v>8378</v>
      </c>
      <c r="D1515" s="3" t="s">
        <v>7864</v>
      </c>
      <c r="E1515" s="3" t="s">
        <v>6128</v>
      </c>
    </row>
    <row r="1516" spans="1:5" x14ac:dyDescent="0.25">
      <c r="A1516" s="3" t="s">
        <v>855</v>
      </c>
      <c r="B1516" s="6" t="s">
        <v>3898</v>
      </c>
      <c r="C1516" s="3" t="s">
        <v>8378</v>
      </c>
      <c r="D1516" s="3" t="s">
        <v>6882</v>
      </c>
      <c r="E1516" s="3" t="s">
        <v>6129</v>
      </c>
    </row>
    <row r="1517" spans="1:5" x14ac:dyDescent="0.25">
      <c r="A1517" s="3" t="s">
        <v>854</v>
      </c>
      <c r="B1517" s="6" t="s">
        <v>3899</v>
      </c>
      <c r="C1517" s="3" t="s">
        <v>8378</v>
      </c>
      <c r="D1517" s="3" t="s">
        <v>7865</v>
      </c>
      <c r="E1517" s="3" t="s">
        <v>6130</v>
      </c>
    </row>
    <row r="1518" spans="1:5" x14ac:dyDescent="0.25">
      <c r="A1518" s="3" t="s">
        <v>853</v>
      </c>
      <c r="B1518" s="6" t="s">
        <v>3900</v>
      </c>
      <c r="C1518" s="3" t="s">
        <v>8377</v>
      </c>
      <c r="D1518" s="3" t="s">
        <v>7866</v>
      </c>
      <c r="E1518" s="3" t="s">
        <v>6131</v>
      </c>
    </row>
    <row r="1519" spans="1:5" x14ac:dyDescent="0.25">
      <c r="A1519" s="3" t="s">
        <v>852</v>
      </c>
      <c r="B1519" s="6" t="s">
        <v>3901</v>
      </c>
      <c r="C1519" s="3" t="s">
        <v>8377</v>
      </c>
      <c r="D1519" s="3" t="s">
        <v>7116</v>
      </c>
      <c r="E1519" s="3" t="s">
        <v>6132</v>
      </c>
    </row>
    <row r="1520" spans="1:5" x14ac:dyDescent="0.25">
      <c r="A1520" s="3" t="s">
        <v>851</v>
      </c>
      <c r="B1520" s="6" t="s">
        <v>3902</v>
      </c>
      <c r="C1520" s="3" t="s">
        <v>8377</v>
      </c>
      <c r="D1520" s="3" t="s">
        <v>7867</v>
      </c>
      <c r="E1520" s="3" t="s">
        <v>6133</v>
      </c>
    </row>
    <row r="1521" spans="1:5" x14ac:dyDescent="0.25">
      <c r="A1521" s="3" t="s">
        <v>850</v>
      </c>
      <c r="B1521" s="6" t="s">
        <v>3903</v>
      </c>
      <c r="C1521" s="3" t="s">
        <v>8377</v>
      </c>
      <c r="D1521" s="3" t="s">
        <v>7868</v>
      </c>
      <c r="E1521" s="3" t="s">
        <v>6134</v>
      </c>
    </row>
    <row r="1522" spans="1:5" x14ac:dyDescent="0.25">
      <c r="A1522" s="3" t="s">
        <v>849</v>
      </c>
      <c r="B1522" s="6" t="s">
        <v>3904</v>
      </c>
      <c r="C1522" s="3" t="s">
        <v>8378</v>
      </c>
      <c r="D1522" s="3" t="s">
        <v>7869</v>
      </c>
      <c r="E1522" s="3" t="s">
        <v>6135</v>
      </c>
    </row>
    <row r="1523" spans="1:5" x14ac:dyDescent="0.25">
      <c r="A1523" s="3" t="s">
        <v>848</v>
      </c>
      <c r="B1523" s="6" t="s">
        <v>3905</v>
      </c>
      <c r="C1523" s="3" t="s">
        <v>8377</v>
      </c>
      <c r="D1523" s="3" t="s">
        <v>7258</v>
      </c>
      <c r="E1523" s="3" t="s">
        <v>6136</v>
      </c>
    </row>
    <row r="1524" spans="1:5" x14ac:dyDescent="0.25">
      <c r="A1524" s="3" t="s">
        <v>847</v>
      </c>
      <c r="B1524" s="6" t="s">
        <v>3906</v>
      </c>
      <c r="C1524" s="3" t="s">
        <v>8378</v>
      </c>
      <c r="D1524" s="3" t="s">
        <v>7870</v>
      </c>
      <c r="E1524" s="3" t="s">
        <v>6137</v>
      </c>
    </row>
    <row r="1525" spans="1:5" x14ac:dyDescent="0.25">
      <c r="A1525" s="3" t="s">
        <v>846</v>
      </c>
      <c r="B1525" s="6" t="s">
        <v>3907</v>
      </c>
      <c r="C1525" s="3" t="s">
        <v>8378</v>
      </c>
      <c r="D1525" s="3" t="s">
        <v>6291</v>
      </c>
      <c r="E1525" s="3" t="s">
        <v>6138</v>
      </c>
    </row>
    <row r="1526" spans="1:5" x14ac:dyDescent="0.25">
      <c r="A1526" s="3" t="s">
        <v>845</v>
      </c>
      <c r="B1526" s="6" t="s">
        <v>3908</v>
      </c>
      <c r="C1526" s="3" t="s">
        <v>8378</v>
      </c>
      <c r="D1526" s="3" t="s">
        <v>7871</v>
      </c>
      <c r="E1526" s="3" t="s">
        <v>5579</v>
      </c>
    </row>
    <row r="1527" spans="1:5" x14ac:dyDescent="0.25">
      <c r="A1527" s="3" t="s">
        <v>844</v>
      </c>
      <c r="B1527" s="6" t="s">
        <v>3909</v>
      </c>
      <c r="C1527" s="3" t="s">
        <v>8377</v>
      </c>
      <c r="D1527" s="3" t="s">
        <v>7872</v>
      </c>
      <c r="E1527" s="3" t="s">
        <v>6139</v>
      </c>
    </row>
    <row r="1528" spans="1:5" x14ac:dyDescent="0.25">
      <c r="A1528" s="3" t="s">
        <v>843</v>
      </c>
      <c r="B1528" s="6" t="s">
        <v>3910</v>
      </c>
      <c r="C1528" s="3" t="s">
        <v>8377</v>
      </c>
      <c r="D1528" s="3" t="s">
        <v>7873</v>
      </c>
      <c r="E1528" s="3" t="s">
        <v>6140</v>
      </c>
    </row>
    <row r="1529" spans="1:5" x14ac:dyDescent="0.25">
      <c r="A1529" s="3" t="s">
        <v>842</v>
      </c>
      <c r="B1529" s="6" t="s">
        <v>3911</v>
      </c>
      <c r="C1529" s="3" t="s">
        <v>8378</v>
      </c>
      <c r="D1529" s="3" t="s">
        <v>7874</v>
      </c>
      <c r="E1529" s="3" t="s">
        <v>6141</v>
      </c>
    </row>
    <row r="1530" spans="1:5" x14ac:dyDescent="0.25">
      <c r="A1530" s="3" t="s">
        <v>841</v>
      </c>
      <c r="B1530" s="6" t="s">
        <v>3912</v>
      </c>
      <c r="C1530" s="3" t="s">
        <v>8377</v>
      </c>
      <c r="D1530" s="3" t="s">
        <v>7875</v>
      </c>
      <c r="E1530" s="3" t="s">
        <v>6142</v>
      </c>
    </row>
    <row r="1531" spans="1:5" x14ac:dyDescent="0.25">
      <c r="A1531" s="3" t="s">
        <v>840</v>
      </c>
      <c r="B1531" s="6" t="s">
        <v>3913</v>
      </c>
      <c r="C1531" s="3" t="s">
        <v>8377</v>
      </c>
      <c r="D1531" s="3" t="s">
        <v>6820</v>
      </c>
      <c r="E1531" s="3" t="s">
        <v>5051</v>
      </c>
    </row>
    <row r="1532" spans="1:5" x14ac:dyDescent="0.25">
      <c r="A1532" s="3" t="s">
        <v>839</v>
      </c>
      <c r="B1532" s="6" t="s">
        <v>3914</v>
      </c>
      <c r="C1532" s="3" t="s">
        <v>8377</v>
      </c>
      <c r="D1532" s="3" t="s">
        <v>7876</v>
      </c>
      <c r="E1532" s="3" t="s">
        <v>6143</v>
      </c>
    </row>
    <row r="1533" spans="1:5" x14ac:dyDescent="0.25">
      <c r="A1533" s="3" t="s">
        <v>838</v>
      </c>
      <c r="B1533" s="6" t="s">
        <v>3915</v>
      </c>
      <c r="C1533" s="3" t="s">
        <v>8378</v>
      </c>
      <c r="D1533" s="3" t="s">
        <v>7877</v>
      </c>
      <c r="E1533" s="3" t="s">
        <v>6144</v>
      </c>
    </row>
    <row r="1534" spans="1:5" x14ac:dyDescent="0.25">
      <c r="A1534" s="3" t="s">
        <v>837</v>
      </c>
      <c r="B1534" s="6" t="s">
        <v>3916</v>
      </c>
      <c r="C1534" s="3" t="s">
        <v>8378</v>
      </c>
      <c r="D1534" s="3" t="s">
        <v>7076</v>
      </c>
      <c r="E1534" s="3" t="s">
        <v>6145</v>
      </c>
    </row>
    <row r="1535" spans="1:5" x14ac:dyDescent="0.25">
      <c r="A1535" s="3" t="s">
        <v>836</v>
      </c>
      <c r="B1535" s="6" t="s">
        <v>3917</v>
      </c>
      <c r="C1535" s="3" t="s">
        <v>8377</v>
      </c>
      <c r="D1535" s="3" t="s">
        <v>6825</v>
      </c>
      <c r="E1535" s="3" t="s">
        <v>6146</v>
      </c>
    </row>
    <row r="1536" spans="1:5" x14ac:dyDescent="0.25">
      <c r="A1536" s="3" t="s">
        <v>835</v>
      </c>
      <c r="B1536" s="6" t="s">
        <v>3918</v>
      </c>
      <c r="C1536" s="3" t="s">
        <v>8378</v>
      </c>
      <c r="D1536" s="3" t="s">
        <v>6774</v>
      </c>
      <c r="E1536" s="3" t="s">
        <v>6147</v>
      </c>
    </row>
    <row r="1537" spans="1:5" x14ac:dyDescent="0.25">
      <c r="A1537" s="3" t="s">
        <v>834</v>
      </c>
      <c r="B1537" s="6" t="s">
        <v>3919</v>
      </c>
      <c r="C1537" s="3" t="s">
        <v>8378</v>
      </c>
      <c r="D1537" s="3" t="s">
        <v>5229</v>
      </c>
      <c r="E1537" s="3" t="s">
        <v>6148</v>
      </c>
    </row>
    <row r="1538" spans="1:5" x14ac:dyDescent="0.25">
      <c r="A1538" s="3" t="s">
        <v>833</v>
      </c>
      <c r="B1538" s="6" t="s">
        <v>3920</v>
      </c>
      <c r="C1538" s="3" t="s">
        <v>8377</v>
      </c>
      <c r="D1538" s="3" t="s">
        <v>7878</v>
      </c>
      <c r="E1538" s="3" t="s">
        <v>6149</v>
      </c>
    </row>
    <row r="1539" spans="1:5" x14ac:dyDescent="0.25">
      <c r="A1539" s="3" t="s">
        <v>832</v>
      </c>
      <c r="B1539" s="6" t="s">
        <v>3921</v>
      </c>
      <c r="C1539" s="3" t="s">
        <v>8378</v>
      </c>
      <c r="D1539" s="3" t="s">
        <v>6940</v>
      </c>
      <c r="E1539" s="3" t="s">
        <v>6150</v>
      </c>
    </row>
    <row r="1540" spans="1:5" x14ac:dyDescent="0.25">
      <c r="A1540" s="3" t="s">
        <v>831</v>
      </c>
      <c r="B1540" s="6" t="s">
        <v>3922</v>
      </c>
      <c r="C1540" s="3" t="s">
        <v>8378</v>
      </c>
      <c r="D1540" s="3" t="s">
        <v>7879</v>
      </c>
      <c r="E1540" s="3" t="s">
        <v>6151</v>
      </c>
    </row>
    <row r="1541" spans="1:5" x14ac:dyDescent="0.25">
      <c r="A1541" s="3" t="s">
        <v>830</v>
      </c>
      <c r="B1541" s="6" t="s">
        <v>3923</v>
      </c>
      <c r="C1541" s="3" t="s">
        <v>8377</v>
      </c>
      <c r="D1541" s="3" t="s">
        <v>7880</v>
      </c>
      <c r="E1541" s="3" t="s">
        <v>6152</v>
      </c>
    </row>
    <row r="1542" spans="1:5" x14ac:dyDescent="0.25">
      <c r="A1542" s="3" t="s">
        <v>829</v>
      </c>
      <c r="B1542" s="6" t="s">
        <v>3924</v>
      </c>
      <c r="C1542" s="3" t="s">
        <v>8377</v>
      </c>
      <c r="D1542" s="3" t="s">
        <v>7881</v>
      </c>
      <c r="E1542" s="3" t="s">
        <v>6153</v>
      </c>
    </row>
    <row r="1543" spans="1:5" x14ac:dyDescent="0.25">
      <c r="A1543" s="3" t="s">
        <v>828</v>
      </c>
      <c r="B1543" s="6" t="s">
        <v>3925</v>
      </c>
      <c r="C1543" s="3" t="s">
        <v>8378</v>
      </c>
      <c r="D1543" s="3" t="s">
        <v>7882</v>
      </c>
      <c r="E1543" s="3" t="s">
        <v>6154</v>
      </c>
    </row>
    <row r="1544" spans="1:5" x14ac:dyDescent="0.25">
      <c r="A1544" s="3" t="s">
        <v>827</v>
      </c>
      <c r="B1544" s="6" t="s">
        <v>3926</v>
      </c>
      <c r="C1544" s="3" t="s">
        <v>8378</v>
      </c>
      <c r="D1544" s="3" t="s">
        <v>5229</v>
      </c>
      <c r="E1544" s="3" t="s">
        <v>6155</v>
      </c>
    </row>
    <row r="1545" spans="1:5" x14ac:dyDescent="0.25">
      <c r="A1545" s="3" t="s">
        <v>826</v>
      </c>
      <c r="B1545" s="6" t="s">
        <v>3927</v>
      </c>
      <c r="C1545" s="3" t="s">
        <v>8378</v>
      </c>
      <c r="D1545" s="3" t="s">
        <v>7883</v>
      </c>
      <c r="E1545" s="3" t="s">
        <v>6156</v>
      </c>
    </row>
    <row r="1546" spans="1:5" x14ac:dyDescent="0.25">
      <c r="A1546" s="3" t="s">
        <v>825</v>
      </c>
      <c r="B1546" s="6" t="s">
        <v>3928</v>
      </c>
      <c r="C1546" s="3" t="s">
        <v>8378</v>
      </c>
      <c r="D1546" s="3" t="s">
        <v>7884</v>
      </c>
      <c r="E1546" s="3" t="s">
        <v>6157</v>
      </c>
    </row>
    <row r="1547" spans="1:5" x14ac:dyDescent="0.25">
      <c r="A1547" s="3" t="s">
        <v>824</v>
      </c>
      <c r="B1547" s="6" t="s">
        <v>3929</v>
      </c>
      <c r="C1547" s="3" t="s">
        <v>8377</v>
      </c>
      <c r="D1547" s="3" t="s">
        <v>7369</v>
      </c>
      <c r="E1547" s="3" t="s">
        <v>6158</v>
      </c>
    </row>
    <row r="1548" spans="1:5" x14ac:dyDescent="0.25">
      <c r="A1548" s="3" t="s">
        <v>823</v>
      </c>
      <c r="B1548" s="6" t="s">
        <v>3930</v>
      </c>
      <c r="C1548" s="3" t="s">
        <v>8377</v>
      </c>
      <c r="D1548" s="3" t="s">
        <v>7885</v>
      </c>
      <c r="E1548" s="3" t="s">
        <v>6159</v>
      </c>
    </row>
    <row r="1549" spans="1:5" x14ac:dyDescent="0.25">
      <c r="A1549" s="3" t="s">
        <v>822</v>
      </c>
      <c r="B1549" s="6" t="s">
        <v>3931</v>
      </c>
      <c r="C1549" s="3" t="s">
        <v>8377</v>
      </c>
      <c r="D1549" s="3" t="s">
        <v>7886</v>
      </c>
      <c r="E1549" s="3" t="s">
        <v>6160</v>
      </c>
    </row>
    <row r="1550" spans="1:5" x14ac:dyDescent="0.25">
      <c r="A1550" s="3" t="s">
        <v>821</v>
      </c>
      <c r="B1550" s="6" t="s">
        <v>3932</v>
      </c>
      <c r="C1550" s="3" t="s">
        <v>8378</v>
      </c>
      <c r="D1550" s="3" t="s">
        <v>7887</v>
      </c>
      <c r="E1550" s="3" t="s">
        <v>6161</v>
      </c>
    </row>
    <row r="1551" spans="1:5" x14ac:dyDescent="0.25">
      <c r="A1551" s="3" t="s">
        <v>820</v>
      </c>
      <c r="B1551" s="6" t="s">
        <v>3933</v>
      </c>
      <c r="C1551" s="3" t="s">
        <v>8377</v>
      </c>
      <c r="D1551" s="3" t="s">
        <v>6776</v>
      </c>
      <c r="E1551" s="3" t="s">
        <v>6162</v>
      </c>
    </row>
    <row r="1552" spans="1:5" x14ac:dyDescent="0.25">
      <c r="A1552" s="3" t="s">
        <v>819</v>
      </c>
      <c r="B1552" s="6" t="s">
        <v>3934</v>
      </c>
      <c r="C1552" s="3" t="s">
        <v>8378</v>
      </c>
      <c r="D1552" s="3" t="s">
        <v>7888</v>
      </c>
      <c r="E1552" s="3" t="s">
        <v>6163</v>
      </c>
    </row>
    <row r="1553" spans="1:5" x14ac:dyDescent="0.25">
      <c r="A1553" s="3" t="s">
        <v>818</v>
      </c>
      <c r="B1553" s="6" t="s">
        <v>3935</v>
      </c>
      <c r="C1553" s="3" t="s">
        <v>8378</v>
      </c>
      <c r="D1553" s="3" t="s">
        <v>7126</v>
      </c>
      <c r="E1553" s="3" t="s">
        <v>5912</v>
      </c>
    </row>
    <row r="1554" spans="1:5" x14ac:dyDescent="0.25">
      <c r="A1554" s="3" t="s">
        <v>817</v>
      </c>
      <c r="B1554" s="6" t="s">
        <v>3936</v>
      </c>
      <c r="C1554" s="3" t="s">
        <v>8378</v>
      </c>
      <c r="D1554" s="3" t="s">
        <v>7889</v>
      </c>
      <c r="E1554" s="3" t="s">
        <v>6164</v>
      </c>
    </row>
    <row r="1555" spans="1:5" x14ac:dyDescent="0.25">
      <c r="A1555" s="3" t="s">
        <v>816</v>
      </c>
      <c r="B1555" s="6" t="s">
        <v>3937</v>
      </c>
      <c r="C1555" s="3" t="s">
        <v>8377</v>
      </c>
      <c r="D1555" s="3" t="s">
        <v>7890</v>
      </c>
      <c r="E1555" s="3" t="s">
        <v>6165</v>
      </c>
    </row>
    <row r="1556" spans="1:5" x14ac:dyDescent="0.25">
      <c r="A1556" s="3" t="s">
        <v>815</v>
      </c>
      <c r="B1556" s="6" t="s">
        <v>3938</v>
      </c>
      <c r="C1556" s="3" t="s">
        <v>8377</v>
      </c>
      <c r="D1556" s="3" t="s">
        <v>7891</v>
      </c>
      <c r="E1556" s="3" t="s">
        <v>6166</v>
      </c>
    </row>
    <row r="1557" spans="1:5" x14ac:dyDescent="0.25">
      <c r="A1557" s="3" t="s">
        <v>814</v>
      </c>
      <c r="B1557" s="6" t="s">
        <v>3939</v>
      </c>
      <c r="C1557" s="3" t="s">
        <v>8378</v>
      </c>
      <c r="D1557" s="3" t="s">
        <v>7892</v>
      </c>
      <c r="E1557" s="3" t="s">
        <v>5764</v>
      </c>
    </row>
    <row r="1558" spans="1:5" x14ac:dyDescent="0.25">
      <c r="A1558" s="3" t="s">
        <v>813</v>
      </c>
      <c r="B1558" s="6" t="s">
        <v>3940</v>
      </c>
      <c r="C1558" s="3" t="s">
        <v>8377</v>
      </c>
      <c r="D1558" s="3" t="s">
        <v>7893</v>
      </c>
      <c r="E1558" s="3" t="s">
        <v>6167</v>
      </c>
    </row>
    <row r="1559" spans="1:5" x14ac:dyDescent="0.25">
      <c r="A1559" s="3" t="s">
        <v>812</v>
      </c>
      <c r="B1559" s="6" t="s">
        <v>3941</v>
      </c>
      <c r="C1559" s="3" t="s">
        <v>8377</v>
      </c>
      <c r="D1559" s="3" t="s">
        <v>7789</v>
      </c>
      <c r="E1559" s="3" t="s">
        <v>6168</v>
      </c>
    </row>
    <row r="1560" spans="1:5" x14ac:dyDescent="0.25">
      <c r="A1560" s="3" t="s">
        <v>811</v>
      </c>
      <c r="B1560" s="6" t="s">
        <v>3942</v>
      </c>
      <c r="C1560" s="3" t="s">
        <v>8377</v>
      </c>
      <c r="D1560" s="3" t="s">
        <v>7894</v>
      </c>
      <c r="E1560" s="3" t="s">
        <v>6169</v>
      </c>
    </row>
    <row r="1561" spans="1:5" x14ac:dyDescent="0.25">
      <c r="A1561" s="3" t="s">
        <v>810</v>
      </c>
      <c r="B1561" s="6" t="s">
        <v>3943</v>
      </c>
      <c r="C1561" s="3" t="s">
        <v>8377</v>
      </c>
      <c r="D1561" s="3" t="s">
        <v>7895</v>
      </c>
      <c r="E1561" s="3" t="s">
        <v>6170</v>
      </c>
    </row>
    <row r="1562" spans="1:5" x14ac:dyDescent="0.25">
      <c r="A1562" s="3" t="s">
        <v>809</v>
      </c>
      <c r="B1562" s="6" t="s">
        <v>3944</v>
      </c>
      <c r="C1562" s="3" t="s">
        <v>8378</v>
      </c>
      <c r="D1562" s="3" t="s">
        <v>7896</v>
      </c>
      <c r="E1562" s="3" t="s">
        <v>6171</v>
      </c>
    </row>
    <row r="1563" spans="1:5" x14ac:dyDescent="0.25">
      <c r="A1563" s="3" t="s">
        <v>808</v>
      </c>
      <c r="B1563" s="6" t="s">
        <v>3945</v>
      </c>
      <c r="C1563" s="3" t="s">
        <v>8378</v>
      </c>
      <c r="D1563" s="3" t="s">
        <v>7897</v>
      </c>
      <c r="E1563" s="3" t="s">
        <v>6172</v>
      </c>
    </row>
    <row r="1564" spans="1:5" x14ac:dyDescent="0.25">
      <c r="A1564" s="3" t="s">
        <v>807</v>
      </c>
      <c r="B1564" s="6" t="s">
        <v>3946</v>
      </c>
      <c r="C1564" s="3" t="s">
        <v>8378</v>
      </c>
      <c r="D1564" s="3" t="s">
        <v>7898</v>
      </c>
      <c r="E1564" s="3" t="s">
        <v>6173</v>
      </c>
    </row>
    <row r="1565" spans="1:5" x14ac:dyDescent="0.25">
      <c r="A1565" s="3" t="s">
        <v>806</v>
      </c>
      <c r="B1565" s="6" t="s">
        <v>3947</v>
      </c>
      <c r="C1565" s="3" t="s">
        <v>8378</v>
      </c>
      <c r="D1565" s="3" t="s">
        <v>5778</v>
      </c>
      <c r="E1565" s="3" t="s">
        <v>5229</v>
      </c>
    </row>
    <row r="1566" spans="1:5" x14ac:dyDescent="0.25">
      <c r="A1566" s="3" t="s">
        <v>805</v>
      </c>
      <c r="B1566" s="6" t="s">
        <v>3948</v>
      </c>
      <c r="C1566" s="3" t="s">
        <v>8378</v>
      </c>
      <c r="D1566" s="3" t="s">
        <v>7899</v>
      </c>
      <c r="E1566" s="3" t="s">
        <v>5587</v>
      </c>
    </row>
    <row r="1567" spans="1:5" x14ac:dyDescent="0.25">
      <c r="A1567" s="3" t="s">
        <v>804</v>
      </c>
      <c r="B1567" s="6" t="s">
        <v>3949</v>
      </c>
      <c r="C1567" s="3" t="s">
        <v>8377</v>
      </c>
      <c r="D1567" s="3" t="s">
        <v>7900</v>
      </c>
      <c r="E1567" s="3" t="s">
        <v>6174</v>
      </c>
    </row>
    <row r="1568" spans="1:5" x14ac:dyDescent="0.25">
      <c r="A1568" s="3" t="s">
        <v>803</v>
      </c>
      <c r="B1568" s="6" t="s">
        <v>3950</v>
      </c>
      <c r="C1568" s="3" t="s">
        <v>8377</v>
      </c>
      <c r="D1568" s="3" t="s">
        <v>7049</v>
      </c>
      <c r="E1568" s="3" t="s">
        <v>6175</v>
      </c>
    </row>
    <row r="1569" spans="1:5" x14ac:dyDescent="0.25">
      <c r="A1569" s="3" t="s">
        <v>802</v>
      </c>
      <c r="B1569" s="6" t="s">
        <v>3951</v>
      </c>
      <c r="C1569" s="3" t="s">
        <v>8378</v>
      </c>
      <c r="D1569" s="3" t="s">
        <v>7901</v>
      </c>
      <c r="E1569" s="3" t="s">
        <v>5272</v>
      </c>
    </row>
    <row r="1570" spans="1:5" x14ac:dyDescent="0.25">
      <c r="A1570" s="3" t="s">
        <v>801</v>
      </c>
      <c r="B1570" s="6" t="s">
        <v>3952</v>
      </c>
      <c r="C1570" s="3" t="s">
        <v>8377</v>
      </c>
      <c r="D1570" s="3" t="s">
        <v>7902</v>
      </c>
      <c r="E1570" s="3" t="s">
        <v>6176</v>
      </c>
    </row>
    <row r="1571" spans="1:5" x14ac:dyDescent="0.25">
      <c r="A1571" s="3" t="s">
        <v>800</v>
      </c>
      <c r="B1571" s="6" t="s">
        <v>3953</v>
      </c>
      <c r="C1571" s="3" t="s">
        <v>8378</v>
      </c>
      <c r="D1571" s="3" t="s">
        <v>7539</v>
      </c>
      <c r="E1571" s="3" t="s">
        <v>6177</v>
      </c>
    </row>
    <row r="1572" spans="1:5" x14ac:dyDescent="0.25">
      <c r="A1572" s="3" t="s">
        <v>799</v>
      </c>
      <c r="B1572" s="6" t="s">
        <v>3954</v>
      </c>
      <c r="C1572" s="3" t="s">
        <v>8377</v>
      </c>
      <c r="D1572" s="3" t="s">
        <v>7542</v>
      </c>
      <c r="E1572" s="3" t="s">
        <v>6178</v>
      </c>
    </row>
    <row r="1573" spans="1:5" x14ac:dyDescent="0.25">
      <c r="A1573" s="3" t="s">
        <v>798</v>
      </c>
      <c r="B1573" s="6" t="s">
        <v>3955</v>
      </c>
      <c r="C1573" s="3" t="s">
        <v>8378</v>
      </c>
      <c r="D1573" s="3" t="s">
        <v>7903</v>
      </c>
      <c r="E1573" s="3" t="s">
        <v>5220</v>
      </c>
    </row>
    <row r="1574" spans="1:5" x14ac:dyDescent="0.25">
      <c r="A1574" s="3" t="s">
        <v>797</v>
      </c>
      <c r="B1574" s="6" t="s">
        <v>3956</v>
      </c>
      <c r="C1574" s="3" t="s">
        <v>8378</v>
      </c>
      <c r="D1574" s="3" t="s">
        <v>7904</v>
      </c>
      <c r="E1574" s="3" t="s">
        <v>6179</v>
      </c>
    </row>
    <row r="1575" spans="1:5" x14ac:dyDescent="0.25">
      <c r="A1575" s="3" t="s">
        <v>796</v>
      </c>
      <c r="B1575" s="6" t="s">
        <v>3957</v>
      </c>
      <c r="C1575" s="3" t="s">
        <v>8378</v>
      </c>
      <c r="D1575" s="3" t="s">
        <v>7905</v>
      </c>
      <c r="E1575" s="3" t="s">
        <v>6180</v>
      </c>
    </row>
    <row r="1576" spans="1:5" x14ac:dyDescent="0.25">
      <c r="A1576" s="3" t="s">
        <v>795</v>
      </c>
      <c r="B1576" s="6" t="s">
        <v>3958</v>
      </c>
      <c r="C1576" s="3" t="s">
        <v>8378</v>
      </c>
      <c r="D1576" s="3" t="s">
        <v>6772</v>
      </c>
      <c r="E1576" s="3" t="s">
        <v>6181</v>
      </c>
    </row>
    <row r="1577" spans="1:5" x14ac:dyDescent="0.25">
      <c r="A1577" s="3" t="s">
        <v>794</v>
      </c>
      <c r="B1577" s="6" t="s">
        <v>3959</v>
      </c>
      <c r="C1577" s="3" t="s">
        <v>8377</v>
      </c>
      <c r="D1577" s="3" t="s">
        <v>7906</v>
      </c>
      <c r="E1577" s="3" t="s">
        <v>5287</v>
      </c>
    </row>
    <row r="1578" spans="1:5" x14ac:dyDescent="0.25">
      <c r="A1578" s="3" t="s">
        <v>793</v>
      </c>
      <c r="B1578" s="6" t="s">
        <v>3960</v>
      </c>
      <c r="C1578" s="3" t="s">
        <v>8378</v>
      </c>
      <c r="D1578" s="3" t="s">
        <v>7907</v>
      </c>
      <c r="E1578" s="3" t="s">
        <v>6182</v>
      </c>
    </row>
    <row r="1579" spans="1:5" x14ac:dyDescent="0.25">
      <c r="A1579" s="3" t="s">
        <v>792</v>
      </c>
      <c r="B1579" s="6" t="s">
        <v>3961</v>
      </c>
      <c r="C1579" s="3" t="s">
        <v>8378</v>
      </c>
      <c r="D1579" s="3" t="s">
        <v>7908</v>
      </c>
      <c r="E1579" s="3" t="s">
        <v>6183</v>
      </c>
    </row>
    <row r="1580" spans="1:5" x14ac:dyDescent="0.25">
      <c r="A1580" s="3" t="s">
        <v>791</v>
      </c>
      <c r="B1580" s="6" t="s">
        <v>3962</v>
      </c>
      <c r="C1580" s="3" t="s">
        <v>8377</v>
      </c>
      <c r="D1580" s="3" t="s">
        <v>7909</v>
      </c>
      <c r="E1580" s="3" t="s">
        <v>5379</v>
      </c>
    </row>
    <row r="1581" spans="1:5" x14ac:dyDescent="0.25">
      <c r="A1581" s="3" t="s">
        <v>790</v>
      </c>
      <c r="B1581" s="6" t="s">
        <v>3963</v>
      </c>
      <c r="C1581" s="3" t="s">
        <v>8378</v>
      </c>
      <c r="D1581" s="3" t="s">
        <v>6880</v>
      </c>
      <c r="E1581" s="3" t="s">
        <v>6184</v>
      </c>
    </row>
    <row r="1582" spans="1:5" x14ac:dyDescent="0.25">
      <c r="A1582" s="3" t="s">
        <v>789</v>
      </c>
      <c r="B1582" s="6" t="s">
        <v>3964</v>
      </c>
      <c r="C1582" s="3" t="s">
        <v>8378</v>
      </c>
      <c r="D1582" s="3" t="s">
        <v>7910</v>
      </c>
      <c r="E1582" s="3" t="s">
        <v>6185</v>
      </c>
    </row>
    <row r="1583" spans="1:5" x14ac:dyDescent="0.25">
      <c r="A1583" s="3" t="s">
        <v>788</v>
      </c>
      <c r="B1583" s="6" t="s">
        <v>3965</v>
      </c>
      <c r="C1583" s="3" t="s">
        <v>8378</v>
      </c>
      <c r="D1583" s="3" t="s">
        <v>7911</v>
      </c>
      <c r="E1583" s="3" t="s">
        <v>5090</v>
      </c>
    </row>
    <row r="1584" spans="1:5" x14ac:dyDescent="0.25">
      <c r="A1584" s="3" t="s">
        <v>787</v>
      </c>
      <c r="B1584" s="6" t="s">
        <v>3966</v>
      </c>
      <c r="C1584" s="3" t="s">
        <v>8379</v>
      </c>
      <c r="D1584" s="3" t="s">
        <v>7912</v>
      </c>
      <c r="E1584" s="3" t="s">
        <v>6186</v>
      </c>
    </row>
    <row r="1585" spans="1:5" x14ac:dyDescent="0.25">
      <c r="A1585" s="3" t="s">
        <v>786</v>
      </c>
      <c r="B1585" s="6" t="s">
        <v>3967</v>
      </c>
      <c r="C1585" s="3" t="s">
        <v>8377</v>
      </c>
      <c r="D1585" s="3" t="s">
        <v>7913</v>
      </c>
      <c r="E1585" s="3" t="s">
        <v>6187</v>
      </c>
    </row>
    <row r="1586" spans="1:5" x14ac:dyDescent="0.25">
      <c r="A1586" s="3" t="s">
        <v>785</v>
      </c>
      <c r="B1586" s="6" t="s">
        <v>3968</v>
      </c>
      <c r="C1586" s="3" t="s">
        <v>8379</v>
      </c>
      <c r="D1586" s="3" t="s">
        <v>7914</v>
      </c>
      <c r="E1586" s="3" t="s">
        <v>6188</v>
      </c>
    </row>
    <row r="1587" spans="1:5" x14ac:dyDescent="0.25">
      <c r="A1587" s="3" t="s">
        <v>784</v>
      </c>
      <c r="B1587" s="6" t="s">
        <v>3969</v>
      </c>
      <c r="C1587" s="3" t="s">
        <v>8377</v>
      </c>
      <c r="D1587" s="3" t="s">
        <v>7915</v>
      </c>
      <c r="E1587" s="3" t="s">
        <v>6189</v>
      </c>
    </row>
    <row r="1588" spans="1:5" x14ac:dyDescent="0.25">
      <c r="A1588" s="3" t="s">
        <v>783</v>
      </c>
      <c r="B1588" s="6" t="s">
        <v>3970</v>
      </c>
      <c r="C1588" s="3" t="s">
        <v>8378</v>
      </c>
      <c r="D1588" s="3" t="s">
        <v>7916</v>
      </c>
      <c r="E1588" s="3" t="s">
        <v>6190</v>
      </c>
    </row>
    <row r="1589" spans="1:5" x14ac:dyDescent="0.25">
      <c r="A1589" s="3" t="s">
        <v>782</v>
      </c>
      <c r="B1589" s="6" t="s">
        <v>3971</v>
      </c>
      <c r="C1589" s="3" t="s">
        <v>8378</v>
      </c>
      <c r="D1589" s="3" t="s">
        <v>7917</v>
      </c>
      <c r="E1589" s="3" t="s">
        <v>6191</v>
      </c>
    </row>
    <row r="1590" spans="1:5" x14ac:dyDescent="0.25">
      <c r="A1590" s="3" t="s">
        <v>781</v>
      </c>
      <c r="B1590" s="6" t="s">
        <v>3972</v>
      </c>
      <c r="C1590" s="3" t="s">
        <v>8377</v>
      </c>
      <c r="D1590" s="3" t="s">
        <v>7918</v>
      </c>
      <c r="E1590" s="3" t="s">
        <v>6192</v>
      </c>
    </row>
    <row r="1591" spans="1:5" x14ac:dyDescent="0.25">
      <c r="A1591" s="3" t="s">
        <v>780</v>
      </c>
      <c r="B1591" s="6" t="s">
        <v>3973</v>
      </c>
      <c r="C1591" s="3" t="s">
        <v>8378</v>
      </c>
      <c r="D1591" s="3" t="s">
        <v>7087</v>
      </c>
      <c r="E1591" s="3" t="s">
        <v>5055</v>
      </c>
    </row>
    <row r="1592" spans="1:5" x14ac:dyDescent="0.25">
      <c r="A1592" s="3" t="s">
        <v>779</v>
      </c>
      <c r="B1592" s="6" t="s">
        <v>3974</v>
      </c>
      <c r="C1592" s="3" t="s">
        <v>8378</v>
      </c>
      <c r="D1592" s="3" t="s">
        <v>7163</v>
      </c>
      <c r="E1592" s="3" t="s">
        <v>6193</v>
      </c>
    </row>
    <row r="1593" spans="1:5" x14ac:dyDescent="0.25">
      <c r="A1593" s="3" t="s">
        <v>778</v>
      </c>
      <c r="B1593" s="6" t="s">
        <v>3975</v>
      </c>
      <c r="C1593" s="3" t="s">
        <v>8378</v>
      </c>
      <c r="D1593" s="3" t="s">
        <v>6933</v>
      </c>
      <c r="E1593" s="3" t="s">
        <v>6194</v>
      </c>
    </row>
    <row r="1594" spans="1:5" x14ac:dyDescent="0.25">
      <c r="A1594" s="3" t="s">
        <v>777</v>
      </c>
      <c r="B1594" s="6" t="s">
        <v>3976</v>
      </c>
      <c r="C1594" s="3" t="s">
        <v>8379</v>
      </c>
      <c r="D1594" s="3" t="s">
        <v>7169</v>
      </c>
      <c r="E1594" s="3" t="s">
        <v>6195</v>
      </c>
    </row>
    <row r="1595" spans="1:5" x14ac:dyDescent="0.25">
      <c r="A1595" s="3" t="s">
        <v>776</v>
      </c>
      <c r="B1595" s="6" t="s">
        <v>3977</v>
      </c>
      <c r="C1595" s="3" t="s">
        <v>8378</v>
      </c>
      <c r="D1595" s="3" t="s">
        <v>7919</v>
      </c>
      <c r="E1595" s="3" t="s">
        <v>6196</v>
      </c>
    </row>
    <row r="1596" spans="1:5" x14ac:dyDescent="0.25">
      <c r="A1596" s="3" t="s">
        <v>775</v>
      </c>
      <c r="B1596" s="6" t="s">
        <v>3978</v>
      </c>
      <c r="C1596" s="3" t="s">
        <v>8377</v>
      </c>
      <c r="D1596" s="3" t="s">
        <v>6911</v>
      </c>
      <c r="E1596" s="3" t="s">
        <v>6197</v>
      </c>
    </row>
    <row r="1597" spans="1:5" x14ac:dyDescent="0.25">
      <c r="A1597" s="3" t="s">
        <v>774</v>
      </c>
      <c r="B1597" s="6" t="s">
        <v>3979</v>
      </c>
      <c r="C1597" s="3" t="s">
        <v>8379</v>
      </c>
      <c r="D1597" s="3" t="s">
        <v>7920</v>
      </c>
      <c r="E1597" s="3" t="s">
        <v>6198</v>
      </c>
    </row>
    <row r="1598" spans="1:5" x14ac:dyDescent="0.25">
      <c r="A1598" s="3" t="s">
        <v>773</v>
      </c>
      <c r="B1598" s="6" t="s">
        <v>3980</v>
      </c>
      <c r="C1598" s="3" t="s">
        <v>8378</v>
      </c>
      <c r="D1598" s="3" t="s">
        <v>7921</v>
      </c>
      <c r="E1598" s="3" t="s">
        <v>6199</v>
      </c>
    </row>
    <row r="1599" spans="1:5" x14ac:dyDescent="0.25">
      <c r="A1599" s="3" t="s">
        <v>772</v>
      </c>
      <c r="B1599" s="6" t="s">
        <v>3981</v>
      </c>
      <c r="C1599" s="3" t="s">
        <v>8378</v>
      </c>
      <c r="D1599" s="3" t="s">
        <v>7922</v>
      </c>
      <c r="E1599" s="3" t="s">
        <v>6200</v>
      </c>
    </row>
    <row r="1600" spans="1:5" x14ac:dyDescent="0.25">
      <c r="A1600" s="3" t="s">
        <v>771</v>
      </c>
      <c r="B1600" s="6" t="s">
        <v>3982</v>
      </c>
      <c r="C1600" s="3" t="s">
        <v>8378</v>
      </c>
      <c r="D1600" s="3" t="s">
        <v>7923</v>
      </c>
      <c r="E1600" s="3" t="s">
        <v>5624</v>
      </c>
    </row>
    <row r="1601" spans="1:5" x14ac:dyDescent="0.25">
      <c r="A1601" s="3" t="s">
        <v>770</v>
      </c>
      <c r="B1601" s="6" t="s">
        <v>3983</v>
      </c>
      <c r="C1601" s="3" t="s">
        <v>8378</v>
      </c>
      <c r="D1601" s="3" t="s">
        <v>7070</v>
      </c>
      <c r="E1601" s="3" t="s">
        <v>6201</v>
      </c>
    </row>
    <row r="1602" spans="1:5" x14ac:dyDescent="0.25">
      <c r="A1602" s="3" t="s">
        <v>769</v>
      </c>
      <c r="B1602" s="6" t="s">
        <v>3984</v>
      </c>
      <c r="C1602" s="3" t="s">
        <v>8377</v>
      </c>
      <c r="D1602" s="3" t="s">
        <v>7924</v>
      </c>
      <c r="E1602" s="3" t="s">
        <v>6202</v>
      </c>
    </row>
    <row r="1603" spans="1:5" x14ac:dyDescent="0.25">
      <c r="A1603" s="3" t="s">
        <v>768</v>
      </c>
      <c r="B1603" s="6" t="s">
        <v>3985</v>
      </c>
      <c r="C1603" s="3" t="s">
        <v>8378</v>
      </c>
      <c r="D1603" s="3" t="s">
        <v>7421</v>
      </c>
      <c r="E1603" s="3" t="s">
        <v>6203</v>
      </c>
    </row>
    <row r="1604" spans="1:5" x14ac:dyDescent="0.25">
      <c r="A1604" s="3" t="s">
        <v>767</v>
      </c>
      <c r="B1604" s="6" t="s">
        <v>3986</v>
      </c>
      <c r="C1604" s="3" t="s">
        <v>8378</v>
      </c>
      <c r="D1604" s="3" t="s">
        <v>6861</v>
      </c>
      <c r="E1604" s="3" t="s">
        <v>6204</v>
      </c>
    </row>
    <row r="1605" spans="1:5" x14ac:dyDescent="0.25">
      <c r="A1605" s="3" t="s">
        <v>766</v>
      </c>
      <c r="B1605" s="6" t="s">
        <v>3987</v>
      </c>
      <c r="C1605" s="3" t="s">
        <v>8378</v>
      </c>
      <c r="D1605" s="3" t="s">
        <v>7925</v>
      </c>
      <c r="E1605" s="3" t="s">
        <v>5511</v>
      </c>
    </row>
    <row r="1606" spans="1:5" x14ac:dyDescent="0.25">
      <c r="A1606" s="3" t="s">
        <v>765</v>
      </c>
      <c r="B1606" s="6" t="s">
        <v>3988</v>
      </c>
      <c r="C1606" s="3" t="s">
        <v>8379</v>
      </c>
      <c r="D1606" s="3" t="s">
        <v>7676</v>
      </c>
      <c r="E1606" s="3" t="s">
        <v>6205</v>
      </c>
    </row>
    <row r="1607" spans="1:5" x14ac:dyDescent="0.25">
      <c r="A1607" s="3" t="s">
        <v>764</v>
      </c>
      <c r="B1607" s="6" t="s">
        <v>3989</v>
      </c>
      <c r="C1607" s="3" t="s">
        <v>8378</v>
      </c>
      <c r="D1607" s="3" t="s">
        <v>6829</v>
      </c>
      <c r="E1607" s="3" t="s">
        <v>6206</v>
      </c>
    </row>
    <row r="1608" spans="1:5" x14ac:dyDescent="0.25">
      <c r="A1608" s="3" t="s">
        <v>763</v>
      </c>
      <c r="B1608" s="6" t="s">
        <v>3990</v>
      </c>
      <c r="C1608" s="3" t="s">
        <v>8378</v>
      </c>
      <c r="D1608" s="3" t="s">
        <v>7926</v>
      </c>
      <c r="E1608" s="3" t="s">
        <v>5229</v>
      </c>
    </row>
    <row r="1609" spans="1:5" x14ac:dyDescent="0.25">
      <c r="A1609" s="3" t="s">
        <v>762</v>
      </c>
      <c r="B1609" s="6" t="s">
        <v>3991</v>
      </c>
      <c r="C1609" s="3" t="s">
        <v>8377</v>
      </c>
      <c r="D1609" s="3" t="s">
        <v>7927</v>
      </c>
      <c r="E1609" s="3" t="s">
        <v>6207</v>
      </c>
    </row>
    <row r="1610" spans="1:5" x14ac:dyDescent="0.25">
      <c r="A1610" s="3" t="s">
        <v>761</v>
      </c>
      <c r="B1610" s="6" t="s">
        <v>3992</v>
      </c>
      <c r="C1610" s="3" t="s">
        <v>8377</v>
      </c>
      <c r="D1610" s="3" t="s">
        <v>7169</v>
      </c>
      <c r="E1610" s="3" t="s">
        <v>6208</v>
      </c>
    </row>
    <row r="1611" spans="1:5" x14ac:dyDescent="0.25">
      <c r="A1611" s="3" t="s">
        <v>760</v>
      </c>
      <c r="B1611" s="6" t="s">
        <v>3993</v>
      </c>
      <c r="C1611" s="3" t="s">
        <v>8377</v>
      </c>
      <c r="D1611" s="3" t="s">
        <v>7928</v>
      </c>
      <c r="E1611" s="3" t="s">
        <v>6209</v>
      </c>
    </row>
    <row r="1612" spans="1:5" x14ac:dyDescent="0.25">
      <c r="A1612" s="3" t="s">
        <v>759</v>
      </c>
      <c r="B1612" s="6" t="s">
        <v>3994</v>
      </c>
      <c r="C1612" s="3" t="s">
        <v>8377</v>
      </c>
      <c r="D1612" s="3" t="s">
        <v>7929</v>
      </c>
      <c r="E1612" s="3" t="s">
        <v>6210</v>
      </c>
    </row>
    <row r="1613" spans="1:5" x14ac:dyDescent="0.25">
      <c r="A1613" s="3" t="s">
        <v>758</v>
      </c>
      <c r="B1613" s="6" t="s">
        <v>3995</v>
      </c>
      <c r="C1613" s="3" t="s">
        <v>8377</v>
      </c>
      <c r="D1613" s="3" t="s">
        <v>7075</v>
      </c>
      <c r="E1613" s="3" t="s">
        <v>6211</v>
      </c>
    </row>
    <row r="1614" spans="1:5" x14ac:dyDescent="0.25">
      <c r="A1614" s="3" t="s">
        <v>757</v>
      </c>
      <c r="B1614" s="6" t="s">
        <v>3996</v>
      </c>
      <c r="C1614" s="3" t="s">
        <v>8378</v>
      </c>
      <c r="D1614" s="3" t="s">
        <v>7930</v>
      </c>
      <c r="E1614" s="3" t="s">
        <v>6212</v>
      </c>
    </row>
    <row r="1615" spans="1:5" x14ac:dyDescent="0.25">
      <c r="A1615" s="3" t="s">
        <v>756</v>
      </c>
      <c r="B1615" s="6" t="s">
        <v>3997</v>
      </c>
      <c r="C1615" s="3" t="s">
        <v>8377</v>
      </c>
      <c r="D1615" s="3" t="s">
        <v>7931</v>
      </c>
      <c r="E1615" s="3" t="s">
        <v>6213</v>
      </c>
    </row>
    <row r="1616" spans="1:5" x14ac:dyDescent="0.25">
      <c r="A1616" s="3" t="s">
        <v>755</v>
      </c>
      <c r="B1616" s="6" t="s">
        <v>3998</v>
      </c>
      <c r="C1616" s="3" t="s">
        <v>8378</v>
      </c>
      <c r="D1616" s="3" t="s">
        <v>6940</v>
      </c>
      <c r="E1616" s="3" t="s">
        <v>6214</v>
      </c>
    </row>
    <row r="1617" spans="1:5" x14ac:dyDescent="0.25">
      <c r="A1617" s="3" t="s">
        <v>754</v>
      </c>
      <c r="B1617" s="6" t="s">
        <v>3999</v>
      </c>
      <c r="C1617" s="3" t="s">
        <v>8377</v>
      </c>
      <c r="D1617" s="3" t="s">
        <v>7932</v>
      </c>
      <c r="E1617" s="3" t="s">
        <v>6215</v>
      </c>
    </row>
    <row r="1618" spans="1:5" x14ac:dyDescent="0.25">
      <c r="A1618" s="3" t="s">
        <v>753</v>
      </c>
      <c r="B1618" s="6" t="s">
        <v>4000</v>
      </c>
      <c r="C1618" s="3" t="s">
        <v>8378</v>
      </c>
      <c r="D1618" s="3" t="s">
        <v>7933</v>
      </c>
      <c r="E1618" s="3" t="s">
        <v>6216</v>
      </c>
    </row>
    <row r="1619" spans="1:5" x14ac:dyDescent="0.25">
      <c r="A1619" s="3" t="s">
        <v>752</v>
      </c>
      <c r="B1619" s="6" t="s">
        <v>4001</v>
      </c>
      <c r="C1619" s="3" t="s">
        <v>8377</v>
      </c>
      <c r="D1619" s="3" t="s">
        <v>7507</v>
      </c>
      <c r="E1619" s="3" t="s">
        <v>6217</v>
      </c>
    </row>
    <row r="1620" spans="1:5" x14ac:dyDescent="0.25">
      <c r="A1620" s="3" t="s">
        <v>751</v>
      </c>
      <c r="B1620" s="6" t="s">
        <v>4002</v>
      </c>
      <c r="C1620" s="3" t="s">
        <v>8378</v>
      </c>
      <c r="D1620" s="3" t="s">
        <v>7934</v>
      </c>
      <c r="E1620" s="3" t="s">
        <v>4815</v>
      </c>
    </row>
    <row r="1621" spans="1:5" x14ac:dyDescent="0.25">
      <c r="A1621" s="3" t="s">
        <v>750</v>
      </c>
      <c r="B1621" s="6" t="s">
        <v>4003</v>
      </c>
      <c r="C1621" s="3" t="s">
        <v>8377</v>
      </c>
      <c r="D1621" s="3" t="s">
        <v>7935</v>
      </c>
      <c r="E1621" s="3" t="s">
        <v>6218</v>
      </c>
    </row>
    <row r="1622" spans="1:5" x14ac:dyDescent="0.25">
      <c r="A1622" s="3" t="s">
        <v>749</v>
      </c>
      <c r="B1622" s="6" t="s">
        <v>4004</v>
      </c>
      <c r="C1622" s="3" t="s">
        <v>8377</v>
      </c>
      <c r="D1622" s="3" t="s">
        <v>7936</v>
      </c>
      <c r="E1622" s="3" t="s">
        <v>6219</v>
      </c>
    </row>
    <row r="1623" spans="1:5" x14ac:dyDescent="0.25">
      <c r="A1623" s="3" t="s">
        <v>748</v>
      </c>
      <c r="B1623" s="6" t="s">
        <v>4005</v>
      </c>
      <c r="C1623" s="3" t="s">
        <v>8378</v>
      </c>
      <c r="D1623" s="3" t="s">
        <v>6905</v>
      </c>
      <c r="E1623" s="3" t="s">
        <v>6220</v>
      </c>
    </row>
    <row r="1624" spans="1:5" x14ac:dyDescent="0.25">
      <c r="A1624" s="3" t="s">
        <v>747</v>
      </c>
      <c r="B1624" s="6" t="s">
        <v>4006</v>
      </c>
      <c r="C1624" s="3" t="s">
        <v>8378</v>
      </c>
      <c r="D1624" s="3" t="s">
        <v>7229</v>
      </c>
      <c r="E1624" s="3" t="s">
        <v>6221</v>
      </c>
    </row>
    <row r="1625" spans="1:5" x14ac:dyDescent="0.25">
      <c r="A1625" s="3" t="s">
        <v>746</v>
      </c>
      <c r="B1625" s="6" t="s">
        <v>4007</v>
      </c>
      <c r="C1625" s="3" t="s">
        <v>8377</v>
      </c>
      <c r="D1625" s="3" t="s">
        <v>7096</v>
      </c>
      <c r="E1625" s="3" t="s">
        <v>6222</v>
      </c>
    </row>
    <row r="1626" spans="1:5" x14ac:dyDescent="0.25">
      <c r="A1626" s="3" t="s">
        <v>745</v>
      </c>
      <c r="B1626" s="6" t="s">
        <v>4008</v>
      </c>
      <c r="C1626" s="3" t="s">
        <v>8377</v>
      </c>
      <c r="D1626" s="3" t="s">
        <v>6825</v>
      </c>
      <c r="E1626" s="3" t="s">
        <v>6223</v>
      </c>
    </row>
    <row r="1627" spans="1:5" x14ac:dyDescent="0.25">
      <c r="A1627" s="3" t="s">
        <v>744</v>
      </c>
      <c r="B1627" s="6" t="s">
        <v>4009</v>
      </c>
      <c r="C1627" s="3" t="s">
        <v>8379</v>
      </c>
      <c r="D1627" s="3" t="s">
        <v>7937</v>
      </c>
      <c r="E1627" s="3" t="s">
        <v>5717</v>
      </c>
    </row>
    <row r="1628" spans="1:5" x14ac:dyDescent="0.25">
      <c r="A1628" s="3" t="s">
        <v>743</v>
      </c>
      <c r="B1628" s="6" t="s">
        <v>4010</v>
      </c>
      <c r="C1628" s="3" t="s">
        <v>8377</v>
      </c>
      <c r="D1628" s="3" t="s">
        <v>7938</v>
      </c>
      <c r="E1628" s="3" t="s">
        <v>6224</v>
      </c>
    </row>
    <row r="1629" spans="1:5" x14ac:dyDescent="0.25">
      <c r="A1629" s="3" t="s">
        <v>742</v>
      </c>
      <c r="B1629" s="6" t="s">
        <v>4011</v>
      </c>
      <c r="C1629" s="3" t="s">
        <v>8378</v>
      </c>
      <c r="D1629" s="3" t="s">
        <v>6821</v>
      </c>
      <c r="E1629" s="3" t="s">
        <v>6225</v>
      </c>
    </row>
    <row r="1630" spans="1:5" x14ac:dyDescent="0.25">
      <c r="A1630" s="3" t="s">
        <v>741</v>
      </c>
      <c r="B1630" s="6" t="s">
        <v>4012</v>
      </c>
      <c r="C1630" s="3" t="s">
        <v>8378</v>
      </c>
      <c r="D1630" s="3" t="s">
        <v>7939</v>
      </c>
      <c r="E1630" s="3" t="s">
        <v>6226</v>
      </c>
    </row>
    <row r="1631" spans="1:5" x14ac:dyDescent="0.25">
      <c r="A1631" s="3" t="s">
        <v>740</v>
      </c>
      <c r="B1631" s="6" t="s">
        <v>4013</v>
      </c>
      <c r="C1631" s="3" t="s">
        <v>8377</v>
      </c>
      <c r="D1631" s="3" t="s">
        <v>7940</v>
      </c>
      <c r="E1631" s="3" t="s">
        <v>6227</v>
      </c>
    </row>
    <row r="1632" spans="1:5" x14ac:dyDescent="0.25">
      <c r="A1632" s="3" t="s">
        <v>739</v>
      </c>
      <c r="B1632" s="6" t="s">
        <v>4014</v>
      </c>
      <c r="C1632" s="3" t="s">
        <v>8378</v>
      </c>
      <c r="D1632" s="3" t="s">
        <v>6940</v>
      </c>
      <c r="E1632" s="3" t="s">
        <v>5712</v>
      </c>
    </row>
    <row r="1633" spans="1:5" x14ac:dyDescent="0.25">
      <c r="A1633" s="3" t="s">
        <v>738</v>
      </c>
      <c r="B1633" s="6" t="s">
        <v>4015</v>
      </c>
      <c r="C1633" s="3" t="s">
        <v>8378</v>
      </c>
      <c r="D1633" s="3" t="s">
        <v>7941</v>
      </c>
      <c r="E1633" s="3" t="s">
        <v>6149</v>
      </c>
    </row>
    <row r="1634" spans="1:5" x14ac:dyDescent="0.25">
      <c r="A1634" s="3" t="s">
        <v>737</v>
      </c>
      <c r="B1634" s="6" t="s">
        <v>4016</v>
      </c>
      <c r="C1634" s="3" t="s">
        <v>8377</v>
      </c>
      <c r="D1634" s="3" t="s">
        <v>7627</v>
      </c>
      <c r="E1634" s="3" t="s">
        <v>6228</v>
      </c>
    </row>
    <row r="1635" spans="1:5" x14ac:dyDescent="0.25">
      <c r="A1635" s="3" t="s">
        <v>736</v>
      </c>
      <c r="B1635" s="6" t="s">
        <v>4017</v>
      </c>
      <c r="C1635" s="3" t="s">
        <v>8378</v>
      </c>
      <c r="D1635" s="3" t="s">
        <v>7942</v>
      </c>
      <c r="E1635" s="3" t="s">
        <v>6229</v>
      </c>
    </row>
    <row r="1636" spans="1:5" x14ac:dyDescent="0.25">
      <c r="A1636" s="3" t="s">
        <v>735</v>
      </c>
      <c r="B1636" s="6" t="s">
        <v>4018</v>
      </c>
      <c r="C1636" s="3" t="s">
        <v>8377</v>
      </c>
      <c r="D1636" s="3" t="s">
        <v>7943</v>
      </c>
      <c r="E1636" s="3" t="s">
        <v>6230</v>
      </c>
    </row>
    <row r="1637" spans="1:5" x14ac:dyDescent="0.25">
      <c r="A1637" s="3" t="s">
        <v>734</v>
      </c>
      <c r="B1637" s="6" t="s">
        <v>4019</v>
      </c>
      <c r="C1637" s="3" t="s">
        <v>8377</v>
      </c>
      <c r="D1637" s="3" t="s">
        <v>7143</v>
      </c>
      <c r="E1637" s="3" t="s">
        <v>6231</v>
      </c>
    </row>
    <row r="1638" spans="1:5" x14ac:dyDescent="0.25">
      <c r="A1638" s="3" t="s">
        <v>733</v>
      </c>
      <c r="B1638" s="6" t="s">
        <v>4020</v>
      </c>
      <c r="C1638" s="3" t="s">
        <v>8377</v>
      </c>
      <c r="D1638" s="3" t="s">
        <v>7944</v>
      </c>
      <c r="E1638" s="3" t="s">
        <v>6232</v>
      </c>
    </row>
    <row r="1639" spans="1:5" x14ac:dyDescent="0.25">
      <c r="A1639" s="3" t="s">
        <v>732</v>
      </c>
      <c r="B1639" s="6" t="s">
        <v>4021</v>
      </c>
      <c r="C1639" s="3" t="s">
        <v>8377</v>
      </c>
      <c r="D1639" s="3" t="s">
        <v>7945</v>
      </c>
      <c r="E1639" s="3" t="s">
        <v>5991</v>
      </c>
    </row>
    <row r="1640" spans="1:5" x14ac:dyDescent="0.25">
      <c r="A1640" s="3" t="s">
        <v>731</v>
      </c>
      <c r="B1640" s="6" t="s">
        <v>4022</v>
      </c>
      <c r="C1640" s="3" t="s">
        <v>8378</v>
      </c>
      <c r="D1640" s="3" t="s">
        <v>7946</v>
      </c>
      <c r="E1640" s="3" t="s">
        <v>5002</v>
      </c>
    </row>
    <row r="1641" spans="1:5" x14ac:dyDescent="0.25">
      <c r="A1641" s="3" t="s">
        <v>730</v>
      </c>
      <c r="B1641" s="6" t="s">
        <v>4023</v>
      </c>
      <c r="C1641" s="3" t="s">
        <v>8377</v>
      </c>
      <c r="D1641" s="3" t="s">
        <v>7947</v>
      </c>
      <c r="E1641" s="3" t="s">
        <v>6233</v>
      </c>
    </row>
    <row r="1642" spans="1:5" x14ac:dyDescent="0.25">
      <c r="A1642" s="3" t="s">
        <v>729</v>
      </c>
      <c r="B1642" s="6" t="s">
        <v>4024</v>
      </c>
      <c r="C1642" s="3" t="s">
        <v>8377</v>
      </c>
      <c r="D1642" s="3" t="s">
        <v>7948</v>
      </c>
      <c r="E1642" s="3" t="s">
        <v>6234</v>
      </c>
    </row>
    <row r="1643" spans="1:5" x14ac:dyDescent="0.25">
      <c r="A1643" s="3" t="s">
        <v>728</v>
      </c>
      <c r="B1643" s="6" t="s">
        <v>4025</v>
      </c>
      <c r="C1643" s="3" t="s">
        <v>8377</v>
      </c>
      <c r="D1643" s="3" t="s">
        <v>7123</v>
      </c>
      <c r="E1643" s="3" t="s">
        <v>5202</v>
      </c>
    </row>
    <row r="1644" spans="1:5" x14ac:dyDescent="0.25">
      <c r="A1644" s="3" t="s">
        <v>727</v>
      </c>
      <c r="B1644" s="6" t="s">
        <v>4026</v>
      </c>
      <c r="C1644" s="3" t="s">
        <v>8377</v>
      </c>
      <c r="D1644" s="3" t="s">
        <v>7949</v>
      </c>
      <c r="E1644" s="3" t="s">
        <v>6235</v>
      </c>
    </row>
    <row r="1645" spans="1:5" x14ac:dyDescent="0.25">
      <c r="A1645" s="3" t="s">
        <v>726</v>
      </c>
      <c r="B1645" s="6" t="s">
        <v>4027</v>
      </c>
      <c r="C1645" s="3" t="s">
        <v>8378</v>
      </c>
      <c r="D1645" s="3" t="s">
        <v>6895</v>
      </c>
      <c r="E1645" s="3" t="s">
        <v>5288</v>
      </c>
    </row>
    <row r="1646" spans="1:5" x14ac:dyDescent="0.25">
      <c r="A1646" s="3" t="s">
        <v>725</v>
      </c>
      <c r="B1646" s="6" t="s">
        <v>4028</v>
      </c>
      <c r="C1646" s="3" t="s">
        <v>8378</v>
      </c>
      <c r="D1646" s="3" t="s">
        <v>7950</v>
      </c>
      <c r="E1646" s="3" t="s">
        <v>5502</v>
      </c>
    </row>
    <row r="1647" spans="1:5" x14ac:dyDescent="0.25">
      <c r="A1647" s="3" t="s">
        <v>724</v>
      </c>
      <c r="B1647" s="6" t="s">
        <v>4029</v>
      </c>
      <c r="C1647" s="3" t="s">
        <v>8379</v>
      </c>
      <c r="D1647" s="3" t="s">
        <v>7683</v>
      </c>
      <c r="E1647" s="3" t="s">
        <v>6236</v>
      </c>
    </row>
    <row r="1648" spans="1:5" x14ac:dyDescent="0.25">
      <c r="A1648" s="3" t="s">
        <v>723</v>
      </c>
      <c r="B1648" s="6" t="s">
        <v>4030</v>
      </c>
      <c r="C1648" s="3" t="s">
        <v>8378</v>
      </c>
      <c r="D1648" s="3" t="s">
        <v>6898</v>
      </c>
      <c r="E1648" s="3" t="s">
        <v>6237</v>
      </c>
    </row>
    <row r="1649" spans="1:5" x14ac:dyDescent="0.25">
      <c r="A1649" s="3" t="s">
        <v>722</v>
      </c>
      <c r="B1649" s="6" t="s">
        <v>4031</v>
      </c>
      <c r="C1649" s="3" t="s">
        <v>8378</v>
      </c>
      <c r="D1649" s="3" t="s">
        <v>6954</v>
      </c>
      <c r="E1649" s="3" t="s">
        <v>6238</v>
      </c>
    </row>
    <row r="1650" spans="1:5" x14ac:dyDescent="0.25">
      <c r="A1650" s="3" t="s">
        <v>721</v>
      </c>
      <c r="B1650" s="6" t="s">
        <v>4032</v>
      </c>
      <c r="C1650" s="3" t="s">
        <v>8377</v>
      </c>
      <c r="D1650" s="3" t="s">
        <v>7932</v>
      </c>
      <c r="E1650" s="3" t="s">
        <v>5002</v>
      </c>
    </row>
    <row r="1651" spans="1:5" x14ac:dyDescent="0.25">
      <c r="A1651" s="3" t="s">
        <v>720</v>
      </c>
      <c r="B1651" s="6" t="s">
        <v>4033</v>
      </c>
      <c r="C1651" s="3" t="s">
        <v>8379</v>
      </c>
      <c r="D1651" s="3" t="s">
        <v>6831</v>
      </c>
      <c r="E1651" s="3" t="s">
        <v>6239</v>
      </c>
    </row>
    <row r="1652" spans="1:5" x14ac:dyDescent="0.25">
      <c r="A1652" s="3" t="s">
        <v>719</v>
      </c>
      <c r="B1652" s="6" t="s">
        <v>4034</v>
      </c>
      <c r="C1652" s="3" t="s">
        <v>8378</v>
      </c>
      <c r="D1652" s="3" t="s">
        <v>7951</v>
      </c>
      <c r="E1652" s="3" t="s">
        <v>6240</v>
      </c>
    </row>
    <row r="1653" spans="1:5" x14ac:dyDescent="0.25">
      <c r="A1653" s="3" t="s">
        <v>718</v>
      </c>
      <c r="B1653" s="6" t="s">
        <v>4035</v>
      </c>
      <c r="C1653" s="3" t="s">
        <v>8377</v>
      </c>
      <c r="D1653" s="3" t="s">
        <v>7952</v>
      </c>
      <c r="E1653" s="3" t="s">
        <v>6241</v>
      </c>
    </row>
    <row r="1654" spans="1:5" x14ac:dyDescent="0.25">
      <c r="A1654" s="3" t="s">
        <v>717</v>
      </c>
      <c r="B1654" s="6" t="s">
        <v>4036</v>
      </c>
      <c r="C1654" s="3" t="s">
        <v>8377</v>
      </c>
      <c r="D1654" s="3" t="s">
        <v>7145</v>
      </c>
      <c r="E1654" s="3" t="s">
        <v>6242</v>
      </c>
    </row>
    <row r="1655" spans="1:5" x14ac:dyDescent="0.25">
      <c r="A1655" s="3" t="s">
        <v>716</v>
      </c>
      <c r="B1655" s="6" t="s">
        <v>4037</v>
      </c>
      <c r="C1655" s="3" t="s">
        <v>8378</v>
      </c>
      <c r="D1655" s="3" t="s">
        <v>7953</v>
      </c>
      <c r="E1655" s="3" t="s">
        <v>6243</v>
      </c>
    </row>
    <row r="1656" spans="1:5" x14ac:dyDescent="0.25">
      <c r="A1656" s="3" t="s">
        <v>715</v>
      </c>
      <c r="B1656" s="6" t="s">
        <v>4038</v>
      </c>
      <c r="C1656" s="3" t="s">
        <v>8378</v>
      </c>
      <c r="D1656" s="3" t="s">
        <v>7954</v>
      </c>
      <c r="E1656" s="3" t="s">
        <v>6244</v>
      </c>
    </row>
    <row r="1657" spans="1:5" x14ac:dyDescent="0.25">
      <c r="A1657" s="3" t="s">
        <v>714</v>
      </c>
      <c r="B1657" s="6" t="s">
        <v>4039</v>
      </c>
      <c r="C1657" s="3" t="s">
        <v>8378</v>
      </c>
      <c r="D1657" s="3" t="s">
        <v>6875</v>
      </c>
      <c r="E1657" s="3" t="s">
        <v>6245</v>
      </c>
    </row>
    <row r="1658" spans="1:5" x14ac:dyDescent="0.25">
      <c r="A1658" s="3" t="s">
        <v>713</v>
      </c>
      <c r="B1658" s="6" t="s">
        <v>4040</v>
      </c>
      <c r="C1658" s="3" t="s">
        <v>8377</v>
      </c>
      <c r="D1658" s="3" t="s">
        <v>7955</v>
      </c>
      <c r="E1658" s="3" t="s">
        <v>5433</v>
      </c>
    </row>
    <row r="1659" spans="1:5" x14ac:dyDescent="0.25">
      <c r="A1659" s="3" t="s">
        <v>712</v>
      </c>
      <c r="B1659" s="6" t="s">
        <v>4041</v>
      </c>
      <c r="C1659" s="3" t="s">
        <v>8379</v>
      </c>
      <c r="D1659" s="3" t="s">
        <v>7956</v>
      </c>
      <c r="E1659" s="3" t="s">
        <v>6246</v>
      </c>
    </row>
    <row r="1660" spans="1:5" x14ac:dyDescent="0.25">
      <c r="A1660" s="3" t="s">
        <v>711</v>
      </c>
      <c r="B1660" s="6" t="s">
        <v>4042</v>
      </c>
      <c r="C1660" s="3" t="s">
        <v>8377</v>
      </c>
      <c r="D1660" s="3" t="s">
        <v>4765</v>
      </c>
      <c r="E1660" s="3" t="s">
        <v>5617</v>
      </c>
    </row>
    <row r="1661" spans="1:5" x14ac:dyDescent="0.25">
      <c r="A1661" s="3" t="s">
        <v>710</v>
      </c>
      <c r="B1661" s="6" t="s">
        <v>4043</v>
      </c>
      <c r="C1661" s="3" t="s">
        <v>8378</v>
      </c>
      <c r="D1661" s="3" t="s">
        <v>7957</v>
      </c>
      <c r="E1661" s="3" t="s">
        <v>6247</v>
      </c>
    </row>
    <row r="1662" spans="1:5" x14ac:dyDescent="0.25">
      <c r="A1662" s="3" t="s">
        <v>709</v>
      </c>
      <c r="B1662" s="6" t="s">
        <v>4044</v>
      </c>
      <c r="C1662" s="3" t="s">
        <v>8379</v>
      </c>
      <c r="D1662" s="3" t="s">
        <v>7958</v>
      </c>
      <c r="E1662" s="3" t="s">
        <v>6248</v>
      </c>
    </row>
    <row r="1663" spans="1:5" x14ac:dyDescent="0.25">
      <c r="A1663" s="3" t="s">
        <v>708</v>
      </c>
      <c r="B1663" s="6" t="s">
        <v>4045</v>
      </c>
      <c r="C1663" s="3" t="s">
        <v>8378</v>
      </c>
      <c r="D1663" s="3" t="s">
        <v>6291</v>
      </c>
      <c r="E1663" s="3" t="s">
        <v>6249</v>
      </c>
    </row>
    <row r="1664" spans="1:5" x14ac:dyDescent="0.25">
      <c r="A1664" s="3" t="s">
        <v>707</v>
      </c>
      <c r="B1664" s="6" t="s">
        <v>4046</v>
      </c>
      <c r="C1664" s="3" t="s">
        <v>8377</v>
      </c>
      <c r="D1664" s="3" t="s">
        <v>7959</v>
      </c>
      <c r="E1664" s="3" t="s">
        <v>6250</v>
      </c>
    </row>
    <row r="1665" spans="1:5" x14ac:dyDescent="0.25">
      <c r="A1665" s="3" t="s">
        <v>706</v>
      </c>
      <c r="B1665" s="6" t="s">
        <v>4047</v>
      </c>
      <c r="C1665" s="3" t="s">
        <v>8378</v>
      </c>
      <c r="D1665" s="3" t="s">
        <v>7960</v>
      </c>
      <c r="E1665" s="3" t="s">
        <v>6251</v>
      </c>
    </row>
    <row r="1666" spans="1:5" x14ac:dyDescent="0.25">
      <c r="A1666" s="3" t="s">
        <v>705</v>
      </c>
      <c r="B1666" s="6" t="s">
        <v>4048</v>
      </c>
      <c r="C1666" s="3" t="s">
        <v>8378</v>
      </c>
      <c r="D1666" s="3" t="s">
        <v>7961</v>
      </c>
      <c r="E1666" s="3" t="s">
        <v>6252</v>
      </c>
    </row>
    <row r="1667" spans="1:5" x14ac:dyDescent="0.25">
      <c r="A1667" s="3" t="s">
        <v>704</v>
      </c>
      <c r="B1667" s="6" t="s">
        <v>4049</v>
      </c>
      <c r="C1667" s="3" t="s">
        <v>8378</v>
      </c>
      <c r="D1667" s="3" t="s">
        <v>7962</v>
      </c>
      <c r="E1667" s="3" t="s">
        <v>4831</v>
      </c>
    </row>
    <row r="1668" spans="1:5" x14ac:dyDescent="0.25">
      <c r="A1668" s="3" t="s">
        <v>703</v>
      </c>
      <c r="B1668" s="6" t="s">
        <v>4050</v>
      </c>
      <c r="C1668" s="3" t="s">
        <v>8378</v>
      </c>
      <c r="D1668" s="3" t="s">
        <v>6787</v>
      </c>
      <c r="E1668" s="3" t="s">
        <v>6253</v>
      </c>
    </row>
    <row r="1669" spans="1:5" x14ac:dyDescent="0.25">
      <c r="A1669" s="3" t="s">
        <v>702</v>
      </c>
      <c r="B1669" s="6" t="s">
        <v>4051</v>
      </c>
      <c r="C1669" s="3" t="s">
        <v>8378</v>
      </c>
      <c r="D1669" s="3" t="s">
        <v>7963</v>
      </c>
      <c r="E1669" s="3" t="s">
        <v>6254</v>
      </c>
    </row>
    <row r="1670" spans="1:5" x14ac:dyDescent="0.25">
      <c r="A1670" s="3" t="s">
        <v>701</v>
      </c>
      <c r="B1670" s="6" t="s">
        <v>4052</v>
      </c>
      <c r="C1670" s="3" t="s">
        <v>8378</v>
      </c>
      <c r="D1670" s="3" t="s">
        <v>6882</v>
      </c>
      <c r="E1670" s="3" t="s">
        <v>5165</v>
      </c>
    </row>
    <row r="1671" spans="1:5" x14ac:dyDescent="0.25">
      <c r="A1671" s="3" t="s">
        <v>700</v>
      </c>
      <c r="B1671" s="6" t="s">
        <v>4053</v>
      </c>
      <c r="C1671" s="3" t="s">
        <v>8378</v>
      </c>
      <c r="D1671" s="3" t="s">
        <v>7964</v>
      </c>
      <c r="E1671" s="3" t="s">
        <v>6255</v>
      </c>
    </row>
    <row r="1672" spans="1:5" x14ac:dyDescent="0.25">
      <c r="A1672" s="3" t="s">
        <v>699</v>
      </c>
      <c r="B1672" s="6" t="s">
        <v>4054</v>
      </c>
      <c r="C1672" s="3" t="s">
        <v>8377</v>
      </c>
      <c r="D1672" s="3" t="s">
        <v>7965</v>
      </c>
      <c r="E1672" s="3" t="s">
        <v>5862</v>
      </c>
    </row>
    <row r="1673" spans="1:5" x14ac:dyDescent="0.25">
      <c r="A1673" s="3" t="s">
        <v>698</v>
      </c>
      <c r="B1673" s="6" t="s">
        <v>4055</v>
      </c>
      <c r="C1673" s="3" t="s">
        <v>8378</v>
      </c>
      <c r="D1673" s="3" t="s">
        <v>7884</v>
      </c>
      <c r="E1673" s="3" t="s">
        <v>6256</v>
      </c>
    </row>
    <row r="1674" spans="1:5" x14ac:dyDescent="0.25">
      <c r="A1674" s="3" t="s">
        <v>697</v>
      </c>
      <c r="B1674" s="6" t="s">
        <v>4056</v>
      </c>
      <c r="C1674" s="3" t="s">
        <v>8377</v>
      </c>
      <c r="D1674" s="3" t="s">
        <v>7885</v>
      </c>
      <c r="E1674" s="3" t="s">
        <v>6257</v>
      </c>
    </row>
    <row r="1675" spans="1:5" x14ac:dyDescent="0.25">
      <c r="A1675" s="3" t="s">
        <v>696</v>
      </c>
      <c r="B1675" s="6" t="s">
        <v>4057</v>
      </c>
      <c r="C1675" s="3" t="s">
        <v>8377</v>
      </c>
      <c r="D1675" s="3" t="s">
        <v>7797</v>
      </c>
      <c r="E1675" s="3" t="s">
        <v>6258</v>
      </c>
    </row>
    <row r="1676" spans="1:5" x14ac:dyDescent="0.25">
      <c r="A1676" s="3" t="s">
        <v>695</v>
      </c>
      <c r="B1676" s="6" t="s">
        <v>4058</v>
      </c>
      <c r="C1676" s="3" t="s">
        <v>8378</v>
      </c>
      <c r="D1676" s="3" t="s">
        <v>7966</v>
      </c>
      <c r="E1676" s="3" t="s">
        <v>6259</v>
      </c>
    </row>
    <row r="1677" spans="1:5" x14ac:dyDescent="0.25">
      <c r="A1677" s="3" t="s">
        <v>694</v>
      </c>
      <c r="B1677" s="6" t="s">
        <v>4059</v>
      </c>
      <c r="C1677" s="3" t="s">
        <v>8377</v>
      </c>
      <c r="D1677" s="3" t="s">
        <v>7967</v>
      </c>
      <c r="E1677" s="3" t="s">
        <v>6260</v>
      </c>
    </row>
    <row r="1678" spans="1:5" x14ac:dyDescent="0.25">
      <c r="A1678" s="3" t="s">
        <v>693</v>
      </c>
      <c r="B1678" s="6" t="s">
        <v>4060</v>
      </c>
      <c r="C1678" s="3" t="s">
        <v>8377</v>
      </c>
      <c r="D1678" s="3" t="s">
        <v>7968</v>
      </c>
      <c r="E1678" s="3" t="s">
        <v>6261</v>
      </c>
    </row>
    <row r="1679" spans="1:5" x14ac:dyDescent="0.25">
      <c r="A1679" s="3" t="s">
        <v>692</v>
      </c>
      <c r="B1679" s="6" t="s">
        <v>4061</v>
      </c>
      <c r="C1679" s="3" t="s">
        <v>8378</v>
      </c>
      <c r="D1679" s="3" t="s">
        <v>7969</v>
      </c>
      <c r="E1679" s="3" t="s">
        <v>6262</v>
      </c>
    </row>
    <row r="1680" spans="1:5" x14ac:dyDescent="0.25">
      <c r="A1680" s="3" t="s">
        <v>691</v>
      </c>
      <c r="B1680" s="6" t="s">
        <v>4062</v>
      </c>
      <c r="C1680" s="3" t="s">
        <v>8377</v>
      </c>
      <c r="D1680" s="3" t="s">
        <v>7970</v>
      </c>
      <c r="E1680" s="3" t="s">
        <v>5835</v>
      </c>
    </row>
    <row r="1681" spans="1:5" x14ac:dyDescent="0.25">
      <c r="A1681" s="3" t="s">
        <v>690</v>
      </c>
      <c r="B1681" s="6" t="s">
        <v>4063</v>
      </c>
      <c r="C1681" s="3" t="s">
        <v>8377</v>
      </c>
      <c r="D1681" s="3" t="s">
        <v>7971</v>
      </c>
      <c r="E1681" s="3" t="s">
        <v>6263</v>
      </c>
    </row>
    <row r="1682" spans="1:5" x14ac:dyDescent="0.25">
      <c r="A1682" s="3" t="s">
        <v>689</v>
      </c>
      <c r="B1682" s="6" t="s">
        <v>4064</v>
      </c>
      <c r="C1682" s="3" t="s">
        <v>8378</v>
      </c>
      <c r="D1682" s="3" t="s">
        <v>7972</v>
      </c>
      <c r="E1682" s="3" t="s">
        <v>5302</v>
      </c>
    </row>
    <row r="1683" spans="1:5" x14ac:dyDescent="0.25">
      <c r="A1683" s="3" t="s">
        <v>688</v>
      </c>
      <c r="B1683" s="6" t="s">
        <v>4065</v>
      </c>
      <c r="C1683" s="3" t="s">
        <v>8378</v>
      </c>
      <c r="D1683" s="3" t="s">
        <v>6455</v>
      </c>
      <c r="E1683" s="3" t="s">
        <v>6264</v>
      </c>
    </row>
    <row r="1684" spans="1:5" x14ac:dyDescent="0.25">
      <c r="A1684" s="3" t="s">
        <v>687</v>
      </c>
      <c r="B1684" s="6" t="s">
        <v>4066</v>
      </c>
      <c r="C1684" s="3" t="s">
        <v>8377</v>
      </c>
      <c r="D1684" s="3" t="s">
        <v>7973</v>
      </c>
      <c r="E1684" s="3" t="s">
        <v>5102</v>
      </c>
    </row>
    <row r="1685" spans="1:5" x14ac:dyDescent="0.25">
      <c r="A1685" s="3" t="s">
        <v>686</v>
      </c>
      <c r="B1685" s="6" t="s">
        <v>4067</v>
      </c>
      <c r="C1685" s="3" t="s">
        <v>8378</v>
      </c>
      <c r="D1685" s="3" t="s">
        <v>7974</v>
      </c>
      <c r="E1685" s="3" t="s">
        <v>5989</v>
      </c>
    </row>
    <row r="1686" spans="1:5" x14ac:dyDescent="0.25">
      <c r="A1686" s="3" t="s">
        <v>685</v>
      </c>
      <c r="B1686" s="6" t="s">
        <v>4068</v>
      </c>
      <c r="C1686" s="3" t="s">
        <v>8378</v>
      </c>
      <c r="D1686" s="3" t="s">
        <v>7493</v>
      </c>
      <c r="E1686" s="3" t="s">
        <v>6265</v>
      </c>
    </row>
    <row r="1687" spans="1:5" x14ac:dyDescent="0.25">
      <c r="A1687" s="3" t="s">
        <v>684</v>
      </c>
      <c r="B1687" s="6" t="s">
        <v>4069</v>
      </c>
      <c r="C1687" s="3" t="s">
        <v>8378</v>
      </c>
      <c r="D1687" s="3" t="s">
        <v>7975</v>
      </c>
      <c r="E1687" s="3" t="s">
        <v>5217</v>
      </c>
    </row>
    <row r="1688" spans="1:5" x14ac:dyDescent="0.25">
      <c r="A1688" s="3" t="s">
        <v>683</v>
      </c>
      <c r="B1688" s="6" t="s">
        <v>4070</v>
      </c>
      <c r="C1688" s="3" t="s">
        <v>8377</v>
      </c>
      <c r="D1688" s="3" t="s">
        <v>7976</v>
      </c>
      <c r="E1688" s="3" t="s">
        <v>6266</v>
      </c>
    </row>
    <row r="1689" spans="1:5" x14ac:dyDescent="0.25">
      <c r="A1689" s="3" t="s">
        <v>682</v>
      </c>
      <c r="B1689" s="6" t="s">
        <v>4071</v>
      </c>
      <c r="C1689" s="3" t="s">
        <v>8379</v>
      </c>
      <c r="D1689" s="3" t="s">
        <v>7977</v>
      </c>
      <c r="E1689" s="3" t="s">
        <v>6267</v>
      </c>
    </row>
    <row r="1690" spans="1:5" x14ac:dyDescent="0.25">
      <c r="A1690" s="3" t="s">
        <v>681</v>
      </c>
      <c r="B1690" s="6" t="s">
        <v>4072</v>
      </c>
      <c r="C1690" s="3" t="s">
        <v>8378</v>
      </c>
      <c r="D1690" s="3" t="s">
        <v>7642</v>
      </c>
      <c r="E1690" s="3" t="s">
        <v>6268</v>
      </c>
    </row>
    <row r="1691" spans="1:5" x14ac:dyDescent="0.25">
      <c r="A1691" s="3" t="s">
        <v>680</v>
      </c>
      <c r="B1691" s="6" t="s">
        <v>4073</v>
      </c>
      <c r="C1691" s="3" t="s">
        <v>8377</v>
      </c>
      <c r="D1691" s="3" t="s">
        <v>7978</v>
      </c>
      <c r="E1691" s="3" t="s">
        <v>6269</v>
      </c>
    </row>
    <row r="1692" spans="1:5" x14ac:dyDescent="0.25">
      <c r="A1692" s="3" t="s">
        <v>679</v>
      </c>
      <c r="B1692" s="6" t="s">
        <v>4074</v>
      </c>
      <c r="C1692" s="3" t="s">
        <v>8377</v>
      </c>
      <c r="D1692" s="3" t="s">
        <v>7979</v>
      </c>
      <c r="E1692" s="3" t="s">
        <v>6270</v>
      </c>
    </row>
    <row r="1693" spans="1:5" x14ac:dyDescent="0.25">
      <c r="A1693" s="3" t="s">
        <v>678</v>
      </c>
      <c r="B1693" s="6" t="s">
        <v>4075</v>
      </c>
      <c r="C1693" s="3" t="s">
        <v>8378</v>
      </c>
      <c r="D1693" s="3" t="s">
        <v>7980</v>
      </c>
      <c r="E1693" s="3" t="s">
        <v>6271</v>
      </c>
    </row>
    <row r="1694" spans="1:5" x14ac:dyDescent="0.25">
      <c r="A1694" s="3" t="s">
        <v>677</v>
      </c>
      <c r="B1694" s="6" t="s">
        <v>4076</v>
      </c>
      <c r="C1694" s="3" t="s">
        <v>8378</v>
      </c>
      <c r="D1694" s="3" t="s">
        <v>6144</v>
      </c>
      <c r="E1694" s="3" t="s">
        <v>5227</v>
      </c>
    </row>
    <row r="1695" spans="1:5" x14ac:dyDescent="0.25">
      <c r="A1695" s="3" t="s">
        <v>676</v>
      </c>
      <c r="B1695" s="6" t="s">
        <v>4077</v>
      </c>
      <c r="C1695" s="3" t="s">
        <v>8377</v>
      </c>
      <c r="D1695" s="3" t="s">
        <v>7221</v>
      </c>
      <c r="E1695" s="3" t="s">
        <v>6272</v>
      </c>
    </row>
    <row r="1696" spans="1:5" x14ac:dyDescent="0.25">
      <c r="A1696" s="3" t="s">
        <v>675</v>
      </c>
      <c r="B1696" s="6" t="s">
        <v>4078</v>
      </c>
      <c r="C1696" s="3" t="s">
        <v>8377</v>
      </c>
      <c r="D1696" s="3" t="s">
        <v>7981</v>
      </c>
      <c r="E1696" s="3" t="s">
        <v>6273</v>
      </c>
    </row>
    <row r="1697" spans="1:5" x14ac:dyDescent="0.25">
      <c r="A1697" s="3" t="s">
        <v>674</v>
      </c>
      <c r="B1697" s="6" t="s">
        <v>4079</v>
      </c>
      <c r="C1697" s="3" t="s">
        <v>8377</v>
      </c>
      <c r="D1697" s="3" t="s">
        <v>7982</v>
      </c>
      <c r="E1697" s="3" t="s">
        <v>6274</v>
      </c>
    </row>
    <row r="1698" spans="1:5" x14ac:dyDescent="0.25">
      <c r="A1698" s="3" t="s">
        <v>673</v>
      </c>
      <c r="B1698" s="6" t="s">
        <v>4080</v>
      </c>
      <c r="C1698" s="3" t="s">
        <v>8377</v>
      </c>
      <c r="D1698" s="3" t="s">
        <v>7983</v>
      </c>
      <c r="E1698" s="3" t="s">
        <v>6017</v>
      </c>
    </row>
    <row r="1699" spans="1:5" x14ac:dyDescent="0.25">
      <c r="A1699" s="3" t="s">
        <v>672</v>
      </c>
      <c r="B1699" s="6" t="s">
        <v>4081</v>
      </c>
      <c r="C1699" s="3" t="s">
        <v>8377</v>
      </c>
      <c r="D1699" s="3" t="s">
        <v>7540</v>
      </c>
      <c r="E1699" s="3" t="s">
        <v>6275</v>
      </c>
    </row>
    <row r="1700" spans="1:5" x14ac:dyDescent="0.25">
      <c r="A1700" s="3" t="s">
        <v>671</v>
      </c>
      <c r="B1700" s="6" t="s">
        <v>4082</v>
      </c>
      <c r="C1700" s="3" t="s">
        <v>8378</v>
      </c>
      <c r="D1700" s="3" t="s">
        <v>6315</v>
      </c>
      <c r="E1700" s="3" t="s">
        <v>6276</v>
      </c>
    </row>
    <row r="1701" spans="1:5" x14ac:dyDescent="0.25">
      <c r="A1701" s="3" t="s">
        <v>670</v>
      </c>
      <c r="B1701" s="6" t="s">
        <v>4083</v>
      </c>
      <c r="C1701" s="3" t="s">
        <v>8377</v>
      </c>
      <c r="D1701" s="3" t="s">
        <v>7984</v>
      </c>
      <c r="E1701" s="3" t="s">
        <v>6277</v>
      </c>
    </row>
    <row r="1702" spans="1:5" x14ac:dyDescent="0.25">
      <c r="A1702" s="3" t="s">
        <v>669</v>
      </c>
      <c r="B1702" s="6" t="s">
        <v>4084</v>
      </c>
      <c r="C1702" s="3" t="s">
        <v>8378</v>
      </c>
      <c r="D1702" s="3" t="s">
        <v>4770</v>
      </c>
      <c r="E1702" s="3" t="s">
        <v>6278</v>
      </c>
    </row>
    <row r="1703" spans="1:5" x14ac:dyDescent="0.25">
      <c r="A1703" s="3" t="s">
        <v>668</v>
      </c>
      <c r="B1703" s="6" t="s">
        <v>4085</v>
      </c>
      <c r="C1703" s="3" t="s">
        <v>8378</v>
      </c>
      <c r="D1703" s="3" t="s">
        <v>6817</v>
      </c>
      <c r="E1703" s="3" t="s">
        <v>6279</v>
      </c>
    </row>
    <row r="1704" spans="1:5" x14ac:dyDescent="0.25">
      <c r="A1704" s="3" t="s">
        <v>667</v>
      </c>
      <c r="B1704" s="6" t="s">
        <v>4086</v>
      </c>
      <c r="C1704" s="3" t="s">
        <v>8378</v>
      </c>
      <c r="D1704" s="3" t="s">
        <v>7313</v>
      </c>
      <c r="E1704" s="3" t="s">
        <v>6280</v>
      </c>
    </row>
    <row r="1705" spans="1:5" x14ac:dyDescent="0.25">
      <c r="A1705" s="3" t="s">
        <v>666</v>
      </c>
      <c r="B1705" s="6" t="s">
        <v>4087</v>
      </c>
      <c r="C1705" s="3" t="s">
        <v>8377</v>
      </c>
      <c r="D1705" s="3" t="s">
        <v>6915</v>
      </c>
      <c r="E1705" s="3" t="s">
        <v>6281</v>
      </c>
    </row>
    <row r="1706" spans="1:5" x14ac:dyDescent="0.25">
      <c r="A1706" s="3" t="s">
        <v>665</v>
      </c>
      <c r="B1706" s="6" t="s">
        <v>4088</v>
      </c>
      <c r="C1706" s="3" t="s">
        <v>8378</v>
      </c>
      <c r="D1706" s="3" t="s">
        <v>7985</v>
      </c>
      <c r="E1706" s="3" t="s">
        <v>5485</v>
      </c>
    </row>
    <row r="1707" spans="1:5" x14ac:dyDescent="0.25">
      <c r="A1707" s="3" t="s">
        <v>664</v>
      </c>
      <c r="B1707" s="6" t="s">
        <v>4089</v>
      </c>
      <c r="C1707" s="3" t="s">
        <v>8377</v>
      </c>
      <c r="D1707" s="3" t="s">
        <v>7986</v>
      </c>
      <c r="E1707" s="3" t="s">
        <v>6282</v>
      </c>
    </row>
    <row r="1708" spans="1:5" x14ac:dyDescent="0.25">
      <c r="A1708" s="3" t="s">
        <v>663</v>
      </c>
      <c r="B1708" s="6" t="s">
        <v>4090</v>
      </c>
      <c r="C1708" s="3" t="s">
        <v>8377</v>
      </c>
      <c r="D1708" s="3" t="s">
        <v>7192</v>
      </c>
      <c r="E1708" s="3" t="s">
        <v>5810</v>
      </c>
    </row>
    <row r="1709" spans="1:5" x14ac:dyDescent="0.25">
      <c r="A1709" s="3" t="s">
        <v>662</v>
      </c>
      <c r="B1709" s="6" t="s">
        <v>4091</v>
      </c>
      <c r="C1709" s="3" t="s">
        <v>8378</v>
      </c>
      <c r="D1709" s="3" t="s">
        <v>7987</v>
      </c>
      <c r="E1709" s="3" t="s">
        <v>6283</v>
      </c>
    </row>
    <row r="1710" spans="1:5" x14ac:dyDescent="0.25">
      <c r="A1710" s="3" t="s">
        <v>661</v>
      </c>
      <c r="B1710" s="6" t="s">
        <v>4092</v>
      </c>
      <c r="C1710" s="3" t="s">
        <v>8377</v>
      </c>
      <c r="D1710" s="3" t="s">
        <v>7440</v>
      </c>
      <c r="E1710" s="3" t="s">
        <v>6017</v>
      </c>
    </row>
    <row r="1711" spans="1:5" x14ac:dyDescent="0.25">
      <c r="A1711" s="3" t="s">
        <v>660</v>
      </c>
      <c r="B1711" s="6" t="s">
        <v>4093</v>
      </c>
      <c r="C1711" s="3" t="s">
        <v>8377</v>
      </c>
      <c r="D1711" s="3" t="s">
        <v>7988</v>
      </c>
      <c r="E1711" s="3" t="s">
        <v>6284</v>
      </c>
    </row>
    <row r="1712" spans="1:5" x14ac:dyDescent="0.25">
      <c r="A1712" s="3" t="s">
        <v>659</v>
      </c>
      <c r="B1712" s="6" t="s">
        <v>4094</v>
      </c>
      <c r="C1712" s="3" t="s">
        <v>8378</v>
      </c>
      <c r="D1712" s="3" t="s">
        <v>7989</v>
      </c>
      <c r="E1712" s="3" t="s">
        <v>6285</v>
      </c>
    </row>
    <row r="1713" spans="1:5" x14ac:dyDescent="0.25">
      <c r="A1713" s="3" t="s">
        <v>658</v>
      </c>
      <c r="B1713" s="6" t="s">
        <v>4095</v>
      </c>
      <c r="C1713" s="3" t="s">
        <v>8377</v>
      </c>
      <c r="D1713" s="3" t="s">
        <v>7031</v>
      </c>
      <c r="E1713" s="3" t="s">
        <v>6286</v>
      </c>
    </row>
    <row r="1714" spans="1:5" x14ac:dyDescent="0.25">
      <c r="A1714" s="3" t="s">
        <v>657</v>
      </c>
      <c r="B1714" s="6" t="s">
        <v>4096</v>
      </c>
      <c r="C1714" s="3" t="s">
        <v>8378</v>
      </c>
      <c r="D1714" s="3" t="s">
        <v>6904</v>
      </c>
      <c r="E1714" s="3" t="s">
        <v>6287</v>
      </c>
    </row>
    <row r="1715" spans="1:5" x14ac:dyDescent="0.25">
      <c r="A1715" s="3" t="s">
        <v>656</v>
      </c>
      <c r="B1715" s="6" t="s">
        <v>4097</v>
      </c>
      <c r="C1715" s="3" t="s">
        <v>8377</v>
      </c>
      <c r="D1715" s="3" t="s">
        <v>7990</v>
      </c>
      <c r="E1715" s="3" t="s">
        <v>6288</v>
      </c>
    </row>
    <row r="1716" spans="1:5" x14ac:dyDescent="0.25">
      <c r="A1716" s="3" t="s">
        <v>655</v>
      </c>
      <c r="B1716" s="6" t="s">
        <v>4098</v>
      </c>
      <c r="C1716" s="3" t="s">
        <v>8377</v>
      </c>
      <c r="D1716" s="3" t="s">
        <v>7988</v>
      </c>
      <c r="E1716" s="3" t="s">
        <v>6289</v>
      </c>
    </row>
    <row r="1717" spans="1:5" x14ac:dyDescent="0.25">
      <c r="A1717" s="3" t="s">
        <v>654</v>
      </c>
      <c r="B1717" s="6" t="s">
        <v>4099</v>
      </c>
      <c r="C1717" s="3" t="s">
        <v>8378</v>
      </c>
      <c r="D1717" s="3" t="s">
        <v>5603</v>
      </c>
      <c r="E1717" s="3" t="s">
        <v>6290</v>
      </c>
    </row>
    <row r="1718" spans="1:5" x14ac:dyDescent="0.25">
      <c r="A1718" s="3" t="s">
        <v>653</v>
      </c>
      <c r="B1718" s="6" t="s">
        <v>4100</v>
      </c>
      <c r="C1718" s="3" t="s">
        <v>8377</v>
      </c>
      <c r="D1718" s="3" t="s">
        <v>7991</v>
      </c>
      <c r="E1718" s="3" t="s">
        <v>6291</v>
      </c>
    </row>
    <row r="1719" spans="1:5" x14ac:dyDescent="0.25">
      <c r="A1719" s="3" t="s">
        <v>652</v>
      </c>
      <c r="B1719" s="6" t="s">
        <v>4101</v>
      </c>
      <c r="C1719" s="3" t="s">
        <v>8377</v>
      </c>
      <c r="D1719" s="3" t="s">
        <v>7992</v>
      </c>
      <c r="E1719" s="3" t="s">
        <v>6292</v>
      </c>
    </row>
    <row r="1720" spans="1:5" x14ac:dyDescent="0.25">
      <c r="A1720" s="3" t="s">
        <v>651</v>
      </c>
      <c r="B1720" s="6" t="s">
        <v>4102</v>
      </c>
      <c r="C1720" s="3" t="s">
        <v>8377</v>
      </c>
      <c r="D1720" s="3" t="s">
        <v>7993</v>
      </c>
      <c r="E1720" s="3" t="s">
        <v>6293</v>
      </c>
    </row>
    <row r="1721" spans="1:5" x14ac:dyDescent="0.25">
      <c r="A1721" s="3" t="s">
        <v>650</v>
      </c>
      <c r="B1721" s="6" t="s">
        <v>4103</v>
      </c>
      <c r="C1721" s="3" t="s">
        <v>8377</v>
      </c>
      <c r="D1721" s="3" t="s">
        <v>7994</v>
      </c>
      <c r="E1721" s="3" t="s">
        <v>4968</v>
      </c>
    </row>
    <row r="1722" spans="1:5" x14ac:dyDescent="0.25">
      <c r="A1722" s="3" t="s">
        <v>649</v>
      </c>
      <c r="B1722" s="6" t="s">
        <v>4104</v>
      </c>
      <c r="C1722" s="3" t="s">
        <v>8378</v>
      </c>
      <c r="D1722" s="3" t="s">
        <v>5893</v>
      </c>
      <c r="E1722" s="3" t="s">
        <v>6294</v>
      </c>
    </row>
    <row r="1723" spans="1:5" x14ac:dyDescent="0.25">
      <c r="A1723" s="3" t="s">
        <v>648</v>
      </c>
      <c r="B1723" s="6" t="s">
        <v>4105</v>
      </c>
      <c r="C1723" s="3" t="s">
        <v>8378</v>
      </c>
      <c r="D1723" s="3" t="s">
        <v>7995</v>
      </c>
      <c r="E1723" s="3" t="s">
        <v>6295</v>
      </c>
    </row>
    <row r="1724" spans="1:5" x14ac:dyDescent="0.25">
      <c r="A1724" s="3" t="s">
        <v>647</v>
      </c>
      <c r="B1724" s="6" t="s">
        <v>4106</v>
      </c>
      <c r="C1724" s="3" t="s">
        <v>8377</v>
      </c>
      <c r="D1724" s="3" t="s">
        <v>7996</v>
      </c>
      <c r="E1724" s="3" t="s">
        <v>6296</v>
      </c>
    </row>
    <row r="1725" spans="1:5" x14ac:dyDescent="0.25">
      <c r="A1725" s="3" t="s">
        <v>646</v>
      </c>
      <c r="B1725" s="6" t="s">
        <v>4107</v>
      </c>
      <c r="C1725" s="3" t="s">
        <v>8378</v>
      </c>
      <c r="D1725" s="3" t="s">
        <v>7997</v>
      </c>
      <c r="E1725" s="3" t="s">
        <v>6297</v>
      </c>
    </row>
    <row r="1726" spans="1:5" x14ac:dyDescent="0.25">
      <c r="A1726" s="3" t="s">
        <v>645</v>
      </c>
      <c r="B1726" s="6" t="s">
        <v>4108</v>
      </c>
      <c r="C1726" s="3" t="s">
        <v>8377</v>
      </c>
      <c r="D1726" s="3" t="s">
        <v>7998</v>
      </c>
      <c r="E1726" s="3" t="s">
        <v>6074</v>
      </c>
    </row>
    <row r="1727" spans="1:5" x14ac:dyDescent="0.25">
      <c r="A1727" s="3" t="s">
        <v>644</v>
      </c>
      <c r="B1727" s="6" t="s">
        <v>4109</v>
      </c>
      <c r="C1727" s="3" t="s">
        <v>8377</v>
      </c>
      <c r="D1727" s="3" t="s">
        <v>7999</v>
      </c>
      <c r="E1727" s="3" t="s">
        <v>6298</v>
      </c>
    </row>
    <row r="1728" spans="1:5" x14ac:dyDescent="0.25">
      <c r="A1728" s="3" t="s">
        <v>643</v>
      </c>
      <c r="B1728" s="6" t="s">
        <v>4110</v>
      </c>
      <c r="C1728" s="3" t="s">
        <v>8377</v>
      </c>
      <c r="D1728" s="3" t="s">
        <v>8000</v>
      </c>
      <c r="E1728" s="3" t="s">
        <v>6299</v>
      </c>
    </row>
    <row r="1729" spans="1:5" x14ac:dyDescent="0.25">
      <c r="A1729" s="3" t="s">
        <v>642</v>
      </c>
      <c r="B1729" s="6" t="s">
        <v>4111</v>
      </c>
      <c r="C1729" s="3" t="s">
        <v>8378</v>
      </c>
      <c r="D1729" s="3" t="s">
        <v>8001</v>
      </c>
      <c r="E1729" s="3" t="s">
        <v>5392</v>
      </c>
    </row>
    <row r="1730" spans="1:5" x14ac:dyDescent="0.25">
      <c r="A1730" s="3" t="s">
        <v>641</v>
      </c>
      <c r="B1730" s="6" t="s">
        <v>4112</v>
      </c>
      <c r="C1730" s="3" t="s">
        <v>8378</v>
      </c>
      <c r="D1730" s="3" t="s">
        <v>8002</v>
      </c>
      <c r="E1730" s="3" t="s">
        <v>6300</v>
      </c>
    </row>
    <row r="1731" spans="1:5" x14ac:dyDescent="0.25">
      <c r="A1731" s="3" t="s">
        <v>640</v>
      </c>
      <c r="B1731" s="6" t="s">
        <v>4113</v>
      </c>
      <c r="C1731" s="3" t="s">
        <v>8378</v>
      </c>
      <c r="D1731" s="3" t="s">
        <v>8003</v>
      </c>
      <c r="E1731" s="3" t="s">
        <v>6197</v>
      </c>
    </row>
    <row r="1732" spans="1:5" x14ac:dyDescent="0.25">
      <c r="A1732" s="3" t="s">
        <v>639</v>
      </c>
      <c r="B1732" s="6" t="s">
        <v>4114</v>
      </c>
      <c r="C1732" s="3" t="s">
        <v>8377</v>
      </c>
      <c r="D1732" s="3" t="s">
        <v>8004</v>
      </c>
      <c r="E1732" s="3" t="s">
        <v>5323</v>
      </c>
    </row>
    <row r="1733" spans="1:5" x14ac:dyDescent="0.25">
      <c r="A1733" s="3" t="s">
        <v>638</v>
      </c>
      <c r="B1733" s="6" t="s">
        <v>4115</v>
      </c>
      <c r="C1733" s="3" t="s">
        <v>8377</v>
      </c>
      <c r="D1733" s="3" t="s">
        <v>6820</v>
      </c>
      <c r="E1733" s="3" t="s">
        <v>6301</v>
      </c>
    </row>
    <row r="1734" spans="1:5" x14ac:dyDescent="0.25">
      <c r="A1734" s="3" t="s">
        <v>637</v>
      </c>
      <c r="B1734" s="6" t="s">
        <v>4116</v>
      </c>
      <c r="C1734" s="3" t="s">
        <v>8377</v>
      </c>
      <c r="D1734" s="3" t="s">
        <v>8005</v>
      </c>
      <c r="E1734" s="3" t="s">
        <v>6302</v>
      </c>
    </row>
    <row r="1735" spans="1:5" x14ac:dyDescent="0.25">
      <c r="A1735" s="3" t="s">
        <v>636</v>
      </c>
      <c r="B1735" s="6" t="s">
        <v>4117</v>
      </c>
      <c r="C1735" s="3" t="s">
        <v>8377</v>
      </c>
      <c r="D1735" s="3" t="s">
        <v>8006</v>
      </c>
      <c r="E1735" s="3" t="s">
        <v>6303</v>
      </c>
    </row>
    <row r="1736" spans="1:5" x14ac:dyDescent="0.25">
      <c r="A1736" s="3" t="s">
        <v>635</v>
      </c>
      <c r="B1736" s="6" t="s">
        <v>4118</v>
      </c>
      <c r="C1736" s="3" t="s">
        <v>8379</v>
      </c>
      <c r="D1736" s="3" t="s">
        <v>8007</v>
      </c>
      <c r="E1736" s="3" t="s">
        <v>6304</v>
      </c>
    </row>
    <row r="1737" spans="1:5" x14ac:dyDescent="0.25">
      <c r="A1737" s="3" t="s">
        <v>634</v>
      </c>
      <c r="B1737" s="6" t="s">
        <v>4119</v>
      </c>
      <c r="C1737" s="3" t="s">
        <v>8377</v>
      </c>
      <c r="D1737" s="3" t="s">
        <v>8008</v>
      </c>
      <c r="E1737" s="3" t="s">
        <v>6305</v>
      </c>
    </row>
    <row r="1738" spans="1:5" x14ac:dyDescent="0.25">
      <c r="A1738" s="3" t="s">
        <v>633</v>
      </c>
      <c r="B1738" s="6" t="s">
        <v>4120</v>
      </c>
      <c r="C1738" s="3" t="s">
        <v>8378</v>
      </c>
      <c r="D1738" s="3" t="s">
        <v>8009</v>
      </c>
      <c r="E1738" s="3" t="s">
        <v>5603</v>
      </c>
    </row>
    <row r="1739" spans="1:5" x14ac:dyDescent="0.25">
      <c r="A1739" s="3" t="s">
        <v>632</v>
      </c>
      <c r="B1739" s="6" t="s">
        <v>4121</v>
      </c>
      <c r="C1739" s="3" t="s">
        <v>8378</v>
      </c>
      <c r="D1739" s="3" t="s">
        <v>6796</v>
      </c>
      <c r="E1739" s="3" t="s">
        <v>6306</v>
      </c>
    </row>
    <row r="1740" spans="1:5" x14ac:dyDescent="0.25">
      <c r="A1740" s="3" t="s">
        <v>630</v>
      </c>
      <c r="B1740" s="6" t="s">
        <v>4122</v>
      </c>
      <c r="C1740" s="3" t="s">
        <v>8378</v>
      </c>
      <c r="D1740" s="3" t="s">
        <v>8010</v>
      </c>
      <c r="E1740" s="3" t="s">
        <v>6307</v>
      </c>
    </row>
    <row r="1741" spans="1:5" x14ac:dyDescent="0.25">
      <c r="A1741" s="3" t="s">
        <v>629</v>
      </c>
      <c r="B1741" s="6" t="s">
        <v>4123</v>
      </c>
      <c r="C1741" s="3" t="s">
        <v>8377</v>
      </c>
      <c r="D1741" s="3" t="s">
        <v>8011</v>
      </c>
      <c r="E1741" s="3" t="s">
        <v>6308</v>
      </c>
    </row>
    <row r="1742" spans="1:5" x14ac:dyDescent="0.25">
      <c r="A1742" s="3" t="s">
        <v>628</v>
      </c>
      <c r="B1742" s="6" t="s">
        <v>4124</v>
      </c>
      <c r="C1742" s="3" t="s">
        <v>8377</v>
      </c>
      <c r="D1742" s="3" t="s">
        <v>8012</v>
      </c>
      <c r="E1742" s="3" t="s">
        <v>6309</v>
      </c>
    </row>
    <row r="1743" spans="1:5" x14ac:dyDescent="0.25">
      <c r="A1743" s="3" t="s">
        <v>627</v>
      </c>
      <c r="B1743" s="6" t="s">
        <v>4125</v>
      </c>
      <c r="C1743" s="3" t="s">
        <v>8377</v>
      </c>
      <c r="D1743" s="3" t="s">
        <v>8013</v>
      </c>
      <c r="E1743" s="3" t="s">
        <v>6310</v>
      </c>
    </row>
    <row r="1744" spans="1:5" x14ac:dyDescent="0.25">
      <c r="A1744" s="3" t="s">
        <v>626</v>
      </c>
      <c r="B1744" s="6" t="s">
        <v>4126</v>
      </c>
      <c r="C1744" s="3" t="s">
        <v>8377</v>
      </c>
      <c r="D1744" s="3" t="s">
        <v>8014</v>
      </c>
      <c r="E1744" s="3" t="s">
        <v>6311</v>
      </c>
    </row>
    <row r="1745" spans="1:5" x14ac:dyDescent="0.25">
      <c r="A1745" s="3" t="s">
        <v>625</v>
      </c>
      <c r="B1745" s="6" t="s">
        <v>4127</v>
      </c>
      <c r="C1745" s="3" t="s">
        <v>8377</v>
      </c>
      <c r="D1745" s="3" t="s">
        <v>7169</v>
      </c>
      <c r="E1745" s="3" t="s">
        <v>6312</v>
      </c>
    </row>
    <row r="1746" spans="1:5" x14ac:dyDescent="0.25">
      <c r="A1746" s="3" t="s">
        <v>624</v>
      </c>
      <c r="B1746" s="6" t="s">
        <v>4128</v>
      </c>
      <c r="C1746" s="3" t="s">
        <v>8378</v>
      </c>
      <c r="D1746" s="3" t="s">
        <v>8015</v>
      </c>
      <c r="E1746" s="3" t="s">
        <v>5455</v>
      </c>
    </row>
    <row r="1747" spans="1:5" x14ac:dyDescent="0.25">
      <c r="A1747" s="3" t="s">
        <v>623</v>
      </c>
      <c r="B1747" s="6" t="s">
        <v>4129</v>
      </c>
      <c r="C1747" s="3" t="s">
        <v>8377</v>
      </c>
      <c r="D1747" s="3" t="s">
        <v>7872</v>
      </c>
      <c r="E1747" s="3" t="s">
        <v>6313</v>
      </c>
    </row>
    <row r="1748" spans="1:5" x14ac:dyDescent="0.25">
      <c r="A1748" s="3" t="s">
        <v>622</v>
      </c>
      <c r="B1748" s="6" t="s">
        <v>4130</v>
      </c>
      <c r="C1748" s="3" t="s">
        <v>8377</v>
      </c>
      <c r="D1748" s="3" t="s">
        <v>8016</v>
      </c>
      <c r="E1748" s="3" t="s">
        <v>6314</v>
      </c>
    </row>
    <row r="1749" spans="1:5" x14ac:dyDescent="0.25">
      <c r="A1749" s="3" t="s">
        <v>621</v>
      </c>
      <c r="B1749" s="6" t="s">
        <v>4131</v>
      </c>
      <c r="C1749" s="3" t="s">
        <v>8378</v>
      </c>
      <c r="D1749" s="3" t="s">
        <v>8017</v>
      </c>
      <c r="E1749" s="3" t="s">
        <v>6305</v>
      </c>
    </row>
    <row r="1750" spans="1:5" x14ac:dyDescent="0.25">
      <c r="A1750" s="3" t="s">
        <v>620</v>
      </c>
      <c r="B1750" s="6" t="s">
        <v>4132</v>
      </c>
      <c r="C1750" s="3" t="s">
        <v>8378</v>
      </c>
      <c r="D1750" s="3" t="s">
        <v>7377</v>
      </c>
      <c r="E1750" s="3" t="s">
        <v>6315</v>
      </c>
    </row>
    <row r="1751" spans="1:5" x14ac:dyDescent="0.25">
      <c r="A1751" s="3" t="s">
        <v>619</v>
      </c>
      <c r="B1751" s="6" t="s">
        <v>4133</v>
      </c>
      <c r="C1751" s="3" t="s">
        <v>8378</v>
      </c>
      <c r="D1751" s="3" t="s">
        <v>8018</v>
      </c>
      <c r="E1751" s="3" t="s">
        <v>5773</v>
      </c>
    </row>
    <row r="1752" spans="1:5" x14ac:dyDescent="0.25">
      <c r="A1752" s="3" t="s">
        <v>618</v>
      </c>
      <c r="B1752" s="6" t="s">
        <v>4134</v>
      </c>
      <c r="C1752" s="3" t="s">
        <v>8379</v>
      </c>
      <c r="D1752" s="3" t="s">
        <v>8019</v>
      </c>
      <c r="E1752" s="3" t="s">
        <v>6316</v>
      </c>
    </row>
    <row r="1753" spans="1:5" x14ac:dyDescent="0.25">
      <c r="A1753" s="3" t="s">
        <v>617</v>
      </c>
      <c r="B1753" s="6" t="s">
        <v>4135</v>
      </c>
      <c r="C1753" s="3" t="s">
        <v>8378</v>
      </c>
      <c r="D1753" s="3" t="s">
        <v>7926</v>
      </c>
      <c r="E1753" s="3" t="s">
        <v>6317</v>
      </c>
    </row>
    <row r="1754" spans="1:5" x14ac:dyDescent="0.25">
      <c r="A1754" s="3" t="s">
        <v>616</v>
      </c>
      <c r="B1754" s="6" t="s">
        <v>4136</v>
      </c>
      <c r="C1754" s="3" t="s">
        <v>8378</v>
      </c>
      <c r="D1754" s="3" t="s">
        <v>8020</v>
      </c>
      <c r="E1754" s="3" t="s">
        <v>6318</v>
      </c>
    </row>
    <row r="1755" spans="1:5" x14ac:dyDescent="0.25">
      <c r="A1755" s="3" t="s">
        <v>615</v>
      </c>
      <c r="B1755" s="6" t="s">
        <v>4137</v>
      </c>
      <c r="C1755" s="3" t="s">
        <v>8378</v>
      </c>
      <c r="D1755" s="3" t="s">
        <v>8021</v>
      </c>
      <c r="E1755" s="3" t="s">
        <v>4769</v>
      </c>
    </row>
    <row r="1756" spans="1:5" x14ac:dyDescent="0.25">
      <c r="A1756" s="3" t="s">
        <v>614</v>
      </c>
      <c r="B1756" s="6" t="s">
        <v>4138</v>
      </c>
      <c r="C1756" s="3" t="s">
        <v>8377</v>
      </c>
      <c r="D1756" s="3" t="s">
        <v>8022</v>
      </c>
      <c r="E1756" s="3" t="s">
        <v>6319</v>
      </c>
    </row>
    <row r="1757" spans="1:5" x14ac:dyDescent="0.25">
      <c r="A1757" s="3" t="s">
        <v>613</v>
      </c>
      <c r="B1757" s="6" t="s">
        <v>4139</v>
      </c>
      <c r="C1757" s="3" t="s">
        <v>8377</v>
      </c>
      <c r="D1757" s="3" t="s">
        <v>8023</v>
      </c>
      <c r="E1757" s="3" t="s">
        <v>6320</v>
      </c>
    </row>
    <row r="1758" spans="1:5" x14ac:dyDescent="0.25">
      <c r="A1758" s="3" t="s">
        <v>612</v>
      </c>
      <c r="B1758" s="6" t="s">
        <v>4140</v>
      </c>
      <c r="C1758" s="3" t="s">
        <v>8378</v>
      </c>
      <c r="D1758" s="3" t="s">
        <v>8024</v>
      </c>
      <c r="E1758" s="3" t="s">
        <v>5002</v>
      </c>
    </row>
    <row r="1759" spans="1:5" x14ac:dyDescent="0.25">
      <c r="A1759" s="3" t="s">
        <v>611</v>
      </c>
      <c r="B1759" s="6" t="s">
        <v>4141</v>
      </c>
      <c r="C1759" s="3" t="s">
        <v>8379</v>
      </c>
      <c r="D1759" s="3" t="s">
        <v>8025</v>
      </c>
      <c r="E1759" s="3" t="s">
        <v>6321</v>
      </c>
    </row>
    <row r="1760" spans="1:5" x14ac:dyDescent="0.25">
      <c r="A1760" s="3" t="s">
        <v>610</v>
      </c>
      <c r="B1760" s="6" t="s">
        <v>4142</v>
      </c>
      <c r="C1760" s="3" t="s">
        <v>8378</v>
      </c>
      <c r="D1760" s="3" t="s">
        <v>8026</v>
      </c>
      <c r="E1760" s="3" t="s">
        <v>6322</v>
      </c>
    </row>
    <row r="1761" spans="1:5" x14ac:dyDescent="0.25">
      <c r="A1761" s="3" t="s">
        <v>609</v>
      </c>
      <c r="B1761" s="6" t="s">
        <v>4143</v>
      </c>
      <c r="C1761" s="3" t="s">
        <v>8378</v>
      </c>
      <c r="D1761" s="3" t="s">
        <v>8027</v>
      </c>
      <c r="E1761" s="3" t="s">
        <v>6323</v>
      </c>
    </row>
    <row r="1762" spans="1:5" x14ac:dyDescent="0.25">
      <c r="A1762" s="3" t="s">
        <v>608</v>
      </c>
      <c r="B1762" s="6" t="s">
        <v>4144</v>
      </c>
      <c r="C1762" s="3" t="s">
        <v>8378</v>
      </c>
      <c r="D1762" s="3" t="s">
        <v>8028</v>
      </c>
      <c r="E1762" s="3" t="s">
        <v>6324</v>
      </c>
    </row>
    <row r="1763" spans="1:5" x14ac:dyDescent="0.25">
      <c r="A1763" s="3" t="s">
        <v>607</v>
      </c>
      <c r="B1763" s="6" t="s">
        <v>4145</v>
      </c>
      <c r="C1763" s="3" t="s">
        <v>8377</v>
      </c>
      <c r="D1763" s="3" t="s">
        <v>8029</v>
      </c>
      <c r="E1763" s="3" t="s">
        <v>6325</v>
      </c>
    </row>
    <row r="1764" spans="1:5" x14ac:dyDescent="0.25">
      <c r="A1764" s="3" t="s">
        <v>606</v>
      </c>
      <c r="B1764" s="6" t="s">
        <v>4146</v>
      </c>
      <c r="C1764" s="3" t="s">
        <v>8377</v>
      </c>
      <c r="D1764" s="3" t="s">
        <v>8030</v>
      </c>
      <c r="E1764" s="3" t="s">
        <v>6326</v>
      </c>
    </row>
    <row r="1765" spans="1:5" x14ac:dyDescent="0.25">
      <c r="A1765" s="3" t="s">
        <v>605</v>
      </c>
      <c r="B1765" s="6" t="s">
        <v>4147</v>
      </c>
      <c r="C1765" s="3" t="s">
        <v>8377</v>
      </c>
      <c r="D1765" s="3" t="s">
        <v>8031</v>
      </c>
      <c r="E1765" s="3" t="s">
        <v>4992</v>
      </c>
    </row>
    <row r="1766" spans="1:5" x14ac:dyDescent="0.25">
      <c r="A1766" s="3" t="s">
        <v>604</v>
      </c>
      <c r="B1766" s="6" t="s">
        <v>4148</v>
      </c>
      <c r="C1766" s="3" t="s">
        <v>8377</v>
      </c>
      <c r="D1766" s="3" t="s">
        <v>8032</v>
      </c>
      <c r="E1766" s="3" t="s">
        <v>5830</v>
      </c>
    </row>
    <row r="1767" spans="1:5" x14ac:dyDescent="0.25">
      <c r="A1767" s="3" t="s">
        <v>603</v>
      </c>
      <c r="B1767" s="6" t="s">
        <v>4149</v>
      </c>
      <c r="C1767" s="3" t="s">
        <v>8378</v>
      </c>
      <c r="D1767" s="3" t="s">
        <v>6889</v>
      </c>
      <c r="E1767" s="3" t="s">
        <v>6327</v>
      </c>
    </row>
    <row r="1768" spans="1:5" x14ac:dyDescent="0.25">
      <c r="A1768" s="3" t="s">
        <v>602</v>
      </c>
      <c r="B1768" s="6" t="s">
        <v>4150</v>
      </c>
      <c r="C1768" s="3" t="s">
        <v>8377</v>
      </c>
      <c r="D1768" s="3" t="s">
        <v>7584</v>
      </c>
      <c r="E1768" s="3" t="s">
        <v>6328</v>
      </c>
    </row>
    <row r="1769" spans="1:5" x14ac:dyDescent="0.25">
      <c r="A1769" s="3" t="s">
        <v>601</v>
      </c>
      <c r="B1769" s="6" t="s">
        <v>4151</v>
      </c>
      <c r="C1769" s="3" t="s">
        <v>8377</v>
      </c>
      <c r="D1769" s="3" t="s">
        <v>6911</v>
      </c>
      <c r="E1769" s="3" t="s">
        <v>6329</v>
      </c>
    </row>
    <row r="1770" spans="1:5" x14ac:dyDescent="0.25">
      <c r="A1770" s="3" t="s">
        <v>600</v>
      </c>
      <c r="B1770" s="6" t="s">
        <v>4152</v>
      </c>
      <c r="C1770" s="3" t="s">
        <v>8377</v>
      </c>
      <c r="D1770" s="3" t="s">
        <v>7169</v>
      </c>
      <c r="E1770" s="3" t="s">
        <v>6330</v>
      </c>
    </row>
    <row r="1771" spans="1:5" x14ac:dyDescent="0.25">
      <c r="A1771" s="3" t="s">
        <v>599</v>
      </c>
      <c r="B1771" s="6" t="s">
        <v>4153</v>
      </c>
      <c r="C1771" s="3" t="s">
        <v>8377</v>
      </c>
      <c r="D1771" s="3" t="s">
        <v>8033</v>
      </c>
      <c r="E1771" s="3" t="s">
        <v>6331</v>
      </c>
    </row>
    <row r="1772" spans="1:5" x14ac:dyDescent="0.25">
      <c r="A1772" s="3" t="s">
        <v>598</v>
      </c>
      <c r="B1772" s="6" t="s">
        <v>4154</v>
      </c>
      <c r="C1772" s="3" t="s">
        <v>8377</v>
      </c>
      <c r="D1772" s="3" t="s">
        <v>8034</v>
      </c>
      <c r="E1772" s="3" t="s">
        <v>6332</v>
      </c>
    </row>
    <row r="1773" spans="1:5" x14ac:dyDescent="0.25">
      <c r="A1773" s="3" t="s">
        <v>597</v>
      </c>
      <c r="B1773" s="6" t="s">
        <v>4155</v>
      </c>
      <c r="C1773" s="3" t="s">
        <v>8377</v>
      </c>
      <c r="D1773" s="3" t="s">
        <v>7150</v>
      </c>
      <c r="E1773" s="3" t="s">
        <v>6333</v>
      </c>
    </row>
    <row r="1774" spans="1:5" x14ac:dyDescent="0.25">
      <c r="A1774" s="3" t="s">
        <v>596</v>
      </c>
      <c r="B1774" s="6" t="s">
        <v>4156</v>
      </c>
      <c r="C1774" s="3" t="s">
        <v>8377</v>
      </c>
      <c r="D1774" s="3" t="s">
        <v>8035</v>
      </c>
      <c r="E1774" s="3" t="s">
        <v>6334</v>
      </c>
    </row>
    <row r="1775" spans="1:5" x14ac:dyDescent="0.25">
      <c r="A1775" s="3" t="s">
        <v>595</v>
      </c>
      <c r="B1775" s="6" t="s">
        <v>4157</v>
      </c>
      <c r="C1775" s="3" t="s">
        <v>8378</v>
      </c>
      <c r="D1775" s="3" t="s">
        <v>8036</v>
      </c>
      <c r="E1775" s="3" t="s">
        <v>6335</v>
      </c>
    </row>
    <row r="1776" spans="1:5" x14ac:dyDescent="0.25">
      <c r="A1776" s="3" t="s">
        <v>594</v>
      </c>
      <c r="B1776" s="6" t="s">
        <v>4158</v>
      </c>
      <c r="C1776" s="3" t="s">
        <v>8377</v>
      </c>
      <c r="D1776" s="3" t="s">
        <v>7541</v>
      </c>
      <c r="E1776" s="3" t="s">
        <v>6336</v>
      </c>
    </row>
    <row r="1777" spans="1:5" x14ac:dyDescent="0.25">
      <c r="A1777" s="3" t="s">
        <v>593</v>
      </c>
      <c r="B1777" s="6" t="s">
        <v>4159</v>
      </c>
      <c r="C1777" s="3" t="s">
        <v>8377</v>
      </c>
      <c r="D1777" s="3" t="s">
        <v>6831</v>
      </c>
      <c r="E1777" s="3" t="s">
        <v>6337</v>
      </c>
    </row>
    <row r="1778" spans="1:5" x14ac:dyDescent="0.25">
      <c r="A1778" s="3" t="s">
        <v>592</v>
      </c>
      <c r="B1778" s="6" t="s">
        <v>4160</v>
      </c>
      <c r="C1778" s="3" t="s">
        <v>8378</v>
      </c>
      <c r="D1778" s="3" t="s">
        <v>8037</v>
      </c>
      <c r="E1778" s="3" t="s">
        <v>6338</v>
      </c>
    </row>
    <row r="1779" spans="1:5" x14ac:dyDescent="0.25">
      <c r="A1779" s="3" t="s">
        <v>591</v>
      </c>
      <c r="B1779" s="6" t="s">
        <v>4161</v>
      </c>
      <c r="C1779" s="3" t="s">
        <v>8377</v>
      </c>
      <c r="D1779" s="3" t="s">
        <v>8038</v>
      </c>
      <c r="E1779" s="3" t="s">
        <v>5774</v>
      </c>
    </row>
    <row r="1780" spans="1:5" x14ac:dyDescent="0.25">
      <c r="A1780" s="3" t="s">
        <v>590</v>
      </c>
      <c r="B1780" s="6" t="s">
        <v>4162</v>
      </c>
      <c r="C1780" s="3" t="s">
        <v>8378</v>
      </c>
      <c r="D1780" s="3" t="s">
        <v>8039</v>
      </c>
      <c r="E1780" s="3" t="s">
        <v>6339</v>
      </c>
    </row>
    <row r="1781" spans="1:5" x14ac:dyDescent="0.25">
      <c r="A1781" s="3" t="s">
        <v>589</v>
      </c>
      <c r="B1781" s="6" t="s">
        <v>4163</v>
      </c>
      <c r="C1781" s="3" t="s">
        <v>8377</v>
      </c>
      <c r="D1781" s="3" t="s">
        <v>7365</v>
      </c>
      <c r="E1781" s="3" t="s">
        <v>6340</v>
      </c>
    </row>
    <row r="1782" spans="1:5" x14ac:dyDescent="0.25">
      <c r="A1782" s="3" t="s">
        <v>588</v>
      </c>
      <c r="B1782" s="6" t="s">
        <v>4164</v>
      </c>
      <c r="C1782" s="3" t="s">
        <v>8377</v>
      </c>
      <c r="D1782" s="3" t="s">
        <v>7419</v>
      </c>
      <c r="E1782" s="3" t="s">
        <v>6341</v>
      </c>
    </row>
    <row r="1783" spans="1:5" x14ac:dyDescent="0.25">
      <c r="A1783" s="3" t="s">
        <v>587</v>
      </c>
      <c r="B1783" s="6" t="s">
        <v>4165</v>
      </c>
      <c r="C1783" s="3" t="s">
        <v>8378</v>
      </c>
      <c r="D1783" s="3" t="s">
        <v>8040</v>
      </c>
      <c r="E1783" s="3" t="s">
        <v>6203</v>
      </c>
    </row>
    <row r="1784" spans="1:5" x14ac:dyDescent="0.25">
      <c r="A1784" s="3" t="s">
        <v>586</v>
      </c>
      <c r="B1784" s="6" t="s">
        <v>4166</v>
      </c>
      <c r="C1784" s="3" t="s">
        <v>8377</v>
      </c>
      <c r="D1784" s="3" t="s">
        <v>8041</v>
      </c>
      <c r="E1784" s="3" t="s">
        <v>4790</v>
      </c>
    </row>
    <row r="1785" spans="1:5" x14ac:dyDescent="0.25">
      <c r="A1785" s="3" t="s">
        <v>585</v>
      </c>
      <c r="B1785" s="6" t="s">
        <v>4167</v>
      </c>
      <c r="C1785" s="3" t="s">
        <v>8378</v>
      </c>
      <c r="D1785" s="3" t="s">
        <v>7358</v>
      </c>
      <c r="E1785" s="3" t="s">
        <v>5321</v>
      </c>
    </row>
    <row r="1786" spans="1:5" x14ac:dyDescent="0.25">
      <c r="A1786" s="3" t="s">
        <v>584</v>
      </c>
      <c r="B1786" s="6" t="s">
        <v>4168</v>
      </c>
      <c r="C1786" s="3" t="s">
        <v>8378</v>
      </c>
      <c r="D1786" s="3" t="s">
        <v>8042</v>
      </c>
      <c r="E1786" s="3" t="s">
        <v>6342</v>
      </c>
    </row>
    <row r="1787" spans="1:5" x14ac:dyDescent="0.25">
      <c r="A1787" s="3" t="s">
        <v>583</v>
      </c>
      <c r="B1787" s="6" t="s">
        <v>4169</v>
      </c>
      <c r="C1787" s="3" t="s">
        <v>8378</v>
      </c>
      <c r="D1787" s="3" t="s">
        <v>6768</v>
      </c>
      <c r="E1787" s="3" t="s">
        <v>6343</v>
      </c>
    </row>
    <row r="1788" spans="1:5" x14ac:dyDescent="0.25">
      <c r="A1788" s="3" t="s">
        <v>582</v>
      </c>
      <c r="B1788" s="6" t="s">
        <v>4170</v>
      </c>
      <c r="C1788" s="3" t="s">
        <v>8378</v>
      </c>
      <c r="D1788" s="3" t="s">
        <v>8043</v>
      </c>
      <c r="E1788" s="3" t="s">
        <v>6344</v>
      </c>
    </row>
    <row r="1789" spans="1:5" x14ac:dyDescent="0.25">
      <c r="A1789" s="3" t="s">
        <v>581</v>
      </c>
      <c r="B1789" s="6" t="s">
        <v>4171</v>
      </c>
      <c r="C1789" s="3" t="s">
        <v>8378</v>
      </c>
      <c r="D1789" s="3" t="s">
        <v>8044</v>
      </c>
      <c r="E1789" s="3" t="s">
        <v>5794</v>
      </c>
    </row>
    <row r="1790" spans="1:5" x14ac:dyDescent="0.25">
      <c r="A1790" s="3" t="s">
        <v>580</v>
      </c>
      <c r="B1790" s="6" t="s">
        <v>4172</v>
      </c>
      <c r="C1790" s="3" t="s">
        <v>8378</v>
      </c>
      <c r="D1790" s="3" t="s">
        <v>4769</v>
      </c>
      <c r="E1790" s="3" t="s">
        <v>6345</v>
      </c>
    </row>
    <row r="1791" spans="1:5" x14ac:dyDescent="0.25">
      <c r="A1791" s="3" t="s">
        <v>579</v>
      </c>
      <c r="B1791" s="6" t="s">
        <v>4173</v>
      </c>
      <c r="C1791" s="3" t="s">
        <v>8378</v>
      </c>
      <c r="D1791" s="3" t="s">
        <v>8045</v>
      </c>
      <c r="E1791" s="3" t="s">
        <v>6346</v>
      </c>
    </row>
    <row r="1792" spans="1:5" x14ac:dyDescent="0.25">
      <c r="A1792" s="3" t="s">
        <v>578</v>
      </c>
      <c r="B1792" s="6" t="s">
        <v>4174</v>
      </c>
      <c r="C1792" s="3" t="s">
        <v>8378</v>
      </c>
      <c r="D1792" s="3" t="s">
        <v>8046</v>
      </c>
      <c r="E1792" s="3" t="s">
        <v>5158</v>
      </c>
    </row>
    <row r="1793" spans="1:5" x14ac:dyDescent="0.25">
      <c r="A1793" s="3" t="s">
        <v>577</v>
      </c>
      <c r="B1793" s="6" t="s">
        <v>4175</v>
      </c>
      <c r="C1793" s="3" t="s">
        <v>8377</v>
      </c>
      <c r="D1793" s="3" t="s">
        <v>6915</v>
      </c>
      <c r="E1793" s="3" t="s">
        <v>6347</v>
      </c>
    </row>
    <row r="1794" spans="1:5" x14ac:dyDescent="0.25">
      <c r="A1794" s="3" t="s">
        <v>576</v>
      </c>
      <c r="B1794" s="6" t="s">
        <v>4176</v>
      </c>
      <c r="C1794" s="3" t="s">
        <v>8378</v>
      </c>
      <c r="D1794" s="3" t="s">
        <v>6880</v>
      </c>
      <c r="E1794" s="3" t="s">
        <v>6348</v>
      </c>
    </row>
    <row r="1795" spans="1:5" x14ac:dyDescent="0.25">
      <c r="A1795" s="3" t="s">
        <v>575</v>
      </c>
      <c r="B1795" s="6" t="s">
        <v>4177</v>
      </c>
      <c r="C1795" s="3" t="s">
        <v>8377</v>
      </c>
      <c r="D1795" s="3" t="s">
        <v>7265</v>
      </c>
      <c r="E1795" s="3" t="s">
        <v>6349</v>
      </c>
    </row>
    <row r="1796" spans="1:5" x14ac:dyDescent="0.25">
      <c r="A1796" s="3" t="s">
        <v>574</v>
      </c>
      <c r="B1796" s="6" t="s">
        <v>4178</v>
      </c>
      <c r="C1796" s="3" t="s">
        <v>8378</v>
      </c>
      <c r="D1796" s="3" t="s">
        <v>6784</v>
      </c>
      <c r="E1796" s="3" t="s">
        <v>6062</v>
      </c>
    </row>
    <row r="1797" spans="1:5" x14ac:dyDescent="0.25">
      <c r="A1797" s="3" t="s">
        <v>573</v>
      </c>
      <c r="B1797" s="6" t="s">
        <v>4179</v>
      </c>
      <c r="C1797" s="3" t="s">
        <v>8377</v>
      </c>
      <c r="D1797" s="3" t="s">
        <v>7601</v>
      </c>
      <c r="E1797" s="3" t="s">
        <v>6350</v>
      </c>
    </row>
    <row r="1798" spans="1:5" x14ac:dyDescent="0.25">
      <c r="A1798" s="3" t="s">
        <v>572</v>
      </c>
      <c r="B1798" s="6" t="s">
        <v>4180</v>
      </c>
      <c r="C1798" s="3" t="s">
        <v>8378</v>
      </c>
      <c r="D1798" s="3" t="s">
        <v>8047</v>
      </c>
      <c r="E1798" s="3" t="s">
        <v>6351</v>
      </c>
    </row>
    <row r="1799" spans="1:5" x14ac:dyDescent="0.25">
      <c r="A1799" s="3" t="s">
        <v>571</v>
      </c>
      <c r="B1799" s="6" t="s">
        <v>4181</v>
      </c>
      <c r="C1799" s="3" t="s">
        <v>8377</v>
      </c>
      <c r="D1799" s="3" t="s">
        <v>8048</v>
      </c>
      <c r="E1799" s="3" t="s">
        <v>6352</v>
      </c>
    </row>
    <row r="1800" spans="1:5" x14ac:dyDescent="0.25">
      <c r="A1800" s="3" t="s">
        <v>570</v>
      </c>
      <c r="B1800" s="6" t="s">
        <v>4182</v>
      </c>
      <c r="C1800" s="3" t="s">
        <v>8377</v>
      </c>
      <c r="D1800" s="3" t="s">
        <v>8049</v>
      </c>
      <c r="E1800" s="3" t="s">
        <v>5294</v>
      </c>
    </row>
    <row r="1801" spans="1:5" x14ac:dyDescent="0.25">
      <c r="A1801" s="3" t="s">
        <v>569</v>
      </c>
      <c r="B1801" s="6" t="s">
        <v>4183</v>
      </c>
      <c r="C1801" s="3" t="s">
        <v>8378</v>
      </c>
      <c r="D1801" s="3" t="s">
        <v>8050</v>
      </c>
      <c r="E1801" s="3" t="s">
        <v>6353</v>
      </c>
    </row>
    <row r="1802" spans="1:5" x14ac:dyDescent="0.25">
      <c r="A1802" s="3" t="s">
        <v>568</v>
      </c>
      <c r="B1802" s="6" t="s">
        <v>4184</v>
      </c>
      <c r="C1802" s="3" t="s">
        <v>8377</v>
      </c>
      <c r="D1802" s="3" t="s">
        <v>7988</v>
      </c>
      <c r="E1802" s="3" t="s">
        <v>6354</v>
      </c>
    </row>
    <row r="1803" spans="1:5" x14ac:dyDescent="0.25">
      <c r="A1803" s="3" t="s">
        <v>567</v>
      </c>
      <c r="B1803" s="6" t="s">
        <v>4185</v>
      </c>
      <c r="C1803" s="3" t="s">
        <v>8378</v>
      </c>
      <c r="D1803" s="3" t="s">
        <v>6807</v>
      </c>
      <c r="E1803" s="3" t="s">
        <v>6355</v>
      </c>
    </row>
    <row r="1804" spans="1:5" x14ac:dyDescent="0.25">
      <c r="A1804" s="3" t="s">
        <v>566</v>
      </c>
      <c r="B1804" s="6" t="s">
        <v>4186</v>
      </c>
      <c r="C1804" s="3" t="s">
        <v>8378</v>
      </c>
      <c r="D1804" s="3" t="s">
        <v>7206</v>
      </c>
      <c r="E1804" s="3" t="s">
        <v>4965</v>
      </c>
    </row>
    <row r="1805" spans="1:5" x14ac:dyDescent="0.25">
      <c r="A1805" s="3" t="s">
        <v>565</v>
      </c>
      <c r="B1805" s="6" t="s">
        <v>4187</v>
      </c>
      <c r="C1805" s="3" t="s">
        <v>8378</v>
      </c>
      <c r="D1805" s="3" t="s">
        <v>8051</v>
      </c>
      <c r="E1805" s="3" t="s">
        <v>4793</v>
      </c>
    </row>
    <row r="1806" spans="1:5" x14ac:dyDescent="0.25">
      <c r="A1806" s="3" t="s">
        <v>564</v>
      </c>
      <c r="B1806" s="6" t="s">
        <v>4188</v>
      </c>
      <c r="C1806" s="3" t="s">
        <v>8378</v>
      </c>
      <c r="D1806" s="3" t="s">
        <v>8052</v>
      </c>
      <c r="E1806" s="3" t="s">
        <v>6356</v>
      </c>
    </row>
    <row r="1807" spans="1:5" x14ac:dyDescent="0.25">
      <c r="A1807" s="3" t="s">
        <v>563</v>
      </c>
      <c r="B1807" s="6" t="s">
        <v>4189</v>
      </c>
      <c r="C1807" s="3" t="s">
        <v>8377</v>
      </c>
      <c r="D1807" s="3" t="s">
        <v>7116</v>
      </c>
      <c r="E1807" s="3" t="s">
        <v>6357</v>
      </c>
    </row>
    <row r="1808" spans="1:5" x14ac:dyDescent="0.25">
      <c r="A1808" s="3" t="s">
        <v>562</v>
      </c>
      <c r="B1808" s="6" t="s">
        <v>4190</v>
      </c>
      <c r="C1808" s="3" t="s">
        <v>8377</v>
      </c>
      <c r="D1808" s="3" t="s">
        <v>8053</v>
      </c>
      <c r="E1808" s="3" t="s">
        <v>6358</v>
      </c>
    </row>
    <row r="1809" spans="1:5" x14ac:dyDescent="0.25">
      <c r="A1809" s="3" t="s">
        <v>561</v>
      </c>
      <c r="B1809" s="6" t="s">
        <v>4191</v>
      </c>
      <c r="C1809" s="3" t="s">
        <v>8377</v>
      </c>
      <c r="D1809" s="3" t="s">
        <v>8054</v>
      </c>
      <c r="E1809" s="3" t="s">
        <v>6359</v>
      </c>
    </row>
    <row r="1810" spans="1:5" x14ac:dyDescent="0.25">
      <c r="A1810" s="3" t="s">
        <v>560</v>
      </c>
      <c r="B1810" s="6" t="s">
        <v>4192</v>
      </c>
      <c r="C1810" s="3" t="s">
        <v>8377</v>
      </c>
      <c r="D1810" s="3" t="s">
        <v>5057</v>
      </c>
      <c r="E1810" s="3" t="s">
        <v>6360</v>
      </c>
    </row>
    <row r="1811" spans="1:5" x14ac:dyDescent="0.25">
      <c r="A1811" s="3" t="s">
        <v>559</v>
      </c>
      <c r="B1811" s="6" t="s">
        <v>4193</v>
      </c>
      <c r="C1811" s="3" t="s">
        <v>8377</v>
      </c>
      <c r="D1811" s="3" t="s">
        <v>8012</v>
      </c>
      <c r="E1811" s="3" t="s">
        <v>6361</v>
      </c>
    </row>
    <row r="1812" spans="1:5" x14ac:dyDescent="0.25">
      <c r="A1812" s="3" t="s">
        <v>558</v>
      </c>
      <c r="B1812" s="6" t="s">
        <v>4194</v>
      </c>
      <c r="C1812" s="3" t="s">
        <v>8377</v>
      </c>
      <c r="D1812" s="3" t="s">
        <v>8055</v>
      </c>
      <c r="E1812" s="3" t="s">
        <v>6362</v>
      </c>
    </row>
    <row r="1813" spans="1:5" x14ac:dyDescent="0.25">
      <c r="A1813" s="3" t="s">
        <v>557</v>
      </c>
      <c r="B1813" s="6" t="s">
        <v>4195</v>
      </c>
      <c r="C1813" s="3" t="s">
        <v>8377</v>
      </c>
      <c r="D1813" s="3" t="s">
        <v>8056</v>
      </c>
      <c r="E1813" s="3" t="s">
        <v>6363</v>
      </c>
    </row>
    <row r="1814" spans="1:5" x14ac:dyDescent="0.25">
      <c r="A1814" s="3" t="s">
        <v>556</v>
      </c>
      <c r="B1814" s="6" t="s">
        <v>4196</v>
      </c>
      <c r="C1814" s="3" t="s">
        <v>8378</v>
      </c>
      <c r="D1814" s="3" t="s">
        <v>8057</v>
      </c>
      <c r="E1814" s="3" t="s">
        <v>6364</v>
      </c>
    </row>
    <row r="1815" spans="1:5" x14ac:dyDescent="0.25">
      <c r="A1815" s="3" t="s">
        <v>555</v>
      </c>
      <c r="B1815" s="6" t="s">
        <v>4197</v>
      </c>
      <c r="C1815" s="3" t="s">
        <v>8377</v>
      </c>
      <c r="D1815" s="3" t="s">
        <v>7116</v>
      </c>
      <c r="E1815" s="3" t="s">
        <v>6365</v>
      </c>
    </row>
    <row r="1816" spans="1:5" x14ac:dyDescent="0.25">
      <c r="A1816" s="3" t="s">
        <v>554</v>
      </c>
      <c r="B1816" s="6" t="s">
        <v>4198</v>
      </c>
      <c r="C1816" s="3" t="s">
        <v>8378</v>
      </c>
      <c r="D1816" s="3" t="s">
        <v>7320</v>
      </c>
      <c r="E1816" s="3" t="s">
        <v>6366</v>
      </c>
    </row>
    <row r="1817" spans="1:5" x14ac:dyDescent="0.25">
      <c r="A1817" s="3" t="s">
        <v>553</v>
      </c>
      <c r="B1817" s="6" t="s">
        <v>4199</v>
      </c>
      <c r="C1817" s="3" t="s">
        <v>8378</v>
      </c>
      <c r="D1817" s="3" t="s">
        <v>8058</v>
      </c>
      <c r="E1817" s="3" t="s">
        <v>6367</v>
      </c>
    </row>
    <row r="1818" spans="1:5" x14ac:dyDescent="0.25">
      <c r="A1818" s="3" t="s">
        <v>552</v>
      </c>
      <c r="B1818" s="6" t="s">
        <v>4200</v>
      </c>
      <c r="C1818" s="3" t="s">
        <v>8378</v>
      </c>
      <c r="D1818" s="3" t="s">
        <v>8059</v>
      </c>
      <c r="E1818" s="3" t="s">
        <v>6368</v>
      </c>
    </row>
    <row r="1819" spans="1:5" x14ac:dyDescent="0.25">
      <c r="A1819" s="3" t="s">
        <v>551</v>
      </c>
      <c r="B1819" s="6" t="s">
        <v>4201</v>
      </c>
      <c r="C1819" s="3" t="s">
        <v>8378</v>
      </c>
      <c r="D1819" s="3" t="s">
        <v>7842</v>
      </c>
      <c r="E1819" s="3" t="s">
        <v>6369</v>
      </c>
    </row>
    <row r="1820" spans="1:5" x14ac:dyDescent="0.25">
      <c r="A1820" s="3" t="s">
        <v>550</v>
      </c>
      <c r="B1820" s="6" t="s">
        <v>4202</v>
      </c>
      <c r="C1820" s="3" t="s">
        <v>8378</v>
      </c>
      <c r="D1820" s="3" t="s">
        <v>7039</v>
      </c>
      <c r="E1820" s="3" t="s">
        <v>5711</v>
      </c>
    </row>
    <row r="1821" spans="1:5" x14ac:dyDescent="0.25">
      <c r="A1821" s="3" t="s">
        <v>549</v>
      </c>
      <c r="B1821" s="6" t="s">
        <v>4203</v>
      </c>
      <c r="C1821" s="3" t="s">
        <v>8378</v>
      </c>
      <c r="D1821" s="3" t="s">
        <v>8060</v>
      </c>
      <c r="E1821" s="3" t="s">
        <v>6370</v>
      </c>
    </row>
    <row r="1822" spans="1:5" x14ac:dyDescent="0.25">
      <c r="A1822" s="3" t="s">
        <v>548</v>
      </c>
      <c r="B1822" s="6" t="s">
        <v>4204</v>
      </c>
      <c r="C1822" s="3" t="s">
        <v>8378</v>
      </c>
      <c r="D1822" s="3" t="s">
        <v>5893</v>
      </c>
      <c r="E1822" s="3" t="s">
        <v>6371</v>
      </c>
    </row>
    <row r="1823" spans="1:5" x14ac:dyDescent="0.25">
      <c r="A1823" s="3" t="s">
        <v>547</v>
      </c>
      <c r="B1823" s="6" t="s">
        <v>4205</v>
      </c>
      <c r="C1823" s="3" t="s">
        <v>8378</v>
      </c>
      <c r="D1823" s="3" t="s">
        <v>8061</v>
      </c>
      <c r="E1823" s="3" t="s">
        <v>6372</v>
      </c>
    </row>
    <row r="1824" spans="1:5" x14ac:dyDescent="0.25">
      <c r="A1824" s="3" t="s">
        <v>546</v>
      </c>
      <c r="B1824" s="6" t="s">
        <v>4206</v>
      </c>
      <c r="C1824" s="3" t="s">
        <v>8377</v>
      </c>
      <c r="D1824" s="3" t="s">
        <v>8062</v>
      </c>
      <c r="E1824" s="3" t="s">
        <v>6373</v>
      </c>
    </row>
    <row r="1825" spans="1:5" x14ac:dyDescent="0.25">
      <c r="A1825" s="3" t="s">
        <v>545</v>
      </c>
      <c r="B1825" s="6" t="s">
        <v>4207</v>
      </c>
      <c r="C1825" s="3" t="s">
        <v>8378</v>
      </c>
      <c r="D1825" s="3" t="s">
        <v>7127</v>
      </c>
      <c r="E1825" s="3" t="s">
        <v>5472</v>
      </c>
    </row>
    <row r="1826" spans="1:5" x14ac:dyDescent="0.25">
      <c r="A1826" s="3" t="s">
        <v>544</v>
      </c>
      <c r="B1826" s="6" t="s">
        <v>4208</v>
      </c>
      <c r="C1826" s="3" t="s">
        <v>8377</v>
      </c>
      <c r="D1826" s="3" t="s">
        <v>8063</v>
      </c>
      <c r="E1826" s="3" t="s">
        <v>6374</v>
      </c>
    </row>
    <row r="1827" spans="1:5" x14ac:dyDescent="0.25">
      <c r="A1827" s="3" t="s">
        <v>543</v>
      </c>
      <c r="B1827" s="6" t="s">
        <v>4209</v>
      </c>
      <c r="C1827" s="3" t="s">
        <v>8377</v>
      </c>
      <c r="D1827" s="3" t="s">
        <v>8064</v>
      </c>
      <c r="E1827" s="3" t="s">
        <v>6375</v>
      </c>
    </row>
    <row r="1828" spans="1:5" x14ac:dyDescent="0.25">
      <c r="A1828" s="3" t="s">
        <v>542</v>
      </c>
      <c r="B1828" s="6" t="s">
        <v>4210</v>
      </c>
      <c r="C1828" s="3" t="s">
        <v>8377</v>
      </c>
      <c r="D1828" s="3" t="s">
        <v>8065</v>
      </c>
      <c r="E1828" s="3" t="s">
        <v>6376</v>
      </c>
    </row>
    <row r="1829" spans="1:5" x14ac:dyDescent="0.25">
      <c r="A1829" s="3" t="s">
        <v>541</v>
      </c>
      <c r="B1829" s="6" t="s">
        <v>4211</v>
      </c>
      <c r="C1829" s="3" t="s">
        <v>8377</v>
      </c>
      <c r="D1829" s="3" t="s">
        <v>7996</v>
      </c>
      <c r="E1829" s="3" t="s">
        <v>6377</v>
      </c>
    </row>
    <row r="1830" spans="1:5" x14ac:dyDescent="0.25">
      <c r="A1830" s="3" t="s">
        <v>540</v>
      </c>
      <c r="B1830" s="6" t="s">
        <v>4212</v>
      </c>
      <c r="C1830" s="3" t="s">
        <v>8377</v>
      </c>
      <c r="D1830" s="3" t="s">
        <v>7111</v>
      </c>
      <c r="E1830" s="3" t="s">
        <v>6378</v>
      </c>
    </row>
    <row r="1831" spans="1:5" x14ac:dyDescent="0.25">
      <c r="A1831" s="3" t="s">
        <v>539</v>
      </c>
      <c r="B1831" s="6" t="s">
        <v>4213</v>
      </c>
      <c r="C1831" s="3" t="s">
        <v>8378</v>
      </c>
      <c r="D1831" s="3" t="s">
        <v>8066</v>
      </c>
      <c r="E1831" s="3" t="s">
        <v>4952</v>
      </c>
    </row>
    <row r="1832" spans="1:5" x14ac:dyDescent="0.25">
      <c r="A1832" s="3" t="s">
        <v>538</v>
      </c>
      <c r="B1832" s="6" t="s">
        <v>4214</v>
      </c>
      <c r="C1832" s="3" t="s">
        <v>8377</v>
      </c>
      <c r="D1832" s="3" t="s">
        <v>6927</v>
      </c>
      <c r="E1832" s="3" t="s">
        <v>5712</v>
      </c>
    </row>
    <row r="1833" spans="1:5" x14ac:dyDescent="0.25">
      <c r="A1833" s="3" t="s">
        <v>537</v>
      </c>
      <c r="B1833" s="6" t="s">
        <v>4215</v>
      </c>
      <c r="C1833" s="3" t="s">
        <v>8377</v>
      </c>
      <c r="D1833" s="3" t="s">
        <v>7959</v>
      </c>
      <c r="E1833" s="3" t="s">
        <v>5145</v>
      </c>
    </row>
    <row r="1834" spans="1:5" x14ac:dyDescent="0.25">
      <c r="A1834" s="3" t="s">
        <v>536</v>
      </c>
      <c r="B1834" s="6" t="s">
        <v>4216</v>
      </c>
      <c r="C1834" s="3" t="s">
        <v>8378</v>
      </c>
      <c r="D1834" s="3" t="s">
        <v>8067</v>
      </c>
      <c r="E1834" s="3" t="s">
        <v>6379</v>
      </c>
    </row>
    <row r="1835" spans="1:5" x14ac:dyDescent="0.25">
      <c r="A1835" s="3" t="s">
        <v>535</v>
      </c>
      <c r="B1835" s="6" t="s">
        <v>4217</v>
      </c>
      <c r="C1835" s="3" t="s">
        <v>8377</v>
      </c>
      <c r="D1835" s="3" t="s">
        <v>8068</v>
      </c>
      <c r="E1835" s="3" t="s">
        <v>6380</v>
      </c>
    </row>
    <row r="1836" spans="1:5" x14ac:dyDescent="0.25">
      <c r="A1836" s="3" t="s">
        <v>533</v>
      </c>
      <c r="B1836" s="6" t="s">
        <v>4218</v>
      </c>
      <c r="C1836" s="3" t="s">
        <v>8379</v>
      </c>
      <c r="D1836" s="3" t="s">
        <v>7710</v>
      </c>
      <c r="E1836" s="3" t="s">
        <v>6381</v>
      </c>
    </row>
    <row r="1837" spans="1:5" x14ac:dyDescent="0.25">
      <c r="A1837" s="3" t="s">
        <v>532</v>
      </c>
      <c r="B1837" s="6" t="s">
        <v>4219</v>
      </c>
      <c r="C1837" s="3" t="s">
        <v>8378</v>
      </c>
      <c r="D1837" s="3" t="s">
        <v>7320</v>
      </c>
      <c r="E1837" s="3" t="s">
        <v>6382</v>
      </c>
    </row>
    <row r="1838" spans="1:5" x14ac:dyDescent="0.25">
      <c r="A1838" s="3" t="s">
        <v>531</v>
      </c>
      <c r="B1838" s="6" t="s">
        <v>4220</v>
      </c>
      <c r="C1838" s="3" t="s">
        <v>8378</v>
      </c>
      <c r="D1838" s="3" t="s">
        <v>8069</v>
      </c>
      <c r="E1838" s="3" t="s">
        <v>6383</v>
      </c>
    </row>
    <row r="1839" spans="1:5" x14ac:dyDescent="0.25">
      <c r="A1839" s="3" t="s">
        <v>530</v>
      </c>
      <c r="B1839" s="6" t="s">
        <v>4221</v>
      </c>
      <c r="C1839" s="3" t="s">
        <v>8378</v>
      </c>
      <c r="D1839" s="3" t="s">
        <v>8070</v>
      </c>
      <c r="E1839" s="3" t="s">
        <v>6384</v>
      </c>
    </row>
    <row r="1840" spans="1:5" x14ac:dyDescent="0.25">
      <c r="A1840" s="3" t="s">
        <v>529</v>
      </c>
      <c r="B1840" s="6" t="s">
        <v>4222</v>
      </c>
      <c r="C1840" s="3" t="s">
        <v>8378</v>
      </c>
      <c r="D1840" s="3" t="s">
        <v>8071</v>
      </c>
      <c r="E1840" s="3" t="s">
        <v>5841</v>
      </c>
    </row>
    <row r="1841" spans="1:5" x14ac:dyDescent="0.25">
      <c r="A1841" s="3" t="s">
        <v>528</v>
      </c>
      <c r="B1841" s="6" t="s">
        <v>4223</v>
      </c>
      <c r="C1841" s="3" t="s">
        <v>8378</v>
      </c>
      <c r="D1841" s="3" t="s">
        <v>8072</v>
      </c>
      <c r="E1841" s="3" t="s">
        <v>5887</v>
      </c>
    </row>
    <row r="1842" spans="1:5" x14ac:dyDescent="0.25">
      <c r="A1842" s="3" t="s">
        <v>527</v>
      </c>
      <c r="B1842" s="6" t="s">
        <v>4224</v>
      </c>
      <c r="C1842" s="3" t="s">
        <v>8377</v>
      </c>
      <c r="D1842" s="3" t="s">
        <v>6806</v>
      </c>
      <c r="E1842" s="3" t="s">
        <v>6385</v>
      </c>
    </row>
    <row r="1843" spans="1:5" x14ac:dyDescent="0.25">
      <c r="A1843" s="3" t="s">
        <v>526</v>
      </c>
      <c r="B1843" s="6" t="s">
        <v>4225</v>
      </c>
      <c r="C1843" s="3" t="s">
        <v>8377</v>
      </c>
      <c r="D1843" s="3" t="s">
        <v>8073</v>
      </c>
      <c r="E1843" s="3" t="s">
        <v>6386</v>
      </c>
    </row>
    <row r="1844" spans="1:5" x14ac:dyDescent="0.25">
      <c r="A1844" s="3" t="s">
        <v>525</v>
      </c>
      <c r="B1844" s="6" t="s">
        <v>4226</v>
      </c>
      <c r="C1844" s="3" t="s">
        <v>8378</v>
      </c>
      <c r="D1844" s="3" t="s">
        <v>8074</v>
      </c>
      <c r="E1844" s="3" t="s">
        <v>4831</v>
      </c>
    </row>
    <row r="1845" spans="1:5" x14ac:dyDescent="0.25">
      <c r="A1845" s="3" t="s">
        <v>524</v>
      </c>
      <c r="B1845" s="6" t="s">
        <v>4227</v>
      </c>
      <c r="C1845" s="3" t="s">
        <v>8378</v>
      </c>
      <c r="D1845" s="3" t="s">
        <v>8075</v>
      </c>
      <c r="E1845" s="3" t="s">
        <v>6387</v>
      </c>
    </row>
    <row r="1846" spans="1:5" x14ac:dyDescent="0.25">
      <c r="A1846" s="3" t="s">
        <v>523</v>
      </c>
      <c r="B1846" s="6" t="s">
        <v>4228</v>
      </c>
      <c r="C1846" s="3" t="s">
        <v>8378</v>
      </c>
      <c r="D1846" s="3" t="s">
        <v>6774</v>
      </c>
      <c r="E1846" s="3" t="s">
        <v>6388</v>
      </c>
    </row>
    <row r="1847" spans="1:5" x14ac:dyDescent="0.25">
      <c r="A1847" s="3" t="s">
        <v>522</v>
      </c>
      <c r="B1847" s="6" t="s">
        <v>4229</v>
      </c>
      <c r="C1847" s="3" t="s">
        <v>8378</v>
      </c>
      <c r="D1847" s="3" t="s">
        <v>8076</v>
      </c>
      <c r="E1847" s="3" t="s">
        <v>6389</v>
      </c>
    </row>
    <row r="1848" spans="1:5" x14ac:dyDescent="0.25">
      <c r="A1848" s="3" t="s">
        <v>521</v>
      </c>
      <c r="B1848" s="6" t="s">
        <v>4230</v>
      </c>
      <c r="C1848" s="3" t="s">
        <v>8378</v>
      </c>
      <c r="D1848" s="3" t="s">
        <v>8077</v>
      </c>
      <c r="E1848" s="3" t="s">
        <v>6390</v>
      </c>
    </row>
    <row r="1849" spans="1:5" x14ac:dyDescent="0.25">
      <c r="A1849" s="3" t="s">
        <v>520</v>
      </c>
      <c r="B1849" s="6" t="s">
        <v>4231</v>
      </c>
      <c r="C1849" s="3" t="s">
        <v>8378</v>
      </c>
      <c r="D1849" s="3" t="s">
        <v>8078</v>
      </c>
      <c r="E1849" s="3" t="s">
        <v>6391</v>
      </c>
    </row>
    <row r="1850" spans="1:5" x14ac:dyDescent="0.25">
      <c r="A1850" s="3" t="s">
        <v>519</v>
      </c>
      <c r="B1850" s="6" t="s">
        <v>4232</v>
      </c>
      <c r="C1850" s="3" t="s">
        <v>8378</v>
      </c>
      <c r="D1850" s="3" t="s">
        <v>8079</v>
      </c>
      <c r="E1850" s="3" t="s">
        <v>6392</v>
      </c>
    </row>
    <row r="1851" spans="1:5" x14ac:dyDescent="0.25">
      <c r="A1851" s="3" t="s">
        <v>518</v>
      </c>
      <c r="B1851" s="6" t="s">
        <v>4233</v>
      </c>
      <c r="C1851" s="3" t="s">
        <v>8378</v>
      </c>
      <c r="D1851" s="3" t="s">
        <v>6683</v>
      </c>
      <c r="E1851" s="3" t="s">
        <v>6393</v>
      </c>
    </row>
    <row r="1852" spans="1:5" x14ac:dyDescent="0.25">
      <c r="A1852" s="3" t="s">
        <v>517</v>
      </c>
      <c r="B1852" s="6" t="s">
        <v>4234</v>
      </c>
      <c r="C1852" s="3" t="s">
        <v>8378</v>
      </c>
      <c r="D1852" s="3" t="s">
        <v>5229</v>
      </c>
      <c r="E1852" s="3" t="s">
        <v>6394</v>
      </c>
    </row>
    <row r="1853" spans="1:5" x14ac:dyDescent="0.25">
      <c r="A1853" s="3" t="s">
        <v>516</v>
      </c>
      <c r="B1853" s="6" t="s">
        <v>4235</v>
      </c>
      <c r="C1853" s="3" t="s">
        <v>8378</v>
      </c>
      <c r="D1853" s="3" t="s">
        <v>8080</v>
      </c>
      <c r="E1853" s="3" t="s">
        <v>6395</v>
      </c>
    </row>
    <row r="1854" spans="1:5" x14ac:dyDescent="0.25">
      <c r="A1854" s="3" t="s">
        <v>514</v>
      </c>
      <c r="B1854" s="6" t="s">
        <v>4236</v>
      </c>
      <c r="C1854" s="3" t="s">
        <v>8378</v>
      </c>
      <c r="D1854" s="3" t="s">
        <v>5229</v>
      </c>
      <c r="E1854" s="3" t="s">
        <v>6396</v>
      </c>
    </row>
    <row r="1855" spans="1:5" x14ac:dyDescent="0.25">
      <c r="A1855" s="3" t="s">
        <v>513</v>
      </c>
      <c r="B1855" s="6" t="s">
        <v>4237</v>
      </c>
      <c r="C1855" s="3" t="s">
        <v>8377</v>
      </c>
      <c r="D1855" s="3" t="s">
        <v>8081</v>
      </c>
      <c r="E1855" s="3" t="s">
        <v>6229</v>
      </c>
    </row>
    <row r="1856" spans="1:5" x14ac:dyDescent="0.25">
      <c r="A1856" s="3" t="s">
        <v>512</v>
      </c>
      <c r="B1856" s="6" t="s">
        <v>4238</v>
      </c>
      <c r="C1856" s="3" t="s">
        <v>8378</v>
      </c>
      <c r="D1856" s="3" t="s">
        <v>7701</v>
      </c>
      <c r="E1856" s="3" t="s">
        <v>5411</v>
      </c>
    </row>
    <row r="1857" spans="1:5" x14ac:dyDescent="0.25">
      <c r="A1857" s="3" t="s">
        <v>511</v>
      </c>
      <c r="B1857" s="6" t="s">
        <v>4239</v>
      </c>
      <c r="C1857" s="3" t="s">
        <v>8378</v>
      </c>
      <c r="D1857" s="3" t="s">
        <v>7087</v>
      </c>
      <c r="E1857" s="3" t="s">
        <v>6397</v>
      </c>
    </row>
    <row r="1858" spans="1:5" x14ac:dyDescent="0.25">
      <c r="A1858" s="3" t="s">
        <v>510</v>
      </c>
      <c r="B1858" s="6" t="s">
        <v>4240</v>
      </c>
      <c r="C1858" s="3" t="s">
        <v>8377</v>
      </c>
      <c r="D1858" s="3" t="s">
        <v>8082</v>
      </c>
      <c r="E1858" s="3" t="s">
        <v>6398</v>
      </c>
    </row>
    <row r="1859" spans="1:5" x14ac:dyDescent="0.25">
      <c r="A1859" s="3" t="s">
        <v>509</v>
      </c>
      <c r="B1859" s="6" t="s">
        <v>4241</v>
      </c>
      <c r="C1859" s="3" t="s">
        <v>8378</v>
      </c>
      <c r="D1859" s="3" t="s">
        <v>8083</v>
      </c>
      <c r="E1859" s="3" t="s">
        <v>6399</v>
      </c>
    </row>
    <row r="1860" spans="1:5" x14ac:dyDescent="0.25">
      <c r="A1860" s="3" t="s">
        <v>508</v>
      </c>
      <c r="B1860" s="6" t="s">
        <v>4242</v>
      </c>
      <c r="C1860" s="3" t="s">
        <v>8377</v>
      </c>
      <c r="D1860" s="3" t="s">
        <v>7731</v>
      </c>
      <c r="E1860" s="3" t="s">
        <v>5761</v>
      </c>
    </row>
    <row r="1861" spans="1:5" x14ac:dyDescent="0.25">
      <c r="A1861" s="3" t="s">
        <v>507</v>
      </c>
      <c r="B1861" s="6" t="s">
        <v>4243</v>
      </c>
      <c r="C1861" s="3" t="s">
        <v>8377</v>
      </c>
      <c r="D1861" s="3" t="s">
        <v>8084</v>
      </c>
      <c r="E1861" s="3" t="s">
        <v>5603</v>
      </c>
    </row>
    <row r="1862" spans="1:5" x14ac:dyDescent="0.25">
      <c r="A1862" s="3" t="s">
        <v>506</v>
      </c>
      <c r="B1862" s="6" t="s">
        <v>4244</v>
      </c>
      <c r="C1862" s="3" t="s">
        <v>8377</v>
      </c>
      <c r="D1862" s="3" t="s">
        <v>8085</v>
      </c>
      <c r="E1862" s="3" t="s">
        <v>6400</v>
      </c>
    </row>
    <row r="1863" spans="1:5" x14ac:dyDescent="0.25">
      <c r="A1863" s="3" t="s">
        <v>505</v>
      </c>
      <c r="B1863" s="6" t="s">
        <v>4245</v>
      </c>
      <c r="C1863" s="3" t="s">
        <v>8377</v>
      </c>
      <c r="D1863" s="3" t="s">
        <v>7169</v>
      </c>
      <c r="E1863" s="3" t="s">
        <v>5149</v>
      </c>
    </row>
    <row r="1864" spans="1:5" x14ac:dyDescent="0.25">
      <c r="A1864" s="3" t="s">
        <v>504</v>
      </c>
      <c r="B1864" s="6" t="s">
        <v>4246</v>
      </c>
      <c r="C1864" s="3" t="s">
        <v>8377</v>
      </c>
      <c r="D1864" s="3" t="s">
        <v>8086</v>
      </c>
      <c r="E1864" s="3" t="s">
        <v>6401</v>
      </c>
    </row>
    <row r="1865" spans="1:5" x14ac:dyDescent="0.25">
      <c r="A1865" s="3" t="s">
        <v>503</v>
      </c>
      <c r="B1865" s="6" t="s">
        <v>4247</v>
      </c>
      <c r="C1865" s="3" t="s">
        <v>8377</v>
      </c>
      <c r="D1865" s="3" t="s">
        <v>6799</v>
      </c>
      <c r="E1865" s="3" t="s">
        <v>6402</v>
      </c>
    </row>
    <row r="1866" spans="1:5" x14ac:dyDescent="0.25">
      <c r="A1866" s="3" t="s">
        <v>502</v>
      </c>
      <c r="B1866" s="6" t="s">
        <v>4248</v>
      </c>
      <c r="C1866" s="3" t="s">
        <v>8377</v>
      </c>
      <c r="D1866" s="3" t="s">
        <v>8087</v>
      </c>
      <c r="E1866" s="3" t="s">
        <v>4765</v>
      </c>
    </row>
    <row r="1867" spans="1:5" x14ac:dyDescent="0.25">
      <c r="A1867" s="3" t="s">
        <v>501</v>
      </c>
      <c r="B1867" s="6" t="s">
        <v>4249</v>
      </c>
      <c r="C1867" s="3" t="s">
        <v>8378</v>
      </c>
      <c r="D1867" s="3" t="s">
        <v>8088</v>
      </c>
      <c r="E1867" s="3" t="s">
        <v>6403</v>
      </c>
    </row>
    <row r="1868" spans="1:5" x14ac:dyDescent="0.25">
      <c r="A1868" s="3" t="s">
        <v>500</v>
      </c>
      <c r="B1868" s="6" t="s">
        <v>4250</v>
      </c>
      <c r="C1868" s="3" t="s">
        <v>8377</v>
      </c>
      <c r="D1868" s="3" t="s">
        <v>7346</v>
      </c>
      <c r="E1868" s="3" t="s">
        <v>5526</v>
      </c>
    </row>
    <row r="1869" spans="1:5" x14ac:dyDescent="0.25">
      <c r="A1869" s="3" t="s">
        <v>499</v>
      </c>
      <c r="B1869" s="6" t="s">
        <v>4251</v>
      </c>
      <c r="C1869" s="3" t="s">
        <v>8378</v>
      </c>
      <c r="D1869" s="3" t="s">
        <v>8089</v>
      </c>
      <c r="E1869" s="3" t="s">
        <v>5433</v>
      </c>
    </row>
    <row r="1870" spans="1:5" x14ac:dyDescent="0.25">
      <c r="A1870" s="3" t="s">
        <v>498</v>
      </c>
      <c r="B1870" s="6" t="s">
        <v>4252</v>
      </c>
      <c r="C1870" s="3" t="s">
        <v>8378</v>
      </c>
      <c r="D1870" s="3" t="s">
        <v>7058</v>
      </c>
      <c r="E1870" s="3" t="s">
        <v>6404</v>
      </c>
    </row>
    <row r="1871" spans="1:5" x14ac:dyDescent="0.25">
      <c r="A1871" s="3" t="s">
        <v>497</v>
      </c>
      <c r="B1871" s="6" t="s">
        <v>4253</v>
      </c>
      <c r="C1871" s="3" t="s">
        <v>8378</v>
      </c>
      <c r="D1871" s="3" t="s">
        <v>6857</v>
      </c>
      <c r="E1871" s="3" t="s">
        <v>4969</v>
      </c>
    </row>
    <row r="1872" spans="1:5" x14ac:dyDescent="0.25">
      <c r="A1872" s="3" t="s">
        <v>496</v>
      </c>
      <c r="B1872" s="6" t="s">
        <v>4254</v>
      </c>
      <c r="C1872" s="3" t="s">
        <v>8378</v>
      </c>
      <c r="D1872" s="3" t="s">
        <v>8090</v>
      </c>
      <c r="E1872" s="3" t="s">
        <v>6405</v>
      </c>
    </row>
    <row r="1873" spans="1:5" x14ac:dyDescent="0.25">
      <c r="A1873" s="3" t="s">
        <v>495</v>
      </c>
      <c r="B1873" s="6" t="s">
        <v>4255</v>
      </c>
      <c r="C1873" s="3" t="s">
        <v>8378</v>
      </c>
      <c r="D1873" s="3" t="s">
        <v>8091</v>
      </c>
      <c r="E1873" s="3" t="s">
        <v>6406</v>
      </c>
    </row>
    <row r="1874" spans="1:5" x14ac:dyDescent="0.25">
      <c r="A1874" s="3" t="s">
        <v>494</v>
      </c>
      <c r="B1874" s="6" t="s">
        <v>4256</v>
      </c>
      <c r="C1874" s="3" t="s">
        <v>8378</v>
      </c>
      <c r="D1874" s="3" t="s">
        <v>8092</v>
      </c>
      <c r="E1874" s="3" t="s">
        <v>6407</v>
      </c>
    </row>
    <row r="1875" spans="1:5" x14ac:dyDescent="0.25">
      <c r="A1875" s="3" t="s">
        <v>493</v>
      </c>
      <c r="B1875" s="6" t="s">
        <v>4257</v>
      </c>
      <c r="C1875" s="3" t="s">
        <v>8378</v>
      </c>
      <c r="D1875" s="3" t="s">
        <v>8093</v>
      </c>
      <c r="E1875" s="3" t="s">
        <v>6408</v>
      </c>
    </row>
    <row r="1876" spans="1:5" x14ac:dyDescent="0.25">
      <c r="A1876" s="3" t="s">
        <v>492</v>
      </c>
      <c r="B1876" s="6" t="s">
        <v>4258</v>
      </c>
      <c r="C1876" s="3" t="s">
        <v>8378</v>
      </c>
      <c r="D1876" s="3" t="s">
        <v>8094</v>
      </c>
      <c r="E1876" s="3" t="s">
        <v>6409</v>
      </c>
    </row>
    <row r="1877" spans="1:5" x14ac:dyDescent="0.25">
      <c r="A1877" s="3" t="s">
        <v>491</v>
      </c>
      <c r="B1877" s="6" t="s">
        <v>4259</v>
      </c>
      <c r="C1877" s="3" t="s">
        <v>8377</v>
      </c>
      <c r="D1877" s="3" t="s">
        <v>8095</v>
      </c>
      <c r="E1877" s="3" t="s">
        <v>5794</v>
      </c>
    </row>
    <row r="1878" spans="1:5" x14ac:dyDescent="0.25">
      <c r="A1878" s="3" t="s">
        <v>490</v>
      </c>
      <c r="B1878" s="6" t="s">
        <v>4260</v>
      </c>
      <c r="C1878" s="3" t="s">
        <v>8377</v>
      </c>
      <c r="D1878" s="3" t="s">
        <v>7289</v>
      </c>
      <c r="E1878" s="3" t="s">
        <v>6410</v>
      </c>
    </row>
    <row r="1879" spans="1:5" x14ac:dyDescent="0.25">
      <c r="A1879" s="3" t="s">
        <v>489</v>
      </c>
      <c r="B1879" s="6" t="s">
        <v>4261</v>
      </c>
      <c r="C1879" s="3" t="s">
        <v>8379</v>
      </c>
      <c r="D1879" s="3" t="s">
        <v>8096</v>
      </c>
      <c r="E1879" s="3" t="s">
        <v>6411</v>
      </c>
    </row>
    <row r="1880" spans="1:5" x14ac:dyDescent="0.25">
      <c r="A1880" s="3" t="s">
        <v>488</v>
      </c>
      <c r="B1880" s="6" t="s">
        <v>4262</v>
      </c>
      <c r="C1880" s="3" t="s">
        <v>8377</v>
      </c>
      <c r="D1880" s="3" t="s">
        <v>8097</v>
      </c>
      <c r="E1880" s="3" t="s">
        <v>6412</v>
      </c>
    </row>
    <row r="1881" spans="1:5" x14ac:dyDescent="0.25">
      <c r="A1881" s="3" t="s">
        <v>487</v>
      </c>
      <c r="B1881" s="6" t="s">
        <v>4263</v>
      </c>
      <c r="C1881" s="3" t="s">
        <v>8377</v>
      </c>
      <c r="D1881" s="3" t="s">
        <v>8098</v>
      </c>
      <c r="E1881" s="3" t="s">
        <v>6413</v>
      </c>
    </row>
    <row r="1882" spans="1:5" x14ac:dyDescent="0.25">
      <c r="A1882" s="3" t="s">
        <v>486</v>
      </c>
      <c r="B1882" s="6" t="s">
        <v>4264</v>
      </c>
      <c r="C1882" s="3" t="s">
        <v>8378</v>
      </c>
      <c r="D1882" s="3" t="s">
        <v>8099</v>
      </c>
      <c r="E1882" s="3" t="s">
        <v>5303</v>
      </c>
    </row>
    <row r="1883" spans="1:5" x14ac:dyDescent="0.25">
      <c r="A1883" s="3" t="s">
        <v>485</v>
      </c>
      <c r="B1883" s="6" t="s">
        <v>4265</v>
      </c>
      <c r="C1883" s="3" t="s">
        <v>8377</v>
      </c>
      <c r="D1883" s="3" t="s">
        <v>8095</v>
      </c>
      <c r="E1883" s="3" t="s">
        <v>6414</v>
      </c>
    </row>
    <row r="1884" spans="1:5" x14ac:dyDescent="0.25">
      <c r="A1884" s="3" t="s">
        <v>484</v>
      </c>
      <c r="B1884" s="6" t="s">
        <v>4266</v>
      </c>
      <c r="C1884" s="3" t="s">
        <v>8377</v>
      </c>
      <c r="D1884" s="3" t="s">
        <v>8100</v>
      </c>
      <c r="E1884" s="3" t="s">
        <v>6415</v>
      </c>
    </row>
    <row r="1885" spans="1:5" x14ac:dyDescent="0.25">
      <c r="A1885" s="3" t="s">
        <v>483</v>
      </c>
      <c r="B1885" s="6" t="s">
        <v>4267</v>
      </c>
      <c r="C1885" s="3" t="s">
        <v>8377</v>
      </c>
      <c r="D1885" s="3" t="s">
        <v>8101</v>
      </c>
      <c r="E1885" s="3" t="s">
        <v>6416</v>
      </c>
    </row>
    <row r="1886" spans="1:5" x14ac:dyDescent="0.25">
      <c r="A1886" s="3" t="s">
        <v>482</v>
      </c>
      <c r="B1886" s="6" t="s">
        <v>4268</v>
      </c>
      <c r="C1886" s="3" t="s">
        <v>8377</v>
      </c>
      <c r="D1886" s="3" t="s">
        <v>8102</v>
      </c>
      <c r="E1886" s="3" t="s">
        <v>6417</v>
      </c>
    </row>
    <row r="1887" spans="1:5" x14ac:dyDescent="0.25">
      <c r="A1887" s="3" t="s">
        <v>481</v>
      </c>
      <c r="B1887" s="6" t="s">
        <v>4269</v>
      </c>
      <c r="C1887" s="3" t="s">
        <v>8377</v>
      </c>
      <c r="D1887" s="3" t="s">
        <v>8103</v>
      </c>
      <c r="E1887" s="3" t="s">
        <v>6418</v>
      </c>
    </row>
    <row r="1888" spans="1:5" x14ac:dyDescent="0.25">
      <c r="A1888" s="3" t="s">
        <v>480</v>
      </c>
      <c r="B1888" s="6" t="s">
        <v>4270</v>
      </c>
      <c r="C1888" s="3" t="s">
        <v>8378</v>
      </c>
      <c r="D1888" s="3" t="s">
        <v>8104</v>
      </c>
      <c r="E1888" s="3" t="s">
        <v>6419</v>
      </c>
    </row>
    <row r="1889" spans="1:5" x14ac:dyDescent="0.25">
      <c r="A1889" s="3" t="s">
        <v>479</v>
      </c>
      <c r="B1889" s="6" t="s">
        <v>4271</v>
      </c>
      <c r="C1889" s="3" t="s">
        <v>8378</v>
      </c>
      <c r="D1889" s="3" t="s">
        <v>7074</v>
      </c>
      <c r="E1889" s="3" t="s">
        <v>6420</v>
      </c>
    </row>
    <row r="1890" spans="1:5" x14ac:dyDescent="0.25">
      <c r="A1890" s="3" t="s">
        <v>478</v>
      </c>
      <c r="B1890" s="6" t="s">
        <v>4272</v>
      </c>
      <c r="C1890" s="3" t="s">
        <v>8378</v>
      </c>
      <c r="D1890" s="3" t="s">
        <v>8105</v>
      </c>
      <c r="E1890" s="3" t="s">
        <v>5318</v>
      </c>
    </row>
    <row r="1891" spans="1:5" x14ac:dyDescent="0.25">
      <c r="A1891" s="3" t="s">
        <v>477</v>
      </c>
      <c r="B1891" s="6" t="s">
        <v>4273</v>
      </c>
      <c r="C1891" s="3" t="s">
        <v>8377</v>
      </c>
      <c r="D1891" s="3" t="s">
        <v>7627</v>
      </c>
      <c r="E1891" s="3" t="s">
        <v>6421</v>
      </c>
    </row>
    <row r="1892" spans="1:5" x14ac:dyDescent="0.25">
      <c r="A1892" s="3" t="s">
        <v>476</v>
      </c>
      <c r="B1892" s="6" t="s">
        <v>4274</v>
      </c>
      <c r="C1892" s="3" t="s">
        <v>8378</v>
      </c>
      <c r="D1892" s="3" t="s">
        <v>6768</v>
      </c>
      <c r="E1892" s="3" t="s">
        <v>6422</v>
      </c>
    </row>
    <row r="1893" spans="1:5" x14ac:dyDescent="0.25">
      <c r="A1893" s="3" t="s">
        <v>475</v>
      </c>
      <c r="B1893" s="6" t="s">
        <v>4275</v>
      </c>
      <c r="C1893" s="3" t="s">
        <v>8378</v>
      </c>
      <c r="D1893" s="3" t="s">
        <v>8106</v>
      </c>
      <c r="E1893" s="3" t="s">
        <v>6423</v>
      </c>
    </row>
    <row r="1894" spans="1:5" x14ac:dyDescent="0.25">
      <c r="A1894" s="3" t="s">
        <v>474</v>
      </c>
      <c r="B1894" s="6" t="s">
        <v>4276</v>
      </c>
      <c r="C1894" s="3" t="s">
        <v>8377</v>
      </c>
      <c r="D1894" s="3" t="s">
        <v>8107</v>
      </c>
      <c r="E1894" s="3" t="s">
        <v>6424</v>
      </c>
    </row>
    <row r="1895" spans="1:5" x14ac:dyDescent="0.25">
      <c r="A1895" s="3" t="s">
        <v>473</v>
      </c>
      <c r="B1895" s="6" t="s">
        <v>4277</v>
      </c>
      <c r="C1895" s="3" t="s">
        <v>8378</v>
      </c>
      <c r="D1895" s="3" t="s">
        <v>6847</v>
      </c>
      <c r="E1895" s="3" t="s">
        <v>6425</v>
      </c>
    </row>
    <row r="1896" spans="1:5" x14ac:dyDescent="0.25">
      <c r="A1896" s="3" t="s">
        <v>472</v>
      </c>
      <c r="B1896" s="6" t="s">
        <v>4278</v>
      </c>
      <c r="C1896" s="3" t="s">
        <v>8377</v>
      </c>
      <c r="D1896" s="3" t="s">
        <v>8108</v>
      </c>
      <c r="E1896" s="3" t="s">
        <v>6426</v>
      </c>
    </row>
    <row r="1897" spans="1:5" x14ac:dyDescent="0.25">
      <c r="A1897" s="3" t="s">
        <v>471</v>
      </c>
      <c r="B1897" s="6" t="s">
        <v>4279</v>
      </c>
      <c r="C1897" s="3" t="s">
        <v>8378</v>
      </c>
      <c r="D1897" s="3" t="s">
        <v>8109</v>
      </c>
      <c r="E1897" s="3" t="s">
        <v>5001</v>
      </c>
    </row>
    <row r="1898" spans="1:5" x14ac:dyDescent="0.25">
      <c r="A1898" s="3" t="s">
        <v>470</v>
      </c>
      <c r="B1898" s="6" t="s">
        <v>4280</v>
      </c>
      <c r="C1898" s="3" t="s">
        <v>8378</v>
      </c>
      <c r="D1898" s="3" t="s">
        <v>6882</v>
      </c>
      <c r="E1898" s="3" t="s">
        <v>6427</v>
      </c>
    </row>
    <row r="1899" spans="1:5" x14ac:dyDescent="0.25">
      <c r="A1899" s="3" t="s">
        <v>469</v>
      </c>
      <c r="B1899" s="6" t="s">
        <v>4281</v>
      </c>
      <c r="C1899" s="3" t="s">
        <v>8378</v>
      </c>
      <c r="D1899" s="3" t="s">
        <v>8110</v>
      </c>
      <c r="E1899" s="3" t="s">
        <v>4834</v>
      </c>
    </row>
    <row r="1900" spans="1:5" x14ac:dyDescent="0.25">
      <c r="A1900" s="3" t="s">
        <v>468</v>
      </c>
      <c r="B1900" s="6" t="s">
        <v>4282</v>
      </c>
      <c r="C1900" s="3" t="s">
        <v>8378</v>
      </c>
      <c r="D1900" s="3" t="s">
        <v>7087</v>
      </c>
      <c r="E1900" s="3" t="s">
        <v>4864</v>
      </c>
    </row>
    <row r="1901" spans="1:5" x14ac:dyDescent="0.25">
      <c r="A1901" s="3" t="s">
        <v>467</v>
      </c>
      <c r="B1901" s="6" t="s">
        <v>4283</v>
      </c>
      <c r="C1901" s="3" t="s">
        <v>8377</v>
      </c>
      <c r="D1901" s="3" t="s">
        <v>6831</v>
      </c>
      <c r="E1901" s="3" t="s">
        <v>6428</v>
      </c>
    </row>
    <row r="1902" spans="1:5" x14ac:dyDescent="0.25">
      <c r="A1902" s="3" t="s">
        <v>466</v>
      </c>
      <c r="B1902" s="6" t="s">
        <v>4284</v>
      </c>
      <c r="C1902" s="3" t="s">
        <v>8377</v>
      </c>
      <c r="D1902" s="3" t="s">
        <v>8111</v>
      </c>
      <c r="E1902" s="3" t="s">
        <v>6338</v>
      </c>
    </row>
    <row r="1903" spans="1:5" x14ac:dyDescent="0.25">
      <c r="A1903" s="3" t="s">
        <v>465</v>
      </c>
      <c r="B1903" s="6" t="s">
        <v>4285</v>
      </c>
      <c r="C1903" s="3" t="s">
        <v>8377</v>
      </c>
      <c r="D1903" s="3" t="s">
        <v>7601</v>
      </c>
      <c r="E1903" s="3" t="s">
        <v>6429</v>
      </c>
    </row>
    <row r="1904" spans="1:5" x14ac:dyDescent="0.25">
      <c r="A1904" s="3" t="s">
        <v>464</v>
      </c>
      <c r="B1904" s="6" t="s">
        <v>4286</v>
      </c>
      <c r="C1904" s="3" t="s">
        <v>8377</v>
      </c>
      <c r="D1904" s="3" t="s">
        <v>6944</v>
      </c>
      <c r="E1904" s="3" t="s">
        <v>6430</v>
      </c>
    </row>
    <row r="1905" spans="1:5" x14ac:dyDescent="0.25">
      <c r="A1905" s="3" t="s">
        <v>463</v>
      </c>
      <c r="B1905" s="6" t="s">
        <v>4287</v>
      </c>
      <c r="C1905" s="3" t="s">
        <v>8377</v>
      </c>
      <c r="D1905" s="3" t="s">
        <v>8112</v>
      </c>
      <c r="E1905" s="3" t="s">
        <v>6431</v>
      </c>
    </row>
    <row r="1906" spans="1:5" x14ac:dyDescent="0.25">
      <c r="A1906" s="3" t="s">
        <v>462</v>
      </c>
      <c r="B1906" s="6" t="s">
        <v>4288</v>
      </c>
      <c r="C1906" s="3" t="s">
        <v>8377</v>
      </c>
      <c r="D1906" s="3" t="s">
        <v>8113</v>
      </c>
      <c r="E1906" s="3" t="s">
        <v>6432</v>
      </c>
    </row>
    <row r="1907" spans="1:5" x14ac:dyDescent="0.25">
      <c r="A1907" s="3" t="s">
        <v>461</v>
      </c>
      <c r="B1907" s="6" t="s">
        <v>4289</v>
      </c>
      <c r="C1907" s="3" t="s">
        <v>8378</v>
      </c>
      <c r="D1907" s="3" t="s">
        <v>8114</v>
      </c>
      <c r="E1907" s="3" t="s">
        <v>6433</v>
      </c>
    </row>
    <row r="1908" spans="1:5" x14ac:dyDescent="0.25">
      <c r="A1908" s="3" t="s">
        <v>460</v>
      </c>
      <c r="B1908" s="6" t="s">
        <v>4290</v>
      </c>
      <c r="C1908" s="3" t="s">
        <v>8377</v>
      </c>
      <c r="D1908" s="3" t="s">
        <v>8115</v>
      </c>
      <c r="E1908" s="3" t="s">
        <v>5050</v>
      </c>
    </row>
    <row r="1909" spans="1:5" x14ac:dyDescent="0.25">
      <c r="A1909" s="3" t="s">
        <v>459</v>
      </c>
      <c r="B1909" s="6" t="s">
        <v>4291</v>
      </c>
      <c r="C1909" s="3" t="s">
        <v>8377</v>
      </c>
      <c r="D1909" s="3" t="s">
        <v>8116</v>
      </c>
      <c r="E1909" s="3" t="s">
        <v>6434</v>
      </c>
    </row>
    <row r="1910" spans="1:5" x14ac:dyDescent="0.25">
      <c r="A1910" s="3" t="s">
        <v>458</v>
      </c>
      <c r="B1910" s="6" t="s">
        <v>4292</v>
      </c>
      <c r="C1910" s="3" t="s">
        <v>8378</v>
      </c>
      <c r="D1910" s="3" t="s">
        <v>8117</v>
      </c>
      <c r="E1910" s="3" t="s">
        <v>6435</v>
      </c>
    </row>
    <row r="1911" spans="1:5" x14ac:dyDescent="0.25">
      <c r="A1911" s="3" t="s">
        <v>457</v>
      </c>
      <c r="B1911" s="6" t="s">
        <v>4293</v>
      </c>
      <c r="C1911" s="3" t="s">
        <v>8378</v>
      </c>
      <c r="D1911" s="3" t="s">
        <v>8118</v>
      </c>
      <c r="E1911" s="3" t="s">
        <v>4765</v>
      </c>
    </row>
    <row r="1912" spans="1:5" x14ac:dyDescent="0.25">
      <c r="A1912" s="3" t="s">
        <v>456</v>
      </c>
      <c r="B1912" s="6" t="s">
        <v>4294</v>
      </c>
      <c r="C1912" s="3" t="s">
        <v>8377</v>
      </c>
      <c r="D1912" s="3" t="s">
        <v>8119</v>
      </c>
      <c r="E1912" s="3" t="s">
        <v>6436</v>
      </c>
    </row>
    <row r="1913" spans="1:5" x14ac:dyDescent="0.25">
      <c r="A1913" s="3" t="s">
        <v>455</v>
      </c>
      <c r="B1913" s="6" t="s">
        <v>4295</v>
      </c>
      <c r="C1913" s="3" t="s">
        <v>8378</v>
      </c>
      <c r="D1913" s="3" t="s">
        <v>8120</v>
      </c>
      <c r="E1913" s="3" t="s">
        <v>5138</v>
      </c>
    </row>
    <row r="1914" spans="1:5" x14ac:dyDescent="0.25">
      <c r="A1914" s="3" t="s">
        <v>454</v>
      </c>
      <c r="B1914" s="6" t="s">
        <v>4296</v>
      </c>
      <c r="C1914" s="3" t="s">
        <v>8378</v>
      </c>
      <c r="D1914" s="3" t="s">
        <v>8121</v>
      </c>
      <c r="E1914" s="3" t="s">
        <v>6437</v>
      </c>
    </row>
    <row r="1915" spans="1:5" x14ac:dyDescent="0.25">
      <c r="A1915" s="3" t="s">
        <v>453</v>
      </c>
      <c r="B1915" s="6" t="s">
        <v>4297</v>
      </c>
      <c r="C1915" s="3" t="s">
        <v>8378</v>
      </c>
      <c r="D1915" s="3" t="s">
        <v>8122</v>
      </c>
      <c r="E1915" s="3" t="s">
        <v>5323</v>
      </c>
    </row>
    <row r="1916" spans="1:5" x14ac:dyDescent="0.25">
      <c r="A1916" s="3" t="s">
        <v>452</v>
      </c>
      <c r="B1916" s="6" t="s">
        <v>4298</v>
      </c>
      <c r="C1916" s="3" t="s">
        <v>8377</v>
      </c>
      <c r="D1916" s="3" t="s">
        <v>8123</v>
      </c>
      <c r="E1916" s="3" t="s">
        <v>6438</v>
      </c>
    </row>
    <row r="1917" spans="1:5" x14ac:dyDescent="0.25">
      <c r="A1917" s="3" t="s">
        <v>451</v>
      </c>
      <c r="B1917" s="6" t="s">
        <v>4299</v>
      </c>
      <c r="C1917" s="3" t="s">
        <v>8378</v>
      </c>
      <c r="D1917" s="3" t="s">
        <v>8124</v>
      </c>
      <c r="E1917" s="3" t="s">
        <v>6439</v>
      </c>
    </row>
    <row r="1918" spans="1:5" x14ac:dyDescent="0.25">
      <c r="A1918" s="3" t="s">
        <v>450</v>
      </c>
      <c r="B1918" s="6" t="s">
        <v>4300</v>
      </c>
      <c r="C1918" s="3" t="s">
        <v>8378</v>
      </c>
      <c r="D1918" s="3" t="s">
        <v>6880</v>
      </c>
      <c r="E1918" s="3" t="s">
        <v>6440</v>
      </c>
    </row>
    <row r="1919" spans="1:5" x14ac:dyDescent="0.25">
      <c r="A1919" s="3" t="s">
        <v>449</v>
      </c>
      <c r="B1919" s="6" t="s">
        <v>4301</v>
      </c>
      <c r="C1919" s="3" t="s">
        <v>8378</v>
      </c>
      <c r="D1919" s="3" t="s">
        <v>8125</v>
      </c>
      <c r="E1919" s="3" t="s">
        <v>6441</v>
      </c>
    </row>
    <row r="1920" spans="1:5" x14ac:dyDescent="0.25">
      <c r="A1920" s="3" t="s">
        <v>448</v>
      </c>
      <c r="B1920" s="6" t="s">
        <v>4302</v>
      </c>
      <c r="C1920" s="3" t="s">
        <v>8378</v>
      </c>
      <c r="D1920" s="3" t="s">
        <v>8126</v>
      </c>
      <c r="E1920" s="3" t="s">
        <v>6442</v>
      </c>
    </row>
    <row r="1921" spans="1:5" x14ac:dyDescent="0.25">
      <c r="A1921" s="3" t="s">
        <v>447</v>
      </c>
      <c r="B1921" s="6" t="s">
        <v>4303</v>
      </c>
      <c r="C1921" s="3" t="s">
        <v>8378</v>
      </c>
      <c r="D1921" s="3" t="s">
        <v>5274</v>
      </c>
      <c r="E1921" s="3" t="s">
        <v>6443</v>
      </c>
    </row>
    <row r="1922" spans="1:5" x14ac:dyDescent="0.25">
      <c r="A1922" s="3" t="s">
        <v>446</v>
      </c>
      <c r="B1922" s="6" t="s">
        <v>4304</v>
      </c>
      <c r="C1922" s="3" t="s">
        <v>8379</v>
      </c>
      <c r="D1922" s="3" t="s">
        <v>8127</v>
      </c>
      <c r="E1922" s="3" t="s">
        <v>6444</v>
      </c>
    </row>
    <row r="1923" spans="1:5" x14ac:dyDescent="0.25">
      <c r="A1923" s="3" t="s">
        <v>445</v>
      </c>
      <c r="B1923" s="6" t="s">
        <v>4305</v>
      </c>
      <c r="C1923" s="3" t="s">
        <v>8378</v>
      </c>
      <c r="D1923" s="3" t="s">
        <v>6880</v>
      </c>
      <c r="E1923" s="3" t="s">
        <v>6445</v>
      </c>
    </row>
    <row r="1924" spans="1:5" x14ac:dyDescent="0.25">
      <c r="A1924" s="3" t="s">
        <v>444</v>
      </c>
      <c r="B1924" s="6" t="s">
        <v>4306</v>
      </c>
      <c r="C1924" s="3" t="s">
        <v>8378</v>
      </c>
      <c r="D1924" s="3" t="s">
        <v>7320</v>
      </c>
      <c r="E1924" s="3" t="s">
        <v>6446</v>
      </c>
    </row>
    <row r="1925" spans="1:5" x14ac:dyDescent="0.25">
      <c r="A1925" s="3" t="s">
        <v>443</v>
      </c>
      <c r="B1925" s="6" t="s">
        <v>4307</v>
      </c>
      <c r="C1925" s="3" t="s">
        <v>8378</v>
      </c>
      <c r="D1925" s="3" t="s">
        <v>8128</v>
      </c>
      <c r="E1925" s="3" t="s">
        <v>6447</v>
      </c>
    </row>
    <row r="1926" spans="1:5" x14ac:dyDescent="0.25">
      <c r="A1926" s="3" t="s">
        <v>442</v>
      </c>
      <c r="B1926" s="6" t="s">
        <v>4308</v>
      </c>
      <c r="C1926" s="3" t="s">
        <v>8378</v>
      </c>
      <c r="D1926" s="3" t="s">
        <v>6867</v>
      </c>
      <c r="E1926" s="3" t="s">
        <v>6448</v>
      </c>
    </row>
    <row r="1927" spans="1:5" x14ac:dyDescent="0.25">
      <c r="A1927" s="3" t="s">
        <v>441</v>
      </c>
      <c r="B1927" s="6" t="s">
        <v>4309</v>
      </c>
      <c r="C1927" s="3" t="s">
        <v>8377</v>
      </c>
      <c r="D1927" s="3" t="s">
        <v>8129</v>
      </c>
      <c r="E1927" s="3" t="s">
        <v>5564</v>
      </c>
    </row>
    <row r="1928" spans="1:5" x14ac:dyDescent="0.25">
      <c r="A1928" s="3" t="s">
        <v>440</v>
      </c>
      <c r="B1928" s="6" t="s">
        <v>4310</v>
      </c>
      <c r="C1928" s="3" t="s">
        <v>8377</v>
      </c>
      <c r="D1928" s="3" t="s">
        <v>8130</v>
      </c>
      <c r="E1928" s="3" t="s">
        <v>6449</v>
      </c>
    </row>
    <row r="1929" spans="1:5" x14ac:dyDescent="0.25">
      <c r="A1929" s="3" t="s">
        <v>439</v>
      </c>
      <c r="B1929" s="6" t="s">
        <v>4311</v>
      </c>
      <c r="C1929" s="3" t="s">
        <v>8378</v>
      </c>
      <c r="D1929" s="3" t="s">
        <v>6807</v>
      </c>
      <c r="E1929" s="3" t="s">
        <v>6450</v>
      </c>
    </row>
    <row r="1930" spans="1:5" x14ac:dyDescent="0.25">
      <c r="A1930" s="3" t="s">
        <v>438</v>
      </c>
      <c r="B1930" s="6" t="s">
        <v>4312</v>
      </c>
      <c r="C1930" s="3" t="s">
        <v>8377</v>
      </c>
      <c r="D1930" s="3" t="s">
        <v>8131</v>
      </c>
      <c r="E1930" s="3" t="s">
        <v>5766</v>
      </c>
    </row>
    <row r="1931" spans="1:5" x14ac:dyDescent="0.25">
      <c r="A1931" s="3" t="s">
        <v>437</v>
      </c>
      <c r="B1931" s="6" t="s">
        <v>4313</v>
      </c>
      <c r="C1931" s="3" t="s">
        <v>8377</v>
      </c>
      <c r="D1931" s="3" t="s">
        <v>7599</v>
      </c>
      <c r="E1931" s="3" t="s">
        <v>5229</v>
      </c>
    </row>
    <row r="1932" spans="1:5" x14ac:dyDescent="0.25">
      <c r="A1932" s="3" t="s">
        <v>436</v>
      </c>
      <c r="B1932" s="6" t="s">
        <v>4314</v>
      </c>
      <c r="C1932" s="3" t="s">
        <v>8377</v>
      </c>
      <c r="D1932" s="3" t="s">
        <v>8132</v>
      </c>
      <c r="E1932" s="3" t="s">
        <v>6451</v>
      </c>
    </row>
    <row r="1933" spans="1:5" x14ac:dyDescent="0.25">
      <c r="A1933" s="3" t="s">
        <v>435</v>
      </c>
      <c r="B1933" s="6" t="s">
        <v>4315</v>
      </c>
      <c r="C1933" s="3" t="s">
        <v>8377</v>
      </c>
      <c r="D1933" s="3" t="s">
        <v>8133</v>
      </c>
      <c r="E1933" s="3" t="s">
        <v>6452</v>
      </c>
    </row>
    <row r="1934" spans="1:5" x14ac:dyDescent="0.25">
      <c r="A1934" s="3" t="s">
        <v>434</v>
      </c>
      <c r="B1934" s="6" t="s">
        <v>4316</v>
      </c>
      <c r="C1934" s="3" t="s">
        <v>8378</v>
      </c>
      <c r="D1934" s="3" t="s">
        <v>6821</v>
      </c>
      <c r="E1934" s="3" t="s">
        <v>6453</v>
      </c>
    </row>
    <row r="1935" spans="1:5" x14ac:dyDescent="0.25">
      <c r="A1935" s="3" t="s">
        <v>433</v>
      </c>
      <c r="B1935" s="6" t="s">
        <v>4317</v>
      </c>
      <c r="C1935" s="3" t="s">
        <v>8377</v>
      </c>
      <c r="D1935" s="3" t="s">
        <v>6831</v>
      </c>
      <c r="E1935" s="3" t="s">
        <v>6454</v>
      </c>
    </row>
    <row r="1936" spans="1:5" x14ac:dyDescent="0.25">
      <c r="A1936" s="3" t="s">
        <v>432</v>
      </c>
      <c r="B1936" s="6" t="s">
        <v>4318</v>
      </c>
      <c r="C1936" s="3" t="s">
        <v>8377</v>
      </c>
      <c r="D1936" s="3" t="s">
        <v>8134</v>
      </c>
      <c r="E1936" s="3" t="s">
        <v>6455</v>
      </c>
    </row>
    <row r="1937" spans="1:5" x14ac:dyDescent="0.25">
      <c r="A1937" s="3" t="s">
        <v>431</v>
      </c>
      <c r="B1937" s="6" t="s">
        <v>4319</v>
      </c>
      <c r="C1937" s="3" t="s">
        <v>8378</v>
      </c>
      <c r="D1937" s="3" t="s">
        <v>8135</v>
      </c>
      <c r="E1937" s="3" t="s">
        <v>6456</v>
      </c>
    </row>
    <row r="1938" spans="1:5" x14ac:dyDescent="0.25">
      <c r="A1938" s="3" t="s">
        <v>430</v>
      </c>
      <c r="B1938" s="6" t="s">
        <v>4320</v>
      </c>
      <c r="C1938" s="3" t="s">
        <v>8379</v>
      </c>
      <c r="D1938" s="3" t="s">
        <v>8136</v>
      </c>
      <c r="E1938" s="3" t="s">
        <v>6457</v>
      </c>
    </row>
    <row r="1939" spans="1:5" x14ac:dyDescent="0.25">
      <c r="A1939" s="3" t="s">
        <v>429</v>
      </c>
      <c r="B1939" s="6" t="s">
        <v>4321</v>
      </c>
      <c r="C1939" s="3" t="s">
        <v>8378</v>
      </c>
      <c r="D1939" s="3" t="s">
        <v>4772</v>
      </c>
      <c r="E1939" s="3" t="s">
        <v>6279</v>
      </c>
    </row>
    <row r="1940" spans="1:5" x14ac:dyDescent="0.25">
      <c r="A1940" s="3" t="s">
        <v>428</v>
      </c>
      <c r="B1940" s="6" t="s">
        <v>4322</v>
      </c>
      <c r="C1940" s="3" t="s">
        <v>8378</v>
      </c>
      <c r="D1940" s="3" t="s">
        <v>8137</v>
      </c>
      <c r="E1940" s="3" t="s">
        <v>6458</v>
      </c>
    </row>
    <row r="1941" spans="1:5" x14ac:dyDescent="0.25">
      <c r="A1941" s="3" t="s">
        <v>427</v>
      </c>
      <c r="B1941" s="6" t="s">
        <v>4323</v>
      </c>
      <c r="C1941" s="3" t="s">
        <v>8378</v>
      </c>
      <c r="D1941" s="3" t="s">
        <v>8138</v>
      </c>
      <c r="E1941" s="3" t="s">
        <v>6459</v>
      </c>
    </row>
    <row r="1942" spans="1:5" x14ac:dyDescent="0.25">
      <c r="A1942" s="3" t="s">
        <v>426</v>
      </c>
      <c r="B1942" s="6" t="s">
        <v>4324</v>
      </c>
      <c r="C1942" s="3" t="s">
        <v>8378</v>
      </c>
      <c r="D1942" s="3" t="s">
        <v>8139</v>
      </c>
      <c r="E1942" s="3" t="s">
        <v>5530</v>
      </c>
    </row>
    <row r="1943" spans="1:5" x14ac:dyDescent="0.25">
      <c r="A1943" s="3" t="s">
        <v>425</v>
      </c>
      <c r="B1943" s="6" t="s">
        <v>4325</v>
      </c>
      <c r="C1943" s="3" t="s">
        <v>8378</v>
      </c>
      <c r="D1943" s="3" t="s">
        <v>5158</v>
      </c>
      <c r="E1943" s="3" t="s">
        <v>6460</v>
      </c>
    </row>
    <row r="1944" spans="1:5" x14ac:dyDescent="0.25">
      <c r="A1944" s="3" t="s">
        <v>424</v>
      </c>
      <c r="B1944" s="6" t="s">
        <v>4326</v>
      </c>
      <c r="C1944" s="3" t="s">
        <v>8378</v>
      </c>
      <c r="D1944" s="3" t="s">
        <v>6880</v>
      </c>
      <c r="E1944" s="3" t="s">
        <v>6461</v>
      </c>
    </row>
    <row r="1945" spans="1:5" x14ac:dyDescent="0.25">
      <c r="A1945" s="3" t="s">
        <v>423</v>
      </c>
      <c r="B1945" s="6" t="s">
        <v>4327</v>
      </c>
      <c r="C1945" s="3" t="s">
        <v>8378</v>
      </c>
      <c r="D1945" s="3" t="s">
        <v>6407</v>
      </c>
      <c r="E1945" s="3" t="s">
        <v>5454</v>
      </c>
    </row>
    <row r="1946" spans="1:5" x14ac:dyDescent="0.25">
      <c r="A1946" s="3" t="s">
        <v>422</v>
      </c>
      <c r="B1946" s="6" t="s">
        <v>4328</v>
      </c>
      <c r="C1946" s="3" t="s">
        <v>8377</v>
      </c>
      <c r="D1946" s="3" t="s">
        <v>6840</v>
      </c>
      <c r="E1946" s="3" t="s">
        <v>6462</v>
      </c>
    </row>
    <row r="1947" spans="1:5" x14ac:dyDescent="0.25">
      <c r="A1947" s="3" t="s">
        <v>421</v>
      </c>
      <c r="B1947" s="6" t="s">
        <v>4329</v>
      </c>
      <c r="C1947" s="3" t="s">
        <v>8378</v>
      </c>
      <c r="D1947" s="3" t="s">
        <v>8094</v>
      </c>
      <c r="E1947" s="3" t="s">
        <v>6463</v>
      </c>
    </row>
    <row r="1948" spans="1:5" x14ac:dyDescent="0.25">
      <c r="A1948" s="3" t="s">
        <v>420</v>
      </c>
      <c r="B1948" s="6" t="s">
        <v>4330</v>
      </c>
      <c r="C1948" s="3" t="s">
        <v>8378</v>
      </c>
      <c r="D1948" s="3" t="s">
        <v>8140</v>
      </c>
      <c r="E1948" s="3" t="s">
        <v>6464</v>
      </c>
    </row>
    <row r="1949" spans="1:5" x14ac:dyDescent="0.25">
      <c r="A1949" s="3" t="s">
        <v>419</v>
      </c>
      <c r="B1949" s="6" t="s">
        <v>4331</v>
      </c>
      <c r="C1949" s="3" t="s">
        <v>8378</v>
      </c>
      <c r="D1949" s="3" t="s">
        <v>8141</v>
      </c>
      <c r="E1949" s="3" t="s">
        <v>6465</v>
      </c>
    </row>
    <row r="1950" spans="1:5" x14ac:dyDescent="0.25">
      <c r="A1950" s="3" t="s">
        <v>418</v>
      </c>
      <c r="B1950" s="6" t="s">
        <v>4332</v>
      </c>
      <c r="C1950" s="3" t="s">
        <v>8377</v>
      </c>
      <c r="D1950" s="3" t="s">
        <v>8142</v>
      </c>
      <c r="E1950" s="3" t="s">
        <v>6466</v>
      </c>
    </row>
    <row r="1951" spans="1:5" x14ac:dyDescent="0.25">
      <c r="A1951" s="3" t="s">
        <v>417</v>
      </c>
      <c r="B1951" s="6" t="s">
        <v>4333</v>
      </c>
      <c r="C1951" s="3" t="s">
        <v>8378</v>
      </c>
      <c r="D1951" s="3" t="s">
        <v>6867</v>
      </c>
      <c r="E1951" s="3" t="s">
        <v>5329</v>
      </c>
    </row>
    <row r="1952" spans="1:5" x14ac:dyDescent="0.25">
      <c r="A1952" s="3" t="s">
        <v>416</v>
      </c>
      <c r="B1952" s="6" t="s">
        <v>4334</v>
      </c>
      <c r="C1952" s="3" t="s">
        <v>8377</v>
      </c>
      <c r="D1952" s="3" t="s">
        <v>8143</v>
      </c>
      <c r="E1952" s="3" t="s">
        <v>6467</v>
      </c>
    </row>
    <row r="1953" spans="1:5" x14ac:dyDescent="0.25">
      <c r="A1953" s="3" t="s">
        <v>415</v>
      </c>
      <c r="B1953" s="6" t="s">
        <v>4335</v>
      </c>
      <c r="C1953" s="3" t="s">
        <v>8378</v>
      </c>
      <c r="D1953" s="3" t="s">
        <v>8144</v>
      </c>
      <c r="E1953" s="3" t="s">
        <v>6468</v>
      </c>
    </row>
    <row r="1954" spans="1:5" x14ac:dyDescent="0.25">
      <c r="A1954" s="3" t="s">
        <v>414</v>
      </c>
      <c r="B1954" s="6" t="s">
        <v>4336</v>
      </c>
      <c r="C1954" s="3" t="s">
        <v>8378</v>
      </c>
      <c r="D1954" s="3" t="s">
        <v>8145</v>
      </c>
      <c r="E1954" s="3" t="s">
        <v>6469</v>
      </c>
    </row>
    <row r="1955" spans="1:5" x14ac:dyDescent="0.25">
      <c r="A1955" s="3" t="s">
        <v>413</v>
      </c>
      <c r="B1955" s="6" t="s">
        <v>4337</v>
      </c>
      <c r="C1955" s="3" t="s">
        <v>8377</v>
      </c>
      <c r="D1955" s="3" t="s">
        <v>8146</v>
      </c>
      <c r="E1955" s="3" t="s">
        <v>6470</v>
      </c>
    </row>
    <row r="1956" spans="1:5" x14ac:dyDescent="0.25">
      <c r="A1956" s="3" t="s">
        <v>412</v>
      </c>
      <c r="B1956" s="6" t="s">
        <v>4338</v>
      </c>
      <c r="C1956" s="3" t="s">
        <v>8377</v>
      </c>
      <c r="D1956" s="3" t="s">
        <v>8147</v>
      </c>
      <c r="E1956" s="3" t="s">
        <v>6471</v>
      </c>
    </row>
    <row r="1957" spans="1:5" x14ac:dyDescent="0.25">
      <c r="A1957" s="3" t="s">
        <v>411</v>
      </c>
      <c r="B1957" s="6" t="s">
        <v>4339</v>
      </c>
      <c r="C1957" s="3" t="s">
        <v>8377</v>
      </c>
      <c r="D1957" s="3" t="s">
        <v>8148</v>
      </c>
      <c r="E1957" s="3" t="s">
        <v>6472</v>
      </c>
    </row>
    <row r="1958" spans="1:5" x14ac:dyDescent="0.25">
      <c r="A1958" s="3" t="s">
        <v>410</v>
      </c>
      <c r="B1958" s="6" t="s">
        <v>4340</v>
      </c>
      <c r="C1958" s="3" t="s">
        <v>8378</v>
      </c>
      <c r="D1958" s="3" t="s">
        <v>8149</v>
      </c>
      <c r="E1958" s="3" t="s">
        <v>6473</v>
      </c>
    </row>
    <row r="1959" spans="1:5" x14ac:dyDescent="0.25">
      <c r="A1959" s="3" t="s">
        <v>409</v>
      </c>
      <c r="B1959" s="6" t="s">
        <v>4341</v>
      </c>
      <c r="C1959" s="3" t="s">
        <v>8377</v>
      </c>
      <c r="D1959" s="3" t="s">
        <v>7116</v>
      </c>
      <c r="E1959" s="3" t="s">
        <v>5094</v>
      </c>
    </row>
    <row r="1960" spans="1:5" x14ac:dyDescent="0.25">
      <c r="A1960" s="3" t="s">
        <v>408</v>
      </c>
      <c r="B1960" s="6" t="s">
        <v>4342</v>
      </c>
      <c r="C1960" s="3" t="s">
        <v>8377</v>
      </c>
      <c r="D1960" s="3" t="s">
        <v>6781</v>
      </c>
      <c r="E1960" s="3" t="s">
        <v>6474</v>
      </c>
    </row>
    <row r="1961" spans="1:5" x14ac:dyDescent="0.25">
      <c r="A1961" s="3" t="s">
        <v>407</v>
      </c>
      <c r="B1961" s="6" t="s">
        <v>4343</v>
      </c>
      <c r="C1961" s="3" t="s">
        <v>8377</v>
      </c>
      <c r="D1961" s="3" t="s">
        <v>6944</v>
      </c>
      <c r="E1961" s="3" t="s">
        <v>5229</v>
      </c>
    </row>
    <row r="1962" spans="1:5" x14ac:dyDescent="0.25">
      <c r="A1962" s="3" t="s">
        <v>406</v>
      </c>
      <c r="B1962" s="6" t="s">
        <v>4344</v>
      </c>
      <c r="C1962" s="3" t="s">
        <v>8377</v>
      </c>
      <c r="D1962" s="3" t="s">
        <v>8150</v>
      </c>
      <c r="E1962" s="3" t="s">
        <v>6475</v>
      </c>
    </row>
    <row r="1963" spans="1:5" x14ac:dyDescent="0.25">
      <c r="A1963" s="3" t="s">
        <v>405</v>
      </c>
      <c r="B1963" s="6" t="s">
        <v>4345</v>
      </c>
      <c r="C1963" s="3" t="s">
        <v>8378</v>
      </c>
      <c r="D1963" s="3" t="s">
        <v>4775</v>
      </c>
      <c r="E1963" s="3" t="s">
        <v>6338</v>
      </c>
    </row>
    <row r="1964" spans="1:5" x14ac:dyDescent="0.25">
      <c r="A1964" s="3" t="s">
        <v>404</v>
      </c>
      <c r="B1964" s="6" t="s">
        <v>4346</v>
      </c>
      <c r="C1964" s="3" t="s">
        <v>8378</v>
      </c>
      <c r="D1964" s="3" t="s">
        <v>8151</v>
      </c>
      <c r="E1964" s="3" t="s">
        <v>6476</v>
      </c>
    </row>
    <row r="1965" spans="1:5" x14ac:dyDescent="0.25">
      <c r="A1965" s="3" t="s">
        <v>403</v>
      </c>
      <c r="B1965" s="6" t="s">
        <v>4347</v>
      </c>
      <c r="C1965" s="3" t="s">
        <v>8378</v>
      </c>
      <c r="D1965" s="3" t="s">
        <v>6132</v>
      </c>
      <c r="E1965" s="3" t="s">
        <v>5063</v>
      </c>
    </row>
    <row r="1966" spans="1:5" x14ac:dyDescent="0.25">
      <c r="A1966" s="3" t="s">
        <v>402</v>
      </c>
      <c r="B1966" s="6" t="s">
        <v>4348</v>
      </c>
      <c r="C1966" s="3" t="s">
        <v>8377</v>
      </c>
      <c r="D1966" s="3" t="s">
        <v>8152</v>
      </c>
      <c r="E1966" s="3" t="s">
        <v>6477</v>
      </c>
    </row>
    <row r="1967" spans="1:5" x14ac:dyDescent="0.25">
      <c r="A1967" s="3" t="s">
        <v>401</v>
      </c>
      <c r="B1967" s="6" t="s">
        <v>4349</v>
      </c>
      <c r="C1967" s="3" t="s">
        <v>8378</v>
      </c>
      <c r="D1967" s="3" t="s">
        <v>8153</v>
      </c>
      <c r="E1967" s="3" t="s">
        <v>4817</v>
      </c>
    </row>
    <row r="1968" spans="1:5" x14ac:dyDescent="0.25">
      <c r="A1968" s="3" t="s">
        <v>400</v>
      </c>
      <c r="B1968" s="6" t="s">
        <v>4350</v>
      </c>
      <c r="C1968" s="3" t="s">
        <v>8378</v>
      </c>
      <c r="D1968" s="3" t="s">
        <v>8154</v>
      </c>
      <c r="E1968" s="3" t="s">
        <v>6478</v>
      </c>
    </row>
    <row r="1969" spans="1:5" x14ac:dyDescent="0.25">
      <c r="A1969" s="3" t="s">
        <v>399</v>
      </c>
      <c r="B1969" s="6" t="s">
        <v>4351</v>
      </c>
      <c r="C1969" s="3" t="s">
        <v>8378</v>
      </c>
      <c r="D1969" s="3" t="s">
        <v>8155</v>
      </c>
      <c r="E1969" s="3" t="s">
        <v>6006</v>
      </c>
    </row>
    <row r="1970" spans="1:5" x14ac:dyDescent="0.25">
      <c r="A1970" s="3" t="s">
        <v>398</v>
      </c>
      <c r="B1970" s="6" t="s">
        <v>4352</v>
      </c>
      <c r="C1970" s="3" t="s">
        <v>8378</v>
      </c>
      <c r="D1970" s="3" t="s">
        <v>8156</v>
      </c>
      <c r="E1970" s="3" t="s">
        <v>5790</v>
      </c>
    </row>
    <row r="1971" spans="1:5" x14ac:dyDescent="0.25">
      <c r="A1971" s="3" t="s">
        <v>397</v>
      </c>
      <c r="B1971" s="6" t="s">
        <v>4353</v>
      </c>
      <c r="C1971" s="3" t="s">
        <v>8379</v>
      </c>
      <c r="D1971" s="3" t="s">
        <v>8157</v>
      </c>
      <c r="E1971" s="3" t="s">
        <v>6479</v>
      </c>
    </row>
    <row r="1972" spans="1:5" x14ac:dyDescent="0.25">
      <c r="A1972" s="3" t="s">
        <v>396</v>
      </c>
      <c r="B1972" s="6" t="s">
        <v>4354</v>
      </c>
      <c r="C1972" s="3" t="s">
        <v>8377</v>
      </c>
      <c r="D1972" s="3" t="s">
        <v>8158</v>
      </c>
      <c r="E1972" s="3" t="s">
        <v>6480</v>
      </c>
    </row>
    <row r="1973" spans="1:5" x14ac:dyDescent="0.25">
      <c r="A1973" s="3" t="s">
        <v>395</v>
      </c>
      <c r="B1973" s="6" t="s">
        <v>4355</v>
      </c>
      <c r="C1973" s="3" t="s">
        <v>8378</v>
      </c>
      <c r="D1973" s="3" t="s">
        <v>6817</v>
      </c>
      <c r="E1973" s="3" t="s">
        <v>6481</v>
      </c>
    </row>
    <row r="1974" spans="1:5" x14ac:dyDescent="0.25">
      <c r="A1974" s="3" t="s">
        <v>394</v>
      </c>
      <c r="B1974" s="6" t="s">
        <v>4356</v>
      </c>
      <c r="C1974" s="3" t="s">
        <v>8378</v>
      </c>
      <c r="D1974" s="3" t="s">
        <v>8159</v>
      </c>
      <c r="E1974" s="3" t="s">
        <v>6482</v>
      </c>
    </row>
    <row r="1975" spans="1:5" x14ac:dyDescent="0.25">
      <c r="A1975" s="3" t="s">
        <v>393</v>
      </c>
      <c r="B1975" s="6" t="s">
        <v>4357</v>
      </c>
      <c r="C1975" s="3" t="s">
        <v>8377</v>
      </c>
      <c r="D1975" s="3" t="s">
        <v>8160</v>
      </c>
      <c r="E1975" s="3" t="s">
        <v>6483</v>
      </c>
    </row>
    <row r="1976" spans="1:5" x14ac:dyDescent="0.25">
      <c r="A1976" s="3" t="s">
        <v>392</v>
      </c>
      <c r="B1976" s="6" t="s">
        <v>4358</v>
      </c>
      <c r="C1976" s="3" t="s">
        <v>8377</v>
      </c>
      <c r="D1976" s="3" t="s">
        <v>8161</v>
      </c>
      <c r="E1976" s="3" t="s">
        <v>6484</v>
      </c>
    </row>
    <row r="1977" spans="1:5" x14ac:dyDescent="0.25">
      <c r="A1977" s="3" t="s">
        <v>391</v>
      </c>
      <c r="B1977" s="6" t="s">
        <v>4359</v>
      </c>
      <c r="C1977" s="3" t="s">
        <v>8377</v>
      </c>
      <c r="D1977" s="3" t="s">
        <v>8162</v>
      </c>
      <c r="E1977" s="3" t="s">
        <v>6485</v>
      </c>
    </row>
    <row r="1978" spans="1:5" x14ac:dyDescent="0.25">
      <c r="A1978" s="3" t="s">
        <v>390</v>
      </c>
      <c r="B1978" s="6" t="s">
        <v>4360</v>
      </c>
      <c r="C1978" s="3" t="s">
        <v>8377</v>
      </c>
      <c r="D1978" s="3" t="s">
        <v>6008</v>
      </c>
      <c r="E1978" s="3" t="s">
        <v>6486</v>
      </c>
    </row>
    <row r="1979" spans="1:5" x14ac:dyDescent="0.25">
      <c r="A1979" s="3" t="s">
        <v>389</v>
      </c>
      <c r="B1979" s="6" t="s">
        <v>4361</v>
      </c>
      <c r="C1979" s="3" t="s">
        <v>8377</v>
      </c>
      <c r="D1979" s="3" t="s">
        <v>8163</v>
      </c>
      <c r="E1979" s="3" t="s">
        <v>4979</v>
      </c>
    </row>
    <row r="1980" spans="1:5" x14ac:dyDescent="0.25">
      <c r="A1980" s="3" t="s">
        <v>388</v>
      </c>
      <c r="B1980" s="6" t="s">
        <v>4362</v>
      </c>
      <c r="C1980" s="3" t="s">
        <v>8377</v>
      </c>
      <c r="D1980" s="3" t="s">
        <v>8164</v>
      </c>
      <c r="E1980" s="3" t="s">
        <v>6487</v>
      </c>
    </row>
    <row r="1981" spans="1:5" x14ac:dyDescent="0.25">
      <c r="A1981" s="3" t="s">
        <v>387</v>
      </c>
      <c r="B1981" s="6" t="s">
        <v>4363</v>
      </c>
      <c r="C1981" s="3" t="s">
        <v>8377</v>
      </c>
      <c r="D1981" s="3" t="s">
        <v>8165</v>
      </c>
      <c r="E1981" s="3" t="s">
        <v>6488</v>
      </c>
    </row>
    <row r="1982" spans="1:5" x14ac:dyDescent="0.25">
      <c r="A1982" s="3" t="s">
        <v>386</v>
      </c>
      <c r="B1982" s="6" t="s">
        <v>4364</v>
      </c>
      <c r="C1982" s="3" t="s">
        <v>8377</v>
      </c>
      <c r="D1982" s="3" t="s">
        <v>8166</v>
      </c>
      <c r="E1982" s="3" t="s">
        <v>6489</v>
      </c>
    </row>
    <row r="1983" spans="1:5" x14ac:dyDescent="0.25">
      <c r="A1983" s="3" t="s">
        <v>385</v>
      </c>
      <c r="B1983" s="6" t="s">
        <v>4365</v>
      </c>
      <c r="C1983" s="3" t="s">
        <v>8377</v>
      </c>
      <c r="D1983" s="3" t="s">
        <v>8167</v>
      </c>
      <c r="E1983" s="3" t="s">
        <v>6490</v>
      </c>
    </row>
    <row r="1984" spans="1:5" x14ac:dyDescent="0.25">
      <c r="A1984" s="3" t="s">
        <v>384</v>
      </c>
      <c r="B1984" s="6" t="s">
        <v>4366</v>
      </c>
      <c r="C1984" s="3" t="s">
        <v>8377</v>
      </c>
      <c r="D1984" s="3" t="s">
        <v>8168</v>
      </c>
      <c r="E1984" s="3" t="s">
        <v>6491</v>
      </c>
    </row>
    <row r="1985" spans="1:5" x14ac:dyDescent="0.25">
      <c r="A1985" s="3" t="s">
        <v>383</v>
      </c>
      <c r="B1985" s="6" t="s">
        <v>4367</v>
      </c>
      <c r="C1985" s="3" t="s">
        <v>8378</v>
      </c>
      <c r="D1985" s="3" t="s">
        <v>8169</v>
      </c>
      <c r="E1985" s="3" t="s">
        <v>6492</v>
      </c>
    </row>
    <row r="1986" spans="1:5" x14ac:dyDescent="0.25">
      <c r="A1986" s="3" t="s">
        <v>382</v>
      </c>
      <c r="B1986" s="6" t="s">
        <v>4368</v>
      </c>
      <c r="C1986" s="3" t="s">
        <v>8378</v>
      </c>
      <c r="D1986" s="3" t="s">
        <v>7525</v>
      </c>
      <c r="E1986" s="3" t="s">
        <v>6493</v>
      </c>
    </row>
    <row r="1987" spans="1:5" x14ac:dyDescent="0.25">
      <c r="A1987" s="3" t="s">
        <v>381</v>
      </c>
      <c r="B1987" s="6" t="s">
        <v>4369</v>
      </c>
      <c r="C1987" s="3" t="s">
        <v>8378</v>
      </c>
      <c r="D1987" s="3" t="s">
        <v>6768</v>
      </c>
      <c r="E1987" s="3" t="s">
        <v>6494</v>
      </c>
    </row>
    <row r="1988" spans="1:5" x14ac:dyDescent="0.25">
      <c r="A1988" s="3" t="s">
        <v>380</v>
      </c>
      <c r="B1988" s="6" t="s">
        <v>4370</v>
      </c>
      <c r="C1988" s="3" t="s">
        <v>8379</v>
      </c>
      <c r="D1988" s="3" t="s">
        <v>8170</v>
      </c>
      <c r="E1988" s="3" t="s">
        <v>6495</v>
      </c>
    </row>
    <row r="1989" spans="1:5" x14ac:dyDescent="0.25">
      <c r="A1989" s="3" t="s">
        <v>379</v>
      </c>
      <c r="B1989" s="6" t="s">
        <v>4371</v>
      </c>
      <c r="C1989" s="3" t="s">
        <v>8378</v>
      </c>
      <c r="D1989" s="3" t="s">
        <v>8171</v>
      </c>
      <c r="E1989" s="3" t="s">
        <v>6496</v>
      </c>
    </row>
    <row r="1990" spans="1:5" x14ac:dyDescent="0.25">
      <c r="A1990" s="3" t="s">
        <v>378</v>
      </c>
      <c r="B1990" s="6" t="s">
        <v>4372</v>
      </c>
      <c r="C1990" s="3" t="s">
        <v>8377</v>
      </c>
      <c r="D1990" s="3" t="s">
        <v>6820</v>
      </c>
      <c r="E1990" s="3" t="s">
        <v>6497</v>
      </c>
    </row>
    <row r="1991" spans="1:5" x14ac:dyDescent="0.25">
      <c r="A1991" s="3" t="s">
        <v>377</v>
      </c>
      <c r="B1991" s="6" t="s">
        <v>4373</v>
      </c>
      <c r="C1991" s="3" t="s">
        <v>8378</v>
      </c>
      <c r="D1991" s="3" t="s">
        <v>8172</v>
      </c>
      <c r="E1991" s="3" t="s">
        <v>6498</v>
      </c>
    </row>
    <row r="1992" spans="1:5" x14ac:dyDescent="0.25">
      <c r="A1992" s="3" t="s">
        <v>376</v>
      </c>
      <c r="B1992" s="6" t="s">
        <v>4374</v>
      </c>
      <c r="C1992" s="3" t="s">
        <v>8378</v>
      </c>
      <c r="D1992" s="3" t="s">
        <v>8173</v>
      </c>
      <c r="E1992" s="3" t="s">
        <v>6499</v>
      </c>
    </row>
    <row r="1993" spans="1:5" x14ac:dyDescent="0.25">
      <c r="A1993" s="3" t="s">
        <v>375</v>
      </c>
      <c r="B1993" s="6" t="s">
        <v>4375</v>
      </c>
      <c r="C1993" s="3" t="s">
        <v>8378</v>
      </c>
      <c r="D1993" s="3" t="s">
        <v>8174</v>
      </c>
      <c r="E1993" s="3" t="s">
        <v>6500</v>
      </c>
    </row>
    <row r="1994" spans="1:5" x14ac:dyDescent="0.25">
      <c r="A1994" s="3" t="s">
        <v>374</v>
      </c>
      <c r="B1994" s="6" t="s">
        <v>4376</v>
      </c>
      <c r="C1994" s="3" t="s">
        <v>8378</v>
      </c>
      <c r="D1994" s="3" t="s">
        <v>8175</v>
      </c>
      <c r="E1994" s="3" t="s">
        <v>6501</v>
      </c>
    </row>
    <row r="1995" spans="1:5" x14ac:dyDescent="0.25">
      <c r="A1995" s="3" t="s">
        <v>373</v>
      </c>
      <c r="B1995" s="6" t="s">
        <v>4377</v>
      </c>
      <c r="C1995" s="3" t="s">
        <v>8377</v>
      </c>
      <c r="D1995" s="3" t="s">
        <v>7873</v>
      </c>
      <c r="E1995" s="3" t="s">
        <v>6502</v>
      </c>
    </row>
    <row r="1996" spans="1:5" x14ac:dyDescent="0.25">
      <c r="A1996" s="3" t="s">
        <v>372</v>
      </c>
      <c r="B1996" s="6" t="s">
        <v>4378</v>
      </c>
      <c r="C1996" s="3" t="s">
        <v>8377</v>
      </c>
      <c r="D1996" s="3" t="s">
        <v>8176</v>
      </c>
      <c r="E1996" s="3" t="s">
        <v>6503</v>
      </c>
    </row>
    <row r="1997" spans="1:5" x14ac:dyDescent="0.25">
      <c r="A1997" s="3" t="s">
        <v>371</v>
      </c>
      <c r="B1997" s="6" t="s">
        <v>4379</v>
      </c>
      <c r="C1997" s="3" t="s">
        <v>8377</v>
      </c>
      <c r="D1997" s="3" t="s">
        <v>8177</v>
      </c>
      <c r="E1997" s="3" t="s">
        <v>5134</v>
      </c>
    </row>
    <row r="1998" spans="1:5" x14ac:dyDescent="0.25">
      <c r="A1998" s="3" t="s">
        <v>370</v>
      </c>
      <c r="B1998" s="6" t="s">
        <v>4380</v>
      </c>
      <c r="C1998" s="3" t="s">
        <v>8377</v>
      </c>
      <c r="D1998" s="3" t="s">
        <v>6962</v>
      </c>
      <c r="E1998" s="3" t="s">
        <v>4859</v>
      </c>
    </row>
    <row r="1999" spans="1:5" x14ac:dyDescent="0.25">
      <c r="A1999" s="3" t="s">
        <v>369</v>
      </c>
      <c r="B1999" s="6" t="s">
        <v>4381</v>
      </c>
      <c r="C1999" s="3" t="s">
        <v>8377</v>
      </c>
      <c r="D1999" s="3" t="s">
        <v>8178</v>
      </c>
      <c r="E1999" s="3" t="s">
        <v>6504</v>
      </c>
    </row>
    <row r="2000" spans="1:5" x14ac:dyDescent="0.25">
      <c r="A2000" s="3" t="s">
        <v>368</v>
      </c>
      <c r="B2000" s="6" t="s">
        <v>4382</v>
      </c>
      <c r="C2000" s="3" t="s">
        <v>8377</v>
      </c>
      <c r="D2000" s="3" t="s">
        <v>7123</v>
      </c>
      <c r="E2000" s="3" t="s">
        <v>5050</v>
      </c>
    </row>
    <row r="2001" spans="1:5" x14ac:dyDescent="0.25">
      <c r="A2001" s="3" t="s">
        <v>367</v>
      </c>
      <c r="B2001" s="6" t="s">
        <v>4383</v>
      </c>
      <c r="C2001" s="3" t="s">
        <v>8377</v>
      </c>
      <c r="D2001" s="3" t="s">
        <v>8179</v>
      </c>
      <c r="E2001" s="3" t="s">
        <v>6505</v>
      </c>
    </row>
    <row r="2002" spans="1:5" x14ac:dyDescent="0.25">
      <c r="A2002" s="3" t="s">
        <v>366</v>
      </c>
      <c r="B2002" s="6" t="s">
        <v>4384</v>
      </c>
      <c r="C2002" s="3" t="s">
        <v>8378</v>
      </c>
      <c r="D2002" s="3" t="s">
        <v>8180</v>
      </c>
      <c r="E2002" s="3" t="s">
        <v>6506</v>
      </c>
    </row>
    <row r="2003" spans="1:5" x14ac:dyDescent="0.25">
      <c r="A2003" s="3" t="s">
        <v>365</v>
      </c>
      <c r="B2003" s="6" t="s">
        <v>4385</v>
      </c>
      <c r="C2003" s="3" t="s">
        <v>8377</v>
      </c>
      <c r="D2003" s="3" t="s">
        <v>8181</v>
      </c>
      <c r="E2003" s="3" t="s">
        <v>6507</v>
      </c>
    </row>
    <row r="2004" spans="1:5" x14ac:dyDescent="0.25">
      <c r="A2004" s="3" t="s">
        <v>364</v>
      </c>
      <c r="B2004" s="6" t="s">
        <v>4386</v>
      </c>
      <c r="C2004" s="3" t="s">
        <v>8377</v>
      </c>
      <c r="D2004" s="3" t="s">
        <v>7145</v>
      </c>
      <c r="E2004" s="3" t="s">
        <v>6508</v>
      </c>
    </row>
    <row r="2005" spans="1:5" x14ac:dyDescent="0.25">
      <c r="A2005" s="3" t="s">
        <v>363</v>
      </c>
      <c r="B2005" s="6" t="s">
        <v>4387</v>
      </c>
      <c r="C2005" s="3" t="s">
        <v>8377</v>
      </c>
      <c r="D2005" s="3" t="s">
        <v>8182</v>
      </c>
      <c r="E2005" s="3" t="s">
        <v>6509</v>
      </c>
    </row>
    <row r="2006" spans="1:5" x14ac:dyDescent="0.25">
      <c r="A2006" s="3" t="s">
        <v>362</v>
      </c>
      <c r="B2006" s="6" t="s">
        <v>4388</v>
      </c>
      <c r="C2006" s="3" t="s">
        <v>8377</v>
      </c>
      <c r="D2006" s="3" t="s">
        <v>8183</v>
      </c>
      <c r="E2006" s="3" t="s">
        <v>5941</v>
      </c>
    </row>
    <row r="2007" spans="1:5" x14ac:dyDescent="0.25">
      <c r="A2007" s="3" t="s">
        <v>361</v>
      </c>
      <c r="B2007" s="6" t="s">
        <v>4389</v>
      </c>
      <c r="C2007" s="3" t="s">
        <v>8377</v>
      </c>
      <c r="D2007" s="3" t="s">
        <v>6806</v>
      </c>
      <c r="E2007" s="3" t="s">
        <v>6510</v>
      </c>
    </row>
    <row r="2008" spans="1:5" x14ac:dyDescent="0.25">
      <c r="A2008" s="3" t="s">
        <v>360</v>
      </c>
      <c r="B2008" s="6" t="s">
        <v>4390</v>
      </c>
      <c r="C2008" s="3" t="s">
        <v>8379</v>
      </c>
      <c r="D2008" s="3" t="s">
        <v>8184</v>
      </c>
      <c r="E2008" s="3" t="s">
        <v>5158</v>
      </c>
    </row>
    <row r="2009" spans="1:5" x14ac:dyDescent="0.25">
      <c r="A2009" s="3" t="s">
        <v>359</v>
      </c>
      <c r="B2009" s="6" t="s">
        <v>4391</v>
      </c>
      <c r="C2009" s="3" t="s">
        <v>8377</v>
      </c>
      <c r="D2009" s="3" t="s">
        <v>8185</v>
      </c>
      <c r="E2009" s="3" t="s">
        <v>6511</v>
      </c>
    </row>
    <row r="2010" spans="1:5" x14ac:dyDescent="0.25">
      <c r="A2010" s="3" t="s">
        <v>358</v>
      </c>
      <c r="B2010" s="6" t="s">
        <v>4392</v>
      </c>
      <c r="C2010" s="3" t="s">
        <v>8378</v>
      </c>
      <c r="D2010" s="3" t="s">
        <v>8186</v>
      </c>
      <c r="E2010" s="3" t="s">
        <v>6512</v>
      </c>
    </row>
    <row r="2011" spans="1:5" x14ac:dyDescent="0.25">
      <c r="A2011" s="3" t="s">
        <v>357</v>
      </c>
      <c r="B2011" s="6" t="s">
        <v>4393</v>
      </c>
      <c r="C2011" s="3" t="s">
        <v>8378</v>
      </c>
      <c r="D2011" s="3" t="s">
        <v>8187</v>
      </c>
      <c r="E2011" s="3" t="s">
        <v>6513</v>
      </c>
    </row>
    <row r="2012" spans="1:5" x14ac:dyDescent="0.25">
      <c r="A2012" s="3" t="s">
        <v>356</v>
      </c>
      <c r="B2012" s="6" t="s">
        <v>4394</v>
      </c>
      <c r="C2012" s="3" t="s">
        <v>8378</v>
      </c>
      <c r="D2012" s="3" t="s">
        <v>6989</v>
      </c>
      <c r="E2012" s="3" t="s">
        <v>6514</v>
      </c>
    </row>
    <row r="2013" spans="1:5" x14ac:dyDescent="0.25">
      <c r="A2013" s="3" t="s">
        <v>354</v>
      </c>
      <c r="B2013" s="6" t="s">
        <v>4395</v>
      </c>
      <c r="C2013" s="3" t="s">
        <v>8378</v>
      </c>
      <c r="D2013" s="3" t="s">
        <v>6924</v>
      </c>
      <c r="E2013" s="3" t="s">
        <v>6515</v>
      </c>
    </row>
    <row r="2014" spans="1:5" x14ac:dyDescent="0.25">
      <c r="A2014" s="3" t="s">
        <v>353</v>
      </c>
      <c r="B2014" s="6" t="s">
        <v>4396</v>
      </c>
      <c r="C2014" s="3" t="s">
        <v>8377</v>
      </c>
      <c r="D2014" s="3" t="s">
        <v>8188</v>
      </c>
      <c r="E2014" s="3" t="s">
        <v>5711</v>
      </c>
    </row>
    <row r="2015" spans="1:5" x14ac:dyDescent="0.25">
      <c r="A2015" s="3" t="s">
        <v>352</v>
      </c>
      <c r="B2015" s="6" t="s">
        <v>4397</v>
      </c>
      <c r="C2015" s="3" t="s">
        <v>8378</v>
      </c>
      <c r="D2015" s="3" t="s">
        <v>8189</v>
      </c>
      <c r="E2015" s="3" t="s">
        <v>6516</v>
      </c>
    </row>
    <row r="2016" spans="1:5" x14ac:dyDescent="0.25">
      <c r="A2016" s="3" t="s">
        <v>351</v>
      </c>
      <c r="B2016" s="6" t="s">
        <v>4398</v>
      </c>
      <c r="C2016" s="3" t="s">
        <v>8377</v>
      </c>
      <c r="D2016" s="3" t="s">
        <v>8190</v>
      </c>
      <c r="E2016" s="3" t="s">
        <v>6517</v>
      </c>
    </row>
    <row r="2017" spans="1:5" x14ac:dyDescent="0.25">
      <c r="A2017" s="3" t="s">
        <v>350</v>
      </c>
      <c r="B2017" s="6" t="s">
        <v>4399</v>
      </c>
      <c r="C2017" s="3" t="s">
        <v>8378</v>
      </c>
      <c r="D2017" s="3" t="s">
        <v>8141</v>
      </c>
      <c r="E2017" s="3" t="s">
        <v>6518</v>
      </c>
    </row>
    <row r="2018" spans="1:5" x14ac:dyDescent="0.25">
      <c r="A2018" s="3" t="s">
        <v>349</v>
      </c>
      <c r="B2018" s="6" t="s">
        <v>4400</v>
      </c>
      <c r="C2018" s="3" t="s">
        <v>8377</v>
      </c>
      <c r="D2018" s="3" t="s">
        <v>8191</v>
      </c>
      <c r="E2018" s="3" t="s">
        <v>6519</v>
      </c>
    </row>
    <row r="2019" spans="1:5" x14ac:dyDescent="0.25">
      <c r="A2019" s="3" t="s">
        <v>348</v>
      </c>
      <c r="B2019" s="6" t="s">
        <v>4401</v>
      </c>
      <c r="C2019" s="3" t="s">
        <v>8377</v>
      </c>
      <c r="D2019" s="3" t="s">
        <v>6806</v>
      </c>
      <c r="E2019" s="3" t="s">
        <v>6520</v>
      </c>
    </row>
    <row r="2020" spans="1:5" x14ac:dyDescent="0.25">
      <c r="A2020" s="3" t="s">
        <v>347</v>
      </c>
      <c r="B2020" s="6" t="s">
        <v>4402</v>
      </c>
      <c r="C2020" s="3" t="s">
        <v>8377</v>
      </c>
      <c r="D2020" s="3" t="s">
        <v>8192</v>
      </c>
      <c r="E2020" s="3" t="s">
        <v>4826</v>
      </c>
    </row>
    <row r="2021" spans="1:5" x14ac:dyDescent="0.25">
      <c r="A2021" s="3" t="s">
        <v>346</v>
      </c>
      <c r="B2021" s="6" t="s">
        <v>4403</v>
      </c>
      <c r="C2021" s="3" t="s">
        <v>8378</v>
      </c>
      <c r="D2021" s="3" t="s">
        <v>8193</v>
      </c>
      <c r="E2021" s="3" t="s">
        <v>6521</v>
      </c>
    </row>
    <row r="2022" spans="1:5" x14ac:dyDescent="0.25">
      <c r="A2022" s="3" t="s">
        <v>345</v>
      </c>
      <c r="B2022" s="6" t="s">
        <v>4404</v>
      </c>
      <c r="C2022" s="3" t="s">
        <v>8378</v>
      </c>
      <c r="D2022" s="3" t="s">
        <v>8044</v>
      </c>
      <c r="E2022" s="3" t="s">
        <v>4987</v>
      </c>
    </row>
    <row r="2023" spans="1:5" x14ac:dyDescent="0.25">
      <c r="A2023" s="3" t="s">
        <v>344</v>
      </c>
      <c r="B2023" s="6" t="s">
        <v>4405</v>
      </c>
      <c r="C2023" s="3" t="s">
        <v>8377</v>
      </c>
      <c r="D2023" s="3" t="s">
        <v>8194</v>
      </c>
      <c r="E2023" s="3" t="s">
        <v>6522</v>
      </c>
    </row>
    <row r="2024" spans="1:5" x14ac:dyDescent="0.25">
      <c r="A2024" s="3" t="s">
        <v>343</v>
      </c>
      <c r="B2024" s="6" t="s">
        <v>4406</v>
      </c>
      <c r="C2024" s="3" t="s">
        <v>8378</v>
      </c>
      <c r="D2024" s="3" t="s">
        <v>8195</v>
      </c>
      <c r="E2024" s="3" t="s">
        <v>6523</v>
      </c>
    </row>
    <row r="2025" spans="1:5" x14ac:dyDescent="0.25">
      <c r="A2025" s="3" t="s">
        <v>342</v>
      </c>
      <c r="B2025" s="6" t="s">
        <v>4407</v>
      </c>
      <c r="C2025" s="3" t="s">
        <v>8377</v>
      </c>
      <c r="D2025" s="3" t="s">
        <v>8196</v>
      </c>
      <c r="E2025" s="3" t="s">
        <v>6524</v>
      </c>
    </row>
    <row r="2026" spans="1:5" x14ac:dyDescent="0.25">
      <c r="A2026" s="3" t="s">
        <v>341</v>
      </c>
      <c r="B2026" s="6" t="s">
        <v>4408</v>
      </c>
      <c r="C2026" s="3" t="s">
        <v>8377</v>
      </c>
      <c r="D2026" s="3" t="s">
        <v>8197</v>
      </c>
      <c r="E2026" s="3" t="s">
        <v>6525</v>
      </c>
    </row>
    <row r="2027" spans="1:5" x14ac:dyDescent="0.25">
      <c r="A2027" s="3" t="s">
        <v>340</v>
      </c>
      <c r="B2027" s="6" t="s">
        <v>4409</v>
      </c>
      <c r="C2027" s="3" t="s">
        <v>8378</v>
      </c>
      <c r="D2027" s="3" t="s">
        <v>8198</v>
      </c>
      <c r="E2027" s="3" t="s">
        <v>6526</v>
      </c>
    </row>
    <row r="2028" spans="1:5" x14ac:dyDescent="0.25">
      <c r="A2028" s="3" t="s">
        <v>339</v>
      </c>
      <c r="B2028" s="6" t="s">
        <v>4410</v>
      </c>
      <c r="C2028" s="3" t="s">
        <v>8377</v>
      </c>
      <c r="D2028" s="3" t="s">
        <v>8199</v>
      </c>
      <c r="E2028" s="3" t="s">
        <v>6178</v>
      </c>
    </row>
    <row r="2029" spans="1:5" x14ac:dyDescent="0.25">
      <c r="A2029" s="3" t="s">
        <v>338</v>
      </c>
      <c r="B2029" s="6" t="s">
        <v>4411</v>
      </c>
      <c r="C2029" s="3" t="s">
        <v>8378</v>
      </c>
      <c r="D2029" s="3" t="s">
        <v>8200</v>
      </c>
      <c r="E2029" s="3" t="s">
        <v>6527</v>
      </c>
    </row>
    <row r="2030" spans="1:5" x14ac:dyDescent="0.25">
      <c r="A2030" s="3" t="s">
        <v>337</v>
      </c>
      <c r="B2030" s="6" t="s">
        <v>4412</v>
      </c>
      <c r="C2030" s="3" t="s">
        <v>8378</v>
      </c>
      <c r="D2030" s="3" t="s">
        <v>6807</v>
      </c>
      <c r="E2030" s="3" t="s">
        <v>6528</v>
      </c>
    </row>
    <row r="2031" spans="1:5" x14ac:dyDescent="0.25">
      <c r="A2031" s="3" t="s">
        <v>336</v>
      </c>
      <c r="B2031" s="6" t="s">
        <v>4413</v>
      </c>
      <c r="C2031" s="3" t="s">
        <v>8377</v>
      </c>
      <c r="D2031" s="3" t="s">
        <v>8201</v>
      </c>
      <c r="E2031" s="3" t="s">
        <v>6529</v>
      </c>
    </row>
    <row r="2032" spans="1:5" x14ac:dyDescent="0.25">
      <c r="A2032" s="3" t="s">
        <v>335</v>
      </c>
      <c r="B2032" s="6" t="s">
        <v>4414</v>
      </c>
      <c r="C2032" s="3" t="s">
        <v>8377</v>
      </c>
      <c r="D2032" s="3" t="s">
        <v>8202</v>
      </c>
      <c r="E2032" s="3" t="s">
        <v>6530</v>
      </c>
    </row>
    <row r="2033" spans="1:5" x14ac:dyDescent="0.25">
      <c r="A2033" s="3" t="s">
        <v>334</v>
      </c>
      <c r="B2033" s="6" t="s">
        <v>4415</v>
      </c>
      <c r="C2033" s="3" t="s">
        <v>8378</v>
      </c>
      <c r="D2033" s="3" t="s">
        <v>5490</v>
      </c>
      <c r="E2033" s="3" t="s">
        <v>5443</v>
      </c>
    </row>
    <row r="2034" spans="1:5" x14ac:dyDescent="0.25">
      <c r="A2034" s="3" t="s">
        <v>333</v>
      </c>
      <c r="B2034" s="6" t="s">
        <v>4416</v>
      </c>
      <c r="C2034" s="3" t="s">
        <v>8378</v>
      </c>
      <c r="D2034" s="3" t="s">
        <v>8203</v>
      </c>
      <c r="E2034" s="3" t="s">
        <v>6531</v>
      </c>
    </row>
    <row r="2035" spans="1:5" x14ac:dyDescent="0.25">
      <c r="A2035" s="3" t="s">
        <v>332</v>
      </c>
      <c r="B2035" s="6" t="s">
        <v>4417</v>
      </c>
      <c r="C2035" s="3" t="s">
        <v>8378</v>
      </c>
      <c r="D2035" s="3" t="s">
        <v>7503</v>
      </c>
      <c r="E2035" s="3" t="s">
        <v>6532</v>
      </c>
    </row>
    <row r="2036" spans="1:5" x14ac:dyDescent="0.25">
      <c r="A2036" s="3" t="s">
        <v>331</v>
      </c>
      <c r="B2036" s="6" t="s">
        <v>4418</v>
      </c>
      <c r="C2036" s="3" t="s">
        <v>8377</v>
      </c>
      <c r="D2036" s="3" t="s">
        <v>8204</v>
      </c>
      <c r="E2036" s="3" t="s">
        <v>6533</v>
      </c>
    </row>
    <row r="2037" spans="1:5" x14ac:dyDescent="0.25">
      <c r="A2037" s="3" t="s">
        <v>330</v>
      </c>
      <c r="B2037" s="6" t="s">
        <v>4419</v>
      </c>
      <c r="C2037" s="3" t="s">
        <v>8377</v>
      </c>
      <c r="D2037" s="3" t="s">
        <v>8205</v>
      </c>
      <c r="E2037" s="3" t="s">
        <v>6534</v>
      </c>
    </row>
    <row r="2038" spans="1:5" x14ac:dyDescent="0.25">
      <c r="A2038" s="3" t="s">
        <v>329</v>
      </c>
      <c r="B2038" s="6" t="s">
        <v>4420</v>
      </c>
      <c r="C2038" s="3" t="s">
        <v>8377</v>
      </c>
      <c r="D2038" s="3" t="s">
        <v>8206</v>
      </c>
      <c r="E2038" s="3" t="s">
        <v>6535</v>
      </c>
    </row>
    <row r="2039" spans="1:5" x14ac:dyDescent="0.25">
      <c r="A2039" s="3" t="s">
        <v>328</v>
      </c>
      <c r="B2039" s="6" t="s">
        <v>4421</v>
      </c>
      <c r="C2039" s="3" t="s">
        <v>8377</v>
      </c>
      <c r="D2039" s="3" t="s">
        <v>6958</v>
      </c>
      <c r="E2039" s="3" t="s">
        <v>6536</v>
      </c>
    </row>
    <row r="2040" spans="1:5" x14ac:dyDescent="0.25">
      <c r="A2040" s="3" t="s">
        <v>327</v>
      </c>
      <c r="B2040" s="6" t="s">
        <v>4422</v>
      </c>
      <c r="C2040" s="3" t="s">
        <v>8378</v>
      </c>
      <c r="D2040" s="3" t="s">
        <v>8207</v>
      </c>
      <c r="E2040" s="3" t="s">
        <v>4829</v>
      </c>
    </row>
    <row r="2041" spans="1:5" x14ac:dyDescent="0.25">
      <c r="A2041" s="3" t="s">
        <v>326</v>
      </c>
      <c r="B2041" s="6" t="s">
        <v>4423</v>
      </c>
      <c r="C2041" s="3" t="s">
        <v>8377</v>
      </c>
      <c r="D2041" s="3" t="s">
        <v>8208</v>
      </c>
      <c r="E2041" s="3" t="s">
        <v>6537</v>
      </c>
    </row>
    <row r="2042" spans="1:5" x14ac:dyDescent="0.25">
      <c r="A2042" s="3" t="s">
        <v>325</v>
      </c>
      <c r="B2042" s="6" t="s">
        <v>4424</v>
      </c>
      <c r="C2042" s="3" t="s">
        <v>8378</v>
      </c>
      <c r="D2042" s="3" t="s">
        <v>7450</v>
      </c>
      <c r="E2042" s="3" t="s">
        <v>5603</v>
      </c>
    </row>
    <row r="2043" spans="1:5" x14ac:dyDescent="0.25">
      <c r="A2043" s="3" t="s">
        <v>324</v>
      </c>
      <c r="B2043" s="6" t="s">
        <v>4425</v>
      </c>
      <c r="C2043" s="3" t="s">
        <v>8378</v>
      </c>
      <c r="D2043" s="3" t="s">
        <v>8209</v>
      </c>
      <c r="E2043" s="3" t="s">
        <v>6538</v>
      </c>
    </row>
    <row r="2044" spans="1:5" x14ac:dyDescent="0.25">
      <c r="A2044" s="3" t="s">
        <v>323</v>
      </c>
      <c r="B2044" s="6" t="s">
        <v>4426</v>
      </c>
      <c r="C2044" s="3" t="s">
        <v>8378</v>
      </c>
      <c r="D2044" s="3" t="s">
        <v>8210</v>
      </c>
      <c r="E2044" s="3" t="s">
        <v>6539</v>
      </c>
    </row>
    <row r="2045" spans="1:5" x14ac:dyDescent="0.25">
      <c r="A2045" s="3" t="s">
        <v>322</v>
      </c>
      <c r="B2045" s="6" t="s">
        <v>4427</v>
      </c>
      <c r="C2045" s="3" t="s">
        <v>8377</v>
      </c>
      <c r="D2045" s="3" t="s">
        <v>8211</v>
      </c>
      <c r="E2045" s="3" t="s">
        <v>6540</v>
      </c>
    </row>
    <row r="2046" spans="1:5" x14ac:dyDescent="0.25">
      <c r="A2046" s="3" t="s">
        <v>321</v>
      </c>
      <c r="B2046" s="6" t="s">
        <v>4428</v>
      </c>
      <c r="C2046" s="3" t="s">
        <v>8377</v>
      </c>
      <c r="D2046" s="3" t="s">
        <v>8212</v>
      </c>
      <c r="E2046" s="3" t="s">
        <v>6541</v>
      </c>
    </row>
    <row r="2047" spans="1:5" x14ac:dyDescent="0.25">
      <c r="A2047" s="3" t="s">
        <v>320</v>
      </c>
      <c r="B2047" s="6" t="s">
        <v>4429</v>
      </c>
      <c r="C2047" s="3" t="s">
        <v>8377</v>
      </c>
      <c r="D2047" s="3" t="s">
        <v>8213</v>
      </c>
      <c r="E2047" s="3" t="s">
        <v>6542</v>
      </c>
    </row>
    <row r="2048" spans="1:5" x14ac:dyDescent="0.25">
      <c r="A2048" s="3" t="s">
        <v>319</v>
      </c>
      <c r="B2048" s="6" t="s">
        <v>4430</v>
      </c>
      <c r="C2048" s="3" t="s">
        <v>8377</v>
      </c>
      <c r="D2048" s="3" t="s">
        <v>6818</v>
      </c>
      <c r="E2048" s="3" t="s">
        <v>4833</v>
      </c>
    </row>
    <row r="2049" spans="1:5" x14ac:dyDescent="0.25">
      <c r="A2049" s="3" t="s">
        <v>318</v>
      </c>
      <c r="B2049" s="6" t="s">
        <v>4431</v>
      </c>
      <c r="C2049" s="3" t="s">
        <v>8377</v>
      </c>
      <c r="D2049" s="3" t="s">
        <v>8214</v>
      </c>
      <c r="E2049" s="3" t="s">
        <v>6543</v>
      </c>
    </row>
    <row r="2050" spans="1:5" x14ac:dyDescent="0.25">
      <c r="A2050" s="3" t="s">
        <v>317</v>
      </c>
      <c r="B2050" s="6" t="s">
        <v>4432</v>
      </c>
      <c r="C2050" s="3" t="s">
        <v>8378</v>
      </c>
      <c r="D2050" s="3" t="s">
        <v>6074</v>
      </c>
      <c r="E2050" s="3" t="s">
        <v>5794</v>
      </c>
    </row>
    <row r="2051" spans="1:5" x14ac:dyDescent="0.25">
      <c r="A2051" s="3" t="s">
        <v>316</v>
      </c>
      <c r="B2051" s="6" t="s">
        <v>4433</v>
      </c>
      <c r="C2051" s="3" t="s">
        <v>8378</v>
      </c>
      <c r="D2051" s="3" t="s">
        <v>7198</v>
      </c>
      <c r="E2051" s="3" t="s">
        <v>6110</v>
      </c>
    </row>
    <row r="2052" spans="1:5" x14ac:dyDescent="0.25">
      <c r="A2052" s="3" t="s">
        <v>315</v>
      </c>
      <c r="B2052" s="6" t="s">
        <v>4434</v>
      </c>
      <c r="C2052" s="3" t="s">
        <v>8378</v>
      </c>
      <c r="D2052" s="3" t="s">
        <v>8215</v>
      </c>
      <c r="E2052" s="3" t="s">
        <v>6544</v>
      </c>
    </row>
    <row r="2053" spans="1:5" x14ac:dyDescent="0.25">
      <c r="A2053" s="3" t="s">
        <v>314</v>
      </c>
      <c r="B2053" s="6" t="s">
        <v>4435</v>
      </c>
      <c r="C2053" s="3" t="s">
        <v>8377</v>
      </c>
      <c r="D2053" s="3" t="s">
        <v>8216</v>
      </c>
      <c r="E2053" s="3" t="s">
        <v>5398</v>
      </c>
    </row>
    <row r="2054" spans="1:5" x14ac:dyDescent="0.25">
      <c r="A2054" s="3" t="s">
        <v>313</v>
      </c>
      <c r="B2054" s="6" t="s">
        <v>4436</v>
      </c>
      <c r="C2054" s="3" t="s">
        <v>8377</v>
      </c>
      <c r="D2054" s="3" t="s">
        <v>8217</v>
      </c>
      <c r="E2054" s="3" t="s">
        <v>6545</v>
      </c>
    </row>
    <row r="2055" spans="1:5" x14ac:dyDescent="0.25">
      <c r="A2055" s="3" t="s">
        <v>312</v>
      </c>
      <c r="B2055" s="6" t="s">
        <v>4437</v>
      </c>
      <c r="C2055" s="3" t="s">
        <v>8377</v>
      </c>
      <c r="D2055" s="3" t="s">
        <v>8218</v>
      </c>
      <c r="E2055" s="3" t="s">
        <v>6546</v>
      </c>
    </row>
    <row r="2056" spans="1:5" x14ac:dyDescent="0.25">
      <c r="A2056" s="3" t="s">
        <v>311</v>
      </c>
      <c r="B2056" s="6" t="s">
        <v>4438</v>
      </c>
      <c r="C2056" s="3" t="s">
        <v>8377</v>
      </c>
      <c r="D2056" s="3" t="s">
        <v>8219</v>
      </c>
      <c r="E2056" s="3" t="s">
        <v>5227</v>
      </c>
    </row>
    <row r="2057" spans="1:5" x14ac:dyDescent="0.25">
      <c r="A2057" s="3" t="s">
        <v>310</v>
      </c>
      <c r="B2057" s="6" t="s">
        <v>4439</v>
      </c>
      <c r="C2057" s="3" t="s">
        <v>8378</v>
      </c>
      <c r="D2057" s="3" t="s">
        <v>8220</v>
      </c>
      <c r="E2057" s="3" t="s">
        <v>6547</v>
      </c>
    </row>
    <row r="2058" spans="1:5" x14ac:dyDescent="0.25">
      <c r="A2058" s="3" t="s">
        <v>309</v>
      </c>
      <c r="B2058" s="6" t="s">
        <v>4440</v>
      </c>
      <c r="C2058" s="3" t="s">
        <v>8377</v>
      </c>
      <c r="D2058" s="3" t="s">
        <v>8221</v>
      </c>
      <c r="E2058" s="3" t="s">
        <v>6548</v>
      </c>
    </row>
    <row r="2059" spans="1:5" x14ac:dyDescent="0.25">
      <c r="A2059" s="3" t="s">
        <v>308</v>
      </c>
      <c r="B2059" s="6" t="s">
        <v>4441</v>
      </c>
      <c r="C2059" s="3" t="s">
        <v>8378</v>
      </c>
      <c r="D2059" s="3" t="s">
        <v>7181</v>
      </c>
      <c r="E2059" s="3" t="s">
        <v>6549</v>
      </c>
    </row>
    <row r="2060" spans="1:5" x14ac:dyDescent="0.25">
      <c r="A2060" s="3" t="s">
        <v>307</v>
      </c>
      <c r="B2060" s="6" t="s">
        <v>4442</v>
      </c>
      <c r="C2060" s="3" t="s">
        <v>8377</v>
      </c>
      <c r="D2060" s="3" t="s">
        <v>8222</v>
      </c>
      <c r="E2060" s="3" t="s">
        <v>6550</v>
      </c>
    </row>
    <row r="2061" spans="1:5" x14ac:dyDescent="0.25">
      <c r="A2061" s="3" t="s">
        <v>306</v>
      </c>
      <c r="B2061" s="6" t="s">
        <v>4443</v>
      </c>
      <c r="C2061" s="3" t="s">
        <v>8378</v>
      </c>
      <c r="D2061" s="3" t="s">
        <v>7447</v>
      </c>
      <c r="E2061" s="3" t="s">
        <v>6551</v>
      </c>
    </row>
    <row r="2062" spans="1:5" x14ac:dyDescent="0.25">
      <c r="A2062" s="3" t="s">
        <v>305</v>
      </c>
      <c r="B2062" s="6" t="s">
        <v>4444</v>
      </c>
      <c r="C2062" s="3" t="s">
        <v>8378</v>
      </c>
      <c r="D2062" s="3" t="s">
        <v>8223</v>
      </c>
      <c r="E2062" s="3" t="s">
        <v>6552</v>
      </c>
    </row>
    <row r="2063" spans="1:5" x14ac:dyDescent="0.25">
      <c r="A2063" s="3" t="s">
        <v>304</v>
      </c>
      <c r="B2063" s="6" t="s">
        <v>4445</v>
      </c>
      <c r="C2063" s="3" t="s">
        <v>8378</v>
      </c>
      <c r="D2063" s="3" t="s">
        <v>8224</v>
      </c>
      <c r="E2063" s="3" t="s">
        <v>6553</v>
      </c>
    </row>
    <row r="2064" spans="1:5" x14ac:dyDescent="0.25">
      <c r="A2064" s="3" t="s">
        <v>303</v>
      </c>
      <c r="B2064" s="6" t="s">
        <v>4446</v>
      </c>
      <c r="C2064" s="3" t="s">
        <v>8377</v>
      </c>
      <c r="D2064" s="3" t="s">
        <v>8225</v>
      </c>
      <c r="E2064" s="3" t="s">
        <v>5999</v>
      </c>
    </row>
    <row r="2065" spans="1:5" x14ac:dyDescent="0.25">
      <c r="A2065" s="3" t="s">
        <v>302</v>
      </c>
      <c r="B2065" s="6" t="s">
        <v>4447</v>
      </c>
      <c r="C2065" s="3" t="s">
        <v>8377</v>
      </c>
      <c r="D2065" s="3" t="s">
        <v>6958</v>
      </c>
      <c r="E2065" s="3" t="s">
        <v>5263</v>
      </c>
    </row>
    <row r="2066" spans="1:5" x14ac:dyDescent="0.25">
      <c r="A2066" s="3" t="s">
        <v>301</v>
      </c>
      <c r="B2066" s="6" t="s">
        <v>4448</v>
      </c>
      <c r="C2066" s="3" t="s">
        <v>8377</v>
      </c>
      <c r="D2066" s="3" t="s">
        <v>8226</v>
      </c>
      <c r="E2066" s="3" t="s">
        <v>6554</v>
      </c>
    </row>
    <row r="2067" spans="1:5" x14ac:dyDescent="0.25">
      <c r="A2067" s="3" t="s">
        <v>300</v>
      </c>
      <c r="B2067" s="6" t="s">
        <v>4449</v>
      </c>
      <c r="C2067" s="3" t="s">
        <v>8377</v>
      </c>
      <c r="D2067" s="3" t="s">
        <v>8227</v>
      </c>
      <c r="E2067" s="3" t="s">
        <v>5603</v>
      </c>
    </row>
    <row r="2068" spans="1:5" x14ac:dyDescent="0.25">
      <c r="A2068" s="3" t="s">
        <v>298</v>
      </c>
      <c r="B2068" s="6" t="s">
        <v>4450</v>
      </c>
      <c r="C2068" s="3" t="s">
        <v>8378</v>
      </c>
      <c r="D2068" s="3" t="s">
        <v>7877</v>
      </c>
      <c r="E2068" s="3" t="s">
        <v>6555</v>
      </c>
    </row>
    <row r="2069" spans="1:5" x14ac:dyDescent="0.25">
      <c r="A2069" s="3" t="s">
        <v>297</v>
      </c>
      <c r="B2069" s="6" t="s">
        <v>4451</v>
      </c>
      <c r="C2069" s="3" t="s">
        <v>8378</v>
      </c>
      <c r="D2069" s="3" t="s">
        <v>8228</v>
      </c>
      <c r="E2069" s="3" t="s">
        <v>6556</v>
      </c>
    </row>
    <row r="2070" spans="1:5" x14ac:dyDescent="0.25">
      <c r="A2070" s="3" t="s">
        <v>296</v>
      </c>
      <c r="B2070" s="6" t="s">
        <v>4452</v>
      </c>
      <c r="C2070" s="3" t="s">
        <v>8378</v>
      </c>
      <c r="D2070" s="3" t="s">
        <v>8229</v>
      </c>
      <c r="E2070" s="3" t="s">
        <v>6557</v>
      </c>
    </row>
    <row r="2071" spans="1:5" x14ac:dyDescent="0.25">
      <c r="A2071" s="3" t="s">
        <v>295</v>
      </c>
      <c r="B2071" s="6" t="s">
        <v>4453</v>
      </c>
      <c r="C2071" s="3" t="s">
        <v>8377</v>
      </c>
      <c r="D2071" s="3" t="s">
        <v>6911</v>
      </c>
      <c r="E2071" s="3" t="s">
        <v>6558</v>
      </c>
    </row>
    <row r="2072" spans="1:5" x14ac:dyDescent="0.25">
      <c r="A2072" s="3" t="s">
        <v>294</v>
      </c>
      <c r="B2072" s="6" t="s">
        <v>4454</v>
      </c>
      <c r="C2072" s="3" t="s">
        <v>8378</v>
      </c>
      <c r="D2072" s="3" t="s">
        <v>6937</v>
      </c>
      <c r="E2072" s="3" t="s">
        <v>4962</v>
      </c>
    </row>
    <row r="2073" spans="1:5" x14ac:dyDescent="0.25">
      <c r="A2073" s="3" t="s">
        <v>293</v>
      </c>
      <c r="B2073" s="6" t="s">
        <v>4455</v>
      </c>
      <c r="C2073" s="3" t="s">
        <v>8377</v>
      </c>
      <c r="D2073" s="3" t="s">
        <v>8230</v>
      </c>
      <c r="E2073" s="3" t="s">
        <v>6559</v>
      </c>
    </row>
    <row r="2074" spans="1:5" x14ac:dyDescent="0.25">
      <c r="A2074" s="3" t="s">
        <v>292</v>
      </c>
      <c r="B2074" s="6" t="s">
        <v>4456</v>
      </c>
      <c r="C2074" s="3" t="s">
        <v>8378</v>
      </c>
      <c r="D2074" s="3" t="s">
        <v>8231</v>
      </c>
      <c r="E2074" s="3" t="s">
        <v>6560</v>
      </c>
    </row>
    <row r="2075" spans="1:5" x14ac:dyDescent="0.25">
      <c r="A2075" s="3" t="s">
        <v>291</v>
      </c>
      <c r="B2075" s="6" t="s">
        <v>4457</v>
      </c>
      <c r="C2075" s="3" t="s">
        <v>8377</v>
      </c>
      <c r="D2075" s="3" t="s">
        <v>8232</v>
      </c>
      <c r="E2075" s="3" t="s">
        <v>6561</v>
      </c>
    </row>
    <row r="2076" spans="1:5" x14ac:dyDescent="0.25">
      <c r="A2076" s="3" t="s">
        <v>290</v>
      </c>
      <c r="B2076" s="6" t="s">
        <v>4458</v>
      </c>
      <c r="C2076" s="3" t="s">
        <v>8377</v>
      </c>
      <c r="D2076" s="3" t="s">
        <v>8233</v>
      </c>
      <c r="E2076" s="3" t="s">
        <v>6457</v>
      </c>
    </row>
    <row r="2077" spans="1:5" x14ac:dyDescent="0.25">
      <c r="A2077" s="3" t="s">
        <v>289</v>
      </c>
      <c r="B2077" s="6" t="s">
        <v>4459</v>
      </c>
      <c r="C2077" s="3" t="s">
        <v>8378</v>
      </c>
      <c r="D2077" s="3" t="s">
        <v>8003</v>
      </c>
      <c r="E2077" s="3" t="s">
        <v>6562</v>
      </c>
    </row>
    <row r="2078" spans="1:5" x14ac:dyDescent="0.25">
      <c r="A2078" s="3" t="s">
        <v>288</v>
      </c>
      <c r="B2078" s="6" t="s">
        <v>4460</v>
      </c>
      <c r="C2078" s="3" t="s">
        <v>8378</v>
      </c>
      <c r="D2078" s="3" t="s">
        <v>6829</v>
      </c>
      <c r="E2078" s="3" t="s">
        <v>6563</v>
      </c>
    </row>
    <row r="2079" spans="1:5" x14ac:dyDescent="0.25">
      <c r="A2079" s="3" t="s">
        <v>287</v>
      </c>
      <c r="B2079" s="6" t="s">
        <v>4461</v>
      </c>
      <c r="C2079" s="3" t="s">
        <v>8378</v>
      </c>
      <c r="D2079" s="3" t="s">
        <v>7256</v>
      </c>
      <c r="E2079" s="3" t="s">
        <v>6564</v>
      </c>
    </row>
    <row r="2080" spans="1:5" x14ac:dyDescent="0.25">
      <c r="A2080" s="3" t="s">
        <v>286</v>
      </c>
      <c r="B2080" s="6" t="s">
        <v>4462</v>
      </c>
      <c r="C2080" s="3" t="s">
        <v>8378</v>
      </c>
      <c r="D2080" s="3" t="s">
        <v>7181</v>
      </c>
      <c r="E2080" s="3" t="s">
        <v>6565</v>
      </c>
    </row>
    <row r="2081" spans="1:5" x14ac:dyDescent="0.25">
      <c r="A2081" s="3" t="s">
        <v>285</v>
      </c>
      <c r="B2081" s="6" t="s">
        <v>4463</v>
      </c>
      <c r="C2081" s="3" t="s">
        <v>8377</v>
      </c>
      <c r="D2081" s="3" t="s">
        <v>8234</v>
      </c>
      <c r="E2081" s="3" t="s">
        <v>5565</v>
      </c>
    </row>
    <row r="2082" spans="1:5" x14ac:dyDescent="0.25">
      <c r="A2082" s="3" t="s">
        <v>284</v>
      </c>
      <c r="B2082" s="6" t="s">
        <v>4464</v>
      </c>
      <c r="C2082" s="3" t="s">
        <v>8377</v>
      </c>
      <c r="D2082" s="3" t="s">
        <v>7639</v>
      </c>
      <c r="E2082" s="3" t="s">
        <v>6566</v>
      </c>
    </row>
    <row r="2083" spans="1:5" x14ac:dyDescent="0.25">
      <c r="A2083" s="3" t="s">
        <v>283</v>
      </c>
      <c r="B2083" s="6" t="s">
        <v>4465</v>
      </c>
      <c r="C2083" s="3" t="s">
        <v>8377</v>
      </c>
      <c r="D2083" s="3" t="s">
        <v>7571</v>
      </c>
      <c r="E2083" s="3" t="s">
        <v>6567</v>
      </c>
    </row>
    <row r="2084" spans="1:5" x14ac:dyDescent="0.25">
      <c r="A2084" s="3" t="s">
        <v>282</v>
      </c>
      <c r="B2084" s="6" t="s">
        <v>4466</v>
      </c>
      <c r="C2084" s="3" t="s">
        <v>8377</v>
      </c>
      <c r="D2084" s="3" t="s">
        <v>8235</v>
      </c>
      <c r="E2084" s="3" t="s">
        <v>6568</v>
      </c>
    </row>
    <row r="2085" spans="1:5" x14ac:dyDescent="0.25">
      <c r="A2085" s="3" t="s">
        <v>281</v>
      </c>
      <c r="B2085" s="6" t="s">
        <v>4467</v>
      </c>
      <c r="C2085" s="3" t="s">
        <v>8377</v>
      </c>
      <c r="D2085" s="3" t="s">
        <v>8236</v>
      </c>
      <c r="E2085" s="3" t="s">
        <v>6569</v>
      </c>
    </row>
    <row r="2086" spans="1:5" x14ac:dyDescent="0.25">
      <c r="A2086" s="3" t="s">
        <v>280</v>
      </c>
      <c r="B2086" s="6" t="s">
        <v>4468</v>
      </c>
      <c r="C2086" s="3" t="s">
        <v>8377</v>
      </c>
      <c r="D2086" s="3" t="s">
        <v>8237</v>
      </c>
      <c r="E2086" s="3" t="s">
        <v>6570</v>
      </c>
    </row>
    <row r="2087" spans="1:5" x14ac:dyDescent="0.25">
      <c r="A2087" s="3" t="s">
        <v>279</v>
      </c>
      <c r="B2087" s="6" t="s">
        <v>4469</v>
      </c>
      <c r="C2087" s="3" t="s">
        <v>8378</v>
      </c>
      <c r="D2087" s="3" t="s">
        <v>8238</v>
      </c>
      <c r="E2087" s="3" t="s">
        <v>6571</v>
      </c>
    </row>
    <row r="2088" spans="1:5" x14ac:dyDescent="0.25">
      <c r="A2088" s="3" t="s">
        <v>278</v>
      </c>
      <c r="B2088" s="6" t="s">
        <v>4470</v>
      </c>
      <c r="C2088" s="3" t="s">
        <v>8378</v>
      </c>
      <c r="D2088" s="3" t="s">
        <v>6942</v>
      </c>
      <c r="E2088" s="3" t="s">
        <v>4962</v>
      </c>
    </row>
    <row r="2089" spans="1:5" x14ac:dyDescent="0.25">
      <c r="A2089" s="3" t="s">
        <v>277</v>
      </c>
      <c r="B2089" s="6" t="s">
        <v>4471</v>
      </c>
      <c r="C2089" s="3" t="s">
        <v>8377</v>
      </c>
      <c r="D2089" s="3" t="s">
        <v>8239</v>
      </c>
      <c r="E2089" s="3" t="s">
        <v>6572</v>
      </c>
    </row>
    <row r="2090" spans="1:5" x14ac:dyDescent="0.25">
      <c r="A2090" s="3" t="s">
        <v>276</v>
      </c>
      <c r="B2090" s="6" t="s">
        <v>4472</v>
      </c>
      <c r="C2090" s="3" t="s">
        <v>8378</v>
      </c>
      <c r="D2090" s="3" t="s">
        <v>8128</v>
      </c>
      <c r="E2090" s="3" t="s">
        <v>6573</v>
      </c>
    </row>
    <row r="2091" spans="1:5" x14ac:dyDescent="0.25">
      <c r="A2091" s="3" t="s">
        <v>274</v>
      </c>
      <c r="B2091" s="6" t="s">
        <v>4473</v>
      </c>
      <c r="C2091" s="3" t="s">
        <v>8378</v>
      </c>
      <c r="D2091" s="3" t="s">
        <v>8240</v>
      </c>
      <c r="E2091" s="3" t="s">
        <v>6574</v>
      </c>
    </row>
    <row r="2092" spans="1:5" x14ac:dyDescent="0.25">
      <c r="A2092" s="3" t="s">
        <v>273</v>
      </c>
      <c r="B2092" s="6" t="s">
        <v>4474</v>
      </c>
      <c r="C2092" s="3" t="s">
        <v>8378</v>
      </c>
      <c r="D2092" s="3" t="s">
        <v>8241</v>
      </c>
      <c r="E2092" s="3" t="s">
        <v>6575</v>
      </c>
    </row>
    <row r="2093" spans="1:5" x14ac:dyDescent="0.25">
      <c r="A2093" s="3" t="s">
        <v>272</v>
      </c>
      <c r="B2093" s="6" t="s">
        <v>4475</v>
      </c>
      <c r="C2093" s="3" t="s">
        <v>8378</v>
      </c>
      <c r="D2093" s="3" t="s">
        <v>6870</v>
      </c>
      <c r="E2093" s="3" t="s">
        <v>6576</v>
      </c>
    </row>
    <row r="2094" spans="1:5" x14ac:dyDescent="0.25">
      <c r="A2094" s="3" t="s">
        <v>271</v>
      </c>
      <c r="B2094" s="6" t="s">
        <v>4476</v>
      </c>
      <c r="C2094" s="3" t="s">
        <v>8378</v>
      </c>
      <c r="D2094" s="3" t="s">
        <v>7414</v>
      </c>
      <c r="E2094" s="3" t="s">
        <v>6577</v>
      </c>
    </row>
    <row r="2095" spans="1:5" x14ac:dyDescent="0.25">
      <c r="A2095" s="3" t="s">
        <v>270</v>
      </c>
      <c r="B2095" s="6" t="s">
        <v>4477</v>
      </c>
      <c r="C2095" s="3" t="s">
        <v>8377</v>
      </c>
      <c r="D2095" s="3" t="s">
        <v>7116</v>
      </c>
      <c r="E2095" s="3" t="s">
        <v>6578</v>
      </c>
    </row>
    <row r="2096" spans="1:5" x14ac:dyDescent="0.25">
      <c r="A2096" s="3" t="s">
        <v>269</v>
      </c>
      <c r="B2096" s="6" t="s">
        <v>4478</v>
      </c>
      <c r="C2096" s="3" t="s">
        <v>8378</v>
      </c>
      <c r="D2096" s="3" t="s">
        <v>8242</v>
      </c>
      <c r="E2096" s="3" t="s">
        <v>6579</v>
      </c>
    </row>
    <row r="2097" spans="1:5" x14ac:dyDescent="0.25">
      <c r="A2097" s="3" t="s">
        <v>268</v>
      </c>
      <c r="B2097" s="6" t="s">
        <v>4479</v>
      </c>
      <c r="C2097" s="3" t="s">
        <v>8378</v>
      </c>
      <c r="D2097" s="3" t="s">
        <v>7313</v>
      </c>
      <c r="E2097" s="3" t="s">
        <v>6580</v>
      </c>
    </row>
    <row r="2098" spans="1:5" x14ac:dyDescent="0.25">
      <c r="A2098" s="3" t="s">
        <v>267</v>
      </c>
      <c r="B2098" s="6" t="s">
        <v>4480</v>
      </c>
      <c r="C2098" s="3" t="s">
        <v>8378</v>
      </c>
      <c r="D2098" s="3" t="s">
        <v>8243</v>
      </c>
      <c r="E2098" s="3" t="s">
        <v>6581</v>
      </c>
    </row>
    <row r="2099" spans="1:5" x14ac:dyDescent="0.25">
      <c r="A2099" s="3" t="s">
        <v>266</v>
      </c>
      <c r="B2099" s="6" t="s">
        <v>4481</v>
      </c>
      <c r="C2099" s="3" t="s">
        <v>8377</v>
      </c>
      <c r="D2099" s="3" t="s">
        <v>7422</v>
      </c>
      <c r="E2099" s="3" t="s">
        <v>6582</v>
      </c>
    </row>
    <row r="2100" spans="1:5" x14ac:dyDescent="0.25">
      <c r="A2100" s="3" t="s">
        <v>265</v>
      </c>
      <c r="B2100" s="6" t="s">
        <v>4482</v>
      </c>
      <c r="C2100" s="3" t="s">
        <v>8378</v>
      </c>
      <c r="D2100" s="3" t="s">
        <v>6882</v>
      </c>
      <c r="E2100" s="3" t="s">
        <v>6583</v>
      </c>
    </row>
    <row r="2101" spans="1:5" x14ac:dyDescent="0.25">
      <c r="A2101" s="3" t="s">
        <v>264</v>
      </c>
      <c r="B2101" s="6" t="s">
        <v>4483</v>
      </c>
      <c r="C2101" s="3" t="s">
        <v>8377</v>
      </c>
      <c r="D2101" s="3" t="s">
        <v>8244</v>
      </c>
      <c r="E2101" s="3" t="s">
        <v>6584</v>
      </c>
    </row>
    <row r="2102" spans="1:5" x14ac:dyDescent="0.25">
      <c r="A2102" s="3" t="s">
        <v>263</v>
      </c>
      <c r="B2102" s="6" t="s">
        <v>4484</v>
      </c>
      <c r="C2102" s="3" t="s">
        <v>8377</v>
      </c>
      <c r="D2102" s="3" t="s">
        <v>8245</v>
      </c>
      <c r="E2102" s="3" t="s">
        <v>6585</v>
      </c>
    </row>
    <row r="2103" spans="1:5" x14ac:dyDescent="0.25">
      <c r="A2103" s="3" t="s">
        <v>262</v>
      </c>
      <c r="B2103" s="6" t="s">
        <v>4485</v>
      </c>
      <c r="C2103" s="3" t="s">
        <v>8378</v>
      </c>
      <c r="D2103" s="3" t="s">
        <v>7229</v>
      </c>
      <c r="E2103" s="3" t="s">
        <v>6242</v>
      </c>
    </row>
    <row r="2104" spans="1:5" x14ac:dyDescent="0.25">
      <c r="A2104" s="3" t="s">
        <v>261</v>
      </c>
      <c r="B2104" s="6" t="s">
        <v>4486</v>
      </c>
      <c r="C2104" s="3" t="s">
        <v>8378</v>
      </c>
      <c r="D2104" s="3" t="s">
        <v>8246</v>
      </c>
      <c r="E2104" s="3" t="s">
        <v>6586</v>
      </c>
    </row>
    <row r="2105" spans="1:5" x14ac:dyDescent="0.25">
      <c r="A2105" s="3" t="s">
        <v>260</v>
      </c>
      <c r="B2105" s="6" t="s">
        <v>4487</v>
      </c>
      <c r="C2105" s="3" t="s">
        <v>8378</v>
      </c>
      <c r="D2105" s="3" t="s">
        <v>7044</v>
      </c>
      <c r="E2105" s="3" t="s">
        <v>4754</v>
      </c>
    </row>
    <row r="2106" spans="1:5" x14ac:dyDescent="0.25">
      <c r="A2106" s="3" t="s">
        <v>259</v>
      </c>
      <c r="B2106" s="6" t="s">
        <v>4488</v>
      </c>
      <c r="C2106" s="3" t="s">
        <v>8377</v>
      </c>
      <c r="D2106" s="3" t="s">
        <v>8247</v>
      </c>
      <c r="E2106" s="3" t="s">
        <v>6587</v>
      </c>
    </row>
    <row r="2107" spans="1:5" x14ac:dyDescent="0.25">
      <c r="A2107" s="3" t="s">
        <v>258</v>
      </c>
      <c r="B2107" s="6" t="s">
        <v>4489</v>
      </c>
      <c r="C2107" s="3" t="s">
        <v>8377</v>
      </c>
      <c r="D2107" s="3" t="s">
        <v>8248</v>
      </c>
      <c r="E2107" s="3" t="s">
        <v>6588</v>
      </c>
    </row>
    <row r="2108" spans="1:5" x14ac:dyDescent="0.25">
      <c r="A2108" s="3" t="s">
        <v>257</v>
      </c>
      <c r="B2108" s="6" t="s">
        <v>4490</v>
      </c>
      <c r="C2108" s="3" t="s">
        <v>8377</v>
      </c>
      <c r="D2108" s="3" t="s">
        <v>8249</v>
      </c>
      <c r="E2108" s="3" t="s">
        <v>6589</v>
      </c>
    </row>
    <row r="2109" spans="1:5" x14ac:dyDescent="0.25">
      <c r="A2109" s="3" t="s">
        <v>256</v>
      </c>
      <c r="B2109" s="6" t="s">
        <v>4491</v>
      </c>
      <c r="C2109" s="3" t="s">
        <v>8377</v>
      </c>
      <c r="D2109" s="3" t="s">
        <v>8250</v>
      </c>
      <c r="E2109" s="3" t="s">
        <v>6590</v>
      </c>
    </row>
    <row r="2110" spans="1:5" x14ac:dyDescent="0.25">
      <c r="A2110" s="3" t="s">
        <v>255</v>
      </c>
      <c r="B2110" s="6" t="s">
        <v>4492</v>
      </c>
      <c r="C2110" s="3" t="s">
        <v>8377</v>
      </c>
      <c r="D2110" s="3" t="s">
        <v>8251</v>
      </c>
      <c r="E2110" s="3" t="s">
        <v>5210</v>
      </c>
    </row>
    <row r="2111" spans="1:5" x14ac:dyDescent="0.25">
      <c r="A2111" s="3" t="s">
        <v>254</v>
      </c>
      <c r="B2111" s="6" t="s">
        <v>4493</v>
      </c>
      <c r="C2111" s="3" t="s">
        <v>8377</v>
      </c>
      <c r="D2111" s="3" t="s">
        <v>8252</v>
      </c>
      <c r="E2111" s="3" t="s">
        <v>6591</v>
      </c>
    </row>
    <row r="2112" spans="1:5" x14ac:dyDescent="0.25">
      <c r="A2112" s="3" t="s">
        <v>253</v>
      </c>
      <c r="B2112" s="6" t="s">
        <v>4494</v>
      </c>
      <c r="C2112" s="3" t="s">
        <v>8377</v>
      </c>
      <c r="D2112" s="3" t="s">
        <v>8253</v>
      </c>
      <c r="E2112" s="3" t="s">
        <v>6592</v>
      </c>
    </row>
    <row r="2113" spans="1:5" x14ac:dyDescent="0.25">
      <c r="A2113" s="3" t="s">
        <v>252</v>
      </c>
      <c r="B2113" s="6" t="s">
        <v>4495</v>
      </c>
      <c r="C2113" s="3" t="s">
        <v>8377</v>
      </c>
      <c r="D2113" s="3" t="s">
        <v>8254</v>
      </c>
      <c r="E2113" s="3" t="s">
        <v>6593</v>
      </c>
    </row>
    <row r="2114" spans="1:5" x14ac:dyDescent="0.25">
      <c r="A2114" s="3" t="s">
        <v>251</v>
      </c>
      <c r="B2114" s="6" t="s">
        <v>4496</v>
      </c>
      <c r="C2114" s="3" t="s">
        <v>8377</v>
      </c>
      <c r="D2114" s="3" t="s">
        <v>7403</v>
      </c>
      <c r="E2114" s="3" t="s">
        <v>6594</v>
      </c>
    </row>
    <row r="2115" spans="1:5" x14ac:dyDescent="0.25">
      <c r="A2115" s="3" t="s">
        <v>250</v>
      </c>
      <c r="B2115" s="6" t="s">
        <v>4497</v>
      </c>
      <c r="C2115" s="3" t="s">
        <v>8377</v>
      </c>
      <c r="D2115" s="3" t="s">
        <v>7032</v>
      </c>
      <c r="E2115" s="3" t="s">
        <v>6595</v>
      </c>
    </row>
    <row r="2116" spans="1:5" x14ac:dyDescent="0.25">
      <c r="A2116" s="3" t="s">
        <v>249</v>
      </c>
      <c r="B2116" s="6" t="s">
        <v>4498</v>
      </c>
      <c r="C2116" s="3" t="s">
        <v>8377</v>
      </c>
      <c r="D2116" s="3" t="s">
        <v>7167</v>
      </c>
      <c r="E2116" s="3" t="s">
        <v>6596</v>
      </c>
    </row>
    <row r="2117" spans="1:5" x14ac:dyDescent="0.25">
      <c r="A2117" s="3" t="s">
        <v>247</v>
      </c>
      <c r="B2117" s="6" t="s">
        <v>4499</v>
      </c>
      <c r="C2117" s="3" t="s">
        <v>8377</v>
      </c>
      <c r="D2117" s="3" t="s">
        <v>8255</v>
      </c>
      <c r="E2117" s="3" t="s">
        <v>6597</v>
      </c>
    </row>
    <row r="2118" spans="1:5" x14ac:dyDescent="0.25">
      <c r="A2118" s="3" t="s">
        <v>245</v>
      </c>
      <c r="B2118" s="6" t="s">
        <v>4500</v>
      </c>
      <c r="C2118" s="3" t="s">
        <v>8377</v>
      </c>
      <c r="D2118" s="3" t="s">
        <v>8256</v>
      </c>
      <c r="E2118" s="3" t="s">
        <v>6598</v>
      </c>
    </row>
    <row r="2119" spans="1:5" x14ac:dyDescent="0.25">
      <c r="A2119" s="3" t="s">
        <v>244</v>
      </c>
      <c r="B2119" s="6" t="s">
        <v>4501</v>
      </c>
      <c r="C2119" s="3" t="s">
        <v>8378</v>
      </c>
      <c r="D2119" s="3" t="s">
        <v>8257</v>
      </c>
      <c r="E2119" s="3" t="s">
        <v>6599</v>
      </c>
    </row>
    <row r="2120" spans="1:5" x14ac:dyDescent="0.25">
      <c r="A2120" s="3" t="s">
        <v>243</v>
      </c>
      <c r="B2120" s="6" t="s">
        <v>4502</v>
      </c>
      <c r="C2120" s="3" t="s">
        <v>8378</v>
      </c>
      <c r="D2120" s="3" t="s">
        <v>6882</v>
      </c>
      <c r="E2120" s="3" t="s">
        <v>6600</v>
      </c>
    </row>
    <row r="2121" spans="1:5" x14ac:dyDescent="0.25">
      <c r="A2121" s="3" t="s">
        <v>242</v>
      </c>
      <c r="B2121" s="6" t="s">
        <v>4503</v>
      </c>
      <c r="C2121" s="3" t="s">
        <v>8377</v>
      </c>
      <c r="D2121" s="3" t="s">
        <v>7155</v>
      </c>
      <c r="E2121" s="3" t="s">
        <v>6601</v>
      </c>
    </row>
    <row r="2122" spans="1:5" x14ac:dyDescent="0.25">
      <c r="A2122" s="3" t="s">
        <v>241</v>
      </c>
      <c r="B2122" s="6" t="s">
        <v>4504</v>
      </c>
      <c r="C2122" s="3" t="s">
        <v>8377</v>
      </c>
      <c r="D2122" s="3" t="s">
        <v>8258</v>
      </c>
      <c r="E2122" s="3" t="s">
        <v>6602</v>
      </c>
    </row>
    <row r="2123" spans="1:5" x14ac:dyDescent="0.25">
      <c r="A2123" s="3" t="s">
        <v>240</v>
      </c>
      <c r="B2123" s="6" t="s">
        <v>4505</v>
      </c>
      <c r="C2123" s="3" t="s">
        <v>8377</v>
      </c>
      <c r="D2123" s="3" t="s">
        <v>8259</v>
      </c>
      <c r="E2123" s="3" t="s">
        <v>6603</v>
      </c>
    </row>
    <row r="2124" spans="1:5" x14ac:dyDescent="0.25">
      <c r="A2124" s="3" t="s">
        <v>239</v>
      </c>
      <c r="B2124" s="6" t="s">
        <v>4506</v>
      </c>
      <c r="C2124" s="3" t="s">
        <v>8377</v>
      </c>
      <c r="D2124" s="3" t="s">
        <v>8260</v>
      </c>
      <c r="E2124" s="3" t="s">
        <v>6604</v>
      </c>
    </row>
    <row r="2125" spans="1:5" x14ac:dyDescent="0.25">
      <c r="A2125" s="3" t="s">
        <v>238</v>
      </c>
      <c r="B2125" s="6" t="s">
        <v>4507</v>
      </c>
      <c r="C2125" s="3" t="s">
        <v>8377</v>
      </c>
      <c r="D2125" s="3" t="s">
        <v>8261</v>
      </c>
      <c r="E2125" s="3" t="s">
        <v>5461</v>
      </c>
    </row>
    <row r="2126" spans="1:5" x14ac:dyDescent="0.25">
      <c r="A2126" s="3" t="s">
        <v>237</v>
      </c>
      <c r="B2126" s="6" t="s">
        <v>4508</v>
      </c>
      <c r="C2126" s="3" t="s">
        <v>8377</v>
      </c>
      <c r="D2126" s="3" t="s">
        <v>8262</v>
      </c>
      <c r="E2126" s="3" t="s">
        <v>6605</v>
      </c>
    </row>
    <row r="2127" spans="1:5" x14ac:dyDescent="0.25">
      <c r="A2127" s="3" t="s">
        <v>236</v>
      </c>
      <c r="B2127" s="6" t="s">
        <v>4509</v>
      </c>
      <c r="C2127" s="3" t="s">
        <v>8377</v>
      </c>
      <c r="D2127" s="3" t="s">
        <v>8218</v>
      </c>
      <c r="E2127" s="3" t="s">
        <v>6606</v>
      </c>
    </row>
    <row r="2128" spans="1:5" x14ac:dyDescent="0.25">
      <c r="A2128" s="3" t="s">
        <v>235</v>
      </c>
      <c r="B2128" s="6" t="s">
        <v>4510</v>
      </c>
      <c r="C2128" s="3" t="s">
        <v>8378</v>
      </c>
      <c r="D2128" s="3" t="s">
        <v>8263</v>
      </c>
      <c r="E2128" s="3" t="s">
        <v>6607</v>
      </c>
    </row>
    <row r="2129" spans="1:5" x14ac:dyDescent="0.25">
      <c r="A2129" s="3" t="s">
        <v>234</v>
      </c>
      <c r="B2129" s="6" t="s">
        <v>4511</v>
      </c>
      <c r="C2129" s="3" t="s">
        <v>8377</v>
      </c>
      <c r="D2129" s="3" t="s">
        <v>7988</v>
      </c>
      <c r="E2129" s="3" t="s">
        <v>6608</v>
      </c>
    </row>
    <row r="2130" spans="1:5" x14ac:dyDescent="0.25">
      <c r="A2130" s="3" t="s">
        <v>233</v>
      </c>
      <c r="B2130" s="6" t="s">
        <v>4512</v>
      </c>
      <c r="C2130" s="3" t="s">
        <v>8377</v>
      </c>
      <c r="D2130" s="3" t="s">
        <v>8264</v>
      </c>
      <c r="E2130" s="3" t="s">
        <v>6609</v>
      </c>
    </row>
    <row r="2131" spans="1:5" x14ac:dyDescent="0.25">
      <c r="A2131" s="3" t="s">
        <v>232</v>
      </c>
      <c r="B2131" s="6" t="s">
        <v>4513</v>
      </c>
      <c r="C2131" s="3" t="s">
        <v>8377</v>
      </c>
      <c r="D2131" s="3" t="s">
        <v>7913</v>
      </c>
      <c r="E2131" s="3" t="s">
        <v>5521</v>
      </c>
    </row>
    <row r="2132" spans="1:5" x14ac:dyDescent="0.25">
      <c r="A2132" s="3" t="s">
        <v>231</v>
      </c>
      <c r="B2132" s="6" t="s">
        <v>4514</v>
      </c>
      <c r="C2132" s="3" t="s">
        <v>8377</v>
      </c>
      <c r="D2132" s="3" t="s">
        <v>8265</v>
      </c>
      <c r="E2132" s="3" t="s">
        <v>4804</v>
      </c>
    </row>
    <row r="2133" spans="1:5" x14ac:dyDescent="0.25">
      <c r="A2133" s="3" t="s">
        <v>230</v>
      </c>
      <c r="B2133" s="6" t="s">
        <v>4515</v>
      </c>
      <c r="C2133" s="3" t="s">
        <v>8378</v>
      </c>
      <c r="D2133" s="3" t="s">
        <v>8266</v>
      </c>
      <c r="E2133" s="3" t="s">
        <v>6610</v>
      </c>
    </row>
    <row r="2134" spans="1:5" x14ac:dyDescent="0.25">
      <c r="A2134" s="3" t="s">
        <v>229</v>
      </c>
      <c r="B2134" s="6" t="s">
        <v>4516</v>
      </c>
      <c r="C2134" s="3" t="s">
        <v>8377</v>
      </c>
      <c r="D2134" s="3" t="s">
        <v>8206</v>
      </c>
      <c r="E2134" s="3" t="s">
        <v>6611</v>
      </c>
    </row>
    <row r="2135" spans="1:5" x14ac:dyDescent="0.25">
      <c r="A2135" s="3" t="s">
        <v>228</v>
      </c>
      <c r="B2135" s="6" t="s">
        <v>4517</v>
      </c>
      <c r="C2135" s="3" t="s">
        <v>8378</v>
      </c>
      <c r="D2135" s="3" t="s">
        <v>6967</v>
      </c>
      <c r="E2135" s="3" t="s">
        <v>6612</v>
      </c>
    </row>
    <row r="2136" spans="1:5" x14ac:dyDescent="0.25">
      <c r="A2136" s="3" t="s">
        <v>227</v>
      </c>
      <c r="B2136" s="6" t="s">
        <v>4518</v>
      </c>
      <c r="C2136" s="3" t="s">
        <v>8378</v>
      </c>
      <c r="D2136" s="3" t="s">
        <v>5542</v>
      </c>
      <c r="E2136" s="3" t="s">
        <v>6613</v>
      </c>
    </row>
    <row r="2137" spans="1:5" x14ac:dyDescent="0.25">
      <c r="A2137" s="3" t="s">
        <v>226</v>
      </c>
      <c r="B2137" s="6" t="s">
        <v>4519</v>
      </c>
      <c r="C2137" s="3" t="s">
        <v>8378</v>
      </c>
      <c r="D2137" s="3" t="s">
        <v>8267</v>
      </c>
      <c r="E2137" s="3" t="s">
        <v>6518</v>
      </c>
    </row>
    <row r="2138" spans="1:5" x14ac:dyDescent="0.25">
      <c r="A2138" s="3" t="s">
        <v>225</v>
      </c>
      <c r="B2138" s="6" t="s">
        <v>4520</v>
      </c>
      <c r="C2138" s="3" t="s">
        <v>8378</v>
      </c>
      <c r="D2138" s="3" t="s">
        <v>8268</v>
      </c>
      <c r="E2138" s="3" t="s">
        <v>6186</v>
      </c>
    </row>
    <row r="2139" spans="1:5" x14ac:dyDescent="0.25">
      <c r="A2139" s="3" t="s">
        <v>224</v>
      </c>
      <c r="B2139" s="6" t="s">
        <v>4521</v>
      </c>
      <c r="C2139" s="3" t="s">
        <v>8379</v>
      </c>
      <c r="D2139" s="3" t="s">
        <v>7116</v>
      </c>
      <c r="E2139" s="3" t="s">
        <v>6614</v>
      </c>
    </row>
    <row r="2140" spans="1:5" x14ac:dyDescent="0.25">
      <c r="A2140" s="3" t="s">
        <v>223</v>
      </c>
      <c r="B2140" s="6" t="s">
        <v>4522</v>
      </c>
      <c r="C2140" s="3" t="s">
        <v>8378</v>
      </c>
      <c r="D2140" s="3" t="s">
        <v>8269</v>
      </c>
      <c r="E2140" s="3" t="s">
        <v>6615</v>
      </c>
    </row>
    <row r="2141" spans="1:5" x14ac:dyDescent="0.25">
      <c r="A2141" s="3" t="s">
        <v>222</v>
      </c>
      <c r="B2141" s="6" t="s">
        <v>4523</v>
      </c>
      <c r="C2141" s="3" t="s">
        <v>8378</v>
      </c>
      <c r="D2141" s="3" t="s">
        <v>5603</v>
      </c>
      <c r="E2141" s="3" t="s">
        <v>6616</v>
      </c>
    </row>
    <row r="2142" spans="1:5" x14ac:dyDescent="0.25">
      <c r="A2142" s="3" t="s">
        <v>221</v>
      </c>
      <c r="B2142" s="6" t="s">
        <v>4524</v>
      </c>
      <c r="C2142" s="3" t="s">
        <v>8377</v>
      </c>
      <c r="D2142" s="3" t="s">
        <v>8270</v>
      </c>
      <c r="E2142" s="3" t="s">
        <v>6617</v>
      </c>
    </row>
    <row r="2143" spans="1:5" x14ac:dyDescent="0.25">
      <c r="A2143" s="3" t="s">
        <v>220</v>
      </c>
      <c r="B2143" s="6" t="s">
        <v>4525</v>
      </c>
      <c r="C2143" s="3" t="s">
        <v>8377</v>
      </c>
      <c r="D2143" s="3" t="s">
        <v>8271</v>
      </c>
      <c r="E2143" s="3" t="s">
        <v>6618</v>
      </c>
    </row>
    <row r="2144" spans="1:5" x14ac:dyDescent="0.25">
      <c r="A2144" s="3" t="s">
        <v>219</v>
      </c>
      <c r="B2144" s="6" t="s">
        <v>4526</v>
      </c>
      <c r="C2144" s="3" t="s">
        <v>8377</v>
      </c>
      <c r="D2144" s="3" t="s">
        <v>8272</v>
      </c>
      <c r="E2144" s="3" t="s">
        <v>6619</v>
      </c>
    </row>
    <row r="2145" spans="1:5" x14ac:dyDescent="0.25">
      <c r="A2145" s="3" t="s">
        <v>218</v>
      </c>
      <c r="B2145" s="6" t="s">
        <v>4527</v>
      </c>
      <c r="C2145" s="3" t="s">
        <v>8377</v>
      </c>
      <c r="D2145" s="3" t="s">
        <v>8273</v>
      </c>
      <c r="E2145" s="3" t="s">
        <v>6620</v>
      </c>
    </row>
    <row r="2146" spans="1:5" x14ac:dyDescent="0.25">
      <c r="A2146" s="3" t="s">
        <v>217</v>
      </c>
      <c r="B2146" s="6" t="s">
        <v>4528</v>
      </c>
      <c r="C2146" s="3" t="s">
        <v>8378</v>
      </c>
      <c r="D2146" s="3" t="s">
        <v>8274</v>
      </c>
      <c r="E2146" s="3" t="s">
        <v>6621</v>
      </c>
    </row>
    <row r="2147" spans="1:5" x14ac:dyDescent="0.25">
      <c r="A2147" s="3" t="s">
        <v>216</v>
      </c>
      <c r="B2147" s="6" t="s">
        <v>4529</v>
      </c>
      <c r="C2147" s="3" t="s">
        <v>8378</v>
      </c>
      <c r="D2147" s="3" t="s">
        <v>8275</v>
      </c>
      <c r="E2147" s="3" t="s">
        <v>6622</v>
      </c>
    </row>
    <row r="2148" spans="1:5" x14ac:dyDescent="0.25">
      <c r="A2148" s="3" t="s">
        <v>215</v>
      </c>
      <c r="B2148" s="6" t="s">
        <v>4530</v>
      </c>
      <c r="C2148" s="3" t="s">
        <v>8378</v>
      </c>
      <c r="D2148" s="3" t="s">
        <v>8276</v>
      </c>
      <c r="E2148" s="3" t="s">
        <v>6623</v>
      </c>
    </row>
    <row r="2149" spans="1:5" x14ac:dyDescent="0.25">
      <c r="A2149" s="3" t="s">
        <v>214</v>
      </c>
      <c r="B2149" s="6" t="s">
        <v>4531</v>
      </c>
      <c r="C2149" s="3" t="s">
        <v>8378</v>
      </c>
      <c r="D2149" s="3" t="s">
        <v>8277</v>
      </c>
      <c r="E2149" s="3" t="s">
        <v>6624</v>
      </c>
    </row>
    <row r="2150" spans="1:5" x14ac:dyDescent="0.25">
      <c r="A2150" s="3" t="s">
        <v>213</v>
      </c>
      <c r="B2150" s="6" t="s">
        <v>4532</v>
      </c>
      <c r="C2150" s="3" t="s">
        <v>8378</v>
      </c>
      <c r="D2150" s="3" t="s">
        <v>6774</v>
      </c>
      <c r="E2150" s="3" t="s">
        <v>6625</v>
      </c>
    </row>
    <row r="2151" spans="1:5" x14ac:dyDescent="0.25">
      <c r="A2151" s="3" t="s">
        <v>212</v>
      </c>
      <c r="B2151" s="6" t="s">
        <v>4533</v>
      </c>
      <c r="C2151" s="3" t="s">
        <v>8378</v>
      </c>
      <c r="D2151" s="3" t="s">
        <v>8278</v>
      </c>
      <c r="E2151" s="3" t="s">
        <v>6048</v>
      </c>
    </row>
    <row r="2152" spans="1:5" x14ac:dyDescent="0.25">
      <c r="A2152" s="3" t="s">
        <v>211</v>
      </c>
      <c r="B2152" s="6" t="s">
        <v>4534</v>
      </c>
      <c r="C2152" s="3" t="s">
        <v>8378</v>
      </c>
      <c r="D2152" s="3" t="s">
        <v>8279</v>
      </c>
      <c r="E2152" s="3" t="s">
        <v>6626</v>
      </c>
    </row>
    <row r="2153" spans="1:5" x14ac:dyDescent="0.25">
      <c r="A2153" s="3" t="s">
        <v>210</v>
      </c>
      <c r="B2153" s="6" t="s">
        <v>4535</v>
      </c>
      <c r="C2153" s="3" t="s">
        <v>8378</v>
      </c>
      <c r="D2153" s="3" t="s">
        <v>8280</v>
      </c>
      <c r="E2153" s="3" t="s">
        <v>6627</v>
      </c>
    </row>
    <row r="2154" spans="1:5" x14ac:dyDescent="0.25">
      <c r="A2154" s="3" t="s">
        <v>209</v>
      </c>
      <c r="B2154" s="6" t="s">
        <v>4536</v>
      </c>
      <c r="C2154" s="3" t="s">
        <v>8378</v>
      </c>
      <c r="D2154" s="3" t="s">
        <v>8281</v>
      </c>
      <c r="E2154" s="3" t="s">
        <v>6628</v>
      </c>
    </row>
    <row r="2155" spans="1:5" x14ac:dyDescent="0.25">
      <c r="A2155" s="3" t="s">
        <v>208</v>
      </c>
      <c r="B2155" s="6" t="s">
        <v>4537</v>
      </c>
      <c r="C2155" s="3" t="s">
        <v>8378</v>
      </c>
      <c r="D2155" s="3" t="s">
        <v>8282</v>
      </c>
      <c r="E2155" s="3" t="s">
        <v>6629</v>
      </c>
    </row>
    <row r="2156" spans="1:5" x14ac:dyDescent="0.25">
      <c r="A2156" s="3" t="s">
        <v>207</v>
      </c>
      <c r="B2156" s="6" t="s">
        <v>4538</v>
      </c>
      <c r="C2156" s="3" t="s">
        <v>8378</v>
      </c>
      <c r="D2156" s="3" t="s">
        <v>8283</v>
      </c>
      <c r="E2156" s="3" t="s">
        <v>6601</v>
      </c>
    </row>
    <row r="2157" spans="1:5" x14ac:dyDescent="0.25">
      <c r="A2157" s="3" t="s">
        <v>206</v>
      </c>
      <c r="B2157" s="6" t="s">
        <v>4539</v>
      </c>
      <c r="C2157" s="3" t="s">
        <v>8378</v>
      </c>
      <c r="D2157" s="3" t="s">
        <v>8118</v>
      </c>
      <c r="E2157" s="3" t="s">
        <v>6630</v>
      </c>
    </row>
    <row r="2158" spans="1:5" x14ac:dyDescent="0.25">
      <c r="A2158" s="3" t="s">
        <v>205</v>
      </c>
      <c r="B2158" s="6" t="s">
        <v>4540</v>
      </c>
      <c r="C2158" s="3" t="s">
        <v>8378</v>
      </c>
      <c r="D2158" s="3" t="s">
        <v>4770</v>
      </c>
      <c r="E2158" s="3" t="s">
        <v>6631</v>
      </c>
    </row>
    <row r="2159" spans="1:5" x14ac:dyDescent="0.25">
      <c r="A2159" s="3" t="s">
        <v>204</v>
      </c>
      <c r="B2159" s="6" t="s">
        <v>4541</v>
      </c>
      <c r="C2159" s="3" t="s">
        <v>8377</v>
      </c>
      <c r="D2159" s="3" t="s">
        <v>8284</v>
      </c>
      <c r="E2159" s="3" t="s">
        <v>6632</v>
      </c>
    </row>
    <row r="2160" spans="1:5" x14ac:dyDescent="0.25">
      <c r="A2160" s="3" t="s">
        <v>203</v>
      </c>
      <c r="B2160" s="6" t="s">
        <v>4542</v>
      </c>
      <c r="C2160" s="3" t="s">
        <v>8377</v>
      </c>
      <c r="D2160" s="3" t="s">
        <v>8012</v>
      </c>
      <c r="E2160" s="3" t="s">
        <v>6633</v>
      </c>
    </row>
    <row r="2161" spans="1:5" x14ac:dyDescent="0.25">
      <c r="A2161" s="3" t="s">
        <v>202</v>
      </c>
      <c r="B2161" s="6" t="s">
        <v>4543</v>
      </c>
      <c r="C2161" s="3" t="s">
        <v>8377</v>
      </c>
      <c r="D2161" s="3" t="s">
        <v>8285</v>
      </c>
      <c r="E2161" s="3" t="s">
        <v>6634</v>
      </c>
    </row>
    <row r="2162" spans="1:5" x14ac:dyDescent="0.25">
      <c r="A2162" s="3" t="s">
        <v>201</v>
      </c>
      <c r="B2162" s="6" t="s">
        <v>4544</v>
      </c>
      <c r="C2162" s="3" t="s">
        <v>8377</v>
      </c>
      <c r="D2162" s="3" t="s">
        <v>7348</v>
      </c>
      <c r="E2162" s="3" t="s">
        <v>6635</v>
      </c>
    </row>
    <row r="2163" spans="1:5" x14ac:dyDescent="0.25">
      <c r="A2163" s="3" t="s">
        <v>200</v>
      </c>
      <c r="B2163" s="6" t="s">
        <v>4545</v>
      </c>
      <c r="C2163" s="3" t="s">
        <v>8377</v>
      </c>
      <c r="D2163" s="3" t="s">
        <v>6908</v>
      </c>
      <c r="E2163" s="3" t="s">
        <v>6636</v>
      </c>
    </row>
    <row r="2164" spans="1:5" x14ac:dyDescent="0.25">
      <c r="A2164" s="3" t="s">
        <v>198</v>
      </c>
      <c r="B2164" s="6" t="s">
        <v>4546</v>
      </c>
      <c r="C2164" s="3" t="s">
        <v>8379</v>
      </c>
      <c r="D2164" s="3" t="s">
        <v>8286</v>
      </c>
      <c r="E2164" s="3" t="s">
        <v>6637</v>
      </c>
    </row>
    <row r="2165" spans="1:5" x14ac:dyDescent="0.25">
      <c r="A2165" s="3" t="s">
        <v>197</v>
      </c>
      <c r="B2165" s="6" t="s">
        <v>4547</v>
      </c>
      <c r="C2165" s="3" t="s">
        <v>8377</v>
      </c>
      <c r="D2165" s="3" t="s">
        <v>8287</v>
      </c>
      <c r="E2165" s="3" t="s">
        <v>4844</v>
      </c>
    </row>
    <row r="2166" spans="1:5" x14ac:dyDescent="0.25">
      <c r="A2166" s="3" t="s">
        <v>196</v>
      </c>
      <c r="B2166" s="6" t="s">
        <v>4548</v>
      </c>
      <c r="C2166" s="3" t="s">
        <v>8378</v>
      </c>
      <c r="D2166" s="3" t="s">
        <v>7320</v>
      </c>
      <c r="E2166" s="3" t="s">
        <v>6638</v>
      </c>
    </row>
    <row r="2167" spans="1:5" x14ac:dyDescent="0.25">
      <c r="A2167" s="3" t="s">
        <v>195</v>
      </c>
      <c r="B2167" s="6" t="s">
        <v>4549</v>
      </c>
      <c r="C2167" s="3" t="s">
        <v>8378</v>
      </c>
      <c r="D2167" s="3" t="s">
        <v>8288</v>
      </c>
      <c r="E2167" s="3" t="s">
        <v>6639</v>
      </c>
    </row>
    <row r="2168" spans="1:5" x14ac:dyDescent="0.25">
      <c r="A2168" s="3" t="s">
        <v>194</v>
      </c>
      <c r="B2168" s="6" t="s">
        <v>4550</v>
      </c>
      <c r="C2168" s="3" t="s">
        <v>8378</v>
      </c>
      <c r="D2168" s="3" t="s">
        <v>8289</v>
      </c>
      <c r="E2168" s="3" t="s">
        <v>6640</v>
      </c>
    </row>
    <row r="2169" spans="1:5" x14ac:dyDescent="0.25">
      <c r="A2169" s="3" t="s">
        <v>193</v>
      </c>
      <c r="B2169" s="6" t="s">
        <v>4551</v>
      </c>
      <c r="C2169" s="3" t="s">
        <v>8378</v>
      </c>
      <c r="D2169" s="3" t="s">
        <v>7206</v>
      </c>
      <c r="E2169" s="3" t="s">
        <v>6641</v>
      </c>
    </row>
    <row r="2170" spans="1:5" x14ac:dyDescent="0.25">
      <c r="A2170" s="3" t="s">
        <v>192</v>
      </c>
      <c r="B2170" s="6" t="s">
        <v>4552</v>
      </c>
      <c r="C2170" s="3" t="s">
        <v>8378</v>
      </c>
      <c r="D2170" s="3" t="s">
        <v>8290</v>
      </c>
      <c r="E2170" s="3" t="s">
        <v>6642</v>
      </c>
    </row>
    <row r="2171" spans="1:5" x14ac:dyDescent="0.25">
      <c r="A2171" s="3" t="s">
        <v>191</v>
      </c>
      <c r="B2171" s="6" t="s">
        <v>4553</v>
      </c>
      <c r="C2171" s="3" t="s">
        <v>8378</v>
      </c>
      <c r="D2171" s="3" t="s">
        <v>6873</v>
      </c>
      <c r="E2171" s="3" t="s">
        <v>6643</v>
      </c>
    </row>
    <row r="2172" spans="1:5" x14ac:dyDescent="0.25">
      <c r="A2172" s="3" t="s">
        <v>190</v>
      </c>
      <c r="B2172" s="6" t="s">
        <v>4554</v>
      </c>
      <c r="C2172" s="3" t="s">
        <v>8377</v>
      </c>
      <c r="D2172" s="3" t="s">
        <v>7480</v>
      </c>
      <c r="E2172" s="3" t="s">
        <v>6644</v>
      </c>
    </row>
    <row r="2173" spans="1:5" x14ac:dyDescent="0.25">
      <c r="A2173" s="3" t="s">
        <v>189</v>
      </c>
      <c r="B2173" s="6" t="s">
        <v>4555</v>
      </c>
      <c r="C2173" s="3" t="s">
        <v>8378</v>
      </c>
      <c r="D2173" s="3" t="s">
        <v>5778</v>
      </c>
      <c r="E2173" s="3" t="s">
        <v>6253</v>
      </c>
    </row>
    <row r="2174" spans="1:5" x14ac:dyDescent="0.25">
      <c r="A2174" s="3" t="s">
        <v>188</v>
      </c>
      <c r="B2174" s="6" t="s">
        <v>4556</v>
      </c>
      <c r="C2174" s="3" t="s">
        <v>8378</v>
      </c>
      <c r="D2174" s="3" t="s">
        <v>8291</v>
      </c>
      <c r="E2174" s="3" t="s">
        <v>6645</v>
      </c>
    </row>
    <row r="2175" spans="1:5" x14ac:dyDescent="0.25">
      <c r="A2175" s="3" t="s">
        <v>187</v>
      </c>
      <c r="B2175" s="6" t="s">
        <v>4557</v>
      </c>
      <c r="C2175" s="3" t="s">
        <v>8377</v>
      </c>
      <c r="D2175" s="3" t="s">
        <v>8292</v>
      </c>
      <c r="E2175" s="3" t="s">
        <v>5796</v>
      </c>
    </row>
    <row r="2176" spans="1:5" x14ac:dyDescent="0.25">
      <c r="A2176" s="3" t="s">
        <v>186</v>
      </c>
      <c r="B2176" s="6" t="s">
        <v>4558</v>
      </c>
      <c r="C2176" s="3" t="s">
        <v>8378</v>
      </c>
      <c r="D2176" s="3" t="s">
        <v>8293</v>
      </c>
      <c r="E2176" s="3" t="s">
        <v>6646</v>
      </c>
    </row>
    <row r="2177" spans="1:5" x14ac:dyDescent="0.25">
      <c r="A2177" s="3" t="s">
        <v>185</v>
      </c>
      <c r="B2177" s="6" t="s">
        <v>4559</v>
      </c>
      <c r="C2177" s="3" t="s">
        <v>8377</v>
      </c>
      <c r="D2177" s="3" t="s">
        <v>8294</v>
      </c>
      <c r="E2177" s="3" t="s">
        <v>4987</v>
      </c>
    </row>
    <row r="2178" spans="1:5" x14ac:dyDescent="0.25">
      <c r="A2178" s="3" t="s">
        <v>184</v>
      </c>
      <c r="B2178" s="6" t="s">
        <v>4560</v>
      </c>
      <c r="C2178" s="3" t="s">
        <v>8377</v>
      </c>
      <c r="D2178" s="3" t="s">
        <v>8295</v>
      </c>
      <c r="E2178" s="3" t="s">
        <v>4979</v>
      </c>
    </row>
    <row r="2179" spans="1:5" x14ac:dyDescent="0.25">
      <c r="A2179" s="3" t="s">
        <v>183</v>
      </c>
      <c r="B2179" s="6" t="s">
        <v>4561</v>
      </c>
      <c r="C2179" s="3" t="s">
        <v>8377</v>
      </c>
      <c r="D2179" s="3" t="s">
        <v>7042</v>
      </c>
      <c r="E2179" s="3" t="s">
        <v>5392</v>
      </c>
    </row>
    <row r="2180" spans="1:5" x14ac:dyDescent="0.25">
      <c r="A2180" s="3" t="s">
        <v>182</v>
      </c>
      <c r="B2180" s="6" t="s">
        <v>4562</v>
      </c>
      <c r="C2180" s="3" t="s">
        <v>8377</v>
      </c>
      <c r="D2180" s="3" t="s">
        <v>8296</v>
      </c>
      <c r="E2180" s="3" t="s">
        <v>6647</v>
      </c>
    </row>
    <row r="2181" spans="1:5" x14ac:dyDescent="0.25">
      <c r="A2181" s="3" t="s">
        <v>181</v>
      </c>
      <c r="B2181" s="6" t="s">
        <v>4563</v>
      </c>
      <c r="C2181" s="3" t="s">
        <v>8377</v>
      </c>
      <c r="D2181" s="3" t="s">
        <v>7025</v>
      </c>
      <c r="E2181" s="3" t="s">
        <v>5830</v>
      </c>
    </row>
    <row r="2182" spans="1:5" x14ac:dyDescent="0.25">
      <c r="A2182" s="3" t="s">
        <v>180</v>
      </c>
      <c r="B2182" s="6" t="s">
        <v>4564</v>
      </c>
      <c r="C2182" s="3" t="s">
        <v>8377</v>
      </c>
      <c r="D2182" s="3" t="s">
        <v>8297</v>
      </c>
      <c r="E2182" s="3" t="s">
        <v>6648</v>
      </c>
    </row>
    <row r="2183" spans="1:5" x14ac:dyDescent="0.25">
      <c r="A2183" s="3" t="s">
        <v>179</v>
      </c>
      <c r="B2183" s="6" t="s">
        <v>4565</v>
      </c>
      <c r="C2183" s="3" t="s">
        <v>8377</v>
      </c>
      <c r="D2183" s="3" t="s">
        <v>7040</v>
      </c>
      <c r="E2183" s="3" t="s">
        <v>6649</v>
      </c>
    </row>
    <row r="2184" spans="1:5" x14ac:dyDescent="0.25">
      <c r="A2184" s="3" t="s">
        <v>178</v>
      </c>
      <c r="B2184" s="6" t="s">
        <v>4566</v>
      </c>
      <c r="C2184" s="3" t="s">
        <v>8378</v>
      </c>
      <c r="D2184" s="3" t="s">
        <v>8057</v>
      </c>
      <c r="E2184" s="3" t="s">
        <v>5138</v>
      </c>
    </row>
    <row r="2185" spans="1:5" x14ac:dyDescent="0.25">
      <c r="A2185" s="3" t="s">
        <v>177</v>
      </c>
      <c r="B2185" s="6" t="s">
        <v>4567</v>
      </c>
      <c r="C2185" s="3" t="s">
        <v>8378</v>
      </c>
      <c r="D2185" s="3" t="s">
        <v>8298</v>
      </c>
      <c r="E2185" s="3" t="s">
        <v>6650</v>
      </c>
    </row>
    <row r="2186" spans="1:5" x14ac:dyDescent="0.25">
      <c r="A2186" s="3" t="s">
        <v>176</v>
      </c>
      <c r="B2186" s="6" t="s">
        <v>4568</v>
      </c>
      <c r="C2186" s="3" t="s">
        <v>8378</v>
      </c>
      <c r="D2186" s="3" t="s">
        <v>6965</v>
      </c>
      <c r="E2186" s="3" t="s">
        <v>6651</v>
      </c>
    </row>
    <row r="2187" spans="1:5" x14ac:dyDescent="0.25">
      <c r="A2187" s="3" t="s">
        <v>175</v>
      </c>
      <c r="B2187" s="6" t="s">
        <v>4569</v>
      </c>
      <c r="C2187" s="3" t="s">
        <v>8378</v>
      </c>
      <c r="D2187" s="3" t="s">
        <v>8299</v>
      </c>
      <c r="E2187" s="3" t="s">
        <v>5286</v>
      </c>
    </row>
    <row r="2188" spans="1:5" x14ac:dyDescent="0.25">
      <c r="A2188" s="3" t="s">
        <v>174</v>
      </c>
      <c r="B2188" s="6" t="s">
        <v>4570</v>
      </c>
      <c r="C2188" s="3" t="s">
        <v>8378</v>
      </c>
      <c r="D2188" s="3" t="s">
        <v>4769</v>
      </c>
      <c r="E2188" s="3" t="s">
        <v>6652</v>
      </c>
    </row>
    <row r="2189" spans="1:5" x14ac:dyDescent="0.25">
      <c r="A2189" s="3" t="s">
        <v>173</v>
      </c>
      <c r="B2189" s="6" t="s">
        <v>4571</v>
      </c>
      <c r="C2189" s="3" t="s">
        <v>8378</v>
      </c>
      <c r="D2189" s="3" t="s">
        <v>6821</v>
      </c>
      <c r="E2189" s="3" t="s">
        <v>6653</v>
      </c>
    </row>
    <row r="2190" spans="1:5" x14ac:dyDescent="0.25">
      <c r="A2190" s="3" t="s">
        <v>172</v>
      </c>
      <c r="B2190" s="6" t="s">
        <v>4572</v>
      </c>
      <c r="C2190" s="3" t="s">
        <v>8378</v>
      </c>
      <c r="D2190" s="3" t="s">
        <v>8300</v>
      </c>
      <c r="E2190" s="3" t="s">
        <v>5984</v>
      </c>
    </row>
    <row r="2191" spans="1:5" x14ac:dyDescent="0.25">
      <c r="A2191" s="3" t="s">
        <v>171</v>
      </c>
      <c r="B2191" s="6" t="s">
        <v>4573</v>
      </c>
      <c r="C2191" s="3" t="s">
        <v>8378</v>
      </c>
      <c r="D2191" s="3" t="s">
        <v>8301</v>
      </c>
      <c r="E2191" s="3" t="s">
        <v>6654</v>
      </c>
    </row>
    <row r="2192" spans="1:5" x14ac:dyDescent="0.25">
      <c r="A2192" s="3" t="s">
        <v>170</v>
      </c>
      <c r="B2192" s="6" t="s">
        <v>4574</v>
      </c>
      <c r="C2192" s="3" t="s">
        <v>8378</v>
      </c>
      <c r="D2192" s="3" t="s">
        <v>8302</v>
      </c>
      <c r="E2192" s="3" t="s">
        <v>4977</v>
      </c>
    </row>
    <row r="2193" spans="1:5" x14ac:dyDescent="0.25">
      <c r="A2193" s="3" t="s">
        <v>168</v>
      </c>
      <c r="B2193" s="6" t="s">
        <v>4575</v>
      </c>
      <c r="C2193" s="3" t="s">
        <v>8378</v>
      </c>
      <c r="D2193" s="3" t="s">
        <v>8303</v>
      </c>
      <c r="E2193" s="3" t="s">
        <v>6655</v>
      </c>
    </row>
    <row r="2194" spans="1:5" x14ac:dyDescent="0.25">
      <c r="A2194" s="3" t="s">
        <v>166</v>
      </c>
      <c r="B2194" s="6" t="s">
        <v>4576</v>
      </c>
      <c r="C2194" s="3" t="s">
        <v>8378</v>
      </c>
      <c r="D2194" s="3" t="s">
        <v>8304</v>
      </c>
      <c r="E2194" s="3" t="s">
        <v>6311</v>
      </c>
    </row>
    <row r="2195" spans="1:5" x14ac:dyDescent="0.25">
      <c r="A2195" s="3" t="s">
        <v>164</v>
      </c>
      <c r="B2195" s="6" t="s">
        <v>4577</v>
      </c>
      <c r="C2195" s="3" t="s">
        <v>8378</v>
      </c>
      <c r="D2195" s="3" t="s">
        <v>8305</v>
      </c>
      <c r="E2195" s="3" t="s">
        <v>5347</v>
      </c>
    </row>
    <row r="2196" spans="1:5" x14ac:dyDescent="0.25">
      <c r="A2196" s="3" t="s">
        <v>162</v>
      </c>
      <c r="B2196" s="6" t="s">
        <v>4578</v>
      </c>
      <c r="C2196" s="3" t="s">
        <v>8378</v>
      </c>
      <c r="D2196" s="3" t="s">
        <v>8306</v>
      </c>
      <c r="E2196" s="3" t="s">
        <v>6656</v>
      </c>
    </row>
    <row r="2197" spans="1:5" x14ac:dyDescent="0.25">
      <c r="A2197" s="3" t="s">
        <v>161</v>
      </c>
      <c r="B2197" s="6" t="s">
        <v>4579</v>
      </c>
      <c r="C2197" s="3" t="s">
        <v>8378</v>
      </c>
      <c r="D2197" s="3" t="s">
        <v>8307</v>
      </c>
      <c r="E2197" s="3" t="s">
        <v>5252</v>
      </c>
    </row>
    <row r="2198" spans="1:5" x14ac:dyDescent="0.25">
      <c r="A2198" s="3" t="s">
        <v>160</v>
      </c>
      <c r="B2198" s="6" t="s">
        <v>4580</v>
      </c>
      <c r="C2198" s="3" t="s">
        <v>8378</v>
      </c>
      <c r="D2198" s="3" t="s">
        <v>8308</v>
      </c>
      <c r="E2198" s="3" t="s">
        <v>6657</v>
      </c>
    </row>
    <row r="2199" spans="1:5" x14ac:dyDescent="0.25">
      <c r="A2199" s="3" t="s">
        <v>159</v>
      </c>
      <c r="B2199" s="6" t="s">
        <v>4581</v>
      </c>
      <c r="C2199" s="3" t="s">
        <v>8378</v>
      </c>
      <c r="D2199" s="3" t="s">
        <v>5229</v>
      </c>
      <c r="E2199" s="3" t="s">
        <v>6658</v>
      </c>
    </row>
    <row r="2200" spans="1:5" x14ac:dyDescent="0.25">
      <c r="A2200" s="3" t="s">
        <v>158</v>
      </c>
      <c r="B2200" s="6" t="s">
        <v>4582</v>
      </c>
      <c r="C2200" s="3" t="s">
        <v>8378</v>
      </c>
      <c r="D2200" s="3" t="s">
        <v>8309</v>
      </c>
      <c r="E2200" s="3" t="s">
        <v>6659</v>
      </c>
    </row>
    <row r="2201" spans="1:5" x14ac:dyDescent="0.25">
      <c r="A2201" s="3" t="s">
        <v>157</v>
      </c>
      <c r="B2201" s="6" t="s">
        <v>4583</v>
      </c>
      <c r="C2201" s="3" t="s">
        <v>8378</v>
      </c>
      <c r="D2201" s="3" t="s">
        <v>6457</v>
      </c>
      <c r="E2201" s="3" t="s">
        <v>6660</v>
      </c>
    </row>
    <row r="2202" spans="1:5" x14ac:dyDescent="0.25">
      <c r="A2202" s="3" t="s">
        <v>156</v>
      </c>
      <c r="B2202" s="6" t="s">
        <v>4584</v>
      </c>
      <c r="C2202" s="3" t="s">
        <v>8378</v>
      </c>
      <c r="D2202" s="3" t="s">
        <v>8310</v>
      </c>
      <c r="E2202" s="3" t="s">
        <v>6661</v>
      </c>
    </row>
    <row r="2203" spans="1:5" x14ac:dyDescent="0.25">
      <c r="A2203" s="3" t="s">
        <v>155</v>
      </c>
      <c r="B2203" s="6" t="s">
        <v>4585</v>
      </c>
      <c r="C2203" s="3" t="s">
        <v>8378</v>
      </c>
      <c r="D2203" s="3" t="s">
        <v>6904</v>
      </c>
      <c r="E2203" s="3" t="s">
        <v>6662</v>
      </c>
    </row>
    <row r="2204" spans="1:5" x14ac:dyDescent="0.25">
      <c r="A2204" s="3" t="s">
        <v>154</v>
      </c>
      <c r="B2204" s="6" t="s">
        <v>4586</v>
      </c>
      <c r="C2204" s="3" t="s">
        <v>8377</v>
      </c>
      <c r="D2204" s="3" t="s">
        <v>8311</v>
      </c>
      <c r="E2204" s="3" t="s">
        <v>6663</v>
      </c>
    </row>
    <row r="2205" spans="1:5" x14ac:dyDescent="0.25">
      <c r="A2205" s="3" t="s">
        <v>153</v>
      </c>
      <c r="B2205" s="6" t="s">
        <v>4587</v>
      </c>
      <c r="C2205" s="3" t="s">
        <v>8377</v>
      </c>
      <c r="D2205" s="3" t="s">
        <v>8312</v>
      </c>
      <c r="E2205" s="3" t="s">
        <v>6664</v>
      </c>
    </row>
    <row r="2206" spans="1:5" x14ac:dyDescent="0.25">
      <c r="A2206" s="3" t="s">
        <v>152</v>
      </c>
      <c r="B2206" s="6" t="s">
        <v>4588</v>
      </c>
      <c r="C2206" s="3" t="s">
        <v>8377</v>
      </c>
      <c r="D2206" s="3" t="s">
        <v>8313</v>
      </c>
      <c r="E2206" s="3" t="s">
        <v>6665</v>
      </c>
    </row>
    <row r="2207" spans="1:5" x14ac:dyDescent="0.25">
      <c r="A2207" s="3" t="s">
        <v>151</v>
      </c>
      <c r="B2207" s="6" t="s">
        <v>4589</v>
      </c>
      <c r="C2207" s="3" t="s">
        <v>8378</v>
      </c>
      <c r="D2207" s="3" t="s">
        <v>8314</v>
      </c>
      <c r="E2207" s="3" t="s">
        <v>6666</v>
      </c>
    </row>
    <row r="2208" spans="1:5" x14ac:dyDescent="0.25">
      <c r="A2208" s="3" t="s">
        <v>150</v>
      </c>
      <c r="B2208" s="6" t="s">
        <v>4590</v>
      </c>
      <c r="C2208" s="3" t="s">
        <v>8378</v>
      </c>
      <c r="D2208" s="3" t="s">
        <v>7815</v>
      </c>
      <c r="E2208" s="3" t="s">
        <v>6667</v>
      </c>
    </row>
    <row r="2209" spans="1:5" x14ac:dyDescent="0.25">
      <c r="A2209" s="3" t="s">
        <v>149</v>
      </c>
      <c r="B2209" s="6" t="s">
        <v>4591</v>
      </c>
      <c r="C2209" s="3" t="s">
        <v>8377</v>
      </c>
      <c r="D2209" s="3" t="s">
        <v>8315</v>
      </c>
      <c r="E2209" s="3" t="s">
        <v>6668</v>
      </c>
    </row>
    <row r="2210" spans="1:5" x14ac:dyDescent="0.25">
      <c r="A2210" s="3" t="s">
        <v>148</v>
      </c>
      <c r="B2210" s="6" t="s">
        <v>4592</v>
      </c>
      <c r="C2210" s="3" t="s">
        <v>8377</v>
      </c>
      <c r="D2210" s="3" t="s">
        <v>8316</v>
      </c>
      <c r="E2210" s="3" t="s">
        <v>6669</v>
      </c>
    </row>
    <row r="2211" spans="1:5" x14ac:dyDescent="0.25">
      <c r="A2211" s="3" t="s">
        <v>147</v>
      </c>
      <c r="B2211" s="6" t="s">
        <v>4593</v>
      </c>
      <c r="C2211" s="3" t="s">
        <v>8377</v>
      </c>
      <c r="D2211" s="3" t="s">
        <v>4781</v>
      </c>
      <c r="E2211" s="3" t="s">
        <v>6670</v>
      </c>
    </row>
    <row r="2212" spans="1:5" x14ac:dyDescent="0.25">
      <c r="A2212" s="3" t="s">
        <v>146</v>
      </c>
      <c r="B2212" s="6" t="s">
        <v>4594</v>
      </c>
      <c r="C2212" s="3" t="s">
        <v>8378</v>
      </c>
      <c r="D2212" s="3" t="s">
        <v>5158</v>
      </c>
      <c r="E2212" s="3" t="s">
        <v>6671</v>
      </c>
    </row>
    <row r="2213" spans="1:5" x14ac:dyDescent="0.25">
      <c r="A2213" s="3" t="s">
        <v>145</v>
      </c>
      <c r="B2213" s="6" t="s">
        <v>4595</v>
      </c>
      <c r="C2213" s="3" t="s">
        <v>8378</v>
      </c>
      <c r="D2213" s="3" t="s">
        <v>7815</v>
      </c>
      <c r="E2213" s="3" t="s">
        <v>6358</v>
      </c>
    </row>
    <row r="2214" spans="1:5" x14ac:dyDescent="0.25">
      <c r="A2214" s="3" t="s">
        <v>144</v>
      </c>
      <c r="B2214" s="6" t="s">
        <v>4596</v>
      </c>
      <c r="C2214" s="3" t="s">
        <v>8378</v>
      </c>
      <c r="D2214" s="3" t="s">
        <v>7087</v>
      </c>
      <c r="E2214" s="3" t="s">
        <v>6672</v>
      </c>
    </row>
    <row r="2215" spans="1:5" x14ac:dyDescent="0.25">
      <c r="A2215" s="3" t="s">
        <v>143</v>
      </c>
      <c r="B2215" s="6" t="s">
        <v>4597</v>
      </c>
      <c r="C2215" s="3" t="s">
        <v>8377</v>
      </c>
      <c r="D2215" s="3" t="s">
        <v>8317</v>
      </c>
      <c r="E2215" s="3" t="s">
        <v>6673</v>
      </c>
    </row>
    <row r="2216" spans="1:5" x14ac:dyDescent="0.25">
      <c r="A2216" s="3" t="s">
        <v>142</v>
      </c>
      <c r="B2216" s="6" t="s">
        <v>4598</v>
      </c>
      <c r="C2216" s="3" t="s">
        <v>8377</v>
      </c>
      <c r="D2216" s="3" t="s">
        <v>7096</v>
      </c>
      <c r="E2216" s="3" t="s">
        <v>6674</v>
      </c>
    </row>
    <row r="2217" spans="1:5" x14ac:dyDescent="0.25">
      <c r="A2217" s="3" t="s">
        <v>141</v>
      </c>
      <c r="B2217" s="6" t="s">
        <v>4599</v>
      </c>
      <c r="C2217" s="3" t="s">
        <v>8378</v>
      </c>
      <c r="D2217" s="3" t="s">
        <v>8318</v>
      </c>
      <c r="E2217" s="3" t="s">
        <v>5493</v>
      </c>
    </row>
    <row r="2218" spans="1:5" x14ac:dyDescent="0.25">
      <c r="A2218" s="3" t="s">
        <v>140</v>
      </c>
      <c r="B2218" s="6" t="s">
        <v>4600</v>
      </c>
      <c r="C2218" s="3" t="s">
        <v>8377</v>
      </c>
      <c r="D2218" s="3" t="s">
        <v>8319</v>
      </c>
      <c r="E2218" s="3" t="s">
        <v>4828</v>
      </c>
    </row>
    <row r="2219" spans="1:5" x14ac:dyDescent="0.25">
      <c r="A2219" s="3" t="s">
        <v>139</v>
      </c>
      <c r="B2219" s="6" t="s">
        <v>4601</v>
      </c>
      <c r="C2219" s="3" t="s">
        <v>8377</v>
      </c>
      <c r="D2219" s="3" t="s">
        <v>7330</v>
      </c>
      <c r="E2219" s="3" t="s">
        <v>6675</v>
      </c>
    </row>
    <row r="2220" spans="1:5" x14ac:dyDescent="0.25">
      <c r="A2220" s="3" t="s">
        <v>138</v>
      </c>
      <c r="B2220" s="6" t="s">
        <v>4602</v>
      </c>
      <c r="C2220" s="3" t="s">
        <v>8377</v>
      </c>
      <c r="D2220" s="3" t="s">
        <v>6944</v>
      </c>
      <c r="E2220" s="3" t="s">
        <v>6676</v>
      </c>
    </row>
    <row r="2221" spans="1:5" x14ac:dyDescent="0.25">
      <c r="A2221" s="3" t="s">
        <v>137</v>
      </c>
      <c r="B2221" s="6" t="s">
        <v>4603</v>
      </c>
      <c r="C2221" s="3" t="s">
        <v>8377</v>
      </c>
      <c r="D2221" s="3" t="s">
        <v>8320</v>
      </c>
      <c r="E2221" s="3" t="s">
        <v>6677</v>
      </c>
    </row>
    <row r="2222" spans="1:5" x14ac:dyDescent="0.25">
      <c r="A2222" s="3" t="s">
        <v>136</v>
      </c>
      <c r="B2222" s="6" t="s">
        <v>4604</v>
      </c>
      <c r="C2222" s="3" t="s">
        <v>8378</v>
      </c>
      <c r="D2222" s="3" t="s">
        <v>6869</v>
      </c>
      <c r="E2222" s="3" t="s">
        <v>6678</v>
      </c>
    </row>
    <row r="2223" spans="1:5" x14ac:dyDescent="0.25">
      <c r="A2223" s="3" t="s">
        <v>135</v>
      </c>
      <c r="B2223" s="6" t="s">
        <v>4605</v>
      </c>
      <c r="C2223" s="3" t="s">
        <v>8378</v>
      </c>
      <c r="D2223" s="3" t="s">
        <v>7545</v>
      </c>
      <c r="E2223" s="3" t="s">
        <v>6679</v>
      </c>
    </row>
    <row r="2224" spans="1:5" x14ac:dyDescent="0.25">
      <c r="A2224" s="3" t="s">
        <v>134</v>
      </c>
      <c r="B2224" s="6" t="s">
        <v>4606</v>
      </c>
      <c r="C2224" s="3" t="s">
        <v>8378</v>
      </c>
      <c r="D2224" s="3" t="s">
        <v>7058</v>
      </c>
      <c r="E2224" s="3" t="s">
        <v>5220</v>
      </c>
    </row>
    <row r="2225" spans="1:5" x14ac:dyDescent="0.25">
      <c r="A2225" s="3" t="s">
        <v>133</v>
      </c>
      <c r="B2225" s="6" t="s">
        <v>4607</v>
      </c>
      <c r="C2225" s="3" t="s">
        <v>8378</v>
      </c>
      <c r="D2225" s="3" t="s">
        <v>7545</v>
      </c>
      <c r="E2225" s="3" t="s">
        <v>6680</v>
      </c>
    </row>
    <row r="2226" spans="1:5" x14ac:dyDescent="0.25">
      <c r="A2226" s="3" t="s">
        <v>132</v>
      </c>
      <c r="B2226" s="6" t="s">
        <v>4608</v>
      </c>
      <c r="C2226" s="3" t="s">
        <v>8378</v>
      </c>
      <c r="D2226" s="3" t="s">
        <v>8321</v>
      </c>
      <c r="E2226" s="3" t="s">
        <v>6360</v>
      </c>
    </row>
    <row r="2227" spans="1:5" x14ac:dyDescent="0.25">
      <c r="A2227" s="3" t="s">
        <v>131</v>
      </c>
      <c r="B2227" s="6" t="s">
        <v>4609</v>
      </c>
      <c r="C2227" s="3" t="s">
        <v>8377</v>
      </c>
      <c r="D2227" s="3" t="s">
        <v>5057</v>
      </c>
      <c r="E2227" s="3" t="s">
        <v>5467</v>
      </c>
    </row>
    <row r="2228" spans="1:5" x14ac:dyDescent="0.25">
      <c r="A2228" s="3" t="s">
        <v>130</v>
      </c>
      <c r="B2228" s="6" t="s">
        <v>4610</v>
      </c>
      <c r="C2228" s="3" t="s">
        <v>8377</v>
      </c>
      <c r="D2228" s="3" t="s">
        <v>7710</v>
      </c>
      <c r="E2228" s="3" t="s">
        <v>6004</v>
      </c>
    </row>
    <row r="2229" spans="1:5" x14ac:dyDescent="0.25">
      <c r="A2229" s="3" t="s">
        <v>129</v>
      </c>
      <c r="B2229" s="6" t="s">
        <v>4611</v>
      </c>
      <c r="C2229" s="3" t="s">
        <v>8377</v>
      </c>
      <c r="D2229" s="3" t="s">
        <v>8322</v>
      </c>
      <c r="E2229" s="3" t="s">
        <v>6681</v>
      </c>
    </row>
    <row r="2230" spans="1:5" x14ac:dyDescent="0.25">
      <c r="A2230" s="3" t="s">
        <v>128</v>
      </c>
      <c r="B2230" s="6" t="s">
        <v>4612</v>
      </c>
      <c r="C2230" s="3" t="s">
        <v>8377</v>
      </c>
      <c r="D2230" s="3" t="s">
        <v>8323</v>
      </c>
      <c r="E2230" s="3" t="s">
        <v>6682</v>
      </c>
    </row>
    <row r="2231" spans="1:5" x14ac:dyDescent="0.25">
      <c r="A2231" s="3" t="s">
        <v>127</v>
      </c>
      <c r="B2231" s="6" t="s">
        <v>4613</v>
      </c>
      <c r="C2231" s="3" t="s">
        <v>8378</v>
      </c>
      <c r="D2231" s="3" t="s">
        <v>8324</v>
      </c>
      <c r="E2231" s="3" t="s">
        <v>6683</v>
      </c>
    </row>
    <row r="2232" spans="1:5" x14ac:dyDescent="0.25">
      <c r="A2232" s="3" t="s">
        <v>126</v>
      </c>
      <c r="B2232" s="6" t="s">
        <v>4614</v>
      </c>
      <c r="C2232" s="3" t="s">
        <v>8377</v>
      </c>
      <c r="D2232" s="3" t="s">
        <v>8325</v>
      </c>
      <c r="E2232" s="3" t="s">
        <v>6684</v>
      </c>
    </row>
    <row r="2233" spans="1:5" x14ac:dyDescent="0.25">
      <c r="A2233" s="3" t="s">
        <v>125</v>
      </c>
      <c r="B2233" s="6" t="s">
        <v>4615</v>
      </c>
      <c r="C2233" s="3" t="s">
        <v>8377</v>
      </c>
      <c r="D2233" s="3" t="s">
        <v>8326</v>
      </c>
      <c r="E2233" s="3" t="s">
        <v>6685</v>
      </c>
    </row>
    <row r="2234" spans="1:5" x14ac:dyDescent="0.25">
      <c r="A2234" s="3" t="s">
        <v>124</v>
      </c>
      <c r="B2234" s="6" t="s">
        <v>4616</v>
      </c>
      <c r="C2234" s="3" t="s">
        <v>8377</v>
      </c>
      <c r="D2234" s="3" t="s">
        <v>8327</v>
      </c>
      <c r="E2234" s="3" t="s">
        <v>6686</v>
      </c>
    </row>
    <row r="2235" spans="1:5" x14ac:dyDescent="0.25">
      <c r="A2235" s="3" t="s">
        <v>123</v>
      </c>
      <c r="B2235" s="6" t="s">
        <v>4617</v>
      </c>
      <c r="C2235" s="3" t="s">
        <v>8378</v>
      </c>
      <c r="D2235" s="3" t="s">
        <v>4769</v>
      </c>
      <c r="E2235" s="3" t="s">
        <v>5766</v>
      </c>
    </row>
    <row r="2236" spans="1:5" x14ac:dyDescent="0.25">
      <c r="A2236" s="3" t="s">
        <v>122</v>
      </c>
      <c r="B2236" s="6" t="s">
        <v>4618</v>
      </c>
      <c r="C2236" s="3" t="s">
        <v>8378</v>
      </c>
      <c r="D2236" s="3" t="s">
        <v>6768</v>
      </c>
      <c r="E2236" s="3" t="s">
        <v>6687</v>
      </c>
    </row>
    <row r="2237" spans="1:5" x14ac:dyDescent="0.25">
      <c r="A2237" s="3" t="s">
        <v>121</v>
      </c>
      <c r="B2237" s="6" t="s">
        <v>4619</v>
      </c>
      <c r="C2237" s="3" t="s">
        <v>8378</v>
      </c>
      <c r="D2237" s="3" t="s">
        <v>8328</v>
      </c>
      <c r="E2237" s="3" t="s">
        <v>6688</v>
      </c>
    </row>
    <row r="2238" spans="1:5" x14ac:dyDescent="0.25">
      <c r="A2238" s="3" t="s">
        <v>120</v>
      </c>
      <c r="B2238" s="6" t="s">
        <v>4620</v>
      </c>
      <c r="C2238" s="3" t="s">
        <v>8378</v>
      </c>
      <c r="D2238" s="3" t="s">
        <v>8052</v>
      </c>
      <c r="E2238" s="3" t="s">
        <v>6689</v>
      </c>
    </row>
    <row r="2239" spans="1:5" x14ac:dyDescent="0.25">
      <c r="A2239" s="3" t="s">
        <v>119</v>
      </c>
      <c r="B2239" s="6" t="s">
        <v>4621</v>
      </c>
      <c r="C2239" s="3" t="s">
        <v>8378</v>
      </c>
      <c r="D2239" s="3" t="s">
        <v>8329</v>
      </c>
      <c r="E2239" s="3" t="s">
        <v>6690</v>
      </c>
    </row>
    <row r="2240" spans="1:5" x14ac:dyDescent="0.25">
      <c r="A2240" s="3" t="s">
        <v>118</v>
      </c>
      <c r="B2240" s="6" t="s">
        <v>4622</v>
      </c>
      <c r="C2240" s="3" t="s">
        <v>8378</v>
      </c>
      <c r="D2240" s="3" t="s">
        <v>8330</v>
      </c>
      <c r="E2240" s="3" t="s">
        <v>4831</v>
      </c>
    </row>
    <row r="2241" spans="1:5" x14ac:dyDescent="0.25">
      <c r="A2241" s="3" t="s">
        <v>117</v>
      </c>
      <c r="B2241" s="6" t="s">
        <v>4623</v>
      </c>
      <c r="C2241" s="3" t="s">
        <v>8377</v>
      </c>
      <c r="D2241" s="3" t="s">
        <v>8331</v>
      </c>
      <c r="E2241" s="3" t="s">
        <v>6691</v>
      </c>
    </row>
    <row r="2242" spans="1:5" x14ac:dyDescent="0.25">
      <c r="A2242" s="3" t="s">
        <v>116</v>
      </c>
      <c r="B2242" s="6" t="s">
        <v>4624</v>
      </c>
      <c r="C2242" s="3" t="s">
        <v>8377</v>
      </c>
      <c r="D2242" s="3" t="s">
        <v>6831</v>
      </c>
      <c r="E2242" s="3" t="s">
        <v>6692</v>
      </c>
    </row>
    <row r="2243" spans="1:5" x14ac:dyDescent="0.25">
      <c r="A2243" s="3" t="s">
        <v>115</v>
      </c>
      <c r="B2243" s="6" t="s">
        <v>4625</v>
      </c>
      <c r="C2243" s="3" t="s">
        <v>8377</v>
      </c>
      <c r="D2243" s="3" t="s">
        <v>8332</v>
      </c>
      <c r="E2243" s="3" t="s">
        <v>6693</v>
      </c>
    </row>
    <row r="2244" spans="1:5" x14ac:dyDescent="0.25">
      <c r="A2244" s="3" t="s">
        <v>114</v>
      </c>
      <c r="B2244" s="6" t="s">
        <v>4626</v>
      </c>
      <c r="C2244" s="3" t="s">
        <v>8378</v>
      </c>
      <c r="D2244" s="3" t="s">
        <v>7089</v>
      </c>
      <c r="E2244" s="3" t="s">
        <v>5617</v>
      </c>
    </row>
    <row r="2245" spans="1:5" x14ac:dyDescent="0.25">
      <c r="A2245" s="3" t="s">
        <v>113</v>
      </c>
      <c r="B2245" s="6" t="s">
        <v>4627</v>
      </c>
      <c r="C2245" s="3" t="s">
        <v>8378</v>
      </c>
      <c r="D2245" s="3" t="s">
        <v>6315</v>
      </c>
      <c r="E2245" s="3" t="s">
        <v>6694</v>
      </c>
    </row>
    <row r="2246" spans="1:5" x14ac:dyDescent="0.25">
      <c r="A2246" s="3" t="s">
        <v>112</v>
      </c>
      <c r="B2246" s="6" t="s">
        <v>4628</v>
      </c>
      <c r="C2246" s="3" t="s">
        <v>8377</v>
      </c>
      <c r="D2246" s="3" t="s">
        <v>7814</v>
      </c>
      <c r="E2246" s="3" t="s">
        <v>5392</v>
      </c>
    </row>
    <row r="2247" spans="1:5" x14ac:dyDescent="0.25">
      <c r="A2247" s="3" t="s">
        <v>111</v>
      </c>
      <c r="B2247" s="6" t="s">
        <v>4629</v>
      </c>
      <c r="C2247" s="3" t="s">
        <v>8377</v>
      </c>
      <c r="D2247" s="3" t="s">
        <v>7354</v>
      </c>
      <c r="E2247" s="3" t="s">
        <v>6695</v>
      </c>
    </row>
    <row r="2248" spans="1:5" x14ac:dyDescent="0.25">
      <c r="A2248" s="3" t="s">
        <v>110</v>
      </c>
      <c r="B2248" s="6" t="s">
        <v>4630</v>
      </c>
      <c r="C2248" s="3" t="s">
        <v>8377</v>
      </c>
      <c r="D2248" s="3" t="s">
        <v>6831</v>
      </c>
      <c r="E2248" s="3" t="s">
        <v>6696</v>
      </c>
    </row>
    <row r="2249" spans="1:5" x14ac:dyDescent="0.25">
      <c r="A2249" s="3" t="s">
        <v>109</v>
      </c>
      <c r="B2249" s="6" t="s">
        <v>4631</v>
      </c>
      <c r="C2249" s="3" t="s">
        <v>8378</v>
      </c>
      <c r="D2249" s="3" t="s">
        <v>8333</v>
      </c>
      <c r="E2249" s="3" t="s">
        <v>6697</v>
      </c>
    </row>
    <row r="2250" spans="1:5" x14ac:dyDescent="0.25">
      <c r="A2250" s="3" t="s">
        <v>108</v>
      </c>
      <c r="B2250" s="6" t="s">
        <v>4632</v>
      </c>
      <c r="C2250" s="3" t="s">
        <v>8378</v>
      </c>
      <c r="D2250" s="3" t="s">
        <v>7163</v>
      </c>
      <c r="E2250" s="3" t="s">
        <v>6698</v>
      </c>
    </row>
    <row r="2251" spans="1:5" x14ac:dyDescent="0.25">
      <c r="A2251" s="3" t="s">
        <v>107</v>
      </c>
      <c r="B2251" s="6" t="s">
        <v>4633</v>
      </c>
      <c r="C2251" s="3" t="s">
        <v>8377</v>
      </c>
      <c r="D2251" s="3" t="s">
        <v>7212</v>
      </c>
      <c r="E2251" s="3" t="s">
        <v>6699</v>
      </c>
    </row>
    <row r="2252" spans="1:5" x14ac:dyDescent="0.25">
      <c r="A2252" s="3" t="s">
        <v>106</v>
      </c>
      <c r="B2252" s="6" t="s">
        <v>4634</v>
      </c>
      <c r="C2252" s="3" t="s">
        <v>8377</v>
      </c>
      <c r="D2252" s="3" t="s">
        <v>6777</v>
      </c>
      <c r="E2252" s="3" t="s">
        <v>6700</v>
      </c>
    </row>
    <row r="2253" spans="1:5" x14ac:dyDescent="0.25">
      <c r="A2253" s="3" t="s">
        <v>105</v>
      </c>
      <c r="B2253" s="6" t="s">
        <v>4635</v>
      </c>
      <c r="C2253" s="3" t="s">
        <v>8378</v>
      </c>
      <c r="D2253" s="3" t="s">
        <v>7087</v>
      </c>
      <c r="E2253" s="3" t="s">
        <v>6701</v>
      </c>
    </row>
    <row r="2254" spans="1:5" x14ac:dyDescent="0.25">
      <c r="A2254" s="3" t="s">
        <v>104</v>
      </c>
      <c r="B2254" s="6" t="s">
        <v>4636</v>
      </c>
      <c r="C2254" s="3" t="s">
        <v>8377</v>
      </c>
      <c r="D2254" s="3" t="s">
        <v>8334</v>
      </c>
      <c r="E2254" s="3" t="s">
        <v>6702</v>
      </c>
    </row>
    <row r="2255" spans="1:5" x14ac:dyDescent="0.25">
      <c r="A2255" s="3" t="s">
        <v>103</v>
      </c>
      <c r="B2255" s="6" t="s">
        <v>4637</v>
      </c>
      <c r="C2255" s="3" t="s">
        <v>8377</v>
      </c>
      <c r="D2255" s="3" t="s">
        <v>7541</v>
      </c>
      <c r="E2255" s="3" t="s">
        <v>6703</v>
      </c>
    </row>
    <row r="2256" spans="1:5" x14ac:dyDescent="0.25">
      <c r="A2256" s="3" t="s">
        <v>102</v>
      </c>
      <c r="B2256" s="6" t="s">
        <v>4638</v>
      </c>
      <c r="C2256" s="3" t="s">
        <v>8377</v>
      </c>
      <c r="D2256" s="3" t="s">
        <v>8335</v>
      </c>
      <c r="E2256" s="3" t="s">
        <v>6704</v>
      </c>
    </row>
    <row r="2257" spans="1:5" x14ac:dyDescent="0.25">
      <c r="A2257" s="3" t="s">
        <v>101</v>
      </c>
      <c r="B2257" s="6" t="s">
        <v>4639</v>
      </c>
      <c r="C2257" s="3" t="s">
        <v>8378</v>
      </c>
      <c r="D2257" s="3" t="s">
        <v>8336</v>
      </c>
      <c r="E2257" s="3" t="s">
        <v>4831</v>
      </c>
    </row>
    <row r="2258" spans="1:5" x14ac:dyDescent="0.25">
      <c r="A2258" s="3" t="s">
        <v>100</v>
      </c>
      <c r="B2258" s="6" t="s">
        <v>4640</v>
      </c>
      <c r="C2258" s="3" t="s">
        <v>8378</v>
      </c>
      <c r="D2258" s="3" t="s">
        <v>8337</v>
      </c>
      <c r="E2258" s="3" t="s">
        <v>6705</v>
      </c>
    </row>
    <row r="2259" spans="1:5" x14ac:dyDescent="0.25">
      <c r="A2259" s="3" t="s">
        <v>99</v>
      </c>
      <c r="B2259" s="6" t="s">
        <v>4641</v>
      </c>
      <c r="C2259" s="3" t="s">
        <v>8378</v>
      </c>
      <c r="D2259" s="3" t="s">
        <v>8338</v>
      </c>
      <c r="E2259" s="3" t="s">
        <v>6706</v>
      </c>
    </row>
    <row r="2260" spans="1:5" x14ac:dyDescent="0.25">
      <c r="A2260" s="3" t="s">
        <v>98</v>
      </c>
      <c r="B2260" s="6" t="s">
        <v>4642</v>
      </c>
      <c r="C2260" s="3" t="s">
        <v>8378</v>
      </c>
      <c r="D2260" s="3" t="s">
        <v>8339</v>
      </c>
      <c r="E2260" s="3" t="s">
        <v>6707</v>
      </c>
    </row>
    <row r="2261" spans="1:5" x14ac:dyDescent="0.25">
      <c r="A2261" s="3" t="s">
        <v>97</v>
      </c>
      <c r="B2261" s="6" t="s">
        <v>4643</v>
      </c>
      <c r="C2261" s="3" t="s">
        <v>8378</v>
      </c>
      <c r="D2261" s="3" t="s">
        <v>6291</v>
      </c>
      <c r="E2261" s="3" t="s">
        <v>6708</v>
      </c>
    </row>
    <row r="2262" spans="1:5" x14ac:dyDescent="0.25">
      <c r="A2262" s="3" t="s">
        <v>96</v>
      </c>
      <c r="B2262" s="6" t="s">
        <v>4644</v>
      </c>
      <c r="C2262" s="3" t="s">
        <v>8377</v>
      </c>
      <c r="D2262" s="3" t="s">
        <v>6018</v>
      </c>
      <c r="E2262" s="3" t="s">
        <v>6709</v>
      </c>
    </row>
    <row r="2263" spans="1:5" x14ac:dyDescent="0.25">
      <c r="A2263" s="3" t="s">
        <v>95</v>
      </c>
      <c r="B2263" s="6" t="s">
        <v>4645</v>
      </c>
      <c r="C2263" s="3" t="s">
        <v>8378</v>
      </c>
      <c r="D2263" s="3" t="s">
        <v>6807</v>
      </c>
      <c r="E2263" s="3" t="s">
        <v>6710</v>
      </c>
    </row>
    <row r="2264" spans="1:5" x14ac:dyDescent="0.25">
      <c r="A2264" s="3" t="s">
        <v>94</v>
      </c>
      <c r="B2264" s="6" t="s">
        <v>4646</v>
      </c>
      <c r="C2264" s="3" t="s">
        <v>8378</v>
      </c>
      <c r="D2264" s="3" t="s">
        <v>8340</v>
      </c>
      <c r="E2264" s="3" t="s">
        <v>6711</v>
      </c>
    </row>
    <row r="2265" spans="1:5" x14ac:dyDescent="0.25">
      <c r="A2265" s="3" t="s">
        <v>93</v>
      </c>
      <c r="B2265" s="6" t="s">
        <v>4647</v>
      </c>
      <c r="C2265" s="3" t="s">
        <v>8378</v>
      </c>
      <c r="D2265" s="3" t="s">
        <v>8341</v>
      </c>
      <c r="E2265" s="3" t="s">
        <v>6712</v>
      </c>
    </row>
    <row r="2266" spans="1:5" x14ac:dyDescent="0.25">
      <c r="A2266" s="3" t="s">
        <v>92</v>
      </c>
      <c r="B2266" s="6" t="s">
        <v>4648</v>
      </c>
      <c r="C2266" s="3" t="s">
        <v>8378</v>
      </c>
      <c r="D2266" s="3" t="s">
        <v>8342</v>
      </c>
      <c r="E2266" s="3" t="s">
        <v>6235</v>
      </c>
    </row>
    <row r="2267" spans="1:5" x14ac:dyDescent="0.25">
      <c r="A2267" s="3" t="s">
        <v>91</v>
      </c>
      <c r="B2267" s="6" t="s">
        <v>4649</v>
      </c>
      <c r="C2267" s="3" t="s">
        <v>8377</v>
      </c>
      <c r="D2267" s="3" t="s">
        <v>7603</v>
      </c>
      <c r="E2267" s="3" t="s">
        <v>6713</v>
      </c>
    </row>
    <row r="2268" spans="1:5" x14ac:dyDescent="0.25">
      <c r="A2268" s="3" t="s">
        <v>90</v>
      </c>
      <c r="B2268" s="6" t="s">
        <v>4650</v>
      </c>
      <c r="C2268" s="3" t="s">
        <v>8377</v>
      </c>
      <c r="D2268" s="3" t="s">
        <v>7169</v>
      </c>
      <c r="E2268" s="3" t="s">
        <v>6714</v>
      </c>
    </row>
    <row r="2269" spans="1:5" x14ac:dyDescent="0.25">
      <c r="A2269" s="3" t="s">
        <v>89</v>
      </c>
      <c r="B2269" s="6" t="s">
        <v>4651</v>
      </c>
      <c r="C2269" s="3" t="s">
        <v>8377</v>
      </c>
      <c r="D2269" s="3" t="s">
        <v>8343</v>
      </c>
      <c r="E2269" s="3" t="s">
        <v>6715</v>
      </c>
    </row>
    <row r="2270" spans="1:5" x14ac:dyDescent="0.25">
      <c r="A2270" s="3" t="s">
        <v>88</v>
      </c>
      <c r="B2270" s="6" t="s">
        <v>4652</v>
      </c>
      <c r="C2270" s="3" t="s">
        <v>8377</v>
      </c>
      <c r="D2270" s="3" t="s">
        <v>8344</v>
      </c>
      <c r="E2270" s="3" t="s">
        <v>4897</v>
      </c>
    </row>
    <row r="2271" spans="1:5" x14ac:dyDescent="0.25">
      <c r="A2271" s="3" t="s">
        <v>87</v>
      </c>
      <c r="B2271" s="6" t="s">
        <v>4653</v>
      </c>
      <c r="C2271" s="3" t="s">
        <v>8377</v>
      </c>
      <c r="D2271" s="3" t="s">
        <v>7817</v>
      </c>
      <c r="E2271" s="3" t="s">
        <v>5323</v>
      </c>
    </row>
    <row r="2272" spans="1:5" x14ac:dyDescent="0.25">
      <c r="A2272" s="3" t="s">
        <v>86</v>
      </c>
      <c r="B2272" s="6" t="s">
        <v>4654</v>
      </c>
      <c r="C2272" s="3" t="s">
        <v>8378</v>
      </c>
      <c r="D2272" s="3" t="s">
        <v>8345</v>
      </c>
      <c r="E2272" s="3" t="s">
        <v>6716</v>
      </c>
    </row>
    <row r="2273" spans="1:5" x14ac:dyDescent="0.25">
      <c r="A2273" s="3" t="s">
        <v>85</v>
      </c>
      <c r="B2273" s="6" t="s">
        <v>4655</v>
      </c>
      <c r="C2273" s="3" t="s">
        <v>8377</v>
      </c>
      <c r="D2273" s="3" t="s">
        <v>8346</v>
      </c>
      <c r="E2273" s="3" t="s">
        <v>6717</v>
      </c>
    </row>
    <row r="2274" spans="1:5" x14ac:dyDescent="0.25">
      <c r="A2274" s="3" t="s">
        <v>84</v>
      </c>
      <c r="B2274" s="6" t="s">
        <v>4656</v>
      </c>
      <c r="C2274" s="3" t="s">
        <v>8378</v>
      </c>
      <c r="D2274" s="3" t="s">
        <v>8347</v>
      </c>
      <c r="E2274" s="3" t="s">
        <v>4833</v>
      </c>
    </row>
    <row r="2275" spans="1:5" x14ac:dyDescent="0.25">
      <c r="A2275" s="3" t="s">
        <v>83</v>
      </c>
      <c r="B2275" s="6" t="s">
        <v>4657</v>
      </c>
      <c r="C2275" s="3" t="s">
        <v>8377</v>
      </c>
      <c r="D2275" s="3" t="s">
        <v>8296</v>
      </c>
      <c r="E2275" s="3" t="s">
        <v>6718</v>
      </c>
    </row>
    <row r="2276" spans="1:5" x14ac:dyDescent="0.25">
      <c r="A2276" s="3" t="s">
        <v>82</v>
      </c>
      <c r="B2276" s="6" t="s">
        <v>4658</v>
      </c>
      <c r="C2276" s="3" t="s">
        <v>8378</v>
      </c>
      <c r="D2276" s="3" t="s">
        <v>7126</v>
      </c>
      <c r="E2276" s="3" t="s">
        <v>6719</v>
      </c>
    </row>
    <row r="2277" spans="1:5" x14ac:dyDescent="0.25">
      <c r="A2277" s="3" t="s">
        <v>81</v>
      </c>
      <c r="B2277" s="6" t="s">
        <v>4659</v>
      </c>
      <c r="C2277" s="3" t="s">
        <v>8378</v>
      </c>
      <c r="D2277" s="3" t="s">
        <v>7525</v>
      </c>
      <c r="E2277" s="3" t="s">
        <v>6720</v>
      </c>
    </row>
    <row r="2278" spans="1:5" x14ac:dyDescent="0.25">
      <c r="A2278" s="3" t="s">
        <v>80</v>
      </c>
      <c r="B2278" s="6" t="s">
        <v>4660</v>
      </c>
      <c r="C2278" s="3" t="s">
        <v>8377</v>
      </c>
      <c r="D2278" s="3" t="s">
        <v>8348</v>
      </c>
      <c r="E2278" s="3" t="s">
        <v>6721</v>
      </c>
    </row>
    <row r="2279" spans="1:5" x14ac:dyDescent="0.25">
      <c r="A2279" s="3" t="s">
        <v>79</v>
      </c>
      <c r="B2279" s="6" t="s">
        <v>4661</v>
      </c>
      <c r="C2279" s="3" t="s">
        <v>8378</v>
      </c>
      <c r="D2279" s="3" t="s">
        <v>7414</v>
      </c>
      <c r="E2279" s="3" t="s">
        <v>6722</v>
      </c>
    </row>
    <row r="2280" spans="1:5" x14ac:dyDescent="0.25">
      <c r="A2280" s="3" t="s">
        <v>78</v>
      </c>
      <c r="B2280" s="6" t="s">
        <v>4662</v>
      </c>
      <c r="C2280" s="3" t="s">
        <v>8378</v>
      </c>
      <c r="D2280" s="3" t="s">
        <v>8349</v>
      </c>
      <c r="E2280" s="3" t="s">
        <v>4942</v>
      </c>
    </row>
    <row r="2281" spans="1:5" x14ac:dyDescent="0.25">
      <c r="A2281" s="3" t="s">
        <v>77</v>
      </c>
      <c r="B2281" s="6" t="s">
        <v>4663</v>
      </c>
      <c r="C2281" s="3" t="s">
        <v>8378</v>
      </c>
      <c r="D2281" s="3" t="s">
        <v>6817</v>
      </c>
      <c r="E2281" s="3" t="s">
        <v>6723</v>
      </c>
    </row>
    <row r="2282" spans="1:5" x14ac:dyDescent="0.25">
      <c r="A2282" s="3" t="s">
        <v>76</v>
      </c>
      <c r="B2282" s="6" t="s">
        <v>4664</v>
      </c>
      <c r="C2282" s="3" t="s">
        <v>8378</v>
      </c>
      <c r="D2282" s="3" t="s">
        <v>8350</v>
      </c>
      <c r="E2282" s="3" t="s">
        <v>6724</v>
      </c>
    </row>
    <row r="2283" spans="1:5" x14ac:dyDescent="0.25">
      <c r="A2283" s="3" t="s">
        <v>75</v>
      </c>
      <c r="B2283" s="6" t="s">
        <v>4665</v>
      </c>
      <c r="C2283" s="3" t="s">
        <v>8377</v>
      </c>
      <c r="D2283" s="3" t="s">
        <v>6820</v>
      </c>
      <c r="E2283" s="3" t="s">
        <v>4806</v>
      </c>
    </row>
    <row r="2284" spans="1:5" x14ac:dyDescent="0.25">
      <c r="A2284" s="3" t="s">
        <v>74</v>
      </c>
      <c r="B2284" s="6" t="s">
        <v>4666</v>
      </c>
      <c r="C2284" s="3" t="s">
        <v>8378</v>
      </c>
      <c r="D2284" s="3" t="s">
        <v>4772</v>
      </c>
      <c r="E2284" s="3" t="s">
        <v>6725</v>
      </c>
    </row>
    <row r="2285" spans="1:5" x14ac:dyDescent="0.25">
      <c r="A2285" s="3" t="s">
        <v>73</v>
      </c>
      <c r="B2285" s="6" t="s">
        <v>4667</v>
      </c>
      <c r="C2285" s="3" t="s">
        <v>8377</v>
      </c>
      <c r="D2285" s="3" t="s">
        <v>7457</v>
      </c>
      <c r="E2285" s="3" t="s">
        <v>6726</v>
      </c>
    </row>
    <row r="2286" spans="1:5" x14ac:dyDescent="0.25">
      <c r="A2286" s="3" t="s">
        <v>72</v>
      </c>
      <c r="B2286" s="6" t="s">
        <v>4668</v>
      </c>
      <c r="C2286" s="3" t="s">
        <v>8378</v>
      </c>
      <c r="D2286" s="3" t="s">
        <v>8351</v>
      </c>
      <c r="E2286" s="3" t="s">
        <v>6727</v>
      </c>
    </row>
    <row r="2287" spans="1:5" x14ac:dyDescent="0.25">
      <c r="A2287" s="3" t="s">
        <v>71</v>
      </c>
      <c r="B2287" s="6" t="s">
        <v>4669</v>
      </c>
      <c r="C2287" s="3" t="s">
        <v>8377</v>
      </c>
      <c r="D2287" s="3" t="s">
        <v>6827</v>
      </c>
      <c r="E2287" s="3" t="s">
        <v>6701</v>
      </c>
    </row>
    <row r="2288" spans="1:5" x14ac:dyDescent="0.25">
      <c r="A2288" s="3" t="s">
        <v>70</v>
      </c>
      <c r="B2288" s="6" t="s">
        <v>4670</v>
      </c>
      <c r="C2288" s="3" t="s">
        <v>8378</v>
      </c>
      <c r="D2288" s="3" t="s">
        <v>8352</v>
      </c>
      <c r="E2288" s="3" t="s">
        <v>6728</v>
      </c>
    </row>
    <row r="2289" spans="1:5" x14ac:dyDescent="0.25">
      <c r="A2289" s="3" t="s">
        <v>69</v>
      </c>
      <c r="B2289" s="6" t="s">
        <v>4671</v>
      </c>
      <c r="C2289" s="3" t="s">
        <v>8377</v>
      </c>
      <c r="D2289" s="3" t="s">
        <v>7819</v>
      </c>
      <c r="E2289" s="3" t="s">
        <v>6729</v>
      </c>
    </row>
    <row r="2290" spans="1:5" x14ac:dyDescent="0.25">
      <c r="A2290" s="3" t="s">
        <v>68</v>
      </c>
      <c r="B2290" s="6" t="s">
        <v>4672</v>
      </c>
      <c r="C2290" s="3" t="s">
        <v>8378</v>
      </c>
      <c r="D2290" s="3" t="s">
        <v>8353</v>
      </c>
      <c r="E2290" s="3" t="s">
        <v>6730</v>
      </c>
    </row>
    <row r="2291" spans="1:5" x14ac:dyDescent="0.25">
      <c r="A2291" s="3" t="s">
        <v>67</v>
      </c>
      <c r="B2291" s="6" t="s">
        <v>4673</v>
      </c>
      <c r="C2291" s="3" t="s">
        <v>8378</v>
      </c>
      <c r="D2291" s="3" t="s">
        <v>8354</v>
      </c>
      <c r="E2291" s="3" t="s">
        <v>6731</v>
      </c>
    </row>
    <row r="2292" spans="1:5" x14ac:dyDescent="0.25">
      <c r="A2292" s="3" t="s">
        <v>66</v>
      </c>
      <c r="B2292" s="6" t="s">
        <v>4674</v>
      </c>
      <c r="C2292" s="3" t="s">
        <v>8377</v>
      </c>
      <c r="D2292" s="3" t="s">
        <v>6974</v>
      </c>
      <c r="E2292" s="3" t="s">
        <v>4942</v>
      </c>
    </row>
    <row r="2293" spans="1:5" x14ac:dyDescent="0.25">
      <c r="A2293" s="3" t="s">
        <v>65</v>
      </c>
      <c r="B2293" s="6" t="s">
        <v>4675</v>
      </c>
      <c r="C2293" s="3" t="s">
        <v>8378</v>
      </c>
      <c r="D2293" s="3" t="s">
        <v>8355</v>
      </c>
      <c r="E2293" s="3" t="s">
        <v>6732</v>
      </c>
    </row>
    <row r="2294" spans="1:5" x14ac:dyDescent="0.25">
      <c r="A2294" s="3" t="s">
        <v>64</v>
      </c>
      <c r="B2294" s="6" t="s">
        <v>4676</v>
      </c>
      <c r="C2294" s="3" t="s">
        <v>8378</v>
      </c>
      <c r="D2294" s="3" t="s">
        <v>5229</v>
      </c>
      <c r="E2294" s="3" t="s">
        <v>4849</v>
      </c>
    </row>
    <row r="2295" spans="1:5" x14ac:dyDescent="0.25">
      <c r="A2295" s="3" t="s">
        <v>63</v>
      </c>
      <c r="B2295" s="6" t="s">
        <v>4677</v>
      </c>
      <c r="C2295" s="3" t="s">
        <v>8377</v>
      </c>
      <c r="D2295" s="3" t="s">
        <v>6827</v>
      </c>
      <c r="E2295" s="3" t="s">
        <v>6733</v>
      </c>
    </row>
    <row r="2296" spans="1:5" x14ac:dyDescent="0.25">
      <c r="A2296" s="3" t="s">
        <v>62</v>
      </c>
      <c r="B2296" s="6" t="s">
        <v>4678</v>
      </c>
      <c r="C2296" s="3" t="s">
        <v>8378</v>
      </c>
      <c r="D2296" s="3" t="s">
        <v>7313</v>
      </c>
      <c r="E2296" s="3" t="s">
        <v>6734</v>
      </c>
    </row>
    <row r="2297" spans="1:5" x14ac:dyDescent="0.25">
      <c r="A2297" s="3" t="s">
        <v>61</v>
      </c>
      <c r="B2297" s="6" t="s">
        <v>4679</v>
      </c>
      <c r="C2297" s="3" t="s">
        <v>8378</v>
      </c>
      <c r="D2297" s="3" t="s">
        <v>8356</v>
      </c>
      <c r="E2297" s="3" t="s">
        <v>6735</v>
      </c>
    </row>
    <row r="2298" spans="1:5" x14ac:dyDescent="0.25">
      <c r="A2298" s="3" t="s">
        <v>60</v>
      </c>
      <c r="B2298" s="6" t="s">
        <v>4680</v>
      </c>
      <c r="C2298" s="3" t="s">
        <v>8378</v>
      </c>
      <c r="D2298" s="3" t="s">
        <v>8357</v>
      </c>
      <c r="E2298" s="3" t="s">
        <v>6736</v>
      </c>
    </row>
    <row r="2299" spans="1:5" x14ac:dyDescent="0.25">
      <c r="A2299" s="3" t="s">
        <v>59</v>
      </c>
      <c r="B2299" s="6" t="s">
        <v>4681</v>
      </c>
      <c r="C2299" s="3" t="s">
        <v>8377</v>
      </c>
      <c r="D2299" s="3" t="s">
        <v>8358</v>
      </c>
      <c r="E2299" s="3" t="s">
        <v>6737</v>
      </c>
    </row>
    <row r="2300" spans="1:5" x14ac:dyDescent="0.25">
      <c r="A2300" s="3" t="s">
        <v>58</v>
      </c>
      <c r="B2300" s="6" t="s">
        <v>4682</v>
      </c>
      <c r="C2300" s="3" t="s">
        <v>8378</v>
      </c>
      <c r="D2300" s="3" t="s">
        <v>8359</v>
      </c>
      <c r="E2300" s="3" t="s">
        <v>6738</v>
      </c>
    </row>
    <row r="2301" spans="1:5" x14ac:dyDescent="0.25">
      <c r="A2301" s="3" t="s">
        <v>57</v>
      </c>
      <c r="B2301" s="6" t="s">
        <v>4683</v>
      </c>
      <c r="C2301" s="3" t="s">
        <v>8378</v>
      </c>
      <c r="D2301" s="3" t="s">
        <v>5893</v>
      </c>
      <c r="E2301" s="3" t="s">
        <v>6739</v>
      </c>
    </row>
    <row r="2302" spans="1:5" x14ac:dyDescent="0.25">
      <c r="A2302" s="3" t="s">
        <v>56</v>
      </c>
      <c r="B2302" s="6" t="s">
        <v>4684</v>
      </c>
      <c r="C2302" s="3" t="s">
        <v>8378</v>
      </c>
      <c r="D2302" s="3" t="s">
        <v>8360</v>
      </c>
      <c r="E2302" s="3" t="s">
        <v>6740</v>
      </c>
    </row>
    <row r="2303" spans="1:5" x14ac:dyDescent="0.25">
      <c r="A2303" s="3" t="s">
        <v>55</v>
      </c>
      <c r="B2303" s="6" t="s">
        <v>4685</v>
      </c>
      <c r="C2303" s="3" t="s">
        <v>8378</v>
      </c>
      <c r="D2303" s="3" t="s">
        <v>4772</v>
      </c>
      <c r="E2303" s="3" t="s">
        <v>5034</v>
      </c>
    </row>
    <row r="2304" spans="1:5" x14ac:dyDescent="0.25">
      <c r="A2304" s="3" t="s">
        <v>54</v>
      </c>
      <c r="B2304" s="6" t="s">
        <v>4686</v>
      </c>
      <c r="C2304" s="3" t="s">
        <v>8377</v>
      </c>
      <c r="D2304" s="3" t="s">
        <v>8361</v>
      </c>
      <c r="E2304" s="3" t="s">
        <v>6741</v>
      </c>
    </row>
    <row r="2305" spans="1:5" x14ac:dyDescent="0.25">
      <c r="A2305" s="3" t="s">
        <v>53</v>
      </c>
      <c r="B2305" s="6" t="s">
        <v>4687</v>
      </c>
      <c r="C2305" s="3" t="s">
        <v>8378</v>
      </c>
      <c r="D2305" s="3" t="s">
        <v>7126</v>
      </c>
      <c r="E2305" s="3" t="s">
        <v>6742</v>
      </c>
    </row>
    <row r="2306" spans="1:5" x14ac:dyDescent="0.25">
      <c r="A2306" s="3" t="s">
        <v>52</v>
      </c>
      <c r="B2306" s="6" t="s">
        <v>4688</v>
      </c>
      <c r="C2306" s="3" t="s">
        <v>8378</v>
      </c>
      <c r="D2306" s="3" t="s">
        <v>8362</v>
      </c>
      <c r="E2306" s="3" t="s">
        <v>6743</v>
      </c>
    </row>
    <row r="2307" spans="1:5" x14ac:dyDescent="0.25">
      <c r="A2307" s="3" t="s">
        <v>51</v>
      </c>
      <c r="B2307" s="6" t="s">
        <v>4689</v>
      </c>
      <c r="C2307" s="3" t="s">
        <v>8378</v>
      </c>
      <c r="D2307" s="3" t="s">
        <v>7590</v>
      </c>
      <c r="E2307" s="3" t="s">
        <v>6744</v>
      </c>
    </row>
    <row r="2308" spans="1:5" x14ac:dyDescent="0.25">
      <c r="A2308" s="3" t="s">
        <v>50</v>
      </c>
      <c r="B2308" s="6" t="s">
        <v>4690</v>
      </c>
      <c r="C2308" s="3" t="s">
        <v>8377</v>
      </c>
      <c r="D2308" s="3" t="s">
        <v>4771</v>
      </c>
      <c r="E2308" s="3" t="s">
        <v>6745</v>
      </c>
    </row>
    <row r="2309" spans="1:5" x14ac:dyDescent="0.25">
      <c r="A2309" s="3" t="s">
        <v>49</v>
      </c>
      <c r="B2309" s="6" t="s">
        <v>4691</v>
      </c>
      <c r="C2309" s="3" t="s">
        <v>8377</v>
      </c>
      <c r="D2309" s="3" t="s">
        <v>8005</v>
      </c>
      <c r="E2309" s="3" t="s">
        <v>6746</v>
      </c>
    </row>
    <row r="2310" spans="1:5" x14ac:dyDescent="0.25">
      <c r="A2310" s="3" t="s">
        <v>48</v>
      </c>
      <c r="B2310" s="6" t="s">
        <v>4692</v>
      </c>
      <c r="C2310" s="3" t="s">
        <v>8377</v>
      </c>
      <c r="D2310" s="3" t="s">
        <v>7988</v>
      </c>
      <c r="E2310" s="3" t="s">
        <v>6382</v>
      </c>
    </row>
    <row r="2311" spans="1:5" x14ac:dyDescent="0.25">
      <c r="A2311" s="3" t="s">
        <v>47</v>
      </c>
      <c r="B2311" s="6" t="s">
        <v>4693</v>
      </c>
      <c r="C2311" s="3" t="s">
        <v>8378</v>
      </c>
      <c r="D2311" s="3" t="s">
        <v>6882</v>
      </c>
      <c r="E2311" s="3" t="s">
        <v>4897</v>
      </c>
    </row>
    <row r="2312" spans="1:5" x14ac:dyDescent="0.25">
      <c r="A2312" s="3" t="s">
        <v>46</v>
      </c>
      <c r="B2312" s="6" t="s">
        <v>4694</v>
      </c>
      <c r="C2312" s="3" t="s">
        <v>8379</v>
      </c>
      <c r="D2312" s="3" t="s">
        <v>7265</v>
      </c>
      <c r="E2312" s="3" t="s">
        <v>6747</v>
      </c>
    </row>
    <row r="2313" spans="1:5" x14ac:dyDescent="0.25">
      <c r="A2313" s="3" t="s">
        <v>45</v>
      </c>
      <c r="B2313" s="6" t="s">
        <v>4695</v>
      </c>
      <c r="C2313" s="3" t="s">
        <v>8377</v>
      </c>
      <c r="D2313" s="3" t="s">
        <v>6008</v>
      </c>
      <c r="E2313" s="3" t="s">
        <v>6748</v>
      </c>
    </row>
    <row r="2314" spans="1:5" x14ac:dyDescent="0.25">
      <c r="A2314" s="3" t="s">
        <v>44</v>
      </c>
      <c r="B2314" s="6" t="s">
        <v>4696</v>
      </c>
      <c r="C2314" s="3" t="s">
        <v>8378</v>
      </c>
      <c r="D2314" s="3" t="s">
        <v>6787</v>
      </c>
      <c r="E2314" s="3" t="s">
        <v>6749</v>
      </c>
    </row>
    <row r="2315" spans="1:5" x14ac:dyDescent="0.25">
      <c r="A2315" s="3" t="s">
        <v>43</v>
      </c>
      <c r="B2315" s="6" t="s">
        <v>4697</v>
      </c>
      <c r="C2315" s="3" t="s">
        <v>8377</v>
      </c>
      <c r="D2315" s="3" t="s">
        <v>7481</v>
      </c>
      <c r="E2315" s="3" t="s">
        <v>6750</v>
      </c>
    </row>
    <row r="2316" spans="1:5" x14ac:dyDescent="0.25">
      <c r="A2316" s="3" t="s">
        <v>42</v>
      </c>
      <c r="B2316" s="6" t="s">
        <v>4698</v>
      </c>
      <c r="C2316" s="3" t="s">
        <v>8377</v>
      </c>
      <c r="D2316" s="3" t="s">
        <v>8363</v>
      </c>
      <c r="E2316" s="3" t="s">
        <v>5573</v>
      </c>
    </row>
    <row r="2317" spans="1:5" x14ac:dyDescent="0.25">
      <c r="A2317" s="3" t="s">
        <v>40</v>
      </c>
      <c r="B2317" s="6" t="s">
        <v>4699</v>
      </c>
      <c r="C2317" s="3" t="s">
        <v>8378</v>
      </c>
      <c r="D2317" s="3" t="s">
        <v>8364</v>
      </c>
      <c r="E2317" s="3" t="s">
        <v>5051</v>
      </c>
    </row>
    <row r="2318" spans="1:5" x14ac:dyDescent="0.25">
      <c r="A2318" s="3" t="s">
        <v>39</v>
      </c>
      <c r="B2318" s="6" t="s">
        <v>4700</v>
      </c>
      <c r="C2318" s="3" t="s">
        <v>8378</v>
      </c>
      <c r="D2318" s="3" t="s">
        <v>7364</v>
      </c>
      <c r="E2318" s="3" t="s">
        <v>6751</v>
      </c>
    </row>
    <row r="2319" spans="1:5" x14ac:dyDescent="0.25">
      <c r="A2319" s="3" t="s">
        <v>38</v>
      </c>
      <c r="B2319" s="6" t="s">
        <v>4701</v>
      </c>
      <c r="C2319" s="3" t="s">
        <v>8377</v>
      </c>
      <c r="D2319" s="3" t="s">
        <v>8365</v>
      </c>
      <c r="E2319" s="3" t="s">
        <v>6314</v>
      </c>
    </row>
    <row r="2320" spans="1:5" x14ac:dyDescent="0.25">
      <c r="A2320" s="3" t="s">
        <v>37</v>
      </c>
      <c r="B2320" s="6" t="s">
        <v>4702</v>
      </c>
      <c r="C2320" s="3" t="s">
        <v>8378</v>
      </c>
      <c r="D2320" s="3" t="s">
        <v>8366</v>
      </c>
      <c r="E2320" s="3" t="s">
        <v>6752</v>
      </c>
    </row>
    <row r="2321" spans="1:5" x14ac:dyDescent="0.25">
      <c r="A2321" s="3" t="s">
        <v>35</v>
      </c>
      <c r="B2321" s="6" t="s">
        <v>4703</v>
      </c>
      <c r="C2321" s="3" t="s">
        <v>8377</v>
      </c>
      <c r="D2321" s="3" t="s">
        <v>8367</v>
      </c>
      <c r="E2321" s="3" t="s">
        <v>6753</v>
      </c>
    </row>
    <row r="2322" spans="1:5" x14ac:dyDescent="0.25">
      <c r="A2322" s="3" t="s">
        <v>33</v>
      </c>
      <c r="B2322" s="6" t="s">
        <v>4704</v>
      </c>
      <c r="C2322" s="3" t="s">
        <v>8378</v>
      </c>
      <c r="D2322" s="3" t="s">
        <v>5603</v>
      </c>
      <c r="E2322" s="3" t="s">
        <v>6754</v>
      </c>
    </row>
    <row r="2323" spans="1:5" x14ac:dyDescent="0.25">
      <c r="A2323" s="3" t="s">
        <v>32</v>
      </c>
      <c r="B2323" s="6" t="s">
        <v>4705</v>
      </c>
      <c r="C2323" s="3" t="s">
        <v>8377</v>
      </c>
      <c r="D2323" s="3" t="s">
        <v>8368</v>
      </c>
      <c r="E2323" s="3" t="s">
        <v>6755</v>
      </c>
    </row>
    <row r="2324" spans="1:5" x14ac:dyDescent="0.25">
      <c r="A2324" s="3" t="s">
        <v>31</v>
      </c>
      <c r="B2324" s="6" t="s">
        <v>4706</v>
      </c>
      <c r="C2324" s="3" t="s">
        <v>8378</v>
      </c>
      <c r="D2324" s="3" t="s">
        <v>6882</v>
      </c>
      <c r="E2324" s="3" t="s">
        <v>6756</v>
      </c>
    </row>
    <row r="2325" spans="1:5" x14ac:dyDescent="0.25">
      <c r="A2325" s="3" t="s">
        <v>28</v>
      </c>
      <c r="B2325" s="6" t="s">
        <v>4707</v>
      </c>
      <c r="C2325" s="3" t="s">
        <v>8377</v>
      </c>
      <c r="D2325" s="3" t="s">
        <v>8369</v>
      </c>
      <c r="E2325" s="3" t="s">
        <v>6757</v>
      </c>
    </row>
    <row r="2326" spans="1:5" x14ac:dyDescent="0.25">
      <c r="A2326" s="3" t="s">
        <v>27</v>
      </c>
      <c r="B2326" s="6" t="s">
        <v>4708</v>
      </c>
      <c r="C2326" s="3" t="s">
        <v>8378</v>
      </c>
      <c r="D2326" s="3" t="s">
        <v>8370</v>
      </c>
      <c r="E2326" s="3" t="s">
        <v>5471</v>
      </c>
    </row>
    <row r="2327" spans="1:5" x14ac:dyDescent="0.25">
      <c r="A2327" s="3" t="s">
        <v>26</v>
      </c>
      <c r="B2327" s="6" t="s">
        <v>4709</v>
      </c>
      <c r="C2327" s="3" t="s">
        <v>8378</v>
      </c>
      <c r="D2327" s="3" t="s">
        <v>8371</v>
      </c>
      <c r="E2327" s="3" t="s">
        <v>6758</v>
      </c>
    </row>
    <row r="2328" spans="1:5" x14ac:dyDescent="0.25">
      <c r="A2328" s="3" t="s">
        <v>25</v>
      </c>
      <c r="B2328" s="6" t="s">
        <v>4710</v>
      </c>
      <c r="C2328" s="3" t="s">
        <v>8377</v>
      </c>
      <c r="D2328" s="3" t="s">
        <v>7571</v>
      </c>
      <c r="E2328" s="3" t="s">
        <v>5101</v>
      </c>
    </row>
    <row r="2329" spans="1:5" x14ac:dyDescent="0.25">
      <c r="A2329" s="3" t="s">
        <v>24</v>
      </c>
      <c r="B2329" s="6" t="s">
        <v>4711</v>
      </c>
      <c r="C2329" s="3" t="s">
        <v>8377</v>
      </c>
      <c r="D2329" s="3" t="s">
        <v>6771</v>
      </c>
      <c r="E2329" s="3" t="s">
        <v>6759</v>
      </c>
    </row>
    <row r="2330" spans="1:5" x14ac:dyDescent="0.25">
      <c r="A2330" s="3" t="s">
        <v>23</v>
      </c>
      <c r="B2330" s="6" t="s">
        <v>4712</v>
      </c>
      <c r="C2330" s="3" t="s">
        <v>8377</v>
      </c>
      <c r="D2330" s="3" t="s">
        <v>8372</v>
      </c>
      <c r="E2330" s="3" t="s">
        <v>6760</v>
      </c>
    </row>
    <row r="2331" spans="1:5" x14ac:dyDescent="0.25">
      <c r="A2331" s="3" t="s">
        <v>21</v>
      </c>
      <c r="B2331" s="6" t="s">
        <v>4713</v>
      </c>
      <c r="C2331" s="3" t="s">
        <v>8377</v>
      </c>
      <c r="D2331" s="3" t="s">
        <v>8373</v>
      </c>
      <c r="E2331" s="3" t="s">
        <v>6761</v>
      </c>
    </row>
    <row r="2332" spans="1:5" x14ac:dyDescent="0.25">
      <c r="A2332" s="3" t="s">
        <v>20</v>
      </c>
      <c r="B2332" s="6" t="s">
        <v>4714</v>
      </c>
      <c r="C2332" s="3" t="s">
        <v>8378</v>
      </c>
      <c r="D2332" s="3" t="s">
        <v>7089</v>
      </c>
      <c r="E2332" s="3" t="s">
        <v>6762</v>
      </c>
    </row>
    <row r="2333" spans="1:5" x14ac:dyDescent="0.25">
      <c r="A2333" s="3" t="s">
        <v>18</v>
      </c>
      <c r="B2333" s="6" t="s">
        <v>4715</v>
      </c>
      <c r="C2333" s="3" t="s">
        <v>8378</v>
      </c>
      <c r="D2333" s="3" t="s">
        <v>8374</v>
      </c>
      <c r="E2333" s="3" t="s">
        <v>6763</v>
      </c>
    </row>
    <row r="2334" spans="1:5" x14ac:dyDescent="0.25">
      <c r="A2334" s="3" t="s">
        <v>16</v>
      </c>
      <c r="B2334" s="6" t="s">
        <v>4716</v>
      </c>
      <c r="C2334" s="3" t="s">
        <v>8377</v>
      </c>
      <c r="D2334" s="3" t="s">
        <v>7996</v>
      </c>
      <c r="E2334" s="3" t="s">
        <v>6764</v>
      </c>
    </row>
    <row r="2335" spans="1:5" x14ac:dyDescent="0.25">
      <c r="A2335" s="3" t="s">
        <v>13</v>
      </c>
      <c r="B2335" s="6" t="s">
        <v>4717</v>
      </c>
      <c r="C2335" s="3" t="s">
        <v>8378</v>
      </c>
      <c r="D2335" s="3" t="s">
        <v>8375</v>
      </c>
      <c r="E2335" s="3" t="s">
        <v>6765</v>
      </c>
    </row>
    <row r="2336" spans="1:5" x14ac:dyDescent="0.25">
      <c r="A2336" s="3" t="s">
        <v>8</v>
      </c>
      <c r="B2336" s="6" t="s">
        <v>4718</v>
      </c>
      <c r="C2336" s="3" t="s">
        <v>8378</v>
      </c>
      <c r="D2336" s="3" t="s">
        <v>8376</v>
      </c>
      <c r="E2336" s="3" t="s">
        <v>6766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706C0-794C-4AB4-BD46-6FCE44B81291}">
  <dimension ref="A1:P2344"/>
  <sheetViews>
    <sheetView zoomScale="76" workbookViewId="0">
      <selection activeCell="A2" sqref="A2:A2344"/>
    </sheetView>
  </sheetViews>
  <sheetFormatPr defaultRowHeight="15" x14ac:dyDescent="0.25"/>
  <cols>
    <col min="1" max="1" width="14.140625" bestFit="1" customWidth="1"/>
    <col min="2" max="2" width="7.140625" bestFit="1" customWidth="1"/>
    <col min="3" max="3" width="8.7109375" bestFit="1" customWidth="1"/>
    <col min="5" max="5" width="10.7109375" bestFit="1" customWidth="1"/>
    <col min="6" max="6" width="7.28515625" bestFit="1" customWidth="1"/>
    <col min="7" max="7" width="14.42578125" bestFit="1" customWidth="1"/>
    <col min="8" max="8" width="10.5703125" bestFit="1" customWidth="1"/>
    <col min="9" max="9" width="19.85546875" bestFit="1" customWidth="1"/>
    <col min="10" max="10" width="14.140625" bestFit="1" customWidth="1"/>
    <col min="11" max="11" width="10.28515625" bestFit="1" customWidth="1"/>
    <col min="12" max="12" width="10.140625" bestFit="1" customWidth="1"/>
    <col min="13" max="13" width="6.7109375" bestFit="1" customWidth="1"/>
    <col min="14" max="15" width="12.140625" bestFit="1" customWidth="1"/>
    <col min="16" max="16" width="11.140625" bestFit="1" customWidth="1"/>
  </cols>
  <sheetData>
    <row r="1" spans="1:16" x14ac:dyDescent="0.25">
      <c r="A1" t="s">
        <v>0</v>
      </c>
      <c r="B1" t="s">
        <v>1</v>
      </c>
      <c r="C1" t="s">
        <v>4731</v>
      </c>
      <c r="D1" t="s">
        <v>2</v>
      </c>
      <c r="E1" t="s">
        <v>4730</v>
      </c>
      <c r="F1" t="s">
        <v>3</v>
      </c>
      <c r="G1" t="s">
        <v>10718</v>
      </c>
      <c r="H1" t="s">
        <v>4</v>
      </c>
      <c r="I1" t="s">
        <v>8381</v>
      </c>
      <c r="J1" t="s">
        <v>5</v>
      </c>
      <c r="K1" t="s">
        <v>6</v>
      </c>
      <c r="L1" t="s">
        <v>7</v>
      </c>
      <c r="M1" t="s">
        <v>10719</v>
      </c>
      <c r="N1" t="s">
        <v>4739</v>
      </c>
      <c r="O1" t="s">
        <v>4740</v>
      </c>
      <c r="P1" t="s">
        <v>4732</v>
      </c>
    </row>
    <row r="2" spans="1:16" x14ac:dyDescent="0.25">
      <c r="A2" s="3" t="s">
        <v>8</v>
      </c>
      <c r="B2">
        <v>1992</v>
      </c>
      <c r="C2">
        <v>1992</v>
      </c>
      <c r="D2" s="3" t="s">
        <v>9</v>
      </c>
      <c r="E2" s="3" t="s">
        <v>9</v>
      </c>
      <c r="F2">
        <v>9</v>
      </c>
      <c r="G2" s="7">
        <v>33794</v>
      </c>
      <c r="H2">
        <v>0</v>
      </c>
      <c r="I2" s="3" t="s">
        <v>8382</v>
      </c>
      <c r="J2" s="3" t="s">
        <v>10</v>
      </c>
      <c r="K2" s="3" t="s">
        <v>11</v>
      </c>
      <c r="L2" s="3" t="s">
        <v>12</v>
      </c>
      <c r="M2">
        <v>34</v>
      </c>
      <c r="N2" s="3" t="s">
        <v>4729</v>
      </c>
      <c r="O2">
        <v>6</v>
      </c>
    </row>
    <row r="3" spans="1:16" x14ac:dyDescent="0.25">
      <c r="A3" s="3" t="s">
        <v>13</v>
      </c>
      <c r="B3">
        <v>1992</v>
      </c>
      <c r="C3">
        <v>1992</v>
      </c>
      <c r="D3" s="3" t="s">
        <v>14</v>
      </c>
      <c r="E3" s="3" t="s">
        <v>14</v>
      </c>
      <c r="F3">
        <v>30</v>
      </c>
      <c r="G3" s="7">
        <v>33938</v>
      </c>
      <c r="H3">
        <v>0</v>
      </c>
      <c r="I3" s="3" t="s">
        <v>8383</v>
      </c>
      <c r="J3" s="3" t="s">
        <v>10</v>
      </c>
      <c r="K3" s="3" t="s">
        <v>15</v>
      </c>
      <c r="L3" s="3" t="s">
        <v>12</v>
      </c>
      <c r="M3">
        <v>34</v>
      </c>
      <c r="N3" s="3" t="s">
        <v>4723</v>
      </c>
      <c r="O3">
        <v>2</v>
      </c>
    </row>
    <row r="4" spans="1:16" x14ac:dyDescent="0.25">
      <c r="A4" s="3" t="s">
        <v>16</v>
      </c>
      <c r="B4">
        <v>1993</v>
      </c>
      <c r="C4">
        <v>1993</v>
      </c>
      <c r="D4" s="3" t="s">
        <v>17</v>
      </c>
      <c r="E4" s="3" t="s">
        <v>17</v>
      </c>
      <c r="F4">
        <v>30</v>
      </c>
      <c r="G4" s="7">
        <v>34150</v>
      </c>
      <c r="H4">
        <v>0</v>
      </c>
      <c r="I4" s="3" t="s">
        <v>8384</v>
      </c>
      <c r="J4" s="3" t="s">
        <v>10</v>
      </c>
      <c r="K4" s="3" t="s">
        <v>15</v>
      </c>
      <c r="L4" s="3" t="s">
        <v>12</v>
      </c>
      <c r="M4">
        <v>33</v>
      </c>
      <c r="N4" s="3" t="s">
        <v>4722</v>
      </c>
      <c r="O4">
        <v>3</v>
      </c>
    </row>
    <row r="5" spans="1:16" x14ac:dyDescent="0.25">
      <c r="A5" s="3" t="s">
        <v>18</v>
      </c>
      <c r="B5">
        <v>1992</v>
      </c>
      <c r="C5">
        <v>1992</v>
      </c>
      <c r="D5" s="3" t="s">
        <v>19</v>
      </c>
      <c r="E5" s="3" t="s">
        <v>19</v>
      </c>
      <c r="F5">
        <v>13</v>
      </c>
      <c r="G5" s="7">
        <v>33860</v>
      </c>
      <c r="H5">
        <v>0</v>
      </c>
      <c r="I5" s="3" t="s">
        <v>8385</v>
      </c>
      <c r="J5" s="3" t="s">
        <v>11</v>
      </c>
      <c r="K5" s="3" t="s">
        <v>11</v>
      </c>
      <c r="L5" s="3" t="s">
        <v>12</v>
      </c>
      <c r="M5">
        <v>34</v>
      </c>
      <c r="N5" s="3" t="s">
        <v>4724</v>
      </c>
      <c r="O5">
        <v>0</v>
      </c>
    </row>
    <row r="6" spans="1:16" x14ac:dyDescent="0.25">
      <c r="A6" s="3" t="s">
        <v>20</v>
      </c>
      <c r="B6">
        <v>1998</v>
      </c>
      <c r="C6">
        <v>1998</v>
      </c>
      <c r="D6" s="3" t="s">
        <v>9</v>
      </c>
      <c r="E6" s="3" t="s">
        <v>9</v>
      </c>
      <c r="F6">
        <v>27</v>
      </c>
      <c r="G6" s="7">
        <v>36003</v>
      </c>
      <c r="H6">
        <v>0</v>
      </c>
      <c r="I6" s="3" t="s">
        <v>8386</v>
      </c>
      <c r="J6" s="3" t="s">
        <v>11</v>
      </c>
      <c r="K6" s="3" t="s">
        <v>11</v>
      </c>
      <c r="L6" s="3" t="s">
        <v>12</v>
      </c>
      <c r="M6">
        <v>28</v>
      </c>
      <c r="N6" s="3" t="s">
        <v>4725</v>
      </c>
      <c r="O6">
        <v>0</v>
      </c>
    </row>
    <row r="7" spans="1:16" x14ac:dyDescent="0.25">
      <c r="A7" s="3" t="s">
        <v>21</v>
      </c>
      <c r="B7">
        <v>2001</v>
      </c>
      <c r="C7">
        <v>2001</v>
      </c>
      <c r="D7" s="3" t="s">
        <v>14</v>
      </c>
      <c r="E7" s="3" t="s">
        <v>14</v>
      </c>
      <c r="F7">
        <v>20</v>
      </c>
      <c r="G7" s="7">
        <v>37215</v>
      </c>
      <c r="H7">
        <v>0</v>
      </c>
      <c r="I7" s="3" t="s">
        <v>8387</v>
      </c>
      <c r="J7" s="3" t="s">
        <v>11</v>
      </c>
      <c r="K7" s="3" t="s">
        <v>11</v>
      </c>
      <c r="L7" s="3" t="s">
        <v>22</v>
      </c>
      <c r="M7">
        <v>25</v>
      </c>
      <c r="N7" s="3" t="s">
        <v>4726</v>
      </c>
      <c r="O7">
        <v>0</v>
      </c>
    </row>
    <row r="8" spans="1:16" x14ac:dyDescent="0.25">
      <c r="A8" s="3" t="s">
        <v>23</v>
      </c>
      <c r="B8">
        <v>1993</v>
      </c>
      <c r="C8">
        <v>1993</v>
      </c>
      <c r="D8" s="3" t="s">
        <v>17</v>
      </c>
      <c r="E8" s="3" t="s">
        <v>17</v>
      </c>
      <c r="F8">
        <v>1</v>
      </c>
      <c r="G8" s="7">
        <v>34121</v>
      </c>
      <c r="H8">
        <v>0</v>
      </c>
      <c r="I8" s="3" t="s">
        <v>8388</v>
      </c>
      <c r="J8" s="3" t="s">
        <v>11</v>
      </c>
      <c r="K8" s="3" t="s">
        <v>11</v>
      </c>
      <c r="L8" s="3" t="s">
        <v>12</v>
      </c>
      <c r="M8">
        <v>33</v>
      </c>
      <c r="N8" s="3" t="s">
        <v>4727</v>
      </c>
      <c r="O8">
        <v>1</v>
      </c>
    </row>
    <row r="9" spans="1:16" x14ac:dyDescent="0.25">
      <c r="A9" s="3" t="s">
        <v>24</v>
      </c>
      <c r="B9">
        <v>1995</v>
      </c>
      <c r="C9">
        <v>1995</v>
      </c>
      <c r="D9" s="3" t="s">
        <v>9</v>
      </c>
      <c r="E9" s="3" t="s">
        <v>9</v>
      </c>
      <c r="F9">
        <v>4</v>
      </c>
      <c r="G9" s="7">
        <v>34884</v>
      </c>
      <c r="H9">
        <v>0</v>
      </c>
      <c r="I9" s="3" t="s">
        <v>8388</v>
      </c>
      <c r="J9" s="3" t="s">
        <v>11</v>
      </c>
      <c r="K9" s="3" t="s">
        <v>11</v>
      </c>
      <c r="L9" s="3" t="s">
        <v>12</v>
      </c>
      <c r="M9">
        <v>31</v>
      </c>
      <c r="N9" s="3" t="s">
        <v>6</v>
      </c>
      <c r="O9">
        <v>1</v>
      </c>
    </row>
    <row r="10" spans="1:16" x14ac:dyDescent="0.25">
      <c r="A10" s="3" t="s">
        <v>25</v>
      </c>
      <c r="B10">
        <v>2002</v>
      </c>
      <c r="C10">
        <v>2002</v>
      </c>
      <c r="D10" s="3" t="s">
        <v>14</v>
      </c>
      <c r="E10" s="3" t="s">
        <v>14</v>
      </c>
      <c r="F10">
        <v>29</v>
      </c>
      <c r="G10" s="7">
        <v>37589</v>
      </c>
      <c r="H10">
        <v>0</v>
      </c>
      <c r="I10" s="3" t="s">
        <v>8389</v>
      </c>
      <c r="J10" s="3" t="s">
        <v>11</v>
      </c>
      <c r="K10" s="3" t="s">
        <v>10</v>
      </c>
      <c r="L10" s="3" t="s">
        <v>22</v>
      </c>
      <c r="M10">
        <v>24</v>
      </c>
      <c r="N10" s="3" t="s">
        <v>4728</v>
      </c>
      <c r="O10">
        <v>2</v>
      </c>
    </row>
    <row r="11" spans="1:16" x14ac:dyDescent="0.25">
      <c r="A11" s="3" t="s">
        <v>26</v>
      </c>
      <c r="B11">
        <v>1997</v>
      </c>
      <c r="C11">
        <v>1997</v>
      </c>
      <c r="D11" s="3" t="s">
        <v>14</v>
      </c>
      <c r="E11" s="3" t="s">
        <v>14</v>
      </c>
      <c r="F11">
        <v>9</v>
      </c>
      <c r="G11" s="7">
        <v>35743</v>
      </c>
      <c r="H11">
        <v>0</v>
      </c>
      <c r="I11" s="3" t="s">
        <v>8390</v>
      </c>
      <c r="J11" s="3" t="s">
        <v>11</v>
      </c>
      <c r="K11" s="3" t="s">
        <v>11</v>
      </c>
      <c r="L11" s="3" t="s">
        <v>12</v>
      </c>
      <c r="M11">
        <v>29</v>
      </c>
      <c r="N11" s="3"/>
    </row>
    <row r="12" spans="1:16" x14ac:dyDescent="0.25">
      <c r="A12" s="3" t="s">
        <v>27</v>
      </c>
      <c r="B12">
        <v>2001</v>
      </c>
      <c r="C12">
        <v>2001</v>
      </c>
      <c r="D12" s="3" t="s">
        <v>19</v>
      </c>
      <c r="E12" s="3" t="s">
        <v>19</v>
      </c>
      <c r="F12">
        <v>12</v>
      </c>
      <c r="G12" s="7">
        <v>37146</v>
      </c>
      <c r="H12">
        <v>0</v>
      </c>
      <c r="I12" s="3" t="s">
        <v>8391</v>
      </c>
      <c r="J12" s="3" t="s">
        <v>11</v>
      </c>
      <c r="K12" s="3" t="s">
        <v>10</v>
      </c>
      <c r="L12" s="3" t="s">
        <v>12</v>
      </c>
      <c r="M12">
        <v>25</v>
      </c>
      <c r="N12" s="3"/>
    </row>
    <row r="13" spans="1:16" x14ac:dyDescent="0.25">
      <c r="A13" s="3" t="s">
        <v>28</v>
      </c>
      <c r="B13">
        <v>1999</v>
      </c>
      <c r="C13">
        <v>1999</v>
      </c>
      <c r="D13" s="3" t="s">
        <v>29</v>
      </c>
      <c r="E13" s="3" t="s">
        <v>29</v>
      </c>
      <c r="F13">
        <v>26</v>
      </c>
      <c r="G13" s="7">
        <v>36520</v>
      </c>
      <c r="H13">
        <v>0</v>
      </c>
      <c r="I13" s="3" t="s">
        <v>8392</v>
      </c>
      <c r="J13" s="3" t="s">
        <v>4741</v>
      </c>
      <c r="K13" s="3" t="s">
        <v>11</v>
      </c>
      <c r="L13" s="3" t="s">
        <v>12</v>
      </c>
      <c r="M13">
        <v>27</v>
      </c>
      <c r="N13" s="3"/>
    </row>
    <row r="14" spans="1:16" x14ac:dyDescent="0.25">
      <c r="A14" s="3" t="s">
        <v>31</v>
      </c>
      <c r="B14">
        <v>1999</v>
      </c>
      <c r="C14">
        <v>1999</v>
      </c>
      <c r="D14" s="3" t="s">
        <v>29</v>
      </c>
      <c r="E14" s="3" t="s">
        <v>29</v>
      </c>
      <c r="F14">
        <v>14</v>
      </c>
      <c r="G14" s="7">
        <v>36508</v>
      </c>
      <c r="H14">
        <v>0</v>
      </c>
      <c r="I14" s="3" t="s">
        <v>8393</v>
      </c>
      <c r="J14" s="3" t="s">
        <v>11</v>
      </c>
      <c r="K14" s="3" t="s">
        <v>15</v>
      </c>
      <c r="L14" s="3" t="s">
        <v>12</v>
      </c>
      <c r="M14">
        <v>27</v>
      </c>
      <c r="N14" s="3"/>
    </row>
    <row r="15" spans="1:16" x14ac:dyDescent="0.25">
      <c r="A15" s="3" t="s">
        <v>32</v>
      </c>
      <c r="B15">
        <v>2002</v>
      </c>
      <c r="C15">
        <v>2002</v>
      </c>
      <c r="D15" s="3" t="s">
        <v>30</v>
      </c>
      <c r="E15" s="3" t="s">
        <v>19</v>
      </c>
      <c r="F15">
        <v>19</v>
      </c>
      <c r="G15" s="7">
        <v>37518</v>
      </c>
      <c r="H15">
        <v>0</v>
      </c>
      <c r="I15" s="3" t="s">
        <v>8394</v>
      </c>
      <c r="J15" s="3" t="s">
        <v>11</v>
      </c>
      <c r="K15" s="3" t="s">
        <v>15</v>
      </c>
      <c r="L15" s="3" t="s">
        <v>22</v>
      </c>
      <c r="M15">
        <v>24</v>
      </c>
      <c r="N15" s="3"/>
    </row>
    <row r="16" spans="1:16" x14ac:dyDescent="0.25">
      <c r="A16" s="3" t="s">
        <v>33</v>
      </c>
      <c r="B16">
        <v>1993</v>
      </c>
      <c r="C16">
        <v>1993</v>
      </c>
      <c r="D16" s="3" t="s">
        <v>34</v>
      </c>
      <c r="E16" s="3" t="s">
        <v>34</v>
      </c>
      <c r="F16">
        <v>9</v>
      </c>
      <c r="G16" s="7">
        <v>34190</v>
      </c>
      <c r="H16">
        <v>0</v>
      </c>
      <c r="I16" s="3" t="s">
        <v>8395</v>
      </c>
      <c r="J16" s="3" t="s">
        <v>11</v>
      </c>
      <c r="K16" s="3" t="s">
        <v>15</v>
      </c>
      <c r="L16" s="3" t="s">
        <v>12</v>
      </c>
      <c r="M16">
        <v>33</v>
      </c>
      <c r="N16" s="3"/>
    </row>
    <row r="17" spans="1:14" x14ac:dyDescent="0.25">
      <c r="A17" s="3" t="s">
        <v>35</v>
      </c>
      <c r="B17">
        <v>1996</v>
      </c>
      <c r="C17">
        <v>1996</v>
      </c>
      <c r="D17" s="3" t="s">
        <v>36</v>
      </c>
      <c r="E17" s="3" t="s">
        <v>36</v>
      </c>
      <c r="F17">
        <v>22</v>
      </c>
      <c r="G17" s="7">
        <v>35360</v>
      </c>
      <c r="H17">
        <v>0</v>
      </c>
      <c r="I17" s="3" t="s">
        <v>8395</v>
      </c>
      <c r="J17" s="3" t="s">
        <v>11</v>
      </c>
      <c r="K17" s="3" t="s">
        <v>11</v>
      </c>
      <c r="L17" s="3" t="s">
        <v>12</v>
      </c>
      <c r="M17">
        <v>30</v>
      </c>
      <c r="N17" s="3"/>
    </row>
    <row r="18" spans="1:14" x14ac:dyDescent="0.25">
      <c r="A18" s="3" t="s">
        <v>37</v>
      </c>
      <c r="B18">
        <v>1993</v>
      </c>
      <c r="C18">
        <v>1993</v>
      </c>
      <c r="D18" s="3" t="s">
        <v>17</v>
      </c>
      <c r="E18" s="3" t="s">
        <v>17</v>
      </c>
      <c r="F18">
        <v>28</v>
      </c>
      <c r="G18" s="7">
        <v>34148</v>
      </c>
      <c r="H18">
        <v>0</v>
      </c>
      <c r="I18" s="3" t="s">
        <v>8396</v>
      </c>
      <c r="J18" s="3" t="s">
        <v>11</v>
      </c>
      <c r="K18" s="3" t="s">
        <v>11</v>
      </c>
      <c r="L18" s="3" t="s">
        <v>12</v>
      </c>
      <c r="M18">
        <v>33</v>
      </c>
      <c r="N18" s="3"/>
    </row>
    <row r="19" spans="1:14" x14ac:dyDescent="0.25">
      <c r="A19" s="3" t="s">
        <v>38</v>
      </c>
      <c r="B19">
        <v>1996</v>
      </c>
      <c r="C19">
        <v>1996</v>
      </c>
      <c r="D19" s="3" t="s">
        <v>30</v>
      </c>
      <c r="E19" s="3" t="s">
        <v>19</v>
      </c>
      <c r="F19">
        <v>18</v>
      </c>
      <c r="G19" s="7">
        <v>35326</v>
      </c>
      <c r="H19">
        <v>0</v>
      </c>
      <c r="I19" s="3" t="s">
        <v>8397</v>
      </c>
      <c r="J19" s="3" t="s">
        <v>11</v>
      </c>
      <c r="K19" s="3" t="s">
        <v>4741</v>
      </c>
      <c r="L19" s="3" t="s">
        <v>22</v>
      </c>
      <c r="M19">
        <v>30</v>
      </c>
      <c r="N19" s="3"/>
    </row>
    <row r="20" spans="1:14" x14ac:dyDescent="0.25">
      <c r="A20" s="3" t="s">
        <v>39</v>
      </c>
      <c r="B20">
        <v>1995</v>
      </c>
      <c r="C20">
        <v>1995</v>
      </c>
      <c r="D20" s="3" t="s">
        <v>29</v>
      </c>
      <c r="E20" s="3" t="s">
        <v>29</v>
      </c>
      <c r="F20">
        <v>7</v>
      </c>
      <c r="G20" s="7">
        <v>35040</v>
      </c>
      <c r="H20">
        <v>0</v>
      </c>
      <c r="I20" s="3" t="s">
        <v>8398</v>
      </c>
      <c r="J20" s="3" t="s">
        <v>11</v>
      </c>
      <c r="K20" s="3" t="s">
        <v>10</v>
      </c>
      <c r="L20" s="3" t="s">
        <v>12</v>
      </c>
      <c r="M20">
        <v>31</v>
      </c>
      <c r="N20" s="3"/>
    </row>
    <row r="21" spans="1:14" x14ac:dyDescent="0.25">
      <c r="A21" s="3" t="s">
        <v>40</v>
      </c>
      <c r="B21">
        <v>2004</v>
      </c>
      <c r="C21">
        <v>2004</v>
      </c>
      <c r="D21" s="3" t="s">
        <v>36</v>
      </c>
      <c r="E21" s="3" t="s">
        <v>36</v>
      </c>
      <c r="F21">
        <v>7</v>
      </c>
      <c r="G21" s="7">
        <v>38267</v>
      </c>
      <c r="H21">
        <v>0</v>
      </c>
      <c r="I21" s="3" t="s">
        <v>8399</v>
      </c>
      <c r="J21" s="3" t="s">
        <v>11</v>
      </c>
      <c r="K21" s="3" t="s">
        <v>10</v>
      </c>
      <c r="L21" s="3" t="s">
        <v>41</v>
      </c>
      <c r="M21">
        <v>22</v>
      </c>
      <c r="N21" s="3"/>
    </row>
    <row r="22" spans="1:14" x14ac:dyDescent="0.25">
      <c r="A22" s="3" t="s">
        <v>42</v>
      </c>
      <c r="B22">
        <v>2000</v>
      </c>
      <c r="C22">
        <v>2000</v>
      </c>
      <c r="D22" s="3" t="s">
        <v>14</v>
      </c>
      <c r="E22" s="3" t="s">
        <v>14</v>
      </c>
      <c r="F22">
        <v>18</v>
      </c>
      <c r="G22" s="7">
        <v>36848</v>
      </c>
      <c r="H22">
        <v>0</v>
      </c>
      <c r="I22" s="3" t="s">
        <v>8400</v>
      </c>
      <c r="J22" s="3" t="s">
        <v>11</v>
      </c>
      <c r="K22" s="3" t="s">
        <v>15</v>
      </c>
      <c r="L22" s="3" t="s">
        <v>12</v>
      </c>
      <c r="M22">
        <v>26</v>
      </c>
      <c r="N22" s="3"/>
    </row>
    <row r="23" spans="1:14" x14ac:dyDescent="0.25">
      <c r="A23" s="3" t="s">
        <v>43</v>
      </c>
      <c r="B23">
        <v>1993</v>
      </c>
      <c r="C23">
        <v>1993</v>
      </c>
      <c r="D23" s="3" t="s">
        <v>14</v>
      </c>
      <c r="E23" s="3" t="s">
        <v>14</v>
      </c>
      <c r="F23">
        <v>27</v>
      </c>
      <c r="G23" s="7">
        <v>34300</v>
      </c>
      <c r="H23">
        <v>0</v>
      </c>
      <c r="I23" s="3" t="s">
        <v>8401</v>
      </c>
      <c r="J23" s="3" t="s">
        <v>11</v>
      </c>
      <c r="K23" s="3" t="s">
        <v>15</v>
      </c>
      <c r="L23" s="3" t="s">
        <v>12</v>
      </c>
      <c r="M23">
        <v>33</v>
      </c>
      <c r="N23" s="3"/>
    </row>
    <row r="24" spans="1:14" x14ac:dyDescent="0.25">
      <c r="A24" s="3" t="s">
        <v>44</v>
      </c>
      <c r="B24">
        <v>1994</v>
      </c>
      <c r="C24">
        <v>1994</v>
      </c>
      <c r="D24" s="3" t="s">
        <v>36</v>
      </c>
      <c r="E24" s="3" t="s">
        <v>36</v>
      </c>
      <c r="F24">
        <v>30</v>
      </c>
      <c r="G24" s="7">
        <v>34637</v>
      </c>
      <c r="H24">
        <v>0</v>
      </c>
      <c r="I24" s="3" t="s">
        <v>8402</v>
      </c>
      <c r="J24" s="3" t="s">
        <v>11</v>
      </c>
      <c r="K24" s="3" t="s">
        <v>15</v>
      </c>
      <c r="L24" s="3" t="s">
        <v>12</v>
      </c>
      <c r="M24">
        <v>32</v>
      </c>
      <c r="N24" s="3"/>
    </row>
    <row r="25" spans="1:14" x14ac:dyDescent="0.25">
      <c r="A25" s="3" t="s">
        <v>45</v>
      </c>
      <c r="B25">
        <v>1995</v>
      </c>
      <c r="C25">
        <v>1995</v>
      </c>
      <c r="D25" s="3" t="s">
        <v>36</v>
      </c>
      <c r="E25" s="3" t="s">
        <v>36</v>
      </c>
      <c r="F25">
        <v>28</v>
      </c>
      <c r="G25" s="7">
        <v>35000</v>
      </c>
      <c r="H25">
        <v>0</v>
      </c>
      <c r="I25" s="3" t="s">
        <v>8403</v>
      </c>
      <c r="J25" s="3" t="s">
        <v>11</v>
      </c>
      <c r="K25" s="3" t="s">
        <v>15</v>
      </c>
      <c r="L25" s="3" t="s">
        <v>12</v>
      </c>
      <c r="M25">
        <v>31</v>
      </c>
      <c r="N25" s="3"/>
    </row>
    <row r="26" spans="1:14" x14ac:dyDescent="0.25">
      <c r="A26" s="3" t="s">
        <v>46</v>
      </c>
      <c r="B26">
        <v>2001</v>
      </c>
      <c r="C26">
        <v>2001</v>
      </c>
      <c r="D26" s="3" t="s">
        <v>34</v>
      </c>
      <c r="E26" s="3" t="s">
        <v>34</v>
      </c>
      <c r="F26">
        <v>19</v>
      </c>
      <c r="G26" s="7">
        <v>37122</v>
      </c>
      <c r="H26">
        <v>0</v>
      </c>
      <c r="I26" s="3" t="s">
        <v>8404</v>
      </c>
      <c r="J26" s="3" t="s">
        <v>11</v>
      </c>
      <c r="K26" s="3" t="s">
        <v>10</v>
      </c>
      <c r="L26" s="3" t="s">
        <v>12</v>
      </c>
      <c r="M26">
        <v>25</v>
      </c>
      <c r="N26" s="3"/>
    </row>
    <row r="27" spans="1:14" x14ac:dyDescent="0.25">
      <c r="A27" s="3" t="s">
        <v>47</v>
      </c>
      <c r="B27">
        <v>1994</v>
      </c>
      <c r="C27">
        <v>1994</v>
      </c>
      <c r="D27" s="3" t="s">
        <v>14</v>
      </c>
      <c r="E27" s="3" t="s">
        <v>14</v>
      </c>
      <c r="F27">
        <v>22</v>
      </c>
      <c r="G27" s="7">
        <v>34660</v>
      </c>
      <c r="H27">
        <v>0</v>
      </c>
      <c r="I27" s="3" t="s">
        <v>8405</v>
      </c>
      <c r="J27" s="3" t="s">
        <v>11</v>
      </c>
      <c r="K27" s="3" t="s">
        <v>10</v>
      </c>
      <c r="L27" s="3" t="s">
        <v>12</v>
      </c>
      <c r="M27">
        <v>32</v>
      </c>
      <c r="N27" s="3"/>
    </row>
    <row r="28" spans="1:14" x14ac:dyDescent="0.25">
      <c r="A28" s="3" t="s">
        <v>48</v>
      </c>
      <c r="B28">
        <v>2000</v>
      </c>
      <c r="C28">
        <v>2000</v>
      </c>
      <c r="D28" s="3" t="s">
        <v>36</v>
      </c>
      <c r="E28" s="3" t="s">
        <v>36</v>
      </c>
      <c r="F28">
        <v>9</v>
      </c>
      <c r="G28" s="7">
        <v>36808</v>
      </c>
      <c r="H28">
        <v>0</v>
      </c>
      <c r="I28" s="3" t="s">
        <v>8406</v>
      </c>
      <c r="J28" s="3" t="s">
        <v>11</v>
      </c>
      <c r="K28" s="3" t="s">
        <v>10</v>
      </c>
      <c r="L28" s="3" t="s">
        <v>12</v>
      </c>
      <c r="M28">
        <v>26</v>
      </c>
      <c r="N28" s="3"/>
    </row>
    <row r="29" spans="1:14" x14ac:dyDescent="0.25">
      <c r="A29" s="3" t="s">
        <v>49</v>
      </c>
      <c r="B29">
        <v>1999</v>
      </c>
      <c r="C29">
        <v>1999</v>
      </c>
      <c r="D29" s="3" t="s">
        <v>34</v>
      </c>
      <c r="E29" s="3" t="s">
        <v>34</v>
      </c>
      <c r="F29">
        <v>5</v>
      </c>
      <c r="G29" s="7">
        <v>36377</v>
      </c>
      <c r="H29">
        <v>0</v>
      </c>
      <c r="I29" s="3" t="s">
        <v>8407</v>
      </c>
      <c r="J29" s="3" t="s">
        <v>11</v>
      </c>
      <c r="K29" s="3" t="s">
        <v>10</v>
      </c>
      <c r="L29" s="3" t="s">
        <v>12</v>
      </c>
      <c r="M29">
        <v>27</v>
      </c>
      <c r="N29" s="3"/>
    </row>
    <row r="30" spans="1:14" x14ac:dyDescent="0.25">
      <c r="A30" s="3" t="s">
        <v>50</v>
      </c>
      <c r="B30">
        <v>1995</v>
      </c>
      <c r="C30">
        <v>1995</v>
      </c>
      <c r="D30" s="3" t="s">
        <v>36</v>
      </c>
      <c r="E30" s="3" t="s">
        <v>36</v>
      </c>
      <c r="F30">
        <v>5</v>
      </c>
      <c r="G30" s="7">
        <v>34977</v>
      </c>
      <c r="H30">
        <v>0</v>
      </c>
      <c r="I30" s="3" t="s">
        <v>8408</v>
      </c>
      <c r="J30" s="3" t="s">
        <v>11</v>
      </c>
      <c r="K30" s="3" t="s">
        <v>15</v>
      </c>
      <c r="L30" s="3" t="s">
        <v>12</v>
      </c>
      <c r="M30">
        <v>31</v>
      </c>
      <c r="N30" s="3"/>
    </row>
    <row r="31" spans="1:14" x14ac:dyDescent="0.25">
      <c r="A31" s="3" t="s">
        <v>51</v>
      </c>
      <c r="B31">
        <v>1994</v>
      </c>
      <c r="C31">
        <v>1994</v>
      </c>
      <c r="D31" s="3" t="s">
        <v>14</v>
      </c>
      <c r="E31" s="3" t="s">
        <v>14</v>
      </c>
      <c r="F31">
        <v>17</v>
      </c>
      <c r="G31" s="7">
        <v>34655</v>
      </c>
      <c r="H31">
        <v>0</v>
      </c>
      <c r="I31" s="3" t="s">
        <v>8409</v>
      </c>
      <c r="J31" s="3" t="s">
        <v>11</v>
      </c>
      <c r="K31" s="3" t="s">
        <v>10</v>
      </c>
      <c r="L31" s="3" t="s">
        <v>12</v>
      </c>
      <c r="M31">
        <v>32</v>
      </c>
      <c r="N31" s="3"/>
    </row>
    <row r="32" spans="1:14" x14ac:dyDescent="0.25">
      <c r="A32" s="3" t="s">
        <v>52</v>
      </c>
      <c r="B32">
        <v>2002</v>
      </c>
      <c r="C32">
        <v>2002</v>
      </c>
      <c r="D32" s="3" t="s">
        <v>9</v>
      </c>
      <c r="E32" s="3" t="s">
        <v>9</v>
      </c>
      <c r="F32">
        <v>20</v>
      </c>
      <c r="G32" s="7">
        <v>37457</v>
      </c>
      <c r="H32">
        <v>0</v>
      </c>
      <c r="I32" s="3" t="s">
        <v>8410</v>
      </c>
      <c r="J32" s="3" t="s">
        <v>11</v>
      </c>
      <c r="K32" s="3" t="s">
        <v>15</v>
      </c>
      <c r="L32" s="3" t="s">
        <v>12</v>
      </c>
      <c r="M32">
        <v>24</v>
      </c>
      <c r="N32" s="3"/>
    </row>
    <row r="33" spans="1:14" x14ac:dyDescent="0.25">
      <c r="A33" s="3" t="s">
        <v>53</v>
      </c>
      <c r="B33">
        <v>2002</v>
      </c>
      <c r="C33">
        <v>2002</v>
      </c>
      <c r="D33" s="3" t="s">
        <v>9</v>
      </c>
      <c r="E33" s="3" t="s">
        <v>9</v>
      </c>
      <c r="F33">
        <v>1</v>
      </c>
      <c r="G33" s="7">
        <v>37438</v>
      </c>
      <c r="H33">
        <v>0</v>
      </c>
      <c r="I33" s="3" t="s">
        <v>8411</v>
      </c>
      <c r="J33" s="3" t="s">
        <v>11</v>
      </c>
      <c r="K33" s="3" t="s">
        <v>10</v>
      </c>
      <c r="L33" s="3" t="s">
        <v>22</v>
      </c>
      <c r="M33">
        <v>24</v>
      </c>
      <c r="N33" s="3"/>
    </row>
    <row r="34" spans="1:14" x14ac:dyDescent="0.25">
      <c r="A34" s="3" t="s">
        <v>54</v>
      </c>
      <c r="B34">
        <v>1995</v>
      </c>
      <c r="C34">
        <v>1995</v>
      </c>
      <c r="D34" s="3" t="s">
        <v>17</v>
      </c>
      <c r="E34" s="3" t="s">
        <v>17</v>
      </c>
      <c r="F34">
        <v>1</v>
      </c>
      <c r="G34" s="7">
        <v>34851</v>
      </c>
      <c r="H34">
        <v>0</v>
      </c>
      <c r="I34" s="3" t="s">
        <v>8412</v>
      </c>
      <c r="J34" s="3" t="s">
        <v>11</v>
      </c>
      <c r="K34" s="3" t="s">
        <v>10</v>
      </c>
      <c r="L34" s="3" t="s">
        <v>12</v>
      </c>
      <c r="M34">
        <v>31</v>
      </c>
      <c r="N34" s="3"/>
    </row>
    <row r="35" spans="1:14" x14ac:dyDescent="0.25">
      <c r="A35" s="3" t="s">
        <v>55</v>
      </c>
      <c r="B35">
        <v>1993</v>
      </c>
      <c r="C35">
        <v>1993</v>
      </c>
      <c r="D35" s="3" t="s">
        <v>19</v>
      </c>
      <c r="E35" s="3" t="s">
        <v>19</v>
      </c>
      <c r="F35">
        <v>28</v>
      </c>
      <c r="G35" s="7">
        <v>34240</v>
      </c>
      <c r="H35">
        <v>0</v>
      </c>
      <c r="I35" s="3" t="s">
        <v>8413</v>
      </c>
      <c r="J35" s="3" t="s">
        <v>11</v>
      </c>
      <c r="K35" s="3" t="s">
        <v>15</v>
      </c>
      <c r="L35" s="3" t="s">
        <v>12</v>
      </c>
      <c r="M35">
        <v>33</v>
      </c>
      <c r="N35" s="3"/>
    </row>
    <row r="36" spans="1:14" x14ac:dyDescent="0.25">
      <c r="A36" s="3" t="s">
        <v>56</v>
      </c>
      <c r="B36">
        <v>2004</v>
      </c>
      <c r="C36">
        <v>2004</v>
      </c>
      <c r="D36" s="3" t="s">
        <v>34</v>
      </c>
      <c r="E36" s="3" t="s">
        <v>34</v>
      </c>
      <c r="F36">
        <v>24</v>
      </c>
      <c r="G36" s="7">
        <v>38223</v>
      </c>
      <c r="H36">
        <v>0</v>
      </c>
      <c r="I36" s="3" t="s">
        <v>8414</v>
      </c>
      <c r="J36" s="3" t="s">
        <v>11</v>
      </c>
      <c r="K36" s="3" t="s">
        <v>11</v>
      </c>
      <c r="L36" s="3" t="s">
        <v>12</v>
      </c>
      <c r="M36">
        <v>22</v>
      </c>
      <c r="N36" s="3"/>
    </row>
    <row r="37" spans="1:14" x14ac:dyDescent="0.25">
      <c r="A37" s="3" t="s">
        <v>57</v>
      </c>
      <c r="B37">
        <v>1997</v>
      </c>
      <c r="C37">
        <v>1997</v>
      </c>
      <c r="D37" s="3" t="s">
        <v>34</v>
      </c>
      <c r="E37" s="3" t="s">
        <v>34</v>
      </c>
      <c r="F37">
        <v>13</v>
      </c>
      <c r="G37" s="7">
        <v>35655</v>
      </c>
      <c r="H37">
        <v>0</v>
      </c>
      <c r="I37" s="3" t="s">
        <v>8415</v>
      </c>
      <c r="J37" s="3" t="s">
        <v>11</v>
      </c>
      <c r="K37" s="3" t="s">
        <v>11</v>
      </c>
      <c r="L37" s="3" t="s">
        <v>12</v>
      </c>
      <c r="M37">
        <v>29</v>
      </c>
      <c r="N37" s="3"/>
    </row>
    <row r="38" spans="1:14" x14ac:dyDescent="0.25">
      <c r="A38" s="3" t="s">
        <v>58</v>
      </c>
      <c r="B38">
        <v>1998</v>
      </c>
      <c r="C38">
        <v>1998</v>
      </c>
      <c r="D38" s="3" t="s">
        <v>29</v>
      </c>
      <c r="E38" s="3" t="s">
        <v>29</v>
      </c>
      <c r="F38">
        <v>26</v>
      </c>
      <c r="G38" s="7">
        <v>36155</v>
      </c>
      <c r="H38">
        <v>0</v>
      </c>
      <c r="I38" s="3" t="s">
        <v>8416</v>
      </c>
      <c r="J38" s="3" t="s">
        <v>11</v>
      </c>
      <c r="K38" s="3" t="s">
        <v>10</v>
      </c>
      <c r="L38" s="3" t="s">
        <v>12</v>
      </c>
      <c r="M38">
        <v>28</v>
      </c>
      <c r="N38" s="3"/>
    </row>
    <row r="39" spans="1:14" x14ac:dyDescent="0.25">
      <c r="A39" s="3" t="s">
        <v>59</v>
      </c>
      <c r="B39">
        <v>2002</v>
      </c>
      <c r="C39">
        <v>2002</v>
      </c>
      <c r="D39" s="3" t="s">
        <v>34</v>
      </c>
      <c r="E39" s="3" t="s">
        <v>34</v>
      </c>
      <c r="F39">
        <v>13</v>
      </c>
      <c r="G39" s="7">
        <v>37481</v>
      </c>
      <c r="H39">
        <v>0</v>
      </c>
      <c r="I39" s="3" t="s">
        <v>8417</v>
      </c>
      <c r="J39" s="3" t="s">
        <v>11</v>
      </c>
      <c r="K39" s="3" t="s">
        <v>11</v>
      </c>
      <c r="L39" s="3" t="s">
        <v>12</v>
      </c>
      <c r="M39">
        <v>24</v>
      </c>
      <c r="N39" s="3"/>
    </row>
    <row r="40" spans="1:14" x14ac:dyDescent="0.25">
      <c r="A40" s="3" t="s">
        <v>60</v>
      </c>
      <c r="B40">
        <v>2004</v>
      </c>
      <c r="C40">
        <v>2004</v>
      </c>
      <c r="D40" s="3" t="s">
        <v>14</v>
      </c>
      <c r="E40" s="3" t="s">
        <v>14</v>
      </c>
      <c r="F40">
        <v>12</v>
      </c>
      <c r="G40" s="7">
        <v>38303</v>
      </c>
      <c r="H40">
        <v>0</v>
      </c>
      <c r="I40" s="3" t="s">
        <v>8418</v>
      </c>
      <c r="J40" s="3" t="s">
        <v>11</v>
      </c>
      <c r="K40" s="3" t="s">
        <v>15</v>
      </c>
      <c r="L40" s="3" t="s">
        <v>12</v>
      </c>
      <c r="M40">
        <v>22</v>
      </c>
      <c r="N40" s="3"/>
    </row>
    <row r="41" spans="1:14" x14ac:dyDescent="0.25">
      <c r="A41" s="3" t="s">
        <v>61</v>
      </c>
      <c r="B41">
        <v>2004</v>
      </c>
      <c r="C41">
        <v>2004</v>
      </c>
      <c r="D41" s="3" t="s">
        <v>17</v>
      </c>
      <c r="E41" s="3" t="s">
        <v>17</v>
      </c>
      <c r="F41">
        <v>14</v>
      </c>
      <c r="G41" s="7">
        <v>38152</v>
      </c>
      <c r="H41">
        <v>0</v>
      </c>
      <c r="I41" s="3" t="s">
        <v>8419</v>
      </c>
      <c r="J41" s="3" t="s">
        <v>11</v>
      </c>
      <c r="K41" s="3" t="s">
        <v>15</v>
      </c>
      <c r="L41" s="3" t="s">
        <v>12</v>
      </c>
      <c r="M41">
        <v>22</v>
      </c>
      <c r="N41" s="3"/>
    </row>
    <row r="42" spans="1:14" x14ac:dyDescent="0.25">
      <c r="A42" s="3" t="s">
        <v>62</v>
      </c>
      <c r="B42">
        <v>2002</v>
      </c>
      <c r="C42">
        <v>2002</v>
      </c>
      <c r="D42" s="3" t="s">
        <v>9</v>
      </c>
      <c r="E42" s="3" t="s">
        <v>9</v>
      </c>
      <c r="F42">
        <v>19</v>
      </c>
      <c r="G42" s="7">
        <v>37456</v>
      </c>
      <c r="H42">
        <v>0</v>
      </c>
      <c r="I42" s="3" t="s">
        <v>8420</v>
      </c>
      <c r="J42" s="3" t="s">
        <v>11</v>
      </c>
      <c r="K42" s="3" t="s">
        <v>15</v>
      </c>
      <c r="L42" s="3" t="s">
        <v>12</v>
      </c>
      <c r="M42">
        <v>24</v>
      </c>
      <c r="N42" s="3"/>
    </row>
    <row r="43" spans="1:14" x14ac:dyDescent="0.25">
      <c r="A43" s="3" t="s">
        <v>63</v>
      </c>
      <c r="B43">
        <v>2004</v>
      </c>
      <c r="C43">
        <v>2004</v>
      </c>
      <c r="D43" s="3" t="s">
        <v>36</v>
      </c>
      <c r="E43" s="3" t="s">
        <v>36</v>
      </c>
      <c r="F43">
        <v>6</v>
      </c>
      <c r="G43" s="7">
        <v>38266</v>
      </c>
      <c r="H43">
        <v>0</v>
      </c>
      <c r="I43" s="3" t="s">
        <v>8421</v>
      </c>
      <c r="J43" s="3" t="s">
        <v>11</v>
      </c>
      <c r="K43" s="3" t="s">
        <v>11</v>
      </c>
      <c r="L43" s="3" t="s">
        <v>12</v>
      </c>
      <c r="M43">
        <v>22</v>
      </c>
      <c r="N43" s="3"/>
    </row>
    <row r="44" spans="1:14" x14ac:dyDescent="0.25">
      <c r="A44" s="3" t="s">
        <v>64</v>
      </c>
      <c r="B44">
        <v>2004</v>
      </c>
      <c r="C44">
        <v>2004</v>
      </c>
      <c r="D44" s="3" t="s">
        <v>17</v>
      </c>
      <c r="E44" s="3" t="s">
        <v>17</v>
      </c>
      <c r="F44">
        <v>11</v>
      </c>
      <c r="G44" s="7">
        <v>38149</v>
      </c>
      <c r="H44">
        <v>0</v>
      </c>
      <c r="I44" s="3" t="s">
        <v>8422</v>
      </c>
      <c r="J44" s="3" t="s">
        <v>11</v>
      </c>
      <c r="K44" s="3" t="s">
        <v>11</v>
      </c>
      <c r="L44" s="3" t="s">
        <v>12</v>
      </c>
      <c r="M44">
        <v>22</v>
      </c>
      <c r="N44" s="3"/>
    </row>
    <row r="45" spans="1:14" x14ac:dyDescent="0.25">
      <c r="A45" s="3" t="s">
        <v>65</v>
      </c>
      <c r="B45">
        <v>2004</v>
      </c>
      <c r="C45">
        <v>2004</v>
      </c>
      <c r="D45" s="3" t="s">
        <v>14</v>
      </c>
      <c r="E45" s="3" t="s">
        <v>14</v>
      </c>
      <c r="F45">
        <v>28</v>
      </c>
      <c r="G45" s="7">
        <v>38319</v>
      </c>
      <c r="H45">
        <v>0</v>
      </c>
      <c r="I45" s="3" t="s">
        <v>8423</v>
      </c>
      <c r="J45" s="3" t="s">
        <v>11</v>
      </c>
      <c r="K45" s="3" t="s">
        <v>11</v>
      </c>
      <c r="L45" s="3" t="s">
        <v>12</v>
      </c>
      <c r="M45">
        <v>22</v>
      </c>
      <c r="N45" s="3"/>
    </row>
    <row r="46" spans="1:14" x14ac:dyDescent="0.25">
      <c r="A46" s="3" t="s">
        <v>66</v>
      </c>
      <c r="B46">
        <v>2002</v>
      </c>
      <c r="C46">
        <v>2002</v>
      </c>
      <c r="D46" s="3" t="s">
        <v>34</v>
      </c>
      <c r="E46" s="3" t="s">
        <v>34</v>
      </c>
      <c r="F46">
        <v>11</v>
      </c>
      <c r="G46" s="7">
        <v>37479</v>
      </c>
      <c r="H46">
        <v>0</v>
      </c>
      <c r="I46" s="3" t="s">
        <v>8424</v>
      </c>
      <c r="J46" s="3" t="s">
        <v>11</v>
      </c>
      <c r="K46" s="3" t="s">
        <v>15</v>
      </c>
      <c r="L46" s="3" t="s">
        <v>12</v>
      </c>
      <c r="M46">
        <v>24</v>
      </c>
      <c r="N46" s="3"/>
    </row>
    <row r="47" spans="1:14" x14ac:dyDescent="0.25">
      <c r="A47" s="3" t="s">
        <v>30</v>
      </c>
      <c r="B47">
        <v>2004</v>
      </c>
      <c r="C47">
        <v>2004</v>
      </c>
      <c r="D47" s="3" t="s">
        <v>14</v>
      </c>
      <c r="E47" s="3" t="s">
        <v>14</v>
      </c>
      <c r="F47">
        <v>6</v>
      </c>
      <c r="G47" s="7">
        <v>38297</v>
      </c>
      <c r="H47">
        <v>0</v>
      </c>
      <c r="I47" s="3" t="s">
        <v>8425</v>
      </c>
      <c r="J47" s="3" t="s">
        <v>11</v>
      </c>
      <c r="K47" s="3" t="s">
        <v>15</v>
      </c>
      <c r="L47" s="3" t="s">
        <v>12</v>
      </c>
      <c r="M47">
        <v>22</v>
      </c>
      <c r="N47" s="3"/>
    </row>
    <row r="48" spans="1:14" x14ac:dyDescent="0.25">
      <c r="A48" s="3" t="s">
        <v>67</v>
      </c>
      <c r="B48">
        <v>2004</v>
      </c>
      <c r="C48">
        <v>2004</v>
      </c>
      <c r="D48" s="3" t="s">
        <v>36</v>
      </c>
      <c r="E48" s="3" t="s">
        <v>36</v>
      </c>
      <c r="F48">
        <v>15</v>
      </c>
      <c r="G48" s="7">
        <v>38275</v>
      </c>
      <c r="H48">
        <v>0</v>
      </c>
      <c r="I48" s="3" t="s">
        <v>8425</v>
      </c>
      <c r="J48" s="3" t="s">
        <v>11</v>
      </c>
      <c r="K48" s="3" t="s">
        <v>15</v>
      </c>
      <c r="L48" s="3" t="s">
        <v>12</v>
      </c>
      <c r="M48">
        <v>22</v>
      </c>
      <c r="N48" s="3"/>
    </row>
    <row r="49" spans="1:14" x14ac:dyDescent="0.25">
      <c r="A49" s="3" t="s">
        <v>68</v>
      </c>
      <c r="B49">
        <v>2004</v>
      </c>
      <c r="C49">
        <v>2004</v>
      </c>
      <c r="D49" s="3" t="s">
        <v>14</v>
      </c>
      <c r="E49" s="3" t="s">
        <v>14</v>
      </c>
      <c r="F49">
        <v>27</v>
      </c>
      <c r="G49" s="7">
        <v>38318</v>
      </c>
      <c r="H49">
        <v>0</v>
      </c>
      <c r="I49" s="3" t="s">
        <v>8426</v>
      </c>
      <c r="J49" s="3" t="s">
        <v>11</v>
      </c>
      <c r="K49" s="3" t="s">
        <v>10</v>
      </c>
      <c r="L49" s="3" t="s">
        <v>12</v>
      </c>
      <c r="M49">
        <v>22</v>
      </c>
      <c r="N49" s="3"/>
    </row>
    <row r="50" spans="1:14" x14ac:dyDescent="0.25">
      <c r="A50" s="3" t="s">
        <v>69</v>
      </c>
      <c r="B50">
        <v>2001</v>
      </c>
      <c r="C50">
        <v>2001</v>
      </c>
      <c r="D50" s="3" t="s">
        <v>36</v>
      </c>
      <c r="E50" s="3" t="s">
        <v>36</v>
      </c>
      <c r="F50">
        <v>25</v>
      </c>
      <c r="G50" s="7">
        <v>37189</v>
      </c>
      <c r="H50">
        <v>0</v>
      </c>
      <c r="I50" s="3" t="s">
        <v>8427</v>
      </c>
      <c r="J50" s="3" t="s">
        <v>11</v>
      </c>
      <c r="K50" s="3" t="s">
        <v>15</v>
      </c>
      <c r="L50" s="3" t="s">
        <v>12</v>
      </c>
      <c r="M50">
        <v>25</v>
      </c>
      <c r="N50" s="3"/>
    </row>
    <row r="51" spans="1:14" x14ac:dyDescent="0.25">
      <c r="A51" s="3" t="s">
        <v>70</v>
      </c>
      <c r="B51">
        <v>2004</v>
      </c>
      <c r="C51">
        <v>2004</v>
      </c>
      <c r="D51" s="3" t="s">
        <v>19</v>
      </c>
      <c r="E51" s="3" t="s">
        <v>19</v>
      </c>
      <c r="F51">
        <v>12</v>
      </c>
      <c r="G51" s="7">
        <v>38242</v>
      </c>
      <c r="H51">
        <v>0</v>
      </c>
      <c r="I51" s="3" t="s">
        <v>8428</v>
      </c>
      <c r="J51" s="3" t="s">
        <v>11</v>
      </c>
      <c r="K51" s="3" t="s">
        <v>11</v>
      </c>
      <c r="L51" s="3" t="s">
        <v>12</v>
      </c>
      <c r="M51">
        <v>22</v>
      </c>
      <c r="N51" s="3"/>
    </row>
    <row r="52" spans="1:14" x14ac:dyDescent="0.25">
      <c r="A52" s="3" t="s">
        <v>71</v>
      </c>
      <c r="B52">
        <v>2002</v>
      </c>
      <c r="C52">
        <v>2002</v>
      </c>
      <c r="D52" s="3" t="s">
        <v>36</v>
      </c>
      <c r="E52" s="3" t="s">
        <v>36</v>
      </c>
      <c r="F52">
        <v>1</v>
      </c>
      <c r="G52" s="7">
        <v>37530</v>
      </c>
      <c r="H52">
        <v>0</v>
      </c>
      <c r="I52" s="3" t="s">
        <v>8429</v>
      </c>
      <c r="J52" s="3" t="s">
        <v>11</v>
      </c>
      <c r="K52" s="3" t="s">
        <v>10</v>
      </c>
      <c r="L52" s="3" t="s">
        <v>41</v>
      </c>
      <c r="M52">
        <v>24</v>
      </c>
      <c r="N52" s="3"/>
    </row>
    <row r="53" spans="1:14" x14ac:dyDescent="0.25">
      <c r="A53" s="3" t="s">
        <v>72</v>
      </c>
      <c r="B53">
        <v>2004</v>
      </c>
      <c r="C53">
        <v>2004</v>
      </c>
      <c r="D53" s="3" t="s">
        <v>17</v>
      </c>
      <c r="E53" s="3" t="s">
        <v>17</v>
      </c>
      <c r="F53">
        <v>10</v>
      </c>
      <c r="G53" s="7">
        <v>38148</v>
      </c>
      <c r="H53">
        <v>0</v>
      </c>
      <c r="I53" s="3" t="s">
        <v>8430</v>
      </c>
      <c r="J53" s="3" t="s">
        <v>10</v>
      </c>
      <c r="K53" s="3" t="s">
        <v>10</v>
      </c>
      <c r="L53" s="3" t="s">
        <v>12</v>
      </c>
      <c r="M53">
        <v>22</v>
      </c>
      <c r="N53" s="3"/>
    </row>
    <row r="54" spans="1:14" x14ac:dyDescent="0.25">
      <c r="A54" s="3" t="s">
        <v>73</v>
      </c>
      <c r="B54">
        <v>2003</v>
      </c>
      <c r="C54">
        <v>2003</v>
      </c>
      <c r="D54" s="3" t="s">
        <v>17</v>
      </c>
      <c r="E54" s="3" t="s">
        <v>17</v>
      </c>
      <c r="F54">
        <v>12</v>
      </c>
      <c r="G54" s="7">
        <v>37784</v>
      </c>
      <c r="H54">
        <v>0</v>
      </c>
      <c r="I54" s="3" t="s">
        <v>8431</v>
      </c>
      <c r="J54" s="3" t="s">
        <v>10</v>
      </c>
      <c r="K54" s="3" t="s">
        <v>15</v>
      </c>
      <c r="L54" s="3" t="s">
        <v>22</v>
      </c>
      <c r="M54">
        <v>23</v>
      </c>
      <c r="N54" s="3"/>
    </row>
    <row r="55" spans="1:14" x14ac:dyDescent="0.25">
      <c r="A55" s="3" t="s">
        <v>74</v>
      </c>
      <c r="B55">
        <v>2004</v>
      </c>
      <c r="C55">
        <v>2004</v>
      </c>
      <c r="D55" s="3" t="s">
        <v>9</v>
      </c>
      <c r="E55" s="3" t="s">
        <v>9</v>
      </c>
      <c r="F55">
        <v>18</v>
      </c>
      <c r="G55" s="7">
        <v>38186</v>
      </c>
      <c r="H55">
        <v>0</v>
      </c>
      <c r="I55" s="3" t="s">
        <v>8432</v>
      </c>
      <c r="J55" s="3" t="s">
        <v>10</v>
      </c>
      <c r="K55" s="3" t="s">
        <v>10</v>
      </c>
      <c r="L55" s="3" t="s">
        <v>12</v>
      </c>
      <c r="M55">
        <v>22</v>
      </c>
      <c r="N55" s="3"/>
    </row>
    <row r="56" spans="1:14" x14ac:dyDescent="0.25">
      <c r="A56" s="3" t="s">
        <v>75</v>
      </c>
      <c r="B56">
        <v>1994</v>
      </c>
      <c r="C56">
        <v>1994</v>
      </c>
      <c r="D56" s="3" t="s">
        <v>9</v>
      </c>
      <c r="E56" s="3" t="s">
        <v>9</v>
      </c>
      <c r="F56">
        <v>26</v>
      </c>
      <c r="G56" s="7">
        <v>34541</v>
      </c>
      <c r="H56">
        <v>0</v>
      </c>
      <c r="I56" s="3" t="s">
        <v>8433</v>
      </c>
      <c r="J56" s="3" t="s">
        <v>10</v>
      </c>
      <c r="K56" s="3" t="s">
        <v>15</v>
      </c>
      <c r="L56" s="3" t="s">
        <v>12</v>
      </c>
      <c r="M56">
        <v>32</v>
      </c>
      <c r="N56" s="3"/>
    </row>
    <row r="57" spans="1:14" x14ac:dyDescent="0.25">
      <c r="A57" s="3" t="s">
        <v>76</v>
      </c>
      <c r="B57">
        <v>2004</v>
      </c>
      <c r="C57">
        <v>2004</v>
      </c>
      <c r="D57" s="3" t="s">
        <v>14</v>
      </c>
      <c r="E57" s="3" t="s">
        <v>14</v>
      </c>
      <c r="F57">
        <v>11</v>
      </c>
      <c r="G57" s="7">
        <v>38302</v>
      </c>
      <c r="H57">
        <v>0</v>
      </c>
      <c r="I57" s="3" t="s">
        <v>8434</v>
      </c>
      <c r="J57" s="3" t="s">
        <v>10</v>
      </c>
      <c r="K57" s="3" t="s">
        <v>11</v>
      </c>
      <c r="L57" s="3" t="s">
        <v>12</v>
      </c>
      <c r="M57">
        <v>22</v>
      </c>
      <c r="N57" s="3"/>
    </row>
    <row r="58" spans="1:14" x14ac:dyDescent="0.25">
      <c r="A58" s="3" t="s">
        <v>77</v>
      </c>
      <c r="B58">
        <v>2002</v>
      </c>
      <c r="C58">
        <v>2002</v>
      </c>
      <c r="D58" s="3" t="s">
        <v>17</v>
      </c>
      <c r="E58" s="3" t="s">
        <v>17</v>
      </c>
      <c r="F58">
        <v>11</v>
      </c>
      <c r="G58" s="7">
        <v>37418</v>
      </c>
      <c r="H58">
        <v>0</v>
      </c>
      <c r="I58" s="3" t="s">
        <v>8435</v>
      </c>
      <c r="J58" s="3" t="s">
        <v>10</v>
      </c>
      <c r="K58" s="3" t="s">
        <v>11</v>
      </c>
      <c r="L58" s="3" t="s">
        <v>22</v>
      </c>
      <c r="M58">
        <v>24</v>
      </c>
      <c r="N58" s="3"/>
    </row>
    <row r="59" spans="1:14" x14ac:dyDescent="0.25">
      <c r="A59" s="3" t="s">
        <v>78</v>
      </c>
      <c r="B59">
        <v>2001</v>
      </c>
      <c r="C59">
        <v>2001</v>
      </c>
      <c r="D59" s="3" t="s">
        <v>14</v>
      </c>
      <c r="E59" s="3" t="s">
        <v>14</v>
      </c>
      <c r="F59">
        <v>12</v>
      </c>
      <c r="G59" s="7">
        <v>37207</v>
      </c>
      <c r="H59">
        <v>0</v>
      </c>
      <c r="I59" s="3" t="s">
        <v>8436</v>
      </c>
      <c r="J59" s="3" t="s">
        <v>10</v>
      </c>
      <c r="K59" s="3" t="s">
        <v>15</v>
      </c>
      <c r="L59" s="3" t="s">
        <v>12</v>
      </c>
      <c r="M59">
        <v>25</v>
      </c>
      <c r="N59" s="3"/>
    </row>
    <row r="60" spans="1:14" x14ac:dyDescent="0.25">
      <c r="A60" s="3" t="s">
        <v>79</v>
      </c>
      <c r="B60">
        <v>1996</v>
      </c>
      <c r="C60">
        <v>1996</v>
      </c>
      <c r="D60" s="3" t="s">
        <v>34</v>
      </c>
      <c r="E60" s="3" t="s">
        <v>34</v>
      </c>
      <c r="F60">
        <v>11</v>
      </c>
      <c r="G60" s="7">
        <v>35288</v>
      </c>
      <c r="H60">
        <v>0</v>
      </c>
      <c r="I60" s="3" t="s">
        <v>8437</v>
      </c>
      <c r="J60" s="3" t="s">
        <v>10</v>
      </c>
      <c r="K60" s="3" t="s">
        <v>11</v>
      </c>
      <c r="L60" s="3" t="s">
        <v>12</v>
      </c>
      <c r="M60">
        <v>30</v>
      </c>
      <c r="N60" s="3"/>
    </row>
    <row r="61" spans="1:14" x14ac:dyDescent="0.25">
      <c r="A61" s="3" t="s">
        <v>80</v>
      </c>
      <c r="B61">
        <v>1997</v>
      </c>
      <c r="C61">
        <v>1997</v>
      </c>
      <c r="D61" s="3" t="s">
        <v>17</v>
      </c>
      <c r="E61" s="3" t="s">
        <v>17</v>
      </c>
      <c r="F61">
        <v>28</v>
      </c>
      <c r="G61" s="7">
        <v>35609</v>
      </c>
      <c r="H61">
        <v>0</v>
      </c>
      <c r="I61" s="3" t="s">
        <v>8438</v>
      </c>
      <c r="J61" s="3" t="s">
        <v>10</v>
      </c>
      <c r="K61" s="3" t="s">
        <v>10</v>
      </c>
      <c r="L61" s="3" t="s">
        <v>12</v>
      </c>
      <c r="M61">
        <v>29</v>
      </c>
      <c r="N61" s="3"/>
    </row>
    <row r="62" spans="1:14" x14ac:dyDescent="0.25">
      <c r="A62" s="3" t="s">
        <v>81</v>
      </c>
      <c r="B62">
        <v>2002</v>
      </c>
      <c r="C62">
        <v>2002</v>
      </c>
      <c r="D62" s="3" t="s">
        <v>34</v>
      </c>
      <c r="E62" s="3" t="s">
        <v>34</v>
      </c>
      <c r="F62">
        <v>26</v>
      </c>
      <c r="G62" s="7">
        <v>37494</v>
      </c>
      <c r="H62">
        <v>0</v>
      </c>
      <c r="I62" s="3" t="s">
        <v>8439</v>
      </c>
      <c r="J62" s="3" t="s">
        <v>10</v>
      </c>
      <c r="K62" s="3" t="s">
        <v>15</v>
      </c>
      <c r="L62" s="3" t="s">
        <v>12</v>
      </c>
      <c r="M62">
        <v>24</v>
      </c>
      <c r="N62" s="3"/>
    </row>
    <row r="63" spans="1:14" x14ac:dyDescent="0.25">
      <c r="A63" s="3" t="s">
        <v>82</v>
      </c>
      <c r="B63">
        <v>1999</v>
      </c>
      <c r="C63">
        <v>1999</v>
      </c>
      <c r="D63" s="3" t="s">
        <v>17</v>
      </c>
      <c r="E63" s="3" t="s">
        <v>17</v>
      </c>
      <c r="F63">
        <v>28</v>
      </c>
      <c r="G63" s="7">
        <v>36339</v>
      </c>
      <c r="H63">
        <v>0</v>
      </c>
      <c r="I63" s="3" t="s">
        <v>8440</v>
      </c>
      <c r="J63" s="3" t="s">
        <v>10</v>
      </c>
      <c r="K63" s="3" t="s">
        <v>11</v>
      </c>
      <c r="L63" s="3" t="s">
        <v>22</v>
      </c>
      <c r="M63">
        <v>27</v>
      </c>
      <c r="N63" s="3"/>
    </row>
    <row r="64" spans="1:14" x14ac:dyDescent="0.25">
      <c r="A64" s="3" t="s">
        <v>83</v>
      </c>
      <c r="B64">
        <v>1992</v>
      </c>
      <c r="C64">
        <v>1992</v>
      </c>
      <c r="D64" s="3" t="s">
        <v>36</v>
      </c>
      <c r="E64" s="3" t="s">
        <v>36</v>
      </c>
      <c r="F64">
        <v>6</v>
      </c>
      <c r="G64" s="7">
        <v>33883</v>
      </c>
      <c r="H64">
        <v>0</v>
      </c>
      <c r="I64" s="3" t="s">
        <v>8441</v>
      </c>
      <c r="J64" s="3" t="s">
        <v>10</v>
      </c>
      <c r="K64" s="3" t="s">
        <v>11</v>
      </c>
      <c r="L64" s="3" t="s">
        <v>12</v>
      </c>
      <c r="M64">
        <v>34</v>
      </c>
      <c r="N64" s="3"/>
    </row>
    <row r="65" spans="1:14" x14ac:dyDescent="0.25">
      <c r="A65" s="3" t="s">
        <v>84</v>
      </c>
      <c r="B65">
        <v>2004</v>
      </c>
      <c r="C65">
        <v>2004</v>
      </c>
      <c r="D65" s="3" t="s">
        <v>17</v>
      </c>
      <c r="E65" s="3" t="s">
        <v>17</v>
      </c>
      <c r="F65">
        <v>2</v>
      </c>
      <c r="G65" s="7">
        <v>38140</v>
      </c>
      <c r="H65">
        <v>0</v>
      </c>
      <c r="I65" s="3" t="s">
        <v>8442</v>
      </c>
      <c r="J65" s="3" t="s">
        <v>10</v>
      </c>
      <c r="K65" s="3" t="s">
        <v>15</v>
      </c>
      <c r="L65" s="3" t="s">
        <v>12</v>
      </c>
      <c r="M65">
        <v>22</v>
      </c>
      <c r="N65" s="3"/>
    </row>
    <row r="66" spans="1:14" x14ac:dyDescent="0.25">
      <c r="A66" s="3" t="s">
        <v>85</v>
      </c>
      <c r="B66">
        <v>1996</v>
      </c>
      <c r="C66">
        <v>1996</v>
      </c>
      <c r="D66" s="3" t="s">
        <v>14</v>
      </c>
      <c r="E66" s="3" t="s">
        <v>14</v>
      </c>
      <c r="F66">
        <v>4</v>
      </c>
      <c r="G66" s="7">
        <v>35373</v>
      </c>
      <c r="H66">
        <v>0</v>
      </c>
      <c r="I66" s="3" t="s">
        <v>8443</v>
      </c>
      <c r="J66" s="3" t="s">
        <v>10</v>
      </c>
      <c r="K66" s="3" t="s">
        <v>11</v>
      </c>
      <c r="L66" s="3" t="s">
        <v>22</v>
      </c>
      <c r="M66">
        <v>30</v>
      </c>
      <c r="N66" s="3"/>
    </row>
    <row r="67" spans="1:14" x14ac:dyDescent="0.25">
      <c r="A67" s="3" t="s">
        <v>86</v>
      </c>
      <c r="B67">
        <v>2004</v>
      </c>
      <c r="C67">
        <v>2004</v>
      </c>
      <c r="D67" s="3" t="s">
        <v>9</v>
      </c>
      <c r="E67" s="3" t="s">
        <v>9</v>
      </c>
      <c r="F67">
        <v>9</v>
      </c>
      <c r="G67" s="7">
        <v>38177</v>
      </c>
      <c r="H67">
        <v>0</v>
      </c>
      <c r="I67" s="3" t="s">
        <v>8444</v>
      </c>
      <c r="J67" s="3" t="s">
        <v>10</v>
      </c>
      <c r="K67" s="3" t="s">
        <v>15</v>
      </c>
      <c r="L67" s="3" t="s">
        <v>12</v>
      </c>
      <c r="M67">
        <v>22</v>
      </c>
      <c r="N67" s="3"/>
    </row>
    <row r="68" spans="1:14" x14ac:dyDescent="0.25">
      <c r="A68" s="3" t="s">
        <v>87</v>
      </c>
      <c r="B68">
        <v>2004</v>
      </c>
      <c r="C68">
        <v>2004</v>
      </c>
      <c r="D68" s="3" t="s">
        <v>36</v>
      </c>
      <c r="E68" s="3" t="s">
        <v>36</v>
      </c>
      <c r="F68">
        <v>16</v>
      </c>
      <c r="G68" s="7">
        <v>38276</v>
      </c>
      <c r="H68">
        <v>0</v>
      </c>
      <c r="I68" s="3" t="s">
        <v>8445</v>
      </c>
      <c r="J68" s="3" t="s">
        <v>10</v>
      </c>
      <c r="K68" s="3" t="s">
        <v>15</v>
      </c>
      <c r="L68" s="3" t="s">
        <v>22</v>
      </c>
      <c r="M68">
        <v>22</v>
      </c>
      <c r="N68" s="3"/>
    </row>
    <row r="69" spans="1:14" x14ac:dyDescent="0.25">
      <c r="A69" s="3" t="s">
        <v>88</v>
      </c>
      <c r="B69">
        <v>1998</v>
      </c>
      <c r="C69">
        <v>1998</v>
      </c>
      <c r="D69" s="3" t="s">
        <v>9</v>
      </c>
      <c r="E69" s="3" t="s">
        <v>9</v>
      </c>
      <c r="F69">
        <v>13</v>
      </c>
      <c r="G69" s="7">
        <v>35989</v>
      </c>
      <c r="H69">
        <v>0</v>
      </c>
      <c r="I69" s="3" t="s">
        <v>8446</v>
      </c>
      <c r="J69" s="3" t="s">
        <v>10</v>
      </c>
      <c r="K69" s="3" t="s">
        <v>15</v>
      </c>
      <c r="L69" s="3" t="s">
        <v>12</v>
      </c>
      <c r="M69">
        <v>28</v>
      </c>
      <c r="N69" s="3"/>
    </row>
    <row r="70" spans="1:14" x14ac:dyDescent="0.25">
      <c r="A70" s="3" t="s">
        <v>89</v>
      </c>
      <c r="B70">
        <v>2002</v>
      </c>
      <c r="C70">
        <v>2002</v>
      </c>
      <c r="D70" s="3" t="s">
        <v>29</v>
      </c>
      <c r="E70" s="3" t="s">
        <v>29</v>
      </c>
      <c r="F70">
        <v>12</v>
      </c>
      <c r="G70" s="7">
        <v>37602</v>
      </c>
      <c r="H70">
        <v>0</v>
      </c>
      <c r="I70" s="3" t="s">
        <v>8447</v>
      </c>
      <c r="J70" s="3" t="s">
        <v>10</v>
      </c>
      <c r="K70" s="3" t="s">
        <v>10</v>
      </c>
      <c r="L70" s="3" t="s">
        <v>12</v>
      </c>
      <c r="M70">
        <v>24</v>
      </c>
      <c r="N70" s="3"/>
    </row>
    <row r="71" spans="1:14" x14ac:dyDescent="0.25">
      <c r="A71" s="3" t="s">
        <v>90</v>
      </c>
      <c r="B71">
        <v>1998</v>
      </c>
      <c r="C71">
        <v>1998</v>
      </c>
      <c r="D71" s="3" t="s">
        <v>36</v>
      </c>
      <c r="E71" s="3" t="s">
        <v>36</v>
      </c>
      <c r="F71">
        <v>11</v>
      </c>
      <c r="G71" s="7">
        <v>36079</v>
      </c>
      <c r="H71">
        <v>0</v>
      </c>
      <c r="I71" s="3" t="s">
        <v>8448</v>
      </c>
      <c r="J71" s="3" t="s">
        <v>10</v>
      </c>
      <c r="K71" s="3" t="s">
        <v>15</v>
      </c>
      <c r="L71" s="3" t="s">
        <v>22</v>
      </c>
      <c r="M71">
        <v>28</v>
      </c>
      <c r="N71" s="3"/>
    </row>
    <row r="72" spans="1:14" x14ac:dyDescent="0.25">
      <c r="A72" s="3" t="s">
        <v>91</v>
      </c>
      <c r="B72">
        <v>2002</v>
      </c>
      <c r="C72">
        <v>2002</v>
      </c>
      <c r="D72" s="3" t="s">
        <v>9</v>
      </c>
      <c r="E72" s="3" t="s">
        <v>9</v>
      </c>
      <c r="F72">
        <v>1</v>
      </c>
      <c r="G72" s="7">
        <v>37438</v>
      </c>
      <c r="H72">
        <v>0</v>
      </c>
      <c r="I72" s="3" t="s">
        <v>8449</v>
      </c>
      <c r="J72" s="3" t="s">
        <v>10</v>
      </c>
      <c r="K72" s="3" t="s">
        <v>10</v>
      </c>
      <c r="L72" s="3" t="s">
        <v>12</v>
      </c>
      <c r="M72">
        <v>24</v>
      </c>
      <c r="N72" s="3"/>
    </row>
    <row r="73" spans="1:14" x14ac:dyDescent="0.25">
      <c r="A73" s="3" t="s">
        <v>92</v>
      </c>
      <c r="B73">
        <v>2003</v>
      </c>
      <c r="C73">
        <v>2003</v>
      </c>
      <c r="D73" s="3" t="s">
        <v>34</v>
      </c>
      <c r="E73" s="3" t="s">
        <v>34</v>
      </c>
      <c r="F73">
        <v>2</v>
      </c>
      <c r="G73" s="7">
        <v>37835</v>
      </c>
      <c r="H73">
        <v>0</v>
      </c>
      <c r="I73" s="3" t="s">
        <v>8450</v>
      </c>
      <c r="J73" s="3" t="s">
        <v>10</v>
      </c>
      <c r="K73" s="3" t="s">
        <v>10</v>
      </c>
      <c r="L73" s="3" t="s">
        <v>41</v>
      </c>
      <c r="M73">
        <v>23</v>
      </c>
      <c r="N73" s="3"/>
    </row>
    <row r="74" spans="1:14" x14ac:dyDescent="0.25">
      <c r="A74" s="3" t="s">
        <v>93</v>
      </c>
      <c r="B74">
        <v>2003</v>
      </c>
      <c r="C74">
        <v>2003</v>
      </c>
      <c r="D74" s="3" t="s">
        <v>19</v>
      </c>
      <c r="E74" s="3" t="s">
        <v>19</v>
      </c>
      <c r="F74">
        <v>15</v>
      </c>
      <c r="G74" s="7">
        <v>37879</v>
      </c>
      <c r="H74">
        <v>0</v>
      </c>
      <c r="I74" s="3" t="s">
        <v>8451</v>
      </c>
      <c r="J74" s="3" t="s">
        <v>10</v>
      </c>
      <c r="K74" s="3" t="s">
        <v>15</v>
      </c>
      <c r="L74" s="3" t="s">
        <v>41</v>
      </c>
      <c r="M74">
        <v>23</v>
      </c>
      <c r="N74" s="3"/>
    </row>
    <row r="75" spans="1:14" x14ac:dyDescent="0.25">
      <c r="A75" s="3" t="s">
        <v>94</v>
      </c>
      <c r="B75">
        <v>2003</v>
      </c>
      <c r="C75">
        <v>2003</v>
      </c>
      <c r="D75" s="3" t="s">
        <v>19</v>
      </c>
      <c r="E75" s="3" t="s">
        <v>19</v>
      </c>
      <c r="F75">
        <v>8</v>
      </c>
      <c r="G75" s="7">
        <v>37872</v>
      </c>
      <c r="H75">
        <v>0</v>
      </c>
      <c r="I75" s="3" t="s">
        <v>8452</v>
      </c>
      <c r="J75" s="3" t="s">
        <v>10</v>
      </c>
      <c r="K75" s="3" t="s">
        <v>15</v>
      </c>
      <c r="L75" s="3" t="s">
        <v>41</v>
      </c>
      <c r="M75">
        <v>23</v>
      </c>
      <c r="N75" s="3"/>
    </row>
    <row r="76" spans="1:14" x14ac:dyDescent="0.25">
      <c r="A76" s="3" t="s">
        <v>95</v>
      </c>
      <c r="B76">
        <v>2003</v>
      </c>
      <c r="C76">
        <v>2003</v>
      </c>
      <c r="D76" s="3" t="s">
        <v>19</v>
      </c>
      <c r="E76" s="3" t="s">
        <v>19</v>
      </c>
      <c r="F76">
        <v>15</v>
      </c>
      <c r="G76" s="7">
        <v>37879</v>
      </c>
      <c r="H76">
        <v>0</v>
      </c>
      <c r="I76" s="3" t="s">
        <v>8453</v>
      </c>
      <c r="J76" s="3" t="s">
        <v>10</v>
      </c>
      <c r="K76" s="3" t="s">
        <v>11</v>
      </c>
      <c r="L76" s="3" t="s">
        <v>41</v>
      </c>
      <c r="M76">
        <v>23</v>
      </c>
      <c r="N76" s="3"/>
    </row>
    <row r="77" spans="1:14" x14ac:dyDescent="0.25">
      <c r="A77" s="3" t="s">
        <v>96</v>
      </c>
      <c r="B77">
        <v>1997</v>
      </c>
      <c r="C77">
        <v>1997</v>
      </c>
      <c r="D77" s="3" t="s">
        <v>14</v>
      </c>
      <c r="E77" s="3" t="s">
        <v>14</v>
      </c>
      <c r="F77">
        <v>4</v>
      </c>
      <c r="G77" s="7">
        <v>35738</v>
      </c>
      <c r="H77">
        <v>0</v>
      </c>
      <c r="I77" s="3" t="s">
        <v>8454</v>
      </c>
      <c r="J77" s="3" t="s">
        <v>10</v>
      </c>
      <c r="K77" s="3" t="s">
        <v>10</v>
      </c>
      <c r="L77" s="3" t="s">
        <v>12</v>
      </c>
      <c r="M77">
        <v>29</v>
      </c>
      <c r="N77" s="3"/>
    </row>
    <row r="78" spans="1:14" x14ac:dyDescent="0.25">
      <c r="A78" s="3" t="s">
        <v>97</v>
      </c>
      <c r="B78">
        <v>2003</v>
      </c>
      <c r="C78">
        <v>2003</v>
      </c>
      <c r="D78" s="3" t="s">
        <v>29</v>
      </c>
      <c r="E78" s="3" t="s">
        <v>29</v>
      </c>
      <c r="F78">
        <v>10</v>
      </c>
      <c r="G78" s="7">
        <v>37965</v>
      </c>
      <c r="H78">
        <v>0</v>
      </c>
      <c r="I78" s="3" t="s">
        <v>8455</v>
      </c>
      <c r="J78" s="3" t="s">
        <v>10</v>
      </c>
      <c r="K78" s="3" t="s">
        <v>10</v>
      </c>
      <c r="L78" s="3" t="s">
        <v>41</v>
      </c>
      <c r="M78">
        <v>23</v>
      </c>
      <c r="N78" s="3"/>
    </row>
    <row r="79" spans="1:14" x14ac:dyDescent="0.25">
      <c r="A79" s="3" t="s">
        <v>98</v>
      </c>
      <c r="B79">
        <v>2003</v>
      </c>
      <c r="C79">
        <v>2003</v>
      </c>
      <c r="D79" s="3" t="s">
        <v>36</v>
      </c>
      <c r="E79" s="3" t="s">
        <v>36</v>
      </c>
      <c r="F79">
        <v>13</v>
      </c>
      <c r="G79" s="7">
        <v>37907</v>
      </c>
      <c r="H79">
        <v>0</v>
      </c>
      <c r="I79" s="3" t="s">
        <v>8456</v>
      </c>
      <c r="J79" s="3" t="s">
        <v>10</v>
      </c>
      <c r="K79" s="3" t="s">
        <v>11</v>
      </c>
      <c r="L79" s="3" t="s">
        <v>41</v>
      </c>
      <c r="M79">
        <v>23</v>
      </c>
      <c r="N79" s="3"/>
    </row>
    <row r="80" spans="1:14" x14ac:dyDescent="0.25">
      <c r="A80" s="3" t="s">
        <v>99</v>
      </c>
      <c r="B80">
        <v>2003</v>
      </c>
      <c r="C80">
        <v>2003</v>
      </c>
      <c r="D80" s="3" t="s">
        <v>36</v>
      </c>
      <c r="E80" s="3" t="s">
        <v>36</v>
      </c>
      <c r="F80">
        <v>30</v>
      </c>
      <c r="G80" s="7">
        <v>37924</v>
      </c>
      <c r="H80">
        <v>0</v>
      </c>
      <c r="I80" s="3" t="s">
        <v>8457</v>
      </c>
      <c r="J80" s="3" t="s">
        <v>10</v>
      </c>
      <c r="K80" s="3" t="s">
        <v>11</v>
      </c>
      <c r="L80" s="3" t="s">
        <v>41</v>
      </c>
      <c r="M80">
        <v>23</v>
      </c>
      <c r="N80" s="3"/>
    </row>
    <row r="81" spans="1:14" x14ac:dyDescent="0.25">
      <c r="A81" s="3" t="s">
        <v>100</v>
      </c>
      <c r="B81">
        <v>2003</v>
      </c>
      <c r="C81">
        <v>2003</v>
      </c>
      <c r="D81" s="3" t="s">
        <v>34</v>
      </c>
      <c r="E81" s="3" t="s">
        <v>34</v>
      </c>
      <c r="F81">
        <v>15</v>
      </c>
      <c r="G81" s="7">
        <v>37848</v>
      </c>
      <c r="H81">
        <v>0</v>
      </c>
      <c r="I81" s="3" t="s">
        <v>8458</v>
      </c>
      <c r="J81" s="3" t="s">
        <v>10</v>
      </c>
      <c r="K81" s="3" t="s">
        <v>11</v>
      </c>
      <c r="L81" s="3" t="s">
        <v>41</v>
      </c>
      <c r="M81">
        <v>23</v>
      </c>
      <c r="N81" s="3"/>
    </row>
    <row r="82" spans="1:14" x14ac:dyDescent="0.25">
      <c r="A82" s="3" t="s">
        <v>101</v>
      </c>
      <c r="B82">
        <v>2003</v>
      </c>
      <c r="C82">
        <v>2003</v>
      </c>
      <c r="D82" s="3" t="s">
        <v>14</v>
      </c>
      <c r="E82" s="3" t="s">
        <v>14</v>
      </c>
      <c r="F82">
        <v>21</v>
      </c>
      <c r="G82" s="7">
        <v>37946</v>
      </c>
      <c r="H82">
        <v>0</v>
      </c>
      <c r="I82" s="3" t="s">
        <v>8459</v>
      </c>
      <c r="J82" s="3" t="s">
        <v>10</v>
      </c>
      <c r="K82" s="3" t="s">
        <v>11</v>
      </c>
      <c r="L82" s="3" t="s">
        <v>41</v>
      </c>
      <c r="M82">
        <v>23</v>
      </c>
      <c r="N82" s="3"/>
    </row>
    <row r="83" spans="1:14" x14ac:dyDescent="0.25">
      <c r="A83" s="3" t="s">
        <v>102</v>
      </c>
      <c r="B83">
        <v>2002</v>
      </c>
      <c r="C83">
        <v>2002</v>
      </c>
      <c r="D83" s="3" t="s">
        <v>29</v>
      </c>
      <c r="E83" s="3" t="s">
        <v>29</v>
      </c>
      <c r="F83">
        <v>4</v>
      </c>
      <c r="G83" s="7">
        <v>37594</v>
      </c>
      <c r="H83">
        <v>0</v>
      </c>
      <c r="I83" s="3" t="s">
        <v>8460</v>
      </c>
      <c r="J83" s="3" t="s">
        <v>10</v>
      </c>
      <c r="K83" s="3" t="s">
        <v>15</v>
      </c>
      <c r="L83" s="3" t="s">
        <v>12</v>
      </c>
      <c r="M83">
        <v>24</v>
      </c>
      <c r="N83" s="3"/>
    </row>
    <row r="84" spans="1:14" x14ac:dyDescent="0.25">
      <c r="A84" s="3" t="s">
        <v>103</v>
      </c>
      <c r="B84">
        <v>1997</v>
      </c>
      <c r="C84">
        <v>1997</v>
      </c>
      <c r="D84" s="3" t="s">
        <v>36</v>
      </c>
      <c r="E84" s="3" t="s">
        <v>36</v>
      </c>
      <c r="F84">
        <v>26</v>
      </c>
      <c r="G84" s="7">
        <v>35729</v>
      </c>
      <c r="H84">
        <v>0</v>
      </c>
      <c r="I84" s="3" t="s">
        <v>8461</v>
      </c>
      <c r="J84" s="3" t="s">
        <v>10</v>
      </c>
      <c r="K84" s="3" t="s">
        <v>10</v>
      </c>
      <c r="L84" s="3" t="s">
        <v>22</v>
      </c>
      <c r="M84">
        <v>29</v>
      </c>
      <c r="N84" s="3"/>
    </row>
    <row r="85" spans="1:14" x14ac:dyDescent="0.25">
      <c r="A85" s="3" t="s">
        <v>104</v>
      </c>
      <c r="B85">
        <v>2004</v>
      </c>
      <c r="C85">
        <v>2004</v>
      </c>
      <c r="D85" s="3" t="s">
        <v>19</v>
      </c>
      <c r="E85" s="3" t="s">
        <v>19</v>
      </c>
      <c r="F85">
        <v>30</v>
      </c>
      <c r="G85" s="7">
        <v>38260</v>
      </c>
      <c r="H85">
        <v>0</v>
      </c>
      <c r="I85" s="3" t="s">
        <v>8462</v>
      </c>
      <c r="J85" s="3" t="s">
        <v>10</v>
      </c>
      <c r="K85" s="3" t="s">
        <v>15</v>
      </c>
      <c r="L85" s="3" t="s">
        <v>12</v>
      </c>
      <c r="M85">
        <v>22</v>
      </c>
      <c r="N85" s="3"/>
    </row>
    <row r="86" spans="1:14" x14ac:dyDescent="0.25">
      <c r="A86" s="3" t="s">
        <v>105</v>
      </c>
      <c r="B86">
        <v>2004</v>
      </c>
      <c r="C86">
        <v>2004</v>
      </c>
      <c r="D86" s="3" t="s">
        <v>9</v>
      </c>
      <c r="E86" s="3" t="s">
        <v>9</v>
      </c>
      <c r="F86">
        <v>28</v>
      </c>
      <c r="G86" s="7">
        <v>38196</v>
      </c>
      <c r="H86">
        <v>0</v>
      </c>
      <c r="I86" s="3" t="s">
        <v>8463</v>
      </c>
      <c r="J86" s="3" t="s">
        <v>10</v>
      </c>
      <c r="K86" s="3" t="s">
        <v>11</v>
      </c>
      <c r="L86" s="3" t="s">
        <v>12</v>
      </c>
      <c r="M86">
        <v>22</v>
      </c>
      <c r="N86" s="3"/>
    </row>
    <row r="87" spans="1:14" x14ac:dyDescent="0.25">
      <c r="A87" s="3" t="s">
        <v>106</v>
      </c>
      <c r="B87">
        <v>2000</v>
      </c>
      <c r="C87">
        <v>2000</v>
      </c>
      <c r="D87" s="3" t="s">
        <v>17</v>
      </c>
      <c r="E87" s="3" t="s">
        <v>17</v>
      </c>
      <c r="F87">
        <v>26</v>
      </c>
      <c r="G87" s="7">
        <v>36703</v>
      </c>
      <c r="H87">
        <v>0</v>
      </c>
      <c r="I87" s="3" t="s">
        <v>8464</v>
      </c>
      <c r="J87" s="3" t="s">
        <v>10</v>
      </c>
      <c r="K87" s="3" t="s">
        <v>10</v>
      </c>
      <c r="L87" s="3" t="s">
        <v>12</v>
      </c>
      <c r="M87">
        <v>26</v>
      </c>
      <c r="N87" s="3"/>
    </row>
    <row r="88" spans="1:14" x14ac:dyDescent="0.25">
      <c r="A88" s="3" t="s">
        <v>107</v>
      </c>
      <c r="B88">
        <v>1998</v>
      </c>
      <c r="C88">
        <v>1998</v>
      </c>
      <c r="D88" s="3" t="s">
        <v>17</v>
      </c>
      <c r="E88" s="3" t="s">
        <v>17</v>
      </c>
      <c r="F88">
        <v>4</v>
      </c>
      <c r="G88" s="7">
        <v>35950</v>
      </c>
      <c r="H88">
        <v>0</v>
      </c>
      <c r="I88" s="3" t="s">
        <v>8465</v>
      </c>
      <c r="J88" s="3" t="s">
        <v>10</v>
      </c>
      <c r="K88" s="3" t="s">
        <v>10</v>
      </c>
      <c r="L88" s="3" t="s">
        <v>12</v>
      </c>
      <c r="M88">
        <v>28</v>
      </c>
      <c r="N88" s="3"/>
    </row>
    <row r="89" spans="1:14" x14ac:dyDescent="0.25">
      <c r="A89" s="3" t="s">
        <v>108</v>
      </c>
      <c r="B89">
        <v>2001</v>
      </c>
      <c r="C89">
        <v>2001</v>
      </c>
      <c r="D89" s="3" t="s">
        <v>14</v>
      </c>
      <c r="E89" s="3" t="s">
        <v>14</v>
      </c>
      <c r="F89">
        <v>29</v>
      </c>
      <c r="G89" s="7">
        <v>37224</v>
      </c>
      <c r="H89">
        <v>0</v>
      </c>
      <c r="I89" s="3" t="s">
        <v>8466</v>
      </c>
      <c r="J89" s="3" t="s">
        <v>10</v>
      </c>
      <c r="K89" s="3" t="s">
        <v>11</v>
      </c>
      <c r="L89" s="3" t="s">
        <v>22</v>
      </c>
      <c r="M89">
        <v>25</v>
      </c>
      <c r="N89" s="3"/>
    </row>
    <row r="90" spans="1:14" x14ac:dyDescent="0.25">
      <c r="A90" s="3" t="s">
        <v>109</v>
      </c>
      <c r="B90">
        <v>2002</v>
      </c>
      <c r="C90">
        <v>2002</v>
      </c>
      <c r="D90" s="3" t="s">
        <v>29</v>
      </c>
      <c r="E90" s="3" t="s">
        <v>29</v>
      </c>
      <c r="F90">
        <v>10</v>
      </c>
      <c r="G90" s="7">
        <v>37600</v>
      </c>
      <c r="H90">
        <v>0</v>
      </c>
      <c r="I90" s="3" t="s">
        <v>8467</v>
      </c>
      <c r="J90" s="3" t="s">
        <v>10</v>
      </c>
      <c r="K90" s="3" t="s">
        <v>10</v>
      </c>
      <c r="L90" s="3" t="s">
        <v>22</v>
      </c>
      <c r="M90">
        <v>24</v>
      </c>
      <c r="N90" s="3"/>
    </row>
    <row r="91" spans="1:14" x14ac:dyDescent="0.25">
      <c r="A91" s="3" t="s">
        <v>110</v>
      </c>
      <c r="B91">
        <v>1999</v>
      </c>
      <c r="C91">
        <v>1999</v>
      </c>
      <c r="D91" s="3" t="s">
        <v>29</v>
      </c>
      <c r="E91" s="3" t="s">
        <v>29</v>
      </c>
      <c r="F91">
        <v>2</v>
      </c>
      <c r="G91" s="7">
        <v>36496</v>
      </c>
      <c r="H91">
        <v>0</v>
      </c>
      <c r="I91" s="3" t="s">
        <v>8467</v>
      </c>
      <c r="J91" s="3" t="s">
        <v>10</v>
      </c>
      <c r="K91" s="3" t="s">
        <v>10</v>
      </c>
      <c r="L91" s="3" t="s">
        <v>12</v>
      </c>
      <c r="M91">
        <v>27</v>
      </c>
      <c r="N91" s="3"/>
    </row>
    <row r="92" spans="1:14" x14ac:dyDescent="0.25">
      <c r="A92" s="3" t="s">
        <v>111</v>
      </c>
      <c r="B92">
        <v>2002</v>
      </c>
      <c r="C92">
        <v>2002</v>
      </c>
      <c r="D92" s="3" t="s">
        <v>36</v>
      </c>
      <c r="E92" s="3" t="s">
        <v>36</v>
      </c>
      <c r="F92">
        <v>13</v>
      </c>
      <c r="G92" s="7">
        <v>37542</v>
      </c>
      <c r="H92">
        <v>0</v>
      </c>
      <c r="I92" s="3" t="s">
        <v>8468</v>
      </c>
      <c r="J92" s="3" t="s">
        <v>10</v>
      </c>
      <c r="K92" s="3" t="s">
        <v>10</v>
      </c>
      <c r="L92" s="3" t="s">
        <v>12</v>
      </c>
      <c r="M92">
        <v>24</v>
      </c>
      <c r="N92" s="3"/>
    </row>
    <row r="93" spans="1:14" x14ac:dyDescent="0.25">
      <c r="A93" s="3" t="s">
        <v>112</v>
      </c>
      <c r="B93">
        <v>1999</v>
      </c>
      <c r="C93">
        <v>1999</v>
      </c>
      <c r="D93" s="3" t="s">
        <v>36</v>
      </c>
      <c r="E93" s="3" t="s">
        <v>36</v>
      </c>
      <c r="F93">
        <v>14</v>
      </c>
      <c r="G93" s="7">
        <v>36447</v>
      </c>
      <c r="H93">
        <v>0</v>
      </c>
      <c r="I93" s="3" t="s">
        <v>8469</v>
      </c>
      <c r="J93" s="3" t="s">
        <v>10</v>
      </c>
      <c r="K93" s="3" t="s">
        <v>11</v>
      </c>
      <c r="L93" s="3" t="s">
        <v>12</v>
      </c>
      <c r="M93">
        <v>27</v>
      </c>
      <c r="N93" s="3"/>
    </row>
    <row r="94" spans="1:14" x14ac:dyDescent="0.25">
      <c r="A94" s="3" t="s">
        <v>113</v>
      </c>
      <c r="B94">
        <v>1998</v>
      </c>
      <c r="C94">
        <v>1998</v>
      </c>
      <c r="D94" s="3" t="s">
        <v>9</v>
      </c>
      <c r="E94" s="3" t="s">
        <v>9</v>
      </c>
      <c r="F94">
        <v>12</v>
      </c>
      <c r="G94" s="7">
        <v>35988</v>
      </c>
      <c r="H94">
        <v>0</v>
      </c>
      <c r="I94" s="3" t="s">
        <v>8470</v>
      </c>
      <c r="J94" s="3" t="s">
        <v>10</v>
      </c>
      <c r="K94" s="3" t="s">
        <v>11</v>
      </c>
      <c r="L94" s="3" t="s">
        <v>12</v>
      </c>
      <c r="M94">
        <v>28</v>
      </c>
      <c r="N94" s="3"/>
    </row>
    <row r="95" spans="1:14" x14ac:dyDescent="0.25">
      <c r="A95" s="3" t="s">
        <v>114</v>
      </c>
      <c r="B95">
        <v>1995</v>
      </c>
      <c r="C95">
        <v>1995</v>
      </c>
      <c r="D95" s="3" t="s">
        <v>9</v>
      </c>
      <c r="E95" s="3" t="s">
        <v>9</v>
      </c>
      <c r="F95">
        <v>30</v>
      </c>
      <c r="G95" s="7">
        <v>34910</v>
      </c>
      <c r="H95">
        <v>0</v>
      </c>
      <c r="I95" s="3" t="s">
        <v>8471</v>
      </c>
      <c r="J95" s="3" t="s">
        <v>10</v>
      </c>
      <c r="K95" s="3" t="s">
        <v>11</v>
      </c>
      <c r="L95" s="3" t="s">
        <v>22</v>
      </c>
      <c r="M95">
        <v>31</v>
      </c>
      <c r="N95" s="3"/>
    </row>
    <row r="96" spans="1:14" x14ac:dyDescent="0.25">
      <c r="A96" s="3" t="s">
        <v>115</v>
      </c>
      <c r="B96">
        <v>1997</v>
      </c>
      <c r="C96">
        <v>1997</v>
      </c>
      <c r="D96" s="3" t="s">
        <v>14</v>
      </c>
      <c r="E96" s="3" t="s">
        <v>14</v>
      </c>
      <c r="F96">
        <v>7</v>
      </c>
      <c r="G96" s="7">
        <v>35741</v>
      </c>
      <c r="H96">
        <v>0</v>
      </c>
      <c r="I96" s="3" t="s">
        <v>8472</v>
      </c>
      <c r="J96" s="3" t="s">
        <v>10</v>
      </c>
      <c r="K96" s="3" t="s">
        <v>10</v>
      </c>
      <c r="L96" s="3" t="s">
        <v>22</v>
      </c>
      <c r="M96">
        <v>29</v>
      </c>
      <c r="N96" s="3"/>
    </row>
    <row r="97" spans="1:14" x14ac:dyDescent="0.25">
      <c r="A97" s="3" t="s">
        <v>116</v>
      </c>
      <c r="B97">
        <v>1998</v>
      </c>
      <c r="C97">
        <v>1998</v>
      </c>
      <c r="D97" s="3" t="s">
        <v>29</v>
      </c>
      <c r="E97" s="3" t="s">
        <v>29</v>
      </c>
      <c r="F97">
        <v>3</v>
      </c>
      <c r="G97" s="7">
        <v>36132</v>
      </c>
      <c r="H97">
        <v>0</v>
      </c>
      <c r="I97" s="3" t="s">
        <v>8473</v>
      </c>
      <c r="J97" s="3" t="s">
        <v>10</v>
      </c>
      <c r="K97" s="3" t="s">
        <v>15</v>
      </c>
      <c r="L97" s="3" t="s">
        <v>12</v>
      </c>
      <c r="M97">
        <v>28</v>
      </c>
      <c r="N97" s="3"/>
    </row>
    <row r="98" spans="1:14" x14ac:dyDescent="0.25">
      <c r="A98" s="3" t="s">
        <v>117</v>
      </c>
      <c r="B98">
        <v>2002</v>
      </c>
      <c r="C98">
        <v>2002</v>
      </c>
      <c r="D98" s="3" t="s">
        <v>34</v>
      </c>
      <c r="E98" s="3" t="s">
        <v>34</v>
      </c>
      <c r="F98">
        <v>15</v>
      </c>
      <c r="G98" s="7">
        <v>37483</v>
      </c>
      <c r="H98">
        <v>0</v>
      </c>
      <c r="I98" s="3" t="s">
        <v>8474</v>
      </c>
      <c r="J98" s="3" t="s">
        <v>10</v>
      </c>
      <c r="K98" s="3" t="s">
        <v>15</v>
      </c>
      <c r="L98" s="3" t="s">
        <v>12</v>
      </c>
      <c r="M98">
        <v>24</v>
      </c>
      <c r="N98" s="3"/>
    </row>
    <row r="99" spans="1:14" x14ac:dyDescent="0.25">
      <c r="A99" s="3" t="s">
        <v>118</v>
      </c>
      <c r="B99">
        <v>1999</v>
      </c>
      <c r="C99">
        <v>1999</v>
      </c>
      <c r="D99" s="3" t="s">
        <v>9</v>
      </c>
      <c r="E99" s="3" t="s">
        <v>9</v>
      </c>
      <c r="F99">
        <v>6</v>
      </c>
      <c r="G99" s="7">
        <v>36347</v>
      </c>
      <c r="H99">
        <v>0</v>
      </c>
      <c r="I99" s="3" t="s">
        <v>8475</v>
      </c>
      <c r="J99" s="3" t="s">
        <v>10</v>
      </c>
      <c r="K99" s="3" t="s">
        <v>10</v>
      </c>
      <c r="L99" s="3" t="s">
        <v>12</v>
      </c>
      <c r="M99">
        <v>27</v>
      </c>
      <c r="N99" s="3"/>
    </row>
    <row r="100" spans="1:14" x14ac:dyDescent="0.25">
      <c r="A100" s="3" t="s">
        <v>119</v>
      </c>
      <c r="B100">
        <v>2002</v>
      </c>
      <c r="C100">
        <v>2002</v>
      </c>
      <c r="D100" s="3" t="s">
        <v>14</v>
      </c>
      <c r="E100" s="3" t="s">
        <v>14</v>
      </c>
      <c r="F100">
        <v>14</v>
      </c>
      <c r="G100" s="7">
        <v>37574</v>
      </c>
      <c r="H100">
        <v>0</v>
      </c>
      <c r="I100" s="3" t="s">
        <v>8476</v>
      </c>
      <c r="J100" s="3" t="s">
        <v>10</v>
      </c>
      <c r="K100" s="3" t="s">
        <v>10</v>
      </c>
      <c r="L100" s="3" t="s">
        <v>12</v>
      </c>
      <c r="M100">
        <v>24</v>
      </c>
      <c r="N100" s="3"/>
    </row>
    <row r="101" spans="1:14" x14ac:dyDescent="0.25">
      <c r="A101" s="3" t="s">
        <v>120</v>
      </c>
      <c r="B101">
        <v>2002</v>
      </c>
      <c r="C101">
        <v>2002</v>
      </c>
      <c r="D101" s="3" t="s">
        <v>29</v>
      </c>
      <c r="E101" s="3" t="s">
        <v>29</v>
      </c>
      <c r="F101">
        <v>22</v>
      </c>
      <c r="G101" s="7">
        <v>37612</v>
      </c>
      <c r="H101">
        <v>0</v>
      </c>
      <c r="I101" s="3" t="s">
        <v>8477</v>
      </c>
      <c r="J101" s="3" t="s">
        <v>10</v>
      </c>
      <c r="K101" s="3" t="s">
        <v>15</v>
      </c>
      <c r="L101" s="3" t="s">
        <v>12</v>
      </c>
      <c r="M101">
        <v>24</v>
      </c>
      <c r="N101" s="3"/>
    </row>
    <row r="102" spans="1:14" x14ac:dyDescent="0.25">
      <c r="A102" s="3" t="s">
        <v>121</v>
      </c>
      <c r="B102">
        <v>1998</v>
      </c>
      <c r="C102">
        <v>1998</v>
      </c>
      <c r="D102" s="3" t="s">
        <v>19</v>
      </c>
      <c r="E102" s="3" t="s">
        <v>19</v>
      </c>
      <c r="F102">
        <v>5</v>
      </c>
      <c r="G102" s="7">
        <v>36043</v>
      </c>
      <c r="H102">
        <v>0</v>
      </c>
      <c r="I102" s="3" t="s">
        <v>8478</v>
      </c>
      <c r="J102" s="3" t="s">
        <v>10</v>
      </c>
      <c r="K102" s="3" t="s">
        <v>10</v>
      </c>
      <c r="L102" s="3" t="s">
        <v>12</v>
      </c>
      <c r="M102">
        <v>28</v>
      </c>
      <c r="N102" s="3"/>
    </row>
    <row r="103" spans="1:14" x14ac:dyDescent="0.25">
      <c r="A103" s="3" t="s">
        <v>122</v>
      </c>
      <c r="B103">
        <v>1997</v>
      </c>
      <c r="C103">
        <v>1997</v>
      </c>
      <c r="D103" s="3" t="s">
        <v>36</v>
      </c>
      <c r="E103" s="3" t="s">
        <v>36</v>
      </c>
      <c r="F103">
        <v>27</v>
      </c>
      <c r="G103" s="7">
        <v>35730</v>
      </c>
      <c r="H103">
        <v>0</v>
      </c>
      <c r="I103" s="3" t="s">
        <v>8479</v>
      </c>
      <c r="J103" s="3" t="s">
        <v>10</v>
      </c>
      <c r="K103" s="3" t="s">
        <v>11</v>
      </c>
      <c r="L103" s="3" t="s">
        <v>41</v>
      </c>
      <c r="M103">
        <v>29</v>
      </c>
      <c r="N103" s="3"/>
    </row>
    <row r="104" spans="1:14" x14ac:dyDescent="0.25">
      <c r="A104" s="3" t="s">
        <v>123</v>
      </c>
      <c r="B104">
        <v>1996</v>
      </c>
      <c r="C104">
        <v>1996</v>
      </c>
      <c r="D104" s="3" t="s">
        <v>17</v>
      </c>
      <c r="E104" s="3" t="s">
        <v>17</v>
      </c>
      <c r="F104">
        <v>23</v>
      </c>
      <c r="G104" s="7">
        <v>35239</v>
      </c>
      <c r="H104">
        <v>0</v>
      </c>
      <c r="I104" s="3" t="s">
        <v>8480</v>
      </c>
      <c r="J104" s="3" t="s">
        <v>10</v>
      </c>
      <c r="K104" s="3" t="s">
        <v>11</v>
      </c>
      <c r="L104" s="3" t="s">
        <v>12</v>
      </c>
      <c r="M104">
        <v>30</v>
      </c>
      <c r="N104" s="3"/>
    </row>
    <row r="105" spans="1:14" x14ac:dyDescent="0.25">
      <c r="A105" s="3" t="s">
        <v>124</v>
      </c>
      <c r="B105">
        <v>2001</v>
      </c>
      <c r="C105">
        <v>2001</v>
      </c>
      <c r="D105" s="3" t="s">
        <v>34</v>
      </c>
      <c r="E105" s="3" t="s">
        <v>34</v>
      </c>
      <c r="F105">
        <v>23</v>
      </c>
      <c r="G105" s="7">
        <v>37126</v>
      </c>
      <c r="H105">
        <v>0</v>
      </c>
      <c r="I105" s="3" t="s">
        <v>8481</v>
      </c>
      <c r="J105" s="3" t="s">
        <v>10</v>
      </c>
      <c r="K105" s="3" t="s">
        <v>10</v>
      </c>
      <c r="L105" s="3" t="s">
        <v>12</v>
      </c>
      <c r="M105">
        <v>25</v>
      </c>
      <c r="N105" s="3"/>
    </row>
    <row r="106" spans="1:14" x14ac:dyDescent="0.25">
      <c r="A106" s="3" t="s">
        <v>125</v>
      </c>
      <c r="B106">
        <v>1997</v>
      </c>
      <c r="C106">
        <v>1997</v>
      </c>
      <c r="D106" s="3" t="s">
        <v>29</v>
      </c>
      <c r="E106" s="3" t="s">
        <v>29</v>
      </c>
      <c r="F106">
        <v>5</v>
      </c>
      <c r="G106" s="7">
        <v>35769</v>
      </c>
      <c r="H106">
        <v>0</v>
      </c>
      <c r="I106" s="3" t="s">
        <v>8482</v>
      </c>
      <c r="J106" s="3" t="s">
        <v>10</v>
      </c>
      <c r="K106" s="3" t="s">
        <v>10</v>
      </c>
      <c r="L106" s="3" t="s">
        <v>12</v>
      </c>
      <c r="M106">
        <v>29</v>
      </c>
      <c r="N106" s="3"/>
    </row>
    <row r="107" spans="1:14" x14ac:dyDescent="0.25">
      <c r="A107" s="3" t="s">
        <v>126</v>
      </c>
      <c r="B107">
        <v>2000</v>
      </c>
      <c r="C107">
        <v>2000</v>
      </c>
      <c r="D107" s="3" t="s">
        <v>19</v>
      </c>
      <c r="E107" s="3" t="s">
        <v>19</v>
      </c>
      <c r="F107">
        <v>1</v>
      </c>
      <c r="G107" s="7">
        <v>36770</v>
      </c>
      <c r="H107">
        <v>0</v>
      </c>
      <c r="I107" s="3" t="s">
        <v>8483</v>
      </c>
      <c r="J107" s="3" t="s">
        <v>10</v>
      </c>
      <c r="K107" s="3" t="s">
        <v>10</v>
      </c>
      <c r="L107" s="3" t="s">
        <v>12</v>
      </c>
      <c r="M107">
        <v>26</v>
      </c>
      <c r="N107" s="3"/>
    </row>
    <row r="108" spans="1:14" x14ac:dyDescent="0.25">
      <c r="A108" s="3" t="s">
        <v>127</v>
      </c>
      <c r="B108">
        <v>1997</v>
      </c>
      <c r="C108">
        <v>1997</v>
      </c>
      <c r="D108" s="3" t="s">
        <v>17</v>
      </c>
      <c r="E108" s="3" t="s">
        <v>17</v>
      </c>
      <c r="F108">
        <v>19</v>
      </c>
      <c r="G108" s="7">
        <v>35600</v>
      </c>
      <c r="H108">
        <v>0</v>
      </c>
      <c r="I108" s="3" t="s">
        <v>8484</v>
      </c>
      <c r="J108" s="3" t="s">
        <v>10</v>
      </c>
      <c r="K108" s="3" t="s">
        <v>15</v>
      </c>
      <c r="L108" s="3" t="s">
        <v>12</v>
      </c>
      <c r="M108">
        <v>29</v>
      </c>
      <c r="N108" s="3"/>
    </row>
    <row r="109" spans="1:14" x14ac:dyDescent="0.25">
      <c r="A109" s="3" t="s">
        <v>128</v>
      </c>
      <c r="B109">
        <v>2003</v>
      </c>
      <c r="C109">
        <v>2003</v>
      </c>
      <c r="D109" s="3" t="s">
        <v>17</v>
      </c>
      <c r="E109" s="3" t="s">
        <v>17</v>
      </c>
      <c r="F109">
        <v>20</v>
      </c>
      <c r="G109" s="7">
        <v>37792</v>
      </c>
      <c r="H109">
        <v>0</v>
      </c>
      <c r="I109" s="3" t="s">
        <v>8485</v>
      </c>
      <c r="J109" s="3" t="s">
        <v>10</v>
      </c>
      <c r="K109" s="3" t="s">
        <v>10</v>
      </c>
      <c r="L109" s="3" t="s">
        <v>12</v>
      </c>
      <c r="M109">
        <v>23</v>
      </c>
      <c r="N109" s="3"/>
    </row>
    <row r="110" spans="1:14" x14ac:dyDescent="0.25">
      <c r="A110" s="3" t="s">
        <v>129</v>
      </c>
      <c r="B110">
        <v>1998</v>
      </c>
      <c r="C110">
        <v>1998</v>
      </c>
      <c r="D110" s="3" t="s">
        <v>29</v>
      </c>
      <c r="E110" s="3" t="s">
        <v>29</v>
      </c>
      <c r="F110">
        <v>7</v>
      </c>
      <c r="G110" s="7">
        <v>36136</v>
      </c>
      <c r="H110">
        <v>0</v>
      </c>
      <c r="I110" s="3" t="s">
        <v>8486</v>
      </c>
      <c r="J110" s="3" t="s">
        <v>10</v>
      </c>
      <c r="K110" s="3" t="s">
        <v>15</v>
      </c>
      <c r="L110" s="3" t="s">
        <v>12</v>
      </c>
      <c r="M110">
        <v>28</v>
      </c>
      <c r="N110" s="3"/>
    </row>
    <row r="111" spans="1:14" x14ac:dyDescent="0.25">
      <c r="A111" s="3" t="s">
        <v>130</v>
      </c>
      <c r="B111">
        <v>1997</v>
      </c>
      <c r="C111">
        <v>1997</v>
      </c>
      <c r="D111" s="3" t="s">
        <v>17</v>
      </c>
      <c r="E111" s="3" t="s">
        <v>17</v>
      </c>
      <c r="F111">
        <v>9</v>
      </c>
      <c r="G111" s="7">
        <v>35590</v>
      </c>
      <c r="H111">
        <v>0</v>
      </c>
      <c r="I111" s="3" t="s">
        <v>8487</v>
      </c>
      <c r="J111" s="3" t="s">
        <v>10</v>
      </c>
      <c r="K111" s="3" t="s">
        <v>15</v>
      </c>
      <c r="L111" s="3" t="s">
        <v>22</v>
      </c>
      <c r="M111">
        <v>29</v>
      </c>
      <c r="N111" s="3"/>
    </row>
    <row r="112" spans="1:14" x14ac:dyDescent="0.25">
      <c r="A112" s="3" t="s">
        <v>131</v>
      </c>
      <c r="B112">
        <v>1995</v>
      </c>
      <c r="C112">
        <v>1995</v>
      </c>
      <c r="D112" s="3" t="s">
        <v>36</v>
      </c>
      <c r="E112" s="3" t="s">
        <v>36</v>
      </c>
      <c r="F112">
        <v>7</v>
      </c>
      <c r="G112" s="7">
        <v>34979</v>
      </c>
      <c r="H112">
        <v>0</v>
      </c>
      <c r="I112" s="3" t="s">
        <v>8488</v>
      </c>
      <c r="J112" s="3" t="s">
        <v>10</v>
      </c>
      <c r="K112" s="3" t="s">
        <v>11</v>
      </c>
      <c r="L112" s="3" t="s">
        <v>12</v>
      </c>
      <c r="M112">
        <v>31</v>
      </c>
      <c r="N112" s="3"/>
    </row>
    <row r="113" spans="1:14" x14ac:dyDescent="0.25">
      <c r="A113" s="3" t="s">
        <v>132</v>
      </c>
      <c r="B113">
        <v>1998</v>
      </c>
      <c r="C113">
        <v>1998</v>
      </c>
      <c r="D113" s="3" t="s">
        <v>17</v>
      </c>
      <c r="E113" s="3" t="s">
        <v>17</v>
      </c>
      <c r="F113">
        <v>19</v>
      </c>
      <c r="G113" s="7">
        <v>35965</v>
      </c>
      <c r="H113">
        <v>0</v>
      </c>
      <c r="I113" s="3" t="s">
        <v>8489</v>
      </c>
      <c r="J113" s="3" t="s">
        <v>10</v>
      </c>
      <c r="K113" s="3" t="s">
        <v>10</v>
      </c>
      <c r="L113" s="3" t="s">
        <v>12</v>
      </c>
      <c r="M113">
        <v>28</v>
      </c>
      <c r="N113" s="3"/>
    </row>
    <row r="114" spans="1:14" x14ac:dyDescent="0.25">
      <c r="A114" s="3" t="s">
        <v>133</v>
      </c>
      <c r="B114">
        <v>2001</v>
      </c>
      <c r="C114">
        <v>2001</v>
      </c>
      <c r="D114" s="3" t="s">
        <v>34</v>
      </c>
      <c r="E114" s="3" t="s">
        <v>34</v>
      </c>
      <c r="F114">
        <v>25</v>
      </c>
      <c r="G114" s="7">
        <v>37128</v>
      </c>
      <c r="H114">
        <v>0</v>
      </c>
      <c r="I114" s="3" t="s">
        <v>8490</v>
      </c>
      <c r="J114" s="3" t="s">
        <v>10</v>
      </c>
      <c r="K114" s="3" t="s">
        <v>11</v>
      </c>
      <c r="L114" s="3" t="s">
        <v>12</v>
      </c>
      <c r="M114">
        <v>25</v>
      </c>
      <c r="N114" s="3"/>
    </row>
    <row r="115" spans="1:14" x14ac:dyDescent="0.25">
      <c r="A115" s="3" t="s">
        <v>134</v>
      </c>
      <c r="B115">
        <v>2001</v>
      </c>
      <c r="C115">
        <v>2001</v>
      </c>
      <c r="D115" s="3" t="s">
        <v>9</v>
      </c>
      <c r="E115" s="3" t="s">
        <v>9</v>
      </c>
      <c r="F115">
        <v>7</v>
      </c>
      <c r="G115" s="7">
        <v>37079</v>
      </c>
      <c r="H115">
        <v>0</v>
      </c>
      <c r="I115" s="3" t="s">
        <v>8491</v>
      </c>
      <c r="J115" s="3" t="s">
        <v>10</v>
      </c>
      <c r="K115" s="3" t="s">
        <v>11</v>
      </c>
      <c r="L115" s="3" t="s">
        <v>41</v>
      </c>
      <c r="M115">
        <v>25</v>
      </c>
      <c r="N115" s="3"/>
    </row>
    <row r="116" spans="1:14" x14ac:dyDescent="0.25">
      <c r="A116" s="3" t="s">
        <v>135</v>
      </c>
      <c r="B116">
        <v>2001</v>
      </c>
      <c r="C116">
        <v>2001</v>
      </c>
      <c r="D116" s="3" t="s">
        <v>17</v>
      </c>
      <c r="E116" s="3" t="s">
        <v>17</v>
      </c>
      <c r="F116">
        <v>2</v>
      </c>
      <c r="G116" s="7">
        <v>37044</v>
      </c>
      <c r="H116">
        <v>0</v>
      </c>
      <c r="I116" s="3" t="s">
        <v>8492</v>
      </c>
      <c r="J116" s="3" t="s">
        <v>10</v>
      </c>
      <c r="K116" s="3" t="s">
        <v>10</v>
      </c>
      <c r="L116" s="3" t="s">
        <v>12</v>
      </c>
      <c r="M116">
        <v>25</v>
      </c>
      <c r="N116" s="3"/>
    </row>
    <row r="117" spans="1:14" x14ac:dyDescent="0.25">
      <c r="A117" s="3" t="s">
        <v>136</v>
      </c>
      <c r="B117">
        <v>2001</v>
      </c>
      <c r="C117">
        <v>2001</v>
      </c>
      <c r="D117" s="3" t="s">
        <v>29</v>
      </c>
      <c r="E117" s="3" t="s">
        <v>29</v>
      </c>
      <c r="F117">
        <v>5</v>
      </c>
      <c r="G117" s="7">
        <v>37230</v>
      </c>
      <c r="H117">
        <v>0</v>
      </c>
      <c r="I117" s="3" t="s">
        <v>8493</v>
      </c>
      <c r="J117" s="3" t="s">
        <v>10</v>
      </c>
      <c r="K117" s="3" t="s">
        <v>10</v>
      </c>
      <c r="L117" s="3" t="s">
        <v>12</v>
      </c>
      <c r="M117">
        <v>25</v>
      </c>
      <c r="N117" s="3"/>
    </row>
    <row r="118" spans="1:14" x14ac:dyDescent="0.25">
      <c r="A118" s="3" t="s">
        <v>137</v>
      </c>
      <c r="B118">
        <v>1992</v>
      </c>
      <c r="C118">
        <v>1992</v>
      </c>
      <c r="D118" s="3" t="s">
        <v>19</v>
      </c>
      <c r="E118" s="3" t="s">
        <v>19</v>
      </c>
      <c r="F118">
        <v>22</v>
      </c>
      <c r="G118" s="7">
        <v>33869</v>
      </c>
      <c r="H118">
        <v>0</v>
      </c>
      <c r="I118" s="3" t="s">
        <v>8494</v>
      </c>
      <c r="J118" s="3" t="s">
        <v>10</v>
      </c>
      <c r="K118" s="3" t="s">
        <v>15</v>
      </c>
      <c r="L118" s="3" t="s">
        <v>12</v>
      </c>
      <c r="M118">
        <v>34</v>
      </c>
      <c r="N118" s="3"/>
    </row>
    <row r="119" spans="1:14" x14ac:dyDescent="0.25">
      <c r="A119" s="3" t="s">
        <v>138</v>
      </c>
      <c r="B119">
        <v>2004</v>
      </c>
      <c r="C119">
        <v>2004</v>
      </c>
      <c r="D119" s="3" t="s">
        <v>14</v>
      </c>
      <c r="E119" s="3" t="s">
        <v>14</v>
      </c>
      <c r="F119">
        <v>19</v>
      </c>
      <c r="G119" s="7">
        <v>38310</v>
      </c>
      <c r="H119">
        <v>0</v>
      </c>
      <c r="I119" s="3" t="s">
        <v>8495</v>
      </c>
      <c r="J119" s="3" t="s">
        <v>10</v>
      </c>
      <c r="K119" s="3" t="s">
        <v>11</v>
      </c>
      <c r="L119" s="3" t="s">
        <v>12</v>
      </c>
      <c r="M119">
        <v>22</v>
      </c>
      <c r="N119" s="3"/>
    </row>
    <row r="120" spans="1:14" x14ac:dyDescent="0.25">
      <c r="A120" s="3" t="s">
        <v>139</v>
      </c>
      <c r="B120">
        <v>2004</v>
      </c>
      <c r="C120">
        <v>2004</v>
      </c>
      <c r="D120" s="3" t="s">
        <v>9</v>
      </c>
      <c r="E120" s="3" t="s">
        <v>9</v>
      </c>
      <c r="F120">
        <v>22</v>
      </c>
      <c r="G120" s="7">
        <v>38190</v>
      </c>
      <c r="H120">
        <v>0</v>
      </c>
      <c r="I120" s="3" t="s">
        <v>8496</v>
      </c>
      <c r="J120" s="3" t="s">
        <v>10</v>
      </c>
      <c r="K120" s="3" t="s">
        <v>15</v>
      </c>
      <c r="L120" s="3" t="s">
        <v>12</v>
      </c>
      <c r="M120">
        <v>22</v>
      </c>
      <c r="N120" s="3"/>
    </row>
    <row r="121" spans="1:14" x14ac:dyDescent="0.25">
      <c r="A121" s="3" t="s">
        <v>140</v>
      </c>
      <c r="B121">
        <v>1995</v>
      </c>
      <c r="C121">
        <v>1995</v>
      </c>
      <c r="D121" s="3" t="s">
        <v>34</v>
      </c>
      <c r="E121" s="3" t="s">
        <v>34</v>
      </c>
      <c r="F121">
        <v>5</v>
      </c>
      <c r="G121" s="7">
        <v>34916</v>
      </c>
      <c r="H121">
        <v>0</v>
      </c>
      <c r="I121" s="3" t="s">
        <v>8497</v>
      </c>
      <c r="J121" s="3" t="s">
        <v>10</v>
      </c>
      <c r="K121" s="3" t="s">
        <v>15</v>
      </c>
      <c r="L121" s="3" t="s">
        <v>12</v>
      </c>
      <c r="M121">
        <v>31</v>
      </c>
      <c r="N121" s="3"/>
    </row>
    <row r="122" spans="1:14" x14ac:dyDescent="0.25">
      <c r="A122" s="3" t="s">
        <v>141</v>
      </c>
      <c r="B122">
        <v>2003</v>
      </c>
      <c r="C122">
        <v>2003</v>
      </c>
      <c r="D122" s="3" t="s">
        <v>19</v>
      </c>
      <c r="E122" s="3" t="s">
        <v>19</v>
      </c>
      <c r="F122">
        <v>14</v>
      </c>
      <c r="G122" s="7">
        <v>37878</v>
      </c>
      <c r="H122">
        <v>0</v>
      </c>
      <c r="I122" s="3" t="s">
        <v>8498</v>
      </c>
      <c r="J122" s="3" t="s">
        <v>10</v>
      </c>
      <c r="K122" s="3" t="s">
        <v>10</v>
      </c>
      <c r="L122" s="3" t="s">
        <v>22</v>
      </c>
      <c r="M122">
        <v>23</v>
      </c>
      <c r="N122" s="3"/>
    </row>
    <row r="123" spans="1:14" x14ac:dyDescent="0.25">
      <c r="A123" s="3" t="s">
        <v>142</v>
      </c>
      <c r="B123">
        <v>2004</v>
      </c>
      <c r="C123">
        <v>2004</v>
      </c>
      <c r="D123" s="3" t="s">
        <v>34</v>
      </c>
      <c r="E123" s="3" t="s">
        <v>34</v>
      </c>
      <c r="F123">
        <v>21</v>
      </c>
      <c r="G123" s="7">
        <v>38220</v>
      </c>
      <c r="H123">
        <v>0</v>
      </c>
      <c r="I123" s="3" t="s">
        <v>8499</v>
      </c>
      <c r="J123" s="3" t="s">
        <v>10</v>
      </c>
      <c r="K123" s="3" t="s">
        <v>10</v>
      </c>
      <c r="L123" s="3" t="s">
        <v>12</v>
      </c>
      <c r="M123">
        <v>22</v>
      </c>
      <c r="N123" s="3"/>
    </row>
    <row r="124" spans="1:14" x14ac:dyDescent="0.25">
      <c r="A124" s="3" t="s">
        <v>143</v>
      </c>
      <c r="B124">
        <v>2004</v>
      </c>
      <c r="C124">
        <v>2004</v>
      </c>
      <c r="D124" s="3" t="s">
        <v>9</v>
      </c>
      <c r="E124" s="3" t="s">
        <v>9</v>
      </c>
      <c r="F124">
        <v>25</v>
      </c>
      <c r="G124" s="7">
        <v>38193</v>
      </c>
      <c r="H124">
        <v>0</v>
      </c>
      <c r="I124" s="3" t="s">
        <v>8500</v>
      </c>
      <c r="J124" s="3" t="s">
        <v>10</v>
      </c>
      <c r="K124" s="3" t="s">
        <v>15</v>
      </c>
      <c r="L124" s="3" t="s">
        <v>12</v>
      </c>
      <c r="M124">
        <v>22</v>
      </c>
      <c r="N124" s="3"/>
    </row>
    <row r="125" spans="1:14" x14ac:dyDescent="0.25">
      <c r="A125" s="3" t="s">
        <v>144</v>
      </c>
      <c r="B125">
        <v>2003</v>
      </c>
      <c r="C125">
        <v>2003</v>
      </c>
      <c r="D125" s="3" t="s">
        <v>19</v>
      </c>
      <c r="E125" s="3" t="s">
        <v>19</v>
      </c>
      <c r="F125">
        <v>9</v>
      </c>
      <c r="G125" s="7">
        <v>37873</v>
      </c>
      <c r="H125">
        <v>0</v>
      </c>
      <c r="I125" s="3" t="s">
        <v>8501</v>
      </c>
      <c r="J125" s="3" t="s">
        <v>10</v>
      </c>
      <c r="K125" s="3" t="s">
        <v>11</v>
      </c>
      <c r="L125" s="3" t="s">
        <v>22</v>
      </c>
      <c r="M125">
        <v>23</v>
      </c>
      <c r="N125" s="3"/>
    </row>
    <row r="126" spans="1:14" x14ac:dyDescent="0.25">
      <c r="A126" s="3" t="s">
        <v>145</v>
      </c>
      <c r="B126">
        <v>2003</v>
      </c>
      <c r="C126">
        <v>2003</v>
      </c>
      <c r="D126" s="3" t="s">
        <v>29</v>
      </c>
      <c r="E126" s="3" t="s">
        <v>29</v>
      </c>
      <c r="F126">
        <v>4</v>
      </c>
      <c r="G126" s="7">
        <v>37959</v>
      </c>
      <c r="H126">
        <v>0</v>
      </c>
      <c r="I126" s="3" t="s">
        <v>8502</v>
      </c>
      <c r="J126" s="3" t="s">
        <v>10</v>
      </c>
      <c r="K126" s="3" t="s">
        <v>10</v>
      </c>
      <c r="L126" s="3" t="s">
        <v>22</v>
      </c>
      <c r="M126">
        <v>23</v>
      </c>
      <c r="N126" s="3"/>
    </row>
    <row r="127" spans="1:14" x14ac:dyDescent="0.25">
      <c r="A127" s="3" t="s">
        <v>146</v>
      </c>
      <c r="B127">
        <v>2003</v>
      </c>
      <c r="C127">
        <v>2003</v>
      </c>
      <c r="D127" s="3" t="s">
        <v>9</v>
      </c>
      <c r="E127" s="3" t="s">
        <v>9</v>
      </c>
      <c r="F127">
        <v>17</v>
      </c>
      <c r="G127" s="7">
        <v>37819</v>
      </c>
      <c r="H127">
        <v>0</v>
      </c>
      <c r="I127" s="3" t="s">
        <v>8503</v>
      </c>
      <c r="J127" s="3" t="s">
        <v>10</v>
      </c>
      <c r="K127" s="3" t="s">
        <v>15</v>
      </c>
      <c r="L127" s="3" t="s">
        <v>22</v>
      </c>
      <c r="M127">
        <v>23</v>
      </c>
      <c r="N127" s="3"/>
    </row>
    <row r="128" spans="1:14" x14ac:dyDescent="0.25">
      <c r="A128" s="3" t="s">
        <v>147</v>
      </c>
      <c r="B128">
        <v>2004</v>
      </c>
      <c r="C128">
        <v>2004</v>
      </c>
      <c r="D128" s="3" t="s">
        <v>36</v>
      </c>
      <c r="E128" s="3" t="s">
        <v>36</v>
      </c>
      <c r="F128">
        <v>4</v>
      </c>
      <c r="G128" s="7">
        <v>38264</v>
      </c>
      <c r="H128">
        <v>0</v>
      </c>
      <c r="I128" s="3" t="s">
        <v>8504</v>
      </c>
      <c r="J128" s="3" t="s">
        <v>10</v>
      </c>
      <c r="K128" s="3" t="s">
        <v>10</v>
      </c>
      <c r="L128" s="3" t="s">
        <v>12</v>
      </c>
      <c r="M128">
        <v>22</v>
      </c>
      <c r="N128" s="3"/>
    </row>
    <row r="129" spans="1:14" x14ac:dyDescent="0.25">
      <c r="A129" s="3" t="s">
        <v>148</v>
      </c>
      <c r="B129">
        <v>2004</v>
      </c>
      <c r="C129">
        <v>2004</v>
      </c>
      <c r="D129" s="3" t="s">
        <v>29</v>
      </c>
      <c r="E129" s="3" t="s">
        <v>29</v>
      </c>
      <c r="F129">
        <v>5</v>
      </c>
      <c r="G129" s="7">
        <v>38326</v>
      </c>
      <c r="H129">
        <v>0</v>
      </c>
      <c r="I129" s="3" t="s">
        <v>8505</v>
      </c>
      <c r="J129" s="3" t="s">
        <v>10</v>
      </c>
      <c r="K129" s="3" t="s">
        <v>11</v>
      </c>
      <c r="L129" s="3" t="s">
        <v>12</v>
      </c>
      <c r="M129">
        <v>22</v>
      </c>
      <c r="N129" s="3"/>
    </row>
    <row r="130" spans="1:14" x14ac:dyDescent="0.25">
      <c r="A130" s="3" t="s">
        <v>149</v>
      </c>
      <c r="B130">
        <v>2004</v>
      </c>
      <c r="C130">
        <v>2004</v>
      </c>
      <c r="D130" s="3" t="s">
        <v>9</v>
      </c>
      <c r="E130" s="3" t="s">
        <v>9</v>
      </c>
      <c r="F130">
        <v>9</v>
      </c>
      <c r="G130" s="7">
        <v>38177</v>
      </c>
      <c r="H130">
        <v>0</v>
      </c>
      <c r="I130" s="3" t="s">
        <v>8506</v>
      </c>
      <c r="J130" s="3" t="s">
        <v>10</v>
      </c>
      <c r="K130" s="3" t="s">
        <v>15</v>
      </c>
      <c r="L130" s="3" t="s">
        <v>12</v>
      </c>
      <c r="M130">
        <v>22</v>
      </c>
      <c r="N130" s="3"/>
    </row>
    <row r="131" spans="1:14" x14ac:dyDescent="0.25">
      <c r="A131" s="3" t="s">
        <v>150</v>
      </c>
      <c r="B131">
        <v>2003</v>
      </c>
      <c r="C131">
        <v>2003</v>
      </c>
      <c r="D131" s="3" t="s">
        <v>36</v>
      </c>
      <c r="E131" s="3" t="s">
        <v>36</v>
      </c>
      <c r="F131">
        <v>3</v>
      </c>
      <c r="G131" s="7">
        <v>37897</v>
      </c>
      <c r="H131">
        <v>0</v>
      </c>
      <c r="I131" s="3" t="s">
        <v>8507</v>
      </c>
      <c r="J131" s="3" t="s">
        <v>10</v>
      </c>
      <c r="K131" s="3" t="s">
        <v>10</v>
      </c>
      <c r="L131" s="3" t="s">
        <v>22</v>
      </c>
      <c r="M131">
        <v>23</v>
      </c>
      <c r="N131" s="3"/>
    </row>
    <row r="132" spans="1:14" x14ac:dyDescent="0.25">
      <c r="A132" s="3" t="s">
        <v>151</v>
      </c>
      <c r="B132">
        <v>2003</v>
      </c>
      <c r="C132">
        <v>2003</v>
      </c>
      <c r="D132" s="3" t="s">
        <v>19</v>
      </c>
      <c r="E132" s="3" t="s">
        <v>19</v>
      </c>
      <c r="F132">
        <v>16</v>
      </c>
      <c r="G132" s="7">
        <v>37880</v>
      </c>
      <c r="H132">
        <v>0</v>
      </c>
      <c r="I132" s="3" t="s">
        <v>8508</v>
      </c>
      <c r="J132" s="3" t="s">
        <v>10</v>
      </c>
      <c r="K132" s="3" t="s">
        <v>10</v>
      </c>
      <c r="L132" s="3" t="s">
        <v>22</v>
      </c>
      <c r="M132">
        <v>23</v>
      </c>
      <c r="N132" s="3"/>
    </row>
    <row r="133" spans="1:14" x14ac:dyDescent="0.25">
      <c r="A133" s="3" t="s">
        <v>152</v>
      </c>
      <c r="B133">
        <v>2004</v>
      </c>
      <c r="C133">
        <v>2004</v>
      </c>
      <c r="D133" s="3" t="s">
        <v>29</v>
      </c>
      <c r="E133" s="3" t="s">
        <v>29</v>
      </c>
      <c r="F133">
        <v>13</v>
      </c>
      <c r="G133" s="7">
        <v>38334</v>
      </c>
      <c r="H133">
        <v>0</v>
      </c>
      <c r="I133" s="3" t="s">
        <v>8509</v>
      </c>
      <c r="J133" s="3" t="s">
        <v>10</v>
      </c>
      <c r="K133" s="3" t="s">
        <v>10</v>
      </c>
      <c r="L133" s="3" t="s">
        <v>12</v>
      </c>
      <c r="M133">
        <v>22</v>
      </c>
      <c r="N133" s="3"/>
    </row>
    <row r="134" spans="1:14" x14ac:dyDescent="0.25">
      <c r="A134" s="3" t="s">
        <v>153</v>
      </c>
      <c r="B134">
        <v>2004</v>
      </c>
      <c r="C134">
        <v>2004</v>
      </c>
      <c r="D134" s="3" t="s">
        <v>34</v>
      </c>
      <c r="E134" s="3" t="s">
        <v>34</v>
      </c>
      <c r="F134">
        <v>8</v>
      </c>
      <c r="G134" s="7">
        <v>38207</v>
      </c>
      <c r="H134">
        <v>0</v>
      </c>
      <c r="I134" s="3" t="s">
        <v>8510</v>
      </c>
      <c r="J134" s="3" t="s">
        <v>10</v>
      </c>
      <c r="K134" s="3" t="s">
        <v>15</v>
      </c>
      <c r="L134" s="3" t="s">
        <v>12</v>
      </c>
      <c r="M134">
        <v>22</v>
      </c>
      <c r="N134" s="3"/>
    </row>
    <row r="135" spans="1:14" x14ac:dyDescent="0.25">
      <c r="A135" s="3" t="s">
        <v>154</v>
      </c>
      <c r="B135">
        <v>2004</v>
      </c>
      <c r="C135">
        <v>2004</v>
      </c>
      <c r="D135" s="3" t="s">
        <v>17</v>
      </c>
      <c r="E135" s="3" t="s">
        <v>17</v>
      </c>
      <c r="F135">
        <v>13</v>
      </c>
      <c r="G135" s="7">
        <v>38151</v>
      </c>
      <c r="H135">
        <v>0</v>
      </c>
      <c r="I135" s="3" t="s">
        <v>8511</v>
      </c>
      <c r="J135" s="3" t="s">
        <v>10</v>
      </c>
      <c r="K135" s="3" t="s">
        <v>10</v>
      </c>
      <c r="L135" s="3" t="s">
        <v>12</v>
      </c>
      <c r="M135">
        <v>22</v>
      </c>
      <c r="N135" s="3"/>
    </row>
    <row r="136" spans="1:14" x14ac:dyDescent="0.25">
      <c r="A136" s="3" t="s">
        <v>155</v>
      </c>
      <c r="B136">
        <v>2003</v>
      </c>
      <c r="C136">
        <v>2003</v>
      </c>
      <c r="D136" s="3" t="s">
        <v>29</v>
      </c>
      <c r="E136" s="3" t="s">
        <v>29</v>
      </c>
      <c r="F136">
        <v>30</v>
      </c>
      <c r="G136" s="7">
        <v>37985</v>
      </c>
      <c r="H136">
        <v>0</v>
      </c>
      <c r="I136" s="3" t="s">
        <v>8512</v>
      </c>
      <c r="J136" s="3" t="s">
        <v>10</v>
      </c>
      <c r="K136" s="3" t="s">
        <v>11</v>
      </c>
      <c r="L136" s="3" t="s">
        <v>22</v>
      </c>
      <c r="M136">
        <v>23</v>
      </c>
      <c r="N136" s="3"/>
    </row>
    <row r="137" spans="1:14" x14ac:dyDescent="0.25">
      <c r="A137" s="3" t="s">
        <v>156</v>
      </c>
      <c r="B137">
        <v>2003</v>
      </c>
      <c r="C137">
        <v>2003</v>
      </c>
      <c r="D137" s="3" t="s">
        <v>19</v>
      </c>
      <c r="E137" s="3" t="s">
        <v>19</v>
      </c>
      <c r="F137">
        <v>16</v>
      </c>
      <c r="G137" s="7">
        <v>37880</v>
      </c>
      <c r="H137">
        <v>0</v>
      </c>
      <c r="I137" s="3" t="s">
        <v>8513</v>
      </c>
      <c r="J137" s="3" t="s">
        <v>10</v>
      </c>
      <c r="K137" s="3" t="s">
        <v>10</v>
      </c>
      <c r="L137" s="3" t="s">
        <v>22</v>
      </c>
      <c r="M137">
        <v>23</v>
      </c>
      <c r="N137" s="3"/>
    </row>
    <row r="138" spans="1:14" x14ac:dyDescent="0.25">
      <c r="A138" s="3" t="s">
        <v>157</v>
      </c>
      <c r="B138">
        <v>2003</v>
      </c>
      <c r="C138">
        <v>2003</v>
      </c>
      <c r="D138" s="3" t="s">
        <v>34</v>
      </c>
      <c r="E138" s="3" t="s">
        <v>34</v>
      </c>
      <c r="F138">
        <v>21</v>
      </c>
      <c r="G138" s="7">
        <v>37854</v>
      </c>
      <c r="H138">
        <v>0</v>
      </c>
      <c r="I138" s="3" t="s">
        <v>8513</v>
      </c>
      <c r="J138" s="3" t="s">
        <v>10</v>
      </c>
      <c r="K138" s="3" t="s">
        <v>10</v>
      </c>
      <c r="L138" s="3" t="s">
        <v>22</v>
      </c>
      <c r="M138">
        <v>23</v>
      </c>
      <c r="N138" s="3"/>
    </row>
    <row r="139" spans="1:14" x14ac:dyDescent="0.25">
      <c r="A139" s="3" t="s">
        <v>158</v>
      </c>
      <c r="B139">
        <v>2003</v>
      </c>
      <c r="C139">
        <v>2003</v>
      </c>
      <c r="D139" s="3" t="s">
        <v>29</v>
      </c>
      <c r="E139" s="3" t="s">
        <v>29</v>
      </c>
      <c r="F139">
        <v>30</v>
      </c>
      <c r="G139" s="7">
        <v>37985</v>
      </c>
      <c r="H139">
        <v>0</v>
      </c>
      <c r="I139" s="3" t="s">
        <v>8514</v>
      </c>
      <c r="J139" s="3" t="s">
        <v>10</v>
      </c>
      <c r="K139" s="3" t="s">
        <v>15</v>
      </c>
      <c r="L139" s="3" t="s">
        <v>22</v>
      </c>
      <c r="M139">
        <v>23</v>
      </c>
      <c r="N139" s="3"/>
    </row>
    <row r="140" spans="1:14" x14ac:dyDescent="0.25">
      <c r="A140" s="3" t="s">
        <v>159</v>
      </c>
      <c r="B140">
        <v>2000</v>
      </c>
      <c r="C140">
        <v>2000</v>
      </c>
      <c r="D140" s="3" t="s">
        <v>36</v>
      </c>
      <c r="E140" s="3" t="s">
        <v>36</v>
      </c>
      <c r="F140">
        <v>23</v>
      </c>
      <c r="G140" s="7">
        <v>36822</v>
      </c>
      <c r="H140">
        <v>0</v>
      </c>
      <c r="I140" s="3" t="s">
        <v>8515</v>
      </c>
      <c r="J140" s="3" t="s">
        <v>10</v>
      </c>
      <c r="K140" s="3" t="s">
        <v>10</v>
      </c>
      <c r="L140" s="3" t="s">
        <v>12</v>
      </c>
      <c r="M140">
        <v>26</v>
      </c>
      <c r="N140" s="3"/>
    </row>
    <row r="141" spans="1:14" x14ac:dyDescent="0.25">
      <c r="A141" s="3" t="s">
        <v>160</v>
      </c>
      <c r="B141">
        <v>2000</v>
      </c>
      <c r="C141">
        <v>2000</v>
      </c>
      <c r="D141" s="3" t="s">
        <v>17</v>
      </c>
      <c r="E141" s="3" t="s">
        <v>17</v>
      </c>
      <c r="F141">
        <v>10</v>
      </c>
      <c r="G141" s="7">
        <v>36687</v>
      </c>
      <c r="H141">
        <v>0</v>
      </c>
      <c r="I141" s="3" t="s">
        <v>8516</v>
      </c>
      <c r="J141" s="3" t="s">
        <v>10</v>
      </c>
      <c r="K141" s="3" t="s">
        <v>10</v>
      </c>
      <c r="L141" s="3" t="s">
        <v>12</v>
      </c>
      <c r="M141">
        <v>26</v>
      </c>
      <c r="N141" s="3"/>
    </row>
    <row r="142" spans="1:14" x14ac:dyDescent="0.25">
      <c r="A142" s="3" t="s">
        <v>161</v>
      </c>
      <c r="B142">
        <v>2000</v>
      </c>
      <c r="C142">
        <v>2000</v>
      </c>
      <c r="D142" s="3" t="s">
        <v>36</v>
      </c>
      <c r="E142" s="3" t="s">
        <v>36</v>
      </c>
      <c r="F142">
        <v>21</v>
      </c>
      <c r="G142" s="7">
        <v>36820</v>
      </c>
      <c r="H142">
        <v>0</v>
      </c>
      <c r="I142" s="3" t="s">
        <v>8517</v>
      </c>
      <c r="J142" s="3" t="s">
        <v>10</v>
      </c>
      <c r="K142" s="3" t="s">
        <v>10</v>
      </c>
      <c r="L142" s="3" t="s">
        <v>41</v>
      </c>
      <c r="M142">
        <v>26</v>
      </c>
      <c r="N142" s="3"/>
    </row>
    <row r="143" spans="1:14" x14ac:dyDescent="0.25">
      <c r="A143" s="3" t="s">
        <v>162</v>
      </c>
      <c r="B143">
        <v>2004</v>
      </c>
      <c r="C143">
        <v>2004</v>
      </c>
      <c r="D143" s="3" t="s">
        <v>14</v>
      </c>
      <c r="E143" s="3" t="s">
        <v>14</v>
      </c>
      <c r="F143">
        <v>17</v>
      </c>
      <c r="G143" s="7">
        <v>38308</v>
      </c>
      <c r="H143">
        <v>0</v>
      </c>
      <c r="I143" s="3" t="s">
        <v>8518</v>
      </c>
      <c r="J143" s="3" t="s">
        <v>10</v>
      </c>
      <c r="K143" s="3" t="s">
        <v>10</v>
      </c>
      <c r="L143" s="3" t="s">
        <v>163</v>
      </c>
      <c r="M143">
        <v>22</v>
      </c>
      <c r="N143" s="3"/>
    </row>
    <row r="144" spans="1:14" x14ac:dyDescent="0.25">
      <c r="A144" s="3" t="s">
        <v>164</v>
      </c>
      <c r="B144">
        <v>2004</v>
      </c>
      <c r="C144">
        <v>2004</v>
      </c>
      <c r="D144" s="3" t="s">
        <v>29</v>
      </c>
      <c r="E144" s="3" t="s">
        <v>29</v>
      </c>
      <c r="F144">
        <v>10</v>
      </c>
      <c r="G144" s="7">
        <v>38331</v>
      </c>
      <c r="H144">
        <v>0</v>
      </c>
      <c r="I144" s="3" t="s">
        <v>8519</v>
      </c>
      <c r="J144" s="3" t="s">
        <v>10</v>
      </c>
      <c r="K144" s="3" t="s">
        <v>11</v>
      </c>
      <c r="L144" s="3" t="s">
        <v>165</v>
      </c>
      <c r="M144">
        <v>22</v>
      </c>
      <c r="N144" s="3"/>
    </row>
    <row r="145" spans="1:14" x14ac:dyDescent="0.25">
      <c r="A145" s="3" t="s">
        <v>166</v>
      </c>
      <c r="B145">
        <v>2004</v>
      </c>
      <c r="C145">
        <v>2004</v>
      </c>
      <c r="D145" s="3" t="s">
        <v>14</v>
      </c>
      <c r="E145" s="3" t="s">
        <v>14</v>
      </c>
      <c r="F145">
        <v>7</v>
      </c>
      <c r="G145" s="7">
        <v>38298</v>
      </c>
      <c r="H145">
        <v>0</v>
      </c>
      <c r="I145" s="3" t="s">
        <v>8520</v>
      </c>
      <c r="J145" s="3" t="s">
        <v>10</v>
      </c>
      <c r="K145" s="3" t="s">
        <v>15</v>
      </c>
      <c r="L145" s="3" t="s">
        <v>167</v>
      </c>
      <c r="M145">
        <v>22</v>
      </c>
      <c r="N145" s="3"/>
    </row>
    <row r="146" spans="1:14" x14ac:dyDescent="0.25">
      <c r="A146" s="3" t="s">
        <v>168</v>
      </c>
      <c r="B146">
        <v>2004</v>
      </c>
      <c r="C146">
        <v>2004</v>
      </c>
      <c r="D146" s="3" t="s">
        <v>29</v>
      </c>
      <c r="E146" s="3" t="s">
        <v>29</v>
      </c>
      <c r="F146">
        <v>14</v>
      </c>
      <c r="G146" s="7">
        <v>38335</v>
      </c>
      <c r="H146">
        <v>0</v>
      </c>
      <c r="I146" s="3" t="s">
        <v>8521</v>
      </c>
      <c r="J146" s="3" t="s">
        <v>10</v>
      </c>
      <c r="K146" s="3" t="s">
        <v>11</v>
      </c>
      <c r="L146" s="3" t="s">
        <v>169</v>
      </c>
      <c r="M146">
        <v>22</v>
      </c>
      <c r="N146" s="3"/>
    </row>
    <row r="147" spans="1:14" x14ac:dyDescent="0.25">
      <c r="A147" s="3" t="s">
        <v>170</v>
      </c>
      <c r="B147">
        <v>2004</v>
      </c>
      <c r="C147">
        <v>2004</v>
      </c>
      <c r="D147" s="3" t="s">
        <v>29</v>
      </c>
      <c r="E147" s="3" t="s">
        <v>29</v>
      </c>
      <c r="F147">
        <v>6</v>
      </c>
      <c r="G147" s="7">
        <v>38327</v>
      </c>
      <c r="H147">
        <v>0</v>
      </c>
      <c r="I147" s="3" t="s">
        <v>8522</v>
      </c>
      <c r="J147" s="3" t="s">
        <v>10</v>
      </c>
      <c r="K147" s="3" t="s">
        <v>10</v>
      </c>
      <c r="L147" s="3" t="s">
        <v>163</v>
      </c>
      <c r="M147">
        <v>22</v>
      </c>
      <c r="N147" s="3"/>
    </row>
    <row r="148" spans="1:14" x14ac:dyDescent="0.25">
      <c r="A148" s="3" t="s">
        <v>171</v>
      </c>
      <c r="B148">
        <v>2004</v>
      </c>
      <c r="C148">
        <v>2004</v>
      </c>
      <c r="D148" s="3" t="s">
        <v>36</v>
      </c>
      <c r="E148" s="3" t="s">
        <v>36</v>
      </c>
      <c r="F148">
        <v>17</v>
      </c>
      <c r="G148" s="7">
        <v>38277</v>
      </c>
      <c r="H148">
        <v>0</v>
      </c>
      <c r="I148" s="3" t="s">
        <v>8523</v>
      </c>
      <c r="J148" s="3" t="s">
        <v>11</v>
      </c>
      <c r="K148" s="3" t="s">
        <v>10</v>
      </c>
      <c r="L148" s="3" t="s">
        <v>167</v>
      </c>
      <c r="M148">
        <v>22</v>
      </c>
      <c r="N148" s="3"/>
    </row>
    <row r="149" spans="1:14" x14ac:dyDescent="0.25">
      <c r="A149" s="3" t="s">
        <v>172</v>
      </c>
      <c r="B149">
        <v>2004</v>
      </c>
      <c r="C149">
        <v>2004</v>
      </c>
      <c r="D149" s="3" t="s">
        <v>29</v>
      </c>
      <c r="E149" s="3" t="s">
        <v>29</v>
      </c>
      <c r="F149">
        <v>12</v>
      </c>
      <c r="G149" s="7">
        <v>38333</v>
      </c>
      <c r="H149">
        <v>0</v>
      </c>
      <c r="I149" s="3" t="s">
        <v>8524</v>
      </c>
      <c r="J149" s="3" t="s">
        <v>11</v>
      </c>
      <c r="K149" s="3" t="s">
        <v>15</v>
      </c>
      <c r="L149" s="3" t="s">
        <v>165</v>
      </c>
      <c r="M149">
        <v>22</v>
      </c>
      <c r="N149" s="3"/>
    </row>
    <row r="150" spans="1:14" x14ac:dyDescent="0.25">
      <c r="A150" s="3" t="s">
        <v>173</v>
      </c>
      <c r="B150">
        <v>2004</v>
      </c>
      <c r="C150">
        <v>2004</v>
      </c>
      <c r="D150" s="3" t="s">
        <v>19</v>
      </c>
      <c r="E150" s="3" t="s">
        <v>19</v>
      </c>
      <c r="F150">
        <v>19</v>
      </c>
      <c r="G150" s="7">
        <v>38249</v>
      </c>
      <c r="H150">
        <v>1</v>
      </c>
      <c r="I150" s="3" t="s">
        <v>8525</v>
      </c>
      <c r="J150" s="3" t="s">
        <v>11</v>
      </c>
      <c r="K150" s="3" t="s">
        <v>11</v>
      </c>
      <c r="L150" s="3" t="s">
        <v>12</v>
      </c>
      <c r="M150">
        <v>22</v>
      </c>
      <c r="N150" s="3"/>
    </row>
    <row r="151" spans="1:14" x14ac:dyDescent="0.25">
      <c r="A151" s="3" t="s">
        <v>174</v>
      </c>
      <c r="B151">
        <v>2004</v>
      </c>
      <c r="C151">
        <v>2004</v>
      </c>
      <c r="D151" s="3" t="s">
        <v>19</v>
      </c>
      <c r="E151" s="3" t="s">
        <v>19</v>
      </c>
      <c r="F151">
        <v>21</v>
      </c>
      <c r="G151" s="7">
        <v>38251</v>
      </c>
      <c r="H151">
        <v>0</v>
      </c>
      <c r="I151" s="3" t="s">
        <v>8526</v>
      </c>
      <c r="J151" s="3" t="s">
        <v>11</v>
      </c>
      <c r="K151" s="3" t="s">
        <v>15</v>
      </c>
      <c r="L151" s="3" t="s">
        <v>167</v>
      </c>
      <c r="M151">
        <v>22</v>
      </c>
      <c r="N151" s="3"/>
    </row>
    <row r="152" spans="1:14" x14ac:dyDescent="0.25">
      <c r="A152" s="3" t="s">
        <v>175</v>
      </c>
      <c r="B152">
        <v>2004</v>
      </c>
      <c r="C152">
        <v>2004</v>
      </c>
      <c r="D152" s="3" t="s">
        <v>17</v>
      </c>
      <c r="E152" s="3" t="s">
        <v>17</v>
      </c>
      <c r="F152">
        <v>10</v>
      </c>
      <c r="G152" s="7">
        <v>38148</v>
      </c>
      <c r="H152">
        <v>1</v>
      </c>
      <c r="I152" s="3" t="s">
        <v>8527</v>
      </c>
      <c r="J152" s="3" t="s">
        <v>11</v>
      </c>
      <c r="K152" s="3" t="s">
        <v>11</v>
      </c>
      <c r="L152" s="3" t="s">
        <v>12</v>
      </c>
      <c r="M152">
        <v>22</v>
      </c>
      <c r="N152" s="3"/>
    </row>
    <row r="153" spans="1:14" x14ac:dyDescent="0.25">
      <c r="A153" s="3" t="s">
        <v>176</v>
      </c>
      <c r="B153">
        <v>2004</v>
      </c>
      <c r="C153">
        <v>2004</v>
      </c>
      <c r="D153" s="3" t="s">
        <v>19</v>
      </c>
      <c r="E153" s="3" t="s">
        <v>19</v>
      </c>
      <c r="F153">
        <v>11</v>
      </c>
      <c r="G153" s="7">
        <v>38241</v>
      </c>
      <c r="H153">
        <v>1</v>
      </c>
      <c r="I153" s="3" t="s">
        <v>8528</v>
      </c>
      <c r="J153" s="3" t="s">
        <v>11</v>
      </c>
      <c r="K153" s="3" t="s">
        <v>11</v>
      </c>
      <c r="L153" s="3" t="s">
        <v>12</v>
      </c>
      <c r="M153">
        <v>22</v>
      </c>
      <c r="N153" s="3"/>
    </row>
    <row r="154" spans="1:14" x14ac:dyDescent="0.25">
      <c r="A154" s="3" t="s">
        <v>177</v>
      </c>
      <c r="B154">
        <v>2004</v>
      </c>
      <c r="C154">
        <v>2004</v>
      </c>
      <c r="D154" s="3" t="s">
        <v>36</v>
      </c>
      <c r="E154" s="3" t="s">
        <v>36</v>
      </c>
      <c r="F154">
        <v>21</v>
      </c>
      <c r="G154" s="7">
        <v>38281</v>
      </c>
      <c r="H154">
        <v>1</v>
      </c>
      <c r="I154" s="3" t="s">
        <v>8529</v>
      </c>
      <c r="J154" s="3" t="s">
        <v>11</v>
      </c>
      <c r="K154" s="3" t="s">
        <v>10</v>
      </c>
      <c r="L154" s="3" t="s">
        <v>12</v>
      </c>
      <c r="M154">
        <v>22</v>
      </c>
      <c r="N154" s="3"/>
    </row>
    <row r="155" spans="1:14" x14ac:dyDescent="0.25">
      <c r="A155" s="3" t="s">
        <v>178</v>
      </c>
      <c r="B155">
        <v>2004</v>
      </c>
      <c r="C155">
        <v>2004</v>
      </c>
      <c r="D155" s="3" t="s">
        <v>19</v>
      </c>
      <c r="E155" s="3" t="s">
        <v>19</v>
      </c>
      <c r="F155">
        <v>9</v>
      </c>
      <c r="G155" s="7">
        <v>38239</v>
      </c>
      <c r="H155">
        <v>1</v>
      </c>
      <c r="I155" s="3" t="s">
        <v>8530</v>
      </c>
      <c r="J155" s="3" t="s">
        <v>11</v>
      </c>
      <c r="K155" s="3" t="s">
        <v>15</v>
      </c>
      <c r="L155" s="3" t="s">
        <v>12</v>
      </c>
      <c r="M155">
        <v>22</v>
      </c>
      <c r="N155" s="3"/>
    </row>
    <row r="156" spans="1:14" x14ac:dyDescent="0.25">
      <c r="A156" s="3" t="s">
        <v>179</v>
      </c>
      <c r="B156">
        <v>2003</v>
      </c>
      <c r="C156">
        <v>2003</v>
      </c>
      <c r="D156" s="3" t="s">
        <v>14</v>
      </c>
      <c r="E156" s="3" t="s">
        <v>14</v>
      </c>
      <c r="F156">
        <v>21</v>
      </c>
      <c r="G156" s="7">
        <v>37946</v>
      </c>
      <c r="H156">
        <v>0</v>
      </c>
      <c r="I156" s="3" t="s">
        <v>8531</v>
      </c>
      <c r="J156" s="3" t="s">
        <v>11</v>
      </c>
      <c r="K156" s="3" t="s">
        <v>11</v>
      </c>
      <c r="L156" s="3" t="s">
        <v>41</v>
      </c>
      <c r="M156">
        <v>23</v>
      </c>
      <c r="N156" s="3"/>
    </row>
    <row r="157" spans="1:14" x14ac:dyDescent="0.25">
      <c r="A157" s="3" t="s">
        <v>180</v>
      </c>
      <c r="B157">
        <v>2003</v>
      </c>
      <c r="C157">
        <v>2003</v>
      </c>
      <c r="D157" s="3" t="s">
        <v>19</v>
      </c>
      <c r="E157" s="3" t="s">
        <v>19</v>
      </c>
      <c r="F157">
        <v>1</v>
      </c>
      <c r="G157" s="7">
        <v>37865</v>
      </c>
      <c r="H157">
        <v>0</v>
      </c>
      <c r="I157" s="3" t="s">
        <v>8532</v>
      </c>
      <c r="J157" s="3" t="s">
        <v>11</v>
      </c>
      <c r="K157" s="3" t="s">
        <v>10</v>
      </c>
      <c r="L157" s="3" t="s">
        <v>41</v>
      </c>
      <c r="M157">
        <v>23</v>
      </c>
      <c r="N157" s="3"/>
    </row>
    <row r="158" spans="1:14" x14ac:dyDescent="0.25">
      <c r="A158" s="3" t="s">
        <v>181</v>
      </c>
      <c r="B158">
        <v>2003</v>
      </c>
      <c r="C158">
        <v>2003</v>
      </c>
      <c r="D158" s="3" t="s">
        <v>14</v>
      </c>
      <c r="E158" s="3" t="s">
        <v>14</v>
      </c>
      <c r="F158">
        <v>9</v>
      </c>
      <c r="G158" s="7">
        <v>37934</v>
      </c>
      <c r="H158">
        <v>0</v>
      </c>
      <c r="I158" s="3" t="s">
        <v>8533</v>
      </c>
      <c r="J158" s="3" t="s">
        <v>11</v>
      </c>
      <c r="K158" s="3" t="s">
        <v>10</v>
      </c>
      <c r="L158" s="3" t="s">
        <v>41</v>
      </c>
      <c r="M158">
        <v>23</v>
      </c>
      <c r="N158" s="3"/>
    </row>
    <row r="159" spans="1:14" x14ac:dyDescent="0.25">
      <c r="A159" s="3" t="s">
        <v>182</v>
      </c>
      <c r="B159">
        <v>2003</v>
      </c>
      <c r="C159">
        <v>2003</v>
      </c>
      <c r="D159" s="3" t="s">
        <v>14</v>
      </c>
      <c r="E159" s="3" t="s">
        <v>14</v>
      </c>
      <c r="F159">
        <v>14</v>
      </c>
      <c r="G159" s="7">
        <v>37939</v>
      </c>
      <c r="H159">
        <v>0</v>
      </c>
      <c r="I159" s="3" t="s">
        <v>8534</v>
      </c>
      <c r="J159" s="3" t="s">
        <v>11</v>
      </c>
      <c r="K159" s="3" t="s">
        <v>10</v>
      </c>
      <c r="L159" s="3" t="s">
        <v>41</v>
      </c>
      <c r="M159">
        <v>23</v>
      </c>
      <c r="N159" s="3"/>
    </row>
    <row r="160" spans="1:14" x14ac:dyDescent="0.25">
      <c r="A160" s="3" t="s">
        <v>183</v>
      </c>
      <c r="B160">
        <v>2003</v>
      </c>
      <c r="C160">
        <v>2003</v>
      </c>
      <c r="D160" s="3" t="s">
        <v>9</v>
      </c>
      <c r="E160" s="3" t="s">
        <v>9</v>
      </c>
      <c r="F160">
        <v>25</v>
      </c>
      <c r="G160" s="7">
        <v>37827</v>
      </c>
      <c r="H160">
        <v>0</v>
      </c>
      <c r="I160" s="3" t="s">
        <v>8535</v>
      </c>
      <c r="J160" s="3" t="s">
        <v>11</v>
      </c>
      <c r="K160" s="3" t="s">
        <v>15</v>
      </c>
      <c r="L160" s="3" t="s">
        <v>41</v>
      </c>
      <c r="M160">
        <v>23</v>
      </c>
      <c r="N160" s="3"/>
    </row>
    <row r="161" spans="1:14" x14ac:dyDescent="0.25">
      <c r="A161" s="3" t="s">
        <v>184</v>
      </c>
      <c r="B161">
        <v>2003</v>
      </c>
      <c r="C161">
        <v>2003</v>
      </c>
      <c r="D161" s="3" t="s">
        <v>9</v>
      </c>
      <c r="E161" s="3" t="s">
        <v>9</v>
      </c>
      <c r="F161">
        <v>28</v>
      </c>
      <c r="G161" s="7">
        <v>37830</v>
      </c>
      <c r="H161">
        <v>0</v>
      </c>
      <c r="I161" s="3" t="s">
        <v>8536</v>
      </c>
      <c r="J161" s="3" t="s">
        <v>11</v>
      </c>
      <c r="K161" s="3" t="s">
        <v>15</v>
      </c>
      <c r="L161" s="3" t="s">
        <v>41</v>
      </c>
      <c r="M161">
        <v>23</v>
      </c>
      <c r="N161" s="3"/>
    </row>
    <row r="162" spans="1:14" x14ac:dyDescent="0.25">
      <c r="A162" s="3" t="s">
        <v>185</v>
      </c>
      <c r="B162">
        <v>2003</v>
      </c>
      <c r="C162">
        <v>2003</v>
      </c>
      <c r="D162" s="3" t="s">
        <v>19</v>
      </c>
      <c r="E162" s="3" t="s">
        <v>19</v>
      </c>
      <c r="F162">
        <v>26</v>
      </c>
      <c r="G162" s="7">
        <v>37890</v>
      </c>
      <c r="H162">
        <v>0</v>
      </c>
      <c r="I162" s="3" t="s">
        <v>8537</v>
      </c>
      <c r="J162" s="3" t="s">
        <v>11</v>
      </c>
      <c r="K162" s="3" t="s">
        <v>15</v>
      </c>
      <c r="L162" s="3" t="s">
        <v>41</v>
      </c>
      <c r="M162">
        <v>23</v>
      </c>
      <c r="N162" s="3"/>
    </row>
    <row r="163" spans="1:14" x14ac:dyDescent="0.25">
      <c r="A163" s="3" t="s">
        <v>186</v>
      </c>
      <c r="B163">
        <v>1998</v>
      </c>
      <c r="C163">
        <v>1998</v>
      </c>
      <c r="D163" s="3" t="s">
        <v>36</v>
      </c>
      <c r="E163" s="3" t="s">
        <v>36</v>
      </c>
      <c r="F163">
        <v>7</v>
      </c>
      <c r="G163" s="7">
        <v>36075</v>
      </c>
      <c r="H163">
        <v>0</v>
      </c>
      <c r="I163" s="3" t="s">
        <v>8538</v>
      </c>
      <c r="J163" s="3" t="s">
        <v>11</v>
      </c>
      <c r="K163" s="3" t="s">
        <v>11</v>
      </c>
      <c r="L163" s="3" t="s">
        <v>12</v>
      </c>
      <c r="M163">
        <v>28</v>
      </c>
      <c r="N163" s="3"/>
    </row>
    <row r="164" spans="1:14" x14ac:dyDescent="0.25">
      <c r="A164" s="3" t="s">
        <v>187</v>
      </c>
      <c r="B164">
        <v>2003</v>
      </c>
      <c r="C164">
        <v>2003</v>
      </c>
      <c r="D164" s="3" t="s">
        <v>14</v>
      </c>
      <c r="E164" s="3" t="s">
        <v>14</v>
      </c>
      <c r="F164">
        <v>19</v>
      </c>
      <c r="G164" s="7">
        <v>37944</v>
      </c>
      <c r="H164">
        <v>0</v>
      </c>
      <c r="I164" s="3" t="s">
        <v>8539</v>
      </c>
      <c r="J164" s="3" t="s">
        <v>11</v>
      </c>
      <c r="K164" s="3" t="s">
        <v>15</v>
      </c>
      <c r="L164" s="3" t="s">
        <v>41</v>
      </c>
      <c r="M164">
        <v>23</v>
      </c>
      <c r="N164" s="3"/>
    </row>
    <row r="165" spans="1:14" x14ac:dyDescent="0.25">
      <c r="A165" s="3" t="s">
        <v>188</v>
      </c>
      <c r="B165">
        <v>2002</v>
      </c>
      <c r="C165">
        <v>2002</v>
      </c>
      <c r="D165" s="3" t="s">
        <v>29</v>
      </c>
      <c r="E165" s="3" t="s">
        <v>29</v>
      </c>
      <c r="F165">
        <v>13</v>
      </c>
      <c r="G165" s="7">
        <v>37603</v>
      </c>
      <c r="H165">
        <v>0</v>
      </c>
      <c r="I165" s="3" t="s">
        <v>8540</v>
      </c>
      <c r="J165" s="3" t="s">
        <v>11</v>
      </c>
      <c r="K165" s="3" t="s">
        <v>11</v>
      </c>
      <c r="L165" s="3" t="s">
        <v>22</v>
      </c>
      <c r="M165">
        <v>24</v>
      </c>
      <c r="N165" s="3"/>
    </row>
    <row r="166" spans="1:14" x14ac:dyDescent="0.25">
      <c r="A166" s="3" t="s">
        <v>189</v>
      </c>
      <c r="B166">
        <v>1999</v>
      </c>
      <c r="C166">
        <v>1999</v>
      </c>
      <c r="D166" s="3" t="s">
        <v>19</v>
      </c>
      <c r="E166" s="3" t="s">
        <v>19</v>
      </c>
      <c r="F166">
        <v>25</v>
      </c>
      <c r="G166" s="7">
        <v>36428</v>
      </c>
      <c r="H166">
        <v>0</v>
      </c>
      <c r="I166" s="3" t="s">
        <v>8541</v>
      </c>
      <c r="J166" s="3" t="s">
        <v>11</v>
      </c>
      <c r="K166" s="3" t="s">
        <v>11</v>
      </c>
      <c r="L166" s="3" t="s">
        <v>12</v>
      </c>
      <c r="M166">
        <v>27</v>
      </c>
      <c r="N166" s="3"/>
    </row>
    <row r="167" spans="1:14" x14ac:dyDescent="0.25">
      <c r="A167" s="3" t="s">
        <v>190</v>
      </c>
      <c r="B167">
        <v>2004</v>
      </c>
      <c r="C167">
        <v>2004</v>
      </c>
      <c r="D167" s="3" t="s">
        <v>34</v>
      </c>
      <c r="E167" s="3" t="s">
        <v>34</v>
      </c>
      <c r="F167">
        <v>19</v>
      </c>
      <c r="G167" s="7">
        <v>38218</v>
      </c>
      <c r="H167">
        <v>0</v>
      </c>
      <c r="I167" s="3" t="s">
        <v>8542</v>
      </c>
      <c r="J167" s="3" t="s">
        <v>11</v>
      </c>
      <c r="K167" s="3" t="s">
        <v>15</v>
      </c>
      <c r="L167" s="3" t="s">
        <v>22</v>
      </c>
      <c r="M167">
        <v>22</v>
      </c>
      <c r="N167" s="3"/>
    </row>
    <row r="168" spans="1:14" x14ac:dyDescent="0.25">
      <c r="A168" s="3" t="s">
        <v>191</v>
      </c>
      <c r="B168">
        <v>1999</v>
      </c>
      <c r="C168">
        <v>1999</v>
      </c>
      <c r="D168" s="3" t="s">
        <v>14</v>
      </c>
      <c r="E168" s="3" t="s">
        <v>14</v>
      </c>
      <c r="F168">
        <v>17</v>
      </c>
      <c r="G168" s="7">
        <v>36481</v>
      </c>
      <c r="H168">
        <v>0</v>
      </c>
      <c r="I168" s="3" t="s">
        <v>8543</v>
      </c>
      <c r="J168" s="3" t="s">
        <v>11</v>
      </c>
      <c r="K168" s="3" t="s">
        <v>11</v>
      </c>
      <c r="L168" s="3" t="s">
        <v>12</v>
      </c>
      <c r="M168">
        <v>27</v>
      </c>
      <c r="N168" s="3"/>
    </row>
    <row r="169" spans="1:14" x14ac:dyDescent="0.25">
      <c r="A169" s="3" t="s">
        <v>192</v>
      </c>
      <c r="B169">
        <v>1999</v>
      </c>
      <c r="C169">
        <v>1999</v>
      </c>
      <c r="D169" s="3" t="s">
        <v>36</v>
      </c>
      <c r="E169" s="3" t="s">
        <v>36</v>
      </c>
      <c r="F169">
        <v>1</v>
      </c>
      <c r="G169" s="7">
        <v>36434</v>
      </c>
      <c r="H169">
        <v>0</v>
      </c>
      <c r="I169" s="3" t="s">
        <v>8544</v>
      </c>
      <c r="J169" s="3" t="s">
        <v>11</v>
      </c>
      <c r="K169" s="3" t="s">
        <v>10</v>
      </c>
      <c r="L169" s="3" t="s">
        <v>41</v>
      </c>
      <c r="M169">
        <v>27</v>
      </c>
      <c r="N169" s="3"/>
    </row>
    <row r="170" spans="1:14" x14ac:dyDescent="0.25">
      <c r="A170" s="3" t="s">
        <v>193</v>
      </c>
      <c r="B170">
        <v>2003</v>
      </c>
      <c r="C170">
        <v>2003</v>
      </c>
      <c r="D170" s="3" t="s">
        <v>34</v>
      </c>
      <c r="E170" s="3" t="s">
        <v>34</v>
      </c>
      <c r="F170">
        <v>11</v>
      </c>
      <c r="G170" s="7">
        <v>37844</v>
      </c>
      <c r="H170">
        <v>1</v>
      </c>
      <c r="I170" s="3" t="s">
        <v>8545</v>
      </c>
      <c r="J170" s="3" t="s">
        <v>11</v>
      </c>
      <c r="K170" s="3" t="s">
        <v>11</v>
      </c>
      <c r="L170" s="3" t="s">
        <v>41</v>
      </c>
      <c r="M170">
        <v>23</v>
      </c>
      <c r="N170" s="3"/>
    </row>
    <row r="171" spans="1:14" x14ac:dyDescent="0.25">
      <c r="A171" s="3" t="s">
        <v>194</v>
      </c>
      <c r="B171">
        <v>2003</v>
      </c>
      <c r="C171">
        <v>2003</v>
      </c>
      <c r="D171" s="3" t="s">
        <v>34</v>
      </c>
      <c r="E171" s="3" t="s">
        <v>34</v>
      </c>
      <c r="F171">
        <v>4</v>
      </c>
      <c r="G171" s="7">
        <v>37837</v>
      </c>
      <c r="H171">
        <v>1</v>
      </c>
      <c r="I171" s="3" t="s">
        <v>8546</v>
      </c>
      <c r="J171" s="3" t="s">
        <v>11</v>
      </c>
      <c r="K171" s="3" t="s">
        <v>10</v>
      </c>
      <c r="L171" s="3" t="s">
        <v>41</v>
      </c>
      <c r="M171">
        <v>23</v>
      </c>
      <c r="N171" s="3"/>
    </row>
    <row r="172" spans="1:14" x14ac:dyDescent="0.25">
      <c r="A172" s="3" t="s">
        <v>195</v>
      </c>
      <c r="B172">
        <v>1999</v>
      </c>
      <c r="C172">
        <v>1999</v>
      </c>
      <c r="D172" s="3" t="s">
        <v>29</v>
      </c>
      <c r="E172" s="3" t="s">
        <v>29</v>
      </c>
      <c r="F172">
        <v>12</v>
      </c>
      <c r="G172" s="7">
        <v>36506</v>
      </c>
      <c r="H172">
        <v>0</v>
      </c>
      <c r="I172" s="3" t="s">
        <v>8547</v>
      </c>
      <c r="J172" s="3" t="s">
        <v>11</v>
      </c>
      <c r="K172" s="3" t="s">
        <v>10</v>
      </c>
      <c r="L172" s="3" t="s">
        <v>12</v>
      </c>
      <c r="M172">
        <v>27</v>
      </c>
      <c r="N172" s="3"/>
    </row>
    <row r="173" spans="1:14" x14ac:dyDescent="0.25">
      <c r="A173" s="3" t="s">
        <v>196</v>
      </c>
      <c r="B173">
        <v>2003</v>
      </c>
      <c r="C173">
        <v>2003</v>
      </c>
      <c r="D173" s="3" t="s">
        <v>9</v>
      </c>
      <c r="E173" s="3" t="s">
        <v>9</v>
      </c>
      <c r="F173">
        <v>20</v>
      </c>
      <c r="G173" s="7">
        <v>37822</v>
      </c>
      <c r="H173">
        <v>1</v>
      </c>
      <c r="I173" s="3" t="s">
        <v>8548</v>
      </c>
      <c r="J173" s="3" t="s">
        <v>11</v>
      </c>
      <c r="K173" s="3" t="s">
        <v>10</v>
      </c>
      <c r="L173" s="3" t="s">
        <v>41</v>
      </c>
      <c r="M173">
        <v>23</v>
      </c>
      <c r="N173" s="3"/>
    </row>
    <row r="174" spans="1:14" x14ac:dyDescent="0.25">
      <c r="A174" s="3" t="s">
        <v>197</v>
      </c>
      <c r="B174">
        <v>1994</v>
      </c>
      <c r="C174">
        <v>1994</v>
      </c>
      <c r="D174" s="3" t="s">
        <v>29</v>
      </c>
      <c r="E174" s="3" t="s">
        <v>29</v>
      </c>
      <c r="F174">
        <v>6</v>
      </c>
      <c r="G174" s="7">
        <v>34674</v>
      </c>
      <c r="H174">
        <v>0</v>
      </c>
      <c r="I174" s="3" t="s">
        <v>8549</v>
      </c>
      <c r="J174" s="3" t="s">
        <v>11</v>
      </c>
      <c r="K174" s="3" t="s">
        <v>10</v>
      </c>
      <c r="L174" s="3" t="s">
        <v>22</v>
      </c>
      <c r="M174">
        <v>32</v>
      </c>
      <c r="N174" s="3"/>
    </row>
    <row r="175" spans="1:14" x14ac:dyDescent="0.25">
      <c r="A175" s="3" t="s">
        <v>198</v>
      </c>
      <c r="B175">
        <v>2004</v>
      </c>
      <c r="C175">
        <v>2004</v>
      </c>
      <c r="D175" s="3" t="s">
        <v>29</v>
      </c>
      <c r="E175" s="3" t="s">
        <v>29</v>
      </c>
      <c r="F175">
        <v>27</v>
      </c>
      <c r="G175" s="7">
        <v>38348</v>
      </c>
      <c r="H175">
        <v>0</v>
      </c>
      <c r="I175" s="3" t="s">
        <v>8550</v>
      </c>
      <c r="J175" s="3" t="s">
        <v>11</v>
      </c>
      <c r="K175" s="3" t="s">
        <v>15</v>
      </c>
      <c r="L175" s="3" t="s">
        <v>199</v>
      </c>
      <c r="M175">
        <v>22</v>
      </c>
      <c r="N175" s="3"/>
    </row>
    <row r="176" spans="1:14" x14ac:dyDescent="0.25">
      <c r="A176" s="3" t="s">
        <v>200</v>
      </c>
      <c r="B176">
        <v>1996</v>
      </c>
      <c r="C176">
        <v>1996</v>
      </c>
      <c r="D176" s="3" t="s">
        <v>9</v>
      </c>
      <c r="E176" s="3" t="s">
        <v>9</v>
      </c>
      <c r="F176">
        <v>2</v>
      </c>
      <c r="G176" s="7">
        <v>35248</v>
      </c>
      <c r="H176">
        <v>0</v>
      </c>
      <c r="I176" s="3" t="s">
        <v>8551</v>
      </c>
      <c r="J176" s="3" t="s">
        <v>11</v>
      </c>
      <c r="K176" s="3" t="s">
        <v>11</v>
      </c>
      <c r="L176" s="3" t="s">
        <v>22</v>
      </c>
      <c r="M176">
        <v>30</v>
      </c>
      <c r="N176" s="3"/>
    </row>
    <row r="177" spans="1:14" x14ac:dyDescent="0.25">
      <c r="A177" s="3" t="s">
        <v>201</v>
      </c>
      <c r="B177">
        <v>2002</v>
      </c>
      <c r="C177">
        <v>2002</v>
      </c>
      <c r="D177" s="3" t="s">
        <v>19</v>
      </c>
      <c r="E177" s="3" t="s">
        <v>19</v>
      </c>
      <c r="F177">
        <v>22</v>
      </c>
      <c r="G177" s="7">
        <v>37521</v>
      </c>
      <c r="H177">
        <v>0</v>
      </c>
      <c r="I177" s="3" t="s">
        <v>8552</v>
      </c>
      <c r="J177" s="3" t="s">
        <v>11</v>
      </c>
      <c r="K177" s="3" t="s">
        <v>10</v>
      </c>
      <c r="L177" s="3" t="s">
        <v>41</v>
      </c>
      <c r="M177">
        <v>24</v>
      </c>
      <c r="N177" s="3"/>
    </row>
    <row r="178" spans="1:14" x14ac:dyDescent="0.25">
      <c r="A178" s="3" t="s">
        <v>202</v>
      </c>
      <c r="B178">
        <v>2002</v>
      </c>
      <c r="C178">
        <v>2002</v>
      </c>
      <c r="D178" s="3" t="s">
        <v>36</v>
      </c>
      <c r="E178" s="3" t="s">
        <v>36</v>
      </c>
      <c r="F178">
        <v>29</v>
      </c>
      <c r="G178" s="7">
        <v>37558</v>
      </c>
      <c r="H178">
        <v>0</v>
      </c>
      <c r="I178" s="3" t="s">
        <v>8553</v>
      </c>
      <c r="J178" s="3" t="s">
        <v>11</v>
      </c>
      <c r="K178" s="3" t="s">
        <v>15</v>
      </c>
      <c r="L178" s="3" t="s">
        <v>12</v>
      </c>
      <c r="M178">
        <v>24</v>
      </c>
      <c r="N178" s="3"/>
    </row>
    <row r="179" spans="1:14" x14ac:dyDescent="0.25">
      <c r="A179" s="3" t="s">
        <v>203</v>
      </c>
      <c r="B179">
        <v>2002</v>
      </c>
      <c r="C179">
        <v>2002</v>
      </c>
      <c r="D179" s="3" t="s">
        <v>34</v>
      </c>
      <c r="E179" s="3" t="s">
        <v>34</v>
      </c>
      <c r="F179">
        <v>29</v>
      </c>
      <c r="G179" s="7">
        <v>37497</v>
      </c>
      <c r="H179">
        <v>0</v>
      </c>
      <c r="I179" s="3" t="s">
        <v>8554</v>
      </c>
      <c r="J179" s="3" t="s">
        <v>11</v>
      </c>
      <c r="K179" s="3" t="s">
        <v>10</v>
      </c>
      <c r="L179" s="3" t="s">
        <v>12</v>
      </c>
      <c r="M179">
        <v>24</v>
      </c>
      <c r="N179" s="3"/>
    </row>
    <row r="180" spans="1:14" x14ac:dyDescent="0.25">
      <c r="A180" s="3" t="s">
        <v>204</v>
      </c>
      <c r="B180">
        <v>2002</v>
      </c>
      <c r="C180">
        <v>2002</v>
      </c>
      <c r="D180" s="3" t="s">
        <v>34</v>
      </c>
      <c r="E180" s="3" t="s">
        <v>34</v>
      </c>
      <c r="F180">
        <v>21</v>
      </c>
      <c r="G180" s="7">
        <v>37489</v>
      </c>
      <c r="H180">
        <v>0</v>
      </c>
      <c r="I180" s="3" t="s">
        <v>8555</v>
      </c>
      <c r="J180" s="3" t="s">
        <v>11</v>
      </c>
      <c r="K180" s="3" t="s">
        <v>15</v>
      </c>
      <c r="L180" s="3" t="s">
        <v>41</v>
      </c>
      <c r="M180">
        <v>24</v>
      </c>
      <c r="N180" s="3"/>
    </row>
    <row r="181" spans="1:14" x14ac:dyDescent="0.25">
      <c r="A181" s="3" t="s">
        <v>205</v>
      </c>
      <c r="B181">
        <v>2001</v>
      </c>
      <c r="C181">
        <v>2001</v>
      </c>
      <c r="D181" s="3" t="s">
        <v>34</v>
      </c>
      <c r="E181" s="3" t="s">
        <v>34</v>
      </c>
      <c r="F181">
        <v>10</v>
      </c>
      <c r="G181" s="7">
        <v>37113</v>
      </c>
      <c r="H181">
        <v>0</v>
      </c>
      <c r="I181" s="3" t="s">
        <v>8556</v>
      </c>
      <c r="J181" s="3" t="s">
        <v>11</v>
      </c>
      <c r="K181" s="3" t="s">
        <v>15</v>
      </c>
      <c r="L181" s="3" t="s">
        <v>22</v>
      </c>
      <c r="M181">
        <v>25</v>
      </c>
      <c r="N181" s="3"/>
    </row>
    <row r="182" spans="1:14" x14ac:dyDescent="0.25">
      <c r="A182" s="3" t="s">
        <v>206</v>
      </c>
      <c r="B182">
        <v>1994</v>
      </c>
      <c r="C182">
        <v>1994</v>
      </c>
      <c r="D182" s="3" t="s">
        <v>36</v>
      </c>
      <c r="E182" s="3" t="s">
        <v>36</v>
      </c>
      <c r="F182">
        <v>6</v>
      </c>
      <c r="G182" s="7">
        <v>34613</v>
      </c>
      <c r="H182">
        <v>0</v>
      </c>
      <c r="I182" s="3" t="s">
        <v>8557</v>
      </c>
      <c r="J182" s="3" t="s">
        <v>11</v>
      </c>
      <c r="K182" s="3" t="s">
        <v>11</v>
      </c>
      <c r="L182" s="3" t="s">
        <v>12</v>
      </c>
      <c r="M182">
        <v>32</v>
      </c>
      <c r="N182" s="3"/>
    </row>
    <row r="183" spans="1:14" x14ac:dyDescent="0.25">
      <c r="A183" s="3" t="s">
        <v>207</v>
      </c>
      <c r="B183">
        <v>2001</v>
      </c>
      <c r="C183">
        <v>2001</v>
      </c>
      <c r="D183" s="3" t="s">
        <v>34</v>
      </c>
      <c r="E183" s="3" t="s">
        <v>34</v>
      </c>
      <c r="F183">
        <v>3</v>
      </c>
      <c r="G183" s="7">
        <v>37106</v>
      </c>
      <c r="H183">
        <v>0</v>
      </c>
      <c r="I183" s="3" t="s">
        <v>8558</v>
      </c>
      <c r="J183" s="3" t="s">
        <v>11</v>
      </c>
      <c r="K183" s="3" t="s">
        <v>11</v>
      </c>
      <c r="L183" s="3" t="s">
        <v>22</v>
      </c>
      <c r="M183">
        <v>25</v>
      </c>
      <c r="N183" s="3"/>
    </row>
    <row r="184" spans="1:14" x14ac:dyDescent="0.25">
      <c r="A184" s="3" t="s">
        <v>208</v>
      </c>
      <c r="B184">
        <v>2001</v>
      </c>
      <c r="C184">
        <v>2001</v>
      </c>
      <c r="D184" s="3" t="s">
        <v>29</v>
      </c>
      <c r="E184" s="3" t="s">
        <v>29</v>
      </c>
      <c r="F184">
        <v>9</v>
      </c>
      <c r="G184" s="7">
        <v>37234</v>
      </c>
      <c r="H184">
        <v>0</v>
      </c>
      <c r="I184" s="3" t="s">
        <v>8559</v>
      </c>
      <c r="J184" s="3" t="s">
        <v>11</v>
      </c>
      <c r="K184" s="3" t="s">
        <v>10</v>
      </c>
      <c r="L184" s="3" t="s">
        <v>22</v>
      </c>
      <c r="M184">
        <v>25</v>
      </c>
      <c r="N184" s="3"/>
    </row>
    <row r="185" spans="1:14" x14ac:dyDescent="0.25">
      <c r="A185" s="3" t="s">
        <v>209</v>
      </c>
      <c r="B185">
        <v>2002</v>
      </c>
      <c r="C185">
        <v>2002</v>
      </c>
      <c r="D185" s="3" t="s">
        <v>19</v>
      </c>
      <c r="E185" s="3" t="s">
        <v>19</v>
      </c>
      <c r="F185">
        <v>7</v>
      </c>
      <c r="G185" s="7">
        <v>37506</v>
      </c>
      <c r="H185">
        <v>1</v>
      </c>
      <c r="I185" s="3" t="s">
        <v>8560</v>
      </c>
      <c r="J185" s="3" t="s">
        <v>11</v>
      </c>
      <c r="K185" s="3" t="s">
        <v>15</v>
      </c>
      <c r="L185" s="3" t="s">
        <v>41</v>
      </c>
      <c r="M185">
        <v>24</v>
      </c>
      <c r="N185" s="3"/>
    </row>
    <row r="186" spans="1:14" x14ac:dyDescent="0.25">
      <c r="A186" s="3" t="s">
        <v>210</v>
      </c>
      <c r="B186">
        <v>2002</v>
      </c>
      <c r="C186">
        <v>2002</v>
      </c>
      <c r="D186" s="3" t="s">
        <v>9</v>
      </c>
      <c r="E186" s="3" t="s">
        <v>9</v>
      </c>
      <c r="F186">
        <v>29</v>
      </c>
      <c r="G186" s="7">
        <v>37466</v>
      </c>
      <c r="H186">
        <v>0</v>
      </c>
      <c r="I186" s="3" t="s">
        <v>8561</v>
      </c>
      <c r="J186" s="3" t="s">
        <v>11</v>
      </c>
      <c r="K186" s="3" t="s">
        <v>10</v>
      </c>
      <c r="L186" s="3" t="s">
        <v>167</v>
      </c>
      <c r="M186">
        <v>24</v>
      </c>
      <c r="N186" s="3"/>
    </row>
    <row r="187" spans="1:14" x14ac:dyDescent="0.25">
      <c r="A187" s="3" t="s">
        <v>211</v>
      </c>
      <c r="B187">
        <v>1998</v>
      </c>
      <c r="C187">
        <v>1998</v>
      </c>
      <c r="D187" s="3" t="s">
        <v>19</v>
      </c>
      <c r="E187" s="3" t="s">
        <v>19</v>
      </c>
      <c r="F187">
        <v>28</v>
      </c>
      <c r="G187" s="7">
        <v>36066</v>
      </c>
      <c r="H187">
        <v>0</v>
      </c>
      <c r="I187" s="3" t="s">
        <v>8562</v>
      </c>
      <c r="J187" s="3" t="s">
        <v>11</v>
      </c>
      <c r="K187" s="3" t="s">
        <v>11</v>
      </c>
      <c r="L187" s="3" t="s">
        <v>41</v>
      </c>
      <c r="M187">
        <v>28</v>
      </c>
      <c r="N187" s="3"/>
    </row>
    <row r="188" spans="1:14" x14ac:dyDescent="0.25">
      <c r="A188" s="3" t="s">
        <v>212</v>
      </c>
      <c r="B188">
        <v>1998</v>
      </c>
      <c r="C188">
        <v>1998</v>
      </c>
      <c r="D188" s="3" t="s">
        <v>36</v>
      </c>
      <c r="E188" s="3" t="s">
        <v>36</v>
      </c>
      <c r="F188">
        <v>5</v>
      </c>
      <c r="G188" s="7">
        <v>36073</v>
      </c>
      <c r="H188">
        <v>0</v>
      </c>
      <c r="I188" s="3" t="s">
        <v>8563</v>
      </c>
      <c r="J188" s="3" t="s">
        <v>11</v>
      </c>
      <c r="K188" s="3" t="s">
        <v>15</v>
      </c>
      <c r="L188" s="3" t="s">
        <v>41</v>
      </c>
      <c r="M188">
        <v>28</v>
      </c>
      <c r="N188" s="3"/>
    </row>
    <row r="189" spans="1:14" x14ac:dyDescent="0.25">
      <c r="A189" s="3" t="s">
        <v>213</v>
      </c>
      <c r="B189">
        <v>1998</v>
      </c>
      <c r="C189">
        <v>1998</v>
      </c>
      <c r="D189" s="3" t="s">
        <v>19</v>
      </c>
      <c r="E189" s="3" t="s">
        <v>19</v>
      </c>
      <c r="F189">
        <v>29</v>
      </c>
      <c r="G189" s="7">
        <v>36067</v>
      </c>
      <c r="H189">
        <v>0</v>
      </c>
      <c r="I189" s="3" t="s">
        <v>8564</v>
      </c>
      <c r="J189" s="3" t="s">
        <v>11</v>
      </c>
      <c r="K189" s="3" t="s">
        <v>15</v>
      </c>
      <c r="L189" s="3" t="s">
        <v>41</v>
      </c>
      <c r="M189">
        <v>28</v>
      </c>
      <c r="N189" s="3"/>
    </row>
    <row r="190" spans="1:14" x14ac:dyDescent="0.25">
      <c r="A190" s="3" t="s">
        <v>214</v>
      </c>
      <c r="B190">
        <v>2002</v>
      </c>
      <c r="C190">
        <v>2002</v>
      </c>
      <c r="D190" s="3" t="s">
        <v>9</v>
      </c>
      <c r="E190" s="3" t="s">
        <v>9</v>
      </c>
      <c r="F190">
        <v>16</v>
      </c>
      <c r="G190" s="7">
        <v>37453</v>
      </c>
      <c r="H190">
        <v>1</v>
      </c>
      <c r="I190" s="3" t="s">
        <v>8565</v>
      </c>
      <c r="J190" s="3" t="s">
        <v>11</v>
      </c>
      <c r="K190" s="3" t="s">
        <v>11</v>
      </c>
      <c r="L190" s="3" t="s">
        <v>41</v>
      </c>
      <c r="M190">
        <v>24</v>
      </c>
      <c r="N190" s="3"/>
    </row>
    <row r="191" spans="1:14" x14ac:dyDescent="0.25">
      <c r="A191" s="3" t="s">
        <v>215</v>
      </c>
      <c r="B191">
        <v>1998</v>
      </c>
      <c r="C191">
        <v>1998</v>
      </c>
      <c r="D191" s="3" t="s">
        <v>29</v>
      </c>
      <c r="E191" s="3" t="s">
        <v>29</v>
      </c>
      <c r="F191">
        <v>29</v>
      </c>
      <c r="G191" s="7">
        <v>36158</v>
      </c>
      <c r="H191">
        <v>0</v>
      </c>
      <c r="I191" s="3" t="s">
        <v>8566</v>
      </c>
      <c r="J191" s="3" t="s">
        <v>11</v>
      </c>
      <c r="K191" s="3" t="s">
        <v>15</v>
      </c>
      <c r="L191" s="3" t="s">
        <v>12</v>
      </c>
      <c r="M191">
        <v>28</v>
      </c>
      <c r="N191" s="3"/>
    </row>
    <row r="192" spans="1:14" x14ac:dyDescent="0.25">
      <c r="A192" s="3" t="s">
        <v>216</v>
      </c>
      <c r="B192">
        <v>2002</v>
      </c>
      <c r="C192">
        <v>2002</v>
      </c>
      <c r="D192" s="3" t="s">
        <v>19</v>
      </c>
      <c r="E192" s="3" t="s">
        <v>19</v>
      </c>
      <c r="F192">
        <v>29</v>
      </c>
      <c r="G192" s="7">
        <v>37528</v>
      </c>
      <c r="H192">
        <v>0</v>
      </c>
      <c r="I192" s="3" t="s">
        <v>8567</v>
      </c>
      <c r="J192" s="3" t="s">
        <v>11</v>
      </c>
      <c r="K192" s="3" t="s">
        <v>11</v>
      </c>
      <c r="L192" s="3" t="s">
        <v>167</v>
      </c>
      <c r="M192">
        <v>24</v>
      </c>
      <c r="N192" s="3"/>
    </row>
    <row r="193" spans="1:14" x14ac:dyDescent="0.25">
      <c r="A193" s="3" t="s">
        <v>217</v>
      </c>
      <c r="B193">
        <v>1998</v>
      </c>
      <c r="C193">
        <v>1998</v>
      </c>
      <c r="D193" s="3" t="s">
        <v>19</v>
      </c>
      <c r="E193" s="3" t="s">
        <v>19</v>
      </c>
      <c r="F193">
        <v>14</v>
      </c>
      <c r="G193" s="7">
        <v>36052</v>
      </c>
      <c r="H193">
        <v>0</v>
      </c>
      <c r="I193" s="3" t="s">
        <v>8568</v>
      </c>
      <c r="J193" s="3" t="s">
        <v>11</v>
      </c>
      <c r="K193" s="3" t="s">
        <v>10</v>
      </c>
      <c r="L193" s="3" t="s">
        <v>12</v>
      </c>
      <c r="M193">
        <v>28</v>
      </c>
      <c r="N193" s="3"/>
    </row>
    <row r="194" spans="1:14" x14ac:dyDescent="0.25">
      <c r="A194" s="3" t="s">
        <v>218</v>
      </c>
      <c r="B194">
        <v>2001</v>
      </c>
      <c r="C194">
        <v>2001</v>
      </c>
      <c r="D194" s="3" t="s">
        <v>34</v>
      </c>
      <c r="E194" s="3" t="s">
        <v>34</v>
      </c>
      <c r="F194">
        <v>14</v>
      </c>
      <c r="G194" s="7">
        <v>37117</v>
      </c>
      <c r="H194">
        <v>0</v>
      </c>
      <c r="I194" s="3" t="s">
        <v>8569</v>
      </c>
      <c r="J194" s="3" t="s">
        <v>11</v>
      </c>
      <c r="K194" s="3" t="s">
        <v>10</v>
      </c>
      <c r="L194" s="3" t="s">
        <v>41</v>
      </c>
      <c r="M194">
        <v>25</v>
      </c>
      <c r="N194" s="3"/>
    </row>
    <row r="195" spans="1:14" x14ac:dyDescent="0.25">
      <c r="A195" s="3" t="s">
        <v>219</v>
      </c>
      <c r="B195">
        <v>2001</v>
      </c>
      <c r="C195">
        <v>2001</v>
      </c>
      <c r="D195" s="3" t="s">
        <v>9</v>
      </c>
      <c r="E195" s="3" t="s">
        <v>9</v>
      </c>
      <c r="F195">
        <v>1</v>
      </c>
      <c r="G195" s="7">
        <v>37073</v>
      </c>
      <c r="H195">
        <v>0</v>
      </c>
      <c r="I195" s="3" t="s">
        <v>8570</v>
      </c>
      <c r="J195" s="3" t="s">
        <v>11</v>
      </c>
      <c r="K195" s="3" t="s">
        <v>15</v>
      </c>
      <c r="L195" s="3" t="s">
        <v>41</v>
      </c>
      <c r="M195">
        <v>25</v>
      </c>
      <c r="N195" s="3"/>
    </row>
    <row r="196" spans="1:14" x14ac:dyDescent="0.25">
      <c r="A196" s="3" t="s">
        <v>220</v>
      </c>
      <c r="B196">
        <v>2001</v>
      </c>
      <c r="C196">
        <v>2001</v>
      </c>
      <c r="D196" s="3" t="s">
        <v>19</v>
      </c>
      <c r="E196" s="3" t="s">
        <v>19</v>
      </c>
      <c r="F196">
        <v>6</v>
      </c>
      <c r="G196" s="7">
        <v>37140</v>
      </c>
      <c r="H196">
        <v>0</v>
      </c>
      <c r="I196" s="3" t="s">
        <v>8571</v>
      </c>
      <c r="J196" s="3" t="s">
        <v>11</v>
      </c>
      <c r="K196" s="3" t="s">
        <v>10</v>
      </c>
      <c r="L196" s="3" t="s">
        <v>12</v>
      </c>
      <c r="M196">
        <v>25</v>
      </c>
      <c r="N196" s="3"/>
    </row>
    <row r="197" spans="1:14" x14ac:dyDescent="0.25">
      <c r="A197" s="3" t="s">
        <v>221</v>
      </c>
      <c r="B197">
        <v>2001</v>
      </c>
      <c r="C197">
        <v>2001</v>
      </c>
      <c r="D197" s="3" t="s">
        <v>34</v>
      </c>
      <c r="E197" s="3" t="s">
        <v>34</v>
      </c>
      <c r="F197">
        <v>4</v>
      </c>
      <c r="G197" s="7">
        <v>37107</v>
      </c>
      <c r="H197">
        <v>0</v>
      </c>
      <c r="I197" s="3" t="s">
        <v>8572</v>
      </c>
      <c r="J197" s="3" t="s">
        <v>11</v>
      </c>
      <c r="K197" s="3" t="s">
        <v>10</v>
      </c>
      <c r="L197" s="3" t="s">
        <v>12</v>
      </c>
      <c r="M197">
        <v>25</v>
      </c>
      <c r="N197" s="3"/>
    </row>
    <row r="198" spans="1:14" x14ac:dyDescent="0.25">
      <c r="A198" s="3" t="s">
        <v>222</v>
      </c>
      <c r="B198">
        <v>2000</v>
      </c>
      <c r="C198">
        <v>2000</v>
      </c>
      <c r="D198" s="3" t="s">
        <v>19</v>
      </c>
      <c r="E198" s="3" t="s">
        <v>19</v>
      </c>
      <c r="F198">
        <v>2</v>
      </c>
      <c r="G198" s="7">
        <v>36771</v>
      </c>
      <c r="H198">
        <v>0</v>
      </c>
      <c r="I198" s="3" t="s">
        <v>8573</v>
      </c>
      <c r="J198" s="3" t="s">
        <v>11</v>
      </c>
      <c r="K198" s="3" t="s">
        <v>11</v>
      </c>
      <c r="L198" s="3" t="s">
        <v>22</v>
      </c>
      <c r="M198">
        <v>26</v>
      </c>
      <c r="N198" s="3"/>
    </row>
    <row r="199" spans="1:14" x14ac:dyDescent="0.25">
      <c r="A199" s="3" t="s">
        <v>223</v>
      </c>
      <c r="B199">
        <v>2000</v>
      </c>
      <c r="C199">
        <v>2000</v>
      </c>
      <c r="D199" s="3" t="s">
        <v>9</v>
      </c>
      <c r="E199" s="3" t="s">
        <v>9</v>
      </c>
      <c r="F199">
        <v>26</v>
      </c>
      <c r="G199" s="7">
        <v>36733</v>
      </c>
      <c r="H199">
        <v>0</v>
      </c>
      <c r="I199" s="3" t="s">
        <v>8574</v>
      </c>
      <c r="J199" s="3" t="s">
        <v>11</v>
      </c>
      <c r="K199" s="3" t="s">
        <v>11</v>
      </c>
      <c r="L199" s="3" t="s">
        <v>22</v>
      </c>
      <c r="M199">
        <v>26</v>
      </c>
      <c r="N199" s="3"/>
    </row>
    <row r="200" spans="1:14" x14ac:dyDescent="0.25">
      <c r="A200" s="3" t="s">
        <v>224</v>
      </c>
      <c r="B200">
        <v>2004</v>
      </c>
      <c r="C200">
        <v>2004</v>
      </c>
      <c r="D200" s="3" t="s">
        <v>17</v>
      </c>
      <c r="E200" s="3" t="s">
        <v>17</v>
      </c>
      <c r="F200">
        <v>12</v>
      </c>
      <c r="G200" s="7">
        <v>38150</v>
      </c>
      <c r="H200">
        <v>0</v>
      </c>
      <c r="I200" s="3" t="s">
        <v>8575</v>
      </c>
      <c r="J200" s="3" t="s">
        <v>11</v>
      </c>
      <c r="K200" s="3" t="s">
        <v>10</v>
      </c>
      <c r="L200" s="3" t="s">
        <v>199</v>
      </c>
      <c r="M200">
        <v>22</v>
      </c>
      <c r="N200" s="3"/>
    </row>
    <row r="201" spans="1:14" x14ac:dyDescent="0.25">
      <c r="A201" s="3" t="s">
        <v>225</v>
      </c>
      <c r="B201">
        <v>2001</v>
      </c>
      <c r="C201">
        <v>2001</v>
      </c>
      <c r="D201" s="3" t="s">
        <v>34</v>
      </c>
      <c r="E201" s="3" t="s">
        <v>34</v>
      </c>
      <c r="F201">
        <v>14</v>
      </c>
      <c r="G201" s="7">
        <v>37117</v>
      </c>
      <c r="H201">
        <v>0</v>
      </c>
      <c r="I201" s="3" t="s">
        <v>8576</v>
      </c>
      <c r="J201" s="3" t="s">
        <v>11</v>
      </c>
      <c r="K201" s="3" t="s">
        <v>10</v>
      </c>
      <c r="L201" s="3" t="s">
        <v>165</v>
      </c>
      <c r="M201">
        <v>25</v>
      </c>
      <c r="N201" s="3"/>
    </row>
    <row r="202" spans="1:14" x14ac:dyDescent="0.25">
      <c r="A202" s="3" t="s">
        <v>226</v>
      </c>
      <c r="B202">
        <v>2001</v>
      </c>
      <c r="C202">
        <v>2001</v>
      </c>
      <c r="D202" s="3" t="s">
        <v>17</v>
      </c>
      <c r="E202" s="3" t="s">
        <v>17</v>
      </c>
      <c r="F202">
        <v>22</v>
      </c>
      <c r="G202" s="7">
        <v>37064</v>
      </c>
      <c r="H202">
        <v>1</v>
      </c>
      <c r="I202" s="3" t="s">
        <v>8577</v>
      </c>
      <c r="J202" s="3" t="s">
        <v>11</v>
      </c>
      <c r="K202" s="3" t="s">
        <v>10</v>
      </c>
      <c r="L202" s="3" t="s">
        <v>41</v>
      </c>
      <c r="M202">
        <v>25</v>
      </c>
      <c r="N202" s="3"/>
    </row>
    <row r="203" spans="1:14" x14ac:dyDescent="0.25">
      <c r="A203" s="3" t="s">
        <v>227</v>
      </c>
      <c r="B203">
        <v>2001</v>
      </c>
      <c r="C203">
        <v>2001</v>
      </c>
      <c r="D203" s="3" t="s">
        <v>14</v>
      </c>
      <c r="E203" s="3" t="s">
        <v>14</v>
      </c>
      <c r="F203">
        <v>28</v>
      </c>
      <c r="G203" s="7">
        <v>37223</v>
      </c>
      <c r="H203">
        <v>0</v>
      </c>
      <c r="I203" s="3" t="s">
        <v>8578</v>
      </c>
      <c r="J203" s="3" t="s">
        <v>10</v>
      </c>
      <c r="K203" s="3" t="s">
        <v>15</v>
      </c>
      <c r="L203" s="3" t="s">
        <v>167</v>
      </c>
      <c r="M203">
        <v>25</v>
      </c>
      <c r="N203" s="3"/>
    </row>
    <row r="204" spans="1:14" x14ac:dyDescent="0.25">
      <c r="A204" s="3" t="s">
        <v>228</v>
      </c>
      <c r="B204">
        <v>1989</v>
      </c>
      <c r="C204">
        <v>1989</v>
      </c>
      <c r="D204" s="3" t="s">
        <v>9</v>
      </c>
      <c r="E204" s="3" t="s">
        <v>9</v>
      </c>
      <c r="F204">
        <v>21</v>
      </c>
      <c r="G204" s="7">
        <v>32710</v>
      </c>
      <c r="H204">
        <v>3</v>
      </c>
      <c r="I204" s="3" t="s">
        <v>8579</v>
      </c>
      <c r="J204" s="3" t="s">
        <v>10</v>
      </c>
      <c r="K204" s="3" t="s">
        <v>10</v>
      </c>
      <c r="L204" s="3" t="s">
        <v>12</v>
      </c>
      <c r="M204">
        <v>37</v>
      </c>
      <c r="N204" s="3"/>
    </row>
    <row r="205" spans="1:14" x14ac:dyDescent="0.25">
      <c r="A205" s="3" t="s">
        <v>229</v>
      </c>
      <c r="B205">
        <v>2003</v>
      </c>
      <c r="C205">
        <v>2003</v>
      </c>
      <c r="D205" s="3" t="s">
        <v>19</v>
      </c>
      <c r="E205" s="3" t="s">
        <v>19</v>
      </c>
      <c r="F205">
        <v>30</v>
      </c>
      <c r="G205" s="7">
        <v>37894</v>
      </c>
      <c r="H205">
        <v>0</v>
      </c>
      <c r="I205" s="3" t="s">
        <v>8580</v>
      </c>
      <c r="J205" s="3" t="s">
        <v>10</v>
      </c>
      <c r="K205" s="3" t="s">
        <v>11</v>
      </c>
      <c r="L205" s="3" t="s">
        <v>22</v>
      </c>
      <c r="M205">
        <v>23</v>
      </c>
      <c r="N205" s="3"/>
    </row>
    <row r="206" spans="1:14" x14ac:dyDescent="0.25">
      <c r="A206" s="3" t="s">
        <v>230</v>
      </c>
      <c r="B206">
        <v>2004</v>
      </c>
      <c r="C206">
        <v>2004</v>
      </c>
      <c r="D206" s="3" t="s">
        <v>14</v>
      </c>
      <c r="E206" s="3" t="s">
        <v>14</v>
      </c>
      <c r="F206">
        <v>4</v>
      </c>
      <c r="G206" s="7">
        <v>38295</v>
      </c>
      <c r="H206">
        <v>0</v>
      </c>
      <c r="I206" s="3" t="s">
        <v>8581</v>
      </c>
      <c r="J206" s="3" t="s">
        <v>10</v>
      </c>
      <c r="K206" s="3" t="s">
        <v>15</v>
      </c>
      <c r="L206" s="3" t="s">
        <v>22</v>
      </c>
      <c r="M206">
        <v>22</v>
      </c>
      <c r="N206" s="3"/>
    </row>
    <row r="207" spans="1:14" x14ac:dyDescent="0.25">
      <c r="A207" s="3" t="s">
        <v>231</v>
      </c>
      <c r="B207">
        <v>2003</v>
      </c>
      <c r="C207">
        <v>2003</v>
      </c>
      <c r="D207" s="3" t="s">
        <v>34</v>
      </c>
      <c r="E207" s="3" t="s">
        <v>34</v>
      </c>
      <c r="F207">
        <v>30</v>
      </c>
      <c r="G207" s="7">
        <v>37863</v>
      </c>
      <c r="H207">
        <v>0</v>
      </c>
      <c r="I207" s="3" t="s">
        <v>8582</v>
      </c>
      <c r="J207" s="3" t="s">
        <v>10</v>
      </c>
      <c r="K207" s="3" t="s">
        <v>15</v>
      </c>
      <c r="L207" s="3" t="s">
        <v>22</v>
      </c>
      <c r="M207">
        <v>23</v>
      </c>
      <c r="N207" s="3"/>
    </row>
    <row r="208" spans="1:14" x14ac:dyDescent="0.25">
      <c r="A208" s="3" t="s">
        <v>232</v>
      </c>
      <c r="B208">
        <v>2003</v>
      </c>
      <c r="C208">
        <v>2003</v>
      </c>
      <c r="D208" s="3" t="s">
        <v>29</v>
      </c>
      <c r="E208" s="3" t="s">
        <v>29</v>
      </c>
      <c r="F208">
        <v>22</v>
      </c>
      <c r="G208" s="7">
        <v>37977</v>
      </c>
      <c r="H208">
        <v>0</v>
      </c>
      <c r="I208" s="3" t="s">
        <v>8583</v>
      </c>
      <c r="J208" s="3" t="s">
        <v>10</v>
      </c>
      <c r="K208" s="3" t="s">
        <v>11</v>
      </c>
      <c r="L208" s="3" t="s">
        <v>22</v>
      </c>
      <c r="M208">
        <v>23</v>
      </c>
      <c r="N208" s="3"/>
    </row>
    <row r="209" spans="1:14" x14ac:dyDescent="0.25">
      <c r="A209" s="3" t="s">
        <v>233</v>
      </c>
      <c r="B209">
        <v>2003</v>
      </c>
      <c r="C209">
        <v>2003</v>
      </c>
      <c r="D209" s="3" t="s">
        <v>19</v>
      </c>
      <c r="E209" s="3" t="s">
        <v>19</v>
      </c>
      <c r="F209">
        <v>1</v>
      </c>
      <c r="G209" s="7">
        <v>37865</v>
      </c>
      <c r="H209">
        <v>0</v>
      </c>
      <c r="I209" s="3" t="s">
        <v>8584</v>
      </c>
      <c r="J209" s="3" t="s">
        <v>10</v>
      </c>
      <c r="K209" s="3" t="s">
        <v>11</v>
      </c>
      <c r="L209" s="3" t="s">
        <v>22</v>
      </c>
      <c r="M209">
        <v>23</v>
      </c>
      <c r="N209" s="3"/>
    </row>
    <row r="210" spans="1:14" x14ac:dyDescent="0.25">
      <c r="A210" s="3" t="s">
        <v>234</v>
      </c>
      <c r="B210">
        <v>2003</v>
      </c>
      <c r="C210">
        <v>2003</v>
      </c>
      <c r="D210" s="3" t="s">
        <v>19</v>
      </c>
      <c r="E210" s="3" t="s">
        <v>19</v>
      </c>
      <c r="F210">
        <v>26</v>
      </c>
      <c r="G210" s="7">
        <v>37890</v>
      </c>
      <c r="H210">
        <v>0</v>
      </c>
      <c r="I210" s="3" t="s">
        <v>8585</v>
      </c>
      <c r="J210" s="3" t="s">
        <v>10</v>
      </c>
      <c r="K210" s="3" t="s">
        <v>10</v>
      </c>
      <c r="L210" s="3" t="s">
        <v>22</v>
      </c>
      <c r="M210">
        <v>23</v>
      </c>
      <c r="N210" s="3"/>
    </row>
    <row r="211" spans="1:14" x14ac:dyDescent="0.25">
      <c r="A211" s="3" t="s">
        <v>235</v>
      </c>
      <c r="B211">
        <v>1997</v>
      </c>
      <c r="C211">
        <v>1997</v>
      </c>
      <c r="D211" s="3" t="s">
        <v>19</v>
      </c>
      <c r="E211" s="3" t="s">
        <v>19</v>
      </c>
      <c r="F211">
        <v>3</v>
      </c>
      <c r="G211" s="7">
        <v>35676</v>
      </c>
      <c r="H211">
        <v>0</v>
      </c>
      <c r="I211" s="3" t="s">
        <v>8586</v>
      </c>
      <c r="J211" s="3" t="s">
        <v>11</v>
      </c>
      <c r="K211" s="3" t="s">
        <v>15</v>
      </c>
      <c r="L211" s="3" t="s">
        <v>12</v>
      </c>
      <c r="M211">
        <v>29</v>
      </c>
      <c r="N211" s="3"/>
    </row>
    <row r="212" spans="1:14" x14ac:dyDescent="0.25">
      <c r="A212" s="3" t="s">
        <v>236</v>
      </c>
      <c r="B212">
        <v>2003</v>
      </c>
      <c r="C212">
        <v>2003</v>
      </c>
      <c r="D212" s="3" t="s">
        <v>34</v>
      </c>
      <c r="E212" s="3" t="s">
        <v>34</v>
      </c>
      <c r="F212">
        <v>19</v>
      </c>
      <c r="G212" s="7">
        <v>37852</v>
      </c>
      <c r="H212">
        <v>0</v>
      </c>
      <c r="I212" s="3" t="s">
        <v>8587</v>
      </c>
      <c r="J212" s="3" t="s">
        <v>10</v>
      </c>
      <c r="K212" s="3" t="s">
        <v>15</v>
      </c>
      <c r="L212" s="3" t="s">
        <v>22</v>
      </c>
      <c r="M212">
        <v>23</v>
      </c>
      <c r="N212" s="3"/>
    </row>
    <row r="213" spans="1:14" x14ac:dyDescent="0.25">
      <c r="A213" s="3" t="s">
        <v>237</v>
      </c>
      <c r="B213">
        <v>2004</v>
      </c>
      <c r="C213">
        <v>2004</v>
      </c>
      <c r="D213" s="3" t="s">
        <v>36</v>
      </c>
      <c r="E213" s="3" t="s">
        <v>36</v>
      </c>
      <c r="F213">
        <v>4</v>
      </c>
      <c r="G213" s="7">
        <v>38264</v>
      </c>
      <c r="H213">
        <v>0</v>
      </c>
      <c r="I213" s="3" t="s">
        <v>8588</v>
      </c>
      <c r="J213" s="3" t="s">
        <v>10</v>
      </c>
      <c r="K213" s="3" t="s">
        <v>15</v>
      </c>
      <c r="L213" s="3" t="s">
        <v>41</v>
      </c>
      <c r="M213">
        <v>22</v>
      </c>
      <c r="N213" s="3"/>
    </row>
    <row r="214" spans="1:14" x14ac:dyDescent="0.25">
      <c r="A214" s="3" t="s">
        <v>238</v>
      </c>
      <c r="B214">
        <v>2000</v>
      </c>
      <c r="C214">
        <v>2000</v>
      </c>
      <c r="D214" s="3" t="s">
        <v>29</v>
      </c>
      <c r="E214" s="3" t="s">
        <v>29</v>
      </c>
      <c r="F214">
        <v>27</v>
      </c>
      <c r="G214" s="7">
        <v>36887</v>
      </c>
      <c r="H214">
        <v>0</v>
      </c>
      <c r="I214" s="3" t="s">
        <v>8589</v>
      </c>
      <c r="J214" s="3" t="s">
        <v>10</v>
      </c>
      <c r="K214" s="3" t="s">
        <v>11</v>
      </c>
      <c r="L214" s="3" t="s">
        <v>41</v>
      </c>
      <c r="M214">
        <v>26</v>
      </c>
      <c r="N214" s="3"/>
    </row>
    <row r="215" spans="1:14" x14ac:dyDescent="0.25">
      <c r="A215" s="3" t="s">
        <v>239</v>
      </c>
      <c r="B215">
        <v>2000</v>
      </c>
      <c r="C215">
        <v>2000</v>
      </c>
      <c r="D215" s="3" t="s">
        <v>36</v>
      </c>
      <c r="E215" s="3" t="s">
        <v>36</v>
      </c>
      <c r="F215">
        <v>22</v>
      </c>
      <c r="G215" s="7">
        <v>36821</v>
      </c>
      <c r="H215">
        <v>0</v>
      </c>
      <c r="I215" s="3" t="s">
        <v>8590</v>
      </c>
      <c r="J215" s="3" t="s">
        <v>10</v>
      </c>
      <c r="K215" s="3" t="s">
        <v>10</v>
      </c>
      <c r="L215" s="3" t="s">
        <v>41</v>
      </c>
      <c r="M215">
        <v>26</v>
      </c>
      <c r="N215" s="3"/>
    </row>
    <row r="216" spans="1:14" x14ac:dyDescent="0.25">
      <c r="A216" s="3" t="s">
        <v>240</v>
      </c>
      <c r="B216">
        <v>2000</v>
      </c>
      <c r="C216">
        <v>2000</v>
      </c>
      <c r="D216" s="3" t="s">
        <v>14</v>
      </c>
      <c r="E216" s="3" t="s">
        <v>14</v>
      </c>
      <c r="F216">
        <v>29</v>
      </c>
      <c r="G216" s="7">
        <v>36859</v>
      </c>
      <c r="H216">
        <v>0</v>
      </c>
      <c r="I216" s="3" t="s">
        <v>8591</v>
      </c>
      <c r="J216" s="3" t="s">
        <v>10</v>
      </c>
      <c r="K216" s="3" t="s">
        <v>11</v>
      </c>
      <c r="L216" s="3" t="s">
        <v>12</v>
      </c>
      <c r="M216">
        <v>26</v>
      </c>
      <c r="N216" s="3"/>
    </row>
    <row r="217" spans="1:14" x14ac:dyDescent="0.25">
      <c r="A217" s="3" t="s">
        <v>241</v>
      </c>
      <c r="B217">
        <v>2000</v>
      </c>
      <c r="C217">
        <v>2000</v>
      </c>
      <c r="D217" s="3" t="s">
        <v>29</v>
      </c>
      <c r="E217" s="3" t="s">
        <v>29</v>
      </c>
      <c r="F217">
        <v>10</v>
      </c>
      <c r="G217" s="7">
        <v>36870</v>
      </c>
      <c r="H217">
        <v>0</v>
      </c>
      <c r="I217" s="3" t="s">
        <v>8592</v>
      </c>
      <c r="J217" s="3" t="s">
        <v>10</v>
      </c>
      <c r="K217" s="3" t="s">
        <v>10</v>
      </c>
      <c r="L217" s="3" t="s">
        <v>12</v>
      </c>
      <c r="M217">
        <v>26</v>
      </c>
      <c r="N217" s="3"/>
    </row>
    <row r="218" spans="1:14" x14ac:dyDescent="0.25">
      <c r="A218" s="3" t="s">
        <v>242</v>
      </c>
      <c r="B218">
        <v>2000</v>
      </c>
      <c r="C218">
        <v>2000</v>
      </c>
      <c r="D218" s="3" t="s">
        <v>34</v>
      </c>
      <c r="E218" s="3" t="s">
        <v>34</v>
      </c>
      <c r="F218">
        <v>23</v>
      </c>
      <c r="G218" s="7">
        <v>36761</v>
      </c>
      <c r="H218">
        <v>0</v>
      </c>
      <c r="I218" s="3" t="s">
        <v>8593</v>
      </c>
      <c r="J218" s="3" t="s">
        <v>10</v>
      </c>
      <c r="K218" s="3" t="s">
        <v>10</v>
      </c>
      <c r="L218" s="3" t="s">
        <v>41</v>
      </c>
      <c r="M218">
        <v>26</v>
      </c>
      <c r="N218" s="3"/>
    </row>
    <row r="219" spans="1:14" x14ac:dyDescent="0.25">
      <c r="A219" s="3" t="s">
        <v>243</v>
      </c>
      <c r="B219">
        <v>1994</v>
      </c>
      <c r="C219">
        <v>1994</v>
      </c>
      <c r="D219" s="3" t="s">
        <v>19</v>
      </c>
      <c r="E219" s="3" t="s">
        <v>19</v>
      </c>
      <c r="F219">
        <v>27</v>
      </c>
      <c r="G219" s="7">
        <v>34604</v>
      </c>
      <c r="H219">
        <v>0</v>
      </c>
      <c r="I219" s="3" t="s">
        <v>8594</v>
      </c>
      <c r="J219" s="3" t="s">
        <v>10</v>
      </c>
      <c r="K219" s="3" t="s">
        <v>10</v>
      </c>
      <c r="L219" s="3" t="s">
        <v>12</v>
      </c>
      <c r="M219">
        <v>32</v>
      </c>
      <c r="N219" s="3"/>
    </row>
    <row r="220" spans="1:14" x14ac:dyDescent="0.25">
      <c r="A220" s="3" t="s">
        <v>244</v>
      </c>
      <c r="B220">
        <v>1991</v>
      </c>
      <c r="C220">
        <v>1991</v>
      </c>
      <c r="D220" s="3" t="s">
        <v>29</v>
      </c>
      <c r="E220" s="3" t="s">
        <v>29</v>
      </c>
      <c r="F220">
        <v>16</v>
      </c>
      <c r="G220" s="7">
        <v>33588</v>
      </c>
      <c r="H220">
        <v>3</v>
      </c>
      <c r="I220" s="3" t="s">
        <v>8595</v>
      </c>
      <c r="J220" s="3" t="s">
        <v>10</v>
      </c>
      <c r="K220" s="3" t="s">
        <v>10</v>
      </c>
      <c r="L220" s="3" t="s">
        <v>22</v>
      </c>
      <c r="M220">
        <v>35</v>
      </c>
      <c r="N220" s="3"/>
    </row>
    <row r="221" spans="1:14" x14ac:dyDescent="0.25">
      <c r="A221" s="3" t="s">
        <v>245</v>
      </c>
      <c r="B221">
        <v>2004</v>
      </c>
      <c r="C221">
        <v>2004</v>
      </c>
      <c r="D221" s="3" t="s">
        <v>29</v>
      </c>
      <c r="E221" s="3" t="s">
        <v>29</v>
      </c>
      <c r="F221">
        <v>7</v>
      </c>
      <c r="G221" s="7">
        <v>38328</v>
      </c>
      <c r="H221">
        <v>0</v>
      </c>
      <c r="I221" s="3" t="s">
        <v>8596</v>
      </c>
      <c r="J221" s="3" t="s">
        <v>10</v>
      </c>
      <c r="K221" s="3" t="s">
        <v>11</v>
      </c>
      <c r="L221" s="3" t="s">
        <v>246</v>
      </c>
      <c r="M221">
        <v>22</v>
      </c>
      <c r="N221" s="3"/>
    </row>
    <row r="222" spans="1:14" x14ac:dyDescent="0.25">
      <c r="A222" s="3" t="s">
        <v>247</v>
      </c>
      <c r="B222">
        <v>2004</v>
      </c>
      <c r="C222">
        <v>2004</v>
      </c>
      <c r="D222" s="3" t="s">
        <v>19</v>
      </c>
      <c r="E222" s="3" t="s">
        <v>19</v>
      </c>
      <c r="F222">
        <v>3</v>
      </c>
      <c r="G222" s="7">
        <v>38233</v>
      </c>
      <c r="H222">
        <v>0</v>
      </c>
      <c r="I222" s="3" t="s">
        <v>8597</v>
      </c>
      <c r="J222" s="3" t="s">
        <v>10</v>
      </c>
      <c r="K222" s="3" t="s">
        <v>15</v>
      </c>
      <c r="L222" s="3" t="s">
        <v>248</v>
      </c>
      <c r="M222">
        <v>22</v>
      </c>
      <c r="N222" s="3"/>
    </row>
    <row r="223" spans="1:14" x14ac:dyDescent="0.25">
      <c r="A223" s="3" t="s">
        <v>249</v>
      </c>
      <c r="B223">
        <v>2004</v>
      </c>
      <c r="C223">
        <v>2004</v>
      </c>
      <c r="D223" s="3" t="s">
        <v>19</v>
      </c>
      <c r="E223" s="3" t="s">
        <v>19</v>
      </c>
      <c r="F223">
        <v>12</v>
      </c>
      <c r="G223" s="7">
        <v>38242</v>
      </c>
      <c r="H223">
        <v>0</v>
      </c>
      <c r="I223" s="3" t="s">
        <v>8598</v>
      </c>
      <c r="J223" s="3" t="s">
        <v>10</v>
      </c>
      <c r="K223" s="3" t="s">
        <v>10</v>
      </c>
      <c r="L223" s="3" t="s">
        <v>246</v>
      </c>
      <c r="M223">
        <v>22</v>
      </c>
      <c r="N223" s="3"/>
    </row>
    <row r="224" spans="1:14" x14ac:dyDescent="0.25">
      <c r="A224" s="3" t="s">
        <v>250</v>
      </c>
      <c r="B224">
        <v>2004</v>
      </c>
      <c r="C224">
        <v>2004</v>
      </c>
      <c r="D224" s="3" t="s">
        <v>9</v>
      </c>
      <c r="E224" s="3" t="s">
        <v>9</v>
      </c>
      <c r="F224">
        <v>27</v>
      </c>
      <c r="G224" s="7">
        <v>38195</v>
      </c>
      <c r="H224">
        <v>1</v>
      </c>
      <c r="I224" s="3" t="s">
        <v>8599</v>
      </c>
      <c r="J224" s="3" t="s">
        <v>10</v>
      </c>
      <c r="K224" s="3" t="s">
        <v>11</v>
      </c>
      <c r="L224" s="3" t="s">
        <v>12</v>
      </c>
      <c r="M224">
        <v>22</v>
      </c>
      <c r="N224" s="3"/>
    </row>
    <row r="225" spans="1:14" x14ac:dyDescent="0.25">
      <c r="A225" s="3" t="s">
        <v>251</v>
      </c>
      <c r="B225">
        <v>2004</v>
      </c>
      <c r="C225">
        <v>2004</v>
      </c>
      <c r="D225" s="3" t="s">
        <v>34</v>
      </c>
      <c r="E225" s="3" t="s">
        <v>34</v>
      </c>
      <c r="F225">
        <v>6</v>
      </c>
      <c r="G225" s="7">
        <v>38205</v>
      </c>
      <c r="H225">
        <v>0</v>
      </c>
      <c r="I225" s="3" t="s">
        <v>8600</v>
      </c>
      <c r="J225" s="3" t="s">
        <v>10</v>
      </c>
      <c r="K225" s="3" t="s">
        <v>10</v>
      </c>
      <c r="L225" s="3" t="s">
        <v>246</v>
      </c>
      <c r="M225">
        <v>22</v>
      </c>
      <c r="N225" s="3"/>
    </row>
    <row r="226" spans="1:14" x14ac:dyDescent="0.25">
      <c r="A226" s="3" t="s">
        <v>252</v>
      </c>
      <c r="B226">
        <v>2004</v>
      </c>
      <c r="C226">
        <v>2004</v>
      </c>
      <c r="D226" s="3" t="s">
        <v>36</v>
      </c>
      <c r="E226" s="3" t="s">
        <v>36</v>
      </c>
      <c r="F226">
        <v>28</v>
      </c>
      <c r="G226" s="7">
        <v>38288</v>
      </c>
      <c r="H226">
        <v>0</v>
      </c>
      <c r="I226" s="3" t="s">
        <v>8601</v>
      </c>
      <c r="J226" s="3" t="s">
        <v>10</v>
      </c>
      <c r="K226" s="3" t="s">
        <v>10</v>
      </c>
      <c r="L226" s="3" t="s">
        <v>246</v>
      </c>
      <c r="M226">
        <v>22</v>
      </c>
      <c r="N226" s="3"/>
    </row>
    <row r="227" spans="1:14" x14ac:dyDescent="0.25">
      <c r="A227" s="3" t="s">
        <v>253</v>
      </c>
      <c r="B227">
        <v>2004</v>
      </c>
      <c r="C227">
        <v>2004</v>
      </c>
      <c r="D227" s="3" t="s">
        <v>14</v>
      </c>
      <c r="E227" s="3" t="s">
        <v>14</v>
      </c>
      <c r="F227">
        <v>13</v>
      </c>
      <c r="G227" s="7">
        <v>38304</v>
      </c>
      <c r="H227">
        <v>0</v>
      </c>
      <c r="I227" s="3" t="s">
        <v>8602</v>
      </c>
      <c r="J227" s="3" t="s">
        <v>10</v>
      </c>
      <c r="K227" s="3" t="s">
        <v>11</v>
      </c>
      <c r="L227" s="3" t="s">
        <v>246</v>
      </c>
      <c r="M227">
        <v>22</v>
      </c>
      <c r="N227" s="3"/>
    </row>
    <row r="228" spans="1:14" x14ac:dyDescent="0.25">
      <c r="A228" s="3" t="s">
        <v>254</v>
      </c>
      <c r="B228">
        <v>2004</v>
      </c>
      <c r="C228">
        <v>2004</v>
      </c>
      <c r="D228" s="3" t="s">
        <v>34</v>
      </c>
      <c r="E228" s="3" t="s">
        <v>34</v>
      </c>
      <c r="F228">
        <v>6</v>
      </c>
      <c r="G228" s="7">
        <v>38205</v>
      </c>
      <c r="H228">
        <v>0</v>
      </c>
      <c r="I228" s="3" t="s">
        <v>8603</v>
      </c>
      <c r="J228" s="3" t="s">
        <v>10</v>
      </c>
      <c r="K228" s="3" t="s">
        <v>10</v>
      </c>
      <c r="L228" s="3" t="s">
        <v>246</v>
      </c>
      <c r="M228">
        <v>22</v>
      </c>
      <c r="N228" s="3"/>
    </row>
    <row r="229" spans="1:14" x14ac:dyDescent="0.25">
      <c r="A229" s="3" t="s">
        <v>255</v>
      </c>
      <c r="B229">
        <v>2004</v>
      </c>
      <c r="C229">
        <v>2004</v>
      </c>
      <c r="D229" s="3" t="s">
        <v>9</v>
      </c>
      <c r="E229" s="3" t="s">
        <v>9</v>
      </c>
      <c r="F229">
        <v>27</v>
      </c>
      <c r="G229" s="7">
        <v>38195</v>
      </c>
      <c r="H229">
        <v>0</v>
      </c>
      <c r="I229" s="3" t="s">
        <v>8604</v>
      </c>
      <c r="J229" s="3" t="s">
        <v>10</v>
      </c>
      <c r="K229" s="3" t="s">
        <v>10</v>
      </c>
      <c r="L229" s="3" t="s">
        <v>246</v>
      </c>
      <c r="M229">
        <v>22</v>
      </c>
      <c r="N229" s="3"/>
    </row>
    <row r="230" spans="1:14" x14ac:dyDescent="0.25">
      <c r="A230" s="3" t="s">
        <v>256</v>
      </c>
      <c r="B230">
        <v>1994</v>
      </c>
      <c r="C230">
        <v>1994</v>
      </c>
      <c r="D230" s="3" t="s">
        <v>14</v>
      </c>
      <c r="E230" s="3" t="s">
        <v>14</v>
      </c>
      <c r="F230">
        <v>17</v>
      </c>
      <c r="G230" s="7">
        <v>34655</v>
      </c>
      <c r="H230">
        <v>0</v>
      </c>
      <c r="I230" s="3" t="s">
        <v>8605</v>
      </c>
      <c r="J230" s="3" t="s">
        <v>10</v>
      </c>
      <c r="K230" s="3" t="s">
        <v>10</v>
      </c>
      <c r="L230" s="3" t="s">
        <v>12</v>
      </c>
      <c r="M230">
        <v>32</v>
      </c>
      <c r="N230" s="3"/>
    </row>
    <row r="231" spans="1:14" x14ac:dyDescent="0.25">
      <c r="A231" s="3" t="s">
        <v>257</v>
      </c>
      <c r="B231">
        <v>2004</v>
      </c>
      <c r="C231">
        <v>2004</v>
      </c>
      <c r="D231" s="3" t="s">
        <v>17</v>
      </c>
      <c r="E231" s="3" t="s">
        <v>17</v>
      </c>
      <c r="F231">
        <v>13</v>
      </c>
      <c r="G231" s="7">
        <v>38151</v>
      </c>
      <c r="H231">
        <v>0</v>
      </c>
      <c r="I231" s="3" t="s">
        <v>8606</v>
      </c>
      <c r="J231" s="3" t="s">
        <v>10</v>
      </c>
      <c r="K231" s="3" t="s">
        <v>15</v>
      </c>
      <c r="L231" s="3" t="s">
        <v>246</v>
      </c>
      <c r="M231">
        <v>22</v>
      </c>
      <c r="N231" s="3"/>
    </row>
    <row r="232" spans="1:14" x14ac:dyDescent="0.25">
      <c r="A232" s="3" t="s">
        <v>258</v>
      </c>
      <c r="B232">
        <v>2004</v>
      </c>
      <c r="C232">
        <v>2004</v>
      </c>
      <c r="D232" s="3" t="s">
        <v>19</v>
      </c>
      <c r="E232" s="3" t="s">
        <v>19</v>
      </c>
      <c r="F232">
        <v>25</v>
      </c>
      <c r="G232" s="7">
        <v>38255</v>
      </c>
      <c r="H232">
        <v>0</v>
      </c>
      <c r="I232" s="3" t="s">
        <v>8607</v>
      </c>
      <c r="J232" s="3" t="s">
        <v>10</v>
      </c>
      <c r="K232" s="3" t="s">
        <v>15</v>
      </c>
      <c r="L232" s="3" t="s">
        <v>246</v>
      </c>
      <c r="M232">
        <v>22</v>
      </c>
      <c r="N232" s="3"/>
    </row>
    <row r="233" spans="1:14" x14ac:dyDescent="0.25">
      <c r="A233" s="3" t="s">
        <v>259</v>
      </c>
      <c r="B233">
        <v>2004</v>
      </c>
      <c r="C233">
        <v>2004</v>
      </c>
      <c r="D233" s="3" t="s">
        <v>29</v>
      </c>
      <c r="E233" s="3" t="s">
        <v>29</v>
      </c>
      <c r="F233">
        <v>12</v>
      </c>
      <c r="G233" s="7">
        <v>38333</v>
      </c>
      <c r="H233">
        <v>1</v>
      </c>
      <c r="I233" s="3" t="s">
        <v>8608</v>
      </c>
      <c r="J233" s="3" t="s">
        <v>10</v>
      </c>
      <c r="K233" s="3" t="s">
        <v>15</v>
      </c>
      <c r="L233" s="3" t="s">
        <v>12</v>
      </c>
      <c r="M233">
        <v>22</v>
      </c>
      <c r="N233" s="3"/>
    </row>
    <row r="234" spans="1:14" x14ac:dyDescent="0.25">
      <c r="A234" s="3" t="s">
        <v>260</v>
      </c>
      <c r="B234">
        <v>2003</v>
      </c>
      <c r="C234">
        <v>2003</v>
      </c>
      <c r="D234" s="3" t="s">
        <v>29</v>
      </c>
      <c r="E234" s="3" t="s">
        <v>29</v>
      </c>
      <c r="F234">
        <v>10</v>
      </c>
      <c r="G234" s="7">
        <v>37965</v>
      </c>
      <c r="H234">
        <v>1</v>
      </c>
      <c r="I234" s="3" t="s">
        <v>8609</v>
      </c>
      <c r="J234" s="3" t="s">
        <v>10</v>
      </c>
      <c r="K234" s="3" t="s">
        <v>11</v>
      </c>
      <c r="L234" s="3" t="s">
        <v>22</v>
      </c>
      <c r="M234">
        <v>23</v>
      </c>
      <c r="N234" s="3"/>
    </row>
    <row r="235" spans="1:14" x14ac:dyDescent="0.25">
      <c r="A235" s="3" t="s">
        <v>261</v>
      </c>
      <c r="B235">
        <v>2000</v>
      </c>
      <c r="C235">
        <v>2000</v>
      </c>
      <c r="D235" s="3" t="s">
        <v>17</v>
      </c>
      <c r="E235" s="3" t="s">
        <v>17</v>
      </c>
      <c r="F235">
        <v>30</v>
      </c>
      <c r="G235" s="7">
        <v>36707</v>
      </c>
      <c r="H235">
        <v>0</v>
      </c>
      <c r="I235" s="3" t="s">
        <v>8610</v>
      </c>
      <c r="J235" s="3" t="s">
        <v>10</v>
      </c>
      <c r="K235" s="3" t="s">
        <v>10</v>
      </c>
      <c r="L235" s="3" t="s">
        <v>169</v>
      </c>
      <c r="M235">
        <v>26</v>
      </c>
      <c r="N235" s="3"/>
    </row>
    <row r="236" spans="1:14" x14ac:dyDescent="0.25">
      <c r="A236" s="3" t="s">
        <v>262</v>
      </c>
      <c r="B236">
        <v>2000</v>
      </c>
      <c r="C236">
        <v>2000</v>
      </c>
      <c r="D236" s="3" t="s">
        <v>29</v>
      </c>
      <c r="E236" s="3" t="s">
        <v>29</v>
      </c>
      <c r="F236">
        <v>11</v>
      </c>
      <c r="G236" s="7">
        <v>36871</v>
      </c>
      <c r="H236">
        <v>0</v>
      </c>
      <c r="I236" s="3" t="s">
        <v>8611</v>
      </c>
      <c r="J236" s="3" t="s">
        <v>10</v>
      </c>
      <c r="K236" s="3" t="s">
        <v>11</v>
      </c>
      <c r="L236" s="3" t="s">
        <v>167</v>
      </c>
      <c r="M236">
        <v>26</v>
      </c>
      <c r="N236" s="3"/>
    </row>
    <row r="237" spans="1:14" x14ac:dyDescent="0.25">
      <c r="A237" s="3" t="s">
        <v>263</v>
      </c>
      <c r="B237">
        <v>2002</v>
      </c>
      <c r="C237">
        <v>2002</v>
      </c>
      <c r="D237" s="3" t="s">
        <v>9</v>
      </c>
      <c r="E237" s="3" t="s">
        <v>9</v>
      </c>
      <c r="F237">
        <v>15</v>
      </c>
      <c r="G237" s="7">
        <v>37452</v>
      </c>
      <c r="H237">
        <v>0</v>
      </c>
      <c r="I237" s="3" t="s">
        <v>8612</v>
      </c>
      <c r="J237" s="3" t="s">
        <v>10</v>
      </c>
      <c r="K237" s="3" t="s">
        <v>15</v>
      </c>
      <c r="L237" s="3" t="s">
        <v>22</v>
      </c>
      <c r="M237">
        <v>24</v>
      </c>
      <c r="N237" s="3"/>
    </row>
    <row r="238" spans="1:14" x14ac:dyDescent="0.25">
      <c r="A238" s="3" t="s">
        <v>264</v>
      </c>
      <c r="B238">
        <v>2002</v>
      </c>
      <c r="C238">
        <v>2002</v>
      </c>
      <c r="D238" s="3" t="s">
        <v>14</v>
      </c>
      <c r="E238" s="3" t="s">
        <v>14</v>
      </c>
      <c r="F238">
        <v>12</v>
      </c>
      <c r="G238" s="7">
        <v>37572</v>
      </c>
      <c r="H238">
        <v>0</v>
      </c>
      <c r="I238" s="3" t="s">
        <v>8613</v>
      </c>
      <c r="J238" s="3" t="s">
        <v>10</v>
      </c>
      <c r="K238" s="3" t="s">
        <v>15</v>
      </c>
      <c r="L238" s="3" t="s">
        <v>22</v>
      </c>
      <c r="M238">
        <v>24</v>
      </c>
      <c r="N238" s="3"/>
    </row>
    <row r="239" spans="1:14" x14ac:dyDescent="0.25">
      <c r="A239" s="3" t="s">
        <v>265</v>
      </c>
      <c r="B239">
        <v>1991</v>
      </c>
      <c r="C239">
        <v>1991</v>
      </c>
      <c r="D239" s="3" t="s">
        <v>17</v>
      </c>
      <c r="E239" s="3" t="s">
        <v>17</v>
      </c>
      <c r="F239">
        <v>16</v>
      </c>
      <c r="G239" s="7">
        <v>33405</v>
      </c>
      <c r="H239">
        <v>3</v>
      </c>
      <c r="I239" s="3" t="s">
        <v>8614</v>
      </c>
      <c r="J239" s="3" t="s">
        <v>10</v>
      </c>
      <c r="K239" s="3" t="s">
        <v>15</v>
      </c>
      <c r="L239" s="3" t="s">
        <v>12</v>
      </c>
      <c r="M239">
        <v>35</v>
      </c>
      <c r="N239" s="3"/>
    </row>
    <row r="240" spans="1:14" x14ac:dyDescent="0.25">
      <c r="A240" s="3" t="s">
        <v>266</v>
      </c>
      <c r="B240">
        <v>1989</v>
      </c>
      <c r="C240">
        <v>1989</v>
      </c>
      <c r="D240" s="3" t="s">
        <v>36</v>
      </c>
      <c r="E240" s="3" t="s">
        <v>36</v>
      </c>
      <c r="F240">
        <v>5</v>
      </c>
      <c r="G240" s="7">
        <v>32786</v>
      </c>
      <c r="H240">
        <v>3</v>
      </c>
      <c r="I240" s="3" t="s">
        <v>8615</v>
      </c>
      <c r="J240" s="3" t="s">
        <v>10</v>
      </c>
      <c r="K240" s="3" t="s">
        <v>15</v>
      </c>
      <c r="L240" s="3" t="s">
        <v>12</v>
      </c>
      <c r="M240">
        <v>37</v>
      </c>
      <c r="N240" s="3"/>
    </row>
    <row r="241" spans="1:14" x14ac:dyDescent="0.25">
      <c r="A241" s="3" t="s">
        <v>267</v>
      </c>
      <c r="B241">
        <v>1996</v>
      </c>
      <c r="C241">
        <v>1996</v>
      </c>
      <c r="D241" s="3" t="s">
        <v>14</v>
      </c>
      <c r="E241" s="3" t="s">
        <v>14</v>
      </c>
      <c r="F241">
        <v>28</v>
      </c>
      <c r="G241" s="7">
        <v>35397</v>
      </c>
      <c r="H241">
        <v>0</v>
      </c>
      <c r="I241" s="3" t="s">
        <v>8616</v>
      </c>
      <c r="J241" s="3" t="s">
        <v>15</v>
      </c>
      <c r="K241" s="3" t="s">
        <v>10</v>
      </c>
      <c r="L241" s="3" t="s">
        <v>41</v>
      </c>
      <c r="M241">
        <v>30</v>
      </c>
      <c r="N241" s="3"/>
    </row>
    <row r="242" spans="1:14" x14ac:dyDescent="0.25">
      <c r="A242" s="3" t="s">
        <v>268</v>
      </c>
      <c r="B242">
        <v>2004</v>
      </c>
      <c r="C242">
        <v>2004</v>
      </c>
      <c r="D242" s="3" t="s">
        <v>19</v>
      </c>
      <c r="E242" s="3" t="s">
        <v>19</v>
      </c>
      <c r="F242">
        <v>6</v>
      </c>
      <c r="G242" s="7">
        <v>38236</v>
      </c>
      <c r="H242">
        <v>2</v>
      </c>
      <c r="I242" s="3" t="s">
        <v>8617</v>
      </c>
      <c r="J242" s="3" t="s">
        <v>10</v>
      </c>
      <c r="K242" s="3" t="s">
        <v>11</v>
      </c>
      <c r="L242" s="3" t="s">
        <v>12</v>
      </c>
      <c r="M242">
        <v>22</v>
      </c>
      <c r="N242" s="3"/>
    </row>
    <row r="243" spans="1:14" x14ac:dyDescent="0.25">
      <c r="A243" s="3" t="s">
        <v>269</v>
      </c>
      <c r="B243">
        <v>1996</v>
      </c>
      <c r="C243">
        <v>1996</v>
      </c>
      <c r="D243" s="3" t="s">
        <v>29</v>
      </c>
      <c r="E243" s="3" t="s">
        <v>29</v>
      </c>
      <c r="F243">
        <v>17</v>
      </c>
      <c r="G243" s="7">
        <v>35416</v>
      </c>
      <c r="H243">
        <v>0</v>
      </c>
      <c r="I243" s="3" t="s">
        <v>8618</v>
      </c>
      <c r="J243" s="3" t="s">
        <v>10</v>
      </c>
      <c r="K243" s="3" t="s">
        <v>15</v>
      </c>
      <c r="L243" s="3" t="s">
        <v>12</v>
      </c>
      <c r="M243">
        <v>30</v>
      </c>
      <c r="N243" s="3"/>
    </row>
    <row r="244" spans="1:14" x14ac:dyDescent="0.25">
      <c r="A244" s="3" t="s">
        <v>270</v>
      </c>
      <c r="B244">
        <v>2003</v>
      </c>
      <c r="C244">
        <v>2003</v>
      </c>
      <c r="D244" s="3" t="s">
        <v>14</v>
      </c>
      <c r="E244" s="3" t="s">
        <v>14</v>
      </c>
      <c r="F244">
        <v>18</v>
      </c>
      <c r="G244" s="7">
        <v>37943</v>
      </c>
      <c r="H244">
        <v>1</v>
      </c>
      <c r="I244" s="3" t="s">
        <v>8619</v>
      </c>
      <c r="J244" s="3" t="s">
        <v>10</v>
      </c>
      <c r="K244" s="3" t="s">
        <v>11</v>
      </c>
      <c r="L244" s="3" t="s">
        <v>41</v>
      </c>
      <c r="M244">
        <v>23</v>
      </c>
      <c r="N244" s="3"/>
    </row>
    <row r="245" spans="1:14" x14ac:dyDescent="0.25">
      <c r="A245" s="3" t="s">
        <v>271</v>
      </c>
      <c r="B245">
        <v>1998</v>
      </c>
      <c r="C245">
        <v>1998</v>
      </c>
      <c r="D245" s="3" t="s">
        <v>36</v>
      </c>
      <c r="E245" s="3" t="s">
        <v>36</v>
      </c>
      <c r="F245">
        <v>21</v>
      </c>
      <c r="G245" s="7">
        <v>36089</v>
      </c>
      <c r="H245">
        <v>0</v>
      </c>
      <c r="I245" s="3" t="s">
        <v>8620</v>
      </c>
      <c r="J245" s="3" t="s">
        <v>11</v>
      </c>
      <c r="K245" s="3" t="s">
        <v>11</v>
      </c>
      <c r="L245" s="3" t="s">
        <v>22</v>
      </c>
      <c r="M245">
        <v>28</v>
      </c>
      <c r="N245" s="3"/>
    </row>
    <row r="246" spans="1:14" x14ac:dyDescent="0.25">
      <c r="A246" s="3" t="s">
        <v>272</v>
      </c>
      <c r="B246">
        <v>2002</v>
      </c>
      <c r="C246">
        <v>2002</v>
      </c>
      <c r="D246" s="3" t="s">
        <v>14</v>
      </c>
      <c r="E246" s="3" t="s">
        <v>14</v>
      </c>
      <c r="F246">
        <v>5</v>
      </c>
      <c r="G246" s="7">
        <v>37565</v>
      </c>
      <c r="H246">
        <v>1</v>
      </c>
      <c r="I246" s="3" t="s">
        <v>8621</v>
      </c>
      <c r="J246" s="3" t="s">
        <v>10</v>
      </c>
      <c r="K246" s="3" t="s">
        <v>15</v>
      </c>
      <c r="L246" s="3" t="s">
        <v>22</v>
      </c>
      <c r="M246">
        <v>24</v>
      </c>
      <c r="N246" s="3"/>
    </row>
    <row r="247" spans="1:14" x14ac:dyDescent="0.25">
      <c r="A247" s="3" t="s">
        <v>273</v>
      </c>
      <c r="B247">
        <v>1988</v>
      </c>
      <c r="C247">
        <v>1988</v>
      </c>
      <c r="D247" s="3" t="s">
        <v>29</v>
      </c>
      <c r="E247" s="3" t="s">
        <v>29</v>
      </c>
      <c r="F247">
        <v>12</v>
      </c>
      <c r="G247" s="7">
        <v>32489</v>
      </c>
      <c r="H247">
        <v>3</v>
      </c>
      <c r="I247" s="3" t="s">
        <v>8622</v>
      </c>
      <c r="J247" s="3" t="s">
        <v>10</v>
      </c>
      <c r="K247" s="3" t="s">
        <v>10</v>
      </c>
      <c r="L247" s="3" t="s">
        <v>12</v>
      </c>
      <c r="M247">
        <v>38</v>
      </c>
      <c r="N247" s="3"/>
    </row>
    <row r="248" spans="1:14" x14ac:dyDescent="0.25">
      <c r="A248" s="3" t="s">
        <v>274</v>
      </c>
      <c r="B248">
        <v>1999</v>
      </c>
      <c r="C248">
        <v>1999</v>
      </c>
      <c r="D248" s="3" t="s">
        <v>29</v>
      </c>
      <c r="E248" s="3" t="s">
        <v>29</v>
      </c>
      <c r="F248">
        <v>17</v>
      </c>
      <c r="G248" s="7">
        <v>36511</v>
      </c>
      <c r="H248">
        <v>0</v>
      </c>
      <c r="I248" s="3" t="s">
        <v>8623</v>
      </c>
      <c r="J248" s="3" t="s">
        <v>10</v>
      </c>
      <c r="K248" s="3" t="s">
        <v>15</v>
      </c>
      <c r="L248" s="3" t="s">
        <v>275</v>
      </c>
      <c r="M248">
        <v>27</v>
      </c>
      <c r="N248" s="3"/>
    </row>
    <row r="249" spans="1:14" x14ac:dyDescent="0.25">
      <c r="A249" s="3" t="s">
        <v>276</v>
      </c>
      <c r="B249">
        <v>1999</v>
      </c>
      <c r="C249">
        <v>1999</v>
      </c>
      <c r="D249" s="3" t="s">
        <v>34</v>
      </c>
      <c r="E249" s="3" t="s">
        <v>34</v>
      </c>
      <c r="F249">
        <v>10</v>
      </c>
      <c r="G249" s="7">
        <v>36382</v>
      </c>
      <c r="H249">
        <v>0</v>
      </c>
      <c r="I249" s="3" t="s">
        <v>8624</v>
      </c>
      <c r="J249" s="3" t="s">
        <v>10</v>
      </c>
      <c r="K249" s="3" t="s">
        <v>15</v>
      </c>
      <c r="L249" s="3" t="s">
        <v>165</v>
      </c>
      <c r="M249">
        <v>27</v>
      </c>
      <c r="N249" s="3"/>
    </row>
    <row r="250" spans="1:14" x14ac:dyDescent="0.25">
      <c r="A250" s="3" t="s">
        <v>277</v>
      </c>
      <c r="B250">
        <v>2001</v>
      </c>
      <c r="C250">
        <v>2001</v>
      </c>
      <c r="D250" s="3" t="s">
        <v>17</v>
      </c>
      <c r="E250" s="3" t="s">
        <v>17</v>
      </c>
      <c r="F250">
        <v>3</v>
      </c>
      <c r="G250" s="7">
        <v>37045</v>
      </c>
      <c r="H250">
        <v>0</v>
      </c>
      <c r="I250" s="3" t="s">
        <v>8625</v>
      </c>
      <c r="J250" s="3" t="s">
        <v>10</v>
      </c>
      <c r="K250" s="3" t="s">
        <v>11</v>
      </c>
      <c r="L250" s="3" t="s">
        <v>22</v>
      </c>
      <c r="M250">
        <v>25</v>
      </c>
      <c r="N250" s="3"/>
    </row>
    <row r="251" spans="1:14" x14ac:dyDescent="0.25">
      <c r="A251" s="3" t="s">
        <v>278</v>
      </c>
      <c r="B251">
        <v>1999</v>
      </c>
      <c r="C251">
        <v>1999</v>
      </c>
      <c r="D251" s="3" t="s">
        <v>14</v>
      </c>
      <c r="E251" s="3" t="s">
        <v>14</v>
      </c>
      <c r="F251">
        <v>12</v>
      </c>
      <c r="G251" s="7">
        <v>36476</v>
      </c>
      <c r="H251">
        <v>1</v>
      </c>
      <c r="I251" s="3" t="s">
        <v>8626</v>
      </c>
      <c r="J251" s="3" t="s">
        <v>10</v>
      </c>
      <c r="K251" s="3" t="s">
        <v>10</v>
      </c>
      <c r="L251" s="3" t="s">
        <v>41</v>
      </c>
      <c r="M251">
        <v>27</v>
      </c>
      <c r="N251" s="3"/>
    </row>
    <row r="252" spans="1:14" x14ac:dyDescent="0.25">
      <c r="A252" s="3" t="s">
        <v>279</v>
      </c>
      <c r="B252">
        <v>1999</v>
      </c>
      <c r="C252">
        <v>1999</v>
      </c>
      <c r="D252" s="3" t="s">
        <v>14</v>
      </c>
      <c r="E252" s="3" t="s">
        <v>14</v>
      </c>
      <c r="F252">
        <v>21</v>
      </c>
      <c r="G252" s="7">
        <v>36485</v>
      </c>
      <c r="H252">
        <v>1</v>
      </c>
      <c r="I252" s="3" t="s">
        <v>8627</v>
      </c>
      <c r="J252" s="3" t="s">
        <v>10</v>
      </c>
      <c r="K252" s="3" t="s">
        <v>10</v>
      </c>
      <c r="L252" s="3" t="s">
        <v>12</v>
      </c>
      <c r="M252">
        <v>27</v>
      </c>
      <c r="N252" s="3"/>
    </row>
    <row r="253" spans="1:14" x14ac:dyDescent="0.25">
      <c r="A253" s="3" t="s">
        <v>280</v>
      </c>
      <c r="B253">
        <v>2002</v>
      </c>
      <c r="C253">
        <v>2002</v>
      </c>
      <c r="D253" s="3" t="s">
        <v>9</v>
      </c>
      <c r="E253" s="3" t="s">
        <v>9</v>
      </c>
      <c r="F253">
        <v>29</v>
      </c>
      <c r="G253" s="7">
        <v>37466</v>
      </c>
      <c r="H253">
        <v>0</v>
      </c>
      <c r="I253" s="3" t="s">
        <v>8628</v>
      </c>
      <c r="J253" s="3" t="s">
        <v>10</v>
      </c>
      <c r="K253" s="3" t="s">
        <v>15</v>
      </c>
      <c r="L253" s="3" t="s">
        <v>246</v>
      </c>
      <c r="M253">
        <v>24</v>
      </c>
      <c r="N253" s="3"/>
    </row>
    <row r="254" spans="1:14" x14ac:dyDescent="0.25">
      <c r="A254" s="3" t="s">
        <v>281</v>
      </c>
      <c r="B254">
        <v>1998</v>
      </c>
      <c r="C254">
        <v>1998</v>
      </c>
      <c r="D254" s="3" t="s">
        <v>14</v>
      </c>
      <c r="E254" s="3" t="s">
        <v>14</v>
      </c>
      <c r="F254">
        <v>19</v>
      </c>
      <c r="G254" s="7">
        <v>36118</v>
      </c>
      <c r="H254">
        <v>0</v>
      </c>
      <c r="I254" s="3" t="s">
        <v>8629</v>
      </c>
      <c r="J254" s="3" t="s">
        <v>10</v>
      </c>
      <c r="K254" s="3" t="s">
        <v>15</v>
      </c>
      <c r="L254" s="3" t="s">
        <v>41</v>
      </c>
      <c r="M254">
        <v>28</v>
      </c>
      <c r="N254" s="3"/>
    </row>
    <row r="255" spans="1:14" x14ac:dyDescent="0.25">
      <c r="A255" s="3" t="s">
        <v>282</v>
      </c>
      <c r="B255">
        <v>2002</v>
      </c>
      <c r="C255">
        <v>2002</v>
      </c>
      <c r="D255" s="3" t="s">
        <v>9</v>
      </c>
      <c r="E255" s="3" t="s">
        <v>9</v>
      </c>
      <c r="F255">
        <v>11</v>
      </c>
      <c r="G255" s="7">
        <v>37448</v>
      </c>
      <c r="H255">
        <v>0</v>
      </c>
      <c r="I255" s="3" t="s">
        <v>8630</v>
      </c>
      <c r="J255" s="3" t="s">
        <v>10</v>
      </c>
      <c r="K255" s="3" t="s">
        <v>10</v>
      </c>
      <c r="L255" s="3" t="s">
        <v>246</v>
      </c>
      <c r="M255">
        <v>24</v>
      </c>
      <c r="N255" s="3"/>
    </row>
    <row r="256" spans="1:14" x14ac:dyDescent="0.25">
      <c r="A256" s="3" t="s">
        <v>283</v>
      </c>
      <c r="B256">
        <v>1998</v>
      </c>
      <c r="C256">
        <v>1998</v>
      </c>
      <c r="D256" s="3" t="s">
        <v>34</v>
      </c>
      <c r="E256" s="3" t="s">
        <v>34</v>
      </c>
      <c r="F256">
        <v>17</v>
      </c>
      <c r="G256" s="7">
        <v>36024</v>
      </c>
      <c r="H256">
        <v>0</v>
      </c>
      <c r="I256" s="3" t="s">
        <v>8631</v>
      </c>
      <c r="J256" s="3" t="s">
        <v>10</v>
      </c>
      <c r="K256" s="3" t="s">
        <v>11</v>
      </c>
      <c r="L256" s="3" t="s">
        <v>12</v>
      </c>
      <c r="M256">
        <v>28</v>
      </c>
      <c r="N256" s="3"/>
    </row>
    <row r="257" spans="1:14" x14ac:dyDescent="0.25">
      <c r="A257" s="3" t="s">
        <v>284</v>
      </c>
      <c r="B257">
        <v>1998</v>
      </c>
      <c r="C257">
        <v>1998</v>
      </c>
      <c r="D257" s="3" t="s">
        <v>9</v>
      </c>
      <c r="E257" s="3" t="s">
        <v>9</v>
      </c>
      <c r="F257">
        <v>2</v>
      </c>
      <c r="G257" s="7">
        <v>35978</v>
      </c>
      <c r="H257">
        <v>0</v>
      </c>
      <c r="I257" s="3" t="s">
        <v>8632</v>
      </c>
      <c r="J257" s="3" t="s">
        <v>10</v>
      </c>
      <c r="K257" s="3" t="s">
        <v>11</v>
      </c>
      <c r="L257" s="3" t="s">
        <v>12</v>
      </c>
      <c r="M257">
        <v>28</v>
      </c>
      <c r="N257" s="3"/>
    </row>
    <row r="258" spans="1:14" x14ac:dyDescent="0.25">
      <c r="A258" s="3" t="s">
        <v>285</v>
      </c>
      <c r="B258">
        <v>1998</v>
      </c>
      <c r="C258">
        <v>1998</v>
      </c>
      <c r="D258" s="3" t="s">
        <v>17</v>
      </c>
      <c r="E258" s="3" t="s">
        <v>17</v>
      </c>
      <c r="F258">
        <v>20</v>
      </c>
      <c r="G258" s="7">
        <v>35966</v>
      </c>
      <c r="H258">
        <v>0</v>
      </c>
      <c r="I258" s="3" t="s">
        <v>8633</v>
      </c>
      <c r="J258" s="3" t="s">
        <v>10</v>
      </c>
      <c r="K258" s="3" t="s">
        <v>10</v>
      </c>
      <c r="L258" s="3" t="s">
        <v>12</v>
      </c>
      <c r="M258">
        <v>28</v>
      </c>
      <c r="N258" s="3"/>
    </row>
    <row r="259" spans="1:14" x14ac:dyDescent="0.25">
      <c r="A259" s="3" t="s">
        <v>286</v>
      </c>
      <c r="B259">
        <v>1995</v>
      </c>
      <c r="C259">
        <v>1995</v>
      </c>
      <c r="D259" s="3" t="s">
        <v>14</v>
      </c>
      <c r="E259" s="3" t="s">
        <v>14</v>
      </c>
      <c r="F259">
        <v>6</v>
      </c>
      <c r="G259" s="7">
        <v>35009</v>
      </c>
      <c r="H259">
        <v>0</v>
      </c>
      <c r="I259" s="3" t="s">
        <v>8634</v>
      </c>
      <c r="J259" s="3" t="s">
        <v>11</v>
      </c>
      <c r="K259" s="3" t="s">
        <v>10</v>
      </c>
      <c r="L259" s="3" t="s">
        <v>12</v>
      </c>
      <c r="M259">
        <v>31</v>
      </c>
      <c r="N259" s="3"/>
    </row>
    <row r="260" spans="1:14" x14ac:dyDescent="0.25">
      <c r="A260" s="3" t="s">
        <v>287</v>
      </c>
      <c r="B260">
        <v>1995</v>
      </c>
      <c r="C260">
        <v>1995</v>
      </c>
      <c r="D260" s="3" t="s">
        <v>36</v>
      </c>
      <c r="E260" s="3" t="s">
        <v>36</v>
      </c>
      <c r="F260">
        <v>14</v>
      </c>
      <c r="G260" s="7">
        <v>34986</v>
      </c>
      <c r="H260">
        <v>0</v>
      </c>
      <c r="I260" s="3" t="s">
        <v>8635</v>
      </c>
      <c r="J260" s="3" t="s">
        <v>11</v>
      </c>
      <c r="K260" s="3" t="s">
        <v>15</v>
      </c>
      <c r="L260" s="3" t="s">
        <v>41</v>
      </c>
      <c r="M260">
        <v>31</v>
      </c>
      <c r="N260" s="3"/>
    </row>
    <row r="261" spans="1:14" x14ac:dyDescent="0.25">
      <c r="A261" s="3" t="s">
        <v>288</v>
      </c>
      <c r="B261">
        <v>1995</v>
      </c>
      <c r="C261">
        <v>1995</v>
      </c>
      <c r="D261" s="3" t="s">
        <v>9</v>
      </c>
      <c r="E261" s="3" t="s">
        <v>9</v>
      </c>
      <c r="F261">
        <v>9</v>
      </c>
      <c r="G261" s="7">
        <v>34889</v>
      </c>
      <c r="H261">
        <v>0</v>
      </c>
      <c r="I261" s="3" t="s">
        <v>8636</v>
      </c>
      <c r="J261" s="3" t="s">
        <v>11</v>
      </c>
      <c r="K261" s="3" t="s">
        <v>11</v>
      </c>
      <c r="L261" s="3" t="s">
        <v>12</v>
      </c>
      <c r="M261">
        <v>31</v>
      </c>
      <c r="N261" s="3"/>
    </row>
    <row r="262" spans="1:14" x14ac:dyDescent="0.25">
      <c r="A262" s="3" t="s">
        <v>289</v>
      </c>
      <c r="B262">
        <v>1995</v>
      </c>
      <c r="C262">
        <v>1995</v>
      </c>
      <c r="D262" s="3" t="s">
        <v>36</v>
      </c>
      <c r="E262" s="3" t="s">
        <v>36</v>
      </c>
      <c r="F262">
        <v>15</v>
      </c>
      <c r="G262" s="7">
        <v>34987</v>
      </c>
      <c r="H262">
        <v>0</v>
      </c>
      <c r="I262" s="3" t="s">
        <v>8637</v>
      </c>
      <c r="J262" s="3" t="s">
        <v>11</v>
      </c>
      <c r="K262" s="3" t="s">
        <v>11</v>
      </c>
      <c r="L262" s="3" t="s">
        <v>12</v>
      </c>
      <c r="M262">
        <v>31</v>
      </c>
      <c r="N262" s="3"/>
    </row>
    <row r="263" spans="1:14" x14ac:dyDescent="0.25">
      <c r="A263" s="3" t="s">
        <v>290</v>
      </c>
      <c r="B263">
        <v>2004</v>
      </c>
      <c r="C263">
        <v>2004</v>
      </c>
      <c r="D263" s="3" t="s">
        <v>19</v>
      </c>
      <c r="E263" s="3" t="s">
        <v>19</v>
      </c>
      <c r="F263">
        <v>6</v>
      </c>
      <c r="G263" s="7">
        <v>38236</v>
      </c>
      <c r="H263">
        <v>0</v>
      </c>
      <c r="I263" s="3" t="s">
        <v>8638</v>
      </c>
      <c r="J263" s="3" t="s">
        <v>10</v>
      </c>
      <c r="K263" s="3" t="s">
        <v>10</v>
      </c>
      <c r="L263" s="3" t="s">
        <v>22</v>
      </c>
      <c r="M263">
        <v>22</v>
      </c>
      <c r="N263" s="3"/>
    </row>
    <row r="264" spans="1:14" x14ac:dyDescent="0.25">
      <c r="A264" s="3" t="s">
        <v>291</v>
      </c>
      <c r="B264">
        <v>1991</v>
      </c>
      <c r="C264">
        <v>1991</v>
      </c>
      <c r="D264" s="3" t="s">
        <v>34</v>
      </c>
      <c r="E264" s="3" t="s">
        <v>34</v>
      </c>
      <c r="F264">
        <v>5</v>
      </c>
      <c r="G264" s="7">
        <v>33455</v>
      </c>
      <c r="H264">
        <v>3</v>
      </c>
      <c r="I264" s="3" t="s">
        <v>8639</v>
      </c>
      <c r="J264" s="3" t="s">
        <v>10</v>
      </c>
      <c r="K264" s="3" t="s">
        <v>15</v>
      </c>
      <c r="L264" s="3" t="s">
        <v>12</v>
      </c>
      <c r="M264">
        <v>35</v>
      </c>
      <c r="N264" s="3"/>
    </row>
    <row r="265" spans="1:14" x14ac:dyDescent="0.25">
      <c r="A265" s="3" t="s">
        <v>292</v>
      </c>
      <c r="B265">
        <v>1997</v>
      </c>
      <c r="C265">
        <v>1997</v>
      </c>
      <c r="D265" s="3" t="s">
        <v>14</v>
      </c>
      <c r="E265" s="3" t="s">
        <v>14</v>
      </c>
      <c r="F265">
        <v>2</v>
      </c>
      <c r="G265" s="7">
        <v>35736</v>
      </c>
      <c r="H265">
        <v>0</v>
      </c>
      <c r="I265" s="3" t="s">
        <v>8640</v>
      </c>
      <c r="J265" s="3" t="s">
        <v>11</v>
      </c>
      <c r="K265" s="3" t="s">
        <v>15</v>
      </c>
      <c r="L265" s="3" t="s">
        <v>22</v>
      </c>
      <c r="M265">
        <v>29</v>
      </c>
      <c r="N265" s="3"/>
    </row>
    <row r="266" spans="1:14" x14ac:dyDescent="0.25">
      <c r="A266" s="3" t="s">
        <v>293</v>
      </c>
      <c r="B266">
        <v>2000</v>
      </c>
      <c r="C266">
        <v>2000</v>
      </c>
      <c r="D266" s="3" t="s">
        <v>34</v>
      </c>
      <c r="E266" s="3" t="s">
        <v>34</v>
      </c>
      <c r="F266">
        <v>25</v>
      </c>
      <c r="G266" s="7">
        <v>36763</v>
      </c>
      <c r="H266">
        <v>0</v>
      </c>
      <c r="I266" s="3" t="s">
        <v>8641</v>
      </c>
      <c r="J266" s="3" t="s">
        <v>10</v>
      </c>
      <c r="K266" s="3" t="s">
        <v>11</v>
      </c>
      <c r="L266" s="3" t="s">
        <v>22</v>
      </c>
      <c r="M266">
        <v>26</v>
      </c>
      <c r="N266" s="3"/>
    </row>
    <row r="267" spans="1:14" x14ac:dyDescent="0.25">
      <c r="A267" s="3" t="s">
        <v>294</v>
      </c>
      <c r="B267">
        <v>1997</v>
      </c>
      <c r="C267">
        <v>1997</v>
      </c>
      <c r="D267" s="3" t="s">
        <v>9</v>
      </c>
      <c r="E267" s="3" t="s">
        <v>9</v>
      </c>
      <c r="F267">
        <v>28</v>
      </c>
      <c r="G267" s="7">
        <v>35639</v>
      </c>
      <c r="H267">
        <v>0</v>
      </c>
      <c r="I267" s="3" t="s">
        <v>8642</v>
      </c>
      <c r="J267" s="3" t="s">
        <v>11</v>
      </c>
      <c r="K267" s="3" t="s">
        <v>11</v>
      </c>
      <c r="L267" s="3" t="s">
        <v>22</v>
      </c>
      <c r="M267">
        <v>29</v>
      </c>
      <c r="N267" s="3"/>
    </row>
    <row r="268" spans="1:14" x14ac:dyDescent="0.25">
      <c r="A268" s="3" t="s">
        <v>295</v>
      </c>
      <c r="B268">
        <v>1990</v>
      </c>
      <c r="C268">
        <v>1990</v>
      </c>
      <c r="D268" s="3" t="s">
        <v>36</v>
      </c>
      <c r="E268" s="3" t="s">
        <v>36</v>
      </c>
      <c r="F268">
        <v>1</v>
      </c>
      <c r="G268" s="7">
        <v>33147</v>
      </c>
      <c r="H268">
        <v>3</v>
      </c>
      <c r="I268" s="3" t="s">
        <v>8643</v>
      </c>
      <c r="J268" s="3" t="s">
        <v>10</v>
      </c>
      <c r="K268" s="3" t="s">
        <v>10</v>
      </c>
      <c r="L268" s="3" t="s">
        <v>12</v>
      </c>
      <c r="M268">
        <v>36</v>
      </c>
      <c r="N268" s="3"/>
    </row>
    <row r="269" spans="1:14" x14ac:dyDescent="0.25">
      <c r="A269" s="3" t="s">
        <v>296</v>
      </c>
      <c r="B269">
        <v>1991</v>
      </c>
      <c r="C269">
        <v>1991</v>
      </c>
      <c r="D269" s="3" t="s">
        <v>14</v>
      </c>
      <c r="E269" s="3" t="s">
        <v>14</v>
      </c>
      <c r="F269">
        <v>17</v>
      </c>
      <c r="G269" s="7">
        <v>33559</v>
      </c>
      <c r="H269">
        <v>3</v>
      </c>
      <c r="I269" s="3" t="s">
        <v>8644</v>
      </c>
      <c r="J269" s="3" t="s">
        <v>10</v>
      </c>
      <c r="K269" s="3" t="s">
        <v>15</v>
      </c>
      <c r="L269" s="3" t="s">
        <v>12</v>
      </c>
      <c r="M269">
        <v>35</v>
      </c>
      <c r="N269" s="3"/>
    </row>
    <row r="270" spans="1:14" x14ac:dyDescent="0.25">
      <c r="A270" s="3" t="s">
        <v>297</v>
      </c>
      <c r="B270">
        <v>2002</v>
      </c>
      <c r="C270">
        <v>2002</v>
      </c>
      <c r="D270" s="3" t="s">
        <v>36</v>
      </c>
      <c r="E270" s="3" t="s">
        <v>36</v>
      </c>
      <c r="F270">
        <v>11</v>
      </c>
      <c r="G270" s="7">
        <v>37540</v>
      </c>
      <c r="H270">
        <v>2</v>
      </c>
      <c r="I270" s="3" t="s">
        <v>8645</v>
      </c>
      <c r="J270" s="3" t="s">
        <v>10</v>
      </c>
      <c r="K270" s="3" t="s">
        <v>11</v>
      </c>
      <c r="L270" s="3" t="s">
        <v>12</v>
      </c>
      <c r="M270">
        <v>24</v>
      </c>
      <c r="N270" s="3"/>
    </row>
    <row r="271" spans="1:14" x14ac:dyDescent="0.25">
      <c r="A271" s="3" t="s">
        <v>298</v>
      </c>
      <c r="B271">
        <v>2002</v>
      </c>
      <c r="C271">
        <v>2002</v>
      </c>
      <c r="D271" s="3" t="s">
        <v>9</v>
      </c>
      <c r="E271" s="3" t="s">
        <v>9</v>
      </c>
      <c r="F271">
        <v>20</v>
      </c>
      <c r="G271" s="7">
        <v>37457</v>
      </c>
      <c r="H271">
        <v>0</v>
      </c>
      <c r="I271" s="3" t="s">
        <v>8646</v>
      </c>
      <c r="J271" s="3" t="s">
        <v>10</v>
      </c>
      <c r="K271" s="3" t="s">
        <v>10</v>
      </c>
      <c r="L271" s="3" t="s">
        <v>299</v>
      </c>
      <c r="M271">
        <v>24</v>
      </c>
      <c r="N271" s="3"/>
    </row>
    <row r="272" spans="1:14" x14ac:dyDescent="0.25">
      <c r="A272" s="3" t="s">
        <v>300</v>
      </c>
      <c r="B272">
        <v>2001</v>
      </c>
      <c r="C272">
        <v>2001</v>
      </c>
      <c r="D272" s="3" t="s">
        <v>36</v>
      </c>
      <c r="E272" s="3" t="s">
        <v>36</v>
      </c>
      <c r="F272">
        <v>15</v>
      </c>
      <c r="G272" s="7">
        <v>37179</v>
      </c>
      <c r="H272">
        <v>1</v>
      </c>
      <c r="I272" s="3" t="s">
        <v>8647</v>
      </c>
      <c r="J272" s="3" t="s">
        <v>10</v>
      </c>
      <c r="K272" s="3" t="s">
        <v>11</v>
      </c>
      <c r="L272" s="3" t="s">
        <v>41</v>
      </c>
      <c r="M272">
        <v>25</v>
      </c>
      <c r="N272" s="3"/>
    </row>
    <row r="273" spans="1:14" x14ac:dyDescent="0.25">
      <c r="A273" s="3" t="s">
        <v>301</v>
      </c>
      <c r="B273">
        <v>2001</v>
      </c>
      <c r="C273">
        <v>2001</v>
      </c>
      <c r="D273" s="3" t="s">
        <v>9</v>
      </c>
      <c r="E273" s="3" t="s">
        <v>9</v>
      </c>
      <c r="F273">
        <v>28</v>
      </c>
      <c r="G273" s="7">
        <v>37100</v>
      </c>
      <c r="H273">
        <v>0</v>
      </c>
      <c r="I273" s="3" t="s">
        <v>8648</v>
      </c>
      <c r="J273" s="3" t="s">
        <v>10</v>
      </c>
      <c r="K273" s="3" t="s">
        <v>10</v>
      </c>
      <c r="L273" s="3" t="s">
        <v>246</v>
      </c>
      <c r="M273">
        <v>25</v>
      </c>
      <c r="N273" s="3"/>
    </row>
    <row r="274" spans="1:14" x14ac:dyDescent="0.25">
      <c r="A274" s="3" t="s">
        <v>302</v>
      </c>
      <c r="B274">
        <v>2001</v>
      </c>
      <c r="C274">
        <v>2001</v>
      </c>
      <c r="D274" s="3" t="s">
        <v>34</v>
      </c>
      <c r="E274" s="3" t="s">
        <v>34</v>
      </c>
      <c r="F274">
        <v>26</v>
      </c>
      <c r="G274" s="7">
        <v>37129</v>
      </c>
      <c r="H274">
        <v>1</v>
      </c>
      <c r="I274" s="3" t="s">
        <v>8649</v>
      </c>
      <c r="J274" s="3" t="s">
        <v>10</v>
      </c>
      <c r="K274" s="3" t="s">
        <v>15</v>
      </c>
      <c r="L274" s="3" t="s">
        <v>41</v>
      </c>
      <c r="M274">
        <v>25</v>
      </c>
      <c r="N274" s="3"/>
    </row>
    <row r="275" spans="1:14" x14ac:dyDescent="0.25">
      <c r="A275" s="3" t="s">
        <v>303</v>
      </c>
      <c r="B275">
        <v>1997</v>
      </c>
      <c r="C275">
        <v>1997</v>
      </c>
      <c r="D275" s="3" t="s">
        <v>34</v>
      </c>
      <c r="E275" s="3" t="s">
        <v>34</v>
      </c>
      <c r="F275">
        <v>26</v>
      </c>
      <c r="G275" s="7">
        <v>35668</v>
      </c>
      <c r="H275">
        <v>0</v>
      </c>
      <c r="I275" s="3" t="s">
        <v>8650</v>
      </c>
      <c r="J275" s="3" t="s">
        <v>10</v>
      </c>
      <c r="K275" s="3" t="s">
        <v>15</v>
      </c>
      <c r="L275" s="3" t="s">
        <v>41</v>
      </c>
      <c r="M275">
        <v>29</v>
      </c>
      <c r="N275" s="3"/>
    </row>
    <row r="276" spans="1:14" x14ac:dyDescent="0.25">
      <c r="A276" s="3" t="s">
        <v>304</v>
      </c>
      <c r="B276">
        <v>2000</v>
      </c>
      <c r="C276">
        <v>2000</v>
      </c>
      <c r="D276" s="3" t="s">
        <v>17</v>
      </c>
      <c r="E276" s="3" t="s">
        <v>17</v>
      </c>
      <c r="F276">
        <v>24</v>
      </c>
      <c r="G276" s="7">
        <v>36701</v>
      </c>
      <c r="H276">
        <v>1</v>
      </c>
      <c r="I276" s="3" t="s">
        <v>8651</v>
      </c>
      <c r="J276" s="3" t="s">
        <v>10</v>
      </c>
      <c r="K276" s="3" t="s">
        <v>10</v>
      </c>
      <c r="L276" s="3" t="s">
        <v>22</v>
      </c>
      <c r="M276">
        <v>26</v>
      </c>
      <c r="N276" s="3"/>
    </row>
    <row r="277" spans="1:14" x14ac:dyDescent="0.25">
      <c r="A277" s="3" t="s">
        <v>305</v>
      </c>
      <c r="B277">
        <v>2000</v>
      </c>
      <c r="C277">
        <v>2000</v>
      </c>
      <c r="D277" s="3" t="s">
        <v>29</v>
      </c>
      <c r="E277" s="3" t="s">
        <v>29</v>
      </c>
      <c r="F277">
        <v>9</v>
      </c>
      <c r="G277" s="7">
        <v>36869</v>
      </c>
      <c r="H277">
        <v>1</v>
      </c>
      <c r="I277" s="3" t="s">
        <v>8652</v>
      </c>
      <c r="J277" s="3" t="s">
        <v>10</v>
      </c>
      <c r="K277" s="3" t="s">
        <v>15</v>
      </c>
      <c r="L277" s="3" t="s">
        <v>22</v>
      </c>
      <c r="M277">
        <v>26</v>
      </c>
      <c r="N277" s="3"/>
    </row>
    <row r="278" spans="1:14" x14ac:dyDescent="0.25">
      <c r="A278" s="3" t="s">
        <v>306</v>
      </c>
      <c r="B278">
        <v>1996</v>
      </c>
      <c r="C278">
        <v>1996</v>
      </c>
      <c r="D278" s="3" t="s">
        <v>34</v>
      </c>
      <c r="E278" s="3" t="s">
        <v>34</v>
      </c>
      <c r="F278">
        <v>5</v>
      </c>
      <c r="G278" s="7">
        <v>35282</v>
      </c>
      <c r="H278">
        <v>0</v>
      </c>
      <c r="I278" s="3" t="s">
        <v>8653</v>
      </c>
      <c r="J278" s="3" t="s">
        <v>11</v>
      </c>
      <c r="K278" s="3" t="s">
        <v>10</v>
      </c>
      <c r="L278" s="3" t="s">
        <v>22</v>
      </c>
      <c r="M278">
        <v>30</v>
      </c>
      <c r="N278" s="3"/>
    </row>
    <row r="279" spans="1:14" x14ac:dyDescent="0.25">
      <c r="A279" s="3" t="s">
        <v>307</v>
      </c>
      <c r="B279">
        <v>1994</v>
      </c>
      <c r="C279">
        <v>1994</v>
      </c>
      <c r="D279" s="3" t="s">
        <v>19</v>
      </c>
      <c r="E279" s="3" t="s">
        <v>19</v>
      </c>
      <c r="F279">
        <v>17</v>
      </c>
      <c r="G279" s="7">
        <v>34594</v>
      </c>
      <c r="H279">
        <v>0</v>
      </c>
      <c r="I279" s="3" t="s">
        <v>8654</v>
      </c>
      <c r="J279" s="3" t="s">
        <v>10</v>
      </c>
      <c r="K279" s="3" t="s">
        <v>10</v>
      </c>
      <c r="L279" s="3" t="s">
        <v>12</v>
      </c>
      <c r="M279">
        <v>32</v>
      </c>
      <c r="N279" s="3"/>
    </row>
    <row r="280" spans="1:14" x14ac:dyDescent="0.25">
      <c r="A280" s="3" t="s">
        <v>308</v>
      </c>
      <c r="B280">
        <v>1994</v>
      </c>
      <c r="C280">
        <v>1994</v>
      </c>
      <c r="D280" s="3" t="s">
        <v>36</v>
      </c>
      <c r="E280" s="3" t="s">
        <v>36</v>
      </c>
      <c r="F280">
        <v>2</v>
      </c>
      <c r="G280" s="7">
        <v>34609</v>
      </c>
      <c r="H280">
        <v>0</v>
      </c>
      <c r="I280" s="3" t="s">
        <v>8655</v>
      </c>
      <c r="J280" s="3" t="s">
        <v>11</v>
      </c>
      <c r="K280" s="3" t="s">
        <v>10</v>
      </c>
      <c r="L280" s="3" t="s">
        <v>12</v>
      </c>
      <c r="M280">
        <v>32</v>
      </c>
      <c r="N280" s="3"/>
    </row>
    <row r="281" spans="1:14" x14ac:dyDescent="0.25">
      <c r="A281" s="3" t="s">
        <v>309</v>
      </c>
      <c r="B281">
        <v>1999</v>
      </c>
      <c r="C281">
        <v>1999</v>
      </c>
      <c r="D281" s="3" t="s">
        <v>17</v>
      </c>
      <c r="E281" s="3" t="s">
        <v>17</v>
      </c>
      <c r="F281">
        <v>11</v>
      </c>
      <c r="G281" s="7">
        <v>36322</v>
      </c>
      <c r="H281">
        <v>0</v>
      </c>
      <c r="I281" s="3" t="s">
        <v>8656</v>
      </c>
      <c r="J281" s="3" t="s">
        <v>10</v>
      </c>
      <c r="K281" s="3" t="s">
        <v>10</v>
      </c>
      <c r="L281" s="3" t="s">
        <v>22</v>
      </c>
      <c r="M281">
        <v>27</v>
      </c>
      <c r="N281" s="3"/>
    </row>
    <row r="282" spans="1:14" x14ac:dyDescent="0.25">
      <c r="A282" s="3" t="s">
        <v>310</v>
      </c>
      <c r="B282">
        <v>1996</v>
      </c>
      <c r="C282">
        <v>1996</v>
      </c>
      <c r="D282" s="3" t="s">
        <v>17</v>
      </c>
      <c r="E282" s="3" t="s">
        <v>17</v>
      </c>
      <c r="F282">
        <v>13</v>
      </c>
      <c r="G282" s="7">
        <v>35229</v>
      </c>
      <c r="H282">
        <v>0</v>
      </c>
      <c r="I282" s="3" t="s">
        <v>8657</v>
      </c>
      <c r="J282" s="3" t="s">
        <v>10</v>
      </c>
      <c r="K282" s="3" t="s">
        <v>15</v>
      </c>
      <c r="L282" s="3" t="s">
        <v>22</v>
      </c>
      <c r="M282">
        <v>30</v>
      </c>
      <c r="N282" s="3"/>
    </row>
    <row r="283" spans="1:14" x14ac:dyDescent="0.25">
      <c r="A283" s="3" t="s">
        <v>311</v>
      </c>
      <c r="B283">
        <v>2003</v>
      </c>
      <c r="C283">
        <v>2003</v>
      </c>
      <c r="D283" s="3" t="s">
        <v>9</v>
      </c>
      <c r="E283" s="3" t="s">
        <v>9</v>
      </c>
      <c r="F283">
        <v>17</v>
      </c>
      <c r="G283" s="7">
        <v>37819</v>
      </c>
      <c r="H283">
        <v>1</v>
      </c>
      <c r="I283" s="3" t="s">
        <v>8658</v>
      </c>
      <c r="J283" s="3" t="s">
        <v>10</v>
      </c>
      <c r="K283" s="3" t="s">
        <v>10</v>
      </c>
      <c r="L283" s="3" t="s">
        <v>22</v>
      </c>
      <c r="M283">
        <v>23</v>
      </c>
      <c r="N283" s="3"/>
    </row>
    <row r="284" spans="1:14" x14ac:dyDescent="0.25">
      <c r="A284" s="3" t="s">
        <v>312</v>
      </c>
      <c r="B284">
        <v>2003</v>
      </c>
      <c r="C284">
        <v>2003</v>
      </c>
      <c r="D284" s="3" t="s">
        <v>14</v>
      </c>
      <c r="E284" s="3" t="s">
        <v>14</v>
      </c>
      <c r="F284">
        <v>21</v>
      </c>
      <c r="G284" s="7">
        <v>37946</v>
      </c>
      <c r="H284">
        <v>1</v>
      </c>
      <c r="I284" s="3" t="s">
        <v>8659</v>
      </c>
      <c r="J284" s="3" t="s">
        <v>10</v>
      </c>
      <c r="K284" s="3" t="s">
        <v>10</v>
      </c>
      <c r="L284" s="3" t="s">
        <v>22</v>
      </c>
      <c r="M284">
        <v>23</v>
      </c>
      <c r="N284" s="3"/>
    </row>
    <row r="285" spans="1:14" x14ac:dyDescent="0.25">
      <c r="A285" s="3" t="s">
        <v>313</v>
      </c>
      <c r="B285">
        <v>2003</v>
      </c>
      <c r="C285">
        <v>2003</v>
      </c>
      <c r="D285" s="3" t="s">
        <v>29</v>
      </c>
      <c r="E285" s="3" t="s">
        <v>29</v>
      </c>
      <c r="F285">
        <v>1</v>
      </c>
      <c r="G285" s="7">
        <v>37956</v>
      </c>
      <c r="H285">
        <v>1</v>
      </c>
      <c r="I285" s="3" t="s">
        <v>8660</v>
      </c>
      <c r="J285" s="3" t="s">
        <v>10</v>
      </c>
      <c r="K285" s="3" t="s">
        <v>11</v>
      </c>
      <c r="L285" s="3" t="s">
        <v>22</v>
      </c>
      <c r="M285">
        <v>23</v>
      </c>
      <c r="N285" s="3"/>
    </row>
    <row r="286" spans="1:14" x14ac:dyDescent="0.25">
      <c r="A286" s="3" t="s">
        <v>314</v>
      </c>
      <c r="B286">
        <v>2003</v>
      </c>
      <c r="C286">
        <v>2003</v>
      </c>
      <c r="D286" s="3" t="s">
        <v>34</v>
      </c>
      <c r="E286" s="3" t="s">
        <v>34</v>
      </c>
      <c r="F286">
        <v>6</v>
      </c>
      <c r="G286" s="7">
        <v>37839</v>
      </c>
      <c r="H286">
        <v>1</v>
      </c>
      <c r="I286" s="3" t="s">
        <v>8661</v>
      </c>
      <c r="J286" s="3" t="s">
        <v>10</v>
      </c>
      <c r="K286" s="3" t="s">
        <v>10</v>
      </c>
      <c r="L286" s="3" t="s">
        <v>22</v>
      </c>
      <c r="M286">
        <v>23</v>
      </c>
      <c r="N286" s="3"/>
    </row>
    <row r="287" spans="1:14" x14ac:dyDescent="0.25">
      <c r="A287" s="3" t="s">
        <v>315</v>
      </c>
      <c r="B287">
        <v>1997</v>
      </c>
      <c r="C287">
        <v>1997</v>
      </c>
      <c r="D287" s="3" t="s">
        <v>36</v>
      </c>
      <c r="E287" s="3" t="s">
        <v>36</v>
      </c>
      <c r="F287">
        <v>30</v>
      </c>
      <c r="G287" s="7">
        <v>35733</v>
      </c>
      <c r="H287">
        <v>0</v>
      </c>
      <c r="I287" s="3" t="s">
        <v>8662</v>
      </c>
      <c r="J287" s="3" t="s">
        <v>15</v>
      </c>
      <c r="K287" s="3" t="s">
        <v>11</v>
      </c>
      <c r="L287" s="3" t="s">
        <v>275</v>
      </c>
      <c r="M287">
        <v>29</v>
      </c>
      <c r="N287" s="3"/>
    </row>
    <row r="288" spans="1:14" x14ac:dyDescent="0.25">
      <c r="A288" s="3" t="s">
        <v>316</v>
      </c>
      <c r="B288">
        <v>1988</v>
      </c>
      <c r="C288">
        <v>1988</v>
      </c>
      <c r="D288" s="3" t="s">
        <v>34</v>
      </c>
      <c r="E288" s="3" t="s">
        <v>34</v>
      </c>
      <c r="F288">
        <v>20</v>
      </c>
      <c r="G288" s="7">
        <v>32375</v>
      </c>
      <c r="H288">
        <v>3</v>
      </c>
      <c r="I288" s="3" t="s">
        <v>8663</v>
      </c>
      <c r="J288" s="3" t="s">
        <v>10</v>
      </c>
      <c r="K288" s="3" t="s">
        <v>10</v>
      </c>
      <c r="L288" s="3" t="s">
        <v>12</v>
      </c>
      <c r="M288">
        <v>38</v>
      </c>
      <c r="N288" s="3"/>
    </row>
    <row r="289" spans="1:14" x14ac:dyDescent="0.25">
      <c r="A289" s="3" t="s">
        <v>317</v>
      </c>
      <c r="B289">
        <v>1997</v>
      </c>
      <c r="C289">
        <v>1997</v>
      </c>
      <c r="D289" s="3" t="s">
        <v>36</v>
      </c>
      <c r="E289" s="3" t="s">
        <v>36</v>
      </c>
      <c r="F289">
        <v>6</v>
      </c>
      <c r="G289" s="7">
        <v>35709</v>
      </c>
      <c r="H289">
        <v>0</v>
      </c>
      <c r="I289" s="3" t="s">
        <v>8664</v>
      </c>
      <c r="J289" s="3" t="s">
        <v>11</v>
      </c>
      <c r="K289" s="3" t="s">
        <v>11</v>
      </c>
      <c r="L289" s="3" t="s">
        <v>167</v>
      </c>
      <c r="M289">
        <v>29</v>
      </c>
      <c r="N289" s="3"/>
    </row>
    <row r="290" spans="1:14" x14ac:dyDescent="0.25">
      <c r="A290" s="3" t="s">
        <v>318</v>
      </c>
      <c r="B290">
        <v>2003</v>
      </c>
      <c r="C290">
        <v>2003</v>
      </c>
      <c r="D290" s="3" t="s">
        <v>29</v>
      </c>
      <c r="E290" s="3" t="s">
        <v>29</v>
      </c>
      <c r="F290">
        <v>3</v>
      </c>
      <c r="G290" s="7">
        <v>37958</v>
      </c>
      <c r="H290">
        <v>1</v>
      </c>
      <c r="I290" s="3" t="s">
        <v>8665</v>
      </c>
      <c r="J290" s="3" t="s">
        <v>10</v>
      </c>
      <c r="K290" s="3" t="s">
        <v>11</v>
      </c>
      <c r="L290" s="3" t="s">
        <v>22</v>
      </c>
      <c r="M290">
        <v>23</v>
      </c>
      <c r="N290" s="3"/>
    </row>
    <row r="291" spans="1:14" x14ac:dyDescent="0.25">
      <c r="A291" s="3" t="s">
        <v>319</v>
      </c>
      <c r="B291">
        <v>2000</v>
      </c>
      <c r="C291">
        <v>2000</v>
      </c>
      <c r="D291" s="3" t="s">
        <v>29</v>
      </c>
      <c r="E291" s="3" t="s">
        <v>29</v>
      </c>
      <c r="F291">
        <v>17</v>
      </c>
      <c r="G291" s="7">
        <v>36877</v>
      </c>
      <c r="H291">
        <v>0</v>
      </c>
      <c r="I291" s="3" t="s">
        <v>8666</v>
      </c>
      <c r="J291" s="3" t="s">
        <v>10</v>
      </c>
      <c r="K291" s="3" t="s">
        <v>11</v>
      </c>
      <c r="L291" s="3" t="s">
        <v>246</v>
      </c>
      <c r="M291">
        <v>26</v>
      </c>
      <c r="N291" s="3"/>
    </row>
    <row r="292" spans="1:14" x14ac:dyDescent="0.25">
      <c r="A292" s="3" t="s">
        <v>320</v>
      </c>
      <c r="B292">
        <v>2000</v>
      </c>
      <c r="C292">
        <v>2000</v>
      </c>
      <c r="D292" s="3" t="s">
        <v>36</v>
      </c>
      <c r="E292" s="3" t="s">
        <v>36</v>
      </c>
      <c r="F292">
        <v>3</v>
      </c>
      <c r="G292" s="7">
        <v>36802</v>
      </c>
      <c r="H292">
        <v>0</v>
      </c>
      <c r="I292" s="3" t="s">
        <v>8667</v>
      </c>
      <c r="J292" s="3" t="s">
        <v>10</v>
      </c>
      <c r="K292" s="3" t="s">
        <v>11</v>
      </c>
      <c r="L292" s="3" t="s">
        <v>246</v>
      </c>
      <c r="M292">
        <v>26</v>
      </c>
      <c r="N292" s="3"/>
    </row>
    <row r="293" spans="1:14" x14ac:dyDescent="0.25">
      <c r="A293" s="3" t="s">
        <v>321</v>
      </c>
      <c r="B293">
        <v>2000</v>
      </c>
      <c r="C293">
        <v>2000</v>
      </c>
      <c r="D293" s="3" t="s">
        <v>36</v>
      </c>
      <c r="E293" s="3" t="s">
        <v>36</v>
      </c>
      <c r="F293">
        <v>11</v>
      </c>
      <c r="G293" s="7">
        <v>36810</v>
      </c>
      <c r="H293">
        <v>0</v>
      </c>
      <c r="I293" s="3" t="s">
        <v>8668</v>
      </c>
      <c r="J293" s="3" t="s">
        <v>10</v>
      </c>
      <c r="K293" s="3" t="s">
        <v>15</v>
      </c>
      <c r="L293" s="3" t="s">
        <v>246</v>
      </c>
      <c r="M293">
        <v>26</v>
      </c>
      <c r="N293" s="3"/>
    </row>
    <row r="294" spans="1:14" x14ac:dyDescent="0.25">
      <c r="A294" s="3" t="s">
        <v>322</v>
      </c>
      <c r="B294">
        <v>1997</v>
      </c>
      <c r="C294">
        <v>1997</v>
      </c>
      <c r="D294" s="3" t="s">
        <v>34</v>
      </c>
      <c r="E294" s="3" t="s">
        <v>34</v>
      </c>
      <c r="F294">
        <v>10</v>
      </c>
      <c r="G294" s="7">
        <v>35652</v>
      </c>
      <c r="H294">
        <v>0</v>
      </c>
      <c r="I294" s="3" t="s">
        <v>8669</v>
      </c>
      <c r="J294" s="3" t="s">
        <v>10</v>
      </c>
      <c r="K294" s="3" t="s">
        <v>15</v>
      </c>
      <c r="L294" s="3" t="s">
        <v>22</v>
      </c>
      <c r="M294">
        <v>29</v>
      </c>
      <c r="N294" s="3"/>
    </row>
    <row r="295" spans="1:14" x14ac:dyDescent="0.25">
      <c r="A295" s="3" t="s">
        <v>323</v>
      </c>
      <c r="B295">
        <v>2004</v>
      </c>
      <c r="C295">
        <v>2004</v>
      </c>
      <c r="D295" s="3" t="s">
        <v>14</v>
      </c>
      <c r="E295" s="3" t="s">
        <v>14</v>
      </c>
      <c r="F295">
        <v>14</v>
      </c>
      <c r="G295" s="7">
        <v>38305</v>
      </c>
      <c r="H295">
        <v>0</v>
      </c>
      <c r="I295" s="3" t="s">
        <v>8670</v>
      </c>
      <c r="J295" s="3" t="s">
        <v>10</v>
      </c>
      <c r="K295" s="3" t="s">
        <v>15</v>
      </c>
      <c r="L295" s="3" t="s">
        <v>299</v>
      </c>
      <c r="M295">
        <v>22</v>
      </c>
      <c r="N295" s="3"/>
    </row>
    <row r="296" spans="1:14" x14ac:dyDescent="0.25">
      <c r="A296" s="3" t="s">
        <v>30</v>
      </c>
      <c r="B296">
        <v>1999</v>
      </c>
      <c r="C296">
        <v>1999</v>
      </c>
      <c r="D296" s="3" t="s">
        <v>17</v>
      </c>
      <c r="E296" s="3" t="s">
        <v>17</v>
      </c>
      <c r="F296">
        <v>9</v>
      </c>
      <c r="G296" s="7">
        <v>36320</v>
      </c>
      <c r="H296">
        <v>1</v>
      </c>
      <c r="I296" s="3" t="s">
        <v>8671</v>
      </c>
      <c r="J296" s="3" t="s">
        <v>10</v>
      </c>
      <c r="K296" s="3" t="s">
        <v>15</v>
      </c>
      <c r="L296" s="3" t="s">
        <v>22</v>
      </c>
      <c r="M296">
        <v>27</v>
      </c>
      <c r="N296" s="3"/>
    </row>
    <row r="297" spans="1:14" x14ac:dyDescent="0.25">
      <c r="A297" s="3" t="s">
        <v>324</v>
      </c>
      <c r="B297">
        <v>1999</v>
      </c>
      <c r="C297">
        <v>1999</v>
      </c>
      <c r="D297" s="3" t="s">
        <v>34</v>
      </c>
      <c r="E297" s="3" t="s">
        <v>34</v>
      </c>
      <c r="F297">
        <v>29</v>
      </c>
      <c r="G297" s="7">
        <v>36401</v>
      </c>
      <c r="H297">
        <v>1</v>
      </c>
      <c r="I297" s="3" t="s">
        <v>8671</v>
      </c>
      <c r="J297" s="3" t="s">
        <v>10</v>
      </c>
      <c r="K297" s="3" t="s">
        <v>15</v>
      </c>
      <c r="L297" s="3" t="s">
        <v>22</v>
      </c>
      <c r="M297">
        <v>27</v>
      </c>
      <c r="N297" s="3"/>
    </row>
    <row r="298" spans="1:14" x14ac:dyDescent="0.25">
      <c r="A298" s="3" t="s">
        <v>325</v>
      </c>
      <c r="B298">
        <v>1999</v>
      </c>
      <c r="C298">
        <v>1999</v>
      </c>
      <c r="D298" s="3" t="s">
        <v>29</v>
      </c>
      <c r="E298" s="3" t="s">
        <v>29</v>
      </c>
      <c r="F298">
        <v>24</v>
      </c>
      <c r="G298" s="7">
        <v>36518</v>
      </c>
      <c r="H298">
        <v>1</v>
      </c>
      <c r="I298" s="3" t="s">
        <v>8672</v>
      </c>
      <c r="J298" s="3" t="s">
        <v>10</v>
      </c>
      <c r="K298" s="3" t="s">
        <v>11</v>
      </c>
      <c r="L298" s="3" t="s">
        <v>22</v>
      </c>
      <c r="M298">
        <v>27</v>
      </c>
      <c r="N298" s="3"/>
    </row>
    <row r="299" spans="1:14" x14ac:dyDescent="0.25">
      <c r="A299" s="3" t="s">
        <v>326</v>
      </c>
      <c r="B299">
        <v>2004</v>
      </c>
      <c r="C299">
        <v>2004</v>
      </c>
      <c r="D299" s="3" t="s">
        <v>34</v>
      </c>
      <c r="E299" s="3" t="s">
        <v>34</v>
      </c>
      <c r="F299">
        <v>4</v>
      </c>
      <c r="G299" s="7">
        <v>38203</v>
      </c>
      <c r="H299">
        <v>2</v>
      </c>
      <c r="I299" s="3" t="s">
        <v>8673</v>
      </c>
      <c r="J299" s="3" t="s">
        <v>10</v>
      </c>
      <c r="K299" s="3" t="s">
        <v>11</v>
      </c>
      <c r="L299" s="3" t="s">
        <v>12</v>
      </c>
      <c r="M299">
        <v>22</v>
      </c>
      <c r="N299" s="3"/>
    </row>
    <row r="300" spans="1:14" x14ac:dyDescent="0.25">
      <c r="A300" s="3" t="s">
        <v>327</v>
      </c>
      <c r="B300">
        <v>2003</v>
      </c>
      <c r="C300">
        <v>2003</v>
      </c>
      <c r="D300" s="3" t="s">
        <v>19</v>
      </c>
      <c r="E300" s="3" t="s">
        <v>19</v>
      </c>
      <c r="F300">
        <v>23</v>
      </c>
      <c r="G300" s="7">
        <v>37887</v>
      </c>
      <c r="H300">
        <v>2</v>
      </c>
      <c r="I300" s="3" t="s">
        <v>8674</v>
      </c>
      <c r="J300" s="3" t="s">
        <v>10</v>
      </c>
      <c r="K300" s="3" t="s">
        <v>15</v>
      </c>
      <c r="L300" s="3" t="s">
        <v>22</v>
      </c>
      <c r="M300">
        <v>23</v>
      </c>
      <c r="N300" s="3"/>
    </row>
    <row r="301" spans="1:14" x14ac:dyDescent="0.25">
      <c r="A301" s="3" t="s">
        <v>328</v>
      </c>
      <c r="B301">
        <v>2000</v>
      </c>
      <c r="C301">
        <v>2000</v>
      </c>
      <c r="D301" s="3" t="s">
        <v>36</v>
      </c>
      <c r="E301" s="3" t="s">
        <v>36</v>
      </c>
      <c r="F301">
        <v>1</v>
      </c>
      <c r="G301" s="7">
        <v>36800</v>
      </c>
      <c r="H301">
        <v>0</v>
      </c>
      <c r="I301" s="3" t="s">
        <v>8675</v>
      </c>
      <c r="J301" s="3" t="s">
        <v>10</v>
      </c>
      <c r="K301" s="3" t="s">
        <v>11</v>
      </c>
      <c r="L301" s="3" t="s">
        <v>41</v>
      </c>
      <c r="M301">
        <v>26</v>
      </c>
      <c r="N301" s="3"/>
    </row>
    <row r="302" spans="1:14" x14ac:dyDescent="0.25">
      <c r="A302" s="3" t="s">
        <v>329</v>
      </c>
      <c r="B302">
        <v>1998</v>
      </c>
      <c r="C302">
        <v>1998</v>
      </c>
      <c r="D302" s="3" t="s">
        <v>14</v>
      </c>
      <c r="E302" s="3" t="s">
        <v>14</v>
      </c>
      <c r="F302">
        <v>15</v>
      </c>
      <c r="G302" s="7">
        <v>36114</v>
      </c>
      <c r="H302">
        <v>0</v>
      </c>
      <c r="I302" s="3" t="s">
        <v>8676</v>
      </c>
      <c r="J302" s="3" t="s">
        <v>10</v>
      </c>
      <c r="K302" s="3" t="s">
        <v>11</v>
      </c>
      <c r="L302" s="3" t="s">
        <v>22</v>
      </c>
      <c r="M302">
        <v>28</v>
      </c>
      <c r="N302" s="3"/>
    </row>
    <row r="303" spans="1:14" x14ac:dyDescent="0.25">
      <c r="A303" s="3" t="s">
        <v>330</v>
      </c>
      <c r="B303">
        <v>1998</v>
      </c>
      <c r="C303">
        <v>1998</v>
      </c>
      <c r="D303" s="3" t="s">
        <v>17</v>
      </c>
      <c r="E303" s="3" t="s">
        <v>17</v>
      </c>
      <c r="F303">
        <v>17</v>
      </c>
      <c r="G303" s="7">
        <v>35963</v>
      </c>
      <c r="H303">
        <v>0</v>
      </c>
      <c r="I303" s="3" t="s">
        <v>8677</v>
      </c>
      <c r="J303" s="3" t="s">
        <v>10</v>
      </c>
      <c r="K303" s="3" t="s">
        <v>11</v>
      </c>
      <c r="L303" s="3" t="s">
        <v>22</v>
      </c>
      <c r="M303">
        <v>28</v>
      </c>
      <c r="N303" s="3"/>
    </row>
    <row r="304" spans="1:14" x14ac:dyDescent="0.25">
      <c r="A304" s="3" t="s">
        <v>331</v>
      </c>
      <c r="B304">
        <v>1998</v>
      </c>
      <c r="C304">
        <v>1998</v>
      </c>
      <c r="D304" s="3" t="s">
        <v>19</v>
      </c>
      <c r="E304" s="3" t="s">
        <v>19</v>
      </c>
      <c r="F304">
        <v>4</v>
      </c>
      <c r="G304" s="7">
        <v>36042</v>
      </c>
      <c r="H304">
        <v>0</v>
      </c>
      <c r="I304" s="3" t="s">
        <v>8678</v>
      </c>
      <c r="J304" s="3" t="s">
        <v>10</v>
      </c>
      <c r="K304" s="3" t="s">
        <v>11</v>
      </c>
      <c r="L304" s="3" t="s">
        <v>22</v>
      </c>
      <c r="M304">
        <v>28</v>
      </c>
      <c r="N304" s="3"/>
    </row>
    <row r="305" spans="1:14" x14ac:dyDescent="0.25">
      <c r="A305" s="3" t="s">
        <v>332</v>
      </c>
      <c r="B305">
        <v>1993</v>
      </c>
      <c r="C305">
        <v>1993</v>
      </c>
      <c r="D305" s="3" t="s">
        <v>14</v>
      </c>
      <c r="E305" s="3" t="s">
        <v>14</v>
      </c>
      <c r="F305">
        <v>1</v>
      </c>
      <c r="G305" s="7">
        <v>34274</v>
      </c>
      <c r="H305">
        <v>0</v>
      </c>
      <c r="I305" s="3" t="s">
        <v>8679</v>
      </c>
      <c r="J305" s="3" t="s">
        <v>11</v>
      </c>
      <c r="K305" s="3" t="s">
        <v>11</v>
      </c>
      <c r="L305" s="3" t="s">
        <v>41</v>
      </c>
      <c r="M305">
        <v>33</v>
      </c>
      <c r="N305" s="3"/>
    </row>
    <row r="306" spans="1:14" x14ac:dyDescent="0.25">
      <c r="A306" s="3" t="s">
        <v>333</v>
      </c>
      <c r="B306">
        <v>1993</v>
      </c>
      <c r="C306">
        <v>1993</v>
      </c>
      <c r="D306" s="3" t="s">
        <v>34</v>
      </c>
      <c r="E306" s="3" t="s">
        <v>34</v>
      </c>
      <c r="F306">
        <v>12</v>
      </c>
      <c r="G306" s="7">
        <v>34193</v>
      </c>
      <c r="H306">
        <v>0</v>
      </c>
      <c r="I306" s="3" t="s">
        <v>8680</v>
      </c>
      <c r="J306" s="3" t="s">
        <v>15</v>
      </c>
      <c r="K306" s="3" t="s">
        <v>11</v>
      </c>
      <c r="L306" s="3" t="s">
        <v>12</v>
      </c>
      <c r="M306">
        <v>33</v>
      </c>
      <c r="N306" s="3"/>
    </row>
    <row r="307" spans="1:14" x14ac:dyDescent="0.25">
      <c r="A307" s="3" t="s">
        <v>334</v>
      </c>
      <c r="B307">
        <v>1996</v>
      </c>
      <c r="C307">
        <v>1996</v>
      </c>
      <c r="D307" s="3" t="s">
        <v>17</v>
      </c>
      <c r="E307" s="3" t="s">
        <v>17</v>
      </c>
      <c r="F307">
        <v>21</v>
      </c>
      <c r="G307" s="7">
        <v>35237</v>
      </c>
      <c r="H307">
        <v>0</v>
      </c>
      <c r="I307" s="3" t="s">
        <v>8681</v>
      </c>
      <c r="J307" s="3" t="s">
        <v>11</v>
      </c>
      <c r="K307" s="3" t="s">
        <v>11</v>
      </c>
      <c r="L307" s="3" t="s">
        <v>167</v>
      </c>
      <c r="M307">
        <v>30</v>
      </c>
      <c r="N307" s="3"/>
    </row>
    <row r="308" spans="1:14" x14ac:dyDescent="0.25">
      <c r="A308" s="3" t="s">
        <v>335</v>
      </c>
      <c r="B308">
        <v>2000</v>
      </c>
      <c r="C308">
        <v>2000</v>
      </c>
      <c r="D308" s="3" t="s">
        <v>9</v>
      </c>
      <c r="E308" s="3" t="s">
        <v>9</v>
      </c>
      <c r="F308">
        <v>14</v>
      </c>
      <c r="G308" s="7">
        <v>36721</v>
      </c>
      <c r="H308">
        <v>0</v>
      </c>
      <c r="I308" s="3" t="s">
        <v>8682</v>
      </c>
      <c r="J308" s="3" t="s">
        <v>10</v>
      </c>
      <c r="K308" s="3" t="s">
        <v>15</v>
      </c>
      <c r="L308" s="3" t="s">
        <v>22</v>
      </c>
      <c r="M308">
        <v>26</v>
      </c>
      <c r="N308" s="3"/>
    </row>
    <row r="309" spans="1:14" x14ac:dyDescent="0.25">
      <c r="A309" s="3" t="s">
        <v>336</v>
      </c>
      <c r="B309">
        <v>1999</v>
      </c>
      <c r="C309">
        <v>1999</v>
      </c>
      <c r="D309" s="3" t="s">
        <v>14</v>
      </c>
      <c r="E309" s="3" t="s">
        <v>14</v>
      </c>
      <c r="F309">
        <v>1</v>
      </c>
      <c r="G309" s="7">
        <v>36465</v>
      </c>
      <c r="H309">
        <v>0</v>
      </c>
      <c r="I309" s="3" t="s">
        <v>8683</v>
      </c>
      <c r="J309" s="3" t="s">
        <v>10</v>
      </c>
      <c r="K309" s="3" t="s">
        <v>10</v>
      </c>
      <c r="L309" s="3" t="s">
        <v>246</v>
      </c>
      <c r="M309">
        <v>27</v>
      </c>
      <c r="N309" s="3"/>
    </row>
    <row r="310" spans="1:14" x14ac:dyDescent="0.25">
      <c r="A310" s="3" t="s">
        <v>337</v>
      </c>
      <c r="B310">
        <v>1996</v>
      </c>
      <c r="C310">
        <v>1996</v>
      </c>
      <c r="D310" s="3" t="s">
        <v>36</v>
      </c>
      <c r="E310" s="3" t="s">
        <v>36</v>
      </c>
      <c r="F310">
        <v>24</v>
      </c>
      <c r="G310" s="7">
        <v>35362</v>
      </c>
      <c r="H310">
        <v>1</v>
      </c>
      <c r="I310" s="3" t="s">
        <v>8684</v>
      </c>
      <c r="J310" s="3" t="s">
        <v>10</v>
      </c>
      <c r="K310" s="3" t="s">
        <v>10</v>
      </c>
      <c r="L310" s="3" t="s">
        <v>12</v>
      </c>
      <c r="M310">
        <v>30</v>
      </c>
      <c r="N310" s="3"/>
    </row>
    <row r="311" spans="1:14" x14ac:dyDescent="0.25">
      <c r="A311" s="3" t="s">
        <v>338</v>
      </c>
      <c r="B311">
        <v>1996</v>
      </c>
      <c r="C311">
        <v>1996</v>
      </c>
      <c r="D311" s="3" t="s">
        <v>17</v>
      </c>
      <c r="E311" s="3" t="s">
        <v>17</v>
      </c>
      <c r="F311">
        <v>13</v>
      </c>
      <c r="G311" s="7">
        <v>35229</v>
      </c>
      <c r="H311">
        <v>1</v>
      </c>
      <c r="I311" s="3" t="s">
        <v>8685</v>
      </c>
      <c r="J311" s="3" t="s">
        <v>10</v>
      </c>
      <c r="K311" s="3" t="s">
        <v>10</v>
      </c>
      <c r="L311" s="3" t="s">
        <v>41</v>
      </c>
      <c r="M311">
        <v>30</v>
      </c>
      <c r="N311" s="3"/>
    </row>
    <row r="312" spans="1:14" x14ac:dyDescent="0.25">
      <c r="A312" s="3" t="s">
        <v>339</v>
      </c>
      <c r="B312">
        <v>2003</v>
      </c>
      <c r="C312">
        <v>2003</v>
      </c>
      <c r="D312" s="3" t="s">
        <v>17</v>
      </c>
      <c r="E312" s="3" t="s">
        <v>17</v>
      </c>
      <c r="F312">
        <v>5</v>
      </c>
      <c r="G312" s="7">
        <v>37777</v>
      </c>
      <c r="H312">
        <v>2</v>
      </c>
      <c r="I312" s="3" t="s">
        <v>8686</v>
      </c>
      <c r="J312" s="3" t="s">
        <v>10</v>
      </c>
      <c r="K312" s="3" t="s">
        <v>10</v>
      </c>
      <c r="L312" s="3" t="s">
        <v>41</v>
      </c>
      <c r="M312">
        <v>23</v>
      </c>
      <c r="N312" s="3"/>
    </row>
    <row r="313" spans="1:14" x14ac:dyDescent="0.25">
      <c r="A313" s="3" t="s">
        <v>340</v>
      </c>
      <c r="B313">
        <v>1996</v>
      </c>
      <c r="C313">
        <v>1996</v>
      </c>
      <c r="D313" s="3" t="s">
        <v>17</v>
      </c>
      <c r="E313" s="3" t="s">
        <v>17</v>
      </c>
      <c r="F313">
        <v>30</v>
      </c>
      <c r="G313" s="7">
        <v>35246</v>
      </c>
      <c r="H313">
        <v>1</v>
      </c>
      <c r="I313" s="3" t="s">
        <v>8687</v>
      </c>
      <c r="J313" s="3" t="s">
        <v>10</v>
      </c>
      <c r="K313" s="3" t="s">
        <v>10</v>
      </c>
      <c r="L313" s="3" t="s">
        <v>12</v>
      </c>
      <c r="M313">
        <v>30</v>
      </c>
      <c r="N313" s="3"/>
    </row>
    <row r="314" spans="1:14" x14ac:dyDescent="0.25">
      <c r="A314" s="3" t="s">
        <v>341</v>
      </c>
      <c r="B314">
        <v>2002</v>
      </c>
      <c r="C314">
        <v>2002</v>
      </c>
      <c r="D314" s="3" t="s">
        <v>19</v>
      </c>
      <c r="E314" s="3" t="s">
        <v>19</v>
      </c>
      <c r="F314">
        <v>30</v>
      </c>
      <c r="G314" s="7">
        <v>37529</v>
      </c>
      <c r="H314">
        <v>0</v>
      </c>
      <c r="I314" s="3" t="s">
        <v>8688</v>
      </c>
      <c r="J314" s="3" t="s">
        <v>10</v>
      </c>
      <c r="K314" s="3" t="s">
        <v>11</v>
      </c>
      <c r="L314" s="3" t="s">
        <v>22</v>
      </c>
      <c r="M314">
        <v>24</v>
      </c>
      <c r="N314" s="3"/>
    </row>
    <row r="315" spans="1:14" x14ac:dyDescent="0.25">
      <c r="A315" s="3" t="s">
        <v>342</v>
      </c>
      <c r="B315">
        <v>1995</v>
      </c>
      <c r="C315">
        <v>1995</v>
      </c>
      <c r="D315" s="3" t="s">
        <v>19</v>
      </c>
      <c r="E315" s="3" t="s">
        <v>19</v>
      </c>
      <c r="F315">
        <v>24</v>
      </c>
      <c r="G315" s="7">
        <v>34966</v>
      </c>
      <c r="H315">
        <v>0</v>
      </c>
      <c r="I315" s="3" t="s">
        <v>8689</v>
      </c>
      <c r="J315" s="3" t="s">
        <v>10</v>
      </c>
      <c r="K315" s="3" t="s">
        <v>15</v>
      </c>
      <c r="L315" s="3" t="s">
        <v>41</v>
      </c>
      <c r="M315">
        <v>31</v>
      </c>
      <c r="N315" s="3"/>
    </row>
    <row r="316" spans="1:14" x14ac:dyDescent="0.25">
      <c r="A316" s="3" t="s">
        <v>343</v>
      </c>
      <c r="B316">
        <v>1987</v>
      </c>
      <c r="C316">
        <v>1987</v>
      </c>
      <c r="D316" s="3" t="s">
        <v>17</v>
      </c>
      <c r="E316" s="3" t="s">
        <v>17</v>
      </c>
      <c r="F316">
        <v>18</v>
      </c>
      <c r="G316" s="7">
        <v>31946</v>
      </c>
      <c r="H316">
        <v>3</v>
      </c>
      <c r="I316" s="3" t="s">
        <v>8690</v>
      </c>
      <c r="J316" s="3" t="s">
        <v>10</v>
      </c>
      <c r="K316" s="3" t="s">
        <v>11</v>
      </c>
      <c r="L316" s="3" t="s">
        <v>12</v>
      </c>
      <c r="M316">
        <v>39</v>
      </c>
      <c r="N316" s="3"/>
    </row>
    <row r="317" spans="1:14" x14ac:dyDescent="0.25">
      <c r="A317" s="3" t="s">
        <v>344</v>
      </c>
      <c r="B317">
        <v>1991</v>
      </c>
      <c r="C317">
        <v>1991</v>
      </c>
      <c r="D317" s="3" t="s">
        <v>14</v>
      </c>
      <c r="E317" s="3" t="s">
        <v>14</v>
      </c>
      <c r="F317">
        <v>20</v>
      </c>
      <c r="G317" s="7">
        <v>33562</v>
      </c>
      <c r="H317">
        <v>3</v>
      </c>
      <c r="I317" s="3" t="s">
        <v>8691</v>
      </c>
      <c r="J317" s="3" t="s">
        <v>10</v>
      </c>
      <c r="K317" s="3" t="s">
        <v>10</v>
      </c>
      <c r="L317" s="3" t="s">
        <v>12</v>
      </c>
      <c r="M317">
        <v>35</v>
      </c>
      <c r="N317" s="3"/>
    </row>
    <row r="318" spans="1:14" x14ac:dyDescent="0.25">
      <c r="A318" s="3" t="s">
        <v>345</v>
      </c>
      <c r="B318">
        <v>2002</v>
      </c>
      <c r="C318">
        <v>2002</v>
      </c>
      <c r="D318" s="3" t="s">
        <v>29</v>
      </c>
      <c r="E318" s="3" t="s">
        <v>29</v>
      </c>
      <c r="F318">
        <v>15</v>
      </c>
      <c r="G318" s="7">
        <v>37605</v>
      </c>
      <c r="H318">
        <v>0</v>
      </c>
      <c r="I318" s="3" t="s">
        <v>8692</v>
      </c>
      <c r="J318" s="3" t="s">
        <v>10</v>
      </c>
      <c r="K318" s="3" t="s">
        <v>11</v>
      </c>
      <c r="L318" s="3" t="s">
        <v>22</v>
      </c>
      <c r="M318">
        <v>24</v>
      </c>
      <c r="N318" s="3"/>
    </row>
    <row r="319" spans="1:14" x14ac:dyDescent="0.25">
      <c r="A319" s="3" t="s">
        <v>346</v>
      </c>
      <c r="B319">
        <v>1988</v>
      </c>
      <c r="C319">
        <v>1988</v>
      </c>
      <c r="D319" s="3" t="s">
        <v>19</v>
      </c>
      <c r="E319" s="3" t="s">
        <v>19</v>
      </c>
      <c r="F319">
        <v>28</v>
      </c>
      <c r="G319" s="7">
        <v>32414</v>
      </c>
      <c r="H319">
        <v>3</v>
      </c>
      <c r="I319" s="3" t="s">
        <v>8693</v>
      </c>
      <c r="J319" s="3" t="s">
        <v>10</v>
      </c>
      <c r="K319" s="3" t="s">
        <v>10</v>
      </c>
      <c r="L319" s="3" t="s">
        <v>22</v>
      </c>
      <c r="M319">
        <v>38</v>
      </c>
      <c r="N319" s="3"/>
    </row>
    <row r="320" spans="1:14" x14ac:dyDescent="0.25">
      <c r="A320" s="3" t="s">
        <v>347</v>
      </c>
      <c r="B320">
        <v>1997</v>
      </c>
      <c r="C320">
        <v>1997</v>
      </c>
      <c r="D320" s="3" t="s">
        <v>29</v>
      </c>
      <c r="E320" s="3" t="s">
        <v>29</v>
      </c>
      <c r="F320">
        <v>19</v>
      </c>
      <c r="G320" s="7">
        <v>35783</v>
      </c>
      <c r="H320">
        <v>0</v>
      </c>
      <c r="I320" s="3" t="s">
        <v>8694</v>
      </c>
      <c r="J320" s="3" t="s">
        <v>10</v>
      </c>
      <c r="K320" s="3" t="s">
        <v>11</v>
      </c>
      <c r="L320" s="3" t="s">
        <v>22</v>
      </c>
      <c r="M320">
        <v>29</v>
      </c>
      <c r="N320" s="3"/>
    </row>
    <row r="321" spans="1:14" x14ac:dyDescent="0.25">
      <c r="A321" s="3" t="s">
        <v>348</v>
      </c>
      <c r="B321">
        <v>1998</v>
      </c>
      <c r="C321">
        <v>1998</v>
      </c>
      <c r="D321" s="3" t="s">
        <v>19</v>
      </c>
      <c r="E321" s="3" t="s">
        <v>19</v>
      </c>
      <c r="F321">
        <v>15</v>
      </c>
      <c r="G321" s="7">
        <v>36053</v>
      </c>
      <c r="H321">
        <v>0</v>
      </c>
      <c r="I321" s="3" t="s">
        <v>8695</v>
      </c>
      <c r="J321" s="3" t="s">
        <v>10</v>
      </c>
      <c r="K321" s="3" t="s">
        <v>11</v>
      </c>
      <c r="L321" s="3" t="s">
        <v>246</v>
      </c>
      <c r="M321">
        <v>28</v>
      </c>
      <c r="N321" s="3"/>
    </row>
    <row r="322" spans="1:14" x14ac:dyDescent="0.25">
      <c r="A322" s="3" t="s">
        <v>349</v>
      </c>
      <c r="B322">
        <v>1998</v>
      </c>
      <c r="C322">
        <v>1998</v>
      </c>
      <c r="D322" s="3" t="s">
        <v>34</v>
      </c>
      <c r="E322" s="3" t="s">
        <v>34</v>
      </c>
      <c r="F322">
        <v>9</v>
      </c>
      <c r="G322" s="7">
        <v>36016</v>
      </c>
      <c r="H322">
        <v>0</v>
      </c>
      <c r="I322" s="3" t="s">
        <v>8696</v>
      </c>
      <c r="J322" s="3" t="s">
        <v>10</v>
      </c>
      <c r="K322" s="3" t="s">
        <v>15</v>
      </c>
      <c r="L322" s="3" t="s">
        <v>248</v>
      </c>
      <c r="M322">
        <v>28</v>
      </c>
      <c r="N322" s="3"/>
    </row>
    <row r="323" spans="1:14" x14ac:dyDescent="0.25">
      <c r="A323" s="3" t="s">
        <v>350</v>
      </c>
      <c r="B323">
        <v>1997</v>
      </c>
      <c r="C323">
        <v>1997</v>
      </c>
      <c r="D323" s="3" t="s">
        <v>29</v>
      </c>
      <c r="E323" s="3" t="s">
        <v>29</v>
      </c>
      <c r="F323">
        <v>22</v>
      </c>
      <c r="G323" s="7">
        <v>35786</v>
      </c>
      <c r="H323">
        <v>0</v>
      </c>
      <c r="I323" s="3" t="s">
        <v>8697</v>
      </c>
      <c r="J323" s="3" t="s">
        <v>10</v>
      </c>
      <c r="K323" s="3" t="s">
        <v>10</v>
      </c>
      <c r="L323" s="3" t="s">
        <v>41</v>
      </c>
      <c r="M323">
        <v>29</v>
      </c>
      <c r="N323" s="3"/>
    </row>
    <row r="324" spans="1:14" x14ac:dyDescent="0.25">
      <c r="A324" s="3" t="s">
        <v>351</v>
      </c>
      <c r="B324">
        <v>2002</v>
      </c>
      <c r="C324">
        <v>2002</v>
      </c>
      <c r="D324" s="3" t="s">
        <v>17</v>
      </c>
      <c r="E324" s="3" t="s">
        <v>17</v>
      </c>
      <c r="F324">
        <v>21</v>
      </c>
      <c r="G324" s="7">
        <v>37428</v>
      </c>
      <c r="H324">
        <v>2</v>
      </c>
      <c r="I324" s="3" t="s">
        <v>8698</v>
      </c>
      <c r="J324" s="3" t="s">
        <v>10</v>
      </c>
      <c r="K324" s="3" t="s">
        <v>11</v>
      </c>
      <c r="L324" s="3" t="s">
        <v>12</v>
      </c>
      <c r="M324">
        <v>24</v>
      </c>
      <c r="N324" s="3"/>
    </row>
    <row r="325" spans="1:14" x14ac:dyDescent="0.25">
      <c r="A325" s="3" t="s">
        <v>352</v>
      </c>
      <c r="B325">
        <v>1994</v>
      </c>
      <c r="C325">
        <v>1994</v>
      </c>
      <c r="D325" s="3" t="s">
        <v>19</v>
      </c>
      <c r="E325" s="3" t="s">
        <v>19</v>
      </c>
      <c r="F325">
        <v>26</v>
      </c>
      <c r="G325" s="7">
        <v>34603</v>
      </c>
      <c r="H325">
        <v>0</v>
      </c>
      <c r="I325" s="3" t="s">
        <v>8699</v>
      </c>
      <c r="J325" s="3" t="s">
        <v>11</v>
      </c>
      <c r="K325" s="3" t="s">
        <v>15</v>
      </c>
      <c r="L325" s="3" t="s">
        <v>22</v>
      </c>
      <c r="M325">
        <v>32</v>
      </c>
      <c r="N325" s="3"/>
    </row>
    <row r="326" spans="1:14" x14ac:dyDescent="0.25">
      <c r="A326" s="3" t="s">
        <v>353</v>
      </c>
      <c r="B326">
        <v>1989</v>
      </c>
      <c r="C326">
        <v>1989</v>
      </c>
      <c r="D326" s="3" t="s">
        <v>36</v>
      </c>
      <c r="E326" s="3" t="s">
        <v>36</v>
      </c>
      <c r="F326">
        <v>1</v>
      </c>
      <c r="G326" s="7">
        <v>32782</v>
      </c>
      <c r="H326">
        <v>3</v>
      </c>
      <c r="I326" s="3" t="s">
        <v>8700</v>
      </c>
      <c r="J326" s="3" t="s">
        <v>10</v>
      </c>
      <c r="K326" s="3" t="s">
        <v>15</v>
      </c>
      <c r="L326" s="3" t="s">
        <v>22</v>
      </c>
      <c r="M326">
        <v>37</v>
      </c>
      <c r="N326" s="3"/>
    </row>
    <row r="327" spans="1:14" x14ac:dyDescent="0.25">
      <c r="A327" s="3" t="s">
        <v>354</v>
      </c>
      <c r="B327">
        <v>1995</v>
      </c>
      <c r="C327">
        <v>1995</v>
      </c>
      <c r="D327" s="3" t="s">
        <v>19</v>
      </c>
      <c r="E327" s="3" t="s">
        <v>19</v>
      </c>
      <c r="F327">
        <v>10</v>
      </c>
      <c r="G327" s="7">
        <v>34952</v>
      </c>
      <c r="H327">
        <v>0</v>
      </c>
      <c r="I327" s="3" t="s">
        <v>8701</v>
      </c>
      <c r="J327" s="3" t="s">
        <v>11</v>
      </c>
      <c r="K327" s="3" t="s">
        <v>15</v>
      </c>
      <c r="L327" s="3" t="s">
        <v>355</v>
      </c>
      <c r="M327">
        <v>31</v>
      </c>
      <c r="N327" s="3"/>
    </row>
    <row r="328" spans="1:14" x14ac:dyDescent="0.25">
      <c r="A328" s="3" t="s">
        <v>356</v>
      </c>
      <c r="B328">
        <v>2001</v>
      </c>
      <c r="C328">
        <v>2001</v>
      </c>
      <c r="D328" s="3" t="s">
        <v>36</v>
      </c>
      <c r="E328" s="3" t="s">
        <v>36</v>
      </c>
      <c r="F328">
        <v>13</v>
      </c>
      <c r="G328" s="7">
        <v>37177</v>
      </c>
      <c r="H328">
        <v>2</v>
      </c>
      <c r="I328" s="3" t="s">
        <v>8702</v>
      </c>
      <c r="J328" s="3" t="s">
        <v>10</v>
      </c>
      <c r="K328" s="3" t="s">
        <v>15</v>
      </c>
      <c r="L328" s="3" t="s">
        <v>22</v>
      </c>
      <c r="M328">
        <v>25</v>
      </c>
      <c r="N328" s="3"/>
    </row>
    <row r="329" spans="1:14" x14ac:dyDescent="0.25">
      <c r="A329" s="3" t="s">
        <v>357</v>
      </c>
      <c r="B329">
        <v>1987</v>
      </c>
      <c r="C329">
        <v>1987</v>
      </c>
      <c r="D329" s="3" t="s">
        <v>34</v>
      </c>
      <c r="E329" s="3" t="s">
        <v>34</v>
      </c>
      <c r="F329">
        <v>1</v>
      </c>
      <c r="G329" s="7">
        <v>31990</v>
      </c>
      <c r="H329">
        <v>3</v>
      </c>
      <c r="I329" s="3" t="s">
        <v>8703</v>
      </c>
      <c r="J329" s="3" t="s">
        <v>10</v>
      </c>
      <c r="K329" s="3" t="s">
        <v>10</v>
      </c>
      <c r="L329" s="3" t="s">
        <v>12</v>
      </c>
      <c r="M329">
        <v>39</v>
      </c>
      <c r="N329" s="3"/>
    </row>
    <row r="330" spans="1:14" x14ac:dyDescent="0.25">
      <c r="A330" s="3" t="s">
        <v>358</v>
      </c>
      <c r="B330">
        <v>1999</v>
      </c>
      <c r="C330">
        <v>1999</v>
      </c>
      <c r="D330" s="3" t="s">
        <v>17</v>
      </c>
      <c r="E330" s="3" t="s">
        <v>17</v>
      </c>
      <c r="F330">
        <v>25</v>
      </c>
      <c r="G330" s="7">
        <v>36336</v>
      </c>
      <c r="H330">
        <v>0</v>
      </c>
      <c r="I330" s="3" t="s">
        <v>8704</v>
      </c>
      <c r="J330" s="3" t="s">
        <v>10</v>
      </c>
      <c r="K330" s="3" t="s">
        <v>11</v>
      </c>
      <c r="L330" s="3" t="s">
        <v>299</v>
      </c>
      <c r="M330">
        <v>27</v>
      </c>
      <c r="N330" s="3"/>
    </row>
    <row r="331" spans="1:14" x14ac:dyDescent="0.25">
      <c r="A331" s="3" t="s">
        <v>359</v>
      </c>
      <c r="B331">
        <v>1994</v>
      </c>
      <c r="C331">
        <v>1994</v>
      </c>
      <c r="D331" s="3" t="s">
        <v>9</v>
      </c>
      <c r="E331" s="3" t="s">
        <v>9</v>
      </c>
      <c r="F331">
        <v>10</v>
      </c>
      <c r="G331" s="7">
        <v>34525</v>
      </c>
      <c r="H331">
        <v>0</v>
      </c>
      <c r="I331" s="3" t="s">
        <v>8705</v>
      </c>
      <c r="J331" s="3" t="s">
        <v>10</v>
      </c>
      <c r="K331" s="3" t="s">
        <v>15</v>
      </c>
      <c r="L331" s="3" t="s">
        <v>41</v>
      </c>
      <c r="M331">
        <v>32</v>
      </c>
      <c r="N331" s="3"/>
    </row>
    <row r="332" spans="1:14" x14ac:dyDescent="0.25">
      <c r="A332" s="3" t="s">
        <v>360</v>
      </c>
      <c r="B332">
        <v>1993</v>
      </c>
      <c r="C332">
        <v>1993</v>
      </c>
      <c r="D332" s="3" t="s">
        <v>19</v>
      </c>
      <c r="E332" s="3" t="s">
        <v>19</v>
      </c>
      <c r="F332">
        <v>25</v>
      </c>
      <c r="G332" s="7">
        <v>34237</v>
      </c>
      <c r="H332">
        <v>0</v>
      </c>
      <c r="I332" s="3" t="s">
        <v>8706</v>
      </c>
      <c r="J332" s="3" t="s">
        <v>10</v>
      </c>
      <c r="K332" s="3" t="s">
        <v>11</v>
      </c>
      <c r="L332" s="3" t="s">
        <v>12</v>
      </c>
      <c r="M332">
        <v>33</v>
      </c>
      <c r="N332" s="3"/>
    </row>
    <row r="333" spans="1:14" x14ac:dyDescent="0.25">
      <c r="A333" s="3" t="s">
        <v>361</v>
      </c>
      <c r="B333">
        <v>2001</v>
      </c>
      <c r="C333">
        <v>2001</v>
      </c>
      <c r="D333" s="3" t="s">
        <v>34</v>
      </c>
      <c r="E333" s="3" t="s">
        <v>34</v>
      </c>
      <c r="F333">
        <v>29</v>
      </c>
      <c r="G333" s="7">
        <v>37132</v>
      </c>
      <c r="H333">
        <v>1</v>
      </c>
      <c r="I333" s="3" t="s">
        <v>8707</v>
      </c>
      <c r="J333" s="3" t="s">
        <v>10</v>
      </c>
      <c r="K333" s="3" t="s">
        <v>11</v>
      </c>
      <c r="L333" s="3" t="s">
        <v>246</v>
      </c>
      <c r="M333">
        <v>25</v>
      </c>
      <c r="N333" s="3"/>
    </row>
    <row r="334" spans="1:14" x14ac:dyDescent="0.25">
      <c r="A334" s="3" t="s">
        <v>362</v>
      </c>
      <c r="B334">
        <v>1994</v>
      </c>
      <c r="C334">
        <v>1994</v>
      </c>
      <c r="D334" s="3" t="s">
        <v>36</v>
      </c>
      <c r="E334" s="3" t="s">
        <v>36</v>
      </c>
      <c r="F334">
        <v>25</v>
      </c>
      <c r="G334" s="7">
        <v>34632</v>
      </c>
      <c r="H334">
        <v>0</v>
      </c>
      <c r="I334" s="3" t="s">
        <v>8708</v>
      </c>
      <c r="J334" s="3" t="s">
        <v>10</v>
      </c>
      <c r="K334" s="3" t="s">
        <v>11</v>
      </c>
      <c r="L334" s="3" t="s">
        <v>12</v>
      </c>
      <c r="M334">
        <v>32</v>
      </c>
      <c r="N334" s="3"/>
    </row>
    <row r="335" spans="1:14" x14ac:dyDescent="0.25">
      <c r="A335" s="3" t="s">
        <v>363</v>
      </c>
      <c r="B335">
        <v>1994</v>
      </c>
      <c r="C335">
        <v>1994</v>
      </c>
      <c r="D335" s="3" t="s">
        <v>9</v>
      </c>
      <c r="E335" s="3" t="s">
        <v>9</v>
      </c>
      <c r="F335">
        <v>6</v>
      </c>
      <c r="G335" s="7">
        <v>34521</v>
      </c>
      <c r="H335">
        <v>0</v>
      </c>
      <c r="I335" s="3" t="s">
        <v>8709</v>
      </c>
      <c r="J335" s="3" t="s">
        <v>10</v>
      </c>
      <c r="K335" s="3" t="s">
        <v>15</v>
      </c>
      <c r="L335" s="3" t="s">
        <v>41</v>
      </c>
      <c r="M335">
        <v>32</v>
      </c>
      <c r="N335" s="3"/>
    </row>
    <row r="336" spans="1:14" x14ac:dyDescent="0.25">
      <c r="A336" s="3" t="s">
        <v>364</v>
      </c>
      <c r="B336">
        <v>1996</v>
      </c>
      <c r="C336">
        <v>1996</v>
      </c>
      <c r="D336" s="3" t="s">
        <v>34</v>
      </c>
      <c r="E336" s="3" t="s">
        <v>34</v>
      </c>
      <c r="F336">
        <v>14</v>
      </c>
      <c r="G336" s="7">
        <v>35291</v>
      </c>
      <c r="H336">
        <v>0</v>
      </c>
      <c r="I336" s="3" t="s">
        <v>8710</v>
      </c>
      <c r="J336" s="3" t="s">
        <v>10</v>
      </c>
      <c r="K336" s="3" t="s">
        <v>10</v>
      </c>
      <c r="L336" s="3" t="s">
        <v>22</v>
      </c>
      <c r="M336">
        <v>30</v>
      </c>
      <c r="N336" s="3"/>
    </row>
    <row r="337" spans="1:14" x14ac:dyDescent="0.25">
      <c r="A337" s="3" t="s">
        <v>365</v>
      </c>
      <c r="B337">
        <v>1996</v>
      </c>
      <c r="C337">
        <v>1996</v>
      </c>
      <c r="D337" s="3" t="s">
        <v>9</v>
      </c>
      <c r="E337" s="3" t="s">
        <v>9</v>
      </c>
      <c r="F337">
        <v>3</v>
      </c>
      <c r="G337" s="7">
        <v>35249</v>
      </c>
      <c r="H337">
        <v>0</v>
      </c>
      <c r="I337" s="3" t="s">
        <v>8711</v>
      </c>
      <c r="J337" s="3" t="s">
        <v>10</v>
      </c>
      <c r="K337" s="3" t="s">
        <v>15</v>
      </c>
      <c r="L337" s="3" t="s">
        <v>22</v>
      </c>
      <c r="M337">
        <v>30</v>
      </c>
      <c r="N337" s="3"/>
    </row>
    <row r="338" spans="1:14" x14ac:dyDescent="0.25">
      <c r="A338" s="3" t="s">
        <v>366</v>
      </c>
      <c r="B338">
        <v>2000</v>
      </c>
      <c r="C338">
        <v>2000</v>
      </c>
      <c r="D338" s="3" t="s">
        <v>19</v>
      </c>
      <c r="E338" s="3" t="s">
        <v>19</v>
      </c>
      <c r="F338">
        <v>23</v>
      </c>
      <c r="G338" s="7">
        <v>36792</v>
      </c>
      <c r="H338">
        <v>0</v>
      </c>
      <c r="I338" s="3" t="s">
        <v>8712</v>
      </c>
      <c r="J338" s="3" t="s">
        <v>10</v>
      </c>
      <c r="K338" s="3" t="s">
        <v>10</v>
      </c>
      <c r="L338" s="3" t="s">
        <v>22</v>
      </c>
      <c r="M338">
        <v>26</v>
      </c>
      <c r="N338" s="3"/>
    </row>
    <row r="339" spans="1:14" x14ac:dyDescent="0.25">
      <c r="A339" s="3" t="s">
        <v>367</v>
      </c>
      <c r="B339">
        <v>2001</v>
      </c>
      <c r="C339">
        <v>2001</v>
      </c>
      <c r="D339" s="3" t="s">
        <v>19</v>
      </c>
      <c r="E339" s="3" t="s">
        <v>19</v>
      </c>
      <c r="F339">
        <v>2</v>
      </c>
      <c r="G339" s="7">
        <v>37136</v>
      </c>
      <c r="H339">
        <v>2</v>
      </c>
      <c r="I339" s="3" t="s">
        <v>8713</v>
      </c>
      <c r="J339" s="3" t="s">
        <v>10</v>
      </c>
      <c r="K339" s="3" t="s">
        <v>10</v>
      </c>
      <c r="L339" s="3" t="s">
        <v>12</v>
      </c>
      <c r="M339">
        <v>25</v>
      </c>
      <c r="N339" s="3"/>
    </row>
    <row r="340" spans="1:14" x14ac:dyDescent="0.25">
      <c r="A340" s="3" t="s">
        <v>368</v>
      </c>
      <c r="B340">
        <v>1996</v>
      </c>
      <c r="C340">
        <v>1996</v>
      </c>
      <c r="D340" s="3" t="s">
        <v>36</v>
      </c>
      <c r="E340" s="3" t="s">
        <v>36</v>
      </c>
      <c r="F340">
        <v>11</v>
      </c>
      <c r="G340" s="7">
        <v>35349</v>
      </c>
      <c r="H340">
        <v>0</v>
      </c>
      <c r="I340" s="3" t="s">
        <v>8714</v>
      </c>
      <c r="J340" s="3" t="s">
        <v>10</v>
      </c>
      <c r="K340" s="3" t="s">
        <v>11</v>
      </c>
      <c r="L340" s="3" t="s">
        <v>22</v>
      </c>
      <c r="M340">
        <v>30</v>
      </c>
      <c r="N340" s="3"/>
    </row>
    <row r="341" spans="1:14" x14ac:dyDescent="0.25">
      <c r="A341" s="3" t="s">
        <v>369</v>
      </c>
      <c r="B341">
        <v>1997</v>
      </c>
      <c r="C341">
        <v>1997</v>
      </c>
      <c r="D341" s="3" t="s">
        <v>9</v>
      </c>
      <c r="E341" s="3" t="s">
        <v>9</v>
      </c>
      <c r="F341">
        <v>5</v>
      </c>
      <c r="G341" s="7">
        <v>35616</v>
      </c>
      <c r="H341">
        <v>0</v>
      </c>
      <c r="I341" s="3" t="s">
        <v>8715</v>
      </c>
      <c r="J341" s="3" t="s">
        <v>10</v>
      </c>
      <c r="K341" s="3" t="s">
        <v>11</v>
      </c>
      <c r="L341" s="3" t="s">
        <v>246</v>
      </c>
      <c r="M341">
        <v>29</v>
      </c>
      <c r="N341" s="3"/>
    </row>
    <row r="342" spans="1:14" x14ac:dyDescent="0.25">
      <c r="A342" s="3" t="s">
        <v>370</v>
      </c>
      <c r="B342">
        <v>1997</v>
      </c>
      <c r="C342">
        <v>1997</v>
      </c>
      <c r="D342" s="3" t="s">
        <v>29</v>
      </c>
      <c r="E342" s="3" t="s">
        <v>29</v>
      </c>
      <c r="F342">
        <v>22</v>
      </c>
      <c r="G342" s="7">
        <v>35786</v>
      </c>
      <c r="H342">
        <v>1</v>
      </c>
      <c r="I342" s="3" t="s">
        <v>8716</v>
      </c>
      <c r="J342" s="3" t="s">
        <v>10</v>
      </c>
      <c r="K342" s="3" t="s">
        <v>11</v>
      </c>
      <c r="L342" s="3" t="s">
        <v>41</v>
      </c>
      <c r="M342">
        <v>29</v>
      </c>
      <c r="N342" s="3"/>
    </row>
    <row r="343" spans="1:14" x14ac:dyDescent="0.25">
      <c r="A343" s="3" t="s">
        <v>371</v>
      </c>
      <c r="B343">
        <v>1997</v>
      </c>
      <c r="C343">
        <v>1997</v>
      </c>
      <c r="D343" s="3" t="s">
        <v>9</v>
      </c>
      <c r="E343" s="3" t="s">
        <v>9</v>
      </c>
      <c r="F343">
        <v>6</v>
      </c>
      <c r="G343" s="7">
        <v>35617</v>
      </c>
      <c r="H343">
        <v>0</v>
      </c>
      <c r="I343" s="3" t="s">
        <v>8717</v>
      </c>
      <c r="J343" s="3" t="s">
        <v>10</v>
      </c>
      <c r="K343" s="3" t="s">
        <v>10</v>
      </c>
      <c r="L343" s="3" t="s">
        <v>246</v>
      </c>
      <c r="M343">
        <v>29</v>
      </c>
      <c r="N343" s="3"/>
    </row>
    <row r="344" spans="1:14" x14ac:dyDescent="0.25">
      <c r="A344" s="3" t="s">
        <v>372</v>
      </c>
      <c r="B344">
        <v>1997</v>
      </c>
      <c r="C344">
        <v>1997</v>
      </c>
      <c r="D344" s="3" t="s">
        <v>34</v>
      </c>
      <c r="E344" s="3" t="s">
        <v>34</v>
      </c>
      <c r="F344">
        <v>2</v>
      </c>
      <c r="G344" s="7">
        <v>35644</v>
      </c>
      <c r="H344">
        <v>1</v>
      </c>
      <c r="I344" s="3" t="s">
        <v>8718</v>
      </c>
      <c r="J344" s="3" t="s">
        <v>10</v>
      </c>
      <c r="K344" s="3" t="s">
        <v>11</v>
      </c>
      <c r="L344" s="3" t="s">
        <v>12</v>
      </c>
      <c r="M344">
        <v>29</v>
      </c>
      <c r="N344" s="3"/>
    </row>
    <row r="345" spans="1:14" x14ac:dyDescent="0.25">
      <c r="A345" s="3" t="s">
        <v>373</v>
      </c>
      <c r="B345">
        <v>1997</v>
      </c>
      <c r="C345">
        <v>1997</v>
      </c>
      <c r="D345" s="3" t="s">
        <v>19</v>
      </c>
      <c r="E345" s="3" t="s">
        <v>19</v>
      </c>
      <c r="F345">
        <v>2</v>
      </c>
      <c r="G345" s="7">
        <v>35675</v>
      </c>
      <c r="H345">
        <v>1</v>
      </c>
      <c r="I345" s="3" t="s">
        <v>8719</v>
      </c>
      <c r="J345" s="3" t="s">
        <v>10</v>
      </c>
      <c r="K345" s="3" t="s">
        <v>11</v>
      </c>
      <c r="L345" s="3" t="s">
        <v>12</v>
      </c>
      <c r="M345">
        <v>29</v>
      </c>
      <c r="N345" s="3"/>
    </row>
    <row r="346" spans="1:14" x14ac:dyDescent="0.25">
      <c r="A346" s="3" t="s">
        <v>374</v>
      </c>
      <c r="B346">
        <v>1991</v>
      </c>
      <c r="C346">
        <v>1991</v>
      </c>
      <c r="D346" s="3" t="s">
        <v>14</v>
      </c>
      <c r="E346" s="3" t="s">
        <v>14</v>
      </c>
      <c r="F346">
        <v>13</v>
      </c>
      <c r="G346" s="7">
        <v>33555</v>
      </c>
      <c r="H346">
        <v>0</v>
      </c>
      <c r="I346" s="3" t="s">
        <v>8720</v>
      </c>
      <c r="J346" s="3" t="s">
        <v>11</v>
      </c>
      <c r="K346" s="3" t="s">
        <v>10</v>
      </c>
      <c r="L346" s="3" t="s">
        <v>41</v>
      </c>
      <c r="M346">
        <v>35</v>
      </c>
      <c r="N346" s="3"/>
    </row>
    <row r="347" spans="1:14" x14ac:dyDescent="0.25">
      <c r="A347" s="3" t="s">
        <v>375</v>
      </c>
      <c r="B347">
        <v>1994</v>
      </c>
      <c r="C347">
        <v>1994</v>
      </c>
      <c r="D347" s="3" t="s">
        <v>29</v>
      </c>
      <c r="E347" s="3" t="s">
        <v>29</v>
      </c>
      <c r="F347">
        <v>2</v>
      </c>
      <c r="G347" s="7">
        <v>34670</v>
      </c>
      <c r="H347">
        <v>0</v>
      </c>
      <c r="I347" s="3" t="s">
        <v>8721</v>
      </c>
      <c r="J347" s="3" t="s">
        <v>11</v>
      </c>
      <c r="K347" s="3" t="s">
        <v>15</v>
      </c>
      <c r="L347" s="3" t="s">
        <v>167</v>
      </c>
      <c r="M347">
        <v>32</v>
      </c>
      <c r="N347" s="3"/>
    </row>
    <row r="348" spans="1:14" x14ac:dyDescent="0.25">
      <c r="A348" s="3" t="s">
        <v>376</v>
      </c>
      <c r="B348">
        <v>1994</v>
      </c>
      <c r="C348">
        <v>1994</v>
      </c>
      <c r="D348" s="3" t="s">
        <v>9</v>
      </c>
      <c r="E348" s="3" t="s">
        <v>9</v>
      </c>
      <c r="F348">
        <v>1</v>
      </c>
      <c r="G348" s="7">
        <v>34516</v>
      </c>
      <c r="H348">
        <v>1</v>
      </c>
      <c r="I348" s="3" t="s">
        <v>8722</v>
      </c>
      <c r="J348" s="3" t="s">
        <v>10</v>
      </c>
      <c r="K348" s="3" t="s">
        <v>11</v>
      </c>
      <c r="L348" s="3" t="s">
        <v>41</v>
      </c>
      <c r="M348">
        <v>32</v>
      </c>
      <c r="N348" s="3"/>
    </row>
    <row r="349" spans="1:14" x14ac:dyDescent="0.25">
      <c r="A349" s="3" t="s">
        <v>377</v>
      </c>
      <c r="B349">
        <v>2001</v>
      </c>
      <c r="C349">
        <v>2001</v>
      </c>
      <c r="D349" s="3" t="s">
        <v>36</v>
      </c>
      <c r="E349" s="3" t="s">
        <v>36</v>
      </c>
      <c r="F349">
        <v>6</v>
      </c>
      <c r="G349" s="7">
        <v>37170</v>
      </c>
      <c r="H349">
        <v>2</v>
      </c>
      <c r="I349" s="3" t="s">
        <v>8723</v>
      </c>
      <c r="J349" s="3" t="s">
        <v>10</v>
      </c>
      <c r="K349" s="3" t="s">
        <v>15</v>
      </c>
      <c r="L349" s="3" t="s">
        <v>355</v>
      </c>
      <c r="M349">
        <v>25</v>
      </c>
      <c r="N349" s="3"/>
    </row>
    <row r="350" spans="1:14" x14ac:dyDescent="0.25">
      <c r="A350" s="3" t="s">
        <v>378</v>
      </c>
      <c r="B350">
        <v>2003</v>
      </c>
      <c r="C350">
        <v>2003</v>
      </c>
      <c r="D350" s="3" t="s">
        <v>9</v>
      </c>
      <c r="E350" s="3" t="s">
        <v>9</v>
      </c>
      <c r="F350">
        <v>3</v>
      </c>
      <c r="G350" s="7">
        <v>37805</v>
      </c>
      <c r="H350">
        <v>0</v>
      </c>
      <c r="I350" s="3" t="s">
        <v>8724</v>
      </c>
      <c r="J350" s="3" t="s">
        <v>10</v>
      </c>
      <c r="K350" s="3" t="s">
        <v>11</v>
      </c>
      <c r="L350" s="3" t="s">
        <v>41</v>
      </c>
      <c r="M350">
        <v>23</v>
      </c>
      <c r="N350" s="3"/>
    </row>
    <row r="351" spans="1:14" x14ac:dyDescent="0.25">
      <c r="A351" s="3" t="s">
        <v>379</v>
      </c>
      <c r="B351">
        <v>1996</v>
      </c>
      <c r="C351">
        <v>1996</v>
      </c>
      <c r="D351" s="3" t="s">
        <v>14</v>
      </c>
      <c r="E351" s="3" t="s">
        <v>14</v>
      </c>
      <c r="F351">
        <v>17</v>
      </c>
      <c r="G351" s="7">
        <v>35386</v>
      </c>
      <c r="H351">
        <v>1</v>
      </c>
      <c r="I351" s="3" t="s">
        <v>8725</v>
      </c>
      <c r="J351" s="3" t="s">
        <v>10</v>
      </c>
      <c r="K351" s="3" t="s">
        <v>10</v>
      </c>
      <c r="L351" s="3" t="s">
        <v>22</v>
      </c>
      <c r="M351">
        <v>30</v>
      </c>
      <c r="N351" s="3"/>
    </row>
    <row r="352" spans="1:14" x14ac:dyDescent="0.25">
      <c r="A352" s="3" t="s">
        <v>380</v>
      </c>
      <c r="B352">
        <v>2003</v>
      </c>
      <c r="C352">
        <v>2003</v>
      </c>
      <c r="D352" s="3" t="s">
        <v>29</v>
      </c>
      <c r="E352" s="3" t="s">
        <v>29</v>
      </c>
      <c r="F352">
        <v>5</v>
      </c>
      <c r="G352" s="7">
        <v>37960</v>
      </c>
      <c r="H352">
        <v>0</v>
      </c>
      <c r="I352" s="3" t="s">
        <v>8726</v>
      </c>
      <c r="J352" s="3" t="s">
        <v>10</v>
      </c>
      <c r="K352" s="3" t="s">
        <v>10</v>
      </c>
      <c r="L352" s="3" t="s">
        <v>199</v>
      </c>
      <c r="M352">
        <v>23</v>
      </c>
      <c r="N352" s="3"/>
    </row>
    <row r="353" spans="1:14" x14ac:dyDescent="0.25">
      <c r="A353" s="3" t="s">
        <v>381</v>
      </c>
      <c r="B353">
        <v>2003</v>
      </c>
      <c r="C353">
        <v>2003</v>
      </c>
      <c r="D353" s="3" t="s">
        <v>14</v>
      </c>
      <c r="E353" s="3" t="s">
        <v>14</v>
      </c>
      <c r="F353">
        <v>18</v>
      </c>
      <c r="G353" s="7">
        <v>37943</v>
      </c>
      <c r="H353">
        <v>0</v>
      </c>
      <c r="I353" s="3" t="s">
        <v>8727</v>
      </c>
      <c r="J353" s="3" t="s">
        <v>10</v>
      </c>
      <c r="K353" s="3" t="s">
        <v>15</v>
      </c>
      <c r="L353" s="3" t="s">
        <v>299</v>
      </c>
      <c r="M353">
        <v>23</v>
      </c>
      <c r="N353" s="3"/>
    </row>
    <row r="354" spans="1:14" x14ac:dyDescent="0.25">
      <c r="A354" s="3" t="s">
        <v>382</v>
      </c>
      <c r="B354">
        <v>1997</v>
      </c>
      <c r="C354">
        <v>1997</v>
      </c>
      <c r="D354" s="3" t="s">
        <v>17</v>
      </c>
      <c r="E354" s="3" t="s">
        <v>17</v>
      </c>
      <c r="F354">
        <v>20</v>
      </c>
      <c r="G354" s="7">
        <v>35601</v>
      </c>
      <c r="H354">
        <v>1</v>
      </c>
      <c r="I354" s="3" t="s">
        <v>8728</v>
      </c>
      <c r="J354" s="3" t="s">
        <v>11</v>
      </c>
      <c r="K354" s="3" t="s">
        <v>11</v>
      </c>
      <c r="L354" s="3" t="s">
        <v>355</v>
      </c>
      <c r="M354">
        <v>29</v>
      </c>
      <c r="N354" s="3"/>
    </row>
    <row r="355" spans="1:14" x14ac:dyDescent="0.25">
      <c r="A355" s="3" t="s">
        <v>383</v>
      </c>
      <c r="B355">
        <v>1991</v>
      </c>
      <c r="C355">
        <v>1991</v>
      </c>
      <c r="D355" s="3" t="s">
        <v>19</v>
      </c>
      <c r="E355" s="3" t="s">
        <v>19</v>
      </c>
      <c r="F355">
        <v>1</v>
      </c>
      <c r="G355" s="7">
        <v>33482</v>
      </c>
      <c r="H355">
        <v>3</v>
      </c>
      <c r="I355" s="3" t="s">
        <v>8729</v>
      </c>
      <c r="J355" s="3" t="s">
        <v>10</v>
      </c>
      <c r="K355" s="3" t="s">
        <v>15</v>
      </c>
      <c r="L355" s="3" t="s">
        <v>12</v>
      </c>
      <c r="M355">
        <v>35</v>
      </c>
      <c r="N355" s="3"/>
    </row>
    <row r="356" spans="1:14" x14ac:dyDescent="0.25">
      <c r="A356" s="3" t="s">
        <v>384</v>
      </c>
      <c r="B356">
        <v>1993</v>
      </c>
      <c r="C356">
        <v>1993</v>
      </c>
      <c r="D356" s="3" t="s">
        <v>36</v>
      </c>
      <c r="E356" s="3" t="s">
        <v>36</v>
      </c>
      <c r="F356">
        <v>28</v>
      </c>
      <c r="G356" s="7">
        <v>34270</v>
      </c>
      <c r="H356">
        <v>0</v>
      </c>
      <c r="I356" s="3" t="s">
        <v>8730</v>
      </c>
      <c r="J356" s="3" t="s">
        <v>10</v>
      </c>
      <c r="K356" s="3" t="s">
        <v>15</v>
      </c>
      <c r="L356" s="3" t="s">
        <v>41</v>
      </c>
      <c r="M356">
        <v>33</v>
      </c>
      <c r="N356" s="3"/>
    </row>
    <row r="357" spans="1:14" x14ac:dyDescent="0.25">
      <c r="A357" s="3" t="s">
        <v>385</v>
      </c>
      <c r="B357">
        <v>1995</v>
      </c>
      <c r="C357">
        <v>1995</v>
      </c>
      <c r="D357" s="3" t="s">
        <v>17</v>
      </c>
      <c r="E357" s="3" t="s">
        <v>17</v>
      </c>
      <c r="F357">
        <v>23</v>
      </c>
      <c r="G357" s="7">
        <v>34873</v>
      </c>
      <c r="H357">
        <v>0</v>
      </c>
      <c r="I357" s="3" t="s">
        <v>8731</v>
      </c>
      <c r="J357" s="3" t="s">
        <v>10</v>
      </c>
      <c r="K357" s="3" t="s">
        <v>11</v>
      </c>
      <c r="L357" s="3" t="s">
        <v>22</v>
      </c>
      <c r="M357">
        <v>31</v>
      </c>
      <c r="N357" s="3"/>
    </row>
    <row r="358" spans="1:14" x14ac:dyDescent="0.25">
      <c r="A358" s="3" t="s">
        <v>386</v>
      </c>
      <c r="B358">
        <v>1993</v>
      </c>
      <c r="C358">
        <v>1993</v>
      </c>
      <c r="D358" s="3" t="s">
        <v>36</v>
      </c>
      <c r="E358" s="3" t="s">
        <v>36</v>
      </c>
      <c r="F358">
        <v>7</v>
      </c>
      <c r="G358" s="7">
        <v>34249</v>
      </c>
      <c r="H358">
        <v>0</v>
      </c>
      <c r="I358" s="3" t="s">
        <v>8732</v>
      </c>
      <c r="J358" s="3" t="s">
        <v>10</v>
      </c>
      <c r="K358" s="3" t="s">
        <v>10</v>
      </c>
      <c r="L358" s="3" t="s">
        <v>12</v>
      </c>
      <c r="M358">
        <v>33</v>
      </c>
      <c r="N358" s="3"/>
    </row>
    <row r="359" spans="1:14" x14ac:dyDescent="0.25">
      <c r="A359" s="3" t="s">
        <v>387</v>
      </c>
      <c r="B359">
        <v>1996</v>
      </c>
      <c r="C359">
        <v>1996</v>
      </c>
      <c r="D359" s="3" t="s">
        <v>29</v>
      </c>
      <c r="E359" s="3" t="s">
        <v>29</v>
      </c>
      <c r="F359">
        <v>14</v>
      </c>
      <c r="G359" s="7">
        <v>35413</v>
      </c>
      <c r="H359">
        <v>1</v>
      </c>
      <c r="I359" s="3" t="s">
        <v>8733</v>
      </c>
      <c r="J359" s="3" t="s">
        <v>10</v>
      </c>
      <c r="K359" s="3" t="s">
        <v>15</v>
      </c>
      <c r="L359" s="3" t="s">
        <v>41</v>
      </c>
      <c r="M359">
        <v>30</v>
      </c>
      <c r="N359" s="3"/>
    </row>
    <row r="360" spans="1:14" x14ac:dyDescent="0.25">
      <c r="A360" s="3" t="s">
        <v>388</v>
      </c>
      <c r="B360">
        <v>1996</v>
      </c>
      <c r="C360">
        <v>1996</v>
      </c>
      <c r="D360" s="3" t="s">
        <v>14</v>
      </c>
      <c r="E360" s="3" t="s">
        <v>14</v>
      </c>
      <c r="F360">
        <v>13</v>
      </c>
      <c r="G360" s="7">
        <v>35382</v>
      </c>
      <c r="H360">
        <v>0</v>
      </c>
      <c r="I360" s="3" t="s">
        <v>8734</v>
      </c>
      <c r="J360" s="3" t="s">
        <v>10</v>
      </c>
      <c r="K360" s="3" t="s">
        <v>10</v>
      </c>
      <c r="L360" s="3" t="s">
        <v>246</v>
      </c>
      <c r="M360">
        <v>30</v>
      </c>
      <c r="N360" s="3"/>
    </row>
    <row r="361" spans="1:14" x14ac:dyDescent="0.25">
      <c r="A361" s="3" t="s">
        <v>389</v>
      </c>
      <c r="B361">
        <v>1996</v>
      </c>
      <c r="C361">
        <v>1996</v>
      </c>
      <c r="D361" s="3" t="s">
        <v>34</v>
      </c>
      <c r="E361" s="3" t="s">
        <v>34</v>
      </c>
      <c r="F361">
        <v>10</v>
      </c>
      <c r="G361" s="7">
        <v>35287</v>
      </c>
      <c r="H361">
        <v>1</v>
      </c>
      <c r="I361" s="3" t="s">
        <v>8735</v>
      </c>
      <c r="J361" s="3" t="s">
        <v>10</v>
      </c>
      <c r="K361" s="3" t="s">
        <v>11</v>
      </c>
      <c r="L361" s="3" t="s">
        <v>12</v>
      </c>
      <c r="M361">
        <v>30</v>
      </c>
      <c r="N361" s="3"/>
    </row>
    <row r="362" spans="1:14" x14ac:dyDescent="0.25">
      <c r="A362" s="3" t="s">
        <v>390</v>
      </c>
      <c r="B362">
        <v>1996</v>
      </c>
      <c r="C362">
        <v>1996</v>
      </c>
      <c r="D362" s="3" t="s">
        <v>36</v>
      </c>
      <c r="E362" s="3" t="s">
        <v>36</v>
      </c>
      <c r="F362">
        <v>27</v>
      </c>
      <c r="G362" s="7">
        <v>35365</v>
      </c>
      <c r="H362">
        <v>1</v>
      </c>
      <c r="I362" s="3" t="s">
        <v>8736</v>
      </c>
      <c r="J362" s="3" t="s">
        <v>10</v>
      </c>
      <c r="K362" s="3" t="s">
        <v>11</v>
      </c>
      <c r="L362" s="3" t="s">
        <v>12</v>
      </c>
      <c r="M362">
        <v>30</v>
      </c>
      <c r="N362" s="3"/>
    </row>
    <row r="363" spans="1:14" x14ac:dyDescent="0.25">
      <c r="A363" s="3" t="s">
        <v>391</v>
      </c>
      <c r="B363">
        <v>2004</v>
      </c>
      <c r="C363">
        <v>2004</v>
      </c>
      <c r="D363" s="3" t="s">
        <v>9</v>
      </c>
      <c r="E363" s="3" t="s">
        <v>9</v>
      </c>
      <c r="F363">
        <v>16</v>
      </c>
      <c r="G363" s="7">
        <v>38184</v>
      </c>
      <c r="H363">
        <v>2</v>
      </c>
      <c r="I363" s="3" t="s">
        <v>8737</v>
      </c>
      <c r="J363" s="3" t="s">
        <v>10</v>
      </c>
      <c r="K363" s="3" t="s">
        <v>10</v>
      </c>
      <c r="L363" s="3" t="s">
        <v>248</v>
      </c>
      <c r="M363">
        <v>22</v>
      </c>
      <c r="N363" s="3"/>
    </row>
    <row r="364" spans="1:14" x14ac:dyDescent="0.25">
      <c r="A364" s="3" t="s">
        <v>392</v>
      </c>
      <c r="B364">
        <v>1996</v>
      </c>
      <c r="C364">
        <v>1996</v>
      </c>
      <c r="D364" s="3" t="s">
        <v>29</v>
      </c>
      <c r="E364" s="3" t="s">
        <v>29</v>
      </c>
      <c r="F364">
        <v>19</v>
      </c>
      <c r="G364" s="7">
        <v>35418</v>
      </c>
      <c r="H364">
        <v>1</v>
      </c>
      <c r="I364" s="3" t="s">
        <v>8738</v>
      </c>
      <c r="J364" s="3" t="s">
        <v>10</v>
      </c>
      <c r="K364" s="3" t="s">
        <v>10</v>
      </c>
      <c r="L364" s="3" t="s">
        <v>41</v>
      </c>
      <c r="M364">
        <v>30</v>
      </c>
      <c r="N364" s="3"/>
    </row>
    <row r="365" spans="1:14" x14ac:dyDescent="0.25">
      <c r="A365" s="3" t="s">
        <v>393</v>
      </c>
      <c r="B365">
        <v>2001</v>
      </c>
      <c r="C365">
        <v>2001</v>
      </c>
      <c r="D365" s="3" t="s">
        <v>29</v>
      </c>
      <c r="E365" s="3" t="s">
        <v>29</v>
      </c>
      <c r="F365">
        <v>26</v>
      </c>
      <c r="G365" s="7">
        <v>37251</v>
      </c>
      <c r="H365">
        <v>0</v>
      </c>
      <c r="I365" s="3" t="s">
        <v>8739</v>
      </c>
      <c r="J365" s="3" t="s">
        <v>10</v>
      </c>
      <c r="K365" s="3" t="s">
        <v>10</v>
      </c>
      <c r="L365" s="3" t="s">
        <v>41</v>
      </c>
      <c r="M365">
        <v>25</v>
      </c>
      <c r="N365" s="3"/>
    </row>
    <row r="366" spans="1:14" x14ac:dyDescent="0.25">
      <c r="A366" s="3" t="s">
        <v>394</v>
      </c>
      <c r="B366">
        <v>1986</v>
      </c>
      <c r="C366">
        <v>1986</v>
      </c>
      <c r="D366" s="3" t="s">
        <v>34</v>
      </c>
      <c r="E366" s="3" t="s">
        <v>34</v>
      </c>
      <c r="F366">
        <v>27</v>
      </c>
      <c r="G366" s="7">
        <v>31651</v>
      </c>
      <c r="H366">
        <v>3</v>
      </c>
      <c r="I366" s="3" t="s">
        <v>8740</v>
      </c>
      <c r="J366" s="3" t="s">
        <v>10</v>
      </c>
      <c r="K366" s="3" t="s">
        <v>15</v>
      </c>
      <c r="L366" s="3" t="s">
        <v>12</v>
      </c>
      <c r="M366">
        <v>40</v>
      </c>
      <c r="N366" s="3"/>
    </row>
    <row r="367" spans="1:14" x14ac:dyDescent="0.25">
      <c r="A367" s="3" t="s">
        <v>395</v>
      </c>
      <c r="B367">
        <v>2000</v>
      </c>
      <c r="C367">
        <v>2000</v>
      </c>
      <c r="D367" s="3" t="s">
        <v>17</v>
      </c>
      <c r="E367" s="3" t="s">
        <v>17</v>
      </c>
      <c r="F367">
        <v>20</v>
      </c>
      <c r="G367" s="7">
        <v>36697</v>
      </c>
      <c r="H367">
        <v>3</v>
      </c>
      <c r="I367" s="3" t="s">
        <v>8741</v>
      </c>
      <c r="J367" s="3" t="s">
        <v>10</v>
      </c>
      <c r="K367" s="3" t="s">
        <v>15</v>
      </c>
      <c r="L367" s="3" t="s">
        <v>41</v>
      </c>
      <c r="M367">
        <v>26</v>
      </c>
      <c r="N367" s="3"/>
    </row>
    <row r="368" spans="1:14" x14ac:dyDescent="0.25">
      <c r="A368" s="3" t="s">
        <v>396</v>
      </c>
      <c r="B368">
        <v>1987</v>
      </c>
      <c r="C368">
        <v>1987</v>
      </c>
      <c r="D368" s="3" t="s">
        <v>19</v>
      </c>
      <c r="E368" s="3" t="s">
        <v>19</v>
      </c>
      <c r="F368">
        <v>14</v>
      </c>
      <c r="G368" s="7">
        <v>32034</v>
      </c>
      <c r="H368">
        <v>3</v>
      </c>
      <c r="I368" s="3" t="s">
        <v>8742</v>
      </c>
      <c r="J368" s="3" t="s">
        <v>10</v>
      </c>
      <c r="K368" s="3" t="s">
        <v>15</v>
      </c>
      <c r="L368" s="3" t="s">
        <v>41</v>
      </c>
      <c r="M368">
        <v>39</v>
      </c>
      <c r="N368" s="3"/>
    </row>
    <row r="369" spans="1:14" x14ac:dyDescent="0.25">
      <c r="A369" s="3" t="s">
        <v>397</v>
      </c>
      <c r="B369">
        <v>2003</v>
      </c>
      <c r="C369">
        <v>2003</v>
      </c>
      <c r="D369" s="3" t="s">
        <v>9</v>
      </c>
      <c r="E369" s="3" t="s">
        <v>9</v>
      </c>
      <c r="F369">
        <v>29</v>
      </c>
      <c r="G369" s="7">
        <v>37831</v>
      </c>
      <c r="H369">
        <v>0</v>
      </c>
      <c r="I369" s="3" t="s">
        <v>8743</v>
      </c>
      <c r="J369" s="3" t="s">
        <v>10</v>
      </c>
      <c r="K369" s="3" t="s">
        <v>15</v>
      </c>
      <c r="L369" s="3" t="s">
        <v>199</v>
      </c>
      <c r="M369">
        <v>23</v>
      </c>
      <c r="N369" s="3"/>
    </row>
    <row r="370" spans="1:14" x14ac:dyDescent="0.25">
      <c r="A370" s="3" t="s">
        <v>398</v>
      </c>
      <c r="B370">
        <v>1993</v>
      </c>
      <c r="C370">
        <v>1993</v>
      </c>
      <c r="D370" s="3" t="s">
        <v>36</v>
      </c>
      <c r="E370" s="3" t="s">
        <v>36</v>
      </c>
      <c r="F370">
        <v>12</v>
      </c>
      <c r="G370" s="7">
        <v>34254</v>
      </c>
      <c r="H370">
        <v>1</v>
      </c>
      <c r="I370" s="3" t="s">
        <v>8744</v>
      </c>
      <c r="J370" s="3" t="s">
        <v>10</v>
      </c>
      <c r="K370" s="3" t="s">
        <v>10</v>
      </c>
      <c r="L370" s="3" t="s">
        <v>12</v>
      </c>
      <c r="M370">
        <v>33</v>
      </c>
      <c r="N370" s="3"/>
    </row>
    <row r="371" spans="1:14" x14ac:dyDescent="0.25">
      <c r="A371" s="3" t="s">
        <v>399</v>
      </c>
      <c r="B371">
        <v>2004</v>
      </c>
      <c r="C371">
        <v>2004</v>
      </c>
      <c r="D371" s="3" t="s">
        <v>17</v>
      </c>
      <c r="E371" s="3" t="s">
        <v>17</v>
      </c>
      <c r="F371">
        <v>26</v>
      </c>
      <c r="G371" s="7">
        <v>38164</v>
      </c>
      <c r="H371">
        <v>3</v>
      </c>
      <c r="I371" s="3" t="s">
        <v>8745</v>
      </c>
      <c r="J371" s="3" t="s">
        <v>10</v>
      </c>
      <c r="K371" s="3" t="s">
        <v>11</v>
      </c>
      <c r="L371" s="3" t="s">
        <v>167</v>
      </c>
      <c r="M371">
        <v>22</v>
      </c>
      <c r="N371" s="3"/>
    </row>
    <row r="372" spans="1:14" x14ac:dyDescent="0.25">
      <c r="A372" s="3" t="s">
        <v>400</v>
      </c>
      <c r="B372">
        <v>1996</v>
      </c>
      <c r="C372">
        <v>1996</v>
      </c>
      <c r="D372" s="3" t="s">
        <v>19</v>
      </c>
      <c r="E372" s="3" t="s">
        <v>19</v>
      </c>
      <c r="F372">
        <v>19</v>
      </c>
      <c r="G372" s="7">
        <v>35327</v>
      </c>
      <c r="H372">
        <v>2</v>
      </c>
      <c r="I372" s="3" t="s">
        <v>8746</v>
      </c>
      <c r="J372" s="3" t="s">
        <v>11</v>
      </c>
      <c r="K372" s="3" t="s">
        <v>11</v>
      </c>
      <c r="L372" s="3" t="s">
        <v>41</v>
      </c>
      <c r="M372">
        <v>30</v>
      </c>
      <c r="N372" s="3"/>
    </row>
    <row r="373" spans="1:14" x14ac:dyDescent="0.25">
      <c r="A373" s="3" t="s">
        <v>401</v>
      </c>
      <c r="B373">
        <v>1996</v>
      </c>
      <c r="C373">
        <v>1996</v>
      </c>
      <c r="D373" s="3" t="s">
        <v>19</v>
      </c>
      <c r="E373" s="3" t="s">
        <v>19</v>
      </c>
      <c r="F373">
        <v>18</v>
      </c>
      <c r="G373" s="7">
        <v>35326</v>
      </c>
      <c r="H373">
        <v>1</v>
      </c>
      <c r="I373" s="3" t="s">
        <v>8747</v>
      </c>
      <c r="J373" s="3" t="s">
        <v>15</v>
      </c>
      <c r="K373" s="3" t="s">
        <v>10</v>
      </c>
      <c r="L373" s="3" t="s">
        <v>163</v>
      </c>
      <c r="M373">
        <v>30</v>
      </c>
      <c r="N373" s="3"/>
    </row>
    <row r="374" spans="1:14" x14ac:dyDescent="0.25">
      <c r="A374" s="3" t="s">
        <v>402</v>
      </c>
      <c r="B374">
        <v>1999</v>
      </c>
      <c r="C374">
        <v>1999</v>
      </c>
      <c r="D374" s="3" t="s">
        <v>19</v>
      </c>
      <c r="E374" s="3" t="s">
        <v>19</v>
      </c>
      <c r="F374">
        <v>22</v>
      </c>
      <c r="G374" s="7">
        <v>36425</v>
      </c>
      <c r="H374">
        <v>2</v>
      </c>
      <c r="I374" s="3" t="s">
        <v>8748</v>
      </c>
      <c r="J374" s="3" t="s">
        <v>10</v>
      </c>
      <c r="K374" s="3" t="s">
        <v>10</v>
      </c>
      <c r="L374" s="3" t="s">
        <v>12</v>
      </c>
      <c r="M374">
        <v>27</v>
      </c>
      <c r="N374" s="3"/>
    </row>
    <row r="375" spans="1:14" x14ac:dyDescent="0.25">
      <c r="A375" s="3" t="s">
        <v>403</v>
      </c>
      <c r="B375">
        <v>1998</v>
      </c>
      <c r="C375">
        <v>1998</v>
      </c>
      <c r="D375" s="3" t="s">
        <v>19</v>
      </c>
      <c r="E375" s="3" t="s">
        <v>19</v>
      </c>
      <c r="F375">
        <v>16</v>
      </c>
      <c r="G375" s="7">
        <v>36054</v>
      </c>
      <c r="H375">
        <v>2</v>
      </c>
      <c r="I375" s="3" t="s">
        <v>8749</v>
      </c>
      <c r="J375" s="3" t="s">
        <v>11</v>
      </c>
      <c r="K375" s="3" t="s">
        <v>11</v>
      </c>
      <c r="L375" s="3" t="s">
        <v>22</v>
      </c>
      <c r="M375">
        <v>28</v>
      </c>
      <c r="N375" s="3"/>
    </row>
    <row r="376" spans="1:14" x14ac:dyDescent="0.25">
      <c r="A376" s="3" t="s">
        <v>404</v>
      </c>
      <c r="B376">
        <v>2003</v>
      </c>
      <c r="C376">
        <v>2003</v>
      </c>
      <c r="D376" s="3" t="s">
        <v>34</v>
      </c>
      <c r="E376" s="3" t="s">
        <v>34</v>
      </c>
      <c r="F376">
        <v>24</v>
      </c>
      <c r="G376" s="7">
        <v>37857</v>
      </c>
      <c r="H376">
        <v>0</v>
      </c>
      <c r="I376" s="3" t="s">
        <v>8750</v>
      </c>
      <c r="J376" s="3" t="s">
        <v>10</v>
      </c>
      <c r="K376" s="3" t="s">
        <v>10</v>
      </c>
      <c r="L376" s="3" t="s">
        <v>22</v>
      </c>
      <c r="M376">
        <v>23</v>
      </c>
      <c r="N376" s="3"/>
    </row>
    <row r="377" spans="1:14" x14ac:dyDescent="0.25">
      <c r="A377" s="3" t="s">
        <v>405</v>
      </c>
      <c r="B377">
        <v>1988</v>
      </c>
      <c r="C377">
        <v>1988</v>
      </c>
      <c r="D377" s="3" t="s">
        <v>36</v>
      </c>
      <c r="E377" s="3" t="s">
        <v>36</v>
      </c>
      <c r="F377">
        <v>15</v>
      </c>
      <c r="G377" s="7">
        <v>32431</v>
      </c>
      <c r="H377">
        <v>3</v>
      </c>
      <c r="I377" s="3" t="s">
        <v>8751</v>
      </c>
      <c r="J377" s="3" t="s">
        <v>10</v>
      </c>
      <c r="K377" s="3" t="s">
        <v>15</v>
      </c>
      <c r="L377" s="3" t="s">
        <v>12</v>
      </c>
      <c r="M377">
        <v>38</v>
      </c>
      <c r="N377" s="3"/>
    </row>
    <row r="378" spans="1:14" x14ac:dyDescent="0.25">
      <c r="A378" s="3" t="s">
        <v>406</v>
      </c>
      <c r="B378">
        <v>1992</v>
      </c>
      <c r="C378">
        <v>1992</v>
      </c>
      <c r="D378" s="3" t="s">
        <v>29</v>
      </c>
      <c r="E378" s="3" t="s">
        <v>29</v>
      </c>
      <c r="F378">
        <v>22</v>
      </c>
      <c r="G378" s="7">
        <v>33960</v>
      </c>
      <c r="H378">
        <v>0</v>
      </c>
      <c r="I378" s="3" t="s">
        <v>8752</v>
      </c>
      <c r="J378" s="3" t="s">
        <v>10</v>
      </c>
      <c r="K378" s="3" t="s">
        <v>11</v>
      </c>
      <c r="L378" s="3" t="s">
        <v>41</v>
      </c>
      <c r="M378">
        <v>34</v>
      </c>
      <c r="N378" s="3"/>
    </row>
    <row r="379" spans="1:14" x14ac:dyDescent="0.25">
      <c r="A379" s="3" t="s">
        <v>407</v>
      </c>
      <c r="B379">
        <v>1994</v>
      </c>
      <c r="C379">
        <v>1994</v>
      </c>
      <c r="D379" s="3" t="s">
        <v>19</v>
      </c>
      <c r="E379" s="3" t="s">
        <v>19</v>
      </c>
      <c r="F379">
        <v>24</v>
      </c>
      <c r="G379" s="7">
        <v>34601</v>
      </c>
      <c r="H379">
        <v>0</v>
      </c>
      <c r="I379" s="3" t="s">
        <v>8753</v>
      </c>
      <c r="J379" s="3" t="s">
        <v>10</v>
      </c>
      <c r="K379" s="3" t="s">
        <v>11</v>
      </c>
      <c r="L379" s="3" t="s">
        <v>22</v>
      </c>
      <c r="M379">
        <v>32</v>
      </c>
      <c r="N379" s="3"/>
    </row>
    <row r="380" spans="1:14" x14ac:dyDescent="0.25">
      <c r="A380" s="3" t="s">
        <v>408</v>
      </c>
      <c r="B380">
        <v>1995</v>
      </c>
      <c r="C380">
        <v>1995</v>
      </c>
      <c r="D380" s="3" t="s">
        <v>36</v>
      </c>
      <c r="E380" s="3" t="s">
        <v>36</v>
      </c>
      <c r="F380">
        <v>9</v>
      </c>
      <c r="G380" s="7">
        <v>34981</v>
      </c>
      <c r="H380">
        <v>0</v>
      </c>
      <c r="I380" s="3" t="s">
        <v>8754</v>
      </c>
      <c r="J380" s="3" t="s">
        <v>10</v>
      </c>
      <c r="K380" s="3" t="s">
        <v>11</v>
      </c>
      <c r="L380" s="3" t="s">
        <v>246</v>
      </c>
      <c r="M380">
        <v>31</v>
      </c>
      <c r="N380" s="3"/>
    </row>
    <row r="381" spans="1:14" x14ac:dyDescent="0.25">
      <c r="A381" s="3" t="s">
        <v>409</v>
      </c>
      <c r="B381">
        <v>1995</v>
      </c>
      <c r="C381">
        <v>1995</v>
      </c>
      <c r="D381" s="3" t="s">
        <v>17</v>
      </c>
      <c r="E381" s="3" t="s">
        <v>17</v>
      </c>
      <c r="F381">
        <v>16</v>
      </c>
      <c r="G381" s="7">
        <v>34866</v>
      </c>
      <c r="H381">
        <v>1</v>
      </c>
      <c r="I381" s="3" t="s">
        <v>8755</v>
      </c>
      <c r="J381" s="3" t="s">
        <v>10</v>
      </c>
      <c r="K381" s="3" t="s">
        <v>15</v>
      </c>
      <c r="L381" s="3" t="s">
        <v>12</v>
      </c>
      <c r="M381">
        <v>31</v>
      </c>
      <c r="N381" s="3"/>
    </row>
    <row r="382" spans="1:14" x14ac:dyDescent="0.25">
      <c r="A382" s="3" t="s">
        <v>410</v>
      </c>
      <c r="B382">
        <v>1981</v>
      </c>
      <c r="C382">
        <v>1981</v>
      </c>
      <c r="D382" s="3" t="s">
        <v>36</v>
      </c>
      <c r="E382" s="3" t="s">
        <v>36</v>
      </c>
      <c r="F382">
        <v>10</v>
      </c>
      <c r="G382" s="7">
        <v>29869</v>
      </c>
      <c r="H382">
        <v>1</v>
      </c>
      <c r="I382" s="3" t="s">
        <v>8756</v>
      </c>
      <c r="J382" s="3" t="s">
        <v>10</v>
      </c>
      <c r="K382" s="3" t="s">
        <v>15</v>
      </c>
      <c r="L382" s="3" t="s">
        <v>12</v>
      </c>
      <c r="M382">
        <v>45</v>
      </c>
      <c r="N382" s="3"/>
    </row>
    <row r="383" spans="1:14" x14ac:dyDescent="0.25">
      <c r="A383" s="3" t="s">
        <v>411</v>
      </c>
      <c r="B383">
        <v>1988</v>
      </c>
      <c r="C383">
        <v>1988</v>
      </c>
      <c r="D383" s="3" t="s">
        <v>34</v>
      </c>
      <c r="E383" s="3" t="s">
        <v>34</v>
      </c>
      <c r="F383">
        <v>18</v>
      </c>
      <c r="G383" s="7">
        <v>32373</v>
      </c>
      <c r="H383">
        <v>3</v>
      </c>
      <c r="I383" s="3" t="s">
        <v>8757</v>
      </c>
      <c r="J383" s="3" t="s">
        <v>10</v>
      </c>
      <c r="K383" s="3" t="s">
        <v>15</v>
      </c>
      <c r="L383" s="3" t="s">
        <v>22</v>
      </c>
      <c r="M383">
        <v>38</v>
      </c>
      <c r="N383" s="3"/>
    </row>
    <row r="384" spans="1:14" x14ac:dyDescent="0.25">
      <c r="A384" s="3" t="s">
        <v>412</v>
      </c>
      <c r="B384">
        <v>1995</v>
      </c>
      <c r="C384">
        <v>1995</v>
      </c>
      <c r="D384" s="3" t="s">
        <v>34</v>
      </c>
      <c r="E384" s="3" t="s">
        <v>34</v>
      </c>
      <c r="F384">
        <v>23</v>
      </c>
      <c r="G384" s="7">
        <v>34934</v>
      </c>
      <c r="H384">
        <v>1</v>
      </c>
      <c r="I384" s="3" t="s">
        <v>8758</v>
      </c>
      <c r="J384" s="3" t="s">
        <v>10</v>
      </c>
      <c r="K384" s="3" t="s">
        <v>11</v>
      </c>
      <c r="L384" s="3" t="s">
        <v>41</v>
      </c>
      <c r="M384">
        <v>31</v>
      </c>
      <c r="N384" s="3"/>
    </row>
    <row r="385" spans="1:14" x14ac:dyDescent="0.25">
      <c r="A385" s="3" t="s">
        <v>413</v>
      </c>
      <c r="B385">
        <v>2001</v>
      </c>
      <c r="C385">
        <v>2001</v>
      </c>
      <c r="D385" s="3" t="s">
        <v>14</v>
      </c>
      <c r="E385" s="3" t="s">
        <v>14</v>
      </c>
      <c r="F385">
        <v>11</v>
      </c>
      <c r="G385" s="7">
        <v>37206</v>
      </c>
      <c r="H385">
        <v>2</v>
      </c>
      <c r="I385" s="3" t="s">
        <v>8759</v>
      </c>
      <c r="J385" s="3" t="s">
        <v>10</v>
      </c>
      <c r="K385" s="3" t="s">
        <v>10</v>
      </c>
      <c r="L385" s="3" t="s">
        <v>22</v>
      </c>
      <c r="M385">
        <v>25</v>
      </c>
      <c r="N385" s="3"/>
    </row>
    <row r="386" spans="1:14" x14ac:dyDescent="0.25">
      <c r="A386" s="3" t="s">
        <v>414</v>
      </c>
      <c r="B386">
        <v>1986</v>
      </c>
      <c r="C386">
        <v>1986</v>
      </c>
      <c r="D386" s="3" t="s">
        <v>29</v>
      </c>
      <c r="E386" s="3" t="s">
        <v>29</v>
      </c>
      <c r="F386">
        <v>27</v>
      </c>
      <c r="G386" s="7">
        <v>31773</v>
      </c>
      <c r="H386">
        <v>3</v>
      </c>
      <c r="I386" s="3" t="s">
        <v>8760</v>
      </c>
      <c r="J386" s="3" t="s">
        <v>10</v>
      </c>
      <c r="K386" s="3" t="s">
        <v>10</v>
      </c>
      <c r="L386" s="3" t="s">
        <v>12</v>
      </c>
      <c r="M386">
        <v>40</v>
      </c>
      <c r="N386" s="3"/>
    </row>
    <row r="387" spans="1:14" x14ac:dyDescent="0.25">
      <c r="A387" s="3" t="s">
        <v>415</v>
      </c>
      <c r="B387">
        <v>1999</v>
      </c>
      <c r="C387">
        <v>1999</v>
      </c>
      <c r="D387" s="3" t="s">
        <v>17</v>
      </c>
      <c r="E387" s="3" t="s">
        <v>17</v>
      </c>
      <c r="F387">
        <v>6</v>
      </c>
      <c r="G387" s="7">
        <v>36317</v>
      </c>
      <c r="H387">
        <v>3</v>
      </c>
      <c r="I387" s="3" t="s">
        <v>8761</v>
      </c>
      <c r="J387" s="3" t="s">
        <v>10</v>
      </c>
      <c r="K387" s="3" t="s">
        <v>11</v>
      </c>
      <c r="L387" s="3" t="s">
        <v>41</v>
      </c>
      <c r="M387">
        <v>27</v>
      </c>
      <c r="N387" s="3"/>
    </row>
    <row r="388" spans="1:14" x14ac:dyDescent="0.25">
      <c r="A388" s="3" t="s">
        <v>416</v>
      </c>
      <c r="B388">
        <v>1997</v>
      </c>
      <c r="C388">
        <v>1997</v>
      </c>
      <c r="D388" s="3" t="s">
        <v>14</v>
      </c>
      <c r="E388" s="3" t="s">
        <v>14</v>
      </c>
      <c r="F388">
        <v>4</v>
      </c>
      <c r="G388" s="7">
        <v>35738</v>
      </c>
      <c r="H388">
        <v>1</v>
      </c>
      <c r="I388" s="3" t="s">
        <v>8762</v>
      </c>
      <c r="J388" s="3" t="s">
        <v>10</v>
      </c>
      <c r="K388" s="3" t="s">
        <v>10</v>
      </c>
      <c r="L388" s="3" t="s">
        <v>22</v>
      </c>
      <c r="M388">
        <v>29</v>
      </c>
      <c r="N388" s="3"/>
    </row>
    <row r="389" spans="1:14" x14ac:dyDescent="0.25">
      <c r="A389" s="3" t="s">
        <v>417</v>
      </c>
      <c r="B389">
        <v>1999</v>
      </c>
      <c r="C389">
        <v>1999</v>
      </c>
      <c r="D389" s="3" t="s">
        <v>34</v>
      </c>
      <c r="E389" s="3" t="s">
        <v>34</v>
      </c>
      <c r="F389">
        <v>12</v>
      </c>
      <c r="G389" s="7">
        <v>36384</v>
      </c>
      <c r="H389">
        <v>3</v>
      </c>
      <c r="I389" s="3" t="s">
        <v>8763</v>
      </c>
      <c r="J389" s="3" t="s">
        <v>10</v>
      </c>
      <c r="K389" s="3" t="s">
        <v>10</v>
      </c>
      <c r="L389" s="3" t="s">
        <v>41</v>
      </c>
      <c r="M389">
        <v>27</v>
      </c>
      <c r="N389" s="3"/>
    </row>
    <row r="390" spans="1:14" x14ac:dyDescent="0.25">
      <c r="A390" s="3" t="s">
        <v>418</v>
      </c>
      <c r="B390">
        <v>1988</v>
      </c>
      <c r="C390">
        <v>1988</v>
      </c>
      <c r="D390" s="3" t="s">
        <v>14</v>
      </c>
      <c r="E390" s="3" t="s">
        <v>14</v>
      </c>
      <c r="F390">
        <v>4</v>
      </c>
      <c r="G390" s="7">
        <v>32451</v>
      </c>
      <c r="H390">
        <v>3</v>
      </c>
      <c r="I390" s="3" t="s">
        <v>8764</v>
      </c>
      <c r="J390" s="3" t="s">
        <v>10</v>
      </c>
      <c r="K390" s="3" t="s">
        <v>15</v>
      </c>
      <c r="L390" s="3" t="s">
        <v>12</v>
      </c>
      <c r="M390">
        <v>38</v>
      </c>
      <c r="N390" s="3"/>
    </row>
    <row r="391" spans="1:14" x14ac:dyDescent="0.25">
      <c r="A391" s="3" t="s">
        <v>419</v>
      </c>
      <c r="B391">
        <v>1990</v>
      </c>
      <c r="C391">
        <v>1990</v>
      </c>
      <c r="D391" s="3" t="s">
        <v>36</v>
      </c>
      <c r="E391" s="3" t="s">
        <v>36</v>
      </c>
      <c r="F391">
        <v>11</v>
      </c>
      <c r="G391" s="7">
        <v>33157</v>
      </c>
      <c r="H391">
        <v>3</v>
      </c>
      <c r="I391" s="3" t="s">
        <v>8765</v>
      </c>
      <c r="J391" s="3" t="s">
        <v>10</v>
      </c>
      <c r="K391" s="3" t="s">
        <v>15</v>
      </c>
      <c r="L391" s="3" t="s">
        <v>12</v>
      </c>
      <c r="M391">
        <v>36</v>
      </c>
      <c r="N391" s="3"/>
    </row>
    <row r="392" spans="1:14" x14ac:dyDescent="0.25">
      <c r="A392" s="3" t="s">
        <v>420</v>
      </c>
      <c r="B392">
        <v>1985</v>
      </c>
      <c r="C392">
        <v>1985</v>
      </c>
      <c r="D392" s="3" t="s">
        <v>17</v>
      </c>
      <c r="E392" s="3" t="s">
        <v>17</v>
      </c>
      <c r="F392">
        <v>14</v>
      </c>
      <c r="G392" s="7">
        <v>31212</v>
      </c>
      <c r="H392">
        <v>3</v>
      </c>
      <c r="I392" s="3" t="s">
        <v>8766</v>
      </c>
      <c r="J392" s="3" t="s">
        <v>10</v>
      </c>
      <c r="K392" s="3" t="s">
        <v>15</v>
      </c>
      <c r="L392" s="3" t="s">
        <v>12</v>
      </c>
      <c r="M392">
        <v>41</v>
      </c>
      <c r="N392" s="3"/>
    </row>
    <row r="393" spans="1:14" x14ac:dyDescent="0.25">
      <c r="A393" s="3" t="s">
        <v>421</v>
      </c>
      <c r="B393">
        <v>1992</v>
      </c>
      <c r="C393">
        <v>1992</v>
      </c>
      <c r="D393" s="3" t="s">
        <v>14</v>
      </c>
      <c r="E393" s="3" t="s">
        <v>14</v>
      </c>
      <c r="F393">
        <v>17</v>
      </c>
      <c r="G393" s="7">
        <v>33925</v>
      </c>
      <c r="H393">
        <v>0</v>
      </c>
      <c r="I393" s="3" t="s">
        <v>8767</v>
      </c>
      <c r="J393" s="3" t="s">
        <v>15</v>
      </c>
      <c r="K393" s="3" t="s">
        <v>10</v>
      </c>
      <c r="L393" s="3" t="s">
        <v>275</v>
      </c>
      <c r="M393">
        <v>34</v>
      </c>
      <c r="N393" s="3"/>
    </row>
    <row r="394" spans="1:14" x14ac:dyDescent="0.25">
      <c r="A394" s="3" t="s">
        <v>422</v>
      </c>
      <c r="B394">
        <v>1990</v>
      </c>
      <c r="C394">
        <v>1990</v>
      </c>
      <c r="D394" s="3" t="s">
        <v>14</v>
      </c>
      <c r="E394" s="3" t="s">
        <v>14</v>
      </c>
      <c r="F394">
        <v>8</v>
      </c>
      <c r="G394" s="7">
        <v>33185</v>
      </c>
      <c r="H394">
        <v>3</v>
      </c>
      <c r="I394" s="3" t="s">
        <v>8768</v>
      </c>
      <c r="J394" s="3" t="s">
        <v>10</v>
      </c>
      <c r="K394" s="3" t="s">
        <v>11</v>
      </c>
      <c r="L394" s="3" t="s">
        <v>41</v>
      </c>
      <c r="M394">
        <v>36</v>
      </c>
      <c r="N394" s="3"/>
    </row>
    <row r="395" spans="1:14" x14ac:dyDescent="0.25">
      <c r="A395" s="3" t="s">
        <v>423</v>
      </c>
      <c r="B395">
        <v>1992</v>
      </c>
      <c r="C395">
        <v>1992</v>
      </c>
      <c r="D395" s="3" t="s">
        <v>19</v>
      </c>
      <c r="E395" s="3" t="s">
        <v>19</v>
      </c>
      <c r="F395">
        <v>14</v>
      </c>
      <c r="G395" s="7">
        <v>33861</v>
      </c>
      <c r="H395">
        <v>1</v>
      </c>
      <c r="I395" s="3" t="s">
        <v>8769</v>
      </c>
      <c r="J395" s="3" t="s">
        <v>11</v>
      </c>
      <c r="K395" s="3" t="s">
        <v>15</v>
      </c>
      <c r="L395" s="3" t="s">
        <v>41</v>
      </c>
      <c r="M395">
        <v>34</v>
      </c>
      <c r="N395" s="3"/>
    </row>
    <row r="396" spans="1:14" x14ac:dyDescent="0.25">
      <c r="A396" s="3" t="s">
        <v>424</v>
      </c>
      <c r="B396">
        <v>1984</v>
      </c>
      <c r="C396">
        <v>1984</v>
      </c>
      <c r="D396" s="3" t="s">
        <v>9</v>
      </c>
      <c r="E396" s="3" t="s">
        <v>9</v>
      </c>
      <c r="F396">
        <v>6</v>
      </c>
      <c r="G396" s="7">
        <v>30869</v>
      </c>
      <c r="H396">
        <v>3</v>
      </c>
      <c r="I396" s="3" t="s">
        <v>8770</v>
      </c>
      <c r="J396" s="3" t="s">
        <v>10</v>
      </c>
      <c r="K396" s="3" t="s">
        <v>11</v>
      </c>
      <c r="L396" s="3" t="s">
        <v>12</v>
      </c>
      <c r="M396">
        <v>42</v>
      </c>
      <c r="N396" s="3"/>
    </row>
    <row r="397" spans="1:14" x14ac:dyDescent="0.25">
      <c r="A397" s="3" t="s">
        <v>425</v>
      </c>
      <c r="B397">
        <v>2003</v>
      </c>
      <c r="C397">
        <v>2003</v>
      </c>
      <c r="D397" s="3" t="s">
        <v>9</v>
      </c>
      <c r="E397" s="3" t="s">
        <v>9</v>
      </c>
      <c r="F397">
        <v>10</v>
      </c>
      <c r="G397" s="7">
        <v>37812</v>
      </c>
      <c r="H397">
        <v>0</v>
      </c>
      <c r="I397" s="3" t="s">
        <v>8771</v>
      </c>
      <c r="J397" s="3" t="s">
        <v>10</v>
      </c>
      <c r="K397" s="3" t="s">
        <v>10</v>
      </c>
      <c r="L397" s="3" t="s">
        <v>299</v>
      </c>
      <c r="M397">
        <v>23</v>
      </c>
      <c r="N397" s="3"/>
    </row>
    <row r="398" spans="1:14" x14ac:dyDescent="0.25">
      <c r="A398" s="3" t="s">
        <v>426</v>
      </c>
      <c r="B398">
        <v>1981</v>
      </c>
      <c r="C398">
        <v>1981</v>
      </c>
      <c r="D398" s="3" t="s">
        <v>29</v>
      </c>
      <c r="E398" s="3" t="s">
        <v>29</v>
      </c>
      <c r="F398">
        <v>14</v>
      </c>
      <c r="G398" s="7">
        <v>29934</v>
      </c>
      <c r="H398">
        <v>1</v>
      </c>
      <c r="I398" s="3" t="s">
        <v>8772</v>
      </c>
      <c r="J398" s="3" t="s">
        <v>10</v>
      </c>
      <c r="K398" s="3" t="s">
        <v>10</v>
      </c>
      <c r="L398" s="3" t="s">
        <v>12</v>
      </c>
      <c r="M398">
        <v>45</v>
      </c>
      <c r="N398" s="3"/>
    </row>
    <row r="399" spans="1:14" x14ac:dyDescent="0.25">
      <c r="A399" s="3" t="s">
        <v>427</v>
      </c>
      <c r="B399">
        <v>1995</v>
      </c>
      <c r="C399">
        <v>1995</v>
      </c>
      <c r="D399" s="3" t="s">
        <v>36</v>
      </c>
      <c r="E399" s="3" t="s">
        <v>36</v>
      </c>
      <c r="F399">
        <v>21</v>
      </c>
      <c r="G399" s="7">
        <v>34993</v>
      </c>
      <c r="H399">
        <v>2</v>
      </c>
      <c r="I399" s="3" t="s">
        <v>8773</v>
      </c>
      <c r="J399" s="3" t="s">
        <v>10</v>
      </c>
      <c r="K399" s="3" t="s">
        <v>11</v>
      </c>
      <c r="L399" s="3" t="s">
        <v>41</v>
      </c>
      <c r="M399">
        <v>31</v>
      </c>
      <c r="N399" s="3"/>
    </row>
    <row r="400" spans="1:14" x14ac:dyDescent="0.25">
      <c r="A400" s="3" t="s">
        <v>428</v>
      </c>
      <c r="B400">
        <v>1988</v>
      </c>
      <c r="C400">
        <v>1988</v>
      </c>
      <c r="D400" s="3" t="s">
        <v>34</v>
      </c>
      <c r="E400" s="3" t="s">
        <v>34</v>
      </c>
      <c r="F400">
        <v>18</v>
      </c>
      <c r="G400" s="7">
        <v>32373</v>
      </c>
      <c r="H400">
        <v>3</v>
      </c>
      <c r="I400" s="3" t="s">
        <v>8774</v>
      </c>
      <c r="J400" s="3" t="s">
        <v>10</v>
      </c>
      <c r="K400" s="3" t="s">
        <v>11</v>
      </c>
      <c r="L400" s="3" t="s">
        <v>12</v>
      </c>
      <c r="M400">
        <v>38</v>
      </c>
      <c r="N400" s="3"/>
    </row>
    <row r="401" spans="1:14" x14ac:dyDescent="0.25">
      <c r="A401" s="3" t="s">
        <v>429</v>
      </c>
      <c r="B401">
        <v>1989</v>
      </c>
      <c r="C401">
        <v>1989</v>
      </c>
      <c r="D401" s="3" t="s">
        <v>29</v>
      </c>
      <c r="E401" s="3" t="s">
        <v>29</v>
      </c>
      <c r="F401">
        <v>2</v>
      </c>
      <c r="G401" s="7">
        <v>32844</v>
      </c>
      <c r="H401">
        <v>0</v>
      </c>
      <c r="I401" s="3" t="s">
        <v>8775</v>
      </c>
      <c r="J401" s="3" t="s">
        <v>10</v>
      </c>
      <c r="K401" s="3" t="s">
        <v>10</v>
      </c>
      <c r="L401" s="3" t="s">
        <v>12</v>
      </c>
      <c r="M401">
        <v>37</v>
      </c>
      <c r="N401" s="3"/>
    </row>
    <row r="402" spans="1:14" x14ac:dyDescent="0.25">
      <c r="A402" s="3" t="s">
        <v>430</v>
      </c>
      <c r="B402">
        <v>2004</v>
      </c>
      <c r="C402">
        <v>2004</v>
      </c>
      <c r="D402" s="3" t="s">
        <v>14</v>
      </c>
      <c r="E402" s="3" t="s">
        <v>14</v>
      </c>
      <c r="F402">
        <v>5</v>
      </c>
      <c r="G402" s="7">
        <v>38296</v>
      </c>
      <c r="H402">
        <v>0</v>
      </c>
      <c r="I402" s="3" t="s">
        <v>8776</v>
      </c>
      <c r="J402" s="3" t="s">
        <v>10</v>
      </c>
      <c r="K402" s="3" t="s">
        <v>10</v>
      </c>
      <c r="L402" s="3" t="s">
        <v>199</v>
      </c>
      <c r="M402">
        <v>22</v>
      </c>
      <c r="N402" s="3"/>
    </row>
    <row r="403" spans="1:14" x14ac:dyDescent="0.25">
      <c r="A403" s="3" t="s">
        <v>431</v>
      </c>
      <c r="B403">
        <v>1986</v>
      </c>
      <c r="C403">
        <v>1986</v>
      </c>
      <c r="D403" s="3" t="s">
        <v>29</v>
      </c>
      <c r="E403" s="3" t="s">
        <v>29</v>
      </c>
      <c r="F403">
        <v>1</v>
      </c>
      <c r="G403" s="7">
        <v>31747</v>
      </c>
      <c r="H403">
        <v>3</v>
      </c>
      <c r="I403" s="3" t="s">
        <v>8777</v>
      </c>
      <c r="J403" s="3" t="s">
        <v>10</v>
      </c>
      <c r="K403" s="3" t="s">
        <v>10</v>
      </c>
      <c r="L403" s="3" t="s">
        <v>12</v>
      </c>
      <c r="M403">
        <v>40</v>
      </c>
      <c r="N403" s="3"/>
    </row>
    <row r="404" spans="1:14" x14ac:dyDescent="0.25">
      <c r="A404" s="3" t="s">
        <v>432</v>
      </c>
      <c r="B404">
        <v>1994</v>
      </c>
      <c r="C404">
        <v>1994</v>
      </c>
      <c r="D404" s="3" t="s">
        <v>34</v>
      </c>
      <c r="E404" s="3" t="s">
        <v>34</v>
      </c>
      <c r="F404">
        <v>22</v>
      </c>
      <c r="G404" s="7">
        <v>34568</v>
      </c>
      <c r="H404">
        <v>0</v>
      </c>
      <c r="I404" s="3" t="s">
        <v>8778</v>
      </c>
      <c r="J404" s="3" t="s">
        <v>10</v>
      </c>
      <c r="K404" s="3" t="s">
        <v>11</v>
      </c>
      <c r="L404" s="3" t="s">
        <v>246</v>
      </c>
      <c r="M404">
        <v>32</v>
      </c>
      <c r="N404" s="3"/>
    </row>
    <row r="405" spans="1:14" x14ac:dyDescent="0.25">
      <c r="A405" s="3" t="s">
        <v>433</v>
      </c>
      <c r="B405">
        <v>1993</v>
      </c>
      <c r="C405">
        <v>1993</v>
      </c>
      <c r="D405" s="3" t="s">
        <v>17</v>
      </c>
      <c r="E405" s="3" t="s">
        <v>17</v>
      </c>
      <c r="F405">
        <v>22</v>
      </c>
      <c r="G405" s="7">
        <v>34142</v>
      </c>
      <c r="H405">
        <v>0</v>
      </c>
      <c r="I405" s="3" t="s">
        <v>8779</v>
      </c>
      <c r="J405" s="3" t="s">
        <v>10</v>
      </c>
      <c r="K405" s="3" t="s">
        <v>10</v>
      </c>
      <c r="L405" s="3" t="s">
        <v>22</v>
      </c>
      <c r="M405">
        <v>33</v>
      </c>
      <c r="N405" s="3"/>
    </row>
    <row r="406" spans="1:14" x14ac:dyDescent="0.25">
      <c r="A406" s="3" t="s">
        <v>434</v>
      </c>
      <c r="B406">
        <v>1986</v>
      </c>
      <c r="C406">
        <v>1986</v>
      </c>
      <c r="D406" s="3" t="s">
        <v>19</v>
      </c>
      <c r="E406" s="3" t="s">
        <v>19</v>
      </c>
      <c r="F406">
        <v>9</v>
      </c>
      <c r="G406" s="7">
        <v>31664</v>
      </c>
      <c r="H406">
        <v>3</v>
      </c>
      <c r="I406" s="3" t="s">
        <v>8780</v>
      </c>
      <c r="J406" s="3" t="s">
        <v>10</v>
      </c>
      <c r="K406" s="3" t="s">
        <v>10</v>
      </c>
      <c r="L406" s="3" t="s">
        <v>12</v>
      </c>
      <c r="M406">
        <v>40</v>
      </c>
      <c r="N406" s="3"/>
    </row>
    <row r="407" spans="1:14" x14ac:dyDescent="0.25">
      <c r="A407" s="3" t="s">
        <v>435</v>
      </c>
      <c r="B407">
        <v>1991</v>
      </c>
      <c r="C407">
        <v>1991</v>
      </c>
      <c r="D407" s="3" t="s">
        <v>36</v>
      </c>
      <c r="E407" s="3" t="s">
        <v>36</v>
      </c>
      <c r="F407">
        <v>28</v>
      </c>
      <c r="G407" s="7">
        <v>33539</v>
      </c>
      <c r="H407">
        <v>0</v>
      </c>
      <c r="I407" s="3" t="s">
        <v>8781</v>
      </c>
      <c r="J407" s="3" t="s">
        <v>10</v>
      </c>
      <c r="K407" s="3" t="s">
        <v>10</v>
      </c>
      <c r="L407" s="3" t="s">
        <v>12</v>
      </c>
      <c r="M407">
        <v>35</v>
      </c>
      <c r="N407" s="3"/>
    </row>
    <row r="408" spans="1:14" x14ac:dyDescent="0.25">
      <c r="A408" s="3" t="s">
        <v>436</v>
      </c>
      <c r="B408">
        <v>1991</v>
      </c>
      <c r="C408">
        <v>1991</v>
      </c>
      <c r="D408" s="3" t="s">
        <v>34</v>
      </c>
      <c r="E408" s="3" t="s">
        <v>34</v>
      </c>
      <c r="F408">
        <v>25</v>
      </c>
      <c r="G408" s="7">
        <v>33475</v>
      </c>
      <c r="H408">
        <v>0</v>
      </c>
      <c r="I408" s="3" t="s">
        <v>8782</v>
      </c>
      <c r="J408" s="3" t="s">
        <v>10</v>
      </c>
      <c r="K408" s="3" t="s">
        <v>15</v>
      </c>
      <c r="L408" s="3" t="s">
        <v>12</v>
      </c>
      <c r="M408">
        <v>35</v>
      </c>
      <c r="N408" s="3"/>
    </row>
    <row r="409" spans="1:14" x14ac:dyDescent="0.25">
      <c r="A409" s="3" t="s">
        <v>437</v>
      </c>
      <c r="B409">
        <v>1991</v>
      </c>
      <c r="C409">
        <v>1991</v>
      </c>
      <c r="D409" s="3" t="s">
        <v>36</v>
      </c>
      <c r="E409" s="3" t="s">
        <v>36</v>
      </c>
      <c r="F409">
        <v>24</v>
      </c>
      <c r="G409" s="7">
        <v>33535</v>
      </c>
      <c r="H409">
        <v>0</v>
      </c>
      <c r="I409" s="3" t="s">
        <v>8783</v>
      </c>
      <c r="J409" s="3" t="s">
        <v>10</v>
      </c>
      <c r="K409" s="3" t="s">
        <v>11</v>
      </c>
      <c r="L409" s="3" t="s">
        <v>41</v>
      </c>
      <c r="M409">
        <v>35</v>
      </c>
      <c r="N409" s="3"/>
    </row>
    <row r="410" spans="1:14" x14ac:dyDescent="0.25">
      <c r="A410" s="3" t="s">
        <v>438</v>
      </c>
      <c r="B410">
        <v>1994</v>
      </c>
      <c r="C410">
        <v>1994</v>
      </c>
      <c r="D410" s="3" t="s">
        <v>14</v>
      </c>
      <c r="E410" s="3" t="s">
        <v>14</v>
      </c>
      <c r="F410">
        <v>21</v>
      </c>
      <c r="G410" s="7">
        <v>34659</v>
      </c>
      <c r="H410">
        <v>1</v>
      </c>
      <c r="I410" s="3" t="s">
        <v>8784</v>
      </c>
      <c r="J410" s="3" t="s">
        <v>10</v>
      </c>
      <c r="K410" s="3" t="s">
        <v>15</v>
      </c>
      <c r="L410" s="3" t="s">
        <v>12</v>
      </c>
      <c r="M410">
        <v>32</v>
      </c>
      <c r="N410" s="3"/>
    </row>
    <row r="411" spans="1:14" x14ac:dyDescent="0.25">
      <c r="A411" s="3" t="s">
        <v>439</v>
      </c>
      <c r="B411">
        <v>1987</v>
      </c>
      <c r="C411">
        <v>1987</v>
      </c>
      <c r="D411" s="3" t="s">
        <v>36</v>
      </c>
      <c r="E411" s="3" t="s">
        <v>36</v>
      </c>
      <c r="F411">
        <v>24</v>
      </c>
      <c r="G411" s="7">
        <v>32074</v>
      </c>
      <c r="H411">
        <v>3</v>
      </c>
      <c r="I411" s="3" t="s">
        <v>8785</v>
      </c>
      <c r="J411" s="3" t="s">
        <v>10</v>
      </c>
      <c r="K411" s="3" t="s">
        <v>11</v>
      </c>
      <c r="L411" s="3" t="s">
        <v>12</v>
      </c>
      <c r="M411">
        <v>39</v>
      </c>
      <c r="N411" s="3"/>
    </row>
    <row r="412" spans="1:14" x14ac:dyDescent="0.25">
      <c r="A412" s="3" t="s">
        <v>440</v>
      </c>
      <c r="B412">
        <v>1981</v>
      </c>
      <c r="C412">
        <v>1981</v>
      </c>
      <c r="D412" s="3" t="s">
        <v>29</v>
      </c>
      <c r="E412" s="3" t="s">
        <v>29</v>
      </c>
      <c r="F412">
        <v>13</v>
      </c>
      <c r="G412" s="7">
        <v>29933</v>
      </c>
      <c r="H412">
        <v>1</v>
      </c>
      <c r="I412" s="3" t="s">
        <v>8786</v>
      </c>
      <c r="J412" s="3" t="s">
        <v>10</v>
      </c>
      <c r="K412" s="3" t="s">
        <v>15</v>
      </c>
      <c r="L412" s="3" t="s">
        <v>12</v>
      </c>
      <c r="M412">
        <v>45</v>
      </c>
      <c r="N412" s="3"/>
    </row>
    <row r="413" spans="1:14" x14ac:dyDescent="0.25">
      <c r="A413" s="3" t="s">
        <v>441</v>
      </c>
      <c r="B413">
        <v>1988</v>
      </c>
      <c r="C413">
        <v>1988</v>
      </c>
      <c r="D413" s="3" t="s">
        <v>34</v>
      </c>
      <c r="E413" s="3" t="s">
        <v>34</v>
      </c>
      <c r="F413">
        <v>28</v>
      </c>
      <c r="G413" s="7">
        <v>32383</v>
      </c>
      <c r="H413">
        <v>3</v>
      </c>
      <c r="I413" s="3" t="s">
        <v>8787</v>
      </c>
      <c r="J413" s="3" t="s">
        <v>10</v>
      </c>
      <c r="K413" s="3" t="s">
        <v>11</v>
      </c>
      <c r="L413" s="3" t="s">
        <v>12</v>
      </c>
      <c r="M413">
        <v>38</v>
      </c>
      <c r="N413" s="3"/>
    </row>
    <row r="414" spans="1:14" x14ac:dyDescent="0.25">
      <c r="A414" s="3" t="s">
        <v>442</v>
      </c>
      <c r="B414">
        <v>1999</v>
      </c>
      <c r="C414">
        <v>1999</v>
      </c>
      <c r="D414" s="3" t="s">
        <v>17</v>
      </c>
      <c r="E414" s="3" t="s">
        <v>17</v>
      </c>
      <c r="F414">
        <v>24</v>
      </c>
      <c r="G414" s="7">
        <v>36335</v>
      </c>
      <c r="H414">
        <v>0</v>
      </c>
      <c r="I414" s="3" t="s">
        <v>8788</v>
      </c>
      <c r="J414" s="3" t="s">
        <v>10</v>
      </c>
      <c r="K414" s="3" t="s">
        <v>11</v>
      </c>
      <c r="L414" s="3" t="s">
        <v>22</v>
      </c>
      <c r="M414">
        <v>27</v>
      </c>
      <c r="N414" s="3"/>
    </row>
    <row r="415" spans="1:14" x14ac:dyDescent="0.25">
      <c r="A415" s="3" t="s">
        <v>443</v>
      </c>
      <c r="B415">
        <v>1981</v>
      </c>
      <c r="C415">
        <v>1981</v>
      </c>
      <c r="D415" s="3" t="s">
        <v>19</v>
      </c>
      <c r="E415" s="3" t="s">
        <v>19</v>
      </c>
      <c r="F415">
        <v>29</v>
      </c>
      <c r="G415" s="7">
        <v>29858</v>
      </c>
      <c r="H415">
        <v>1</v>
      </c>
      <c r="I415" s="3" t="s">
        <v>8789</v>
      </c>
      <c r="J415" s="3" t="s">
        <v>10</v>
      </c>
      <c r="K415" s="3" t="s">
        <v>11</v>
      </c>
      <c r="L415" s="3" t="s">
        <v>22</v>
      </c>
      <c r="M415">
        <v>45</v>
      </c>
      <c r="N415" s="3"/>
    </row>
    <row r="416" spans="1:14" x14ac:dyDescent="0.25">
      <c r="A416" s="3" t="s">
        <v>444</v>
      </c>
      <c r="B416">
        <v>1994</v>
      </c>
      <c r="C416">
        <v>1994</v>
      </c>
      <c r="D416" s="3" t="s">
        <v>34</v>
      </c>
      <c r="E416" s="3" t="s">
        <v>34</v>
      </c>
      <c r="F416">
        <v>12</v>
      </c>
      <c r="G416" s="7">
        <v>34558</v>
      </c>
      <c r="H416">
        <v>2</v>
      </c>
      <c r="I416" s="3" t="s">
        <v>8790</v>
      </c>
      <c r="J416" s="3" t="s">
        <v>11</v>
      </c>
      <c r="K416" s="3" t="s">
        <v>10</v>
      </c>
      <c r="L416" s="3" t="s">
        <v>41</v>
      </c>
      <c r="M416">
        <v>32</v>
      </c>
      <c r="N416" s="3"/>
    </row>
    <row r="417" spans="1:14" x14ac:dyDescent="0.25">
      <c r="A417" s="3" t="s">
        <v>445</v>
      </c>
      <c r="B417">
        <v>1991</v>
      </c>
      <c r="C417">
        <v>1991</v>
      </c>
      <c r="D417" s="3" t="s">
        <v>34</v>
      </c>
      <c r="E417" s="3" t="s">
        <v>34</v>
      </c>
      <c r="F417">
        <v>19</v>
      </c>
      <c r="G417" s="7">
        <v>33469</v>
      </c>
      <c r="H417">
        <v>0</v>
      </c>
      <c r="I417" s="3" t="s">
        <v>8791</v>
      </c>
      <c r="J417" s="3" t="s">
        <v>11</v>
      </c>
      <c r="K417" s="3" t="s">
        <v>15</v>
      </c>
      <c r="L417" s="3" t="s">
        <v>167</v>
      </c>
      <c r="M417">
        <v>35</v>
      </c>
      <c r="N417" s="3"/>
    </row>
    <row r="418" spans="1:14" x14ac:dyDescent="0.25">
      <c r="A418" s="3" t="s">
        <v>446</v>
      </c>
      <c r="B418">
        <v>2001</v>
      </c>
      <c r="C418">
        <v>2001</v>
      </c>
      <c r="D418" s="3" t="s">
        <v>17</v>
      </c>
      <c r="E418" s="3" t="s">
        <v>17</v>
      </c>
      <c r="F418">
        <v>6</v>
      </c>
      <c r="G418" s="7">
        <v>37048</v>
      </c>
      <c r="H418">
        <v>0</v>
      </c>
      <c r="I418" s="3" t="s">
        <v>8792</v>
      </c>
      <c r="J418" s="3" t="s">
        <v>10</v>
      </c>
      <c r="K418" s="3" t="s">
        <v>11</v>
      </c>
      <c r="L418" s="3" t="s">
        <v>199</v>
      </c>
      <c r="M418">
        <v>25</v>
      </c>
      <c r="N418" s="3"/>
    </row>
    <row r="419" spans="1:14" x14ac:dyDescent="0.25">
      <c r="A419" s="3" t="s">
        <v>447</v>
      </c>
      <c r="B419">
        <v>2001</v>
      </c>
      <c r="C419">
        <v>2001</v>
      </c>
      <c r="D419" s="3" t="s">
        <v>36</v>
      </c>
      <c r="E419" s="3" t="s">
        <v>36</v>
      </c>
      <c r="F419">
        <v>18</v>
      </c>
      <c r="G419" s="7">
        <v>37182</v>
      </c>
      <c r="H419">
        <v>3</v>
      </c>
      <c r="I419" s="3" t="s">
        <v>8793</v>
      </c>
      <c r="J419" s="3" t="s">
        <v>10</v>
      </c>
      <c r="K419" s="3" t="s">
        <v>10</v>
      </c>
      <c r="L419" s="3" t="s">
        <v>167</v>
      </c>
      <c r="M419">
        <v>25</v>
      </c>
      <c r="N419" s="3"/>
    </row>
    <row r="420" spans="1:14" x14ac:dyDescent="0.25">
      <c r="A420" s="3" t="s">
        <v>448</v>
      </c>
      <c r="B420">
        <v>1990</v>
      </c>
      <c r="C420">
        <v>1990</v>
      </c>
      <c r="D420" s="3" t="s">
        <v>17</v>
      </c>
      <c r="E420" s="3" t="s">
        <v>17</v>
      </c>
      <c r="F420">
        <v>24</v>
      </c>
      <c r="G420" s="7">
        <v>33048</v>
      </c>
      <c r="H420">
        <v>0</v>
      </c>
      <c r="I420" s="3" t="s">
        <v>8794</v>
      </c>
      <c r="J420" s="3" t="s">
        <v>15</v>
      </c>
      <c r="K420" s="3" t="s">
        <v>15</v>
      </c>
      <c r="L420" s="3" t="s">
        <v>22</v>
      </c>
      <c r="M420">
        <v>36</v>
      </c>
      <c r="N420" s="3"/>
    </row>
    <row r="421" spans="1:14" x14ac:dyDescent="0.25">
      <c r="A421" s="3" t="s">
        <v>449</v>
      </c>
      <c r="B421">
        <v>1991</v>
      </c>
      <c r="C421">
        <v>1991</v>
      </c>
      <c r="D421" s="3" t="s">
        <v>9</v>
      </c>
      <c r="E421" s="3" t="s">
        <v>9</v>
      </c>
      <c r="F421">
        <v>25</v>
      </c>
      <c r="G421" s="7">
        <v>33444</v>
      </c>
      <c r="H421">
        <v>1</v>
      </c>
      <c r="I421" s="3" t="s">
        <v>8795</v>
      </c>
      <c r="J421" s="3" t="s">
        <v>10</v>
      </c>
      <c r="K421" s="3" t="s">
        <v>11</v>
      </c>
      <c r="L421" s="3" t="s">
        <v>12</v>
      </c>
      <c r="M421">
        <v>35</v>
      </c>
      <c r="N421" s="3"/>
    </row>
    <row r="422" spans="1:14" x14ac:dyDescent="0.25">
      <c r="A422" s="3" t="s">
        <v>450</v>
      </c>
      <c r="B422">
        <v>1996</v>
      </c>
      <c r="C422">
        <v>1996</v>
      </c>
      <c r="D422" s="3" t="s">
        <v>36</v>
      </c>
      <c r="E422" s="3" t="s">
        <v>36</v>
      </c>
      <c r="F422">
        <v>23</v>
      </c>
      <c r="G422" s="7">
        <v>35361</v>
      </c>
      <c r="H422">
        <v>2</v>
      </c>
      <c r="I422" s="3" t="s">
        <v>8796</v>
      </c>
      <c r="J422" s="3" t="s">
        <v>15</v>
      </c>
      <c r="K422" s="3" t="s">
        <v>11</v>
      </c>
      <c r="L422" s="3" t="s">
        <v>22</v>
      </c>
      <c r="M422">
        <v>30</v>
      </c>
      <c r="N422" s="3"/>
    </row>
    <row r="423" spans="1:14" x14ac:dyDescent="0.25">
      <c r="A423" s="3" t="s">
        <v>451</v>
      </c>
      <c r="B423">
        <v>2004</v>
      </c>
      <c r="C423">
        <v>2004</v>
      </c>
      <c r="D423" s="3" t="s">
        <v>9</v>
      </c>
      <c r="E423" s="3" t="s">
        <v>9</v>
      </c>
      <c r="F423">
        <v>13</v>
      </c>
      <c r="G423" s="7">
        <v>38181</v>
      </c>
      <c r="H423">
        <v>0</v>
      </c>
      <c r="I423" s="3" t="s">
        <v>8797</v>
      </c>
      <c r="J423" s="3" t="s">
        <v>10</v>
      </c>
      <c r="K423" s="3" t="s">
        <v>10</v>
      </c>
      <c r="L423" s="3" t="s">
        <v>22</v>
      </c>
      <c r="M423">
        <v>22</v>
      </c>
      <c r="N423" s="3"/>
    </row>
    <row r="424" spans="1:14" x14ac:dyDescent="0.25">
      <c r="A424" s="3" t="s">
        <v>452</v>
      </c>
      <c r="B424">
        <v>1993</v>
      </c>
      <c r="C424">
        <v>1993</v>
      </c>
      <c r="D424" s="3" t="s">
        <v>19</v>
      </c>
      <c r="E424" s="3" t="s">
        <v>19</v>
      </c>
      <c r="F424">
        <v>14</v>
      </c>
      <c r="G424" s="7">
        <v>34226</v>
      </c>
      <c r="H424">
        <v>0</v>
      </c>
      <c r="I424" s="3" t="s">
        <v>8798</v>
      </c>
      <c r="J424" s="3" t="s">
        <v>10</v>
      </c>
      <c r="K424" s="3" t="s">
        <v>10</v>
      </c>
      <c r="L424" s="3" t="s">
        <v>22</v>
      </c>
      <c r="M424">
        <v>33</v>
      </c>
      <c r="N424" s="3"/>
    </row>
    <row r="425" spans="1:14" x14ac:dyDescent="0.25">
      <c r="A425" s="3" t="s">
        <v>453</v>
      </c>
      <c r="B425">
        <v>1981</v>
      </c>
      <c r="C425">
        <v>1981</v>
      </c>
      <c r="D425" s="3" t="s">
        <v>34</v>
      </c>
      <c r="E425" s="3" t="s">
        <v>34</v>
      </c>
      <c r="F425">
        <v>27</v>
      </c>
      <c r="G425" s="7">
        <v>29825</v>
      </c>
      <c r="H425">
        <v>1</v>
      </c>
      <c r="I425" s="3" t="s">
        <v>8799</v>
      </c>
      <c r="J425" s="3" t="s">
        <v>10</v>
      </c>
      <c r="K425" s="3" t="s">
        <v>10</v>
      </c>
      <c r="L425" s="3" t="s">
        <v>12</v>
      </c>
      <c r="M425">
        <v>45</v>
      </c>
      <c r="N425" s="3"/>
    </row>
    <row r="426" spans="1:14" x14ac:dyDescent="0.25">
      <c r="A426" s="3" t="s">
        <v>454</v>
      </c>
      <c r="B426">
        <v>1997</v>
      </c>
      <c r="C426">
        <v>1997</v>
      </c>
      <c r="D426" s="3" t="s">
        <v>14</v>
      </c>
      <c r="E426" s="3" t="s">
        <v>14</v>
      </c>
      <c r="F426">
        <v>24</v>
      </c>
      <c r="G426" s="7">
        <v>35758</v>
      </c>
      <c r="H426">
        <v>3</v>
      </c>
      <c r="I426" s="3" t="s">
        <v>8800</v>
      </c>
      <c r="J426" s="3" t="s">
        <v>11</v>
      </c>
      <c r="K426" s="3" t="s">
        <v>11</v>
      </c>
      <c r="L426" s="3" t="s">
        <v>41</v>
      </c>
      <c r="M426">
        <v>29</v>
      </c>
      <c r="N426" s="3"/>
    </row>
    <row r="427" spans="1:14" x14ac:dyDescent="0.25">
      <c r="A427" s="3" t="s">
        <v>455</v>
      </c>
      <c r="B427">
        <v>1985</v>
      </c>
      <c r="C427">
        <v>1985</v>
      </c>
      <c r="D427" s="3" t="s">
        <v>9</v>
      </c>
      <c r="E427" s="3" t="s">
        <v>9</v>
      </c>
      <c r="F427">
        <v>5</v>
      </c>
      <c r="G427" s="7">
        <v>31233</v>
      </c>
      <c r="H427">
        <v>3</v>
      </c>
      <c r="I427" s="3" t="s">
        <v>8801</v>
      </c>
      <c r="J427" s="3" t="s">
        <v>10</v>
      </c>
      <c r="K427" s="3" t="s">
        <v>10</v>
      </c>
      <c r="L427" s="3" t="s">
        <v>12</v>
      </c>
      <c r="M427">
        <v>41</v>
      </c>
      <c r="N427" s="3"/>
    </row>
    <row r="428" spans="1:14" x14ac:dyDescent="0.25">
      <c r="A428" s="3" t="s">
        <v>456</v>
      </c>
      <c r="B428">
        <v>2000</v>
      </c>
      <c r="C428">
        <v>2000</v>
      </c>
      <c r="D428" s="3" t="s">
        <v>9</v>
      </c>
      <c r="E428" s="3" t="s">
        <v>9</v>
      </c>
      <c r="F428">
        <v>10</v>
      </c>
      <c r="G428" s="7">
        <v>36717</v>
      </c>
      <c r="H428">
        <v>2</v>
      </c>
      <c r="I428" s="3" t="s">
        <v>8802</v>
      </c>
      <c r="J428" s="3" t="s">
        <v>10</v>
      </c>
      <c r="K428" s="3" t="s">
        <v>10</v>
      </c>
      <c r="L428" s="3" t="s">
        <v>246</v>
      </c>
      <c r="M428">
        <v>26</v>
      </c>
      <c r="N428" s="3"/>
    </row>
    <row r="429" spans="1:14" x14ac:dyDescent="0.25">
      <c r="A429" s="3" t="s">
        <v>457</v>
      </c>
      <c r="B429">
        <v>2002</v>
      </c>
      <c r="C429">
        <v>2002</v>
      </c>
      <c r="D429" s="3" t="s">
        <v>17</v>
      </c>
      <c r="E429" s="3" t="s">
        <v>17</v>
      </c>
      <c r="F429">
        <v>15</v>
      </c>
      <c r="G429" s="7">
        <v>37422</v>
      </c>
      <c r="H429">
        <v>0</v>
      </c>
      <c r="I429" s="3" t="s">
        <v>8803</v>
      </c>
      <c r="J429" s="3" t="s">
        <v>10</v>
      </c>
      <c r="K429" s="3" t="s">
        <v>11</v>
      </c>
      <c r="L429" s="3" t="s">
        <v>41</v>
      </c>
      <c r="M429">
        <v>24</v>
      </c>
      <c r="N429" s="3"/>
    </row>
    <row r="430" spans="1:14" x14ac:dyDescent="0.25">
      <c r="A430" s="3" t="s">
        <v>458</v>
      </c>
      <c r="B430">
        <v>1988</v>
      </c>
      <c r="C430">
        <v>1988</v>
      </c>
      <c r="D430" s="3" t="s">
        <v>36</v>
      </c>
      <c r="E430" s="3" t="s">
        <v>36</v>
      </c>
      <c r="F430">
        <v>24</v>
      </c>
      <c r="G430" s="7">
        <v>32440</v>
      </c>
      <c r="H430">
        <v>0</v>
      </c>
      <c r="I430" s="3" t="s">
        <v>8804</v>
      </c>
      <c r="J430" s="3" t="s">
        <v>11</v>
      </c>
      <c r="K430" s="3" t="s">
        <v>15</v>
      </c>
      <c r="L430" s="3" t="s">
        <v>12</v>
      </c>
      <c r="M430">
        <v>38</v>
      </c>
      <c r="N430" s="3"/>
    </row>
    <row r="431" spans="1:14" x14ac:dyDescent="0.25">
      <c r="A431" s="3" t="s">
        <v>459</v>
      </c>
      <c r="B431">
        <v>1993</v>
      </c>
      <c r="C431">
        <v>1993</v>
      </c>
      <c r="D431" s="3" t="s">
        <v>19</v>
      </c>
      <c r="E431" s="3" t="s">
        <v>19</v>
      </c>
      <c r="F431">
        <v>29</v>
      </c>
      <c r="G431" s="7">
        <v>34241</v>
      </c>
      <c r="H431">
        <v>0</v>
      </c>
      <c r="I431" s="3" t="s">
        <v>8805</v>
      </c>
      <c r="J431" s="3" t="s">
        <v>10</v>
      </c>
      <c r="K431" s="3" t="s">
        <v>11</v>
      </c>
      <c r="L431" s="3" t="s">
        <v>246</v>
      </c>
      <c r="M431">
        <v>33</v>
      </c>
      <c r="N431" s="3"/>
    </row>
    <row r="432" spans="1:14" x14ac:dyDescent="0.25">
      <c r="A432" s="3" t="s">
        <v>460</v>
      </c>
      <c r="B432">
        <v>1993</v>
      </c>
      <c r="C432">
        <v>1993</v>
      </c>
      <c r="D432" s="3" t="s">
        <v>14</v>
      </c>
      <c r="E432" s="3" t="s">
        <v>14</v>
      </c>
      <c r="F432">
        <v>11</v>
      </c>
      <c r="G432" s="7">
        <v>34284</v>
      </c>
      <c r="H432">
        <v>1</v>
      </c>
      <c r="I432" s="3" t="s">
        <v>8806</v>
      </c>
      <c r="J432" s="3" t="s">
        <v>10</v>
      </c>
      <c r="K432" s="3" t="s">
        <v>10</v>
      </c>
      <c r="L432" s="3" t="s">
        <v>12</v>
      </c>
      <c r="M432">
        <v>33</v>
      </c>
      <c r="N432" s="3"/>
    </row>
    <row r="433" spans="1:14" x14ac:dyDescent="0.25">
      <c r="A433" s="3" t="s">
        <v>461</v>
      </c>
      <c r="B433">
        <v>1999</v>
      </c>
      <c r="C433">
        <v>1999</v>
      </c>
      <c r="D433" s="3" t="s">
        <v>9</v>
      </c>
      <c r="E433" s="3" t="s">
        <v>9</v>
      </c>
      <c r="F433">
        <v>10</v>
      </c>
      <c r="G433" s="7">
        <v>36351</v>
      </c>
      <c r="H433">
        <v>0</v>
      </c>
      <c r="I433" s="3" t="s">
        <v>8807</v>
      </c>
      <c r="J433" s="3" t="s">
        <v>10</v>
      </c>
      <c r="K433" s="3" t="s">
        <v>11</v>
      </c>
      <c r="L433" s="3" t="s">
        <v>299</v>
      </c>
      <c r="M433">
        <v>27</v>
      </c>
      <c r="N433" s="3"/>
    </row>
    <row r="434" spans="1:14" x14ac:dyDescent="0.25">
      <c r="A434" s="3" t="s">
        <v>462</v>
      </c>
      <c r="B434">
        <v>1995</v>
      </c>
      <c r="C434">
        <v>1995</v>
      </c>
      <c r="D434" s="3" t="s">
        <v>9</v>
      </c>
      <c r="E434" s="3" t="s">
        <v>9</v>
      </c>
      <c r="F434">
        <v>11</v>
      </c>
      <c r="G434" s="7">
        <v>34891</v>
      </c>
      <c r="H434">
        <v>1</v>
      </c>
      <c r="I434" s="3" t="s">
        <v>8808</v>
      </c>
      <c r="J434" s="3" t="s">
        <v>10</v>
      </c>
      <c r="K434" s="3" t="s">
        <v>10</v>
      </c>
      <c r="L434" s="3" t="s">
        <v>22</v>
      </c>
      <c r="M434">
        <v>31</v>
      </c>
      <c r="N434" s="3"/>
    </row>
    <row r="435" spans="1:14" x14ac:dyDescent="0.25">
      <c r="A435" s="3" t="s">
        <v>463</v>
      </c>
      <c r="B435">
        <v>1990</v>
      </c>
      <c r="C435">
        <v>1990</v>
      </c>
      <c r="D435" s="3" t="s">
        <v>9</v>
      </c>
      <c r="E435" s="3" t="s">
        <v>9</v>
      </c>
      <c r="F435">
        <v>29</v>
      </c>
      <c r="G435" s="7">
        <v>33083</v>
      </c>
      <c r="H435">
        <v>0</v>
      </c>
      <c r="I435" s="3" t="s">
        <v>8809</v>
      </c>
      <c r="J435" s="3" t="s">
        <v>10</v>
      </c>
      <c r="K435" s="3" t="s">
        <v>11</v>
      </c>
      <c r="L435" s="3" t="s">
        <v>12</v>
      </c>
      <c r="M435">
        <v>36</v>
      </c>
      <c r="N435" s="3"/>
    </row>
    <row r="436" spans="1:14" x14ac:dyDescent="0.25">
      <c r="A436" s="3" t="s">
        <v>464</v>
      </c>
      <c r="B436">
        <v>1996</v>
      </c>
      <c r="C436">
        <v>1996</v>
      </c>
      <c r="D436" s="3" t="s">
        <v>34</v>
      </c>
      <c r="E436" s="3" t="s">
        <v>34</v>
      </c>
      <c r="F436">
        <v>17</v>
      </c>
      <c r="G436" s="7">
        <v>35294</v>
      </c>
      <c r="H436">
        <v>2</v>
      </c>
      <c r="I436" s="3" t="s">
        <v>8810</v>
      </c>
      <c r="J436" s="3" t="s">
        <v>10</v>
      </c>
      <c r="K436" s="3" t="s">
        <v>10</v>
      </c>
      <c r="L436" s="3" t="s">
        <v>12</v>
      </c>
      <c r="M436">
        <v>30</v>
      </c>
      <c r="N436" s="3"/>
    </row>
    <row r="437" spans="1:14" x14ac:dyDescent="0.25">
      <c r="A437" s="3" t="s">
        <v>465</v>
      </c>
      <c r="B437">
        <v>1996</v>
      </c>
      <c r="C437">
        <v>1996</v>
      </c>
      <c r="D437" s="3" t="s">
        <v>19</v>
      </c>
      <c r="E437" s="3" t="s">
        <v>19</v>
      </c>
      <c r="F437">
        <v>8</v>
      </c>
      <c r="G437" s="7">
        <v>35316</v>
      </c>
      <c r="H437">
        <v>2</v>
      </c>
      <c r="I437" s="3" t="s">
        <v>8811</v>
      </c>
      <c r="J437" s="3" t="s">
        <v>10</v>
      </c>
      <c r="K437" s="3" t="s">
        <v>10</v>
      </c>
      <c r="L437" s="3" t="s">
        <v>41</v>
      </c>
      <c r="M437">
        <v>30</v>
      </c>
      <c r="N437" s="3"/>
    </row>
    <row r="438" spans="1:14" x14ac:dyDescent="0.25">
      <c r="A438" s="3" t="s">
        <v>466</v>
      </c>
      <c r="B438">
        <v>1990</v>
      </c>
      <c r="C438">
        <v>1990</v>
      </c>
      <c r="D438" s="3" t="s">
        <v>14</v>
      </c>
      <c r="E438" s="3" t="s">
        <v>14</v>
      </c>
      <c r="F438">
        <v>22</v>
      </c>
      <c r="G438" s="7">
        <v>33199</v>
      </c>
      <c r="H438">
        <v>0</v>
      </c>
      <c r="I438" s="3" t="s">
        <v>8812</v>
      </c>
      <c r="J438" s="3" t="s">
        <v>10</v>
      </c>
      <c r="K438" s="3" t="s">
        <v>10</v>
      </c>
      <c r="L438" s="3" t="s">
        <v>41</v>
      </c>
      <c r="M438">
        <v>36</v>
      </c>
      <c r="N438" s="3"/>
    </row>
    <row r="439" spans="1:14" x14ac:dyDescent="0.25">
      <c r="A439" s="3" t="s">
        <v>467</v>
      </c>
      <c r="B439">
        <v>1990</v>
      </c>
      <c r="C439">
        <v>1990</v>
      </c>
      <c r="D439" s="3" t="s">
        <v>14</v>
      </c>
      <c r="E439" s="3" t="s">
        <v>14</v>
      </c>
      <c r="F439">
        <v>1</v>
      </c>
      <c r="G439" s="7">
        <v>33178</v>
      </c>
      <c r="H439">
        <v>0</v>
      </c>
      <c r="I439" s="3" t="s">
        <v>8813</v>
      </c>
      <c r="J439" s="3" t="s">
        <v>10</v>
      </c>
      <c r="K439" s="3" t="s">
        <v>10</v>
      </c>
      <c r="L439" s="3" t="s">
        <v>12</v>
      </c>
      <c r="M439">
        <v>36</v>
      </c>
      <c r="N439" s="3"/>
    </row>
    <row r="440" spans="1:14" x14ac:dyDescent="0.25">
      <c r="A440" s="3" t="s">
        <v>468</v>
      </c>
      <c r="B440">
        <v>1989</v>
      </c>
      <c r="C440">
        <v>1989</v>
      </c>
      <c r="D440" s="3" t="s">
        <v>9</v>
      </c>
      <c r="E440" s="3" t="s">
        <v>9</v>
      </c>
      <c r="F440">
        <v>10</v>
      </c>
      <c r="G440" s="7">
        <v>32699</v>
      </c>
      <c r="H440">
        <v>3</v>
      </c>
      <c r="I440" s="3" t="s">
        <v>8814</v>
      </c>
      <c r="J440" s="3" t="s">
        <v>10</v>
      </c>
      <c r="K440" s="3" t="s">
        <v>15</v>
      </c>
      <c r="L440" s="3" t="s">
        <v>12</v>
      </c>
      <c r="M440">
        <v>37</v>
      </c>
      <c r="N440" s="3"/>
    </row>
    <row r="441" spans="1:14" x14ac:dyDescent="0.25">
      <c r="A441" s="3" t="s">
        <v>469</v>
      </c>
      <c r="B441">
        <v>2000</v>
      </c>
      <c r="C441">
        <v>2000</v>
      </c>
      <c r="D441" s="3" t="s">
        <v>19</v>
      </c>
      <c r="E441" s="3" t="s">
        <v>19</v>
      </c>
      <c r="F441">
        <v>13</v>
      </c>
      <c r="G441" s="7">
        <v>36782</v>
      </c>
      <c r="H441">
        <v>3</v>
      </c>
      <c r="I441" s="3" t="s">
        <v>8815</v>
      </c>
      <c r="J441" s="3" t="s">
        <v>10</v>
      </c>
      <c r="K441" s="3" t="s">
        <v>15</v>
      </c>
      <c r="L441" s="3" t="s">
        <v>163</v>
      </c>
      <c r="M441">
        <v>26</v>
      </c>
      <c r="N441" s="3"/>
    </row>
    <row r="442" spans="1:14" x14ac:dyDescent="0.25">
      <c r="A442" s="3" t="s">
        <v>470</v>
      </c>
      <c r="B442">
        <v>1992</v>
      </c>
      <c r="C442">
        <v>1992</v>
      </c>
      <c r="D442" s="3" t="s">
        <v>36</v>
      </c>
      <c r="E442" s="3" t="s">
        <v>36</v>
      </c>
      <c r="F442">
        <v>11</v>
      </c>
      <c r="G442" s="7">
        <v>33888</v>
      </c>
      <c r="H442">
        <v>1</v>
      </c>
      <c r="I442" s="3" t="s">
        <v>8816</v>
      </c>
      <c r="J442" s="3" t="s">
        <v>11</v>
      </c>
      <c r="K442" s="3" t="s">
        <v>11</v>
      </c>
      <c r="L442" s="3" t="s">
        <v>22</v>
      </c>
      <c r="M442">
        <v>34</v>
      </c>
      <c r="N442" s="3"/>
    </row>
    <row r="443" spans="1:14" x14ac:dyDescent="0.25">
      <c r="A443" s="3" t="s">
        <v>471</v>
      </c>
      <c r="B443">
        <v>1984</v>
      </c>
      <c r="C443">
        <v>1984</v>
      </c>
      <c r="D443" s="3" t="s">
        <v>9</v>
      </c>
      <c r="E443" s="3" t="s">
        <v>9</v>
      </c>
      <c r="F443">
        <v>7</v>
      </c>
      <c r="G443" s="7">
        <v>30870</v>
      </c>
      <c r="H443">
        <v>3</v>
      </c>
      <c r="I443" s="3" t="s">
        <v>8817</v>
      </c>
      <c r="J443" s="3" t="s">
        <v>10</v>
      </c>
      <c r="K443" s="3" t="s">
        <v>15</v>
      </c>
      <c r="L443" s="3" t="s">
        <v>12</v>
      </c>
      <c r="M443">
        <v>42</v>
      </c>
      <c r="N443" s="3"/>
    </row>
    <row r="444" spans="1:14" x14ac:dyDescent="0.25">
      <c r="A444" s="3" t="s">
        <v>472</v>
      </c>
      <c r="B444">
        <v>1983</v>
      </c>
      <c r="C444">
        <v>1983</v>
      </c>
      <c r="D444" s="3" t="s">
        <v>14</v>
      </c>
      <c r="E444" s="3" t="s">
        <v>14</v>
      </c>
      <c r="F444">
        <v>10</v>
      </c>
      <c r="G444" s="7">
        <v>30630</v>
      </c>
      <c r="H444">
        <v>3</v>
      </c>
      <c r="I444" s="3" t="s">
        <v>8818</v>
      </c>
      <c r="J444" s="3" t="s">
        <v>10</v>
      </c>
      <c r="K444" s="3" t="s">
        <v>15</v>
      </c>
      <c r="L444" s="3" t="s">
        <v>12</v>
      </c>
      <c r="M444">
        <v>43</v>
      </c>
      <c r="N444" s="3"/>
    </row>
    <row r="445" spans="1:14" x14ac:dyDescent="0.25">
      <c r="A445" s="3" t="s">
        <v>473</v>
      </c>
      <c r="B445">
        <v>1993</v>
      </c>
      <c r="C445">
        <v>1993</v>
      </c>
      <c r="D445" s="3" t="s">
        <v>29</v>
      </c>
      <c r="E445" s="3" t="s">
        <v>29</v>
      </c>
      <c r="F445">
        <v>26</v>
      </c>
      <c r="G445" s="7">
        <v>34329</v>
      </c>
      <c r="H445">
        <v>1</v>
      </c>
      <c r="I445" s="3" t="s">
        <v>8819</v>
      </c>
      <c r="J445" s="3" t="s">
        <v>11</v>
      </c>
      <c r="K445" s="3" t="s">
        <v>11</v>
      </c>
      <c r="L445" s="3" t="s">
        <v>163</v>
      </c>
      <c r="M445">
        <v>33</v>
      </c>
      <c r="N445" s="3"/>
    </row>
    <row r="446" spans="1:14" x14ac:dyDescent="0.25">
      <c r="A446" s="3" t="s">
        <v>474</v>
      </c>
      <c r="B446">
        <v>1988</v>
      </c>
      <c r="C446">
        <v>1988</v>
      </c>
      <c r="D446" s="3" t="s">
        <v>14</v>
      </c>
      <c r="E446" s="3" t="s">
        <v>14</v>
      </c>
      <c r="F446">
        <v>30</v>
      </c>
      <c r="G446" s="7">
        <v>32477</v>
      </c>
      <c r="H446">
        <v>3</v>
      </c>
      <c r="I446" s="3" t="s">
        <v>8820</v>
      </c>
      <c r="J446" s="3" t="s">
        <v>10</v>
      </c>
      <c r="K446" s="3" t="s">
        <v>15</v>
      </c>
      <c r="L446" s="3" t="s">
        <v>12</v>
      </c>
      <c r="M446">
        <v>38</v>
      </c>
      <c r="N446" s="3"/>
    </row>
    <row r="447" spans="1:14" x14ac:dyDescent="0.25">
      <c r="A447" s="3" t="s">
        <v>475</v>
      </c>
      <c r="B447">
        <v>1993</v>
      </c>
      <c r="C447">
        <v>1993</v>
      </c>
      <c r="D447" s="3" t="s">
        <v>34</v>
      </c>
      <c r="E447" s="3" t="s">
        <v>34</v>
      </c>
      <c r="F447">
        <v>13</v>
      </c>
      <c r="G447" s="7">
        <v>34194</v>
      </c>
      <c r="H447">
        <v>2</v>
      </c>
      <c r="I447" s="3" t="s">
        <v>8821</v>
      </c>
      <c r="J447" s="3" t="s">
        <v>10</v>
      </c>
      <c r="K447" s="3" t="s">
        <v>15</v>
      </c>
      <c r="L447" s="3" t="s">
        <v>12</v>
      </c>
      <c r="M447">
        <v>33</v>
      </c>
      <c r="N447" s="3"/>
    </row>
    <row r="448" spans="1:14" x14ac:dyDescent="0.25">
      <c r="A448" s="3" t="s">
        <v>476</v>
      </c>
      <c r="B448">
        <v>1995</v>
      </c>
      <c r="C448">
        <v>1995</v>
      </c>
      <c r="D448" s="3" t="s">
        <v>19</v>
      </c>
      <c r="E448" s="3" t="s">
        <v>19</v>
      </c>
      <c r="F448">
        <v>14</v>
      </c>
      <c r="G448" s="7">
        <v>34956</v>
      </c>
      <c r="H448">
        <v>2</v>
      </c>
      <c r="I448" s="3" t="s">
        <v>8822</v>
      </c>
      <c r="J448" s="3" t="s">
        <v>11</v>
      </c>
      <c r="K448" s="3" t="s">
        <v>11</v>
      </c>
      <c r="L448" s="3" t="s">
        <v>22</v>
      </c>
      <c r="M448">
        <v>31</v>
      </c>
      <c r="N448" s="3"/>
    </row>
    <row r="449" spans="1:14" x14ac:dyDescent="0.25">
      <c r="A449" s="3" t="s">
        <v>477</v>
      </c>
      <c r="B449">
        <v>1983</v>
      </c>
      <c r="C449">
        <v>1983</v>
      </c>
      <c r="D449" s="3" t="s">
        <v>19</v>
      </c>
      <c r="E449" s="3" t="s">
        <v>19</v>
      </c>
      <c r="F449">
        <v>16</v>
      </c>
      <c r="G449" s="7">
        <v>30575</v>
      </c>
      <c r="H449">
        <v>3</v>
      </c>
      <c r="I449" s="3" t="s">
        <v>8823</v>
      </c>
      <c r="J449" s="3" t="s">
        <v>10</v>
      </c>
      <c r="K449" s="3" t="s">
        <v>15</v>
      </c>
      <c r="L449" s="3" t="s">
        <v>12</v>
      </c>
      <c r="M449">
        <v>43</v>
      </c>
      <c r="N449" s="3"/>
    </row>
    <row r="450" spans="1:14" x14ac:dyDescent="0.25">
      <c r="A450" s="3" t="s">
        <v>478</v>
      </c>
      <c r="B450">
        <v>2002</v>
      </c>
      <c r="C450">
        <v>2002</v>
      </c>
      <c r="D450" s="3" t="s">
        <v>36</v>
      </c>
      <c r="E450" s="3" t="s">
        <v>36</v>
      </c>
      <c r="F450">
        <v>18</v>
      </c>
      <c r="G450" s="7">
        <v>37547</v>
      </c>
      <c r="H450">
        <v>0</v>
      </c>
      <c r="I450" s="3" t="s">
        <v>8824</v>
      </c>
      <c r="J450" s="3" t="s">
        <v>10</v>
      </c>
      <c r="K450" s="3" t="s">
        <v>15</v>
      </c>
      <c r="L450" s="3" t="s">
        <v>22</v>
      </c>
      <c r="M450">
        <v>24</v>
      </c>
      <c r="N450" s="3"/>
    </row>
    <row r="451" spans="1:14" x14ac:dyDescent="0.25">
      <c r="A451" s="3" t="s">
        <v>479</v>
      </c>
      <c r="B451">
        <v>1990</v>
      </c>
      <c r="C451">
        <v>1990</v>
      </c>
      <c r="D451" s="3" t="s">
        <v>29</v>
      </c>
      <c r="E451" s="3" t="s">
        <v>29</v>
      </c>
      <c r="F451">
        <v>1</v>
      </c>
      <c r="G451" s="7">
        <v>33208</v>
      </c>
      <c r="H451">
        <v>1</v>
      </c>
      <c r="I451" s="3" t="s">
        <v>8825</v>
      </c>
      <c r="J451" s="3" t="s">
        <v>11</v>
      </c>
      <c r="K451" s="3" t="s">
        <v>10</v>
      </c>
      <c r="L451" s="3" t="s">
        <v>12</v>
      </c>
      <c r="M451">
        <v>36</v>
      </c>
      <c r="N451" s="3"/>
    </row>
    <row r="452" spans="1:14" x14ac:dyDescent="0.25">
      <c r="A452" s="3" t="s">
        <v>480</v>
      </c>
      <c r="B452">
        <v>1990</v>
      </c>
      <c r="C452">
        <v>1990</v>
      </c>
      <c r="D452" s="3" t="s">
        <v>29</v>
      </c>
      <c r="E452" s="3" t="s">
        <v>29</v>
      </c>
      <c r="F452">
        <v>14</v>
      </c>
      <c r="G452" s="7">
        <v>33221</v>
      </c>
      <c r="H452">
        <v>1</v>
      </c>
      <c r="I452" s="3" t="s">
        <v>8826</v>
      </c>
      <c r="J452" s="3" t="s">
        <v>10</v>
      </c>
      <c r="K452" s="3" t="s">
        <v>11</v>
      </c>
      <c r="L452" s="3" t="s">
        <v>41</v>
      </c>
      <c r="M452">
        <v>36</v>
      </c>
      <c r="N452" s="3"/>
    </row>
    <row r="453" spans="1:14" x14ac:dyDescent="0.25">
      <c r="A453" s="3" t="s">
        <v>481</v>
      </c>
      <c r="B453">
        <v>1994</v>
      </c>
      <c r="C453">
        <v>1994</v>
      </c>
      <c r="D453" s="3" t="s">
        <v>34</v>
      </c>
      <c r="E453" s="3" t="s">
        <v>34</v>
      </c>
      <c r="F453">
        <v>21</v>
      </c>
      <c r="G453" s="7">
        <v>34567</v>
      </c>
      <c r="H453">
        <v>1</v>
      </c>
      <c r="I453" s="3" t="s">
        <v>8827</v>
      </c>
      <c r="J453" s="3" t="s">
        <v>10</v>
      </c>
      <c r="K453" s="3" t="s">
        <v>11</v>
      </c>
      <c r="L453" s="3" t="s">
        <v>22</v>
      </c>
      <c r="M453">
        <v>32</v>
      </c>
      <c r="N453" s="3"/>
    </row>
    <row r="454" spans="1:14" x14ac:dyDescent="0.25">
      <c r="A454" s="3" t="s">
        <v>482</v>
      </c>
      <c r="B454">
        <v>1991</v>
      </c>
      <c r="C454">
        <v>1991</v>
      </c>
      <c r="D454" s="3" t="s">
        <v>34</v>
      </c>
      <c r="E454" s="3" t="s">
        <v>34</v>
      </c>
      <c r="F454">
        <v>6</v>
      </c>
      <c r="G454" s="7">
        <v>33456</v>
      </c>
      <c r="H454">
        <v>0</v>
      </c>
      <c r="I454" s="3" t="s">
        <v>8828</v>
      </c>
      <c r="J454" s="3" t="s">
        <v>10</v>
      </c>
      <c r="K454" s="3" t="s">
        <v>15</v>
      </c>
      <c r="L454" s="3" t="s">
        <v>22</v>
      </c>
      <c r="M454">
        <v>35</v>
      </c>
      <c r="N454" s="3"/>
    </row>
    <row r="455" spans="1:14" x14ac:dyDescent="0.25">
      <c r="A455" s="3" t="s">
        <v>483</v>
      </c>
      <c r="B455">
        <v>1992</v>
      </c>
      <c r="C455">
        <v>1992</v>
      </c>
      <c r="D455" s="3" t="s">
        <v>17</v>
      </c>
      <c r="E455" s="3" t="s">
        <v>17</v>
      </c>
      <c r="F455">
        <v>18</v>
      </c>
      <c r="G455" s="7">
        <v>33773</v>
      </c>
      <c r="H455">
        <v>0</v>
      </c>
      <c r="I455" s="3" t="s">
        <v>8829</v>
      </c>
      <c r="J455" s="3" t="s">
        <v>10</v>
      </c>
      <c r="K455" s="3" t="s">
        <v>11</v>
      </c>
      <c r="L455" s="3" t="s">
        <v>246</v>
      </c>
      <c r="M455">
        <v>34</v>
      </c>
      <c r="N455" s="3"/>
    </row>
    <row r="456" spans="1:14" x14ac:dyDescent="0.25">
      <c r="A456" s="3" t="s">
        <v>484</v>
      </c>
      <c r="B456">
        <v>1992</v>
      </c>
      <c r="C456">
        <v>1992</v>
      </c>
      <c r="D456" s="3" t="s">
        <v>17</v>
      </c>
      <c r="E456" s="3" t="s">
        <v>17</v>
      </c>
      <c r="F456">
        <v>28</v>
      </c>
      <c r="G456" s="7">
        <v>33783</v>
      </c>
      <c r="H456">
        <v>1</v>
      </c>
      <c r="I456" s="3" t="s">
        <v>8830</v>
      </c>
      <c r="J456" s="3" t="s">
        <v>10</v>
      </c>
      <c r="K456" s="3" t="s">
        <v>15</v>
      </c>
      <c r="L456" s="3" t="s">
        <v>41</v>
      </c>
      <c r="M456">
        <v>34</v>
      </c>
      <c r="N456" s="3"/>
    </row>
    <row r="457" spans="1:14" x14ac:dyDescent="0.25">
      <c r="A457" s="3" t="s">
        <v>485</v>
      </c>
      <c r="B457">
        <v>1992</v>
      </c>
      <c r="C457">
        <v>1992</v>
      </c>
      <c r="D457" s="3" t="s">
        <v>34</v>
      </c>
      <c r="E457" s="3" t="s">
        <v>34</v>
      </c>
      <c r="F457">
        <v>4</v>
      </c>
      <c r="G457" s="7">
        <v>33820</v>
      </c>
      <c r="H457">
        <v>1</v>
      </c>
      <c r="I457" s="3" t="s">
        <v>8831</v>
      </c>
      <c r="J457" s="3" t="s">
        <v>10</v>
      </c>
      <c r="K457" s="3" t="s">
        <v>10</v>
      </c>
      <c r="L457" s="3" t="s">
        <v>12</v>
      </c>
      <c r="M457">
        <v>34</v>
      </c>
      <c r="N457" s="3"/>
    </row>
    <row r="458" spans="1:14" x14ac:dyDescent="0.25">
      <c r="A458" s="3" t="s">
        <v>486</v>
      </c>
      <c r="B458">
        <v>1998</v>
      </c>
      <c r="C458">
        <v>1998</v>
      </c>
      <c r="D458" s="3" t="s">
        <v>14</v>
      </c>
      <c r="E458" s="3" t="s">
        <v>14</v>
      </c>
      <c r="F458">
        <v>26</v>
      </c>
      <c r="G458" s="7">
        <v>36125</v>
      </c>
      <c r="H458">
        <v>0</v>
      </c>
      <c r="I458" s="3" t="s">
        <v>8832</v>
      </c>
      <c r="J458" s="3" t="s">
        <v>10</v>
      </c>
      <c r="K458" s="3" t="s">
        <v>15</v>
      </c>
      <c r="L458" s="3" t="s">
        <v>22</v>
      </c>
      <c r="M458">
        <v>28</v>
      </c>
      <c r="N458" s="3"/>
    </row>
    <row r="459" spans="1:14" x14ac:dyDescent="0.25">
      <c r="A459" s="3" t="s">
        <v>487</v>
      </c>
      <c r="B459">
        <v>1984</v>
      </c>
      <c r="C459">
        <v>1984</v>
      </c>
      <c r="D459" s="3" t="s">
        <v>19</v>
      </c>
      <c r="E459" s="3" t="s">
        <v>19</v>
      </c>
      <c r="F459">
        <v>16</v>
      </c>
      <c r="G459" s="7">
        <v>30941</v>
      </c>
      <c r="H459">
        <v>3</v>
      </c>
      <c r="I459" s="3" t="s">
        <v>8833</v>
      </c>
      <c r="J459" s="3" t="s">
        <v>10</v>
      </c>
      <c r="K459" s="3" t="s">
        <v>10</v>
      </c>
      <c r="L459" s="3" t="s">
        <v>22</v>
      </c>
      <c r="M459">
        <v>42</v>
      </c>
      <c r="N459" s="3"/>
    </row>
    <row r="460" spans="1:14" x14ac:dyDescent="0.25">
      <c r="A460" s="3" t="s">
        <v>488</v>
      </c>
      <c r="B460">
        <v>1989</v>
      </c>
      <c r="C460">
        <v>1989</v>
      </c>
      <c r="D460" s="3" t="s">
        <v>17</v>
      </c>
      <c r="E460" s="3" t="s">
        <v>17</v>
      </c>
      <c r="F460">
        <v>25</v>
      </c>
      <c r="G460" s="7">
        <v>32684</v>
      </c>
      <c r="H460">
        <v>0</v>
      </c>
      <c r="I460" s="3" t="s">
        <v>8834</v>
      </c>
      <c r="J460" s="3" t="s">
        <v>10</v>
      </c>
      <c r="K460" s="3" t="s">
        <v>11</v>
      </c>
      <c r="L460" s="3" t="s">
        <v>12</v>
      </c>
      <c r="M460">
        <v>37</v>
      </c>
      <c r="N460" s="3"/>
    </row>
    <row r="461" spans="1:14" x14ac:dyDescent="0.25">
      <c r="A461" s="3" t="s">
        <v>489</v>
      </c>
      <c r="B461">
        <v>1995</v>
      </c>
      <c r="C461">
        <v>1995</v>
      </c>
      <c r="D461" s="3" t="s">
        <v>36</v>
      </c>
      <c r="E461" s="3" t="s">
        <v>36</v>
      </c>
      <c r="F461">
        <v>3</v>
      </c>
      <c r="G461" s="7">
        <v>34975</v>
      </c>
      <c r="H461">
        <v>0</v>
      </c>
      <c r="I461" s="3" t="s">
        <v>8835</v>
      </c>
      <c r="J461" s="3" t="s">
        <v>10</v>
      </c>
      <c r="K461" s="3" t="s">
        <v>10</v>
      </c>
      <c r="L461" s="3" t="s">
        <v>199</v>
      </c>
      <c r="M461">
        <v>31</v>
      </c>
      <c r="N461" s="3"/>
    </row>
    <row r="462" spans="1:14" x14ac:dyDescent="0.25">
      <c r="A462" s="3" t="s">
        <v>490</v>
      </c>
      <c r="B462">
        <v>1997</v>
      </c>
      <c r="C462">
        <v>1997</v>
      </c>
      <c r="D462" s="3" t="s">
        <v>19</v>
      </c>
      <c r="E462" s="3" t="s">
        <v>19</v>
      </c>
      <c r="F462">
        <v>6</v>
      </c>
      <c r="G462" s="7">
        <v>35679</v>
      </c>
      <c r="H462">
        <v>2</v>
      </c>
      <c r="I462" s="3" t="s">
        <v>8836</v>
      </c>
      <c r="J462" s="3" t="s">
        <v>10</v>
      </c>
      <c r="K462" s="3" t="s">
        <v>10</v>
      </c>
      <c r="L462" s="3" t="s">
        <v>22</v>
      </c>
      <c r="M462">
        <v>29</v>
      </c>
      <c r="N462" s="3"/>
    </row>
    <row r="463" spans="1:14" x14ac:dyDescent="0.25">
      <c r="A463" s="3" t="s">
        <v>491</v>
      </c>
      <c r="B463">
        <v>1998</v>
      </c>
      <c r="C463">
        <v>1998</v>
      </c>
      <c r="D463" s="3" t="s">
        <v>29</v>
      </c>
      <c r="E463" s="3" t="s">
        <v>29</v>
      </c>
      <c r="F463">
        <v>14</v>
      </c>
      <c r="G463" s="7">
        <v>36143</v>
      </c>
      <c r="H463">
        <v>3</v>
      </c>
      <c r="I463" s="3" t="s">
        <v>8837</v>
      </c>
      <c r="J463" s="3" t="s">
        <v>10</v>
      </c>
      <c r="K463" s="3" t="s">
        <v>15</v>
      </c>
      <c r="L463" s="3" t="s">
        <v>41</v>
      </c>
      <c r="M463">
        <v>28</v>
      </c>
      <c r="N463" s="3"/>
    </row>
    <row r="464" spans="1:14" x14ac:dyDescent="0.25">
      <c r="A464" s="3" t="s">
        <v>492</v>
      </c>
      <c r="B464">
        <v>1992</v>
      </c>
      <c r="C464">
        <v>1992</v>
      </c>
      <c r="D464" s="3" t="s">
        <v>17</v>
      </c>
      <c r="E464" s="3" t="s">
        <v>17</v>
      </c>
      <c r="F464">
        <v>27</v>
      </c>
      <c r="G464" s="7">
        <v>33782</v>
      </c>
      <c r="H464">
        <v>1</v>
      </c>
      <c r="I464" s="3" t="s">
        <v>8838</v>
      </c>
      <c r="J464" s="3" t="s">
        <v>11</v>
      </c>
      <c r="K464" s="3" t="s">
        <v>15</v>
      </c>
      <c r="L464" s="3" t="s">
        <v>167</v>
      </c>
      <c r="M464">
        <v>34</v>
      </c>
      <c r="N464" s="3"/>
    </row>
    <row r="465" spans="1:14" x14ac:dyDescent="0.25">
      <c r="A465" s="3" t="s">
        <v>493</v>
      </c>
      <c r="B465">
        <v>1991</v>
      </c>
      <c r="C465">
        <v>1991</v>
      </c>
      <c r="D465" s="3" t="s">
        <v>14</v>
      </c>
      <c r="E465" s="3" t="s">
        <v>14</v>
      </c>
      <c r="F465">
        <v>3</v>
      </c>
      <c r="G465" s="7">
        <v>33545</v>
      </c>
      <c r="H465">
        <v>1</v>
      </c>
      <c r="I465" s="3" t="s">
        <v>8839</v>
      </c>
      <c r="J465" s="3" t="s">
        <v>10</v>
      </c>
      <c r="K465" s="3" t="s">
        <v>10</v>
      </c>
      <c r="L465" s="3" t="s">
        <v>22</v>
      </c>
      <c r="M465">
        <v>35</v>
      </c>
      <c r="N465" s="3"/>
    </row>
    <row r="466" spans="1:14" x14ac:dyDescent="0.25">
      <c r="A466" s="3" t="s">
        <v>494</v>
      </c>
      <c r="B466">
        <v>1991</v>
      </c>
      <c r="C466">
        <v>1991</v>
      </c>
      <c r="D466" s="3" t="s">
        <v>29</v>
      </c>
      <c r="E466" s="3" t="s">
        <v>29</v>
      </c>
      <c r="F466">
        <v>1</v>
      </c>
      <c r="G466" s="7">
        <v>33573</v>
      </c>
      <c r="H466">
        <v>1</v>
      </c>
      <c r="I466" s="3" t="s">
        <v>8840</v>
      </c>
      <c r="J466" s="3" t="s">
        <v>11</v>
      </c>
      <c r="K466" s="3" t="s">
        <v>15</v>
      </c>
      <c r="L466" s="3" t="s">
        <v>22</v>
      </c>
      <c r="M466">
        <v>35</v>
      </c>
      <c r="N466" s="3"/>
    </row>
    <row r="467" spans="1:14" x14ac:dyDescent="0.25">
      <c r="A467" s="3" t="s">
        <v>495</v>
      </c>
      <c r="B467">
        <v>1982</v>
      </c>
      <c r="C467">
        <v>1982</v>
      </c>
      <c r="D467" s="3" t="s">
        <v>17</v>
      </c>
      <c r="E467" s="3" t="s">
        <v>17</v>
      </c>
      <c r="F467">
        <v>16</v>
      </c>
      <c r="G467" s="7">
        <v>30118</v>
      </c>
      <c r="H467">
        <v>3</v>
      </c>
      <c r="I467" s="3" t="s">
        <v>8841</v>
      </c>
      <c r="J467" s="3" t="s">
        <v>10</v>
      </c>
      <c r="K467" s="3" t="s">
        <v>11</v>
      </c>
      <c r="L467" s="3" t="s">
        <v>12</v>
      </c>
      <c r="M467">
        <v>44</v>
      </c>
      <c r="N467" s="3"/>
    </row>
    <row r="468" spans="1:14" x14ac:dyDescent="0.25">
      <c r="A468" s="3" t="s">
        <v>496</v>
      </c>
      <c r="B468">
        <v>1995</v>
      </c>
      <c r="C468">
        <v>1995</v>
      </c>
      <c r="D468" s="3" t="s">
        <v>36</v>
      </c>
      <c r="E468" s="3" t="s">
        <v>36</v>
      </c>
      <c r="F468">
        <v>14</v>
      </c>
      <c r="G468" s="7">
        <v>34986</v>
      </c>
      <c r="H468">
        <v>3</v>
      </c>
      <c r="I468" s="3" t="s">
        <v>8842</v>
      </c>
      <c r="J468" s="3" t="s">
        <v>11</v>
      </c>
      <c r="K468" s="3" t="s">
        <v>10</v>
      </c>
      <c r="L468" s="3" t="s">
        <v>41</v>
      </c>
      <c r="M468">
        <v>31</v>
      </c>
      <c r="N468" s="3"/>
    </row>
    <row r="469" spans="1:14" x14ac:dyDescent="0.25">
      <c r="A469" s="3" t="s">
        <v>497</v>
      </c>
      <c r="B469">
        <v>1983</v>
      </c>
      <c r="C469">
        <v>1983</v>
      </c>
      <c r="D469" s="3" t="s">
        <v>14</v>
      </c>
      <c r="E469" s="3" t="s">
        <v>14</v>
      </c>
      <c r="F469">
        <v>20</v>
      </c>
      <c r="G469" s="7">
        <v>30640</v>
      </c>
      <c r="H469">
        <v>3</v>
      </c>
      <c r="I469" s="3" t="s">
        <v>8843</v>
      </c>
      <c r="J469" s="3" t="s">
        <v>10</v>
      </c>
      <c r="K469" s="3" t="s">
        <v>15</v>
      </c>
      <c r="L469" s="3" t="s">
        <v>22</v>
      </c>
      <c r="M469">
        <v>43</v>
      </c>
      <c r="N469" s="3"/>
    </row>
    <row r="470" spans="1:14" x14ac:dyDescent="0.25">
      <c r="A470" s="3" t="s">
        <v>498</v>
      </c>
      <c r="B470">
        <v>1992</v>
      </c>
      <c r="C470">
        <v>1992</v>
      </c>
      <c r="D470" s="3" t="s">
        <v>17</v>
      </c>
      <c r="E470" s="3" t="s">
        <v>17</v>
      </c>
      <c r="F470">
        <v>18</v>
      </c>
      <c r="G470" s="7">
        <v>33773</v>
      </c>
      <c r="H470">
        <v>2</v>
      </c>
      <c r="I470" s="3" t="s">
        <v>8844</v>
      </c>
      <c r="J470" s="3" t="s">
        <v>11</v>
      </c>
      <c r="K470" s="3" t="s">
        <v>10</v>
      </c>
      <c r="L470" s="3" t="s">
        <v>12</v>
      </c>
      <c r="M470">
        <v>34</v>
      </c>
      <c r="N470" s="3"/>
    </row>
    <row r="471" spans="1:14" x14ac:dyDescent="0.25">
      <c r="A471" s="3" t="s">
        <v>499</v>
      </c>
      <c r="B471">
        <v>2003</v>
      </c>
      <c r="C471">
        <v>2003</v>
      </c>
      <c r="D471" s="3" t="s">
        <v>17</v>
      </c>
      <c r="E471" s="3" t="s">
        <v>17</v>
      </c>
      <c r="F471">
        <v>8</v>
      </c>
      <c r="G471" s="7">
        <v>37780</v>
      </c>
      <c r="H471">
        <v>0</v>
      </c>
      <c r="I471" s="3" t="s">
        <v>8845</v>
      </c>
      <c r="J471" s="3" t="s">
        <v>10</v>
      </c>
      <c r="K471" s="3" t="s">
        <v>15</v>
      </c>
      <c r="L471" s="3" t="s">
        <v>299</v>
      </c>
      <c r="M471">
        <v>23</v>
      </c>
      <c r="N471" s="3"/>
    </row>
    <row r="472" spans="1:14" x14ac:dyDescent="0.25">
      <c r="A472" s="3" t="s">
        <v>500</v>
      </c>
      <c r="B472">
        <v>2000</v>
      </c>
      <c r="C472">
        <v>2000</v>
      </c>
      <c r="D472" s="3" t="s">
        <v>14</v>
      </c>
      <c r="E472" s="3" t="s">
        <v>14</v>
      </c>
      <c r="F472">
        <v>25</v>
      </c>
      <c r="G472" s="7">
        <v>36855</v>
      </c>
      <c r="H472">
        <v>3</v>
      </c>
      <c r="I472" s="3" t="s">
        <v>8846</v>
      </c>
      <c r="J472" s="3" t="s">
        <v>10</v>
      </c>
      <c r="K472" s="3" t="s">
        <v>11</v>
      </c>
      <c r="L472" s="3" t="s">
        <v>22</v>
      </c>
      <c r="M472">
        <v>26</v>
      </c>
      <c r="N472" s="3"/>
    </row>
    <row r="473" spans="1:14" x14ac:dyDescent="0.25">
      <c r="A473" s="3" t="s">
        <v>501</v>
      </c>
      <c r="B473">
        <v>1988</v>
      </c>
      <c r="C473">
        <v>1988</v>
      </c>
      <c r="D473" s="3" t="s">
        <v>29</v>
      </c>
      <c r="E473" s="3" t="s">
        <v>29</v>
      </c>
      <c r="F473">
        <v>19</v>
      </c>
      <c r="G473" s="7">
        <v>32496</v>
      </c>
      <c r="H473">
        <v>0</v>
      </c>
      <c r="I473" s="3" t="s">
        <v>8847</v>
      </c>
      <c r="J473" s="3" t="s">
        <v>10</v>
      </c>
      <c r="K473" s="3" t="s">
        <v>15</v>
      </c>
      <c r="L473" s="3" t="s">
        <v>22</v>
      </c>
      <c r="M473">
        <v>38</v>
      </c>
      <c r="N473" s="3"/>
    </row>
    <row r="474" spans="1:14" x14ac:dyDescent="0.25">
      <c r="A474" s="3" t="s">
        <v>502</v>
      </c>
      <c r="B474">
        <v>1994</v>
      </c>
      <c r="C474">
        <v>1994</v>
      </c>
      <c r="D474" s="3" t="s">
        <v>14</v>
      </c>
      <c r="E474" s="3" t="s">
        <v>14</v>
      </c>
      <c r="F474">
        <v>2</v>
      </c>
      <c r="G474" s="7">
        <v>34640</v>
      </c>
      <c r="H474">
        <v>1</v>
      </c>
      <c r="I474" s="3" t="s">
        <v>8848</v>
      </c>
      <c r="J474" s="3" t="s">
        <v>10</v>
      </c>
      <c r="K474" s="3" t="s">
        <v>15</v>
      </c>
      <c r="L474" s="3" t="s">
        <v>246</v>
      </c>
      <c r="M474">
        <v>32</v>
      </c>
      <c r="N474" s="3"/>
    </row>
    <row r="475" spans="1:14" x14ac:dyDescent="0.25">
      <c r="A475" s="3" t="s">
        <v>503</v>
      </c>
      <c r="B475">
        <v>1994</v>
      </c>
      <c r="C475">
        <v>1994</v>
      </c>
      <c r="D475" s="3" t="s">
        <v>36</v>
      </c>
      <c r="E475" s="3" t="s">
        <v>36</v>
      </c>
      <c r="F475">
        <v>26</v>
      </c>
      <c r="G475" s="7">
        <v>34633</v>
      </c>
      <c r="H475">
        <v>2</v>
      </c>
      <c r="I475" s="3" t="s">
        <v>8849</v>
      </c>
      <c r="J475" s="3" t="s">
        <v>10</v>
      </c>
      <c r="K475" s="3" t="s">
        <v>15</v>
      </c>
      <c r="L475" s="3" t="s">
        <v>12</v>
      </c>
      <c r="M475">
        <v>32</v>
      </c>
      <c r="N475" s="3"/>
    </row>
    <row r="476" spans="1:14" x14ac:dyDescent="0.25">
      <c r="A476" s="3" t="s">
        <v>504</v>
      </c>
      <c r="B476">
        <v>1991</v>
      </c>
      <c r="C476">
        <v>1991</v>
      </c>
      <c r="D476" s="3" t="s">
        <v>17</v>
      </c>
      <c r="E476" s="3" t="s">
        <v>17</v>
      </c>
      <c r="F476">
        <v>1</v>
      </c>
      <c r="G476" s="7">
        <v>33390</v>
      </c>
      <c r="H476">
        <v>0</v>
      </c>
      <c r="I476" s="3" t="s">
        <v>8850</v>
      </c>
      <c r="J476" s="3" t="s">
        <v>10</v>
      </c>
      <c r="K476" s="3" t="s">
        <v>15</v>
      </c>
      <c r="L476" s="3" t="s">
        <v>246</v>
      </c>
      <c r="M476">
        <v>35</v>
      </c>
      <c r="N476" s="3"/>
    </row>
    <row r="477" spans="1:14" x14ac:dyDescent="0.25">
      <c r="A477" s="3" t="s">
        <v>505</v>
      </c>
      <c r="B477">
        <v>1994</v>
      </c>
      <c r="C477">
        <v>1994</v>
      </c>
      <c r="D477" s="3" t="s">
        <v>14</v>
      </c>
      <c r="E477" s="3" t="s">
        <v>14</v>
      </c>
      <c r="F477">
        <v>1</v>
      </c>
      <c r="G477" s="7">
        <v>34639</v>
      </c>
      <c r="H477">
        <v>2</v>
      </c>
      <c r="I477" s="3" t="s">
        <v>8851</v>
      </c>
      <c r="J477" s="3" t="s">
        <v>10</v>
      </c>
      <c r="K477" s="3" t="s">
        <v>10</v>
      </c>
      <c r="L477" s="3" t="s">
        <v>12</v>
      </c>
      <c r="M477">
        <v>32</v>
      </c>
      <c r="N477" s="3"/>
    </row>
    <row r="478" spans="1:14" x14ac:dyDescent="0.25">
      <c r="A478" s="3" t="s">
        <v>506</v>
      </c>
      <c r="B478">
        <v>1991</v>
      </c>
      <c r="C478">
        <v>1991</v>
      </c>
      <c r="D478" s="3" t="s">
        <v>19</v>
      </c>
      <c r="E478" s="3" t="s">
        <v>19</v>
      </c>
      <c r="F478">
        <v>13</v>
      </c>
      <c r="G478" s="7">
        <v>33494</v>
      </c>
      <c r="H478">
        <v>1</v>
      </c>
      <c r="I478" s="3" t="s">
        <v>8852</v>
      </c>
      <c r="J478" s="3" t="s">
        <v>10</v>
      </c>
      <c r="K478" s="3" t="s">
        <v>10</v>
      </c>
      <c r="L478" s="3" t="s">
        <v>12</v>
      </c>
      <c r="M478">
        <v>35</v>
      </c>
      <c r="N478" s="3"/>
    </row>
    <row r="479" spans="1:14" x14ac:dyDescent="0.25">
      <c r="A479" s="3" t="s">
        <v>507</v>
      </c>
      <c r="B479">
        <v>1990</v>
      </c>
      <c r="C479">
        <v>1990</v>
      </c>
      <c r="D479" s="3" t="s">
        <v>34</v>
      </c>
      <c r="E479" s="3" t="s">
        <v>34</v>
      </c>
      <c r="F479">
        <v>28</v>
      </c>
      <c r="G479" s="7">
        <v>33113</v>
      </c>
      <c r="H479">
        <v>0</v>
      </c>
      <c r="I479" s="3" t="s">
        <v>8853</v>
      </c>
      <c r="J479" s="3" t="s">
        <v>10</v>
      </c>
      <c r="K479" s="3" t="s">
        <v>11</v>
      </c>
      <c r="L479" s="3" t="s">
        <v>22</v>
      </c>
      <c r="M479">
        <v>36</v>
      </c>
      <c r="N479" s="3"/>
    </row>
    <row r="480" spans="1:14" x14ac:dyDescent="0.25">
      <c r="A480" s="3" t="s">
        <v>508</v>
      </c>
      <c r="B480">
        <v>1997</v>
      </c>
      <c r="C480">
        <v>1997</v>
      </c>
      <c r="D480" s="3" t="s">
        <v>14</v>
      </c>
      <c r="E480" s="3" t="s">
        <v>14</v>
      </c>
      <c r="F480">
        <v>29</v>
      </c>
      <c r="G480" s="7">
        <v>35763</v>
      </c>
      <c r="H480">
        <v>3</v>
      </c>
      <c r="I480" s="3" t="s">
        <v>8854</v>
      </c>
      <c r="J480" s="3" t="s">
        <v>10</v>
      </c>
      <c r="K480" s="3" t="s">
        <v>10</v>
      </c>
      <c r="L480" s="3" t="s">
        <v>41</v>
      </c>
      <c r="M480">
        <v>29</v>
      </c>
      <c r="N480" s="3"/>
    </row>
    <row r="481" spans="1:14" x14ac:dyDescent="0.25">
      <c r="A481" s="3" t="s">
        <v>509</v>
      </c>
      <c r="B481">
        <v>1982</v>
      </c>
      <c r="C481">
        <v>1982</v>
      </c>
      <c r="D481" s="3" t="s">
        <v>17</v>
      </c>
      <c r="E481" s="3" t="s">
        <v>17</v>
      </c>
      <c r="F481">
        <v>29</v>
      </c>
      <c r="G481" s="7">
        <v>30131</v>
      </c>
      <c r="H481">
        <v>3</v>
      </c>
      <c r="I481" s="3" t="s">
        <v>8855</v>
      </c>
      <c r="J481" s="3" t="s">
        <v>10</v>
      </c>
      <c r="K481" s="3" t="s">
        <v>10</v>
      </c>
      <c r="L481" s="3" t="s">
        <v>12</v>
      </c>
      <c r="M481">
        <v>44</v>
      </c>
      <c r="N481" s="3"/>
    </row>
    <row r="482" spans="1:14" x14ac:dyDescent="0.25">
      <c r="A482" s="3" t="s">
        <v>510</v>
      </c>
      <c r="B482">
        <v>1988</v>
      </c>
      <c r="C482">
        <v>1988</v>
      </c>
      <c r="D482" s="3" t="s">
        <v>9</v>
      </c>
      <c r="E482" s="3" t="s">
        <v>9</v>
      </c>
      <c r="F482">
        <v>18</v>
      </c>
      <c r="G482" s="7">
        <v>32342</v>
      </c>
      <c r="H482">
        <v>3</v>
      </c>
      <c r="I482" s="3" t="s">
        <v>8856</v>
      </c>
      <c r="J482" s="3" t="s">
        <v>10</v>
      </c>
      <c r="K482" s="3" t="s">
        <v>10</v>
      </c>
      <c r="L482" s="3" t="s">
        <v>12</v>
      </c>
      <c r="M482">
        <v>38</v>
      </c>
      <c r="N482" s="3"/>
    </row>
    <row r="483" spans="1:14" x14ac:dyDescent="0.25">
      <c r="A483" s="3" t="s">
        <v>511</v>
      </c>
      <c r="B483">
        <v>1986</v>
      </c>
      <c r="C483">
        <v>1986</v>
      </c>
      <c r="D483" s="3" t="s">
        <v>34</v>
      </c>
      <c r="E483" s="3" t="s">
        <v>34</v>
      </c>
      <c r="F483">
        <v>11</v>
      </c>
      <c r="G483" s="7">
        <v>31635</v>
      </c>
      <c r="H483">
        <v>0</v>
      </c>
      <c r="I483" s="3" t="s">
        <v>8857</v>
      </c>
      <c r="J483" s="3" t="s">
        <v>11</v>
      </c>
      <c r="K483" s="3" t="s">
        <v>10</v>
      </c>
      <c r="L483" s="3" t="s">
        <v>12</v>
      </c>
      <c r="M483">
        <v>40</v>
      </c>
      <c r="N483" s="3"/>
    </row>
    <row r="484" spans="1:14" x14ac:dyDescent="0.25">
      <c r="A484" s="3" t="s">
        <v>512</v>
      </c>
      <c r="B484">
        <v>1986</v>
      </c>
      <c r="C484">
        <v>1986</v>
      </c>
      <c r="D484" s="3" t="s">
        <v>9</v>
      </c>
      <c r="E484" s="3" t="s">
        <v>9</v>
      </c>
      <c r="F484">
        <v>13</v>
      </c>
      <c r="G484" s="7">
        <v>31606</v>
      </c>
      <c r="H484">
        <v>0</v>
      </c>
      <c r="I484" s="3" t="s">
        <v>8858</v>
      </c>
      <c r="J484" s="3" t="s">
        <v>10</v>
      </c>
      <c r="K484" s="3" t="s">
        <v>10</v>
      </c>
      <c r="L484" s="3" t="s">
        <v>41</v>
      </c>
      <c r="M484">
        <v>40</v>
      </c>
      <c r="N484" s="3"/>
    </row>
    <row r="485" spans="1:14" x14ac:dyDescent="0.25">
      <c r="A485" s="3" t="s">
        <v>513</v>
      </c>
      <c r="B485">
        <v>1988</v>
      </c>
      <c r="C485">
        <v>1988</v>
      </c>
      <c r="D485" s="3" t="s">
        <v>19</v>
      </c>
      <c r="E485" s="3" t="s">
        <v>19</v>
      </c>
      <c r="F485">
        <v>16</v>
      </c>
      <c r="G485" s="7">
        <v>32402</v>
      </c>
      <c r="H485">
        <v>0</v>
      </c>
      <c r="I485" s="3" t="s">
        <v>8859</v>
      </c>
      <c r="J485" s="3" t="s">
        <v>10</v>
      </c>
      <c r="K485" s="3" t="s">
        <v>15</v>
      </c>
      <c r="L485" s="3" t="s">
        <v>12</v>
      </c>
      <c r="M485">
        <v>38</v>
      </c>
      <c r="N485" s="3"/>
    </row>
    <row r="486" spans="1:14" x14ac:dyDescent="0.25">
      <c r="A486" s="3" t="s">
        <v>514</v>
      </c>
      <c r="B486">
        <v>1992</v>
      </c>
      <c r="C486">
        <v>1992</v>
      </c>
      <c r="D486" s="3" t="s">
        <v>34</v>
      </c>
      <c r="E486" s="3" t="s">
        <v>34</v>
      </c>
      <c r="F486">
        <v>15</v>
      </c>
      <c r="G486" s="7">
        <v>33831</v>
      </c>
      <c r="H486">
        <v>0</v>
      </c>
      <c r="I486" s="3" t="s">
        <v>8860</v>
      </c>
      <c r="J486" s="3" t="s">
        <v>10</v>
      </c>
      <c r="K486" s="3" t="s">
        <v>11</v>
      </c>
      <c r="L486" s="3" t="s">
        <v>515</v>
      </c>
      <c r="M486">
        <v>34</v>
      </c>
      <c r="N486" s="3"/>
    </row>
    <row r="487" spans="1:14" x14ac:dyDescent="0.25">
      <c r="A487" s="3" t="s">
        <v>516</v>
      </c>
      <c r="B487">
        <v>1994</v>
      </c>
      <c r="C487">
        <v>1994</v>
      </c>
      <c r="D487" s="3" t="s">
        <v>29</v>
      </c>
      <c r="E487" s="3" t="s">
        <v>29</v>
      </c>
      <c r="F487">
        <v>29</v>
      </c>
      <c r="G487" s="7">
        <v>34697</v>
      </c>
      <c r="H487">
        <v>2</v>
      </c>
      <c r="I487" s="3" t="s">
        <v>8861</v>
      </c>
      <c r="J487" s="3" t="s">
        <v>11</v>
      </c>
      <c r="K487" s="3" t="s">
        <v>15</v>
      </c>
      <c r="L487" s="3" t="s">
        <v>355</v>
      </c>
      <c r="M487">
        <v>32</v>
      </c>
      <c r="N487" s="3"/>
    </row>
    <row r="488" spans="1:14" x14ac:dyDescent="0.25">
      <c r="A488" s="3" t="s">
        <v>517</v>
      </c>
      <c r="B488">
        <v>1993</v>
      </c>
      <c r="C488">
        <v>1993</v>
      </c>
      <c r="D488" s="3" t="s">
        <v>19</v>
      </c>
      <c r="E488" s="3" t="s">
        <v>19</v>
      </c>
      <c r="F488">
        <v>4</v>
      </c>
      <c r="G488" s="7">
        <v>34216</v>
      </c>
      <c r="H488">
        <v>2</v>
      </c>
      <c r="I488" s="3" t="s">
        <v>8862</v>
      </c>
      <c r="J488" s="3" t="s">
        <v>10</v>
      </c>
      <c r="K488" s="3" t="s">
        <v>11</v>
      </c>
      <c r="L488" s="3" t="s">
        <v>22</v>
      </c>
      <c r="M488">
        <v>33</v>
      </c>
      <c r="N488" s="3"/>
    </row>
    <row r="489" spans="1:14" x14ac:dyDescent="0.25">
      <c r="A489" s="3" t="s">
        <v>518</v>
      </c>
      <c r="B489">
        <v>1993</v>
      </c>
      <c r="C489">
        <v>1993</v>
      </c>
      <c r="D489" s="3" t="s">
        <v>29</v>
      </c>
      <c r="E489" s="3" t="s">
        <v>29</v>
      </c>
      <c r="F489">
        <v>23</v>
      </c>
      <c r="G489" s="7">
        <v>34326</v>
      </c>
      <c r="H489">
        <v>2</v>
      </c>
      <c r="I489" s="3" t="s">
        <v>8863</v>
      </c>
      <c r="J489" s="3" t="s">
        <v>10</v>
      </c>
      <c r="K489" s="3" t="s">
        <v>10</v>
      </c>
      <c r="L489" s="3" t="s">
        <v>22</v>
      </c>
      <c r="M489">
        <v>33</v>
      </c>
      <c r="N489" s="3"/>
    </row>
    <row r="490" spans="1:14" x14ac:dyDescent="0.25">
      <c r="A490" s="3" t="s">
        <v>519</v>
      </c>
      <c r="B490">
        <v>1994</v>
      </c>
      <c r="C490">
        <v>1994</v>
      </c>
      <c r="D490" s="3" t="s">
        <v>36</v>
      </c>
      <c r="E490" s="3" t="s">
        <v>36</v>
      </c>
      <c r="F490">
        <v>8</v>
      </c>
      <c r="G490" s="7">
        <v>34615</v>
      </c>
      <c r="H490">
        <v>2</v>
      </c>
      <c r="I490" s="3" t="s">
        <v>8864</v>
      </c>
      <c r="J490" s="3" t="s">
        <v>11</v>
      </c>
      <c r="K490" s="3" t="s">
        <v>10</v>
      </c>
      <c r="L490" s="3" t="s">
        <v>167</v>
      </c>
      <c r="M490">
        <v>32</v>
      </c>
      <c r="N490" s="3"/>
    </row>
    <row r="491" spans="1:14" x14ac:dyDescent="0.25">
      <c r="A491" s="3" t="s">
        <v>520</v>
      </c>
      <c r="B491">
        <v>1994</v>
      </c>
      <c r="C491">
        <v>1994</v>
      </c>
      <c r="D491" s="3" t="s">
        <v>36</v>
      </c>
      <c r="E491" s="3" t="s">
        <v>36</v>
      </c>
      <c r="F491">
        <v>24</v>
      </c>
      <c r="G491" s="7">
        <v>34631</v>
      </c>
      <c r="H491">
        <v>2</v>
      </c>
      <c r="I491" s="3" t="s">
        <v>8865</v>
      </c>
      <c r="J491" s="3" t="s">
        <v>10</v>
      </c>
      <c r="K491" s="3" t="s">
        <v>11</v>
      </c>
      <c r="L491" s="3" t="s">
        <v>355</v>
      </c>
      <c r="M491">
        <v>32</v>
      </c>
      <c r="N491" s="3"/>
    </row>
    <row r="492" spans="1:14" x14ac:dyDescent="0.25">
      <c r="A492" s="3" t="s">
        <v>521</v>
      </c>
      <c r="B492">
        <v>1991</v>
      </c>
      <c r="C492">
        <v>1991</v>
      </c>
      <c r="D492" s="3" t="s">
        <v>19</v>
      </c>
      <c r="E492" s="3" t="s">
        <v>19</v>
      </c>
      <c r="F492">
        <v>3</v>
      </c>
      <c r="G492" s="7">
        <v>33484</v>
      </c>
      <c r="H492">
        <v>1</v>
      </c>
      <c r="I492" s="3" t="s">
        <v>8866</v>
      </c>
      <c r="J492" s="3" t="s">
        <v>15</v>
      </c>
      <c r="K492" s="3" t="s">
        <v>10</v>
      </c>
      <c r="L492" s="3" t="s">
        <v>275</v>
      </c>
      <c r="M492">
        <v>35</v>
      </c>
      <c r="N492" s="3"/>
    </row>
    <row r="493" spans="1:14" x14ac:dyDescent="0.25">
      <c r="A493" s="3" t="s">
        <v>522</v>
      </c>
      <c r="B493">
        <v>1994</v>
      </c>
      <c r="C493">
        <v>1994</v>
      </c>
      <c r="D493" s="3" t="s">
        <v>17</v>
      </c>
      <c r="E493" s="3" t="s">
        <v>17</v>
      </c>
      <c r="F493">
        <v>28</v>
      </c>
      <c r="G493" s="7">
        <v>34513</v>
      </c>
      <c r="H493">
        <v>3</v>
      </c>
      <c r="I493" s="3" t="s">
        <v>8867</v>
      </c>
      <c r="J493" s="3" t="s">
        <v>15</v>
      </c>
      <c r="K493" s="3" t="s">
        <v>10</v>
      </c>
      <c r="L493" s="3" t="s">
        <v>12</v>
      </c>
      <c r="M493">
        <v>32</v>
      </c>
      <c r="N493" s="3"/>
    </row>
    <row r="494" spans="1:14" x14ac:dyDescent="0.25">
      <c r="A494" s="3" t="s">
        <v>523</v>
      </c>
      <c r="B494">
        <v>1990</v>
      </c>
      <c r="C494">
        <v>1990</v>
      </c>
      <c r="D494" s="3" t="s">
        <v>34</v>
      </c>
      <c r="E494" s="3" t="s">
        <v>34</v>
      </c>
      <c r="F494">
        <v>8</v>
      </c>
      <c r="G494" s="7">
        <v>33093</v>
      </c>
      <c r="H494">
        <v>1</v>
      </c>
      <c r="I494" s="3" t="s">
        <v>8868</v>
      </c>
      <c r="J494" s="3" t="s">
        <v>10</v>
      </c>
      <c r="K494" s="3" t="s">
        <v>11</v>
      </c>
      <c r="L494" s="3" t="s">
        <v>22</v>
      </c>
      <c r="M494">
        <v>36</v>
      </c>
      <c r="N494" s="3"/>
    </row>
    <row r="495" spans="1:14" x14ac:dyDescent="0.25">
      <c r="A495" s="3" t="s">
        <v>524</v>
      </c>
      <c r="B495">
        <v>1990</v>
      </c>
      <c r="C495">
        <v>1990</v>
      </c>
      <c r="D495" s="3" t="s">
        <v>9</v>
      </c>
      <c r="E495" s="3" t="s">
        <v>9</v>
      </c>
      <c r="F495">
        <v>15</v>
      </c>
      <c r="G495" s="7">
        <v>33069</v>
      </c>
      <c r="H495">
        <v>1</v>
      </c>
      <c r="I495" s="3" t="s">
        <v>8869</v>
      </c>
      <c r="J495" s="3" t="s">
        <v>10</v>
      </c>
      <c r="K495" s="3" t="s">
        <v>11</v>
      </c>
      <c r="L495" s="3" t="s">
        <v>22</v>
      </c>
      <c r="M495">
        <v>36</v>
      </c>
      <c r="N495" s="3"/>
    </row>
    <row r="496" spans="1:14" x14ac:dyDescent="0.25">
      <c r="A496" s="3" t="s">
        <v>525</v>
      </c>
      <c r="B496">
        <v>1991</v>
      </c>
      <c r="C496">
        <v>1991</v>
      </c>
      <c r="D496" s="3" t="s">
        <v>9</v>
      </c>
      <c r="E496" s="3" t="s">
        <v>9</v>
      </c>
      <c r="F496">
        <v>4</v>
      </c>
      <c r="G496" s="7">
        <v>33423</v>
      </c>
      <c r="H496">
        <v>2</v>
      </c>
      <c r="I496" s="3" t="s">
        <v>8870</v>
      </c>
      <c r="J496" s="3" t="s">
        <v>11</v>
      </c>
      <c r="K496" s="3" t="s">
        <v>11</v>
      </c>
      <c r="L496" s="3" t="s">
        <v>12</v>
      </c>
      <c r="M496">
        <v>35</v>
      </c>
      <c r="N496" s="3"/>
    </row>
    <row r="497" spans="1:14" x14ac:dyDescent="0.25">
      <c r="A497" s="3" t="s">
        <v>526</v>
      </c>
      <c r="B497">
        <v>1999</v>
      </c>
      <c r="C497">
        <v>1999</v>
      </c>
      <c r="D497" s="3" t="s">
        <v>14</v>
      </c>
      <c r="E497" s="3" t="s">
        <v>14</v>
      </c>
      <c r="F497">
        <v>20</v>
      </c>
      <c r="G497" s="7">
        <v>36484</v>
      </c>
      <c r="H497">
        <v>3</v>
      </c>
      <c r="I497" s="3" t="s">
        <v>8871</v>
      </c>
      <c r="J497" s="3" t="s">
        <v>10</v>
      </c>
      <c r="K497" s="3" t="s">
        <v>10</v>
      </c>
      <c r="L497" s="3" t="s">
        <v>22</v>
      </c>
      <c r="M497">
        <v>27</v>
      </c>
      <c r="N497" s="3"/>
    </row>
    <row r="498" spans="1:14" x14ac:dyDescent="0.25">
      <c r="A498" s="3" t="s">
        <v>527</v>
      </c>
      <c r="B498">
        <v>2004</v>
      </c>
      <c r="C498">
        <v>2004</v>
      </c>
      <c r="D498" s="3" t="s">
        <v>9</v>
      </c>
      <c r="E498" s="3" t="s">
        <v>9</v>
      </c>
      <c r="F498">
        <v>18</v>
      </c>
      <c r="G498" s="7">
        <v>38186</v>
      </c>
      <c r="H498">
        <v>0</v>
      </c>
      <c r="I498" s="3" t="s">
        <v>8872</v>
      </c>
      <c r="J498" s="3" t="s">
        <v>10</v>
      </c>
      <c r="K498" s="3" t="s">
        <v>10</v>
      </c>
      <c r="L498" s="3" t="s">
        <v>22</v>
      </c>
      <c r="M498">
        <v>22</v>
      </c>
      <c r="N498" s="3"/>
    </row>
    <row r="499" spans="1:14" x14ac:dyDescent="0.25">
      <c r="A499" s="3" t="s">
        <v>528</v>
      </c>
      <c r="B499">
        <v>1992</v>
      </c>
      <c r="C499">
        <v>1992</v>
      </c>
      <c r="D499" s="3" t="s">
        <v>9</v>
      </c>
      <c r="E499" s="3" t="s">
        <v>9</v>
      </c>
      <c r="F499">
        <v>12</v>
      </c>
      <c r="G499" s="7">
        <v>33797</v>
      </c>
      <c r="H499">
        <v>0</v>
      </c>
      <c r="I499" s="3" t="s">
        <v>8873</v>
      </c>
      <c r="J499" s="3" t="s">
        <v>10</v>
      </c>
      <c r="K499" s="3" t="s">
        <v>11</v>
      </c>
      <c r="L499" s="3" t="s">
        <v>22</v>
      </c>
      <c r="M499">
        <v>34</v>
      </c>
      <c r="N499" s="3"/>
    </row>
    <row r="500" spans="1:14" x14ac:dyDescent="0.25">
      <c r="A500" s="3" t="s">
        <v>529</v>
      </c>
      <c r="B500">
        <v>1988</v>
      </c>
      <c r="C500">
        <v>1988</v>
      </c>
      <c r="D500" s="3" t="s">
        <v>17</v>
      </c>
      <c r="E500" s="3" t="s">
        <v>17</v>
      </c>
      <c r="F500">
        <v>26</v>
      </c>
      <c r="G500" s="7">
        <v>32320</v>
      </c>
      <c r="H500">
        <v>0</v>
      </c>
      <c r="I500" s="3" t="s">
        <v>8874</v>
      </c>
      <c r="J500" s="3" t="s">
        <v>10</v>
      </c>
      <c r="K500" s="3" t="s">
        <v>15</v>
      </c>
      <c r="L500" s="3" t="s">
        <v>355</v>
      </c>
      <c r="M500">
        <v>38</v>
      </c>
      <c r="N500" s="3"/>
    </row>
    <row r="501" spans="1:14" x14ac:dyDescent="0.25">
      <c r="A501" s="3" t="s">
        <v>530</v>
      </c>
      <c r="B501">
        <v>1997</v>
      </c>
      <c r="C501">
        <v>1997</v>
      </c>
      <c r="D501" s="3" t="s">
        <v>36</v>
      </c>
      <c r="E501" s="3" t="s">
        <v>36</v>
      </c>
      <c r="F501">
        <v>13</v>
      </c>
      <c r="G501" s="7">
        <v>35716</v>
      </c>
      <c r="H501">
        <v>4</v>
      </c>
      <c r="I501" s="3" t="s">
        <v>8875</v>
      </c>
      <c r="J501" s="3" t="s">
        <v>15</v>
      </c>
      <c r="K501" s="3" t="s">
        <v>10</v>
      </c>
      <c r="L501" s="3" t="s">
        <v>12</v>
      </c>
      <c r="M501">
        <v>29</v>
      </c>
      <c r="N501" s="3"/>
    </row>
    <row r="502" spans="1:14" x14ac:dyDescent="0.25">
      <c r="A502" s="3" t="s">
        <v>531</v>
      </c>
      <c r="B502">
        <v>1982</v>
      </c>
      <c r="C502">
        <v>1982</v>
      </c>
      <c r="D502" s="3" t="s">
        <v>19</v>
      </c>
      <c r="E502" s="3" t="s">
        <v>19</v>
      </c>
      <c r="F502">
        <v>27</v>
      </c>
      <c r="G502" s="7">
        <v>30221</v>
      </c>
      <c r="H502">
        <v>3</v>
      </c>
      <c r="I502" s="3" t="s">
        <v>8876</v>
      </c>
      <c r="J502" s="3" t="s">
        <v>10</v>
      </c>
      <c r="K502" s="3" t="s">
        <v>11</v>
      </c>
      <c r="L502" s="3" t="s">
        <v>12</v>
      </c>
      <c r="M502">
        <v>44</v>
      </c>
      <c r="N502" s="3"/>
    </row>
    <row r="503" spans="1:14" x14ac:dyDescent="0.25">
      <c r="A503" s="3" t="s">
        <v>532</v>
      </c>
      <c r="B503">
        <v>1980</v>
      </c>
      <c r="C503">
        <v>1980</v>
      </c>
      <c r="D503" s="3" t="s">
        <v>17</v>
      </c>
      <c r="E503" s="3" t="s">
        <v>17</v>
      </c>
      <c r="F503">
        <v>16</v>
      </c>
      <c r="G503" s="7">
        <v>29388</v>
      </c>
      <c r="H503">
        <v>2</v>
      </c>
      <c r="I503" s="3" t="s">
        <v>8877</v>
      </c>
      <c r="J503" s="3" t="s">
        <v>10</v>
      </c>
      <c r="K503" s="3" t="s">
        <v>11</v>
      </c>
      <c r="L503" s="3" t="s">
        <v>12</v>
      </c>
      <c r="M503">
        <v>46</v>
      </c>
      <c r="N503" s="3"/>
    </row>
    <row r="504" spans="1:14" x14ac:dyDescent="0.25">
      <c r="A504" s="3" t="s">
        <v>533</v>
      </c>
      <c r="B504">
        <v>2003</v>
      </c>
      <c r="C504">
        <v>2003</v>
      </c>
      <c r="D504" s="3" t="s">
        <v>36</v>
      </c>
      <c r="E504" s="3" t="s">
        <v>36</v>
      </c>
      <c r="F504">
        <v>2</v>
      </c>
      <c r="G504" s="7">
        <v>37896</v>
      </c>
      <c r="H504">
        <v>0</v>
      </c>
      <c r="I504" s="3" t="s">
        <v>8878</v>
      </c>
      <c r="J504" s="3" t="s">
        <v>10</v>
      </c>
      <c r="K504" s="3" t="s">
        <v>11</v>
      </c>
      <c r="L504" s="3" t="s">
        <v>534</v>
      </c>
      <c r="M504">
        <v>23</v>
      </c>
      <c r="N504" s="3"/>
    </row>
    <row r="505" spans="1:14" x14ac:dyDescent="0.25">
      <c r="A505" s="3" t="s">
        <v>535</v>
      </c>
      <c r="B505">
        <v>1987</v>
      </c>
      <c r="C505">
        <v>1987</v>
      </c>
      <c r="D505" s="3" t="s">
        <v>29</v>
      </c>
      <c r="E505" s="3" t="s">
        <v>29</v>
      </c>
      <c r="F505">
        <v>5</v>
      </c>
      <c r="G505" s="7">
        <v>32116</v>
      </c>
      <c r="H505">
        <v>3</v>
      </c>
      <c r="I505" s="3" t="s">
        <v>8879</v>
      </c>
      <c r="J505" s="3" t="s">
        <v>10</v>
      </c>
      <c r="K505" s="3" t="s">
        <v>11</v>
      </c>
      <c r="L505" s="3" t="s">
        <v>22</v>
      </c>
      <c r="M505">
        <v>39</v>
      </c>
      <c r="N505" s="3"/>
    </row>
    <row r="506" spans="1:14" x14ac:dyDescent="0.25">
      <c r="A506" s="3" t="s">
        <v>536</v>
      </c>
      <c r="B506">
        <v>1988</v>
      </c>
      <c r="C506">
        <v>1988</v>
      </c>
      <c r="D506" s="3" t="s">
        <v>29</v>
      </c>
      <c r="E506" s="3" t="s">
        <v>29</v>
      </c>
      <c r="F506">
        <v>21</v>
      </c>
      <c r="G506" s="7">
        <v>32498</v>
      </c>
      <c r="H506">
        <v>0</v>
      </c>
      <c r="I506" s="3" t="s">
        <v>8880</v>
      </c>
      <c r="J506" s="3" t="s">
        <v>10</v>
      </c>
      <c r="K506" s="3" t="s">
        <v>10</v>
      </c>
      <c r="L506" s="3" t="s">
        <v>355</v>
      </c>
      <c r="M506">
        <v>38</v>
      </c>
      <c r="N506" s="3"/>
    </row>
    <row r="507" spans="1:14" x14ac:dyDescent="0.25">
      <c r="A507" s="3" t="s">
        <v>537</v>
      </c>
      <c r="B507">
        <v>1992</v>
      </c>
      <c r="C507">
        <v>1992</v>
      </c>
      <c r="D507" s="3" t="s">
        <v>34</v>
      </c>
      <c r="E507" s="3" t="s">
        <v>34</v>
      </c>
      <c r="F507">
        <v>13</v>
      </c>
      <c r="G507" s="7">
        <v>33829</v>
      </c>
      <c r="H507">
        <v>1</v>
      </c>
      <c r="I507" s="3" t="s">
        <v>8881</v>
      </c>
      <c r="J507" s="3" t="s">
        <v>10</v>
      </c>
      <c r="K507" s="3" t="s">
        <v>10</v>
      </c>
      <c r="L507" s="3" t="s">
        <v>22</v>
      </c>
      <c r="M507">
        <v>34</v>
      </c>
      <c r="N507" s="3"/>
    </row>
    <row r="508" spans="1:14" x14ac:dyDescent="0.25">
      <c r="A508" s="3" t="s">
        <v>538</v>
      </c>
      <c r="B508">
        <v>1993</v>
      </c>
      <c r="C508">
        <v>1993</v>
      </c>
      <c r="D508" s="3" t="s">
        <v>17</v>
      </c>
      <c r="E508" s="3" t="s">
        <v>17</v>
      </c>
      <c r="F508">
        <v>29</v>
      </c>
      <c r="G508" s="7">
        <v>34149</v>
      </c>
      <c r="H508">
        <v>2</v>
      </c>
      <c r="I508" s="3" t="s">
        <v>8882</v>
      </c>
      <c r="J508" s="3" t="s">
        <v>10</v>
      </c>
      <c r="K508" s="3" t="s">
        <v>15</v>
      </c>
      <c r="L508" s="3" t="s">
        <v>41</v>
      </c>
      <c r="M508">
        <v>33</v>
      </c>
      <c r="N508" s="3"/>
    </row>
    <row r="509" spans="1:14" x14ac:dyDescent="0.25">
      <c r="A509" s="3" t="s">
        <v>539</v>
      </c>
      <c r="B509">
        <v>1988</v>
      </c>
      <c r="C509">
        <v>1988</v>
      </c>
      <c r="D509" s="3" t="s">
        <v>17</v>
      </c>
      <c r="E509" s="3" t="s">
        <v>17</v>
      </c>
      <c r="F509">
        <v>13</v>
      </c>
      <c r="G509" s="7">
        <v>32307</v>
      </c>
      <c r="H509">
        <v>1</v>
      </c>
      <c r="I509" s="3" t="s">
        <v>8883</v>
      </c>
      <c r="J509" s="3" t="s">
        <v>10</v>
      </c>
      <c r="K509" s="3" t="s">
        <v>10</v>
      </c>
      <c r="L509" s="3" t="s">
        <v>41</v>
      </c>
      <c r="M509">
        <v>38</v>
      </c>
      <c r="N509" s="3"/>
    </row>
    <row r="510" spans="1:14" x14ac:dyDescent="0.25">
      <c r="A510" s="3" t="s">
        <v>540</v>
      </c>
      <c r="B510">
        <v>1990</v>
      </c>
      <c r="C510">
        <v>1990</v>
      </c>
      <c r="D510" s="3" t="s">
        <v>14</v>
      </c>
      <c r="E510" s="3" t="s">
        <v>14</v>
      </c>
      <c r="F510">
        <v>17</v>
      </c>
      <c r="G510" s="7">
        <v>33194</v>
      </c>
      <c r="H510">
        <v>0</v>
      </c>
      <c r="I510" s="3" t="s">
        <v>8884</v>
      </c>
      <c r="J510" s="3" t="s">
        <v>10</v>
      </c>
      <c r="K510" s="3" t="s">
        <v>15</v>
      </c>
      <c r="L510" s="3" t="s">
        <v>246</v>
      </c>
      <c r="M510">
        <v>36</v>
      </c>
      <c r="N510" s="3"/>
    </row>
    <row r="511" spans="1:14" x14ac:dyDescent="0.25">
      <c r="A511" s="3" t="s">
        <v>541</v>
      </c>
      <c r="B511">
        <v>2004</v>
      </c>
      <c r="C511">
        <v>2004</v>
      </c>
      <c r="D511" s="3" t="s">
        <v>29</v>
      </c>
      <c r="E511" s="3" t="s">
        <v>29</v>
      </c>
      <c r="F511">
        <v>22</v>
      </c>
      <c r="G511" s="7">
        <v>38343</v>
      </c>
      <c r="H511">
        <v>4</v>
      </c>
      <c r="I511" s="3" t="s">
        <v>8885</v>
      </c>
      <c r="J511" s="3" t="s">
        <v>10</v>
      </c>
      <c r="K511" s="3" t="s">
        <v>10</v>
      </c>
      <c r="L511" s="3" t="s">
        <v>246</v>
      </c>
      <c r="M511">
        <v>22</v>
      </c>
      <c r="N511" s="3"/>
    </row>
    <row r="512" spans="1:14" x14ac:dyDescent="0.25">
      <c r="A512" s="3" t="s">
        <v>542</v>
      </c>
      <c r="B512">
        <v>1990</v>
      </c>
      <c r="C512">
        <v>1990</v>
      </c>
      <c r="D512" s="3" t="s">
        <v>19</v>
      </c>
      <c r="E512" s="3" t="s">
        <v>19</v>
      </c>
      <c r="F512">
        <v>20</v>
      </c>
      <c r="G512" s="7">
        <v>33136</v>
      </c>
      <c r="H512">
        <v>1</v>
      </c>
      <c r="I512" s="3" t="s">
        <v>8886</v>
      </c>
      <c r="J512" s="3" t="s">
        <v>10</v>
      </c>
      <c r="K512" s="3" t="s">
        <v>10</v>
      </c>
      <c r="L512" s="3" t="s">
        <v>12</v>
      </c>
      <c r="M512">
        <v>36</v>
      </c>
      <c r="N512" s="3"/>
    </row>
    <row r="513" spans="1:14" x14ac:dyDescent="0.25">
      <c r="A513" s="3" t="s">
        <v>543</v>
      </c>
      <c r="B513">
        <v>1996</v>
      </c>
      <c r="C513">
        <v>1996</v>
      </c>
      <c r="D513" s="3" t="s">
        <v>29</v>
      </c>
      <c r="E513" s="3" t="s">
        <v>29</v>
      </c>
      <c r="F513">
        <v>25</v>
      </c>
      <c r="G513" s="7">
        <v>35424</v>
      </c>
      <c r="H513">
        <v>2</v>
      </c>
      <c r="I513" s="3" t="s">
        <v>8887</v>
      </c>
      <c r="J513" s="3" t="s">
        <v>10</v>
      </c>
      <c r="K513" s="3" t="s">
        <v>10</v>
      </c>
      <c r="L513" s="3" t="s">
        <v>246</v>
      </c>
      <c r="M513">
        <v>30</v>
      </c>
      <c r="N513" s="3"/>
    </row>
    <row r="514" spans="1:14" x14ac:dyDescent="0.25">
      <c r="A514" s="3" t="s">
        <v>544</v>
      </c>
      <c r="B514">
        <v>1989</v>
      </c>
      <c r="C514">
        <v>1989</v>
      </c>
      <c r="D514" s="3" t="s">
        <v>19</v>
      </c>
      <c r="E514" s="3" t="s">
        <v>19</v>
      </c>
      <c r="F514">
        <v>18</v>
      </c>
      <c r="G514" s="7">
        <v>32769</v>
      </c>
      <c r="H514">
        <v>0</v>
      </c>
      <c r="I514" s="3" t="s">
        <v>8888</v>
      </c>
      <c r="J514" s="3" t="s">
        <v>10</v>
      </c>
      <c r="K514" s="3" t="s">
        <v>10</v>
      </c>
      <c r="L514" s="3" t="s">
        <v>22</v>
      </c>
      <c r="M514">
        <v>37</v>
      </c>
      <c r="N514" s="3"/>
    </row>
    <row r="515" spans="1:14" x14ac:dyDescent="0.25">
      <c r="A515" s="3" t="s">
        <v>545</v>
      </c>
      <c r="B515">
        <v>2000</v>
      </c>
      <c r="C515">
        <v>2000</v>
      </c>
      <c r="D515" s="3" t="s">
        <v>9</v>
      </c>
      <c r="E515" s="3" t="s">
        <v>9</v>
      </c>
      <c r="F515">
        <v>2</v>
      </c>
      <c r="G515" s="7">
        <v>36709</v>
      </c>
      <c r="H515">
        <v>0</v>
      </c>
      <c r="I515" s="3" t="s">
        <v>8889</v>
      </c>
      <c r="J515" s="3" t="s">
        <v>10</v>
      </c>
      <c r="K515" s="3" t="s">
        <v>11</v>
      </c>
      <c r="L515" s="3" t="s">
        <v>41</v>
      </c>
      <c r="M515">
        <v>26</v>
      </c>
      <c r="N515" s="3"/>
    </row>
    <row r="516" spans="1:14" x14ac:dyDescent="0.25">
      <c r="A516" s="3" t="s">
        <v>546</v>
      </c>
      <c r="B516">
        <v>1998</v>
      </c>
      <c r="C516">
        <v>1998</v>
      </c>
      <c r="D516" s="3" t="s">
        <v>17</v>
      </c>
      <c r="E516" s="3" t="s">
        <v>17</v>
      </c>
      <c r="F516">
        <v>29</v>
      </c>
      <c r="G516" s="7">
        <v>35975</v>
      </c>
      <c r="H516">
        <v>3</v>
      </c>
      <c r="I516" s="3" t="s">
        <v>8890</v>
      </c>
      <c r="J516" s="3" t="s">
        <v>10</v>
      </c>
      <c r="K516" s="3" t="s">
        <v>15</v>
      </c>
      <c r="L516" s="3" t="s">
        <v>22</v>
      </c>
      <c r="M516">
        <v>28</v>
      </c>
      <c r="N516" s="3"/>
    </row>
    <row r="517" spans="1:14" x14ac:dyDescent="0.25">
      <c r="A517" s="3" t="s">
        <v>547</v>
      </c>
      <c r="B517">
        <v>1985</v>
      </c>
      <c r="C517">
        <v>1985</v>
      </c>
      <c r="D517" s="3" t="s">
        <v>17</v>
      </c>
      <c r="E517" s="3" t="s">
        <v>17</v>
      </c>
      <c r="F517">
        <v>22</v>
      </c>
      <c r="G517" s="7">
        <v>31220</v>
      </c>
      <c r="H517">
        <v>0</v>
      </c>
      <c r="I517" s="3" t="s">
        <v>8891</v>
      </c>
      <c r="J517" s="3" t="s">
        <v>15</v>
      </c>
      <c r="K517" s="3" t="s">
        <v>15</v>
      </c>
      <c r="L517" s="3" t="s">
        <v>41</v>
      </c>
      <c r="M517">
        <v>41</v>
      </c>
      <c r="N517" s="3"/>
    </row>
    <row r="518" spans="1:14" x14ac:dyDescent="0.25">
      <c r="A518" s="3" t="s">
        <v>548</v>
      </c>
      <c r="B518">
        <v>1996</v>
      </c>
      <c r="C518">
        <v>1996</v>
      </c>
      <c r="D518" s="3" t="s">
        <v>36</v>
      </c>
      <c r="E518" s="3" t="s">
        <v>36</v>
      </c>
      <c r="F518">
        <v>25</v>
      </c>
      <c r="G518" s="7">
        <v>35363</v>
      </c>
      <c r="H518">
        <v>3</v>
      </c>
      <c r="I518" s="3" t="s">
        <v>8892</v>
      </c>
      <c r="J518" s="3" t="s">
        <v>10</v>
      </c>
      <c r="K518" s="3" t="s">
        <v>15</v>
      </c>
      <c r="L518" s="3" t="s">
        <v>355</v>
      </c>
      <c r="M518">
        <v>30</v>
      </c>
      <c r="N518" s="3"/>
    </row>
    <row r="519" spans="1:14" x14ac:dyDescent="0.25">
      <c r="A519" s="3" t="s">
        <v>549</v>
      </c>
      <c r="B519">
        <v>1990</v>
      </c>
      <c r="C519">
        <v>1990</v>
      </c>
      <c r="D519" s="3" t="s">
        <v>34</v>
      </c>
      <c r="E519" s="3" t="s">
        <v>34</v>
      </c>
      <c r="F519">
        <v>5</v>
      </c>
      <c r="G519" s="7">
        <v>33090</v>
      </c>
      <c r="H519">
        <v>1</v>
      </c>
      <c r="I519" s="3" t="s">
        <v>8893</v>
      </c>
      <c r="J519" s="3" t="s">
        <v>11</v>
      </c>
      <c r="K519" s="3" t="s">
        <v>11</v>
      </c>
      <c r="L519" s="3" t="s">
        <v>167</v>
      </c>
      <c r="M519">
        <v>36</v>
      </c>
      <c r="N519" s="3"/>
    </row>
    <row r="520" spans="1:14" x14ac:dyDescent="0.25">
      <c r="A520" s="3" t="s">
        <v>550</v>
      </c>
      <c r="B520">
        <v>1990</v>
      </c>
      <c r="C520">
        <v>1990</v>
      </c>
      <c r="D520" s="3" t="s">
        <v>19</v>
      </c>
      <c r="E520" s="3" t="s">
        <v>19</v>
      </c>
      <c r="F520">
        <v>26</v>
      </c>
      <c r="G520" s="7">
        <v>33142</v>
      </c>
      <c r="H520">
        <v>2</v>
      </c>
      <c r="I520" s="3" t="s">
        <v>8894</v>
      </c>
      <c r="J520" s="3" t="s">
        <v>10</v>
      </c>
      <c r="K520" s="3" t="s">
        <v>10</v>
      </c>
      <c r="L520" s="3" t="s">
        <v>41</v>
      </c>
      <c r="M520">
        <v>36</v>
      </c>
      <c r="N520" s="3"/>
    </row>
    <row r="521" spans="1:14" x14ac:dyDescent="0.25">
      <c r="A521" s="3" t="s">
        <v>551</v>
      </c>
      <c r="B521">
        <v>1990</v>
      </c>
      <c r="C521">
        <v>1990</v>
      </c>
      <c r="D521" s="3" t="s">
        <v>9</v>
      </c>
      <c r="E521" s="3" t="s">
        <v>9</v>
      </c>
      <c r="F521">
        <v>13</v>
      </c>
      <c r="G521" s="7">
        <v>33067</v>
      </c>
      <c r="H521">
        <v>2</v>
      </c>
      <c r="I521" s="3" t="s">
        <v>8895</v>
      </c>
      <c r="J521" s="3" t="s">
        <v>10</v>
      </c>
      <c r="K521" s="3" t="s">
        <v>15</v>
      </c>
      <c r="L521" s="3" t="s">
        <v>12</v>
      </c>
      <c r="M521">
        <v>36</v>
      </c>
      <c r="N521" s="3"/>
    </row>
    <row r="522" spans="1:14" x14ac:dyDescent="0.25">
      <c r="A522" s="3" t="s">
        <v>552</v>
      </c>
      <c r="B522">
        <v>1979</v>
      </c>
      <c r="C522">
        <v>1979</v>
      </c>
      <c r="D522" s="3" t="s">
        <v>36</v>
      </c>
      <c r="E522" s="3" t="s">
        <v>36</v>
      </c>
      <c r="F522">
        <v>18</v>
      </c>
      <c r="G522" s="7">
        <v>29146</v>
      </c>
      <c r="H522">
        <v>2</v>
      </c>
      <c r="I522" s="3" t="s">
        <v>8896</v>
      </c>
      <c r="J522" s="3" t="s">
        <v>10</v>
      </c>
      <c r="K522" s="3" t="s">
        <v>15</v>
      </c>
      <c r="L522" s="3" t="s">
        <v>12</v>
      </c>
      <c r="M522">
        <v>47</v>
      </c>
      <c r="N522" s="3"/>
    </row>
    <row r="523" spans="1:14" x14ac:dyDescent="0.25">
      <c r="A523" s="3" t="s">
        <v>553</v>
      </c>
      <c r="B523">
        <v>2003</v>
      </c>
      <c r="C523">
        <v>2003</v>
      </c>
      <c r="D523" s="3" t="s">
        <v>36</v>
      </c>
      <c r="E523" s="3" t="s">
        <v>36</v>
      </c>
      <c r="F523">
        <v>4</v>
      </c>
      <c r="G523" s="7">
        <v>37898</v>
      </c>
      <c r="H523">
        <v>0</v>
      </c>
      <c r="I523" s="3" t="s">
        <v>8897</v>
      </c>
      <c r="J523" s="3" t="s">
        <v>10</v>
      </c>
      <c r="K523" s="3" t="s">
        <v>15</v>
      </c>
      <c r="L523" s="3" t="s">
        <v>299</v>
      </c>
      <c r="M523">
        <v>23</v>
      </c>
      <c r="N523" s="3"/>
    </row>
    <row r="524" spans="1:14" x14ac:dyDescent="0.25">
      <c r="A524" s="3" t="s">
        <v>554</v>
      </c>
      <c r="B524">
        <v>1990</v>
      </c>
      <c r="C524">
        <v>1990</v>
      </c>
      <c r="D524" s="3" t="s">
        <v>19</v>
      </c>
      <c r="E524" s="3" t="s">
        <v>19</v>
      </c>
      <c r="F524">
        <v>4</v>
      </c>
      <c r="G524" s="7">
        <v>33120</v>
      </c>
      <c r="H524">
        <v>2</v>
      </c>
      <c r="I524" s="3" t="s">
        <v>8898</v>
      </c>
      <c r="J524" s="3" t="s">
        <v>11</v>
      </c>
      <c r="K524" s="3" t="s">
        <v>11</v>
      </c>
      <c r="L524" s="3" t="s">
        <v>12</v>
      </c>
      <c r="M524">
        <v>36</v>
      </c>
      <c r="N524" s="3"/>
    </row>
    <row r="525" spans="1:14" x14ac:dyDescent="0.25">
      <c r="A525" s="3" t="s">
        <v>555</v>
      </c>
      <c r="B525">
        <v>2003</v>
      </c>
      <c r="C525">
        <v>2003</v>
      </c>
      <c r="D525" s="3" t="s">
        <v>17</v>
      </c>
      <c r="E525" s="3" t="s">
        <v>17</v>
      </c>
      <c r="F525">
        <v>22</v>
      </c>
      <c r="G525" s="7">
        <v>37794</v>
      </c>
      <c r="H525">
        <v>5</v>
      </c>
      <c r="I525" s="3" t="s">
        <v>8899</v>
      </c>
      <c r="J525" s="3" t="s">
        <v>10</v>
      </c>
      <c r="K525" s="3" t="s">
        <v>11</v>
      </c>
      <c r="L525" s="3" t="s">
        <v>41</v>
      </c>
      <c r="M525">
        <v>23</v>
      </c>
      <c r="N525" s="3"/>
    </row>
    <row r="526" spans="1:14" x14ac:dyDescent="0.25">
      <c r="A526" s="3" t="s">
        <v>556</v>
      </c>
      <c r="B526">
        <v>1977</v>
      </c>
      <c r="C526">
        <v>1977</v>
      </c>
      <c r="D526" s="3" t="s">
        <v>29</v>
      </c>
      <c r="E526" s="3" t="s">
        <v>29</v>
      </c>
      <c r="F526">
        <v>4</v>
      </c>
      <c r="G526" s="7">
        <v>28463</v>
      </c>
      <c r="H526">
        <v>2</v>
      </c>
      <c r="I526" s="3" t="s">
        <v>8900</v>
      </c>
      <c r="J526" s="3" t="s">
        <v>10</v>
      </c>
      <c r="K526" s="3" t="s">
        <v>11</v>
      </c>
      <c r="L526" s="3" t="s">
        <v>12</v>
      </c>
      <c r="M526">
        <v>49</v>
      </c>
      <c r="N526" s="3"/>
    </row>
    <row r="527" spans="1:14" x14ac:dyDescent="0.25">
      <c r="A527" s="3" t="s">
        <v>557</v>
      </c>
      <c r="B527">
        <v>1981</v>
      </c>
      <c r="C527">
        <v>1981</v>
      </c>
      <c r="D527" s="3" t="s">
        <v>34</v>
      </c>
      <c r="E527" s="3" t="s">
        <v>34</v>
      </c>
      <c r="F527">
        <v>12</v>
      </c>
      <c r="G527" s="7">
        <v>29810</v>
      </c>
      <c r="H527">
        <v>1</v>
      </c>
      <c r="I527" s="3" t="s">
        <v>8901</v>
      </c>
      <c r="J527" s="3" t="s">
        <v>10</v>
      </c>
      <c r="K527" s="3" t="s">
        <v>11</v>
      </c>
      <c r="L527" s="3" t="s">
        <v>41</v>
      </c>
      <c r="M527">
        <v>45</v>
      </c>
      <c r="N527" s="3"/>
    </row>
    <row r="528" spans="1:14" x14ac:dyDescent="0.25">
      <c r="A528" s="3" t="s">
        <v>558</v>
      </c>
      <c r="B528">
        <v>1992</v>
      </c>
      <c r="C528">
        <v>1992</v>
      </c>
      <c r="D528" s="3" t="s">
        <v>36</v>
      </c>
      <c r="E528" s="3" t="s">
        <v>36</v>
      </c>
      <c r="F528">
        <v>9</v>
      </c>
      <c r="G528" s="7">
        <v>33886</v>
      </c>
      <c r="H528">
        <v>1</v>
      </c>
      <c r="I528" s="3" t="s">
        <v>8902</v>
      </c>
      <c r="J528" s="3" t="s">
        <v>10</v>
      </c>
      <c r="K528" s="3" t="s">
        <v>11</v>
      </c>
      <c r="L528" s="3" t="s">
        <v>246</v>
      </c>
      <c r="M528">
        <v>34</v>
      </c>
      <c r="N528" s="3"/>
    </row>
    <row r="529" spans="1:14" x14ac:dyDescent="0.25">
      <c r="A529" s="3" t="s">
        <v>559</v>
      </c>
      <c r="B529">
        <v>1992</v>
      </c>
      <c r="C529">
        <v>1992</v>
      </c>
      <c r="D529" s="3" t="s">
        <v>19</v>
      </c>
      <c r="E529" s="3" t="s">
        <v>19</v>
      </c>
      <c r="F529">
        <v>28</v>
      </c>
      <c r="G529" s="7">
        <v>33875</v>
      </c>
      <c r="H529">
        <v>1</v>
      </c>
      <c r="I529" s="3" t="s">
        <v>8903</v>
      </c>
      <c r="J529" s="3" t="s">
        <v>10</v>
      </c>
      <c r="K529" s="3" t="s">
        <v>10</v>
      </c>
      <c r="L529" s="3" t="s">
        <v>246</v>
      </c>
      <c r="M529">
        <v>34</v>
      </c>
      <c r="N529" s="3"/>
    </row>
    <row r="530" spans="1:14" x14ac:dyDescent="0.25">
      <c r="A530" s="3" t="s">
        <v>560</v>
      </c>
      <c r="B530">
        <v>1994</v>
      </c>
      <c r="C530">
        <v>1994</v>
      </c>
      <c r="D530" s="3" t="s">
        <v>34</v>
      </c>
      <c r="E530" s="3" t="s">
        <v>34</v>
      </c>
      <c r="F530">
        <v>12</v>
      </c>
      <c r="G530" s="7">
        <v>34558</v>
      </c>
      <c r="H530">
        <v>2</v>
      </c>
      <c r="I530" s="3" t="s">
        <v>8904</v>
      </c>
      <c r="J530" s="3" t="s">
        <v>10</v>
      </c>
      <c r="K530" s="3" t="s">
        <v>15</v>
      </c>
      <c r="L530" s="3" t="s">
        <v>22</v>
      </c>
      <c r="M530">
        <v>32</v>
      </c>
      <c r="N530" s="3"/>
    </row>
    <row r="531" spans="1:14" x14ac:dyDescent="0.25">
      <c r="A531" s="3" t="s">
        <v>561</v>
      </c>
      <c r="B531">
        <v>1980</v>
      </c>
      <c r="C531">
        <v>1980</v>
      </c>
      <c r="D531" s="3" t="s">
        <v>9</v>
      </c>
      <c r="E531" s="3" t="s">
        <v>9</v>
      </c>
      <c r="F531">
        <v>2</v>
      </c>
      <c r="G531" s="7">
        <v>29404</v>
      </c>
      <c r="H531">
        <v>2</v>
      </c>
      <c r="I531" s="3" t="s">
        <v>8905</v>
      </c>
      <c r="J531" s="3" t="s">
        <v>10</v>
      </c>
      <c r="K531" s="3" t="s">
        <v>11</v>
      </c>
      <c r="L531" s="3" t="s">
        <v>22</v>
      </c>
      <c r="M531">
        <v>46</v>
      </c>
      <c r="N531" s="3"/>
    </row>
    <row r="532" spans="1:14" x14ac:dyDescent="0.25">
      <c r="A532" s="3" t="s">
        <v>562</v>
      </c>
      <c r="B532">
        <v>1986</v>
      </c>
      <c r="C532">
        <v>1986</v>
      </c>
      <c r="D532" s="3" t="s">
        <v>19</v>
      </c>
      <c r="E532" s="3" t="s">
        <v>19</v>
      </c>
      <c r="F532">
        <v>5</v>
      </c>
      <c r="G532" s="7">
        <v>31660</v>
      </c>
      <c r="H532">
        <v>3</v>
      </c>
      <c r="I532" s="3" t="s">
        <v>8906</v>
      </c>
      <c r="J532" s="3" t="s">
        <v>10</v>
      </c>
      <c r="K532" s="3" t="s">
        <v>15</v>
      </c>
      <c r="L532" s="3" t="s">
        <v>12</v>
      </c>
      <c r="M532">
        <v>40</v>
      </c>
      <c r="N532" s="3"/>
    </row>
    <row r="533" spans="1:14" x14ac:dyDescent="0.25">
      <c r="A533" s="3" t="s">
        <v>563</v>
      </c>
      <c r="B533">
        <v>1991</v>
      </c>
      <c r="C533">
        <v>1991</v>
      </c>
      <c r="D533" s="3" t="s">
        <v>36</v>
      </c>
      <c r="E533" s="3" t="s">
        <v>36</v>
      </c>
      <c r="F533">
        <v>12</v>
      </c>
      <c r="G533" s="7">
        <v>33523</v>
      </c>
      <c r="H533">
        <v>1</v>
      </c>
      <c r="I533" s="3" t="s">
        <v>8907</v>
      </c>
      <c r="J533" s="3" t="s">
        <v>10</v>
      </c>
      <c r="K533" s="3" t="s">
        <v>11</v>
      </c>
      <c r="L533" s="3" t="s">
        <v>22</v>
      </c>
      <c r="M533">
        <v>35</v>
      </c>
      <c r="N533" s="3"/>
    </row>
    <row r="534" spans="1:14" x14ac:dyDescent="0.25">
      <c r="A534" s="3" t="s">
        <v>564</v>
      </c>
      <c r="B534">
        <v>2004</v>
      </c>
      <c r="C534">
        <v>2004</v>
      </c>
      <c r="D534" s="3" t="s">
        <v>14</v>
      </c>
      <c r="E534" s="3" t="s">
        <v>14</v>
      </c>
      <c r="F534">
        <v>24</v>
      </c>
      <c r="G534" s="7">
        <v>38315</v>
      </c>
      <c r="H534">
        <v>0</v>
      </c>
      <c r="I534" s="3" t="s">
        <v>8908</v>
      </c>
      <c r="J534" s="3" t="s">
        <v>10</v>
      </c>
      <c r="K534" s="3" t="s">
        <v>11</v>
      </c>
      <c r="L534" s="3" t="s">
        <v>299</v>
      </c>
      <c r="M534">
        <v>22</v>
      </c>
      <c r="N534" s="3"/>
    </row>
    <row r="535" spans="1:14" x14ac:dyDescent="0.25">
      <c r="A535" s="3" t="s">
        <v>565</v>
      </c>
      <c r="B535">
        <v>1987</v>
      </c>
      <c r="C535">
        <v>1987</v>
      </c>
      <c r="D535" s="3" t="s">
        <v>17</v>
      </c>
      <c r="E535" s="3" t="s">
        <v>17</v>
      </c>
      <c r="F535">
        <v>5</v>
      </c>
      <c r="G535" s="7">
        <v>31933</v>
      </c>
      <c r="H535">
        <v>1</v>
      </c>
      <c r="I535" s="3" t="s">
        <v>8909</v>
      </c>
      <c r="J535" s="3" t="s">
        <v>10</v>
      </c>
      <c r="K535" s="3" t="s">
        <v>10</v>
      </c>
      <c r="L535" s="3" t="s">
        <v>41</v>
      </c>
      <c r="M535">
        <v>39</v>
      </c>
      <c r="N535" s="3"/>
    </row>
    <row r="536" spans="1:14" x14ac:dyDescent="0.25">
      <c r="A536" s="3" t="s">
        <v>566</v>
      </c>
      <c r="B536">
        <v>1987</v>
      </c>
      <c r="C536">
        <v>1987</v>
      </c>
      <c r="D536" s="3" t="s">
        <v>19</v>
      </c>
      <c r="E536" s="3" t="s">
        <v>19</v>
      </c>
      <c r="F536">
        <v>2</v>
      </c>
      <c r="G536" s="7">
        <v>32022</v>
      </c>
      <c r="H536">
        <v>1</v>
      </c>
      <c r="I536" s="3" t="s">
        <v>8910</v>
      </c>
      <c r="J536" s="3" t="s">
        <v>10</v>
      </c>
      <c r="K536" s="3" t="s">
        <v>10</v>
      </c>
      <c r="L536" s="3" t="s">
        <v>12</v>
      </c>
      <c r="M536">
        <v>39</v>
      </c>
      <c r="N536" s="3"/>
    </row>
    <row r="537" spans="1:14" x14ac:dyDescent="0.25">
      <c r="A537" s="3" t="s">
        <v>567</v>
      </c>
      <c r="B537">
        <v>1987</v>
      </c>
      <c r="C537">
        <v>1987</v>
      </c>
      <c r="D537" s="3" t="s">
        <v>14</v>
      </c>
      <c r="E537" s="3" t="s">
        <v>14</v>
      </c>
      <c r="F537">
        <v>22</v>
      </c>
      <c r="G537" s="7">
        <v>32103</v>
      </c>
      <c r="H537">
        <v>1</v>
      </c>
      <c r="I537" s="3" t="s">
        <v>8911</v>
      </c>
      <c r="J537" s="3" t="s">
        <v>11</v>
      </c>
      <c r="K537" s="3" t="s">
        <v>15</v>
      </c>
      <c r="L537" s="3" t="s">
        <v>41</v>
      </c>
      <c r="M537">
        <v>39</v>
      </c>
      <c r="N537" s="3"/>
    </row>
    <row r="538" spans="1:14" x14ac:dyDescent="0.25">
      <c r="A538" s="3" t="s">
        <v>568</v>
      </c>
      <c r="B538">
        <v>1992</v>
      </c>
      <c r="C538">
        <v>1992</v>
      </c>
      <c r="D538" s="3" t="s">
        <v>34</v>
      </c>
      <c r="E538" s="3" t="s">
        <v>34</v>
      </c>
      <c r="F538">
        <v>16</v>
      </c>
      <c r="G538" s="7">
        <v>33832</v>
      </c>
      <c r="H538">
        <v>2</v>
      </c>
      <c r="I538" s="3" t="s">
        <v>8912</v>
      </c>
      <c r="J538" s="3" t="s">
        <v>10</v>
      </c>
      <c r="K538" s="3" t="s">
        <v>11</v>
      </c>
      <c r="L538" s="3" t="s">
        <v>12</v>
      </c>
      <c r="M538">
        <v>34</v>
      </c>
      <c r="N538" s="3"/>
    </row>
    <row r="539" spans="1:14" x14ac:dyDescent="0.25">
      <c r="A539" s="3" t="s">
        <v>569</v>
      </c>
      <c r="B539">
        <v>1987</v>
      </c>
      <c r="C539">
        <v>1987</v>
      </c>
      <c r="D539" s="3" t="s">
        <v>19</v>
      </c>
      <c r="E539" s="3" t="s">
        <v>19</v>
      </c>
      <c r="F539">
        <v>27</v>
      </c>
      <c r="G539" s="7">
        <v>32047</v>
      </c>
      <c r="H539">
        <v>1</v>
      </c>
      <c r="I539" s="3" t="s">
        <v>8913</v>
      </c>
      <c r="J539" s="3" t="s">
        <v>11</v>
      </c>
      <c r="K539" s="3" t="s">
        <v>11</v>
      </c>
      <c r="L539" s="3" t="s">
        <v>41</v>
      </c>
      <c r="M539">
        <v>39</v>
      </c>
      <c r="N539" s="3"/>
    </row>
    <row r="540" spans="1:14" x14ac:dyDescent="0.25">
      <c r="A540" s="3" t="s">
        <v>570</v>
      </c>
      <c r="B540">
        <v>1989</v>
      </c>
      <c r="C540">
        <v>1989</v>
      </c>
      <c r="D540" s="3" t="s">
        <v>34</v>
      </c>
      <c r="E540" s="3" t="s">
        <v>34</v>
      </c>
      <c r="F540">
        <v>1</v>
      </c>
      <c r="G540" s="7">
        <v>32721</v>
      </c>
      <c r="H540">
        <v>1</v>
      </c>
      <c r="I540" s="3" t="s">
        <v>8914</v>
      </c>
      <c r="J540" s="3" t="s">
        <v>10</v>
      </c>
      <c r="K540" s="3" t="s">
        <v>11</v>
      </c>
      <c r="L540" s="3" t="s">
        <v>41</v>
      </c>
      <c r="M540">
        <v>37</v>
      </c>
      <c r="N540" s="3"/>
    </row>
    <row r="541" spans="1:14" x14ac:dyDescent="0.25">
      <c r="A541" s="3" t="s">
        <v>571</v>
      </c>
      <c r="B541">
        <v>1989</v>
      </c>
      <c r="C541">
        <v>1989</v>
      </c>
      <c r="D541" s="3" t="s">
        <v>29</v>
      </c>
      <c r="E541" s="3" t="s">
        <v>29</v>
      </c>
      <c r="F541">
        <v>9</v>
      </c>
      <c r="G541" s="7">
        <v>32851</v>
      </c>
      <c r="H541">
        <v>1</v>
      </c>
      <c r="I541" s="3" t="s">
        <v>8915</v>
      </c>
      <c r="J541" s="3" t="s">
        <v>10</v>
      </c>
      <c r="K541" s="3" t="s">
        <v>11</v>
      </c>
      <c r="L541" s="3" t="s">
        <v>12</v>
      </c>
      <c r="M541">
        <v>37</v>
      </c>
      <c r="N541" s="3"/>
    </row>
    <row r="542" spans="1:14" x14ac:dyDescent="0.25">
      <c r="A542" s="3" t="s">
        <v>572</v>
      </c>
      <c r="B542">
        <v>1987</v>
      </c>
      <c r="C542">
        <v>1987</v>
      </c>
      <c r="D542" s="3" t="s">
        <v>17</v>
      </c>
      <c r="E542" s="3" t="s">
        <v>17</v>
      </c>
      <c r="F542">
        <v>22</v>
      </c>
      <c r="G542" s="7">
        <v>31950</v>
      </c>
      <c r="H542">
        <v>3</v>
      </c>
      <c r="I542" s="3" t="s">
        <v>8916</v>
      </c>
      <c r="J542" s="3" t="s">
        <v>10</v>
      </c>
      <c r="K542" s="3" t="s">
        <v>11</v>
      </c>
      <c r="L542" s="3" t="s">
        <v>12</v>
      </c>
      <c r="M542">
        <v>39</v>
      </c>
      <c r="N542" s="3"/>
    </row>
    <row r="543" spans="1:14" x14ac:dyDescent="0.25">
      <c r="A543" s="3" t="s">
        <v>573</v>
      </c>
      <c r="B543">
        <v>1989</v>
      </c>
      <c r="C543">
        <v>1989</v>
      </c>
      <c r="D543" s="3" t="s">
        <v>29</v>
      </c>
      <c r="E543" s="3" t="s">
        <v>29</v>
      </c>
      <c r="F543">
        <v>16</v>
      </c>
      <c r="G543" s="7">
        <v>32858</v>
      </c>
      <c r="H543">
        <v>1</v>
      </c>
      <c r="I543" s="3" t="s">
        <v>8917</v>
      </c>
      <c r="J543" s="3" t="s">
        <v>10</v>
      </c>
      <c r="K543" s="3" t="s">
        <v>15</v>
      </c>
      <c r="L543" s="3" t="s">
        <v>12</v>
      </c>
      <c r="M543">
        <v>37</v>
      </c>
      <c r="N543" s="3"/>
    </row>
    <row r="544" spans="1:14" x14ac:dyDescent="0.25">
      <c r="A544" s="3" t="s">
        <v>574</v>
      </c>
      <c r="B544">
        <v>1978</v>
      </c>
      <c r="C544">
        <v>1978</v>
      </c>
      <c r="D544" s="3" t="s">
        <v>36</v>
      </c>
      <c r="E544" s="3" t="s">
        <v>36</v>
      </c>
      <c r="F544">
        <v>3</v>
      </c>
      <c r="G544" s="7">
        <v>28766</v>
      </c>
      <c r="H544">
        <v>2</v>
      </c>
      <c r="I544" s="3" t="s">
        <v>8918</v>
      </c>
      <c r="J544" s="3" t="s">
        <v>10</v>
      </c>
      <c r="K544" s="3" t="s">
        <v>11</v>
      </c>
      <c r="L544" s="3" t="s">
        <v>12</v>
      </c>
      <c r="M544">
        <v>48</v>
      </c>
      <c r="N544" s="3"/>
    </row>
    <row r="545" spans="1:14" x14ac:dyDescent="0.25">
      <c r="A545" s="3" t="s">
        <v>575</v>
      </c>
      <c r="B545">
        <v>1981</v>
      </c>
      <c r="C545">
        <v>1981</v>
      </c>
      <c r="D545" s="3" t="s">
        <v>9</v>
      </c>
      <c r="E545" s="3" t="s">
        <v>9</v>
      </c>
      <c r="F545">
        <v>3</v>
      </c>
      <c r="G545" s="7">
        <v>29770</v>
      </c>
      <c r="H545">
        <v>1</v>
      </c>
      <c r="I545" s="3" t="s">
        <v>8919</v>
      </c>
      <c r="J545" s="3" t="s">
        <v>10</v>
      </c>
      <c r="K545" s="3" t="s">
        <v>15</v>
      </c>
      <c r="L545" s="3" t="s">
        <v>12</v>
      </c>
      <c r="M545">
        <v>45</v>
      </c>
      <c r="N545" s="3"/>
    </row>
    <row r="546" spans="1:14" x14ac:dyDescent="0.25">
      <c r="A546" s="3" t="s">
        <v>576</v>
      </c>
      <c r="B546">
        <v>1995</v>
      </c>
      <c r="C546">
        <v>1995</v>
      </c>
      <c r="D546" s="3" t="s">
        <v>29</v>
      </c>
      <c r="E546" s="3" t="s">
        <v>29</v>
      </c>
      <c r="F546">
        <v>1</v>
      </c>
      <c r="G546" s="7">
        <v>35034</v>
      </c>
      <c r="H546">
        <v>3</v>
      </c>
      <c r="I546" s="3" t="s">
        <v>8920</v>
      </c>
      <c r="J546" s="3" t="s">
        <v>15</v>
      </c>
      <c r="K546" s="3" t="s">
        <v>10</v>
      </c>
      <c r="L546" s="3" t="s">
        <v>4742</v>
      </c>
      <c r="M546">
        <v>31</v>
      </c>
      <c r="N546" s="3"/>
    </row>
    <row r="547" spans="1:14" x14ac:dyDescent="0.25">
      <c r="A547" s="3" t="s">
        <v>577</v>
      </c>
      <c r="B547">
        <v>2002</v>
      </c>
      <c r="C547">
        <v>2002</v>
      </c>
      <c r="D547" s="3" t="s">
        <v>17</v>
      </c>
      <c r="E547" s="3" t="s">
        <v>17</v>
      </c>
      <c r="F547">
        <v>27</v>
      </c>
      <c r="G547" s="7">
        <v>37434</v>
      </c>
      <c r="H547">
        <v>5</v>
      </c>
      <c r="I547" s="3" t="s">
        <v>8921</v>
      </c>
      <c r="J547" s="3" t="s">
        <v>10</v>
      </c>
      <c r="K547" s="3" t="s">
        <v>15</v>
      </c>
      <c r="L547" s="3" t="s">
        <v>41</v>
      </c>
      <c r="M547">
        <v>24</v>
      </c>
      <c r="N547" s="3"/>
    </row>
    <row r="548" spans="1:14" x14ac:dyDescent="0.25">
      <c r="A548" s="3" t="s">
        <v>578</v>
      </c>
      <c r="B548">
        <v>2000</v>
      </c>
      <c r="C548">
        <v>2000</v>
      </c>
      <c r="D548" s="3" t="s">
        <v>29</v>
      </c>
      <c r="E548" s="3" t="s">
        <v>29</v>
      </c>
      <c r="F548">
        <v>11</v>
      </c>
      <c r="G548" s="7">
        <v>36871</v>
      </c>
      <c r="H548">
        <v>0</v>
      </c>
      <c r="I548" s="3" t="s">
        <v>8922</v>
      </c>
      <c r="J548" s="3" t="s">
        <v>10</v>
      </c>
      <c r="K548" s="3" t="s">
        <v>10</v>
      </c>
      <c r="L548" s="3" t="s">
        <v>299</v>
      </c>
      <c r="M548">
        <v>26</v>
      </c>
      <c r="N548" s="3"/>
    </row>
    <row r="549" spans="1:14" x14ac:dyDescent="0.25">
      <c r="A549" s="3" t="s">
        <v>579</v>
      </c>
      <c r="B549">
        <v>1992</v>
      </c>
      <c r="C549">
        <v>1992</v>
      </c>
      <c r="D549" s="3" t="s">
        <v>19</v>
      </c>
      <c r="E549" s="3" t="s">
        <v>19</v>
      </c>
      <c r="F549">
        <v>10</v>
      </c>
      <c r="G549" s="7">
        <v>33857</v>
      </c>
      <c r="H549">
        <v>3</v>
      </c>
      <c r="I549" s="3" t="s">
        <v>8923</v>
      </c>
      <c r="J549" s="3" t="s">
        <v>11</v>
      </c>
      <c r="K549" s="3" t="s">
        <v>10</v>
      </c>
      <c r="L549" s="3" t="s">
        <v>12</v>
      </c>
      <c r="M549">
        <v>34</v>
      </c>
      <c r="N549" s="3"/>
    </row>
    <row r="550" spans="1:14" x14ac:dyDescent="0.25">
      <c r="A550" s="3" t="s">
        <v>580</v>
      </c>
      <c r="B550">
        <v>1984</v>
      </c>
      <c r="C550">
        <v>1984</v>
      </c>
      <c r="D550" s="3" t="s">
        <v>36</v>
      </c>
      <c r="E550" s="3" t="s">
        <v>36</v>
      </c>
      <c r="F550">
        <v>15</v>
      </c>
      <c r="G550" s="7">
        <v>30970</v>
      </c>
      <c r="H550">
        <v>3</v>
      </c>
      <c r="I550" s="3" t="s">
        <v>8924</v>
      </c>
      <c r="J550" s="3" t="s">
        <v>10</v>
      </c>
      <c r="K550" s="3" t="s">
        <v>15</v>
      </c>
      <c r="L550" s="3" t="s">
        <v>22</v>
      </c>
      <c r="M550">
        <v>42</v>
      </c>
      <c r="N550" s="3"/>
    </row>
    <row r="551" spans="1:14" x14ac:dyDescent="0.25">
      <c r="A551" s="3" t="s">
        <v>581</v>
      </c>
      <c r="B551">
        <v>1995</v>
      </c>
      <c r="C551">
        <v>1995</v>
      </c>
      <c r="D551" s="3" t="s">
        <v>19</v>
      </c>
      <c r="E551" s="3" t="s">
        <v>19</v>
      </c>
      <c r="F551">
        <v>29</v>
      </c>
      <c r="G551" s="7">
        <v>34971</v>
      </c>
      <c r="H551">
        <v>0</v>
      </c>
      <c r="I551" s="3" t="s">
        <v>8925</v>
      </c>
      <c r="J551" s="3" t="s">
        <v>10</v>
      </c>
      <c r="K551" s="3" t="s">
        <v>15</v>
      </c>
      <c r="L551" s="3" t="s">
        <v>299</v>
      </c>
      <c r="M551">
        <v>31</v>
      </c>
      <c r="N551" s="3"/>
    </row>
    <row r="552" spans="1:14" x14ac:dyDescent="0.25">
      <c r="A552" s="3" t="s">
        <v>582</v>
      </c>
      <c r="B552">
        <v>1979</v>
      </c>
      <c r="C552">
        <v>1979</v>
      </c>
      <c r="D552" s="3" t="s">
        <v>29</v>
      </c>
      <c r="E552" s="3" t="s">
        <v>29</v>
      </c>
      <c r="F552">
        <v>13</v>
      </c>
      <c r="G552" s="7">
        <v>29202</v>
      </c>
      <c r="H552">
        <v>2</v>
      </c>
      <c r="I552" s="3" t="s">
        <v>8926</v>
      </c>
      <c r="J552" s="3" t="s">
        <v>10</v>
      </c>
      <c r="K552" s="3" t="s">
        <v>11</v>
      </c>
      <c r="L552" s="3" t="s">
        <v>12</v>
      </c>
      <c r="M552">
        <v>47</v>
      </c>
      <c r="N552" s="3"/>
    </row>
    <row r="553" spans="1:14" x14ac:dyDescent="0.25">
      <c r="A553" s="3" t="s">
        <v>583</v>
      </c>
      <c r="B553">
        <v>1974</v>
      </c>
      <c r="C553">
        <v>1974</v>
      </c>
      <c r="D553" s="3" t="s">
        <v>19</v>
      </c>
      <c r="E553" s="3" t="s">
        <v>19</v>
      </c>
      <c r="F553">
        <v>11</v>
      </c>
      <c r="G553" s="7">
        <v>27283</v>
      </c>
      <c r="H553">
        <v>0</v>
      </c>
      <c r="I553" s="3" t="s">
        <v>8927</v>
      </c>
      <c r="J553" s="3" t="s">
        <v>10</v>
      </c>
      <c r="K553" s="3" t="s">
        <v>10</v>
      </c>
      <c r="L553" s="3" t="s">
        <v>12</v>
      </c>
      <c r="M553">
        <v>52</v>
      </c>
      <c r="N553" s="3"/>
    </row>
    <row r="554" spans="1:14" x14ac:dyDescent="0.25">
      <c r="A554" s="3" t="s">
        <v>584</v>
      </c>
      <c r="B554">
        <v>2001</v>
      </c>
      <c r="C554">
        <v>2001</v>
      </c>
      <c r="D554" s="3" t="s">
        <v>17</v>
      </c>
      <c r="E554" s="3" t="s">
        <v>17</v>
      </c>
      <c r="F554">
        <v>7</v>
      </c>
      <c r="G554" s="7">
        <v>37049</v>
      </c>
      <c r="H554">
        <v>0</v>
      </c>
      <c r="I554" s="3" t="s">
        <v>8928</v>
      </c>
      <c r="J554" s="3" t="s">
        <v>10</v>
      </c>
      <c r="K554" s="3" t="s">
        <v>11</v>
      </c>
      <c r="L554" s="3" t="s">
        <v>299</v>
      </c>
      <c r="M554">
        <v>25</v>
      </c>
      <c r="N554" s="3"/>
    </row>
    <row r="555" spans="1:14" x14ac:dyDescent="0.25">
      <c r="A555" s="3" t="s">
        <v>585</v>
      </c>
      <c r="B555">
        <v>1995</v>
      </c>
      <c r="C555">
        <v>1995</v>
      </c>
      <c r="D555" s="3" t="s">
        <v>29</v>
      </c>
      <c r="E555" s="3" t="s">
        <v>29</v>
      </c>
      <c r="F555">
        <v>27</v>
      </c>
      <c r="G555" s="7">
        <v>35060</v>
      </c>
      <c r="H555">
        <v>3</v>
      </c>
      <c r="I555" s="3" t="s">
        <v>8929</v>
      </c>
      <c r="J555" s="3" t="s">
        <v>10</v>
      </c>
      <c r="K555" s="3" t="s">
        <v>11</v>
      </c>
      <c r="L555" s="3" t="s">
        <v>355</v>
      </c>
      <c r="M555">
        <v>31</v>
      </c>
      <c r="N555" s="3"/>
    </row>
    <row r="556" spans="1:14" x14ac:dyDescent="0.25">
      <c r="A556" s="3" t="s">
        <v>586</v>
      </c>
      <c r="B556">
        <v>1989</v>
      </c>
      <c r="C556">
        <v>1989</v>
      </c>
      <c r="D556" s="3" t="s">
        <v>19</v>
      </c>
      <c r="E556" s="3" t="s">
        <v>19</v>
      </c>
      <c r="F556">
        <v>1</v>
      </c>
      <c r="G556" s="7">
        <v>32752</v>
      </c>
      <c r="H556">
        <v>3</v>
      </c>
      <c r="I556" s="3" t="s">
        <v>8930</v>
      </c>
      <c r="J556" s="3" t="s">
        <v>10</v>
      </c>
      <c r="K556" s="3" t="s">
        <v>11</v>
      </c>
      <c r="L556" s="3" t="s">
        <v>41</v>
      </c>
      <c r="M556">
        <v>37</v>
      </c>
      <c r="N556" s="3"/>
    </row>
    <row r="557" spans="1:14" x14ac:dyDescent="0.25">
      <c r="A557" s="3" t="s">
        <v>587</v>
      </c>
      <c r="B557">
        <v>1997</v>
      </c>
      <c r="C557">
        <v>1997</v>
      </c>
      <c r="D557" s="3" t="s">
        <v>19</v>
      </c>
      <c r="E557" s="3" t="s">
        <v>19</v>
      </c>
      <c r="F557">
        <v>29</v>
      </c>
      <c r="G557" s="7">
        <v>35702</v>
      </c>
      <c r="H557">
        <v>4</v>
      </c>
      <c r="I557" s="3" t="s">
        <v>8931</v>
      </c>
      <c r="J557" s="3" t="s">
        <v>10</v>
      </c>
      <c r="K557" s="3" t="s">
        <v>11</v>
      </c>
      <c r="L557" s="3" t="s">
        <v>22</v>
      </c>
      <c r="M557">
        <v>29</v>
      </c>
      <c r="N557" s="3"/>
    </row>
    <row r="558" spans="1:14" x14ac:dyDescent="0.25">
      <c r="A558" s="3" t="s">
        <v>588</v>
      </c>
      <c r="B558">
        <v>1986</v>
      </c>
      <c r="C558">
        <v>1986</v>
      </c>
      <c r="D558" s="3" t="s">
        <v>29</v>
      </c>
      <c r="E558" s="3" t="s">
        <v>29</v>
      </c>
      <c r="F558">
        <v>23</v>
      </c>
      <c r="G558" s="7">
        <v>31769</v>
      </c>
      <c r="H558">
        <v>0</v>
      </c>
      <c r="I558" s="3" t="s">
        <v>8932</v>
      </c>
      <c r="J558" s="3" t="s">
        <v>10</v>
      </c>
      <c r="K558" s="3" t="s">
        <v>15</v>
      </c>
      <c r="L558" s="3" t="s">
        <v>41</v>
      </c>
      <c r="M558">
        <v>40</v>
      </c>
      <c r="N558" s="3"/>
    </row>
    <row r="559" spans="1:14" x14ac:dyDescent="0.25">
      <c r="A559" s="3" t="s">
        <v>589</v>
      </c>
      <c r="B559">
        <v>1986</v>
      </c>
      <c r="C559">
        <v>1986</v>
      </c>
      <c r="D559" s="3" t="s">
        <v>36</v>
      </c>
      <c r="E559" s="3" t="s">
        <v>36</v>
      </c>
      <c r="F559">
        <v>27</v>
      </c>
      <c r="G559" s="7">
        <v>31712</v>
      </c>
      <c r="H559">
        <v>0</v>
      </c>
      <c r="I559" s="3" t="s">
        <v>8933</v>
      </c>
      <c r="J559" s="3" t="s">
        <v>10</v>
      </c>
      <c r="K559" s="3" t="s">
        <v>15</v>
      </c>
      <c r="L559" s="3" t="s">
        <v>12</v>
      </c>
      <c r="M559">
        <v>40</v>
      </c>
      <c r="N559" s="3"/>
    </row>
    <row r="560" spans="1:14" x14ac:dyDescent="0.25">
      <c r="A560" s="3" t="s">
        <v>590</v>
      </c>
      <c r="B560">
        <v>1989</v>
      </c>
      <c r="C560">
        <v>1989</v>
      </c>
      <c r="D560" s="3" t="s">
        <v>9</v>
      </c>
      <c r="E560" s="3" t="s">
        <v>9</v>
      </c>
      <c r="F560">
        <v>10</v>
      </c>
      <c r="G560" s="7">
        <v>32699</v>
      </c>
      <c r="H560">
        <v>2</v>
      </c>
      <c r="I560" s="3" t="s">
        <v>8934</v>
      </c>
      <c r="J560" s="3" t="s">
        <v>11</v>
      </c>
      <c r="K560" s="3" t="s">
        <v>10</v>
      </c>
      <c r="L560" s="3" t="s">
        <v>12</v>
      </c>
      <c r="M560">
        <v>37</v>
      </c>
      <c r="N560" s="3"/>
    </row>
    <row r="561" spans="1:14" x14ac:dyDescent="0.25">
      <c r="A561" s="3" t="s">
        <v>591</v>
      </c>
      <c r="B561">
        <v>1990</v>
      </c>
      <c r="C561">
        <v>1990</v>
      </c>
      <c r="D561" s="3" t="s">
        <v>14</v>
      </c>
      <c r="E561" s="3" t="s">
        <v>14</v>
      </c>
      <c r="F561">
        <v>28</v>
      </c>
      <c r="G561" s="7">
        <v>33205</v>
      </c>
      <c r="H561">
        <v>3</v>
      </c>
      <c r="I561" s="3" t="s">
        <v>8935</v>
      </c>
      <c r="J561" s="3" t="s">
        <v>10</v>
      </c>
      <c r="K561" s="3" t="s">
        <v>11</v>
      </c>
      <c r="L561" s="3" t="s">
        <v>12</v>
      </c>
      <c r="M561">
        <v>36</v>
      </c>
      <c r="N561" s="3"/>
    </row>
    <row r="562" spans="1:14" x14ac:dyDescent="0.25">
      <c r="A562" s="3" t="s">
        <v>592</v>
      </c>
      <c r="B562">
        <v>1988</v>
      </c>
      <c r="C562">
        <v>1988</v>
      </c>
      <c r="D562" s="3" t="s">
        <v>19</v>
      </c>
      <c r="E562" s="3" t="s">
        <v>19</v>
      </c>
      <c r="F562">
        <v>23</v>
      </c>
      <c r="G562" s="7">
        <v>32409</v>
      </c>
      <c r="H562">
        <v>1</v>
      </c>
      <c r="I562" s="3" t="s">
        <v>8936</v>
      </c>
      <c r="J562" s="3" t="s">
        <v>11</v>
      </c>
      <c r="K562" s="3" t="s">
        <v>11</v>
      </c>
      <c r="L562" s="3" t="s">
        <v>22</v>
      </c>
      <c r="M562">
        <v>38</v>
      </c>
      <c r="N562" s="3"/>
    </row>
    <row r="563" spans="1:14" x14ac:dyDescent="0.25">
      <c r="A563" s="3" t="s">
        <v>593</v>
      </c>
      <c r="B563">
        <v>1993</v>
      </c>
      <c r="C563">
        <v>1993</v>
      </c>
      <c r="D563" s="3" t="s">
        <v>9</v>
      </c>
      <c r="E563" s="3" t="s">
        <v>9</v>
      </c>
      <c r="F563">
        <v>10</v>
      </c>
      <c r="G563" s="7">
        <v>34160</v>
      </c>
      <c r="H563">
        <v>2</v>
      </c>
      <c r="I563" s="3" t="s">
        <v>8937</v>
      </c>
      <c r="J563" s="3" t="s">
        <v>10</v>
      </c>
      <c r="K563" s="3" t="s">
        <v>15</v>
      </c>
      <c r="L563" s="3" t="s">
        <v>22</v>
      </c>
      <c r="M563">
        <v>33</v>
      </c>
      <c r="N563" s="3"/>
    </row>
    <row r="564" spans="1:14" x14ac:dyDescent="0.25">
      <c r="A564" s="3" t="s">
        <v>594</v>
      </c>
      <c r="B564">
        <v>1981</v>
      </c>
      <c r="C564">
        <v>1981</v>
      </c>
      <c r="D564" s="3" t="s">
        <v>36</v>
      </c>
      <c r="E564" s="3" t="s">
        <v>36</v>
      </c>
      <c r="F564">
        <v>18</v>
      </c>
      <c r="G564" s="7">
        <v>29877</v>
      </c>
      <c r="H564">
        <v>1</v>
      </c>
      <c r="I564" s="3" t="s">
        <v>8938</v>
      </c>
      <c r="J564" s="3" t="s">
        <v>10</v>
      </c>
      <c r="K564" s="3" t="s">
        <v>11</v>
      </c>
      <c r="L564" s="3" t="s">
        <v>12</v>
      </c>
      <c r="M564">
        <v>45</v>
      </c>
      <c r="N564" s="3"/>
    </row>
    <row r="565" spans="1:14" x14ac:dyDescent="0.25">
      <c r="A565" s="3" t="s">
        <v>595</v>
      </c>
      <c r="B565">
        <v>2002</v>
      </c>
      <c r="C565">
        <v>2002</v>
      </c>
      <c r="D565" s="3" t="s">
        <v>34</v>
      </c>
      <c r="E565" s="3" t="s">
        <v>34</v>
      </c>
      <c r="F565">
        <v>21</v>
      </c>
      <c r="G565" s="7">
        <v>37489</v>
      </c>
      <c r="H565">
        <v>5</v>
      </c>
      <c r="I565" s="3" t="s">
        <v>8939</v>
      </c>
      <c r="J565" s="3" t="s">
        <v>10</v>
      </c>
      <c r="K565" s="3" t="s">
        <v>15</v>
      </c>
      <c r="L565" s="3" t="s">
        <v>355</v>
      </c>
      <c r="M565">
        <v>24</v>
      </c>
      <c r="N565" s="3"/>
    </row>
    <row r="566" spans="1:14" x14ac:dyDescent="0.25">
      <c r="A566" s="3" t="s">
        <v>596</v>
      </c>
      <c r="B566">
        <v>1993</v>
      </c>
      <c r="C566">
        <v>1993</v>
      </c>
      <c r="D566" s="3" t="s">
        <v>34</v>
      </c>
      <c r="E566" s="3" t="s">
        <v>34</v>
      </c>
      <c r="F566">
        <v>10</v>
      </c>
      <c r="G566" s="7">
        <v>34191</v>
      </c>
      <c r="H566">
        <v>2</v>
      </c>
      <c r="I566" s="3" t="s">
        <v>8940</v>
      </c>
      <c r="J566" s="3" t="s">
        <v>10</v>
      </c>
      <c r="K566" s="3" t="s">
        <v>10</v>
      </c>
      <c r="L566" s="3" t="s">
        <v>22</v>
      </c>
      <c r="M566">
        <v>33</v>
      </c>
      <c r="N566" s="3"/>
    </row>
    <row r="567" spans="1:14" x14ac:dyDescent="0.25">
      <c r="A567" s="3" t="s">
        <v>597</v>
      </c>
      <c r="B567">
        <v>1991</v>
      </c>
      <c r="C567">
        <v>1991</v>
      </c>
      <c r="D567" s="3" t="s">
        <v>34</v>
      </c>
      <c r="E567" s="3" t="s">
        <v>34</v>
      </c>
      <c r="F567">
        <v>23</v>
      </c>
      <c r="G567" s="7">
        <v>33473</v>
      </c>
      <c r="H567">
        <v>2</v>
      </c>
      <c r="I567" s="3" t="s">
        <v>8941</v>
      </c>
      <c r="J567" s="3" t="s">
        <v>10</v>
      </c>
      <c r="K567" s="3" t="s">
        <v>11</v>
      </c>
      <c r="L567" s="3" t="s">
        <v>41</v>
      </c>
      <c r="M567">
        <v>35</v>
      </c>
      <c r="N567" s="3"/>
    </row>
    <row r="568" spans="1:14" x14ac:dyDescent="0.25">
      <c r="A568" s="3" t="s">
        <v>598</v>
      </c>
      <c r="B568">
        <v>1991</v>
      </c>
      <c r="C568">
        <v>1991</v>
      </c>
      <c r="D568" s="3" t="s">
        <v>14</v>
      </c>
      <c r="E568" s="3" t="s">
        <v>14</v>
      </c>
      <c r="F568">
        <v>27</v>
      </c>
      <c r="G568" s="7">
        <v>33569</v>
      </c>
      <c r="H568">
        <v>2</v>
      </c>
      <c r="I568" s="3" t="s">
        <v>8942</v>
      </c>
      <c r="J568" s="3" t="s">
        <v>10</v>
      </c>
      <c r="K568" s="3" t="s">
        <v>11</v>
      </c>
      <c r="L568" s="3" t="s">
        <v>41</v>
      </c>
      <c r="M568">
        <v>35</v>
      </c>
      <c r="N568" s="3"/>
    </row>
    <row r="569" spans="1:14" x14ac:dyDescent="0.25">
      <c r="A569" s="3" t="s">
        <v>599</v>
      </c>
      <c r="B569">
        <v>1974</v>
      </c>
      <c r="C569">
        <v>1974</v>
      </c>
      <c r="D569" s="3" t="s">
        <v>17</v>
      </c>
      <c r="E569" s="3" t="s">
        <v>17</v>
      </c>
      <c r="F569">
        <v>26</v>
      </c>
      <c r="G569" s="7">
        <v>27206</v>
      </c>
      <c r="H569">
        <v>0</v>
      </c>
      <c r="I569" s="3" t="s">
        <v>8943</v>
      </c>
      <c r="J569" s="3" t="s">
        <v>10</v>
      </c>
      <c r="K569" s="3" t="s">
        <v>10</v>
      </c>
      <c r="L569" s="3" t="s">
        <v>12</v>
      </c>
      <c r="M569">
        <v>52</v>
      </c>
      <c r="N569" s="3"/>
    </row>
    <row r="570" spans="1:14" x14ac:dyDescent="0.25">
      <c r="A570" s="3" t="s">
        <v>600</v>
      </c>
      <c r="B570">
        <v>1991</v>
      </c>
      <c r="C570">
        <v>1991</v>
      </c>
      <c r="D570" s="3" t="s">
        <v>34</v>
      </c>
      <c r="E570" s="3" t="s">
        <v>34</v>
      </c>
      <c r="F570">
        <v>30</v>
      </c>
      <c r="G570" s="7">
        <v>33480</v>
      </c>
      <c r="H570">
        <v>2</v>
      </c>
      <c r="I570" s="3" t="s">
        <v>8944</v>
      </c>
      <c r="J570" s="3" t="s">
        <v>10</v>
      </c>
      <c r="K570" s="3" t="s">
        <v>15</v>
      </c>
      <c r="L570" s="3" t="s">
        <v>12</v>
      </c>
      <c r="M570">
        <v>35</v>
      </c>
      <c r="N570" s="3"/>
    </row>
    <row r="571" spans="1:14" x14ac:dyDescent="0.25">
      <c r="A571" s="3" t="s">
        <v>601</v>
      </c>
      <c r="B571">
        <v>1973</v>
      </c>
      <c r="C571">
        <v>1973</v>
      </c>
      <c r="D571" s="3" t="s">
        <v>14</v>
      </c>
      <c r="E571" s="3" t="s">
        <v>14</v>
      </c>
      <c r="F571">
        <v>7</v>
      </c>
      <c r="G571" s="7">
        <v>26975</v>
      </c>
      <c r="H571">
        <v>0</v>
      </c>
      <c r="I571" s="3" t="s">
        <v>8945</v>
      </c>
      <c r="J571" s="3" t="s">
        <v>10</v>
      </c>
      <c r="K571" s="3" t="s">
        <v>11</v>
      </c>
      <c r="L571" s="3" t="s">
        <v>12</v>
      </c>
      <c r="M571">
        <v>53</v>
      </c>
      <c r="N571" s="3"/>
    </row>
    <row r="572" spans="1:14" x14ac:dyDescent="0.25">
      <c r="A572" s="3" t="s">
        <v>602</v>
      </c>
      <c r="B572">
        <v>1988</v>
      </c>
      <c r="C572">
        <v>1988</v>
      </c>
      <c r="D572" s="3" t="s">
        <v>17</v>
      </c>
      <c r="E572" s="3" t="s">
        <v>17</v>
      </c>
      <c r="F572">
        <v>24</v>
      </c>
      <c r="G572" s="7">
        <v>32318</v>
      </c>
      <c r="H572">
        <v>0</v>
      </c>
      <c r="I572" s="3" t="s">
        <v>8946</v>
      </c>
      <c r="J572" s="3" t="s">
        <v>10</v>
      </c>
      <c r="K572" s="3" t="s">
        <v>11</v>
      </c>
      <c r="L572" s="3" t="s">
        <v>246</v>
      </c>
      <c r="M572">
        <v>38</v>
      </c>
      <c r="N572" s="3"/>
    </row>
    <row r="573" spans="1:14" x14ac:dyDescent="0.25">
      <c r="A573" s="3" t="s">
        <v>603</v>
      </c>
      <c r="B573">
        <v>2001</v>
      </c>
      <c r="C573">
        <v>2001</v>
      </c>
      <c r="D573" s="3" t="s">
        <v>36</v>
      </c>
      <c r="E573" s="3" t="s">
        <v>36</v>
      </c>
      <c r="F573">
        <v>5</v>
      </c>
      <c r="G573" s="7">
        <v>37169</v>
      </c>
      <c r="H573">
        <v>0</v>
      </c>
      <c r="I573" s="3" t="s">
        <v>8947</v>
      </c>
      <c r="J573" s="3" t="s">
        <v>10</v>
      </c>
      <c r="K573" s="3" t="s">
        <v>10</v>
      </c>
      <c r="L573" s="3" t="s">
        <v>41</v>
      </c>
      <c r="M573">
        <v>25</v>
      </c>
      <c r="N573" s="3"/>
    </row>
    <row r="574" spans="1:14" x14ac:dyDescent="0.25">
      <c r="A574" s="3" t="s">
        <v>604</v>
      </c>
      <c r="B574">
        <v>1988</v>
      </c>
      <c r="C574">
        <v>1988</v>
      </c>
      <c r="D574" s="3" t="s">
        <v>19</v>
      </c>
      <c r="E574" s="3" t="s">
        <v>19</v>
      </c>
      <c r="F574">
        <v>4</v>
      </c>
      <c r="G574" s="7">
        <v>32390</v>
      </c>
      <c r="H574">
        <v>1</v>
      </c>
      <c r="I574" s="3" t="s">
        <v>8948</v>
      </c>
      <c r="J574" s="3" t="s">
        <v>10</v>
      </c>
      <c r="K574" s="3" t="s">
        <v>10</v>
      </c>
      <c r="L574" s="3" t="s">
        <v>12</v>
      </c>
      <c r="M574">
        <v>38</v>
      </c>
      <c r="N574" s="3"/>
    </row>
    <row r="575" spans="1:14" x14ac:dyDescent="0.25">
      <c r="A575" s="3" t="s">
        <v>605</v>
      </c>
      <c r="B575">
        <v>1977</v>
      </c>
      <c r="C575">
        <v>1977</v>
      </c>
      <c r="D575" s="3" t="s">
        <v>17</v>
      </c>
      <c r="E575" s="3" t="s">
        <v>17</v>
      </c>
      <c r="F575">
        <v>9</v>
      </c>
      <c r="G575" s="7">
        <v>28285</v>
      </c>
      <c r="H575">
        <v>2</v>
      </c>
      <c r="I575" s="3" t="s">
        <v>8949</v>
      </c>
      <c r="J575" s="3" t="s">
        <v>10</v>
      </c>
      <c r="K575" s="3" t="s">
        <v>11</v>
      </c>
      <c r="L575" s="3" t="s">
        <v>12</v>
      </c>
      <c r="M575">
        <v>49</v>
      </c>
      <c r="N575" s="3"/>
    </row>
    <row r="576" spans="1:14" x14ac:dyDescent="0.25">
      <c r="A576" s="3" t="s">
        <v>606</v>
      </c>
      <c r="B576">
        <v>1988</v>
      </c>
      <c r="C576">
        <v>1988</v>
      </c>
      <c r="D576" s="3" t="s">
        <v>9</v>
      </c>
      <c r="E576" s="3" t="s">
        <v>9</v>
      </c>
      <c r="F576">
        <v>8</v>
      </c>
      <c r="G576" s="7">
        <v>32332</v>
      </c>
      <c r="H576">
        <v>1</v>
      </c>
      <c r="I576" s="3" t="s">
        <v>8950</v>
      </c>
      <c r="J576" s="3" t="s">
        <v>10</v>
      </c>
      <c r="K576" s="3" t="s">
        <v>11</v>
      </c>
      <c r="L576" s="3" t="s">
        <v>41</v>
      </c>
      <c r="M576">
        <v>38</v>
      </c>
      <c r="N576" s="3"/>
    </row>
    <row r="577" spans="1:14" x14ac:dyDescent="0.25">
      <c r="A577" s="3" t="s">
        <v>607</v>
      </c>
      <c r="B577">
        <v>1988</v>
      </c>
      <c r="C577">
        <v>1988</v>
      </c>
      <c r="D577" s="3" t="s">
        <v>14</v>
      </c>
      <c r="E577" s="3" t="s">
        <v>14</v>
      </c>
      <c r="F577">
        <v>9</v>
      </c>
      <c r="G577" s="7">
        <v>32456</v>
      </c>
      <c r="H577">
        <v>1</v>
      </c>
      <c r="I577" s="3" t="s">
        <v>8951</v>
      </c>
      <c r="J577" s="3" t="s">
        <v>10</v>
      </c>
      <c r="K577" s="3" t="s">
        <v>11</v>
      </c>
      <c r="L577" s="3" t="s">
        <v>41</v>
      </c>
      <c r="M577">
        <v>38</v>
      </c>
      <c r="N577" s="3"/>
    </row>
    <row r="578" spans="1:14" x14ac:dyDescent="0.25">
      <c r="A578" s="3" t="s">
        <v>608</v>
      </c>
      <c r="B578">
        <v>1985</v>
      </c>
      <c r="C578">
        <v>1985</v>
      </c>
      <c r="D578" s="3" t="s">
        <v>29</v>
      </c>
      <c r="E578" s="3" t="s">
        <v>29</v>
      </c>
      <c r="F578">
        <v>28</v>
      </c>
      <c r="G578" s="7">
        <v>31409</v>
      </c>
      <c r="H578">
        <v>0</v>
      </c>
      <c r="I578" s="3" t="s">
        <v>8952</v>
      </c>
      <c r="J578" s="3" t="s">
        <v>15</v>
      </c>
      <c r="K578" s="3" t="s">
        <v>10</v>
      </c>
      <c r="L578" s="3" t="s">
        <v>22</v>
      </c>
      <c r="M578">
        <v>41</v>
      </c>
      <c r="N578" s="3"/>
    </row>
    <row r="579" spans="1:14" x14ac:dyDescent="0.25">
      <c r="A579" s="3" t="s">
        <v>609</v>
      </c>
      <c r="B579">
        <v>1991</v>
      </c>
      <c r="C579">
        <v>1991</v>
      </c>
      <c r="D579" s="3" t="s">
        <v>19</v>
      </c>
      <c r="E579" s="3" t="s">
        <v>19</v>
      </c>
      <c r="F579">
        <v>10</v>
      </c>
      <c r="G579" s="7">
        <v>33491</v>
      </c>
      <c r="H579">
        <v>2</v>
      </c>
      <c r="I579" s="3" t="s">
        <v>8953</v>
      </c>
      <c r="J579" s="3" t="s">
        <v>11</v>
      </c>
      <c r="K579" s="3" t="s">
        <v>15</v>
      </c>
      <c r="L579" s="3" t="s">
        <v>167</v>
      </c>
      <c r="M579">
        <v>35</v>
      </c>
      <c r="N579" s="3"/>
    </row>
    <row r="580" spans="1:14" x14ac:dyDescent="0.25">
      <c r="A580" s="3" t="s">
        <v>610</v>
      </c>
      <c r="B580">
        <v>1986</v>
      </c>
      <c r="C580">
        <v>1986</v>
      </c>
      <c r="D580" s="3" t="s">
        <v>17</v>
      </c>
      <c r="E580" s="3" t="s">
        <v>17</v>
      </c>
      <c r="F580">
        <v>29</v>
      </c>
      <c r="G580" s="7">
        <v>31592</v>
      </c>
      <c r="H580">
        <v>3</v>
      </c>
      <c r="I580" s="3" t="s">
        <v>8954</v>
      </c>
      <c r="J580" s="3" t="s">
        <v>10</v>
      </c>
      <c r="K580" s="3" t="s">
        <v>10</v>
      </c>
      <c r="L580" s="3" t="s">
        <v>12</v>
      </c>
      <c r="M580">
        <v>40</v>
      </c>
      <c r="N580" s="3"/>
    </row>
    <row r="581" spans="1:14" x14ac:dyDescent="0.25">
      <c r="A581" s="3" t="s">
        <v>611</v>
      </c>
      <c r="B581">
        <v>1997</v>
      </c>
      <c r="C581">
        <v>1997</v>
      </c>
      <c r="D581" s="3" t="s">
        <v>29</v>
      </c>
      <c r="E581" s="3" t="s">
        <v>29</v>
      </c>
      <c r="F581">
        <v>4</v>
      </c>
      <c r="G581" s="7">
        <v>35768</v>
      </c>
      <c r="H581">
        <v>0</v>
      </c>
      <c r="I581" s="3" t="s">
        <v>8955</v>
      </c>
      <c r="J581" s="3" t="s">
        <v>10</v>
      </c>
      <c r="K581" s="3" t="s">
        <v>10</v>
      </c>
      <c r="L581" s="3" t="s">
        <v>199</v>
      </c>
      <c r="M581">
        <v>29</v>
      </c>
      <c r="N581" s="3"/>
    </row>
    <row r="582" spans="1:14" x14ac:dyDescent="0.25">
      <c r="A582" s="3" t="s">
        <v>612</v>
      </c>
      <c r="B582">
        <v>2001</v>
      </c>
      <c r="C582">
        <v>2001</v>
      </c>
      <c r="D582" s="3" t="s">
        <v>36</v>
      </c>
      <c r="E582" s="3" t="s">
        <v>36</v>
      </c>
      <c r="F582">
        <v>16</v>
      </c>
      <c r="G582" s="7">
        <v>37180</v>
      </c>
      <c r="H582">
        <v>0</v>
      </c>
      <c r="I582" s="3" t="s">
        <v>8956</v>
      </c>
      <c r="J582" s="3" t="s">
        <v>10</v>
      </c>
      <c r="K582" s="3" t="s">
        <v>11</v>
      </c>
      <c r="L582" s="3" t="s">
        <v>41</v>
      </c>
      <c r="M582">
        <v>25</v>
      </c>
      <c r="N582" s="3"/>
    </row>
    <row r="583" spans="1:14" x14ac:dyDescent="0.25">
      <c r="A583" s="3" t="s">
        <v>613</v>
      </c>
      <c r="B583">
        <v>1997</v>
      </c>
      <c r="C583">
        <v>1997</v>
      </c>
      <c r="D583" s="3" t="s">
        <v>9</v>
      </c>
      <c r="E583" s="3" t="s">
        <v>9</v>
      </c>
      <c r="F583">
        <v>29</v>
      </c>
      <c r="G583" s="7">
        <v>35640</v>
      </c>
      <c r="H583">
        <v>0</v>
      </c>
      <c r="I583" s="3" t="s">
        <v>8957</v>
      </c>
      <c r="J583" s="3" t="s">
        <v>10</v>
      </c>
      <c r="K583" s="3" t="s">
        <v>10</v>
      </c>
      <c r="L583" s="3" t="s">
        <v>22</v>
      </c>
      <c r="M583">
        <v>29</v>
      </c>
      <c r="N583" s="3"/>
    </row>
    <row r="584" spans="1:14" x14ac:dyDescent="0.25">
      <c r="A584" s="3" t="s">
        <v>614</v>
      </c>
      <c r="B584">
        <v>1980</v>
      </c>
      <c r="C584">
        <v>1980</v>
      </c>
      <c r="D584" s="3" t="s">
        <v>19</v>
      </c>
      <c r="E584" s="3" t="s">
        <v>19</v>
      </c>
      <c r="F584">
        <v>7</v>
      </c>
      <c r="G584" s="7">
        <v>29471</v>
      </c>
      <c r="H584">
        <v>2</v>
      </c>
      <c r="I584" s="3" t="s">
        <v>8958</v>
      </c>
      <c r="J584" s="3" t="s">
        <v>10</v>
      </c>
      <c r="K584" s="3" t="s">
        <v>10</v>
      </c>
      <c r="L584" s="3" t="s">
        <v>12</v>
      </c>
      <c r="M584">
        <v>46</v>
      </c>
      <c r="N584" s="3"/>
    </row>
    <row r="585" spans="1:14" x14ac:dyDescent="0.25">
      <c r="A585" s="3" t="s">
        <v>615</v>
      </c>
      <c r="B585">
        <v>1993</v>
      </c>
      <c r="C585">
        <v>1993</v>
      </c>
      <c r="D585" s="3" t="s">
        <v>17</v>
      </c>
      <c r="E585" s="3" t="s">
        <v>17</v>
      </c>
      <c r="F585">
        <v>11</v>
      </c>
      <c r="G585" s="7">
        <v>34131</v>
      </c>
      <c r="H585">
        <v>0</v>
      </c>
      <c r="I585" s="3" t="s">
        <v>8959</v>
      </c>
      <c r="J585" s="3" t="s">
        <v>10</v>
      </c>
      <c r="K585" s="3" t="s">
        <v>15</v>
      </c>
      <c r="L585" s="3" t="s">
        <v>299</v>
      </c>
      <c r="M585">
        <v>33</v>
      </c>
      <c r="N585" s="3"/>
    </row>
    <row r="586" spans="1:14" x14ac:dyDescent="0.25">
      <c r="A586" s="3" t="s">
        <v>616</v>
      </c>
      <c r="B586">
        <v>1978</v>
      </c>
      <c r="C586">
        <v>1978</v>
      </c>
      <c r="D586" s="3" t="s">
        <v>14</v>
      </c>
      <c r="E586" s="3" t="s">
        <v>14</v>
      </c>
      <c r="F586">
        <v>22</v>
      </c>
      <c r="G586" s="7">
        <v>28816</v>
      </c>
      <c r="H586">
        <v>2</v>
      </c>
      <c r="I586" s="3" t="s">
        <v>8960</v>
      </c>
      <c r="J586" s="3" t="s">
        <v>10</v>
      </c>
      <c r="K586" s="3" t="s">
        <v>11</v>
      </c>
      <c r="L586" s="3" t="s">
        <v>22</v>
      </c>
      <c r="M586">
        <v>48</v>
      </c>
      <c r="N586" s="3"/>
    </row>
    <row r="587" spans="1:14" x14ac:dyDescent="0.25">
      <c r="A587" s="3" t="s">
        <v>617</v>
      </c>
      <c r="B587">
        <v>1997</v>
      </c>
      <c r="C587">
        <v>1997</v>
      </c>
      <c r="D587" s="3" t="s">
        <v>9</v>
      </c>
      <c r="E587" s="3" t="s">
        <v>9</v>
      </c>
      <c r="F587">
        <v>14</v>
      </c>
      <c r="G587" s="7">
        <v>35625</v>
      </c>
      <c r="H587">
        <v>5</v>
      </c>
      <c r="I587" s="3" t="s">
        <v>8961</v>
      </c>
      <c r="J587" s="3" t="s">
        <v>11</v>
      </c>
      <c r="K587" s="3" t="s">
        <v>10</v>
      </c>
      <c r="L587" s="3" t="s">
        <v>41</v>
      </c>
      <c r="M587">
        <v>29</v>
      </c>
      <c r="N587" s="3"/>
    </row>
    <row r="588" spans="1:14" x14ac:dyDescent="0.25">
      <c r="A588" s="3" t="s">
        <v>618</v>
      </c>
      <c r="B588">
        <v>1999</v>
      </c>
      <c r="C588">
        <v>1999</v>
      </c>
      <c r="D588" s="3" t="s">
        <v>17</v>
      </c>
      <c r="E588" s="3" t="s">
        <v>17</v>
      </c>
      <c r="F588">
        <v>19</v>
      </c>
      <c r="G588" s="7">
        <v>36330</v>
      </c>
      <c r="H588">
        <v>0</v>
      </c>
      <c r="I588" s="3" t="s">
        <v>8962</v>
      </c>
      <c r="J588" s="3" t="s">
        <v>10</v>
      </c>
      <c r="K588" s="3" t="s">
        <v>10</v>
      </c>
      <c r="L588" s="3" t="s">
        <v>534</v>
      </c>
      <c r="M588">
        <v>27</v>
      </c>
      <c r="N588" s="3"/>
    </row>
    <row r="589" spans="1:14" x14ac:dyDescent="0.25">
      <c r="A589" s="3" t="s">
        <v>619</v>
      </c>
      <c r="B589">
        <v>1987</v>
      </c>
      <c r="C589">
        <v>1987</v>
      </c>
      <c r="D589" s="3" t="s">
        <v>14</v>
      </c>
      <c r="E589" s="3" t="s">
        <v>14</v>
      </c>
      <c r="F589">
        <v>18</v>
      </c>
      <c r="G589" s="7">
        <v>32099</v>
      </c>
      <c r="H589">
        <v>1</v>
      </c>
      <c r="I589" s="3" t="s">
        <v>8963</v>
      </c>
      <c r="J589" s="3" t="s">
        <v>10</v>
      </c>
      <c r="K589" s="3" t="s">
        <v>10</v>
      </c>
      <c r="L589" s="3" t="s">
        <v>22</v>
      </c>
      <c r="M589">
        <v>39</v>
      </c>
      <c r="N589" s="3"/>
    </row>
    <row r="590" spans="1:14" x14ac:dyDescent="0.25">
      <c r="A590" s="3" t="s">
        <v>620</v>
      </c>
      <c r="B590">
        <v>1988</v>
      </c>
      <c r="C590">
        <v>1988</v>
      </c>
      <c r="D590" s="3" t="s">
        <v>14</v>
      </c>
      <c r="E590" s="3" t="s">
        <v>14</v>
      </c>
      <c r="F590">
        <v>1</v>
      </c>
      <c r="G590" s="7">
        <v>32448</v>
      </c>
      <c r="H590">
        <v>2</v>
      </c>
      <c r="I590" s="3" t="s">
        <v>8964</v>
      </c>
      <c r="J590" s="3" t="s">
        <v>10</v>
      </c>
      <c r="K590" s="3" t="s">
        <v>11</v>
      </c>
      <c r="L590" s="3" t="s">
        <v>12</v>
      </c>
      <c r="M590">
        <v>38</v>
      </c>
      <c r="N590" s="3"/>
    </row>
    <row r="591" spans="1:14" x14ac:dyDescent="0.25">
      <c r="A591" s="3" t="s">
        <v>621</v>
      </c>
      <c r="B591">
        <v>1987</v>
      </c>
      <c r="C591">
        <v>1987</v>
      </c>
      <c r="D591" s="3" t="s">
        <v>19</v>
      </c>
      <c r="E591" s="3" t="s">
        <v>19</v>
      </c>
      <c r="F591">
        <v>13</v>
      </c>
      <c r="G591" s="7">
        <v>32033</v>
      </c>
      <c r="H591">
        <v>1</v>
      </c>
      <c r="I591" s="3" t="s">
        <v>8965</v>
      </c>
      <c r="J591" s="3" t="s">
        <v>15</v>
      </c>
      <c r="K591" s="3" t="s">
        <v>10</v>
      </c>
      <c r="L591" s="3" t="s">
        <v>22</v>
      </c>
      <c r="M591">
        <v>39</v>
      </c>
      <c r="N591" s="3"/>
    </row>
    <row r="592" spans="1:14" x14ac:dyDescent="0.25">
      <c r="A592" s="3" t="s">
        <v>622</v>
      </c>
      <c r="B592">
        <v>1988</v>
      </c>
      <c r="C592">
        <v>1988</v>
      </c>
      <c r="D592" s="3" t="s">
        <v>19</v>
      </c>
      <c r="E592" s="3" t="s">
        <v>19</v>
      </c>
      <c r="F592">
        <v>15</v>
      </c>
      <c r="G592" s="7">
        <v>32401</v>
      </c>
      <c r="H592">
        <v>3</v>
      </c>
      <c r="I592" s="3" t="s">
        <v>8966</v>
      </c>
      <c r="J592" s="3" t="s">
        <v>10</v>
      </c>
      <c r="K592" s="3" t="s">
        <v>15</v>
      </c>
      <c r="L592" s="3" t="s">
        <v>12</v>
      </c>
      <c r="M592">
        <v>38</v>
      </c>
      <c r="N592" s="3"/>
    </row>
    <row r="593" spans="1:14" x14ac:dyDescent="0.25">
      <c r="A593" s="3" t="s">
        <v>623</v>
      </c>
      <c r="B593">
        <v>1993</v>
      </c>
      <c r="C593">
        <v>1993</v>
      </c>
      <c r="D593" s="3" t="s">
        <v>29</v>
      </c>
      <c r="E593" s="3" t="s">
        <v>29</v>
      </c>
      <c r="F593">
        <v>10</v>
      </c>
      <c r="G593" s="7">
        <v>34313</v>
      </c>
      <c r="H593">
        <v>3</v>
      </c>
      <c r="I593" s="3" t="s">
        <v>8967</v>
      </c>
      <c r="J593" s="3" t="s">
        <v>10</v>
      </c>
      <c r="K593" s="3" t="s">
        <v>10</v>
      </c>
      <c r="L593" s="3" t="s">
        <v>12</v>
      </c>
      <c r="M593">
        <v>33</v>
      </c>
      <c r="N593" s="3"/>
    </row>
    <row r="594" spans="1:14" x14ac:dyDescent="0.25">
      <c r="A594" s="3" t="s">
        <v>624</v>
      </c>
      <c r="B594">
        <v>1984</v>
      </c>
      <c r="C594">
        <v>1984</v>
      </c>
      <c r="D594" s="3" t="s">
        <v>34</v>
      </c>
      <c r="E594" s="3" t="s">
        <v>34</v>
      </c>
      <c r="F594">
        <v>22</v>
      </c>
      <c r="G594" s="7">
        <v>30916</v>
      </c>
      <c r="H594">
        <v>3</v>
      </c>
      <c r="I594" s="3" t="s">
        <v>8968</v>
      </c>
      <c r="J594" s="3" t="s">
        <v>10</v>
      </c>
      <c r="K594" s="3" t="s">
        <v>15</v>
      </c>
      <c r="L594" s="3" t="s">
        <v>12</v>
      </c>
      <c r="M594">
        <v>42</v>
      </c>
      <c r="N594" s="3"/>
    </row>
    <row r="595" spans="1:14" x14ac:dyDescent="0.25">
      <c r="A595" s="3" t="s">
        <v>625</v>
      </c>
      <c r="B595">
        <v>1990</v>
      </c>
      <c r="C595">
        <v>1990</v>
      </c>
      <c r="D595" s="3" t="s">
        <v>34</v>
      </c>
      <c r="E595" s="3" t="s">
        <v>34</v>
      </c>
      <c r="F595">
        <v>22</v>
      </c>
      <c r="G595" s="7">
        <v>33107</v>
      </c>
      <c r="H595">
        <v>1</v>
      </c>
      <c r="I595" s="3" t="s">
        <v>8969</v>
      </c>
      <c r="J595" s="3" t="s">
        <v>10</v>
      </c>
      <c r="K595" s="3" t="s">
        <v>10</v>
      </c>
      <c r="L595" s="3" t="s">
        <v>246</v>
      </c>
      <c r="M595">
        <v>36</v>
      </c>
      <c r="N595" s="3"/>
    </row>
    <row r="596" spans="1:14" x14ac:dyDescent="0.25">
      <c r="A596" s="3" t="s">
        <v>626</v>
      </c>
      <c r="B596">
        <v>1990</v>
      </c>
      <c r="C596">
        <v>1990</v>
      </c>
      <c r="D596" s="3" t="s">
        <v>36</v>
      </c>
      <c r="E596" s="3" t="s">
        <v>36</v>
      </c>
      <c r="F596">
        <v>9</v>
      </c>
      <c r="G596" s="7">
        <v>33155</v>
      </c>
      <c r="H596">
        <v>2</v>
      </c>
      <c r="I596" s="3" t="s">
        <v>8970</v>
      </c>
      <c r="J596" s="3" t="s">
        <v>10</v>
      </c>
      <c r="K596" s="3" t="s">
        <v>10</v>
      </c>
      <c r="L596" s="3" t="s">
        <v>41</v>
      </c>
      <c r="M596">
        <v>36</v>
      </c>
      <c r="N596" s="3"/>
    </row>
    <row r="597" spans="1:14" x14ac:dyDescent="0.25">
      <c r="A597" s="3" t="s">
        <v>627</v>
      </c>
      <c r="B597">
        <v>1991</v>
      </c>
      <c r="C597">
        <v>1991</v>
      </c>
      <c r="D597" s="3" t="s">
        <v>34</v>
      </c>
      <c r="E597" s="3" t="s">
        <v>34</v>
      </c>
      <c r="F597">
        <v>29</v>
      </c>
      <c r="G597" s="7">
        <v>33479</v>
      </c>
      <c r="H597">
        <v>3</v>
      </c>
      <c r="I597" s="3" t="s">
        <v>8971</v>
      </c>
      <c r="J597" s="3" t="s">
        <v>10</v>
      </c>
      <c r="K597" s="3" t="s">
        <v>10</v>
      </c>
      <c r="L597" s="3" t="s">
        <v>22</v>
      </c>
      <c r="M597">
        <v>35</v>
      </c>
      <c r="N597" s="3"/>
    </row>
    <row r="598" spans="1:14" x14ac:dyDescent="0.25">
      <c r="A598" s="3" t="s">
        <v>628</v>
      </c>
      <c r="B598">
        <v>1984</v>
      </c>
      <c r="C598">
        <v>1984</v>
      </c>
      <c r="D598" s="3" t="s">
        <v>36</v>
      </c>
      <c r="E598" s="3" t="s">
        <v>36</v>
      </c>
      <c r="F598">
        <v>16</v>
      </c>
      <c r="G598" s="7">
        <v>30971</v>
      </c>
      <c r="H598">
        <v>3</v>
      </c>
      <c r="I598" s="3" t="s">
        <v>8972</v>
      </c>
      <c r="J598" s="3" t="s">
        <v>10</v>
      </c>
      <c r="K598" s="3" t="s">
        <v>15</v>
      </c>
      <c r="L598" s="3" t="s">
        <v>12</v>
      </c>
      <c r="M598">
        <v>42</v>
      </c>
      <c r="N598" s="3"/>
    </row>
    <row r="599" spans="1:14" x14ac:dyDescent="0.25">
      <c r="A599" s="3" t="s">
        <v>629</v>
      </c>
      <c r="B599">
        <v>1979</v>
      </c>
      <c r="C599">
        <v>1979</v>
      </c>
      <c r="D599" s="3" t="s">
        <v>19</v>
      </c>
      <c r="E599" s="3" t="s">
        <v>19</v>
      </c>
      <c r="F599">
        <v>12</v>
      </c>
      <c r="G599" s="7">
        <v>29110</v>
      </c>
      <c r="H599">
        <v>2</v>
      </c>
      <c r="I599" s="3" t="s">
        <v>8973</v>
      </c>
      <c r="J599" s="3" t="s">
        <v>10</v>
      </c>
      <c r="K599" s="3" t="s">
        <v>10</v>
      </c>
      <c r="L599" s="3" t="s">
        <v>12</v>
      </c>
      <c r="M599">
        <v>47</v>
      </c>
      <c r="N599" s="3"/>
    </row>
    <row r="600" spans="1:14" x14ac:dyDescent="0.25">
      <c r="A600" s="3" t="s">
        <v>630</v>
      </c>
      <c r="B600">
        <v>2004</v>
      </c>
      <c r="C600">
        <v>2004</v>
      </c>
      <c r="D600" s="3" t="s">
        <v>17</v>
      </c>
      <c r="E600" s="3" t="s">
        <v>17</v>
      </c>
      <c r="F600">
        <v>6</v>
      </c>
      <c r="G600" s="7">
        <v>38144</v>
      </c>
      <c r="H600">
        <v>0</v>
      </c>
      <c r="I600" s="3" t="s">
        <v>8974</v>
      </c>
      <c r="J600" s="3" t="s">
        <v>10</v>
      </c>
      <c r="K600" s="3" t="s">
        <v>10</v>
      </c>
      <c r="L600" s="3" t="s">
        <v>631</v>
      </c>
      <c r="M600">
        <v>22</v>
      </c>
      <c r="N600" s="3"/>
    </row>
    <row r="601" spans="1:14" x14ac:dyDescent="0.25">
      <c r="A601" s="3" t="s">
        <v>632</v>
      </c>
      <c r="B601">
        <v>1983</v>
      </c>
      <c r="C601">
        <v>1983</v>
      </c>
      <c r="D601" s="3" t="s">
        <v>36</v>
      </c>
      <c r="E601" s="3" t="s">
        <v>36</v>
      </c>
      <c r="F601">
        <v>24</v>
      </c>
      <c r="G601" s="7">
        <v>30613</v>
      </c>
      <c r="H601">
        <v>3</v>
      </c>
      <c r="I601" s="3" t="s">
        <v>8975</v>
      </c>
      <c r="J601" s="3" t="s">
        <v>10</v>
      </c>
      <c r="K601" s="3" t="s">
        <v>10</v>
      </c>
      <c r="L601" s="3" t="s">
        <v>22</v>
      </c>
      <c r="M601">
        <v>43</v>
      </c>
      <c r="N601" s="3"/>
    </row>
    <row r="602" spans="1:14" x14ac:dyDescent="0.25">
      <c r="A602" s="3" t="s">
        <v>633</v>
      </c>
      <c r="B602">
        <v>1993</v>
      </c>
      <c r="C602">
        <v>1993</v>
      </c>
      <c r="D602" s="3" t="s">
        <v>17</v>
      </c>
      <c r="E602" s="3" t="s">
        <v>17</v>
      </c>
      <c r="F602">
        <v>17</v>
      </c>
      <c r="G602" s="7">
        <v>34137</v>
      </c>
      <c r="H602">
        <v>3</v>
      </c>
      <c r="I602" s="3" t="s">
        <v>8976</v>
      </c>
      <c r="J602" s="3" t="s">
        <v>11</v>
      </c>
      <c r="K602" s="3" t="s">
        <v>11</v>
      </c>
      <c r="L602" s="3" t="s">
        <v>355</v>
      </c>
      <c r="M602">
        <v>33</v>
      </c>
      <c r="N602" s="3"/>
    </row>
    <row r="603" spans="1:14" x14ac:dyDescent="0.25">
      <c r="A603" s="3" t="s">
        <v>634</v>
      </c>
      <c r="B603">
        <v>1999</v>
      </c>
      <c r="C603">
        <v>1999</v>
      </c>
      <c r="D603" s="3" t="s">
        <v>29</v>
      </c>
      <c r="E603" s="3" t="s">
        <v>29</v>
      </c>
      <c r="F603">
        <v>1</v>
      </c>
      <c r="G603" s="7">
        <v>36495</v>
      </c>
      <c r="H603">
        <v>0</v>
      </c>
      <c r="I603" s="3" t="s">
        <v>8977</v>
      </c>
      <c r="J603" s="3" t="s">
        <v>10</v>
      </c>
      <c r="K603" s="3" t="s">
        <v>15</v>
      </c>
      <c r="L603" s="3" t="s">
        <v>22</v>
      </c>
      <c r="M603">
        <v>27</v>
      </c>
      <c r="N603" s="3"/>
    </row>
    <row r="604" spans="1:14" x14ac:dyDescent="0.25">
      <c r="A604" s="3" t="s">
        <v>635</v>
      </c>
      <c r="B604">
        <v>1995</v>
      </c>
      <c r="C604">
        <v>1995</v>
      </c>
      <c r="D604" s="3" t="s">
        <v>17</v>
      </c>
      <c r="E604" s="3" t="s">
        <v>17</v>
      </c>
      <c r="F604">
        <v>6</v>
      </c>
      <c r="G604" s="7">
        <v>34856</v>
      </c>
      <c r="H604">
        <v>0</v>
      </c>
      <c r="I604" s="3" t="s">
        <v>8978</v>
      </c>
      <c r="J604" s="3" t="s">
        <v>10</v>
      </c>
      <c r="K604" s="3" t="s">
        <v>10</v>
      </c>
      <c r="L604" s="3" t="s">
        <v>199</v>
      </c>
      <c r="M604">
        <v>31</v>
      </c>
      <c r="N604" s="3"/>
    </row>
    <row r="605" spans="1:14" x14ac:dyDescent="0.25">
      <c r="A605" s="3" t="s">
        <v>636</v>
      </c>
      <c r="B605">
        <v>1987</v>
      </c>
      <c r="C605">
        <v>1987</v>
      </c>
      <c r="D605" s="3" t="s">
        <v>17</v>
      </c>
      <c r="E605" s="3" t="s">
        <v>17</v>
      </c>
      <c r="F605">
        <v>29</v>
      </c>
      <c r="G605" s="7">
        <v>31957</v>
      </c>
      <c r="H605">
        <v>0</v>
      </c>
      <c r="I605" s="3" t="s">
        <v>8979</v>
      </c>
      <c r="J605" s="3" t="s">
        <v>10</v>
      </c>
      <c r="K605" s="3" t="s">
        <v>15</v>
      </c>
      <c r="L605" s="3" t="s">
        <v>246</v>
      </c>
      <c r="M605">
        <v>39</v>
      </c>
      <c r="N605" s="3"/>
    </row>
    <row r="606" spans="1:14" x14ac:dyDescent="0.25">
      <c r="A606" s="3" t="s">
        <v>637</v>
      </c>
      <c r="B606">
        <v>1987</v>
      </c>
      <c r="C606">
        <v>1987</v>
      </c>
      <c r="D606" s="3" t="s">
        <v>29</v>
      </c>
      <c r="E606" s="3" t="s">
        <v>29</v>
      </c>
      <c r="F606">
        <v>26</v>
      </c>
      <c r="G606" s="7">
        <v>32137</v>
      </c>
      <c r="H606">
        <v>1</v>
      </c>
      <c r="I606" s="3" t="s">
        <v>8980</v>
      </c>
      <c r="J606" s="3" t="s">
        <v>10</v>
      </c>
      <c r="K606" s="3" t="s">
        <v>10</v>
      </c>
      <c r="L606" s="3" t="s">
        <v>41</v>
      </c>
      <c r="M606">
        <v>39</v>
      </c>
      <c r="N606" s="3"/>
    </row>
    <row r="607" spans="1:14" x14ac:dyDescent="0.25">
      <c r="A607" s="3" t="s">
        <v>638</v>
      </c>
      <c r="B607">
        <v>1987</v>
      </c>
      <c r="C607">
        <v>1987</v>
      </c>
      <c r="D607" s="3" t="s">
        <v>9</v>
      </c>
      <c r="E607" s="3" t="s">
        <v>9</v>
      </c>
      <c r="F607">
        <v>5</v>
      </c>
      <c r="G607" s="7">
        <v>31963</v>
      </c>
      <c r="H607">
        <v>1</v>
      </c>
      <c r="I607" s="3" t="s">
        <v>8981</v>
      </c>
      <c r="J607" s="3" t="s">
        <v>10</v>
      </c>
      <c r="K607" s="3" t="s">
        <v>10</v>
      </c>
      <c r="L607" s="3" t="s">
        <v>12</v>
      </c>
      <c r="M607">
        <v>39</v>
      </c>
      <c r="N607" s="3"/>
    </row>
    <row r="608" spans="1:14" x14ac:dyDescent="0.25">
      <c r="A608" s="3" t="s">
        <v>639</v>
      </c>
      <c r="B608">
        <v>1987</v>
      </c>
      <c r="C608">
        <v>1987</v>
      </c>
      <c r="D608" s="3" t="s">
        <v>19</v>
      </c>
      <c r="E608" s="3" t="s">
        <v>19</v>
      </c>
      <c r="F608">
        <v>9</v>
      </c>
      <c r="G608" s="7">
        <v>32029</v>
      </c>
      <c r="H608">
        <v>1</v>
      </c>
      <c r="I608" s="3" t="s">
        <v>8982</v>
      </c>
      <c r="J608" s="3" t="s">
        <v>10</v>
      </c>
      <c r="K608" s="3" t="s">
        <v>11</v>
      </c>
      <c r="L608" s="3" t="s">
        <v>41</v>
      </c>
      <c r="M608">
        <v>39</v>
      </c>
      <c r="N608" s="3"/>
    </row>
    <row r="609" spans="1:14" x14ac:dyDescent="0.25">
      <c r="A609" s="3" t="s">
        <v>640</v>
      </c>
      <c r="B609">
        <v>1990</v>
      </c>
      <c r="C609">
        <v>1990</v>
      </c>
      <c r="D609" s="3" t="s">
        <v>9</v>
      </c>
      <c r="E609" s="3" t="s">
        <v>9</v>
      </c>
      <c r="F609">
        <v>6</v>
      </c>
      <c r="G609" s="7">
        <v>33060</v>
      </c>
      <c r="H609">
        <v>3</v>
      </c>
      <c r="I609" s="3" t="s">
        <v>8983</v>
      </c>
      <c r="J609" s="3" t="s">
        <v>11</v>
      </c>
      <c r="K609" s="3" t="s">
        <v>11</v>
      </c>
      <c r="L609" s="3" t="s">
        <v>41</v>
      </c>
      <c r="M609">
        <v>36</v>
      </c>
      <c r="N609" s="3"/>
    </row>
    <row r="610" spans="1:14" x14ac:dyDescent="0.25">
      <c r="A610" s="3" t="s">
        <v>641</v>
      </c>
      <c r="B610">
        <v>1989</v>
      </c>
      <c r="C610">
        <v>1989</v>
      </c>
      <c r="D610" s="3" t="s">
        <v>14</v>
      </c>
      <c r="E610" s="3" t="s">
        <v>14</v>
      </c>
      <c r="F610">
        <v>25</v>
      </c>
      <c r="G610" s="7">
        <v>32837</v>
      </c>
      <c r="H610">
        <v>2</v>
      </c>
      <c r="I610" s="3" t="s">
        <v>8984</v>
      </c>
      <c r="J610" s="3" t="s">
        <v>10</v>
      </c>
      <c r="K610" s="3" t="s">
        <v>10</v>
      </c>
      <c r="L610" s="3" t="s">
        <v>22</v>
      </c>
      <c r="M610">
        <v>37</v>
      </c>
      <c r="N610" s="3"/>
    </row>
    <row r="611" spans="1:14" x14ac:dyDescent="0.25">
      <c r="A611" s="3" t="s">
        <v>642</v>
      </c>
      <c r="B611">
        <v>1989</v>
      </c>
      <c r="C611">
        <v>1989</v>
      </c>
      <c r="D611" s="3" t="s">
        <v>9</v>
      </c>
      <c r="E611" s="3" t="s">
        <v>9</v>
      </c>
      <c r="F611">
        <v>19</v>
      </c>
      <c r="G611" s="7">
        <v>32708</v>
      </c>
      <c r="H611">
        <v>2</v>
      </c>
      <c r="I611" s="3" t="s">
        <v>8985</v>
      </c>
      <c r="J611" s="3" t="s">
        <v>10</v>
      </c>
      <c r="K611" s="3" t="s">
        <v>10</v>
      </c>
      <c r="L611" s="3" t="s">
        <v>22</v>
      </c>
      <c r="M611">
        <v>37</v>
      </c>
      <c r="N611" s="3"/>
    </row>
    <row r="612" spans="1:14" x14ac:dyDescent="0.25">
      <c r="A612" s="3" t="s">
        <v>643</v>
      </c>
      <c r="B612">
        <v>1986</v>
      </c>
      <c r="C612">
        <v>1986</v>
      </c>
      <c r="D612" s="3" t="s">
        <v>36</v>
      </c>
      <c r="E612" s="3" t="s">
        <v>36</v>
      </c>
      <c r="F612">
        <v>25</v>
      </c>
      <c r="G612" s="7">
        <v>31710</v>
      </c>
      <c r="H612">
        <v>0</v>
      </c>
      <c r="I612" s="3" t="s">
        <v>8986</v>
      </c>
      <c r="J612" s="3" t="s">
        <v>10</v>
      </c>
      <c r="K612" s="3" t="s">
        <v>10</v>
      </c>
      <c r="L612" s="3" t="s">
        <v>22</v>
      </c>
      <c r="M612">
        <v>40</v>
      </c>
      <c r="N612" s="3"/>
    </row>
    <row r="613" spans="1:14" x14ac:dyDescent="0.25">
      <c r="A613" s="3" t="s">
        <v>644</v>
      </c>
      <c r="B613">
        <v>1986</v>
      </c>
      <c r="C613">
        <v>1986</v>
      </c>
      <c r="D613" s="3" t="s">
        <v>19</v>
      </c>
      <c r="E613" s="3" t="s">
        <v>19</v>
      </c>
      <c r="F613">
        <v>20</v>
      </c>
      <c r="G613" s="7">
        <v>31675</v>
      </c>
      <c r="H613">
        <v>0</v>
      </c>
      <c r="I613" s="3" t="s">
        <v>8987</v>
      </c>
      <c r="J613" s="3" t="s">
        <v>10</v>
      </c>
      <c r="K613" s="3" t="s">
        <v>10</v>
      </c>
      <c r="L613" s="3" t="s">
        <v>22</v>
      </c>
      <c r="M613">
        <v>40</v>
      </c>
      <c r="N613" s="3"/>
    </row>
    <row r="614" spans="1:14" x14ac:dyDescent="0.25">
      <c r="A614" s="3" t="s">
        <v>645</v>
      </c>
      <c r="B614">
        <v>1986</v>
      </c>
      <c r="C614">
        <v>1986</v>
      </c>
      <c r="D614" s="3" t="s">
        <v>36</v>
      </c>
      <c r="E614" s="3" t="s">
        <v>36</v>
      </c>
      <c r="F614">
        <v>20</v>
      </c>
      <c r="G614" s="7">
        <v>31705</v>
      </c>
      <c r="H614">
        <v>0</v>
      </c>
      <c r="I614" s="3" t="s">
        <v>8988</v>
      </c>
      <c r="J614" s="3" t="s">
        <v>10</v>
      </c>
      <c r="K614" s="3" t="s">
        <v>11</v>
      </c>
      <c r="L614" s="3" t="s">
        <v>22</v>
      </c>
      <c r="M614">
        <v>40</v>
      </c>
      <c r="N614" s="3"/>
    </row>
    <row r="615" spans="1:14" x14ac:dyDescent="0.25">
      <c r="A615" s="3" t="s">
        <v>646</v>
      </c>
      <c r="B615">
        <v>1987</v>
      </c>
      <c r="C615">
        <v>1987</v>
      </c>
      <c r="D615" s="3" t="s">
        <v>19</v>
      </c>
      <c r="E615" s="3" t="s">
        <v>19</v>
      </c>
      <c r="F615">
        <v>1</v>
      </c>
      <c r="G615" s="7">
        <v>32021</v>
      </c>
      <c r="H615">
        <v>3</v>
      </c>
      <c r="I615" s="3" t="s">
        <v>8989</v>
      </c>
      <c r="J615" s="3" t="s">
        <v>10</v>
      </c>
      <c r="K615" s="3" t="s">
        <v>10</v>
      </c>
      <c r="L615" s="3" t="s">
        <v>12</v>
      </c>
      <c r="M615">
        <v>39</v>
      </c>
      <c r="N615" s="3"/>
    </row>
    <row r="616" spans="1:14" x14ac:dyDescent="0.25">
      <c r="A616" s="3" t="s">
        <v>647</v>
      </c>
      <c r="B616">
        <v>1974</v>
      </c>
      <c r="C616">
        <v>1974</v>
      </c>
      <c r="D616" s="3" t="s">
        <v>14</v>
      </c>
      <c r="E616" s="3" t="s">
        <v>14</v>
      </c>
      <c r="F616">
        <v>12</v>
      </c>
      <c r="G616" s="7">
        <v>27345</v>
      </c>
      <c r="H616">
        <v>0</v>
      </c>
      <c r="I616" s="3" t="s">
        <v>8990</v>
      </c>
      <c r="J616" s="3" t="s">
        <v>10</v>
      </c>
      <c r="K616" s="3" t="s">
        <v>10</v>
      </c>
      <c r="L616" s="3" t="s">
        <v>22</v>
      </c>
      <c r="M616">
        <v>52</v>
      </c>
      <c r="N616" s="3"/>
    </row>
    <row r="617" spans="1:14" x14ac:dyDescent="0.25">
      <c r="A617" s="3" t="s">
        <v>648</v>
      </c>
      <c r="B617">
        <v>2004</v>
      </c>
      <c r="C617">
        <v>2004</v>
      </c>
      <c r="D617" s="3" t="s">
        <v>34</v>
      </c>
      <c r="E617" s="3" t="s">
        <v>34</v>
      </c>
      <c r="F617">
        <v>22</v>
      </c>
      <c r="G617" s="7">
        <v>38221</v>
      </c>
      <c r="H617">
        <v>0</v>
      </c>
      <c r="I617" s="3" t="s">
        <v>8991</v>
      </c>
      <c r="J617" s="3" t="s">
        <v>10</v>
      </c>
      <c r="K617" s="3" t="s">
        <v>10</v>
      </c>
      <c r="L617" s="3" t="s">
        <v>631</v>
      </c>
      <c r="M617">
        <v>22</v>
      </c>
      <c r="N617" s="3"/>
    </row>
    <row r="618" spans="1:14" x14ac:dyDescent="0.25">
      <c r="A618" s="3" t="s">
        <v>649</v>
      </c>
      <c r="B618">
        <v>2000</v>
      </c>
      <c r="C618">
        <v>2000</v>
      </c>
      <c r="D618" s="3" t="s">
        <v>19</v>
      </c>
      <c r="E618" s="3" t="s">
        <v>19</v>
      </c>
      <c r="F618">
        <v>9</v>
      </c>
      <c r="G618" s="7">
        <v>36778</v>
      </c>
      <c r="H618">
        <v>0</v>
      </c>
      <c r="I618" s="3" t="s">
        <v>8992</v>
      </c>
      <c r="J618" s="3" t="s">
        <v>10</v>
      </c>
      <c r="K618" s="3" t="s">
        <v>11</v>
      </c>
      <c r="L618" s="3" t="s">
        <v>22</v>
      </c>
      <c r="M618">
        <v>26</v>
      </c>
      <c r="N618" s="3"/>
    </row>
    <row r="619" spans="1:14" x14ac:dyDescent="0.25">
      <c r="A619" s="3" t="s">
        <v>650</v>
      </c>
      <c r="B619">
        <v>1994</v>
      </c>
      <c r="C619">
        <v>1994</v>
      </c>
      <c r="D619" s="3" t="s">
        <v>14</v>
      </c>
      <c r="E619" s="3" t="s">
        <v>14</v>
      </c>
      <c r="F619">
        <v>13</v>
      </c>
      <c r="G619" s="7">
        <v>34651</v>
      </c>
      <c r="H619">
        <v>3</v>
      </c>
      <c r="I619" s="3" t="s">
        <v>8993</v>
      </c>
      <c r="J619" s="3" t="s">
        <v>10</v>
      </c>
      <c r="K619" s="3" t="s">
        <v>10</v>
      </c>
      <c r="L619" s="3" t="s">
        <v>22</v>
      </c>
      <c r="M619">
        <v>32</v>
      </c>
      <c r="N619" s="3"/>
    </row>
    <row r="620" spans="1:14" x14ac:dyDescent="0.25">
      <c r="A620" s="3" t="s">
        <v>651</v>
      </c>
      <c r="B620">
        <v>1974</v>
      </c>
      <c r="C620">
        <v>1974</v>
      </c>
      <c r="D620" s="3" t="s">
        <v>19</v>
      </c>
      <c r="E620" s="3" t="s">
        <v>19</v>
      </c>
      <c r="F620">
        <v>2</v>
      </c>
      <c r="G620" s="7">
        <v>27274</v>
      </c>
      <c r="H620">
        <v>0</v>
      </c>
      <c r="I620" s="3" t="s">
        <v>8994</v>
      </c>
      <c r="J620" s="3" t="s">
        <v>10</v>
      </c>
      <c r="K620" s="3" t="s">
        <v>15</v>
      </c>
      <c r="L620" s="3" t="s">
        <v>22</v>
      </c>
      <c r="M620">
        <v>52</v>
      </c>
      <c r="N620" s="3"/>
    </row>
    <row r="621" spans="1:14" x14ac:dyDescent="0.25">
      <c r="A621" s="3" t="s">
        <v>652</v>
      </c>
      <c r="B621">
        <v>1992</v>
      </c>
      <c r="C621">
        <v>1992</v>
      </c>
      <c r="D621" s="3" t="s">
        <v>17</v>
      </c>
      <c r="E621" s="3" t="s">
        <v>17</v>
      </c>
      <c r="F621">
        <v>18</v>
      </c>
      <c r="G621" s="7">
        <v>33773</v>
      </c>
      <c r="H621">
        <v>3</v>
      </c>
      <c r="I621" s="3" t="s">
        <v>8995</v>
      </c>
      <c r="J621" s="3" t="s">
        <v>10</v>
      </c>
      <c r="K621" s="3" t="s">
        <v>15</v>
      </c>
      <c r="L621" s="3" t="s">
        <v>41</v>
      </c>
      <c r="M621">
        <v>34</v>
      </c>
      <c r="N621" s="3"/>
    </row>
    <row r="622" spans="1:14" x14ac:dyDescent="0.25">
      <c r="A622" s="3" t="s">
        <v>653</v>
      </c>
      <c r="B622">
        <v>1991</v>
      </c>
      <c r="C622">
        <v>1991</v>
      </c>
      <c r="D622" s="3" t="s">
        <v>34</v>
      </c>
      <c r="E622" s="3" t="s">
        <v>34</v>
      </c>
      <c r="F622">
        <v>28</v>
      </c>
      <c r="G622" s="7">
        <v>33478</v>
      </c>
      <c r="H622">
        <v>2</v>
      </c>
      <c r="I622" s="3" t="s">
        <v>8996</v>
      </c>
      <c r="J622" s="3" t="s">
        <v>10</v>
      </c>
      <c r="K622" s="3" t="s">
        <v>15</v>
      </c>
      <c r="L622" s="3" t="s">
        <v>22</v>
      </c>
      <c r="M622">
        <v>35</v>
      </c>
      <c r="N622" s="3"/>
    </row>
    <row r="623" spans="1:14" x14ac:dyDescent="0.25">
      <c r="A623" s="3" t="s">
        <v>654</v>
      </c>
      <c r="B623">
        <v>1972</v>
      </c>
      <c r="C623">
        <v>1972</v>
      </c>
      <c r="D623" s="3" t="s">
        <v>29</v>
      </c>
      <c r="E623" s="3" t="s">
        <v>29</v>
      </c>
      <c r="F623">
        <v>15</v>
      </c>
      <c r="G623" s="7">
        <v>26648</v>
      </c>
      <c r="H623">
        <v>0</v>
      </c>
      <c r="I623" s="3" t="s">
        <v>8997</v>
      </c>
      <c r="J623" s="3" t="s">
        <v>10</v>
      </c>
      <c r="K623" s="3" t="s">
        <v>11</v>
      </c>
      <c r="L623" s="3" t="s">
        <v>12</v>
      </c>
      <c r="M623">
        <v>54</v>
      </c>
      <c r="N623" s="3"/>
    </row>
    <row r="624" spans="1:14" x14ac:dyDescent="0.25">
      <c r="A624" s="3" t="s">
        <v>655</v>
      </c>
      <c r="B624">
        <v>1989</v>
      </c>
      <c r="C624">
        <v>1989</v>
      </c>
      <c r="D624" s="3" t="s">
        <v>14</v>
      </c>
      <c r="E624" s="3" t="s">
        <v>14</v>
      </c>
      <c r="F624">
        <v>7</v>
      </c>
      <c r="G624" s="7">
        <v>32819</v>
      </c>
      <c r="H624">
        <v>1</v>
      </c>
      <c r="I624" s="3" t="s">
        <v>8998</v>
      </c>
      <c r="J624" s="3" t="s">
        <v>10</v>
      </c>
      <c r="K624" s="3" t="s">
        <v>11</v>
      </c>
      <c r="L624" s="3" t="s">
        <v>246</v>
      </c>
      <c r="M624">
        <v>37</v>
      </c>
      <c r="N624" s="3"/>
    </row>
    <row r="625" spans="1:14" x14ac:dyDescent="0.25">
      <c r="A625" s="3" t="s">
        <v>656</v>
      </c>
      <c r="B625">
        <v>1994</v>
      </c>
      <c r="C625">
        <v>1994</v>
      </c>
      <c r="D625" s="3" t="s">
        <v>29</v>
      </c>
      <c r="E625" s="3" t="s">
        <v>29</v>
      </c>
      <c r="F625">
        <v>7</v>
      </c>
      <c r="G625" s="7">
        <v>34675</v>
      </c>
      <c r="H625">
        <v>0</v>
      </c>
      <c r="I625" s="3" t="s">
        <v>8999</v>
      </c>
      <c r="J625" s="3" t="s">
        <v>10</v>
      </c>
      <c r="K625" s="3" t="s">
        <v>15</v>
      </c>
      <c r="L625" s="3" t="s">
        <v>41</v>
      </c>
      <c r="M625">
        <v>32</v>
      </c>
      <c r="N625" s="3"/>
    </row>
    <row r="626" spans="1:14" x14ac:dyDescent="0.25">
      <c r="A626" s="3" t="s">
        <v>657</v>
      </c>
      <c r="B626">
        <v>1986</v>
      </c>
      <c r="C626">
        <v>1986</v>
      </c>
      <c r="D626" s="3" t="s">
        <v>17</v>
      </c>
      <c r="E626" s="3" t="s">
        <v>17</v>
      </c>
      <c r="F626">
        <v>1</v>
      </c>
      <c r="G626" s="7">
        <v>31564</v>
      </c>
      <c r="H626">
        <v>1</v>
      </c>
      <c r="I626" s="3" t="s">
        <v>9000</v>
      </c>
      <c r="J626" s="3" t="s">
        <v>10</v>
      </c>
      <c r="K626" s="3" t="s">
        <v>10</v>
      </c>
      <c r="L626" s="3" t="s">
        <v>22</v>
      </c>
      <c r="M626">
        <v>40</v>
      </c>
      <c r="N626" s="3"/>
    </row>
    <row r="627" spans="1:14" x14ac:dyDescent="0.25">
      <c r="A627" s="3" t="s">
        <v>658</v>
      </c>
      <c r="B627">
        <v>1989</v>
      </c>
      <c r="C627">
        <v>1989</v>
      </c>
      <c r="D627" s="3" t="s">
        <v>14</v>
      </c>
      <c r="E627" s="3" t="s">
        <v>14</v>
      </c>
      <c r="F627">
        <v>18</v>
      </c>
      <c r="G627" s="7">
        <v>32830</v>
      </c>
      <c r="H627">
        <v>2</v>
      </c>
      <c r="I627" s="3" t="s">
        <v>9001</v>
      </c>
      <c r="J627" s="3" t="s">
        <v>10</v>
      </c>
      <c r="K627" s="3" t="s">
        <v>15</v>
      </c>
      <c r="L627" s="3" t="s">
        <v>41</v>
      </c>
      <c r="M627">
        <v>37</v>
      </c>
      <c r="N627" s="3"/>
    </row>
    <row r="628" spans="1:14" x14ac:dyDescent="0.25">
      <c r="A628" s="3" t="s">
        <v>659</v>
      </c>
      <c r="B628">
        <v>1986</v>
      </c>
      <c r="C628">
        <v>1986</v>
      </c>
      <c r="D628" s="3" t="s">
        <v>9</v>
      </c>
      <c r="E628" s="3" t="s">
        <v>9</v>
      </c>
      <c r="F628">
        <v>22</v>
      </c>
      <c r="G628" s="7">
        <v>31615</v>
      </c>
      <c r="H628">
        <v>1</v>
      </c>
      <c r="I628" s="3" t="s">
        <v>9002</v>
      </c>
      <c r="J628" s="3" t="s">
        <v>10</v>
      </c>
      <c r="K628" s="3" t="s">
        <v>11</v>
      </c>
      <c r="L628" s="3" t="s">
        <v>22</v>
      </c>
      <c r="M628">
        <v>40</v>
      </c>
      <c r="N628" s="3"/>
    </row>
    <row r="629" spans="1:14" x14ac:dyDescent="0.25">
      <c r="A629" s="3" t="s">
        <v>660</v>
      </c>
      <c r="B629">
        <v>1984</v>
      </c>
      <c r="C629">
        <v>1984</v>
      </c>
      <c r="D629" s="3" t="s">
        <v>17</v>
      </c>
      <c r="E629" s="3" t="s">
        <v>17</v>
      </c>
      <c r="F629">
        <v>1</v>
      </c>
      <c r="G629" s="7">
        <v>30834</v>
      </c>
      <c r="H629">
        <v>0</v>
      </c>
      <c r="I629" s="3" t="s">
        <v>9003</v>
      </c>
      <c r="J629" s="3" t="s">
        <v>10</v>
      </c>
      <c r="K629" s="3" t="s">
        <v>11</v>
      </c>
      <c r="L629" s="3" t="s">
        <v>41</v>
      </c>
      <c r="M629">
        <v>42</v>
      </c>
      <c r="N629" s="3"/>
    </row>
    <row r="630" spans="1:14" x14ac:dyDescent="0.25">
      <c r="A630" s="3" t="s">
        <v>661</v>
      </c>
      <c r="B630">
        <v>1988</v>
      </c>
      <c r="C630">
        <v>1988</v>
      </c>
      <c r="D630" s="3" t="s">
        <v>34</v>
      </c>
      <c r="E630" s="3" t="s">
        <v>34</v>
      </c>
      <c r="F630">
        <v>8</v>
      </c>
      <c r="G630" s="7">
        <v>32363</v>
      </c>
      <c r="H630">
        <v>1</v>
      </c>
      <c r="I630" s="3" t="s">
        <v>9004</v>
      </c>
      <c r="J630" s="3" t="s">
        <v>10</v>
      </c>
      <c r="K630" s="3" t="s">
        <v>11</v>
      </c>
      <c r="L630" s="3" t="s">
        <v>22</v>
      </c>
      <c r="M630">
        <v>38</v>
      </c>
      <c r="N630" s="3"/>
    </row>
    <row r="631" spans="1:14" x14ac:dyDescent="0.25">
      <c r="A631" s="3" t="s">
        <v>662</v>
      </c>
      <c r="B631">
        <v>1989</v>
      </c>
      <c r="C631">
        <v>1989</v>
      </c>
      <c r="D631" s="3" t="s">
        <v>14</v>
      </c>
      <c r="E631" s="3" t="s">
        <v>14</v>
      </c>
      <c r="F631">
        <v>6</v>
      </c>
      <c r="G631" s="7">
        <v>32818</v>
      </c>
      <c r="H631">
        <v>3</v>
      </c>
      <c r="I631" s="3" t="s">
        <v>9005</v>
      </c>
      <c r="J631" s="3" t="s">
        <v>10</v>
      </c>
      <c r="K631" s="3" t="s">
        <v>11</v>
      </c>
      <c r="L631" s="3" t="s">
        <v>12</v>
      </c>
      <c r="M631">
        <v>37</v>
      </c>
      <c r="N631" s="3"/>
    </row>
    <row r="632" spans="1:14" x14ac:dyDescent="0.25">
      <c r="A632" s="3" t="s">
        <v>663</v>
      </c>
      <c r="B632">
        <v>1984</v>
      </c>
      <c r="C632">
        <v>1984</v>
      </c>
      <c r="D632" s="3" t="s">
        <v>19</v>
      </c>
      <c r="E632" s="3" t="s">
        <v>19</v>
      </c>
      <c r="F632">
        <v>3</v>
      </c>
      <c r="G632" s="7">
        <v>30928</v>
      </c>
      <c r="H632">
        <v>0</v>
      </c>
      <c r="I632" s="3" t="s">
        <v>9006</v>
      </c>
      <c r="J632" s="3" t="s">
        <v>10</v>
      </c>
      <c r="K632" s="3" t="s">
        <v>10</v>
      </c>
      <c r="L632" s="3" t="s">
        <v>12</v>
      </c>
      <c r="M632">
        <v>42</v>
      </c>
      <c r="N632" s="3"/>
    </row>
    <row r="633" spans="1:14" x14ac:dyDescent="0.25">
      <c r="A633" s="3" t="s">
        <v>664</v>
      </c>
      <c r="B633">
        <v>1984</v>
      </c>
      <c r="C633">
        <v>1984</v>
      </c>
      <c r="D633" s="3" t="s">
        <v>34</v>
      </c>
      <c r="E633" s="3" t="s">
        <v>34</v>
      </c>
      <c r="F633">
        <v>1</v>
      </c>
      <c r="G633" s="7">
        <v>30895</v>
      </c>
      <c r="H633">
        <v>0</v>
      </c>
      <c r="I633" s="3" t="s">
        <v>9007</v>
      </c>
      <c r="J633" s="3" t="s">
        <v>10</v>
      </c>
      <c r="K633" s="3" t="s">
        <v>10</v>
      </c>
      <c r="L633" s="3" t="s">
        <v>12</v>
      </c>
      <c r="M633">
        <v>42</v>
      </c>
      <c r="N633" s="3"/>
    </row>
    <row r="634" spans="1:14" x14ac:dyDescent="0.25">
      <c r="A634" s="3" t="s">
        <v>665</v>
      </c>
      <c r="B634">
        <v>1985</v>
      </c>
      <c r="C634">
        <v>1985</v>
      </c>
      <c r="D634" s="3" t="s">
        <v>29</v>
      </c>
      <c r="E634" s="3" t="s">
        <v>29</v>
      </c>
      <c r="F634">
        <v>23</v>
      </c>
      <c r="G634" s="7">
        <v>31404</v>
      </c>
      <c r="H634">
        <v>3</v>
      </c>
      <c r="I634" s="3" t="s">
        <v>9008</v>
      </c>
      <c r="J634" s="3" t="s">
        <v>10</v>
      </c>
      <c r="K634" s="3" t="s">
        <v>15</v>
      </c>
      <c r="L634" s="3" t="s">
        <v>12</v>
      </c>
      <c r="M634">
        <v>41</v>
      </c>
      <c r="N634" s="3"/>
    </row>
    <row r="635" spans="1:14" x14ac:dyDescent="0.25">
      <c r="A635" s="3" t="s">
        <v>666</v>
      </c>
      <c r="B635">
        <v>1975</v>
      </c>
      <c r="C635">
        <v>1975</v>
      </c>
      <c r="D635" s="3" t="s">
        <v>19</v>
      </c>
      <c r="E635" s="3" t="s">
        <v>19</v>
      </c>
      <c r="F635">
        <v>27</v>
      </c>
      <c r="G635" s="7">
        <v>27664</v>
      </c>
      <c r="H635">
        <v>1</v>
      </c>
      <c r="I635" s="3" t="s">
        <v>9009</v>
      </c>
      <c r="J635" s="3" t="s">
        <v>10</v>
      </c>
      <c r="K635" s="3" t="s">
        <v>11</v>
      </c>
      <c r="L635" s="3" t="s">
        <v>22</v>
      </c>
      <c r="M635">
        <v>51</v>
      </c>
      <c r="N635" s="3"/>
    </row>
    <row r="636" spans="1:14" x14ac:dyDescent="0.25">
      <c r="A636" s="3" t="s">
        <v>667</v>
      </c>
      <c r="B636">
        <v>1982</v>
      </c>
      <c r="C636">
        <v>1982</v>
      </c>
      <c r="D636" s="3" t="s">
        <v>19</v>
      </c>
      <c r="E636" s="3" t="s">
        <v>19</v>
      </c>
      <c r="F636">
        <v>27</v>
      </c>
      <c r="G636" s="7">
        <v>30221</v>
      </c>
      <c r="H636">
        <v>0</v>
      </c>
      <c r="I636" s="3" t="s">
        <v>9010</v>
      </c>
      <c r="J636" s="3" t="s">
        <v>10</v>
      </c>
      <c r="K636" s="3" t="s">
        <v>11</v>
      </c>
      <c r="L636" s="3" t="s">
        <v>12</v>
      </c>
      <c r="M636">
        <v>44</v>
      </c>
      <c r="N636" s="3"/>
    </row>
    <row r="637" spans="1:14" x14ac:dyDescent="0.25">
      <c r="A637" s="3" t="s">
        <v>668</v>
      </c>
      <c r="B637">
        <v>1991</v>
      </c>
      <c r="C637">
        <v>1991</v>
      </c>
      <c r="D637" s="3" t="s">
        <v>9</v>
      </c>
      <c r="E637" s="3" t="s">
        <v>9</v>
      </c>
      <c r="F637">
        <v>6</v>
      </c>
      <c r="G637" s="7">
        <v>33425</v>
      </c>
      <c r="H637">
        <v>3</v>
      </c>
      <c r="I637" s="3" t="s">
        <v>9011</v>
      </c>
      <c r="J637" s="3" t="s">
        <v>10</v>
      </c>
      <c r="K637" s="3" t="s">
        <v>15</v>
      </c>
      <c r="L637" s="3" t="s">
        <v>22</v>
      </c>
      <c r="M637">
        <v>35</v>
      </c>
      <c r="N637" s="3"/>
    </row>
    <row r="638" spans="1:14" x14ac:dyDescent="0.25">
      <c r="A638" s="3" t="s">
        <v>669</v>
      </c>
      <c r="B638">
        <v>1992</v>
      </c>
      <c r="C638">
        <v>1992</v>
      </c>
      <c r="D638" s="3" t="s">
        <v>19</v>
      </c>
      <c r="E638" s="3" t="s">
        <v>19</v>
      </c>
      <c r="F638">
        <v>17</v>
      </c>
      <c r="G638" s="7">
        <v>33864</v>
      </c>
      <c r="H638">
        <v>3</v>
      </c>
      <c r="I638" s="3" t="s">
        <v>9012</v>
      </c>
      <c r="J638" s="3" t="s">
        <v>11</v>
      </c>
      <c r="K638" s="3" t="s">
        <v>15</v>
      </c>
      <c r="L638" s="3" t="s">
        <v>355</v>
      </c>
      <c r="M638">
        <v>34</v>
      </c>
      <c r="N638" s="3"/>
    </row>
    <row r="639" spans="1:14" x14ac:dyDescent="0.25">
      <c r="A639" s="3" t="s">
        <v>670</v>
      </c>
      <c r="B639">
        <v>1978</v>
      </c>
      <c r="C639">
        <v>1978</v>
      </c>
      <c r="D639" s="3" t="s">
        <v>17</v>
      </c>
      <c r="E639" s="3" t="s">
        <v>17</v>
      </c>
      <c r="F639">
        <v>8</v>
      </c>
      <c r="G639" s="7">
        <v>28649</v>
      </c>
      <c r="H639">
        <v>2</v>
      </c>
      <c r="I639" s="3" t="s">
        <v>9013</v>
      </c>
      <c r="J639" s="3" t="s">
        <v>10</v>
      </c>
      <c r="K639" s="3" t="s">
        <v>10</v>
      </c>
      <c r="L639" s="3" t="s">
        <v>22</v>
      </c>
      <c r="M639">
        <v>48</v>
      </c>
      <c r="N639" s="3"/>
    </row>
    <row r="640" spans="1:14" x14ac:dyDescent="0.25">
      <c r="A640" s="3" t="s">
        <v>671</v>
      </c>
      <c r="B640">
        <v>1982</v>
      </c>
      <c r="C640">
        <v>1982</v>
      </c>
      <c r="D640" s="3" t="s">
        <v>34</v>
      </c>
      <c r="E640" s="3" t="s">
        <v>34</v>
      </c>
      <c r="F640">
        <v>25</v>
      </c>
      <c r="G640" s="7">
        <v>30188</v>
      </c>
      <c r="H640">
        <v>0</v>
      </c>
      <c r="I640" s="3" t="s">
        <v>9014</v>
      </c>
      <c r="J640" s="3" t="s">
        <v>11</v>
      </c>
      <c r="K640" s="3" t="s">
        <v>10</v>
      </c>
      <c r="L640" s="3" t="s">
        <v>12</v>
      </c>
      <c r="M640">
        <v>44</v>
      </c>
      <c r="N640" s="3"/>
    </row>
    <row r="641" spans="1:14" x14ac:dyDescent="0.25">
      <c r="A641" s="3" t="s">
        <v>672</v>
      </c>
      <c r="B641">
        <v>1986</v>
      </c>
      <c r="C641">
        <v>1986</v>
      </c>
      <c r="D641" s="3" t="s">
        <v>29</v>
      </c>
      <c r="E641" s="3" t="s">
        <v>29</v>
      </c>
      <c r="F641">
        <v>25</v>
      </c>
      <c r="G641" s="7">
        <v>31771</v>
      </c>
      <c r="H641">
        <v>0</v>
      </c>
      <c r="I641" s="3" t="s">
        <v>9015</v>
      </c>
      <c r="J641" s="3" t="s">
        <v>10</v>
      </c>
      <c r="K641" s="3" t="s">
        <v>10</v>
      </c>
      <c r="L641" s="3" t="s">
        <v>246</v>
      </c>
      <c r="M641">
        <v>40</v>
      </c>
      <c r="N641" s="3"/>
    </row>
    <row r="642" spans="1:14" x14ac:dyDescent="0.25">
      <c r="A642" s="3" t="s">
        <v>673</v>
      </c>
      <c r="B642">
        <v>1973</v>
      </c>
      <c r="C642">
        <v>1973</v>
      </c>
      <c r="D642" s="3" t="s">
        <v>36</v>
      </c>
      <c r="E642" s="3" t="s">
        <v>36</v>
      </c>
      <c r="F642">
        <v>24</v>
      </c>
      <c r="G642" s="7">
        <v>26961</v>
      </c>
      <c r="H642">
        <v>0</v>
      </c>
      <c r="I642" s="3" t="s">
        <v>9016</v>
      </c>
      <c r="J642" s="3" t="s">
        <v>10</v>
      </c>
      <c r="K642" s="3" t="s">
        <v>10</v>
      </c>
      <c r="L642" s="3" t="s">
        <v>12</v>
      </c>
      <c r="M642">
        <v>53</v>
      </c>
      <c r="N642" s="3"/>
    </row>
    <row r="643" spans="1:14" x14ac:dyDescent="0.25">
      <c r="A643" s="3" t="s">
        <v>674</v>
      </c>
      <c r="B643">
        <v>1986</v>
      </c>
      <c r="C643">
        <v>1986</v>
      </c>
      <c r="D643" s="3" t="s">
        <v>29</v>
      </c>
      <c r="E643" s="3" t="s">
        <v>29</v>
      </c>
      <c r="F643">
        <v>2</v>
      </c>
      <c r="G643" s="7">
        <v>31748</v>
      </c>
      <c r="H643">
        <v>0</v>
      </c>
      <c r="I643" s="3" t="s">
        <v>9017</v>
      </c>
      <c r="J643" s="3" t="s">
        <v>10</v>
      </c>
      <c r="K643" s="3" t="s">
        <v>10</v>
      </c>
      <c r="L643" s="3" t="s">
        <v>246</v>
      </c>
      <c r="M643">
        <v>40</v>
      </c>
      <c r="N643" s="3"/>
    </row>
    <row r="644" spans="1:14" x14ac:dyDescent="0.25">
      <c r="A644" s="3" t="s">
        <v>675</v>
      </c>
      <c r="B644">
        <v>1986</v>
      </c>
      <c r="C644">
        <v>1986</v>
      </c>
      <c r="D644" s="3" t="s">
        <v>9</v>
      </c>
      <c r="E644" s="3" t="s">
        <v>9</v>
      </c>
      <c r="F644">
        <v>12</v>
      </c>
      <c r="G644" s="7">
        <v>31605</v>
      </c>
      <c r="H644">
        <v>1</v>
      </c>
      <c r="I644" s="3" t="s">
        <v>9018</v>
      </c>
      <c r="J644" s="3" t="s">
        <v>10</v>
      </c>
      <c r="K644" s="3" t="s">
        <v>11</v>
      </c>
      <c r="L644" s="3" t="s">
        <v>41</v>
      </c>
      <c r="M644">
        <v>40</v>
      </c>
      <c r="N644" s="3"/>
    </row>
    <row r="645" spans="1:14" x14ac:dyDescent="0.25">
      <c r="A645" s="3" t="s">
        <v>676</v>
      </c>
      <c r="B645">
        <v>1986</v>
      </c>
      <c r="C645">
        <v>1986</v>
      </c>
      <c r="D645" s="3" t="s">
        <v>19</v>
      </c>
      <c r="E645" s="3" t="s">
        <v>19</v>
      </c>
      <c r="F645">
        <v>30</v>
      </c>
      <c r="G645" s="7">
        <v>31685</v>
      </c>
      <c r="H645">
        <v>1</v>
      </c>
      <c r="I645" s="3" t="s">
        <v>9019</v>
      </c>
      <c r="J645" s="3" t="s">
        <v>10</v>
      </c>
      <c r="K645" s="3" t="s">
        <v>11</v>
      </c>
      <c r="L645" s="3" t="s">
        <v>12</v>
      </c>
      <c r="M645">
        <v>40</v>
      </c>
      <c r="N645" s="3"/>
    </row>
    <row r="646" spans="1:14" x14ac:dyDescent="0.25">
      <c r="A646" s="3" t="s">
        <v>677</v>
      </c>
      <c r="B646">
        <v>1984</v>
      </c>
      <c r="C646">
        <v>1984</v>
      </c>
      <c r="D646" s="3" t="s">
        <v>34</v>
      </c>
      <c r="E646" s="3" t="s">
        <v>34</v>
      </c>
      <c r="F646">
        <v>26</v>
      </c>
      <c r="G646" s="7">
        <v>30920</v>
      </c>
      <c r="H646">
        <v>1</v>
      </c>
      <c r="I646" s="3" t="s">
        <v>9020</v>
      </c>
      <c r="J646" s="3" t="s">
        <v>10</v>
      </c>
      <c r="K646" s="3" t="s">
        <v>10</v>
      </c>
      <c r="L646" s="3" t="s">
        <v>12</v>
      </c>
      <c r="M646">
        <v>42</v>
      </c>
      <c r="N646" s="3"/>
    </row>
    <row r="647" spans="1:14" x14ac:dyDescent="0.25">
      <c r="A647" s="3" t="s">
        <v>678</v>
      </c>
      <c r="B647">
        <v>1984</v>
      </c>
      <c r="C647">
        <v>1984</v>
      </c>
      <c r="D647" s="3" t="s">
        <v>34</v>
      </c>
      <c r="E647" s="3" t="s">
        <v>34</v>
      </c>
      <c r="F647">
        <v>17</v>
      </c>
      <c r="G647" s="7">
        <v>30911</v>
      </c>
      <c r="H647">
        <v>1</v>
      </c>
      <c r="I647" s="3" t="s">
        <v>9021</v>
      </c>
      <c r="J647" s="3" t="s">
        <v>10</v>
      </c>
      <c r="K647" s="3" t="s">
        <v>11</v>
      </c>
      <c r="L647" s="3" t="s">
        <v>41</v>
      </c>
      <c r="M647">
        <v>42</v>
      </c>
      <c r="N647" s="3"/>
    </row>
    <row r="648" spans="1:14" x14ac:dyDescent="0.25">
      <c r="A648" s="3" t="s">
        <v>679</v>
      </c>
      <c r="B648">
        <v>1988</v>
      </c>
      <c r="C648">
        <v>1988</v>
      </c>
      <c r="D648" s="3" t="s">
        <v>9</v>
      </c>
      <c r="E648" s="3" t="s">
        <v>9</v>
      </c>
      <c r="F648">
        <v>29</v>
      </c>
      <c r="G648" s="7">
        <v>32353</v>
      </c>
      <c r="H648">
        <v>3</v>
      </c>
      <c r="I648" s="3" t="s">
        <v>9022</v>
      </c>
      <c r="J648" s="3" t="s">
        <v>10</v>
      </c>
      <c r="K648" s="3" t="s">
        <v>10</v>
      </c>
      <c r="L648" s="3" t="s">
        <v>22</v>
      </c>
      <c r="M648">
        <v>38</v>
      </c>
      <c r="N648" s="3"/>
    </row>
    <row r="649" spans="1:14" x14ac:dyDescent="0.25">
      <c r="A649" s="3" t="s">
        <v>680</v>
      </c>
      <c r="B649">
        <v>1981</v>
      </c>
      <c r="C649">
        <v>1981</v>
      </c>
      <c r="D649" s="3" t="s">
        <v>14</v>
      </c>
      <c r="E649" s="3" t="s">
        <v>14</v>
      </c>
      <c r="F649">
        <v>7</v>
      </c>
      <c r="G649" s="7">
        <v>29897</v>
      </c>
      <c r="H649">
        <v>1</v>
      </c>
      <c r="I649" s="3" t="s">
        <v>9023</v>
      </c>
      <c r="J649" s="3" t="s">
        <v>10</v>
      </c>
      <c r="K649" s="3" t="s">
        <v>10</v>
      </c>
      <c r="L649" s="3" t="s">
        <v>12</v>
      </c>
      <c r="M649">
        <v>45</v>
      </c>
      <c r="N649" s="3"/>
    </row>
    <row r="650" spans="1:14" x14ac:dyDescent="0.25">
      <c r="A650" s="3" t="s">
        <v>681</v>
      </c>
      <c r="B650">
        <v>1980</v>
      </c>
      <c r="C650">
        <v>1980</v>
      </c>
      <c r="D650" s="3" t="s">
        <v>29</v>
      </c>
      <c r="E650" s="3" t="s">
        <v>29</v>
      </c>
      <c r="F650">
        <v>7</v>
      </c>
      <c r="G650" s="7">
        <v>29562</v>
      </c>
      <c r="H650">
        <v>2</v>
      </c>
      <c r="I650" s="3" t="s">
        <v>9024</v>
      </c>
      <c r="J650" s="3" t="s">
        <v>10</v>
      </c>
      <c r="K650" s="3" t="s">
        <v>10</v>
      </c>
      <c r="L650" s="3" t="s">
        <v>22</v>
      </c>
      <c r="M650">
        <v>46</v>
      </c>
      <c r="N650" s="3"/>
    </row>
    <row r="651" spans="1:14" x14ac:dyDescent="0.25">
      <c r="A651" s="3" t="s">
        <v>682</v>
      </c>
      <c r="B651">
        <v>1999</v>
      </c>
      <c r="C651">
        <v>1999</v>
      </c>
      <c r="D651" s="3" t="s">
        <v>19</v>
      </c>
      <c r="E651" s="3" t="s">
        <v>19</v>
      </c>
      <c r="F651">
        <v>22</v>
      </c>
      <c r="G651" s="7">
        <v>36425</v>
      </c>
      <c r="H651">
        <v>0</v>
      </c>
      <c r="I651" s="3" t="s">
        <v>9025</v>
      </c>
      <c r="J651" s="3" t="s">
        <v>10</v>
      </c>
      <c r="K651" s="3" t="s">
        <v>11</v>
      </c>
      <c r="L651" s="3" t="s">
        <v>534</v>
      </c>
      <c r="M651">
        <v>27</v>
      </c>
      <c r="N651" s="3"/>
    </row>
    <row r="652" spans="1:14" x14ac:dyDescent="0.25">
      <c r="A652" s="3" t="s">
        <v>683</v>
      </c>
      <c r="B652">
        <v>1974</v>
      </c>
      <c r="C652">
        <v>1974</v>
      </c>
      <c r="D652" s="3" t="s">
        <v>19</v>
      </c>
      <c r="E652" s="3" t="s">
        <v>19</v>
      </c>
      <c r="F652">
        <v>18</v>
      </c>
      <c r="G652" s="7">
        <v>27290</v>
      </c>
      <c r="H652">
        <v>0</v>
      </c>
      <c r="I652" s="3" t="s">
        <v>9026</v>
      </c>
      <c r="J652" s="3" t="s">
        <v>10</v>
      </c>
      <c r="K652" s="3" t="s">
        <v>11</v>
      </c>
      <c r="L652" s="3" t="s">
        <v>12</v>
      </c>
      <c r="M652">
        <v>52</v>
      </c>
      <c r="N652" s="3"/>
    </row>
    <row r="653" spans="1:14" x14ac:dyDescent="0.25">
      <c r="A653" s="3" t="s">
        <v>684</v>
      </c>
      <c r="B653">
        <v>1985</v>
      </c>
      <c r="C653">
        <v>1985</v>
      </c>
      <c r="D653" s="3" t="s">
        <v>19</v>
      </c>
      <c r="E653" s="3" t="s">
        <v>19</v>
      </c>
      <c r="F653">
        <v>5</v>
      </c>
      <c r="G653" s="7">
        <v>31295</v>
      </c>
      <c r="H653">
        <v>3</v>
      </c>
      <c r="I653" s="3" t="s">
        <v>9027</v>
      </c>
      <c r="J653" s="3" t="s">
        <v>10</v>
      </c>
      <c r="K653" s="3" t="s">
        <v>15</v>
      </c>
      <c r="L653" s="3" t="s">
        <v>22</v>
      </c>
      <c r="M653">
        <v>41</v>
      </c>
      <c r="N653" s="3"/>
    </row>
    <row r="654" spans="1:14" x14ac:dyDescent="0.25">
      <c r="A654" s="3" t="s">
        <v>685</v>
      </c>
      <c r="B654">
        <v>1986</v>
      </c>
      <c r="C654">
        <v>1986</v>
      </c>
      <c r="D654" s="3" t="s">
        <v>14</v>
      </c>
      <c r="E654" s="3" t="s">
        <v>14</v>
      </c>
      <c r="F654">
        <v>21</v>
      </c>
      <c r="G654" s="7">
        <v>31737</v>
      </c>
      <c r="H654">
        <v>2</v>
      </c>
      <c r="I654" s="3" t="s">
        <v>9028</v>
      </c>
      <c r="J654" s="3" t="s">
        <v>11</v>
      </c>
      <c r="K654" s="3" t="s">
        <v>15</v>
      </c>
      <c r="L654" s="3" t="s">
        <v>12</v>
      </c>
      <c r="M654">
        <v>40</v>
      </c>
      <c r="N654" s="3"/>
    </row>
    <row r="655" spans="1:14" x14ac:dyDescent="0.25">
      <c r="A655" s="3" t="s">
        <v>686</v>
      </c>
      <c r="B655">
        <v>1983</v>
      </c>
      <c r="C655">
        <v>1983</v>
      </c>
      <c r="D655" s="3" t="s">
        <v>36</v>
      </c>
      <c r="E655" s="3" t="s">
        <v>36</v>
      </c>
      <c r="F655">
        <v>3</v>
      </c>
      <c r="G655" s="7">
        <v>30592</v>
      </c>
      <c r="H655">
        <v>3</v>
      </c>
      <c r="I655" s="3" t="s">
        <v>9029</v>
      </c>
      <c r="J655" s="3" t="s">
        <v>10</v>
      </c>
      <c r="K655" s="3" t="s">
        <v>15</v>
      </c>
      <c r="L655" s="3" t="s">
        <v>12</v>
      </c>
      <c r="M655">
        <v>43</v>
      </c>
      <c r="N655" s="3"/>
    </row>
    <row r="656" spans="1:14" x14ac:dyDescent="0.25">
      <c r="A656" s="3" t="s">
        <v>687</v>
      </c>
      <c r="B656">
        <v>1988</v>
      </c>
      <c r="C656">
        <v>1988</v>
      </c>
      <c r="D656" s="3" t="s">
        <v>14</v>
      </c>
      <c r="E656" s="3" t="s">
        <v>14</v>
      </c>
      <c r="F656">
        <v>18</v>
      </c>
      <c r="G656" s="7">
        <v>32465</v>
      </c>
      <c r="H656">
        <v>1</v>
      </c>
      <c r="I656" s="3" t="s">
        <v>9030</v>
      </c>
      <c r="J656" s="3" t="s">
        <v>10</v>
      </c>
      <c r="K656" s="3" t="s">
        <v>11</v>
      </c>
      <c r="L656" s="3" t="s">
        <v>246</v>
      </c>
      <c r="M656">
        <v>38</v>
      </c>
      <c r="N656" s="3"/>
    </row>
    <row r="657" spans="1:14" x14ac:dyDescent="0.25">
      <c r="A657" s="3" t="s">
        <v>688</v>
      </c>
      <c r="B657">
        <v>1978</v>
      </c>
      <c r="C657">
        <v>1978</v>
      </c>
      <c r="D657" s="3" t="s">
        <v>19</v>
      </c>
      <c r="E657" s="3" t="s">
        <v>19</v>
      </c>
      <c r="F657">
        <v>11</v>
      </c>
      <c r="G657" s="7">
        <v>28744</v>
      </c>
      <c r="H657">
        <v>2</v>
      </c>
      <c r="I657" s="3" t="s">
        <v>9031</v>
      </c>
      <c r="J657" s="3" t="s">
        <v>10</v>
      </c>
      <c r="K657" s="3" t="s">
        <v>11</v>
      </c>
      <c r="L657" s="3" t="s">
        <v>12</v>
      </c>
      <c r="M657">
        <v>48</v>
      </c>
      <c r="N657" s="3"/>
    </row>
    <row r="658" spans="1:14" x14ac:dyDescent="0.25">
      <c r="A658" s="3" t="s">
        <v>689</v>
      </c>
      <c r="B658">
        <v>1994</v>
      </c>
      <c r="C658">
        <v>1994</v>
      </c>
      <c r="D658" s="3" t="s">
        <v>14</v>
      </c>
      <c r="E658" s="3" t="s">
        <v>14</v>
      </c>
      <c r="F658">
        <v>15</v>
      </c>
      <c r="G658" s="7">
        <v>34653</v>
      </c>
      <c r="H658">
        <v>5</v>
      </c>
      <c r="I658" s="3" t="s">
        <v>9032</v>
      </c>
      <c r="J658" s="3" t="s">
        <v>10</v>
      </c>
      <c r="K658" s="3" t="s">
        <v>11</v>
      </c>
      <c r="L658" s="3" t="s">
        <v>41</v>
      </c>
      <c r="M658">
        <v>32</v>
      </c>
      <c r="N658" s="3"/>
    </row>
    <row r="659" spans="1:14" x14ac:dyDescent="0.25">
      <c r="A659" s="3" t="s">
        <v>690</v>
      </c>
      <c r="B659">
        <v>1987</v>
      </c>
      <c r="C659">
        <v>1987</v>
      </c>
      <c r="D659" s="3" t="s">
        <v>29</v>
      </c>
      <c r="E659" s="3" t="s">
        <v>29</v>
      </c>
      <c r="F659">
        <v>9</v>
      </c>
      <c r="G659" s="7">
        <v>32120</v>
      </c>
      <c r="H659">
        <v>1</v>
      </c>
      <c r="I659" s="3" t="s">
        <v>9033</v>
      </c>
      <c r="J659" s="3" t="s">
        <v>10</v>
      </c>
      <c r="K659" s="3" t="s">
        <v>11</v>
      </c>
      <c r="L659" s="3" t="s">
        <v>22</v>
      </c>
      <c r="M659">
        <v>39</v>
      </c>
      <c r="N659" s="3"/>
    </row>
    <row r="660" spans="1:14" x14ac:dyDescent="0.25">
      <c r="A660" s="3" t="s">
        <v>691</v>
      </c>
      <c r="B660">
        <v>1983</v>
      </c>
      <c r="C660">
        <v>1983</v>
      </c>
      <c r="D660" s="3" t="s">
        <v>17</v>
      </c>
      <c r="E660" s="3" t="s">
        <v>17</v>
      </c>
      <c r="F660">
        <v>8</v>
      </c>
      <c r="G660" s="7">
        <v>30475</v>
      </c>
      <c r="H660">
        <v>0</v>
      </c>
      <c r="I660" s="3" t="s">
        <v>9034</v>
      </c>
      <c r="J660" s="3" t="s">
        <v>10</v>
      </c>
      <c r="K660" s="3" t="s">
        <v>11</v>
      </c>
      <c r="L660" s="3" t="s">
        <v>41</v>
      </c>
      <c r="M660">
        <v>43</v>
      </c>
      <c r="N660" s="3"/>
    </row>
    <row r="661" spans="1:14" x14ac:dyDescent="0.25">
      <c r="A661" s="3" t="s">
        <v>692</v>
      </c>
      <c r="B661">
        <v>1978</v>
      </c>
      <c r="C661">
        <v>1978</v>
      </c>
      <c r="D661" s="3" t="s">
        <v>19</v>
      </c>
      <c r="E661" s="3" t="s">
        <v>19</v>
      </c>
      <c r="F661">
        <v>27</v>
      </c>
      <c r="G661" s="7">
        <v>28760</v>
      </c>
      <c r="H661">
        <v>2</v>
      </c>
      <c r="I661" s="3" t="s">
        <v>9035</v>
      </c>
      <c r="J661" s="3" t="s">
        <v>10</v>
      </c>
      <c r="K661" s="3" t="s">
        <v>15</v>
      </c>
      <c r="L661" s="3" t="s">
        <v>12</v>
      </c>
      <c r="M661">
        <v>48</v>
      </c>
      <c r="N661" s="3"/>
    </row>
    <row r="662" spans="1:14" x14ac:dyDescent="0.25">
      <c r="A662" s="3" t="s">
        <v>693</v>
      </c>
      <c r="B662">
        <v>1983</v>
      </c>
      <c r="C662">
        <v>1983</v>
      </c>
      <c r="D662" s="3" t="s">
        <v>19</v>
      </c>
      <c r="E662" s="3" t="s">
        <v>19</v>
      </c>
      <c r="F662">
        <v>3</v>
      </c>
      <c r="G662" s="7">
        <v>30562</v>
      </c>
      <c r="H662">
        <v>0</v>
      </c>
      <c r="I662" s="3" t="s">
        <v>9036</v>
      </c>
      <c r="J662" s="3" t="s">
        <v>10</v>
      </c>
      <c r="K662" s="3" t="s">
        <v>15</v>
      </c>
      <c r="L662" s="3" t="s">
        <v>12</v>
      </c>
      <c r="M662">
        <v>43</v>
      </c>
      <c r="N662" s="3"/>
    </row>
    <row r="663" spans="1:14" x14ac:dyDescent="0.25">
      <c r="A663" s="3" t="s">
        <v>694</v>
      </c>
      <c r="B663">
        <v>1984</v>
      </c>
      <c r="C663">
        <v>1984</v>
      </c>
      <c r="D663" s="3" t="s">
        <v>34</v>
      </c>
      <c r="E663" s="3" t="s">
        <v>34</v>
      </c>
      <c r="F663">
        <v>12</v>
      </c>
      <c r="G663" s="7">
        <v>30906</v>
      </c>
      <c r="H663">
        <v>3</v>
      </c>
      <c r="I663" s="3" t="s">
        <v>9037</v>
      </c>
      <c r="J663" s="3" t="s">
        <v>10</v>
      </c>
      <c r="K663" s="3" t="s">
        <v>10</v>
      </c>
      <c r="L663" s="3" t="s">
        <v>12</v>
      </c>
      <c r="M663">
        <v>42</v>
      </c>
      <c r="N663" s="3"/>
    </row>
    <row r="664" spans="1:14" x14ac:dyDescent="0.25">
      <c r="A664" s="3" t="s">
        <v>695</v>
      </c>
      <c r="B664">
        <v>1972</v>
      </c>
      <c r="C664">
        <v>1972</v>
      </c>
      <c r="D664" s="3" t="s">
        <v>36</v>
      </c>
      <c r="E664" s="3" t="s">
        <v>36</v>
      </c>
      <c r="F664">
        <v>28</v>
      </c>
      <c r="G664" s="7">
        <v>26600</v>
      </c>
      <c r="H664">
        <v>0</v>
      </c>
      <c r="I664" s="3" t="s">
        <v>9038</v>
      </c>
      <c r="J664" s="3" t="s">
        <v>10</v>
      </c>
      <c r="K664" s="3" t="s">
        <v>15</v>
      </c>
      <c r="L664" s="3" t="s">
        <v>12</v>
      </c>
      <c r="M664">
        <v>54</v>
      </c>
      <c r="N664" s="3"/>
    </row>
    <row r="665" spans="1:14" x14ac:dyDescent="0.25">
      <c r="A665" s="3" t="s">
        <v>696</v>
      </c>
      <c r="B665">
        <v>1992</v>
      </c>
      <c r="C665">
        <v>1992</v>
      </c>
      <c r="D665" s="3" t="s">
        <v>14</v>
      </c>
      <c r="E665" s="3" t="s">
        <v>14</v>
      </c>
      <c r="F665">
        <v>3</v>
      </c>
      <c r="G665" s="7">
        <v>33911</v>
      </c>
      <c r="H665">
        <v>3</v>
      </c>
      <c r="I665" s="3" t="s">
        <v>9039</v>
      </c>
      <c r="J665" s="3" t="s">
        <v>10</v>
      </c>
      <c r="K665" s="3" t="s">
        <v>11</v>
      </c>
      <c r="L665" s="3" t="s">
        <v>22</v>
      </c>
      <c r="M665">
        <v>34</v>
      </c>
      <c r="N665" s="3"/>
    </row>
    <row r="666" spans="1:14" x14ac:dyDescent="0.25">
      <c r="A666" s="3" t="s">
        <v>697</v>
      </c>
      <c r="B666">
        <v>1974</v>
      </c>
      <c r="C666">
        <v>1974</v>
      </c>
      <c r="D666" s="3" t="s">
        <v>9</v>
      </c>
      <c r="E666" s="3" t="s">
        <v>9</v>
      </c>
      <c r="F666">
        <v>6</v>
      </c>
      <c r="G666" s="7">
        <v>27216</v>
      </c>
      <c r="H666">
        <v>0</v>
      </c>
      <c r="I666" s="3" t="s">
        <v>9040</v>
      </c>
      <c r="J666" s="3" t="s">
        <v>10</v>
      </c>
      <c r="K666" s="3" t="s">
        <v>10</v>
      </c>
      <c r="L666" s="3" t="s">
        <v>22</v>
      </c>
      <c r="M666">
        <v>52</v>
      </c>
      <c r="N666" s="3"/>
    </row>
    <row r="667" spans="1:14" x14ac:dyDescent="0.25">
      <c r="A667" s="3" t="s">
        <v>698</v>
      </c>
      <c r="B667">
        <v>1981</v>
      </c>
      <c r="C667">
        <v>1981</v>
      </c>
      <c r="D667" s="3" t="s">
        <v>17</v>
      </c>
      <c r="E667" s="3" t="s">
        <v>17</v>
      </c>
      <c r="F667">
        <v>15</v>
      </c>
      <c r="G667" s="7">
        <v>29752</v>
      </c>
      <c r="H667">
        <v>0</v>
      </c>
      <c r="I667" s="3" t="s">
        <v>9041</v>
      </c>
      <c r="J667" s="3" t="s">
        <v>10</v>
      </c>
      <c r="K667" s="3" t="s">
        <v>11</v>
      </c>
      <c r="L667" s="3" t="s">
        <v>12</v>
      </c>
      <c r="M667">
        <v>45</v>
      </c>
      <c r="N667" s="3"/>
    </row>
    <row r="668" spans="1:14" x14ac:dyDescent="0.25">
      <c r="A668" s="3" t="s">
        <v>699</v>
      </c>
      <c r="B668">
        <v>1993</v>
      </c>
      <c r="C668">
        <v>1993</v>
      </c>
      <c r="D668" s="3" t="s">
        <v>14</v>
      </c>
      <c r="E668" s="3" t="s">
        <v>14</v>
      </c>
      <c r="F668">
        <v>3</v>
      </c>
      <c r="G668" s="7">
        <v>34276</v>
      </c>
      <c r="H668">
        <v>4</v>
      </c>
      <c r="I668" s="3" t="s">
        <v>9042</v>
      </c>
      <c r="J668" s="3" t="s">
        <v>10</v>
      </c>
      <c r="K668" s="3" t="s">
        <v>15</v>
      </c>
      <c r="L668" s="3" t="s">
        <v>41</v>
      </c>
      <c r="M668">
        <v>33</v>
      </c>
      <c r="N668" s="3"/>
    </row>
    <row r="669" spans="1:14" x14ac:dyDescent="0.25">
      <c r="A669" s="3" t="s">
        <v>700</v>
      </c>
      <c r="B669">
        <v>1981</v>
      </c>
      <c r="C669">
        <v>1981</v>
      </c>
      <c r="D669" s="3" t="s">
        <v>34</v>
      </c>
      <c r="E669" s="3" t="s">
        <v>34</v>
      </c>
      <c r="F669">
        <v>30</v>
      </c>
      <c r="G669" s="7">
        <v>29828</v>
      </c>
      <c r="H669">
        <v>0</v>
      </c>
      <c r="I669" s="3" t="s">
        <v>9043</v>
      </c>
      <c r="J669" s="3" t="s">
        <v>11</v>
      </c>
      <c r="K669" s="3" t="s">
        <v>11</v>
      </c>
      <c r="L669" s="3" t="s">
        <v>12</v>
      </c>
      <c r="M669">
        <v>45</v>
      </c>
      <c r="N669" s="3"/>
    </row>
    <row r="670" spans="1:14" x14ac:dyDescent="0.25">
      <c r="A670" s="3" t="s">
        <v>701</v>
      </c>
      <c r="B670">
        <v>1971</v>
      </c>
      <c r="C670">
        <v>1971</v>
      </c>
      <c r="D670" s="3" t="s">
        <v>29</v>
      </c>
      <c r="E670" s="3" t="s">
        <v>29</v>
      </c>
      <c r="F670">
        <v>18</v>
      </c>
      <c r="G670" s="7">
        <v>26285</v>
      </c>
      <c r="H670">
        <v>0</v>
      </c>
      <c r="I670" s="3" t="s">
        <v>9044</v>
      </c>
      <c r="J670" s="3" t="s">
        <v>10</v>
      </c>
      <c r="K670" s="3" t="s">
        <v>15</v>
      </c>
      <c r="L670" s="3" t="s">
        <v>12</v>
      </c>
      <c r="M670">
        <v>55</v>
      </c>
      <c r="N670" s="3"/>
    </row>
    <row r="671" spans="1:14" x14ac:dyDescent="0.25">
      <c r="A671" s="3" t="s">
        <v>702</v>
      </c>
      <c r="B671">
        <v>1987</v>
      </c>
      <c r="C671">
        <v>1987</v>
      </c>
      <c r="D671" s="3" t="s">
        <v>36</v>
      </c>
      <c r="E671" s="3" t="s">
        <v>36</v>
      </c>
      <c r="F671">
        <v>19</v>
      </c>
      <c r="G671" s="7">
        <v>32069</v>
      </c>
      <c r="H671">
        <v>2</v>
      </c>
      <c r="I671" s="3" t="s">
        <v>9045</v>
      </c>
      <c r="J671" s="3" t="s">
        <v>15</v>
      </c>
      <c r="K671" s="3" t="s">
        <v>10</v>
      </c>
      <c r="L671" s="3" t="s">
        <v>22</v>
      </c>
      <c r="M671">
        <v>39</v>
      </c>
      <c r="N671" s="3"/>
    </row>
    <row r="672" spans="1:14" x14ac:dyDescent="0.25">
      <c r="A672" s="3" t="s">
        <v>703</v>
      </c>
      <c r="B672">
        <v>1972</v>
      </c>
      <c r="C672">
        <v>1972</v>
      </c>
      <c r="D672" s="3" t="s">
        <v>34</v>
      </c>
      <c r="E672" s="3" t="s">
        <v>34</v>
      </c>
      <c r="F672">
        <v>21</v>
      </c>
      <c r="G672" s="7">
        <v>26532</v>
      </c>
      <c r="H672">
        <v>0</v>
      </c>
      <c r="I672" s="3" t="s">
        <v>9046</v>
      </c>
      <c r="J672" s="3" t="s">
        <v>10</v>
      </c>
      <c r="K672" s="3" t="s">
        <v>11</v>
      </c>
      <c r="L672" s="3" t="s">
        <v>12</v>
      </c>
      <c r="M672">
        <v>54</v>
      </c>
      <c r="N672" s="3"/>
    </row>
    <row r="673" spans="1:14" x14ac:dyDescent="0.25">
      <c r="A673" s="3" t="s">
        <v>704</v>
      </c>
      <c r="B673">
        <v>1993</v>
      </c>
      <c r="C673">
        <v>1993</v>
      </c>
      <c r="D673" s="3" t="s">
        <v>17</v>
      </c>
      <c r="E673" s="3" t="s">
        <v>17</v>
      </c>
      <c r="F673">
        <v>10</v>
      </c>
      <c r="G673" s="7">
        <v>34130</v>
      </c>
      <c r="H673">
        <v>0</v>
      </c>
      <c r="I673" s="3" t="s">
        <v>9047</v>
      </c>
      <c r="J673" s="3" t="s">
        <v>10</v>
      </c>
      <c r="K673" s="3" t="s">
        <v>15</v>
      </c>
      <c r="L673" s="3" t="s">
        <v>299</v>
      </c>
      <c r="M673">
        <v>33</v>
      </c>
      <c r="N673" s="3"/>
    </row>
    <row r="674" spans="1:14" x14ac:dyDescent="0.25">
      <c r="A674" s="3" t="s">
        <v>705</v>
      </c>
      <c r="B674">
        <v>1983</v>
      </c>
      <c r="C674">
        <v>1983</v>
      </c>
      <c r="D674" s="3" t="s">
        <v>34</v>
      </c>
      <c r="E674" s="3" t="s">
        <v>34</v>
      </c>
      <c r="F674">
        <v>30</v>
      </c>
      <c r="G674" s="7">
        <v>30558</v>
      </c>
      <c r="H674">
        <v>0</v>
      </c>
      <c r="I674" s="3" t="s">
        <v>9048</v>
      </c>
      <c r="J674" s="3" t="s">
        <v>10</v>
      </c>
      <c r="K674" s="3" t="s">
        <v>11</v>
      </c>
      <c r="L674" s="3" t="s">
        <v>165</v>
      </c>
      <c r="M674">
        <v>43</v>
      </c>
      <c r="N674" s="3"/>
    </row>
    <row r="675" spans="1:14" x14ac:dyDescent="0.25">
      <c r="A675" s="3" t="s">
        <v>706</v>
      </c>
      <c r="B675">
        <v>2004</v>
      </c>
      <c r="C675">
        <v>2004</v>
      </c>
      <c r="D675" s="3" t="s">
        <v>14</v>
      </c>
      <c r="E675" s="3" t="s">
        <v>14</v>
      </c>
      <c r="F675">
        <v>1</v>
      </c>
      <c r="G675" s="7">
        <v>38292</v>
      </c>
      <c r="H675">
        <v>0</v>
      </c>
      <c r="I675" s="3" t="s">
        <v>9049</v>
      </c>
      <c r="J675" s="3" t="s">
        <v>10</v>
      </c>
      <c r="K675" s="3" t="s">
        <v>11</v>
      </c>
      <c r="L675" s="3" t="s">
        <v>631</v>
      </c>
      <c r="M675">
        <v>22</v>
      </c>
      <c r="N675" s="3"/>
    </row>
    <row r="676" spans="1:14" x14ac:dyDescent="0.25">
      <c r="A676" s="3" t="s">
        <v>707</v>
      </c>
      <c r="B676">
        <v>1980</v>
      </c>
      <c r="C676">
        <v>1980</v>
      </c>
      <c r="D676" s="3" t="s">
        <v>19</v>
      </c>
      <c r="E676" s="3" t="s">
        <v>19</v>
      </c>
      <c r="F676">
        <v>18</v>
      </c>
      <c r="G676" s="7">
        <v>29482</v>
      </c>
      <c r="H676">
        <v>2</v>
      </c>
      <c r="I676" s="3" t="s">
        <v>9050</v>
      </c>
      <c r="J676" s="3" t="s">
        <v>10</v>
      </c>
      <c r="K676" s="3" t="s">
        <v>11</v>
      </c>
      <c r="L676" s="3" t="s">
        <v>12</v>
      </c>
      <c r="M676">
        <v>46</v>
      </c>
      <c r="N676" s="3"/>
    </row>
    <row r="677" spans="1:14" x14ac:dyDescent="0.25">
      <c r="A677" s="3" t="s">
        <v>708</v>
      </c>
      <c r="B677">
        <v>1972</v>
      </c>
      <c r="C677">
        <v>1972</v>
      </c>
      <c r="D677" s="3" t="s">
        <v>14</v>
      </c>
      <c r="E677" s="3" t="s">
        <v>14</v>
      </c>
      <c r="F677">
        <v>2</v>
      </c>
      <c r="G677" s="7">
        <v>26605</v>
      </c>
      <c r="H677">
        <v>0</v>
      </c>
      <c r="I677" s="3" t="s">
        <v>9051</v>
      </c>
      <c r="J677" s="3" t="s">
        <v>10</v>
      </c>
      <c r="K677" s="3" t="s">
        <v>10</v>
      </c>
      <c r="L677" s="3" t="s">
        <v>12</v>
      </c>
      <c r="M677">
        <v>54</v>
      </c>
      <c r="N677" s="3"/>
    </row>
    <row r="678" spans="1:14" x14ac:dyDescent="0.25">
      <c r="A678" s="3" t="s">
        <v>709</v>
      </c>
      <c r="B678">
        <v>2002</v>
      </c>
      <c r="C678">
        <v>2002</v>
      </c>
      <c r="D678" s="3" t="s">
        <v>9</v>
      </c>
      <c r="E678" s="3" t="s">
        <v>9</v>
      </c>
      <c r="F678">
        <v>22</v>
      </c>
      <c r="G678" s="7">
        <v>37459</v>
      </c>
      <c r="H678">
        <v>0</v>
      </c>
      <c r="I678" s="3" t="s">
        <v>9052</v>
      </c>
      <c r="J678" s="3" t="s">
        <v>10</v>
      </c>
      <c r="K678" s="3" t="s">
        <v>10</v>
      </c>
      <c r="L678" s="3" t="s">
        <v>534</v>
      </c>
      <c r="M678">
        <v>24</v>
      </c>
      <c r="N678" s="3"/>
    </row>
    <row r="679" spans="1:14" x14ac:dyDescent="0.25">
      <c r="A679" s="3" t="s">
        <v>710</v>
      </c>
      <c r="B679">
        <v>1971</v>
      </c>
      <c r="C679">
        <v>1971</v>
      </c>
      <c r="D679" s="3" t="s">
        <v>19</v>
      </c>
      <c r="E679" s="3" t="s">
        <v>19</v>
      </c>
      <c r="F679">
        <v>27</v>
      </c>
      <c r="G679" s="7">
        <v>26203</v>
      </c>
      <c r="H679">
        <v>0</v>
      </c>
      <c r="I679" s="3" t="s">
        <v>9053</v>
      </c>
      <c r="J679" s="3" t="s">
        <v>10</v>
      </c>
      <c r="K679" s="3" t="s">
        <v>11</v>
      </c>
      <c r="L679" s="3" t="s">
        <v>22</v>
      </c>
      <c r="M679">
        <v>55</v>
      </c>
      <c r="N679" s="3"/>
    </row>
    <row r="680" spans="1:14" x14ac:dyDescent="0.25">
      <c r="A680" s="3" t="s">
        <v>711</v>
      </c>
      <c r="B680">
        <v>1987</v>
      </c>
      <c r="C680">
        <v>1987</v>
      </c>
      <c r="D680" s="3" t="s">
        <v>9</v>
      </c>
      <c r="E680" s="3" t="s">
        <v>9</v>
      </c>
      <c r="F680">
        <v>27</v>
      </c>
      <c r="G680" s="7">
        <v>31985</v>
      </c>
      <c r="H680">
        <v>2</v>
      </c>
      <c r="I680" s="3" t="s">
        <v>9054</v>
      </c>
      <c r="J680" s="3" t="s">
        <v>10</v>
      </c>
      <c r="K680" s="3" t="s">
        <v>11</v>
      </c>
      <c r="L680" s="3" t="s">
        <v>12</v>
      </c>
      <c r="M680">
        <v>39</v>
      </c>
      <c r="N680" s="3"/>
    </row>
    <row r="681" spans="1:14" x14ac:dyDescent="0.25">
      <c r="A681" s="3" t="s">
        <v>712</v>
      </c>
      <c r="B681">
        <v>1995</v>
      </c>
      <c r="C681">
        <v>1995</v>
      </c>
      <c r="D681" s="3" t="s">
        <v>34</v>
      </c>
      <c r="E681" s="3" t="s">
        <v>34</v>
      </c>
      <c r="F681">
        <v>20</v>
      </c>
      <c r="G681" s="7">
        <v>34931</v>
      </c>
      <c r="H681">
        <v>0</v>
      </c>
      <c r="I681" s="3" t="s">
        <v>9055</v>
      </c>
      <c r="J681" s="3" t="s">
        <v>10</v>
      </c>
      <c r="K681" s="3" t="s">
        <v>10</v>
      </c>
      <c r="L681" s="3" t="s">
        <v>199</v>
      </c>
      <c r="M681">
        <v>31</v>
      </c>
      <c r="N681" s="3"/>
    </row>
    <row r="682" spans="1:14" x14ac:dyDescent="0.25">
      <c r="A682" s="3" t="s">
        <v>713</v>
      </c>
      <c r="B682">
        <v>1987</v>
      </c>
      <c r="C682">
        <v>1987</v>
      </c>
      <c r="D682" s="3" t="s">
        <v>19</v>
      </c>
      <c r="E682" s="3" t="s">
        <v>19</v>
      </c>
      <c r="F682">
        <v>30</v>
      </c>
      <c r="G682" s="7">
        <v>32050</v>
      </c>
      <c r="H682">
        <v>2</v>
      </c>
      <c r="I682" s="3" t="s">
        <v>9056</v>
      </c>
      <c r="J682" s="3" t="s">
        <v>10</v>
      </c>
      <c r="K682" s="3" t="s">
        <v>10</v>
      </c>
      <c r="L682" s="3" t="s">
        <v>12</v>
      </c>
      <c r="M682">
        <v>39</v>
      </c>
      <c r="N682" s="3"/>
    </row>
    <row r="683" spans="1:14" x14ac:dyDescent="0.25">
      <c r="A683" s="3" t="s">
        <v>714</v>
      </c>
      <c r="B683">
        <v>1985</v>
      </c>
      <c r="C683">
        <v>1985</v>
      </c>
      <c r="D683" s="3" t="s">
        <v>17</v>
      </c>
      <c r="E683" s="3" t="s">
        <v>17</v>
      </c>
      <c r="F683">
        <v>18</v>
      </c>
      <c r="G683" s="7">
        <v>31216</v>
      </c>
      <c r="H683">
        <v>3</v>
      </c>
      <c r="I683" s="3" t="s">
        <v>9057</v>
      </c>
      <c r="J683" s="3" t="s">
        <v>10</v>
      </c>
      <c r="K683" s="3" t="s">
        <v>15</v>
      </c>
      <c r="L683" s="3" t="s">
        <v>12</v>
      </c>
      <c r="M683">
        <v>41</v>
      </c>
      <c r="N683" s="3"/>
    </row>
    <row r="684" spans="1:14" x14ac:dyDescent="0.25">
      <c r="A684" s="3" t="s">
        <v>715</v>
      </c>
      <c r="B684">
        <v>1984</v>
      </c>
      <c r="C684">
        <v>1984</v>
      </c>
      <c r="D684" s="3" t="s">
        <v>14</v>
      </c>
      <c r="E684" s="3" t="s">
        <v>14</v>
      </c>
      <c r="F684">
        <v>22</v>
      </c>
      <c r="G684" s="7">
        <v>31008</v>
      </c>
      <c r="H684">
        <v>1</v>
      </c>
      <c r="I684" s="3" t="s">
        <v>9058</v>
      </c>
      <c r="J684" s="3" t="s">
        <v>10</v>
      </c>
      <c r="K684" s="3" t="s">
        <v>11</v>
      </c>
      <c r="L684" s="3" t="s">
        <v>22</v>
      </c>
      <c r="M684">
        <v>42</v>
      </c>
      <c r="N684" s="3"/>
    </row>
    <row r="685" spans="1:14" x14ac:dyDescent="0.25">
      <c r="A685" s="3" t="s">
        <v>716</v>
      </c>
      <c r="B685">
        <v>1993</v>
      </c>
      <c r="C685">
        <v>1993</v>
      </c>
      <c r="D685" s="3" t="s">
        <v>36</v>
      </c>
      <c r="E685" s="3" t="s">
        <v>36</v>
      </c>
      <c r="F685">
        <v>19</v>
      </c>
      <c r="G685" s="7">
        <v>34261</v>
      </c>
      <c r="H685">
        <v>0</v>
      </c>
      <c r="I685" s="3" t="s">
        <v>9059</v>
      </c>
      <c r="J685" s="3" t="s">
        <v>10</v>
      </c>
      <c r="K685" s="3" t="s">
        <v>10</v>
      </c>
      <c r="L685" s="3" t="s">
        <v>299</v>
      </c>
      <c r="M685">
        <v>33</v>
      </c>
      <c r="N685" s="3"/>
    </row>
    <row r="686" spans="1:14" x14ac:dyDescent="0.25">
      <c r="A686" s="3" t="s">
        <v>717</v>
      </c>
      <c r="B686">
        <v>1982</v>
      </c>
      <c r="C686">
        <v>1982</v>
      </c>
      <c r="D686" s="3" t="s">
        <v>9</v>
      </c>
      <c r="E686" s="3" t="s">
        <v>9</v>
      </c>
      <c r="F686">
        <v>8</v>
      </c>
      <c r="G686" s="7">
        <v>30140</v>
      </c>
      <c r="H686">
        <v>0</v>
      </c>
      <c r="I686" s="3" t="s">
        <v>9060</v>
      </c>
      <c r="J686" s="3" t="s">
        <v>10</v>
      </c>
      <c r="K686" s="3" t="s">
        <v>15</v>
      </c>
      <c r="L686" s="3" t="s">
        <v>41</v>
      </c>
      <c r="M686">
        <v>44</v>
      </c>
      <c r="N686" s="3"/>
    </row>
    <row r="687" spans="1:14" x14ac:dyDescent="0.25">
      <c r="A687" s="3" t="s">
        <v>718</v>
      </c>
      <c r="B687">
        <v>1982</v>
      </c>
      <c r="C687">
        <v>1982</v>
      </c>
      <c r="D687" s="3" t="s">
        <v>29</v>
      </c>
      <c r="E687" s="3" t="s">
        <v>29</v>
      </c>
      <c r="F687">
        <v>21</v>
      </c>
      <c r="G687" s="7">
        <v>30306</v>
      </c>
      <c r="H687">
        <v>0</v>
      </c>
      <c r="I687" s="3" t="s">
        <v>9061</v>
      </c>
      <c r="J687" s="3" t="s">
        <v>10</v>
      </c>
      <c r="K687" s="3" t="s">
        <v>15</v>
      </c>
      <c r="L687" s="3" t="s">
        <v>12</v>
      </c>
      <c r="M687">
        <v>44</v>
      </c>
      <c r="N687" s="3"/>
    </row>
    <row r="688" spans="1:14" x14ac:dyDescent="0.25">
      <c r="A688" s="3" t="s">
        <v>719</v>
      </c>
      <c r="B688">
        <v>1987</v>
      </c>
      <c r="C688">
        <v>1987</v>
      </c>
      <c r="D688" s="3" t="s">
        <v>9</v>
      </c>
      <c r="E688" s="3" t="s">
        <v>9</v>
      </c>
      <c r="F688">
        <v>29</v>
      </c>
      <c r="G688" s="7">
        <v>31987</v>
      </c>
      <c r="H688">
        <v>3</v>
      </c>
      <c r="I688" s="3" t="s">
        <v>9062</v>
      </c>
      <c r="J688" s="3" t="s">
        <v>11</v>
      </c>
      <c r="K688" s="3" t="s">
        <v>11</v>
      </c>
      <c r="L688" s="3" t="s">
        <v>41</v>
      </c>
      <c r="M688">
        <v>39</v>
      </c>
      <c r="N688" s="3"/>
    </row>
    <row r="689" spans="1:14" x14ac:dyDescent="0.25">
      <c r="A689" s="3" t="s">
        <v>720</v>
      </c>
      <c r="B689">
        <v>1993</v>
      </c>
      <c r="C689">
        <v>1993</v>
      </c>
      <c r="D689" s="3" t="s">
        <v>34</v>
      </c>
      <c r="E689" s="3" t="s">
        <v>34</v>
      </c>
      <c r="F689">
        <v>13</v>
      </c>
      <c r="G689" s="7">
        <v>34194</v>
      </c>
      <c r="H689">
        <v>0</v>
      </c>
      <c r="I689" s="3" t="s">
        <v>9063</v>
      </c>
      <c r="J689" s="3" t="s">
        <v>10</v>
      </c>
      <c r="K689" s="3" t="s">
        <v>10</v>
      </c>
      <c r="L689" s="3" t="s">
        <v>199</v>
      </c>
      <c r="M689">
        <v>33</v>
      </c>
      <c r="N689" s="3"/>
    </row>
    <row r="690" spans="1:14" x14ac:dyDescent="0.25">
      <c r="A690" s="3" t="s">
        <v>721</v>
      </c>
      <c r="B690">
        <v>1994</v>
      </c>
      <c r="C690">
        <v>1994</v>
      </c>
      <c r="D690" s="3" t="s">
        <v>9</v>
      </c>
      <c r="E690" s="3" t="s">
        <v>9</v>
      </c>
      <c r="F690">
        <v>30</v>
      </c>
      <c r="G690" s="7">
        <v>34545</v>
      </c>
      <c r="H690">
        <v>0</v>
      </c>
      <c r="I690" s="3" t="s">
        <v>9064</v>
      </c>
      <c r="J690" s="3" t="s">
        <v>10</v>
      </c>
      <c r="K690" s="3" t="s">
        <v>15</v>
      </c>
      <c r="L690" s="3" t="s">
        <v>22</v>
      </c>
      <c r="M690">
        <v>32</v>
      </c>
      <c r="N690" s="3"/>
    </row>
    <row r="691" spans="1:14" x14ac:dyDescent="0.25">
      <c r="A691" s="3" t="s">
        <v>722</v>
      </c>
      <c r="B691">
        <v>1987</v>
      </c>
      <c r="C691">
        <v>1987</v>
      </c>
      <c r="D691" s="3" t="s">
        <v>9</v>
      </c>
      <c r="E691" s="3" t="s">
        <v>9</v>
      </c>
      <c r="F691">
        <v>14</v>
      </c>
      <c r="G691" s="7">
        <v>31972</v>
      </c>
      <c r="H691">
        <v>3</v>
      </c>
      <c r="I691" s="3" t="s">
        <v>9065</v>
      </c>
      <c r="J691" s="3" t="s">
        <v>11</v>
      </c>
      <c r="K691" s="3" t="s">
        <v>10</v>
      </c>
      <c r="L691" s="3" t="s">
        <v>12</v>
      </c>
      <c r="M691">
        <v>39</v>
      </c>
      <c r="N691" s="3"/>
    </row>
    <row r="692" spans="1:14" x14ac:dyDescent="0.25">
      <c r="A692" s="3" t="s">
        <v>723</v>
      </c>
      <c r="B692">
        <v>2003</v>
      </c>
      <c r="C692">
        <v>2003</v>
      </c>
      <c r="D692" s="3" t="s">
        <v>34</v>
      </c>
      <c r="E692" s="3" t="s">
        <v>34</v>
      </c>
      <c r="F692">
        <v>13</v>
      </c>
      <c r="G692" s="7">
        <v>37846</v>
      </c>
      <c r="H692">
        <v>0</v>
      </c>
      <c r="I692" s="3" t="s">
        <v>9066</v>
      </c>
      <c r="J692" s="3" t="s">
        <v>10</v>
      </c>
      <c r="K692" s="3" t="s">
        <v>10</v>
      </c>
      <c r="L692" s="3" t="s">
        <v>22</v>
      </c>
      <c r="M692">
        <v>23</v>
      </c>
      <c r="N692" s="3"/>
    </row>
    <row r="693" spans="1:14" x14ac:dyDescent="0.25">
      <c r="A693" s="3" t="s">
        <v>724</v>
      </c>
      <c r="B693">
        <v>2004</v>
      </c>
      <c r="C693">
        <v>2004</v>
      </c>
      <c r="D693" s="3" t="s">
        <v>9</v>
      </c>
      <c r="E693" s="3" t="s">
        <v>9</v>
      </c>
      <c r="F693">
        <v>15</v>
      </c>
      <c r="G693" s="7">
        <v>38183</v>
      </c>
      <c r="H693">
        <v>0</v>
      </c>
      <c r="I693" s="3" t="s">
        <v>9067</v>
      </c>
      <c r="J693" s="3" t="s">
        <v>10</v>
      </c>
      <c r="K693" s="3" t="s">
        <v>15</v>
      </c>
      <c r="L693" s="3" t="s">
        <v>534</v>
      </c>
      <c r="M693">
        <v>22</v>
      </c>
      <c r="N693" s="3"/>
    </row>
    <row r="694" spans="1:14" x14ac:dyDescent="0.25">
      <c r="A694" s="3" t="s">
        <v>725</v>
      </c>
      <c r="B694">
        <v>1980</v>
      </c>
      <c r="C694">
        <v>1980</v>
      </c>
      <c r="D694" s="3" t="s">
        <v>34</v>
      </c>
      <c r="E694" s="3" t="s">
        <v>34</v>
      </c>
      <c r="F694">
        <v>5</v>
      </c>
      <c r="G694" s="7">
        <v>29438</v>
      </c>
      <c r="H694">
        <v>0</v>
      </c>
      <c r="I694" s="3" t="s">
        <v>9068</v>
      </c>
      <c r="J694" s="3" t="s">
        <v>10</v>
      </c>
      <c r="K694" s="3" t="s">
        <v>11</v>
      </c>
      <c r="L694" s="3" t="s">
        <v>12</v>
      </c>
      <c r="M694">
        <v>46</v>
      </c>
      <c r="N694" s="3"/>
    </row>
    <row r="695" spans="1:14" x14ac:dyDescent="0.25">
      <c r="A695" s="3" t="s">
        <v>726</v>
      </c>
      <c r="B695">
        <v>1980</v>
      </c>
      <c r="C695">
        <v>1980</v>
      </c>
      <c r="D695" s="3" t="s">
        <v>9</v>
      </c>
      <c r="E695" s="3" t="s">
        <v>9</v>
      </c>
      <c r="F695">
        <v>21</v>
      </c>
      <c r="G695" s="7">
        <v>29423</v>
      </c>
      <c r="H695">
        <v>0</v>
      </c>
      <c r="I695" s="3" t="s">
        <v>9069</v>
      </c>
      <c r="J695" s="3" t="s">
        <v>11</v>
      </c>
      <c r="K695" s="3" t="s">
        <v>11</v>
      </c>
      <c r="L695" s="3" t="s">
        <v>41</v>
      </c>
      <c r="M695">
        <v>46</v>
      </c>
      <c r="N695" s="3"/>
    </row>
    <row r="696" spans="1:14" x14ac:dyDescent="0.25">
      <c r="A696" s="3" t="s">
        <v>727</v>
      </c>
      <c r="B696">
        <v>1989</v>
      </c>
      <c r="C696">
        <v>1989</v>
      </c>
      <c r="D696" s="3" t="s">
        <v>9</v>
      </c>
      <c r="E696" s="3" t="s">
        <v>9</v>
      </c>
      <c r="F696">
        <v>22</v>
      </c>
      <c r="G696" s="7">
        <v>32711</v>
      </c>
      <c r="H696">
        <v>3</v>
      </c>
      <c r="I696" s="3" t="s">
        <v>9070</v>
      </c>
      <c r="J696" s="3" t="s">
        <v>10</v>
      </c>
      <c r="K696" s="3" t="s">
        <v>10</v>
      </c>
      <c r="L696" s="3" t="s">
        <v>41</v>
      </c>
      <c r="M696">
        <v>37</v>
      </c>
      <c r="N696" s="3"/>
    </row>
    <row r="697" spans="1:14" x14ac:dyDescent="0.25">
      <c r="A697" s="3" t="s">
        <v>728</v>
      </c>
      <c r="B697">
        <v>1984</v>
      </c>
      <c r="C697">
        <v>1984</v>
      </c>
      <c r="D697" s="3" t="s">
        <v>19</v>
      </c>
      <c r="E697" s="3" t="s">
        <v>19</v>
      </c>
      <c r="F697">
        <v>19</v>
      </c>
      <c r="G697" s="7">
        <v>30944</v>
      </c>
      <c r="H697">
        <v>1</v>
      </c>
      <c r="I697" s="3" t="s">
        <v>9071</v>
      </c>
      <c r="J697" s="3" t="s">
        <v>10</v>
      </c>
      <c r="K697" s="3" t="s">
        <v>11</v>
      </c>
      <c r="L697" s="3" t="s">
        <v>12</v>
      </c>
      <c r="M697">
        <v>42</v>
      </c>
      <c r="N697" s="3"/>
    </row>
    <row r="698" spans="1:14" x14ac:dyDescent="0.25">
      <c r="A698" s="3" t="s">
        <v>729</v>
      </c>
      <c r="B698">
        <v>1984</v>
      </c>
      <c r="C698">
        <v>1984</v>
      </c>
      <c r="D698" s="3" t="s">
        <v>14</v>
      </c>
      <c r="E698" s="3" t="s">
        <v>14</v>
      </c>
      <c r="F698">
        <v>11</v>
      </c>
      <c r="G698" s="7">
        <v>30997</v>
      </c>
      <c r="H698">
        <v>1</v>
      </c>
      <c r="I698" s="3" t="s">
        <v>9072</v>
      </c>
      <c r="J698" s="3" t="s">
        <v>10</v>
      </c>
      <c r="K698" s="3" t="s">
        <v>10</v>
      </c>
      <c r="L698" s="3" t="s">
        <v>12</v>
      </c>
      <c r="M698">
        <v>42</v>
      </c>
      <c r="N698" s="3"/>
    </row>
    <row r="699" spans="1:14" x14ac:dyDescent="0.25">
      <c r="A699" s="3" t="s">
        <v>730</v>
      </c>
      <c r="B699">
        <v>1970</v>
      </c>
      <c r="C699">
        <v>1970</v>
      </c>
      <c r="D699" s="3" t="s">
        <v>17</v>
      </c>
      <c r="E699" s="3" t="s">
        <v>17</v>
      </c>
      <c r="F699">
        <v>25</v>
      </c>
      <c r="G699" s="7">
        <v>25744</v>
      </c>
      <c r="H699">
        <v>0</v>
      </c>
      <c r="I699" s="3" t="s">
        <v>9073</v>
      </c>
      <c r="J699" s="3" t="s">
        <v>10</v>
      </c>
      <c r="K699" s="3" t="s">
        <v>11</v>
      </c>
      <c r="L699" s="3" t="s">
        <v>12</v>
      </c>
      <c r="M699">
        <v>56</v>
      </c>
      <c r="N699" s="3"/>
    </row>
    <row r="700" spans="1:14" x14ac:dyDescent="0.25">
      <c r="A700" s="3" t="s">
        <v>731</v>
      </c>
      <c r="B700">
        <v>1980</v>
      </c>
      <c r="C700">
        <v>1980</v>
      </c>
      <c r="D700" s="3" t="s">
        <v>36</v>
      </c>
      <c r="E700" s="3" t="s">
        <v>36</v>
      </c>
      <c r="F700">
        <v>10</v>
      </c>
      <c r="G700" s="7">
        <v>29504</v>
      </c>
      <c r="H700">
        <v>0</v>
      </c>
      <c r="I700" s="3" t="s">
        <v>9074</v>
      </c>
      <c r="J700" s="3" t="s">
        <v>10</v>
      </c>
      <c r="K700" s="3" t="s">
        <v>10</v>
      </c>
      <c r="L700" s="3" t="s">
        <v>41</v>
      </c>
      <c r="M700">
        <v>46</v>
      </c>
      <c r="N700" s="3"/>
    </row>
    <row r="701" spans="1:14" x14ac:dyDescent="0.25">
      <c r="A701" s="3" t="s">
        <v>732</v>
      </c>
      <c r="B701">
        <v>1974</v>
      </c>
      <c r="C701">
        <v>1974</v>
      </c>
      <c r="D701" s="3" t="s">
        <v>36</v>
      </c>
      <c r="E701" s="3" t="s">
        <v>36</v>
      </c>
      <c r="F701">
        <v>11</v>
      </c>
      <c r="G701" s="7">
        <v>27313</v>
      </c>
      <c r="H701">
        <v>0</v>
      </c>
      <c r="I701" s="3" t="s">
        <v>9075</v>
      </c>
      <c r="J701" s="3" t="s">
        <v>10</v>
      </c>
      <c r="K701" s="3" t="s">
        <v>11</v>
      </c>
      <c r="L701" s="3" t="s">
        <v>12</v>
      </c>
      <c r="M701">
        <v>52</v>
      </c>
      <c r="N701" s="3"/>
    </row>
    <row r="702" spans="1:14" x14ac:dyDescent="0.25">
      <c r="A702" s="3" t="s">
        <v>733</v>
      </c>
      <c r="B702">
        <v>1988</v>
      </c>
      <c r="C702">
        <v>1988</v>
      </c>
      <c r="D702" s="3" t="s">
        <v>17</v>
      </c>
      <c r="E702" s="3" t="s">
        <v>17</v>
      </c>
      <c r="F702">
        <v>10</v>
      </c>
      <c r="G702" s="7">
        <v>32304</v>
      </c>
      <c r="H702">
        <v>2</v>
      </c>
      <c r="I702" s="3" t="s">
        <v>9076</v>
      </c>
      <c r="J702" s="3" t="s">
        <v>10</v>
      </c>
      <c r="K702" s="3" t="s">
        <v>15</v>
      </c>
      <c r="L702" s="3" t="s">
        <v>22</v>
      </c>
      <c r="M702">
        <v>38</v>
      </c>
      <c r="N702" s="3"/>
    </row>
    <row r="703" spans="1:14" x14ac:dyDescent="0.25">
      <c r="A703" s="3" t="s">
        <v>734</v>
      </c>
      <c r="B703">
        <v>1974</v>
      </c>
      <c r="C703">
        <v>1974</v>
      </c>
      <c r="D703" s="3" t="s">
        <v>34</v>
      </c>
      <c r="E703" s="3" t="s">
        <v>34</v>
      </c>
      <c r="F703">
        <v>17</v>
      </c>
      <c r="G703" s="7">
        <v>27258</v>
      </c>
      <c r="H703">
        <v>0</v>
      </c>
      <c r="I703" s="3" t="s">
        <v>9077</v>
      </c>
      <c r="J703" s="3" t="s">
        <v>10</v>
      </c>
      <c r="K703" s="3" t="s">
        <v>10</v>
      </c>
      <c r="L703" s="3" t="s">
        <v>12</v>
      </c>
      <c r="M703">
        <v>52</v>
      </c>
      <c r="N703" s="3"/>
    </row>
    <row r="704" spans="1:14" x14ac:dyDescent="0.25">
      <c r="A704" s="3" t="s">
        <v>735</v>
      </c>
      <c r="B704">
        <v>1980</v>
      </c>
      <c r="C704">
        <v>1980</v>
      </c>
      <c r="D704" s="3" t="s">
        <v>34</v>
      </c>
      <c r="E704" s="3" t="s">
        <v>34</v>
      </c>
      <c r="F704">
        <v>8</v>
      </c>
      <c r="G704" s="7">
        <v>29441</v>
      </c>
      <c r="H704">
        <v>2</v>
      </c>
      <c r="I704" s="3" t="s">
        <v>9078</v>
      </c>
      <c r="J704" s="3" t="s">
        <v>10</v>
      </c>
      <c r="K704" s="3" t="s">
        <v>11</v>
      </c>
      <c r="L704" s="3" t="s">
        <v>12</v>
      </c>
      <c r="M704">
        <v>46</v>
      </c>
      <c r="N704" s="3"/>
    </row>
    <row r="705" spans="1:14" x14ac:dyDescent="0.25">
      <c r="A705" s="3" t="s">
        <v>736</v>
      </c>
      <c r="B705">
        <v>1989</v>
      </c>
      <c r="C705">
        <v>1989</v>
      </c>
      <c r="D705" s="3" t="s">
        <v>34</v>
      </c>
      <c r="E705" s="3" t="s">
        <v>34</v>
      </c>
      <c r="F705">
        <v>16</v>
      </c>
      <c r="G705" s="7">
        <v>32736</v>
      </c>
      <c r="H705">
        <v>4</v>
      </c>
      <c r="I705" s="3" t="s">
        <v>9079</v>
      </c>
      <c r="J705" s="3" t="s">
        <v>10</v>
      </c>
      <c r="K705" s="3" t="s">
        <v>15</v>
      </c>
      <c r="L705" s="3" t="s">
        <v>41</v>
      </c>
      <c r="M705">
        <v>37</v>
      </c>
      <c r="N705" s="3"/>
    </row>
    <row r="706" spans="1:14" x14ac:dyDescent="0.25">
      <c r="A706" s="3" t="s">
        <v>737</v>
      </c>
      <c r="B706">
        <v>1996</v>
      </c>
      <c r="C706">
        <v>1996</v>
      </c>
      <c r="D706" s="3" t="s">
        <v>9</v>
      </c>
      <c r="E706" s="3" t="s">
        <v>9</v>
      </c>
      <c r="F706">
        <v>28</v>
      </c>
      <c r="G706" s="7">
        <v>35274</v>
      </c>
      <c r="H706">
        <v>0</v>
      </c>
      <c r="I706" s="3" t="s">
        <v>9080</v>
      </c>
      <c r="J706" s="3" t="s">
        <v>10</v>
      </c>
      <c r="K706" s="3" t="s">
        <v>11</v>
      </c>
      <c r="L706" s="3" t="s">
        <v>22</v>
      </c>
      <c r="M706">
        <v>30</v>
      </c>
      <c r="N706" s="3"/>
    </row>
    <row r="707" spans="1:14" x14ac:dyDescent="0.25">
      <c r="A707" s="3" t="s">
        <v>738</v>
      </c>
      <c r="B707">
        <v>1994</v>
      </c>
      <c r="C707">
        <v>1994</v>
      </c>
      <c r="D707" s="3" t="s">
        <v>14</v>
      </c>
      <c r="E707" s="3" t="s">
        <v>14</v>
      </c>
      <c r="F707">
        <v>8</v>
      </c>
      <c r="G707" s="7">
        <v>34646</v>
      </c>
      <c r="H707">
        <v>0</v>
      </c>
      <c r="I707" s="3" t="s">
        <v>9081</v>
      </c>
      <c r="J707" s="3" t="s">
        <v>10</v>
      </c>
      <c r="K707" s="3" t="s">
        <v>10</v>
      </c>
      <c r="L707" s="3" t="s">
        <v>41</v>
      </c>
      <c r="M707">
        <v>32</v>
      </c>
      <c r="N707" s="3"/>
    </row>
    <row r="708" spans="1:14" x14ac:dyDescent="0.25">
      <c r="A708" s="3" t="s">
        <v>739</v>
      </c>
      <c r="B708">
        <v>1984</v>
      </c>
      <c r="C708">
        <v>1984</v>
      </c>
      <c r="D708" s="3" t="s">
        <v>19</v>
      </c>
      <c r="E708" s="3" t="s">
        <v>19</v>
      </c>
      <c r="F708">
        <v>21</v>
      </c>
      <c r="G708" s="7">
        <v>30946</v>
      </c>
      <c r="H708">
        <v>1</v>
      </c>
      <c r="I708" s="3" t="s">
        <v>9082</v>
      </c>
      <c r="J708" s="3" t="s">
        <v>11</v>
      </c>
      <c r="K708" s="3" t="s">
        <v>15</v>
      </c>
      <c r="L708" s="3" t="s">
        <v>167</v>
      </c>
      <c r="M708">
        <v>42</v>
      </c>
      <c r="N708" s="3"/>
    </row>
    <row r="709" spans="1:14" x14ac:dyDescent="0.25">
      <c r="A709" s="3" t="s">
        <v>740</v>
      </c>
      <c r="B709">
        <v>1979</v>
      </c>
      <c r="C709">
        <v>1979</v>
      </c>
      <c r="D709" s="3" t="s">
        <v>34</v>
      </c>
      <c r="E709" s="3" t="s">
        <v>34</v>
      </c>
      <c r="F709">
        <v>8</v>
      </c>
      <c r="G709" s="7">
        <v>29075</v>
      </c>
      <c r="H709">
        <v>2</v>
      </c>
      <c r="I709" s="3" t="s">
        <v>9083</v>
      </c>
      <c r="J709" s="3" t="s">
        <v>10</v>
      </c>
      <c r="K709" s="3" t="s">
        <v>10</v>
      </c>
      <c r="L709" s="3" t="s">
        <v>22</v>
      </c>
      <c r="M709">
        <v>47</v>
      </c>
      <c r="N709" s="3"/>
    </row>
    <row r="710" spans="1:14" x14ac:dyDescent="0.25">
      <c r="A710" s="3" t="s">
        <v>741</v>
      </c>
      <c r="B710">
        <v>1984</v>
      </c>
      <c r="C710">
        <v>1984</v>
      </c>
      <c r="D710" s="3" t="s">
        <v>36</v>
      </c>
      <c r="E710" s="3" t="s">
        <v>36</v>
      </c>
      <c r="F710">
        <v>14</v>
      </c>
      <c r="G710" s="7">
        <v>30969</v>
      </c>
      <c r="H710">
        <v>1</v>
      </c>
      <c r="I710" s="3" t="s">
        <v>9084</v>
      </c>
      <c r="J710" s="3" t="s">
        <v>15</v>
      </c>
      <c r="K710" s="3" t="s">
        <v>15</v>
      </c>
      <c r="L710" s="3" t="s">
        <v>275</v>
      </c>
      <c r="M710">
        <v>42</v>
      </c>
      <c r="N710" s="3"/>
    </row>
    <row r="711" spans="1:14" x14ac:dyDescent="0.25">
      <c r="A711" s="3" t="s">
        <v>742</v>
      </c>
      <c r="B711">
        <v>1984</v>
      </c>
      <c r="C711">
        <v>1984</v>
      </c>
      <c r="D711" s="3" t="s">
        <v>9</v>
      </c>
      <c r="E711" s="3" t="s">
        <v>9</v>
      </c>
      <c r="F711">
        <v>25</v>
      </c>
      <c r="G711" s="7">
        <v>30888</v>
      </c>
      <c r="H711">
        <v>2</v>
      </c>
      <c r="I711" s="3" t="s">
        <v>9085</v>
      </c>
      <c r="J711" s="3" t="s">
        <v>15</v>
      </c>
      <c r="K711" s="3" t="s">
        <v>10</v>
      </c>
      <c r="L711" s="3" t="s">
        <v>41</v>
      </c>
      <c r="M711">
        <v>42</v>
      </c>
      <c r="N711" s="3"/>
    </row>
    <row r="712" spans="1:14" x14ac:dyDescent="0.25">
      <c r="A712" s="3" t="s">
        <v>743</v>
      </c>
      <c r="B712">
        <v>1970</v>
      </c>
      <c r="C712">
        <v>1970</v>
      </c>
      <c r="D712" s="3" t="s">
        <v>17</v>
      </c>
      <c r="E712" s="3" t="s">
        <v>17</v>
      </c>
      <c r="F712">
        <v>9</v>
      </c>
      <c r="G712" s="7">
        <v>25728</v>
      </c>
      <c r="H712">
        <v>0</v>
      </c>
      <c r="I712" s="3" t="s">
        <v>9086</v>
      </c>
      <c r="J712" s="3" t="s">
        <v>10</v>
      </c>
      <c r="K712" s="3" t="s">
        <v>10</v>
      </c>
      <c r="L712" s="3" t="s">
        <v>12</v>
      </c>
      <c r="M712">
        <v>56</v>
      </c>
      <c r="N712" s="3"/>
    </row>
    <row r="713" spans="1:14" x14ac:dyDescent="0.25">
      <c r="A713" s="3" t="s">
        <v>744</v>
      </c>
      <c r="B713">
        <v>1995</v>
      </c>
      <c r="C713">
        <v>1995</v>
      </c>
      <c r="D713" s="3" t="s">
        <v>19</v>
      </c>
      <c r="E713" s="3" t="s">
        <v>19</v>
      </c>
      <c r="F713">
        <v>9</v>
      </c>
      <c r="G713" s="7">
        <v>34951</v>
      </c>
      <c r="H713">
        <v>0</v>
      </c>
      <c r="I713" s="3" t="s">
        <v>9087</v>
      </c>
      <c r="J713" s="3" t="s">
        <v>10</v>
      </c>
      <c r="K713" s="3" t="s">
        <v>11</v>
      </c>
      <c r="L713" s="3" t="s">
        <v>534</v>
      </c>
      <c r="M713">
        <v>31</v>
      </c>
      <c r="N713" s="3"/>
    </row>
    <row r="714" spans="1:14" x14ac:dyDescent="0.25">
      <c r="A714" s="3" t="s">
        <v>745</v>
      </c>
      <c r="B714">
        <v>1985</v>
      </c>
      <c r="C714">
        <v>1985</v>
      </c>
      <c r="D714" s="3" t="s">
        <v>9</v>
      </c>
      <c r="E714" s="3" t="s">
        <v>9</v>
      </c>
      <c r="F714">
        <v>21</v>
      </c>
      <c r="G714" s="7">
        <v>31249</v>
      </c>
      <c r="H714">
        <v>1</v>
      </c>
      <c r="I714" s="3" t="s">
        <v>9088</v>
      </c>
      <c r="J714" s="3" t="s">
        <v>10</v>
      </c>
      <c r="K714" s="3" t="s">
        <v>15</v>
      </c>
      <c r="L714" s="3" t="s">
        <v>22</v>
      </c>
      <c r="M714">
        <v>41</v>
      </c>
      <c r="N714" s="3"/>
    </row>
    <row r="715" spans="1:14" x14ac:dyDescent="0.25">
      <c r="A715" s="3" t="s">
        <v>746</v>
      </c>
      <c r="B715">
        <v>1991</v>
      </c>
      <c r="C715">
        <v>1991</v>
      </c>
      <c r="D715" s="3" t="s">
        <v>9</v>
      </c>
      <c r="E715" s="3" t="s">
        <v>9</v>
      </c>
      <c r="F715">
        <v>25</v>
      </c>
      <c r="G715" s="7">
        <v>33444</v>
      </c>
      <c r="H715">
        <v>3</v>
      </c>
      <c r="I715" s="3" t="s">
        <v>9089</v>
      </c>
      <c r="J715" s="3" t="s">
        <v>10</v>
      </c>
      <c r="K715" s="3" t="s">
        <v>10</v>
      </c>
      <c r="L715" s="3" t="s">
        <v>246</v>
      </c>
      <c r="M715">
        <v>35</v>
      </c>
      <c r="N715" s="3"/>
    </row>
    <row r="716" spans="1:14" x14ac:dyDescent="0.25">
      <c r="A716" s="3" t="s">
        <v>747</v>
      </c>
      <c r="B716">
        <v>1983</v>
      </c>
      <c r="C716">
        <v>1983</v>
      </c>
      <c r="D716" s="3" t="s">
        <v>34</v>
      </c>
      <c r="E716" s="3" t="s">
        <v>34</v>
      </c>
      <c r="F716">
        <v>11</v>
      </c>
      <c r="G716" s="7">
        <v>30539</v>
      </c>
      <c r="H716">
        <v>1</v>
      </c>
      <c r="I716" s="3" t="s">
        <v>9090</v>
      </c>
      <c r="J716" s="3" t="s">
        <v>10</v>
      </c>
      <c r="K716" s="3" t="s">
        <v>11</v>
      </c>
      <c r="L716" s="3" t="s">
        <v>22</v>
      </c>
      <c r="M716">
        <v>43</v>
      </c>
      <c r="N716" s="3"/>
    </row>
    <row r="717" spans="1:14" x14ac:dyDescent="0.25">
      <c r="A717" s="3" t="s">
        <v>748</v>
      </c>
      <c r="B717">
        <v>1983</v>
      </c>
      <c r="C717">
        <v>1983</v>
      </c>
      <c r="D717" s="3" t="s">
        <v>14</v>
      </c>
      <c r="E717" s="3" t="s">
        <v>14</v>
      </c>
      <c r="F717">
        <v>16</v>
      </c>
      <c r="G717" s="7">
        <v>30636</v>
      </c>
      <c r="H717">
        <v>1</v>
      </c>
      <c r="I717" s="3" t="s">
        <v>9091</v>
      </c>
      <c r="J717" s="3" t="s">
        <v>11</v>
      </c>
      <c r="K717" s="3" t="s">
        <v>10</v>
      </c>
      <c r="L717" s="3" t="s">
        <v>22</v>
      </c>
      <c r="M717">
        <v>43</v>
      </c>
      <c r="N717" s="3"/>
    </row>
    <row r="718" spans="1:14" x14ac:dyDescent="0.25">
      <c r="A718" s="3" t="s">
        <v>749</v>
      </c>
      <c r="B718">
        <v>1990</v>
      </c>
      <c r="C718">
        <v>1990</v>
      </c>
      <c r="D718" s="3" t="s">
        <v>34</v>
      </c>
      <c r="E718" s="3" t="s">
        <v>34</v>
      </c>
      <c r="F718">
        <v>18</v>
      </c>
      <c r="G718" s="7">
        <v>33103</v>
      </c>
      <c r="H718">
        <v>3</v>
      </c>
      <c r="I718" s="3" t="s">
        <v>9092</v>
      </c>
      <c r="J718" s="3" t="s">
        <v>10</v>
      </c>
      <c r="K718" s="3" t="s">
        <v>11</v>
      </c>
      <c r="L718" s="3" t="s">
        <v>22</v>
      </c>
      <c r="M718">
        <v>36</v>
      </c>
      <c r="N718" s="3"/>
    </row>
    <row r="719" spans="1:14" x14ac:dyDescent="0.25">
      <c r="A719" s="3" t="s">
        <v>750</v>
      </c>
      <c r="B719">
        <v>1969</v>
      </c>
      <c r="C719">
        <v>1969</v>
      </c>
      <c r="D719" s="3" t="s">
        <v>14</v>
      </c>
      <c r="E719" s="3" t="s">
        <v>14</v>
      </c>
      <c r="F719">
        <v>9</v>
      </c>
      <c r="G719" s="7">
        <v>25516</v>
      </c>
      <c r="H719">
        <v>0</v>
      </c>
      <c r="I719" s="3" t="s">
        <v>9093</v>
      </c>
      <c r="J719" s="3" t="s">
        <v>10</v>
      </c>
      <c r="K719" s="3" t="s">
        <v>10</v>
      </c>
      <c r="L719" s="3" t="s">
        <v>41</v>
      </c>
      <c r="M719">
        <v>57</v>
      </c>
      <c r="N719" s="3"/>
    </row>
    <row r="720" spans="1:14" x14ac:dyDescent="0.25">
      <c r="A720" s="3" t="s">
        <v>751</v>
      </c>
      <c r="B720">
        <v>1978</v>
      </c>
      <c r="C720">
        <v>1978</v>
      </c>
      <c r="D720" s="3" t="s">
        <v>19</v>
      </c>
      <c r="E720" s="3" t="s">
        <v>19</v>
      </c>
      <c r="F720">
        <v>5</v>
      </c>
      <c r="G720" s="7">
        <v>28738</v>
      </c>
      <c r="H720">
        <v>2</v>
      </c>
      <c r="I720" s="3" t="s">
        <v>9094</v>
      </c>
      <c r="J720" s="3" t="s">
        <v>10</v>
      </c>
      <c r="K720" s="3" t="s">
        <v>15</v>
      </c>
      <c r="L720" s="3" t="s">
        <v>12</v>
      </c>
      <c r="M720">
        <v>48</v>
      </c>
      <c r="N720" s="3"/>
    </row>
    <row r="721" spans="1:14" x14ac:dyDescent="0.25">
      <c r="A721" s="3" t="s">
        <v>752</v>
      </c>
      <c r="B721">
        <v>1976</v>
      </c>
      <c r="C721">
        <v>1976</v>
      </c>
      <c r="D721" s="3" t="s">
        <v>29</v>
      </c>
      <c r="E721" s="3" t="s">
        <v>29</v>
      </c>
      <c r="F721">
        <v>12</v>
      </c>
      <c r="G721" s="7">
        <v>28106</v>
      </c>
      <c r="H721">
        <v>2</v>
      </c>
      <c r="I721" s="3" t="s">
        <v>9095</v>
      </c>
      <c r="J721" s="3" t="s">
        <v>10</v>
      </c>
      <c r="K721" s="3" t="s">
        <v>11</v>
      </c>
      <c r="L721" s="3" t="s">
        <v>12</v>
      </c>
      <c r="M721">
        <v>50</v>
      </c>
      <c r="N721" s="3"/>
    </row>
    <row r="722" spans="1:14" x14ac:dyDescent="0.25">
      <c r="A722" s="3" t="s">
        <v>753</v>
      </c>
      <c r="B722">
        <v>1970</v>
      </c>
      <c r="C722">
        <v>1970</v>
      </c>
      <c r="D722" s="3" t="s">
        <v>36</v>
      </c>
      <c r="E722" s="3" t="s">
        <v>36</v>
      </c>
      <c r="F722">
        <v>14</v>
      </c>
      <c r="G722" s="7">
        <v>25855</v>
      </c>
      <c r="H722">
        <v>0</v>
      </c>
      <c r="I722" s="3" t="s">
        <v>9096</v>
      </c>
      <c r="J722" s="3" t="s">
        <v>10</v>
      </c>
      <c r="K722" s="3" t="s">
        <v>11</v>
      </c>
      <c r="L722" s="3" t="s">
        <v>22</v>
      </c>
      <c r="M722">
        <v>56</v>
      </c>
      <c r="N722" s="3"/>
    </row>
    <row r="723" spans="1:14" x14ac:dyDescent="0.25">
      <c r="A723" s="3" t="s">
        <v>754</v>
      </c>
      <c r="B723">
        <v>1973</v>
      </c>
      <c r="C723">
        <v>1973</v>
      </c>
      <c r="D723" s="3" t="s">
        <v>14</v>
      </c>
      <c r="E723" s="3" t="s">
        <v>14</v>
      </c>
      <c r="F723">
        <v>6</v>
      </c>
      <c r="G723" s="7">
        <v>26974</v>
      </c>
      <c r="H723">
        <v>0</v>
      </c>
      <c r="I723" s="3" t="s">
        <v>9097</v>
      </c>
      <c r="J723" s="3" t="s">
        <v>10</v>
      </c>
      <c r="K723" s="3" t="s">
        <v>11</v>
      </c>
      <c r="L723" s="3" t="s">
        <v>12</v>
      </c>
      <c r="M723">
        <v>53</v>
      </c>
      <c r="N723" s="3"/>
    </row>
    <row r="724" spans="1:14" x14ac:dyDescent="0.25">
      <c r="A724" s="3" t="s">
        <v>755</v>
      </c>
      <c r="B724">
        <v>1985</v>
      </c>
      <c r="C724">
        <v>1985</v>
      </c>
      <c r="D724" s="3" t="s">
        <v>36</v>
      </c>
      <c r="E724" s="3" t="s">
        <v>36</v>
      </c>
      <c r="F724">
        <v>15</v>
      </c>
      <c r="G724" s="7">
        <v>31335</v>
      </c>
      <c r="H724">
        <v>3</v>
      </c>
      <c r="I724" s="3" t="s">
        <v>9098</v>
      </c>
      <c r="J724" s="3" t="s">
        <v>10</v>
      </c>
      <c r="K724" s="3" t="s">
        <v>15</v>
      </c>
      <c r="L724" s="3" t="s">
        <v>22</v>
      </c>
      <c r="M724">
        <v>41</v>
      </c>
      <c r="N724" s="3"/>
    </row>
    <row r="725" spans="1:14" x14ac:dyDescent="0.25">
      <c r="A725" s="3" t="s">
        <v>756</v>
      </c>
      <c r="B725">
        <v>1984</v>
      </c>
      <c r="C725">
        <v>1984</v>
      </c>
      <c r="D725" s="3" t="s">
        <v>36</v>
      </c>
      <c r="E725" s="3" t="s">
        <v>36</v>
      </c>
      <c r="F725">
        <v>6</v>
      </c>
      <c r="G725" s="7">
        <v>30961</v>
      </c>
      <c r="H725">
        <v>3</v>
      </c>
      <c r="I725" s="3" t="s">
        <v>9099</v>
      </c>
      <c r="J725" s="3" t="s">
        <v>10</v>
      </c>
      <c r="K725" s="3" t="s">
        <v>15</v>
      </c>
      <c r="L725" s="3" t="s">
        <v>12</v>
      </c>
      <c r="M725">
        <v>42</v>
      </c>
      <c r="N725" s="3"/>
    </row>
    <row r="726" spans="1:14" x14ac:dyDescent="0.25">
      <c r="A726" s="3" t="s">
        <v>757</v>
      </c>
      <c r="B726">
        <v>1985</v>
      </c>
      <c r="C726">
        <v>1985</v>
      </c>
      <c r="D726" s="3" t="s">
        <v>34</v>
      </c>
      <c r="E726" s="3" t="s">
        <v>34</v>
      </c>
      <c r="F726">
        <v>9</v>
      </c>
      <c r="G726" s="7">
        <v>31268</v>
      </c>
      <c r="H726">
        <v>3</v>
      </c>
      <c r="I726" s="3" t="s">
        <v>9100</v>
      </c>
      <c r="J726" s="3" t="s">
        <v>10</v>
      </c>
      <c r="K726" s="3" t="s">
        <v>10</v>
      </c>
      <c r="L726" s="3" t="s">
        <v>22</v>
      </c>
      <c r="M726">
        <v>41</v>
      </c>
      <c r="N726" s="3"/>
    </row>
    <row r="727" spans="1:14" x14ac:dyDescent="0.25">
      <c r="A727" s="3" t="s">
        <v>758</v>
      </c>
      <c r="B727">
        <v>1970</v>
      </c>
      <c r="C727">
        <v>1970</v>
      </c>
      <c r="D727" s="3" t="s">
        <v>36</v>
      </c>
      <c r="E727" s="3" t="s">
        <v>36</v>
      </c>
      <c r="F727">
        <v>5</v>
      </c>
      <c r="G727" s="7">
        <v>25846</v>
      </c>
      <c r="H727">
        <v>0</v>
      </c>
      <c r="I727" s="3" t="s">
        <v>9101</v>
      </c>
      <c r="J727" s="3" t="s">
        <v>10</v>
      </c>
      <c r="K727" s="3" t="s">
        <v>10</v>
      </c>
      <c r="L727" s="3" t="s">
        <v>22</v>
      </c>
      <c r="M727">
        <v>56</v>
      </c>
      <c r="N727" s="3"/>
    </row>
    <row r="728" spans="1:14" x14ac:dyDescent="0.25">
      <c r="A728" s="3" t="s">
        <v>759</v>
      </c>
      <c r="B728">
        <v>1988</v>
      </c>
      <c r="C728">
        <v>1988</v>
      </c>
      <c r="D728" s="3" t="s">
        <v>14</v>
      </c>
      <c r="E728" s="3" t="s">
        <v>14</v>
      </c>
      <c r="F728">
        <v>1</v>
      </c>
      <c r="G728" s="7">
        <v>32448</v>
      </c>
      <c r="H728">
        <v>3</v>
      </c>
      <c r="I728" s="3" t="s">
        <v>9102</v>
      </c>
      <c r="J728" s="3" t="s">
        <v>10</v>
      </c>
      <c r="K728" s="3" t="s">
        <v>11</v>
      </c>
      <c r="L728" s="3" t="s">
        <v>12</v>
      </c>
      <c r="M728">
        <v>38</v>
      </c>
      <c r="N728" s="3"/>
    </row>
    <row r="729" spans="1:14" x14ac:dyDescent="0.25">
      <c r="A729" s="3" t="s">
        <v>760</v>
      </c>
      <c r="B729">
        <v>1981</v>
      </c>
      <c r="C729">
        <v>1981</v>
      </c>
      <c r="D729" s="3" t="s">
        <v>14</v>
      </c>
      <c r="E729" s="3" t="s">
        <v>14</v>
      </c>
      <c r="F729">
        <v>22</v>
      </c>
      <c r="G729" s="7">
        <v>29912</v>
      </c>
      <c r="H729">
        <v>0</v>
      </c>
      <c r="I729" s="3" t="s">
        <v>9103</v>
      </c>
      <c r="J729" s="3" t="s">
        <v>10</v>
      </c>
      <c r="K729" s="3" t="s">
        <v>15</v>
      </c>
      <c r="L729" s="3" t="s">
        <v>12</v>
      </c>
      <c r="M729">
        <v>45</v>
      </c>
      <c r="N729" s="3"/>
    </row>
    <row r="730" spans="1:14" x14ac:dyDescent="0.25">
      <c r="A730" s="3" t="s">
        <v>761</v>
      </c>
      <c r="B730">
        <v>1981</v>
      </c>
      <c r="C730">
        <v>1981</v>
      </c>
      <c r="D730" s="3" t="s">
        <v>36</v>
      </c>
      <c r="E730" s="3" t="s">
        <v>36</v>
      </c>
      <c r="F730">
        <v>1</v>
      </c>
      <c r="G730" s="7">
        <v>29860</v>
      </c>
      <c r="H730">
        <v>0</v>
      </c>
      <c r="I730" s="3" t="s">
        <v>9104</v>
      </c>
      <c r="J730" s="3" t="s">
        <v>10</v>
      </c>
      <c r="K730" s="3" t="s">
        <v>11</v>
      </c>
      <c r="L730" s="3" t="s">
        <v>41</v>
      </c>
      <c r="M730">
        <v>45</v>
      </c>
      <c r="N730" s="3"/>
    </row>
    <row r="731" spans="1:14" x14ac:dyDescent="0.25">
      <c r="A731" s="3" t="s">
        <v>762</v>
      </c>
      <c r="B731">
        <v>1988</v>
      </c>
      <c r="C731">
        <v>1988</v>
      </c>
      <c r="D731" s="3" t="s">
        <v>36</v>
      </c>
      <c r="E731" s="3" t="s">
        <v>36</v>
      </c>
      <c r="F731">
        <v>23</v>
      </c>
      <c r="G731" s="7">
        <v>32439</v>
      </c>
      <c r="H731">
        <v>3</v>
      </c>
      <c r="I731" s="3" t="s">
        <v>9105</v>
      </c>
      <c r="J731" s="3" t="s">
        <v>10</v>
      </c>
      <c r="K731" s="3" t="s">
        <v>15</v>
      </c>
      <c r="L731" s="3" t="s">
        <v>41</v>
      </c>
      <c r="M731">
        <v>38</v>
      </c>
      <c r="N731" s="3"/>
    </row>
    <row r="732" spans="1:14" x14ac:dyDescent="0.25">
      <c r="A732" s="3" t="s">
        <v>763</v>
      </c>
      <c r="B732">
        <v>1985</v>
      </c>
      <c r="C732">
        <v>1985</v>
      </c>
      <c r="D732" s="3" t="s">
        <v>9</v>
      </c>
      <c r="E732" s="3" t="s">
        <v>9</v>
      </c>
      <c r="F732">
        <v>22</v>
      </c>
      <c r="G732" s="7">
        <v>31250</v>
      </c>
      <c r="H732">
        <v>2</v>
      </c>
      <c r="I732" s="3" t="s">
        <v>9106</v>
      </c>
      <c r="J732" s="3" t="s">
        <v>10</v>
      </c>
      <c r="K732" s="3" t="s">
        <v>15</v>
      </c>
      <c r="L732" s="3" t="s">
        <v>22</v>
      </c>
      <c r="M732">
        <v>41</v>
      </c>
      <c r="N732" s="3"/>
    </row>
    <row r="733" spans="1:14" x14ac:dyDescent="0.25">
      <c r="A733" s="3" t="s">
        <v>30</v>
      </c>
      <c r="B733">
        <v>1985</v>
      </c>
      <c r="C733">
        <v>1985</v>
      </c>
      <c r="D733" s="3" t="s">
        <v>29</v>
      </c>
      <c r="E733" s="3" t="s">
        <v>29</v>
      </c>
      <c r="F733">
        <v>20</v>
      </c>
      <c r="G733" s="7">
        <v>31401</v>
      </c>
      <c r="H733">
        <v>2</v>
      </c>
      <c r="I733" s="3" t="s">
        <v>9107</v>
      </c>
      <c r="J733" s="3" t="s">
        <v>15</v>
      </c>
      <c r="K733" s="3" t="s">
        <v>10</v>
      </c>
      <c r="L733" s="3" t="s">
        <v>22</v>
      </c>
      <c r="M733">
        <v>41</v>
      </c>
      <c r="N733" s="3"/>
    </row>
    <row r="734" spans="1:14" x14ac:dyDescent="0.25">
      <c r="A734" s="3" t="s">
        <v>764</v>
      </c>
      <c r="B734">
        <v>1985</v>
      </c>
      <c r="C734">
        <v>1985</v>
      </c>
      <c r="D734" s="3" t="s">
        <v>19</v>
      </c>
      <c r="E734" s="3" t="s">
        <v>19</v>
      </c>
      <c r="F734">
        <v>22</v>
      </c>
      <c r="G734" s="7">
        <v>31312</v>
      </c>
      <c r="H734">
        <v>2</v>
      </c>
      <c r="I734" s="3" t="s">
        <v>9107</v>
      </c>
      <c r="J734" s="3" t="s">
        <v>10</v>
      </c>
      <c r="K734" s="3" t="s">
        <v>10</v>
      </c>
      <c r="L734" s="3" t="s">
        <v>22</v>
      </c>
      <c r="M734">
        <v>41</v>
      </c>
      <c r="N734" s="3"/>
    </row>
    <row r="735" spans="1:14" x14ac:dyDescent="0.25">
      <c r="A735" s="3" t="s">
        <v>765</v>
      </c>
      <c r="B735">
        <v>1999</v>
      </c>
      <c r="C735">
        <v>1999</v>
      </c>
      <c r="D735" s="3" t="s">
        <v>19</v>
      </c>
      <c r="E735" s="3" t="s">
        <v>19</v>
      </c>
      <c r="F735">
        <v>10</v>
      </c>
      <c r="G735" s="7">
        <v>36413</v>
      </c>
      <c r="H735">
        <v>0</v>
      </c>
      <c r="I735" s="3" t="s">
        <v>9108</v>
      </c>
      <c r="J735" s="3" t="s">
        <v>10</v>
      </c>
      <c r="K735" s="3" t="s">
        <v>10</v>
      </c>
      <c r="L735" s="3" t="s">
        <v>534</v>
      </c>
      <c r="M735">
        <v>27</v>
      </c>
      <c r="N735" s="3"/>
    </row>
    <row r="736" spans="1:14" x14ac:dyDescent="0.25">
      <c r="A736" s="3" t="s">
        <v>766</v>
      </c>
      <c r="B736">
        <v>1992</v>
      </c>
      <c r="C736">
        <v>1992</v>
      </c>
      <c r="D736" s="3" t="s">
        <v>34</v>
      </c>
      <c r="E736" s="3" t="s">
        <v>34</v>
      </c>
      <c r="F736">
        <v>12</v>
      </c>
      <c r="G736" s="7">
        <v>33828</v>
      </c>
      <c r="H736">
        <v>0</v>
      </c>
      <c r="I736" s="3" t="s">
        <v>9109</v>
      </c>
      <c r="J736" s="3" t="s">
        <v>10</v>
      </c>
      <c r="K736" s="3" t="s">
        <v>15</v>
      </c>
      <c r="L736" s="3" t="s">
        <v>299</v>
      </c>
      <c r="M736">
        <v>34</v>
      </c>
      <c r="N736" s="3"/>
    </row>
    <row r="737" spans="1:14" x14ac:dyDescent="0.25">
      <c r="A737" s="3" t="s">
        <v>767</v>
      </c>
      <c r="B737">
        <v>1972</v>
      </c>
      <c r="C737">
        <v>1972</v>
      </c>
      <c r="D737" s="3" t="s">
        <v>17</v>
      </c>
      <c r="E737" s="3" t="s">
        <v>17</v>
      </c>
      <c r="F737">
        <v>29</v>
      </c>
      <c r="G737" s="7">
        <v>26479</v>
      </c>
      <c r="H737">
        <v>0</v>
      </c>
      <c r="I737" s="3" t="s">
        <v>9110</v>
      </c>
      <c r="J737" s="3" t="s">
        <v>10</v>
      </c>
      <c r="K737" s="3" t="s">
        <v>10</v>
      </c>
      <c r="L737" s="3" t="s">
        <v>12</v>
      </c>
      <c r="M737">
        <v>54</v>
      </c>
      <c r="N737" s="3"/>
    </row>
    <row r="738" spans="1:14" x14ac:dyDescent="0.25">
      <c r="A738" s="3" t="s">
        <v>768</v>
      </c>
      <c r="B738">
        <v>1978</v>
      </c>
      <c r="C738">
        <v>1978</v>
      </c>
      <c r="D738" s="3" t="s">
        <v>19</v>
      </c>
      <c r="E738" s="3" t="s">
        <v>19</v>
      </c>
      <c r="F738">
        <v>19</v>
      </c>
      <c r="G738" s="7">
        <v>28752</v>
      </c>
      <c r="H738">
        <v>2</v>
      </c>
      <c r="I738" s="3" t="s">
        <v>9111</v>
      </c>
      <c r="J738" s="3" t="s">
        <v>10</v>
      </c>
      <c r="K738" s="3" t="s">
        <v>10</v>
      </c>
      <c r="L738" s="3" t="s">
        <v>12</v>
      </c>
      <c r="M738">
        <v>48</v>
      </c>
      <c r="N738" s="3"/>
    </row>
    <row r="739" spans="1:14" x14ac:dyDescent="0.25">
      <c r="A739" s="3" t="s">
        <v>769</v>
      </c>
      <c r="B739">
        <v>1983</v>
      </c>
      <c r="C739">
        <v>1983</v>
      </c>
      <c r="D739" s="3" t="s">
        <v>34</v>
      </c>
      <c r="E739" s="3" t="s">
        <v>34</v>
      </c>
      <c r="F739">
        <v>11</v>
      </c>
      <c r="G739" s="7">
        <v>30539</v>
      </c>
      <c r="H739">
        <v>1</v>
      </c>
      <c r="I739" s="3" t="s">
        <v>9112</v>
      </c>
      <c r="J739" s="3" t="s">
        <v>10</v>
      </c>
      <c r="K739" s="3" t="s">
        <v>15</v>
      </c>
      <c r="L739" s="3" t="s">
        <v>41</v>
      </c>
      <c r="M739">
        <v>43</v>
      </c>
      <c r="N739" s="3"/>
    </row>
    <row r="740" spans="1:14" x14ac:dyDescent="0.25">
      <c r="A740" s="3" t="s">
        <v>770</v>
      </c>
      <c r="B740">
        <v>1979</v>
      </c>
      <c r="C740">
        <v>1979</v>
      </c>
      <c r="D740" s="3" t="s">
        <v>36</v>
      </c>
      <c r="E740" s="3" t="s">
        <v>36</v>
      </c>
      <c r="F740">
        <v>10</v>
      </c>
      <c r="G740" s="7">
        <v>29138</v>
      </c>
      <c r="H740">
        <v>0</v>
      </c>
      <c r="I740" s="3" t="s">
        <v>9113</v>
      </c>
      <c r="J740" s="3" t="s">
        <v>10</v>
      </c>
      <c r="K740" s="3" t="s">
        <v>15</v>
      </c>
      <c r="L740" s="3" t="s">
        <v>41</v>
      </c>
      <c r="M740">
        <v>47</v>
      </c>
      <c r="N740" s="3"/>
    </row>
    <row r="741" spans="1:14" x14ac:dyDescent="0.25">
      <c r="A741" s="3" t="s">
        <v>771</v>
      </c>
      <c r="B741">
        <v>1972</v>
      </c>
      <c r="C741">
        <v>1972</v>
      </c>
      <c r="D741" s="3" t="s">
        <v>14</v>
      </c>
      <c r="E741" s="3" t="s">
        <v>14</v>
      </c>
      <c r="F741">
        <v>11</v>
      </c>
      <c r="G741" s="7">
        <v>26614</v>
      </c>
      <c r="H741">
        <v>0</v>
      </c>
      <c r="I741" s="3" t="s">
        <v>9114</v>
      </c>
      <c r="J741" s="3" t="s">
        <v>10</v>
      </c>
      <c r="K741" s="3" t="s">
        <v>10</v>
      </c>
      <c r="L741" s="3" t="s">
        <v>12</v>
      </c>
      <c r="M741">
        <v>54</v>
      </c>
      <c r="N741" s="3"/>
    </row>
    <row r="742" spans="1:14" x14ac:dyDescent="0.25">
      <c r="A742" s="3" t="s">
        <v>772</v>
      </c>
      <c r="B742">
        <v>1972</v>
      </c>
      <c r="C742">
        <v>1972</v>
      </c>
      <c r="D742" s="3" t="s">
        <v>19</v>
      </c>
      <c r="E742" s="3" t="s">
        <v>19</v>
      </c>
      <c r="F742">
        <v>8</v>
      </c>
      <c r="G742" s="7">
        <v>26550</v>
      </c>
      <c r="H742">
        <v>0</v>
      </c>
      <c r="I742" s="3" t="s">
        <v>9115</v>
      </c>
      <c r="J742" s="3" t="s">
        <v>10</v>
      </c>
      <c r="K742" s="3" t="s">
        <v>10</v>
      </c>
      <c r="L742" s="3" t="s">
        <v>22</v>
      </c>
      <c r="M742">
        <v>54</v>
      </c>
      <c r="N742" s="3"/>
    </row>
    <row r="743" spans="1:14" x14ac:dyDescent="0.25">
      <c r="A743" s="3" t="s">
        <v>773</v>
      </c>
      <c r="B743">
        <v>1970</v>
      </c>
      <c r="C743">
        <v>1970</v>
      </c>
      <c r="D743" s="3" t="s">
        <v>36</v>
      </c>
      <c r="E743" s="3" t="s">
        <v>36</v>
      </c>
      <c r="F743">
        <v>11</v>
      </c>
      <c r="G743" s="7">
        <v>25852</v>
      </c>
      <c r="H743">
        <v>0</v>
      </c>
      <c r="I743" s="3" t="s">
        <v>9116</v>
      </c>
      <c r="J743" s="3" t="s">
        <v>10</v>
      </c>
      <c r="K743" s="3" t="s">
        <v>10</v>
      </c>
      <c r="L743" s="3" t="s">
        <v>12</v>
      </c>
      <c r="M743">
        <v>56</v>
      </c>
      <c r="N743" s="3"/>
    </row>
    <row r="744" spans="1:14" x14ac:dyDescent="0.25">
      <c r="A744" s="3" t="s">
        <v>774</v>
      </c>
      <c r="B744">
        <v>1995</v>
      </c>
      <c r="C744">
        <v>1995</v>
      </c>
      <c r="D744" s="3" t="s">
        <v>36</v>
      </c>
      <c r="E744" s="3" t="s">
        <v>36</v>
      </c>
      <c r="F744">
        <v>17</v>
      </c>
      <c r="G744" s="7">
        <v>34989</v>
      </c>
      <c r="H744">
        <v>0</v>
      </c>
      <c r="I744" s="3" t="s">
        <v>9117</v>
      </c>
      <c r="J744" s="3" t="s">
        <v>10</v>
      </c>
      <c r="K744" s="3" t="s">
        <v>15</v>
      </c>
      <c r="L744" s="3" t="s">
        <v>534</v>
      </c>
      <c r="M744">
        <v>31</v>
      </c>
      <c r="N744" s="3"/>
    </row>
    <row r="745" spans="1:14" x14ac:dyDescent="0.25">
      <c r="A745" s="3" t="s">
        <v>775</v>
      </c>
      <c r="B745">
        <v>1984</v>
      </c>
      <c r="C745">
        <v>1984</v>
      </c>
      <c r="D745" s="3" t="s">
        <v>19</v>
      </c>
      <c r="E745" s="3" t="s">
        <v>19</v>
      </c>
      <c r="F745">
        <v>25</v>
      </c>
      <c r="G745" s="7">
        <v>30950</v>
      </c>
      <c r="H745">
        <v>3</v>
      </c>
      <c r="I745" s="3" t="s">
        <v>9118</v>
      </c>
      <c r="J745" s="3" t="s">
        <v>10</v>
      </c>
      <c r="K745" s="3" t="s">
        <v>15</v>
      </c>
      <c r="L745" s="3" t="s">
        <v>12</v>
      </c>
      <c r="M745">
        <v>42</v>
      </c>
      <c r="N745" s="3"/>
    </row>
    <row r="746" spans="1:14" x14ac:dyDescent="0.25">
      <c r="A746" s="3" t="s">
        <v>776</v>
      </c>
      <c r="B746">
        <v>1981</v>
      </c>
      <c r="C746">
        <v>1981</v>
      </c>
      <c r="D746" s="3" t="s">
        <v>17</v>
      </c>
      <c r="E746" s="3" t="s">
        <v>17</v>
      </c>
      <c r="F746">
        <v>30</v>
      </c>
      <c r="G746" s="7">
        <v>29767</v>
      </c>
      <c r="H746">
        <v>1</v>
      </c>
      <c r="I746" s="3" t="s">
        <v>9119</v>
      </c>
      <c r="J746" s="3" t="s">
        <v>15</v>
      </c>
      <c r="K746" s="3" t="s">
        <v>11</v>
      </c>
      <c r="L746" s="3" t="s">
        <v>12</v>
      </c>
      <c r="M746">
        <v>45</v>
      </c>
      <c r="N746" s="3"/>
    </row>
    <row r="747" spans="1:14" x14ac:dyDescent="0.25">
      <c r="A747" s="3" t="s">
        <v>777</v>
      </c>
      <c r="B747">
        <v>1993</v>
      </c>
      <c r="C747">
        <v>1993</v>
      </c>
      <c r="D747" s="3" t="s">
        <v>36</v>
      </c>
      <c r="E747" s="3" t="s">
        <v>36</v>
      </c>
      <c r="F747">
        <v>16</v>
      </c>
      <c r="G747" s="7">
        <v>34258</v>
      </c>
      <c r="H747">
        <v>0</v>
      </c>
      <c r="I747" s="3" t="s">
        <v>9120</v>
      </c>
      <c r="J747" s="3" t="s">
        <v>10</v>
      </c>
      <c r="K747" s="3" t="s">
        <v>15</v>
      </c>
      <c r="L747" s="3" t="s">
        <v>199</v>
      </c>
      <c r="M747">
        <v>33</v>
      </c>
      <c r="N747" s="3"/>
    </row>
    <row r="748" spans="1:14" x14ac:dyDescent="0.25">
      <c r="A748" s="3" t="s">
        <v>778</v>
      </c>
      <c r="B748">
        <v>1981</v>
      </c>
      <c r="C748">
        <v>1981</v>
      </c>
      <c r="D748" s="3" t="s">
        <v>14</v>
      </c>
      <c r="E748" s="3" t="s">
        <v>14</v>
      </c>
      <c r="F748">
        <v>24</v>
      </c>
      <c r="G748" s="7">
        <v>29914</v>
      </c>
      <c r="H748">
        <v>1</v>
      </c>
      <c r="I748" s="3" t="s">
        <v>9121</v>
      </c>
      <c r="J748" s="3" t="s">
        <v>10</v>
      </c>
      <c r="K748" s="3" t="s">
        <v>15</v>
      </c>
      <c r="L748" s="3" t="s">
        <v>41</v>
      </c>
      <c r="M748">
        <v>45</v>
      </c>
      <c r="N748" s="3"/>
    </row>
    <row r="749" spans="1:14" x14ac:dyDescent="0.25">
      <c r="A749" s="3" t="s">
        <v>779</v>
      </c>
      <c r="B749">
        <v>1981</v>
      </c>
      <c r="C749">
        <v>1981</v>
      </c>
      <c r="D749" s="3" t="s">
        <v>34</v>
      </c>
      <c r="E749" s="3" t="s">
        <v>34</v>
      </c>
      <c r="F749">
        <v>26</v>
      </c>
      <c r="G749" s="7">
        <v>29824</v>
      </c>
      <c r="H749">
        <v>1</v>
      </c>
      <c r="I749" s="3" t="s">
        <v>9122</v>
      </c>
      <c r="J749" s="3" t="s">
        <v>10</v>
      </c>
      <c r="K749" s="3" t="s">
        <v>11</v>
      </c>
      <c r="L749" s="3" t="s">
        <v>12</v>
      </c>
      <c r="M749">
        <v>45</v>
      </c>
      <c r="N749" s="3"/>
    </row>
    <row r="750" spans="1:14" x14ac:dyDescent="0.25">
      <c r="A750" s="3" t="s">
        <v>780</v>
      </c>
      <c r="B750">
        <v>1996</v>
      </c>
      <c r="C750">
        <v>1996</v>
      </c>
      <c r="D750" s="3" t="s">
        <v>9</v>
      </c>
      <c r="E750" s="3" t="s">
        <v>9</v>
      </c>
      <c r="F750">
        <v>4</v>
      </c>
      <c r="G750" s="7">
        <v>35250</v>
      </c>
      <c r="H750">
        <v>0</v>
      </c>
      <c r="I750" s="3" t="s">
        <v>9123</v>
      </c>
      <c r="J750" s="3" t="s">
        <v>10</v>
      </c>
      <c r="K750" s="3" t="s">
        <v>11</v>
      </c>
      <c r="L750" s="3" t="s">
        <v>299</v>
      </c>
      <c r="M750">
        <v>30</v>
      </c>
      <c r="N750" s="3"/>
    </row>
    <row r="751" spans="1:14" x14ac:dyDescent="0.25">
      <c r="A751" s="3" t="s">
        <v>781</v>
      </c>
      <c r="B751">
        <v>1974</v>
      </c>
      <c r="C751">
        <v>1974</v>
      </c>
      <c r="D751" s="3" t="s">
        <v>19</v>
      </c>
      <c r="E751" s="3" t="s">
        <v>19</v>
      </c>
      <c r="F751">
        <v>17</v>
      </c>
      <c r="G751" s="7">
        <v>27289</v>
      </c>
      <c r="H751">
        <v>0</v>
      </c>
      <c r="I751" s="3" t="s">
        <v>9124</v>
      </c>
      <c r="J751" s="3" t="s">
        <v>10</v>
      </c>
      <c r="K751" s="3" t="s">
        <v>15</v>
      </c>
      <c r="L751" s="3" t="s">
        <v>12</v>
      </c>
      <c r="M751">
        <v>52</v>
      </c>
      <c r="N751" s="3"/>
    </row>
    <row r="752" spans="1:14" x14ac:dyDescent="0.25">
      <c r="A752" s="3" t="s">
        <v>782</v>
      </c>
      <c r="B752">
        <v>1969</v>
      </c>
      <c r="C752">
        <v>1969</v>
      </c>
      <c r="D752" s="3" t="s">
        <v>19</v>
      </c>
      <c r="E752" s="3" t="s">
        <v>19</v>
      </c>
      <c r="F752">
        <v>4</v>
      </c>
      <c r="G752" s="7">
        <v>25450</v>
      </c>
      <c r="H752">
        <v>0</v>
      </c>
      <c r="I752" s="3" t="s">
        <v>9125</v>
      </c>
      <c r="J752" s="3" t="s">
        <v>10</v>
      </c>
      <c r="K752" s="3" t="s">
        <v>10</v>
      </c>
      <c r="L752" s="3" t="s">
        <v>22</v>
      </c>
      <c r="M752">
        <v>57</v>
      </c>
      <c r="N752" s="3"/>
    </row>
    <row r="753" spans="1:14" x14ac:dyDescent="0.25">
      <c r="A753" s="3" t="s">
        <v>783</v>
      </c>
      <c r="B753">
        <v>2004</v>
      </c>
      <c r="C753">
        <v>2004</v>
      </c>
      <c r="D753" s="3" t="s">
        <v>9</v>
      </c>
      <c r="E753" s="3" t="s">
        <v>9</v>
      </c>
      <c r="F753">
        <v>27</v>
      </c>
      <c r="G753" s="7">
        <v>38195</v>
      </c>
      <c r="H753">
        <v>0</v>
      </c>
      <c r="I753" s="3" t="s">
        <v>9126</v>
      </c>
      <c r="J753" s="3" t="s">
        <v>10</v>
      </c>
      <c r="K753" s="3" t="s">
        <v>10</v>
      </c>
      <c r="L753" s="3" t="s">
        <v>41</v>
      </c>
      <c r="M753">
        <v>22</v>
      </c>
      <c r="N753" s="3"/>
    </row>
    <row r="754" spans="1:14" x14ac:dyDescent="0.25">
      <c r="A754" s="3" t="s">
        <v>784</v>
      </c>
      <c r="B754">
        <v>1985</v>
      </c>
      <c r="C754">
        <v>1985</v>
      </c>
      <c r="D754" s="3" t="s">
        <v>14</v>
      </c>
      <c r="E754" s="3" t="s">
        <v>14</v>
      </c>
      <c r="F754">
        <v>19</v>
      </c>
      <c r="G754" s="7">
        <v>31370</v>
      </c>
      <c r="H754">
        <v>2</v>
      </c>
      <c r="I754" s="3" t="s">
        <v>9127</v>
      </c>
      <c r="J754" s="3" t="s">
        <v>10</v>
      </c>
      <c r="K754" s="3" t="s">
        <v>15</v>
      </c>
      <c r="L754" s="3" t="s">
        <v>41</v>
      </c>
      <c r="M754">
        <v>41</v>
      </c>
      <c r="N754" s="3"/>
    </row>
    <row r="755" spans="1:14" x14ac:dyDescent="0.25">
      <c r="A755" s="3" t="s">
        <v>785</v>
      </c>
      <c r="B755">
        <v>1985</v>
      </c>
      <c r="C755">
        <v>1985</v>
      </c>
      <c r="D755" s="3" t="s">
        <v>29</v>
      </c>
      <c r="E755" s="3" t="s">
        <v>29</v>
      </c>
      <c r="F755">
        <v>15</v>
      </c>
      <c r="G755" s="7">
        <v>31396</v>
      </c>
      <c r="H755">
        <v>2</v>
      </c>
      <c r="I755" s="3" t="s">
        <v>9128</v>
      </c>
      <c r="J755" s="3" t="s">
        <v>10</v>
      </c>
      <c r="K755" s="3" t="s">
        <v>15</v>
      </c>
      <c r="L755" s="3" t="s">
        <v>12</v>
      </c>
      <c r="M755">
        <v>41</v>
      </c>
      <c r="N755" s="3"/>
    </row>
    <row r="756" spans="1:14" x14ac:dyDescent="0.25">
      <c r="A756" s="3" t="s">
        <v>786</v>
      </c>
      <c r="B756">
        <v>1990</v>
      </c>
      <c r="C756">
        <v>1990</v>
      </c>
      <c r="D756" s="3" t="s">
        <v>34</v>
      </c>
      <c r="E756" s="3" t="s">
        <v>34</v>
      </c>
      <c r="F756">
        <v>13</v>
      </c>
      <c r="G756" s="7">
        <v>33098</v>
      </c>
      <c r="H756">
        <v>3</v>
      </c>
      <c r="I756" s="3" t="s">
        <v>9129</v>
      </c>
      <c r="J756" s="3" t="s">
        <v>10</v>
      </c>
      <c r="K756" s="3" t="s">
        <v>10</v>
      </c>
      <c r="L756" s="3" t="s">
        <v>246</v>
      </c>
      <c r="M756">
        <v>36</v>
      </c>
      <c r="N756" s="3"/>
    </row>
    <row r="757" spans="1:14" x14ac:dyDescent="0.25">
      <c r="A757" s="3" t="s">
        <v>787</v>
      </c>
      <c r="B757">
        <v>1986</v>
      </c>
      <c r="C757">
        <v>1986</v>
      </c>
      <c r="D757" s="3" t="s">
        <v>19</v>
      </c>
      <c r="E757" s="3" t="s">
        <v>19</v>
      </c>
      <c r="F757">
        <v>25</v>
      </c>
      <c r="G757" s="7">
        <v>31680</v>
      </c>
      <c r="H757">
        <v>3</v>
      </c>
      <c r="I757" s="3" t="s">
        <v>9130</v>
      </c>
      <c r="J757" s="3" t="s">
        <v>10</v>
      </c>
      <c r="K757" s="3" t="s">
        <v>10</v>
      </c>
      <c r="L757" s="3" t="s">
        <v>12</v>
      </c>
      <c r="M757">
        <v>40</v>
      </c>
      <c r="N757" s="3"/>
    </row>
    <row r="758" spans="1:14" x14ac:dyDescent="0.25">
      <c r="A758" s="3" t="s">
        <v>788</v>
      </c>
      <c r="B758">
        <v>1983</v>
      </c>
      <c r="C758">
        <v>1983</v>
      </c>
      <c r="D758" s="3" t="s">
        <v>36</v>
      </c>
      <c r="E758" s="3" t="s">
        <v>36</v>
      </c>
      <c r="F758">
        <v>21</v>
      </c>
      <c r="G758" s="7">
        <v>30610</v>
      </c>
      <c r="H758">
        <v>2</v>
      </c>
      <c r="I758" s="3" t="s">
        <v>9131</v>
      </c>
      <c r="J758" s="3" t="s">
        <v>10</v>
      </c>
      <c r="K758" s="3" t="s">
        <v>15</v>
      </c>
      <c r="L758" s="3" t="s">
        <v>12</v>
      </c>
      <c r="M758">
        <v>43</v>
      </c>
      <c r="N758" s="3"/>
    </row>
    <row r="759" spans="1:14" x14ac:dyDescent="0.25">
      <c r="A759" s="3" t="s">
        <v>789</v>
      </c>
      <c r="B759">
        <v>1983</v>
      </c>
      <c r="C759">
        <v>1983</v>
      </c>
      <c r="D759" s="3" t="s">
        <v>34</v>
      </c>
      <c r="E759" s="3" t="s">
        <v>34</v>
      </c>
      <c r="F759">
        <v>19</v>
      </c>
      <c r="G759" s="7">
        <v>30547</v>
      </c>
      <c r="H759">
        <v>2</v>
      </c>
      <c r="I759" s="3" t="s">
        <v>9132</v>
      </c>
      <c r="J759" s="3" t="s">
        <v>11</v>
      </c>
      <c r="K759" s="3" t="s">
        <v>10</v>
      </c>
      <c r="L759" s="3" t="s">
        <v>12</v>
      </c>
      <c r="M759">
        <v>43</v>
      </c>
      <c r="N759" s="3"/>
    </row>
    <row r="760" spans="1:14" x14ac:dyDescent="0.25">
      <c r="A760" s="3" t="s">
        <v>790</v>
      </c>
      <c r="B760">
        <v>1980</v>
      </c>
      <c r="C760">
        <v>1980</v>
      </c>
      <c r="D760" s="3" t="s">
        <v>36</v>
      </c>
      <c r="E760" s="3" t="s">
        <v>36</v>
      </c>
      <c r="F760">
        <v>30</v>
      </c>
      <c r="G760" s="7">
        <v>29524</v>
      </c>
      <c r="H760">
        <v>0</v>
      </c>
      <c r="I760" s="3" t="s">
        <v>9133</v>
      </c>
      <c r="J760" s="3" t="s">
        <v>10</v>
      </c>
      <c r="K760" s="3" t="s">
        <v>15</v>
      </c>
      <c r="L760" s="3" t="s">
        <v>22</v>
      </c>
      <c r="M760">
        <v>46</v>
      </c>
      <c r="N760" s="3"/>
    </row>
    <row r="761" spans="1:14" x14ac:dyDescent="0.25">
      <c r="A761" s="3" t="s">
        <v>791</v>
      </c>
      <c r="B761">
        <v>1989</v>
      </c>
      <c r="C761">
        <v>1989</v>
      </c>
      <c r="D761" s="3" t="s">
        <v>17</v>
      </c>
      <c r="E761" s="3" t="s">
        <v>17</v>
      </c>
      <c r="F761">
        <v>24</v>
      </c>
      <c r="G761" s="7">
        <v>32683</v>
      </c>
      <c r="H761">
        <v>3</v>
      </c>
      <c r="I761" s="3" t="s">
        <v>9134</v>
      </c>
      <c r="J761" s="3" t="s">
        <v>10</v>
      </c>
      <c r="K761" s="3" t="s">
        <v>10</v>
      </c>
      <c r="L761" s="3" t="s">
        <v>22</v>
      </c>
      <c r="M761">
        <v>37</v>
      </c>
      <c r="N761" s="3"/>
    </row>
    <row r="762" spans="1:14" x14ac:dyDescent="0.25">
      <c r="A762" s="3" t="s">
        <v>792</v>
      </c>
      <c r="B762">
        <v>1996</v>
      </c>
      <c r="C762">
        <v>1996</v>
      </c>
      <c r="D762" s="3" t="s">
        <v>9</v>
      </c>
      <c r="E762" s="3" t="s">
        <v>9</v>
      </c>
      <c r="F762">
        <v>7</v>
      </c>
      <c r="G762" s="7">
        <v>35253</v>
      </c>
      <c r="H762">
        <v>0</v>
      </c>
      <c r="I762" s="3" t="s">
        <v>9135</v>
      </c>
      <c r="J762" s="3" t="s">
        <v>10</v>
      </c>
      <c r="K762" s="3" t="s">
        <v>11</v>
      </c>
      <c r="L762" s="3" t="s">
        <v>299</v>
      </c>
      <c r="M762">
        <v>30</v>
      </c>
      <c r="N762" s="3"/>
    </row>
    <row r="763" spans="1:14" x14ac:dyDescent="0.25">
      <c r="A763" s="3" t="s">
        <v>793</v>
      </c>
      <c r="B763">
        <v>1970</v>
      </c>
      <c r="C763">
        <v>1970</v>
      </c>
      <c r="D763" s="3" t="s">
        <v>14</v>
      </c>
      <c r="E763" s="3" t="s">
        <v>14</v>
      </c>
      <c r="F763">
        <v>9</v>
      </c>
      <c r="G763" s="7">
        <v>25881</v>
      </c>
      <c r="H763">
        <v>0</v>
      </c>
      <c r="I763" s="3" t="s">
        <v>9136</v>
      </c>
      <c r="J763" s="3" t="s">
        <v>10</v>
      </c>
      <c r="K763" s="3" t="s">
        <v>15</v>
      </c>
      <c r="L763" s="3" t="s">
        <v>12</v>
      </c>
      <c r="M763">
        <v>56</v>
      </c>
      <c r="N763" s="3"/>
    </row>
    <row r="764" spans="1:14" x14ac:dyDescent="0.25">
      <c r="A764" s="3" t="s">
        <v>794</v>
      </c>
      <c r="B764">
        <v>1984</v>
      </c>
      <c r="C764">
        <v>1984</v>
      </c>
      <c r="D764" s="3" t="s">
        <v>34</v>
      </c>
      <c r="E764" s="3" t="s">
        <v>34</v>
      </c>
      <c r="F764">
        <v>13</v>
      </c>
      <c r="G764" s="7">
        <v>30907</v>
      </c>
      <c r="H764">
        <v>1</v>
      </c>
      <c r="I764" s="3" t="s">
        <v>9137</v>
      </c>
      <c r="J764" s="3" t="s">
        <v>10</v>
      </c>
      <c r="K764" s="3" t="s">
        <v>15</v>
      </c>
      <c r="L764" s="3" t="s">
        <v>22</v>
      </c>
      <c r="M764">
        <v>42</v>
      </c>
      <c r="N764" s="3"/>
    </row>
    <row r="765" spans="1:14" x14ac:dyDescent="0.25">
      <c r="A765" s="3" t="s">
        <v>795</v>
      </c>
      <c r="B765">
        <v>1976</v>
      </c>
      <c r="C765">
        <v>1976</v>
      </c>
      <c r="D765" s="3" t="s">
        <v>14</v>
      </c>
      <c r="E765" s="3" t="s">
        <v>14</v>
      </c>
      <c r="F765">
        <v>18</v>
      </c>
      <c r="G765" s="7">
        <v>28082</v>
      </c>
      <c r="H765">
        <v>2</v>
      </c>
      <c r="I765" s="3" t="s">
        <v>9138</v>
      </c>
      <c r="J765" s="3" t="s">
        <v>10</v>
      </c>
      <c r="K765" s="3" t="s">
        <v>10</v>
      </c>
      <c r="L765" s="3" t="s">
        <v>12</v>
      </c>
      <c r="M765">
        <v>50</v>
      </c>
      <c r="N765" s="3"/>
    </row>
    <row r="766" spans="1:14" x14ac:dyDescent="0.25">
      <c r="A766" s="3" t="s">
        <v>796</v>
      </c>
      <c r="B766">
        <v>1982</v>
      </c>
      <c r="C766">
        <v>1982</v>
      </c>
      <c r="D766" s="3" t="s">
        <v>34</v>
      </c>
      <c r="E766" s="3" t="s">
        <v>34</v>
      </c>
      <c r="F766">
        <v>6</v>
      </c>
      <c r="G766" s="7">
        <v>30169</v>
      </c>
      <c r="H766">
        <v>1</v>
      </c>
      <c r="I766" s="3" t="s">
        <v>9139</v>
      </c>
      <c r="J766" s="3" t="s">
        <v>15</v>
      </c>
      <c r="K766" s="3" t="s">
        <v>10</v>
      </c>
      <c r="L766" s="3" t="s">
        <v>22</v>
      </c>
      <c r="M766">
        <v>44</v>
      </c>
      <c r="N766" s="3"/>
    </row>
    <row r="767" spans="1:14" x14ac:dyDescent="0.25">
      <c r="A767" s="3" t="s">
        <v>797</v>
      </c>
      <c r="B767">
        <v>1997</v>
      </c>
      <c r="C767">
        <v>1997</v>
      </c>
      <c r="D767" s="3" t="s">
        <v>34</v>
      </c>
      <c r="E767" s="3" t="s">
        <v>34</v>
      </c>
      <c r="F767">
        <v>16</v>
      </c>
      <c r="G767" s="7">
        <v>35658</v>
      </c>
      <c r="H767">
        <v>0</v>
      </c>
      <c r="I767" s="3" t="s">
        <v>9140</v>
      </c>
      <c r="J767" s="3" t="s">
        <v>10</v>
      </c>
      <c r="K767" s="3" t="s">
        <v>10</v>
      </c>
      <c r="L767" s="3" t="s">
        <v>299</v>
      </c>
      <c r="M767">
        <v>29</v>
      </c>
      <c r="N767" s="3"/>
    </row>
    <row r="768" spans="1:14" x14ac:dyDescent="0.25">
      <c r="A768" s="3" t="s">
        <v>798</v>
      </c>
      <c r="B768">
        <v>1982</v>
      </c>
      <c r="C768">
        <v>1982</v>
      </c>
      <c r="D768" s="3" t="s">
        <v>36</v>
      </c>
      <c r="E768" s="3" t="s">
        <v>36</v>
      </c>
      <c r="F768">
        <v>28</v>
      </c>
      <c r="G768" s="7">
        <v>30252</v>
      </c>
      <c r="H768">
        <v>1</v>
      </c>
      <c r="I768" s="3" t="s">
        <v>9141</v>
      </c>
      <c r="J768" s="3" t="s">
        <v>10</v>
      </c>
      <c r="K768" s="3" t="s">
        <v>15</v>
      </c>
      <c r="L768" s="3" t="s">
        <v>22</v>
      </c>
      <c r="M768">
        <v>44</v>
      </c>
      <c r="N768" s="3"/>
    </row>
    <row r="769" spans="1:14" x14ac:dyDescent="0.25">
      <c r="A769" s="3" t="s">
        <v>799</v>
      </c>
      <c r="B769">
        <v>1987</v>
      </c>
      <c r="C769">
        <v>1987</v>
      </c>
      <c r="D769" s="3" t="s">
        <v>19</v>
      </c>
      <c r="E769" s="3" t="s">
        <v>19</v>
      </c>
      <c r="F769">
        <v>9</v>
      </c>
      <c r="G769" s="7">
        <v>32029</v>
      </c>
      <c r="H769">
        <v>2</v>
      </c>
      <c r="I769" s="3" t="s">
        <v>9142</v>
      </c>
      <c r="J769" s="3" t="s">
        <v>10</v>
      </c>
      <c r="K769" s="3" t="s">
        <v>11</v>
      </c>
      <c r="L769" s="3" t="s">
        <v>246</v>
      </c>
      <c r="M769">
        <v>39</v>
      </c>
      <c r="N769" s="3"/>
    </row>
    <row r="770" spans="1:14" x14ac:dyDescent="0.25">
      <c r="A770" s="3" t="s">
        <v>800</v>
      </c>
      <c r="B770">
        <v>1985</v>
      </c>
      <c r="C770">
        <v>1985</v>
      </c>
      <c r="D770" s="3" t="s">
        <v>29</v>
      </c>
      <c r="E770" s="3" t="s">
        <v>29</v>
      </c>
      <c r="F770">
        <v>10</v>
      </c>
      <c r="G770" s="7">
        <v>31391</v>
      </c>
      <c r="H770">
        <v>2</v>
      </c>
      <c r="I770" s="3" t="s">
        <v>9143</v>
      </c>
      <c r="J770" s="3" t="s">
        <v>15</v>
      </c>
      <c r="K770" s="3" t="s">
        <v>11</v>
      </c>
      <c r="L770" s="3" t="s">
        <v>275</v>
      </c>
      <c r="M770">
        <v>41</v>
      </c>
      <c r="N770" s="3"/>
    </row>
    <row r="771" spans="1:14" x14ac:dyDescent="0.25">
      <c r="A771" s="3" t="s">
        <v>801</v>
      </c>
      <c r="B771">
        <v>1970</v>
      </c>
      <c r="C771">
        <v>1970</v>
      </c>
      <c r="D771" s="3" t="s">
        <v>34</v>
      </c>
      <c r="E771" s="3" t="s">
        <v>34</v>
      </c>
      <c r="F771">
        <v>20</v>
      </c>
      <c r="G771" s="7">
        <v>25800</v>
      </c>
      <c r="H771">
        <v>0</v>
      </c>
      <c r="I771" s="3" t="s">
        <v>9144</v>
      </c>
      <c r="J771" s="3" t="s">
        <v>10</v>
      </c>
      <c r="K771" s="3" t="s">
        <v>15</v>
      </c>
      <c r="L771" s="3" t="s">
        <v>12</v>
      </c>
      <c r="M771">
        <v>56</v>
      </c>
      <c r="N771" s="3"/>
    </row>
    <row r="772" spans="1:14" x14ac:dyDescent="0.25">
      <c r="A772" s="3" t="s">
        <v>802</v>
      </c>
      <c r="B772">
        <v>1971</v>
      </c>
      <c r="C772">
        <v>1971</v>
      </c>
      <c r="D772" s="3" t="s">
        <v>34</v>
      </c>
      <c r="E772" s="3" t="s">
        <v>34</v>
      </c>
      <c r="F772">
        <v>22</v>
      </c>
      <c r="G772" s="7">
        <v>26167</v>
      </c>
      <c r="H772">
        <v>0</v>
      </c>
      <c r="I772" s="3" t="s">
        <v>9145</v>
      </c>
      <c r="J772" s="3" t="s">
        <v>10</v>
      </c>
      <c r="K772" s="3" t="s">
        <v>11</v>
      </c>
      <c r="L772" s="3" t="s">
        <v>12</v>
      </c>
      <c r="M772">
        <v>55</v>
      </c>
      <c r="N772" s="3"/>
    </row>
    <row r="773" spans="1:14" x14ac:dyDescent="0.25">
      <c r="A773" s="3" t="s">
        <v>803</v>
      </c>
      <c r="B773">
        <v>1987</v>
      </c>
      <c r="C773">
        <v>1987</v>
      </c>
      <c r="D773" s="3" t="s">
        <v>19</v>
      </c>
      <c r="E773" s="3" t="s">
        <v>19</v>
      </c>
      <c r="F773">
        <v>4</v>
      </c>
      <c r="G773" s="7">
        <v>32024</v>
      </c>
      <c r="H773">
        <v>3</v>
      </c>
      <c r="I773" s="3" t="s">
        <v>9146</v>
      </c>
      <c r="J773" s="3" t="s">
        <v>10</v>
      </c>
      <c r="K773" s="3" t="s">
        <v>10</v>
      </c>
      <c r="L773" s="3" t="s">
        <v>41</v>
      </c>
      <c r="M773">
        <v>39</v>
      </c>
      <c r="N773" s="3"/>
    </row>
    <row r="774" spans="1:14" x14ac:dyDescent="0.25">
      <c r="A774" s="3" t="s">
        <v>804</v>
      </c>
      <c r="B774">
        <v>1976</v>
      </c>
      <c r="C774">
        <v>1976</v>
      </c>
      <c r="D774" s="3" t="s">
        <v>29</v>
      </c>
      <c r="E774" s="3" t="s">
        <v>29</v>
      </c>
      <c r="F774">
        <v>30</v>
      </c>
      <c r="G774" s="7">
        <v>28124</v>
      </c>
      <c r="H774">
        <v>2</v>
      </c>
      <c r="I774" s="3" t="s">
        <v>9147</v>
      </c>
      <c r="J774" s="3" t="s">
        <v>10</v>
      </c>
      <c r="K774" s="3" t="s">
        <v>11</v>
      </c>
      <c r="L774" s="3" t="s">
        <v>12</v>
      </c>
      <c r="M774">
        <v>50</v>
      </c>
      <c r="N774" s="3"/>
    </row>
    <row r="775" spans="1:14" x14ac:dyDescent="0.25">
      <c r="A775" s="3" t="s">
        <v>805</v>
      </c>
      <c r="B775">
        <v>1975</v>
      </c>
      <c r="C775">
        <v>1975</v>
      </c>
      <c r="D775" s="3" t="s">
        <v>34</v>
      </c>
      <c r="E775" s="3" t="s">
        <v>34</v>
      </c>
      <c r="F775">
        <v>5</v>
      </c>
      <c r="G775" s="7">
        <v>27611</v>
      </c>
      <c r="H775">
        <v>1</v>
      </c>
      <c r="I775" s="3" t="s">
        <v>9148</v>
      </c>
      <c r="J775" s="3" t="s">
        <v>10</v>
      </c>
      <c r="K775" s="3" t="s">
        <v>11</v>
      </c>
      <c r="L775" s="3" t="s">
        <v>12</v>
      </c>
      <c r="M775">
        <v>51</v>
      </c>
      <c r="N775" s="3"/>
    </row>
    <row r="776" spans="1:14" x14ac:dyDescent="0.25">
      <c r="A776" s="3" t="s">
        <v>806</v>
      </c>
      <c r="B776">
        <v>1985</v>
      </c>
      <c r="C776">
        <v>1985</v>
      </c>
      <c r="D776" s="3" t="s">
        <v>9</v>
      </c>
      <c r="E776" s="3" t="s">
        <v>9</v>
      </c>
      <c r="F776">
        <v>22</v>
      </c>
      <c r="G776" s="7">
        <v>31250</v>
      </c>
      <c r="H776">
        <v>3</v>
      </c>
      <c r="I776" s="3" t="s">
        <v>9149</v>
      </c>
      <c r="J776" s="3" t="s">
        <v>11</v>
      </c>
      <c r="K776" s="3" t="s">
        <v>10</v>
      </c>
      <c r="L776" s="3" t="s">
        <v>12</v>
      </c>
      <c r="M776">
        <v>41</v>
      </c>
      <c r="N776" s="3"/>
    </row>
    <row r="777" spans="1:14" x14ac:dyDescent="0.25">
      <c r="A777" s="3" t="s">
        <v>807</v>
      </c>
      <c r="B777">
        <v>1984</v>
      </c>
      <c r="C777">
        <v>1984</v>
      </c>
      <c r="D777" s="3" t="s">
        <v>34</v>
      </c>
      <c r="E777" s="3" t="s">
        <v>34</v>
      </c>
      <c r="F777">
        <v>26</v>
      </c>
      <c r="G777" s="7">
        <v>30920</v>
      </c>
      <c r="H777">
        <v>2</v>
      </c>
      <c r="I777" s="3" t="s">
        <v>9150</v>
      </c>
      <c r="J777" s="3" t="s">
        <v>11</v>
      </c>
      <c r="K777" s="3" t="s">
        <v>11</v>
      </c>
      <c r="L777" s="3" t="s">
        <v>22</v>
      </c>
      <c r="M777">
        <v>42</v>
      </c>
      <c r="N777" s="3"/>
    </row>
    <row r="778" spans="1:14" x14ac:dyDescent="0.25">
      <c r="A778" s="3" t="s">
        <v>808</v>
      </c>
      <c r="B778">
        <v>1984</v>
      </c>
      <c r="C778">
        <v>1984</v>
      </c>
      <c r="D778" s="3" t="s">
        <v>14</v>
      </c>
      <c r="E778" s="3" t="s">
        <v>14</v>
      </c>
      <c r="F778">
        <v>1</v>
      </c>
      <c r="G778" s="7">
        <v>30987</v>
      </c>
      <c r="H778">
        <v>2</v>
      </c>
      <c r="I778" s="3" t="s">
        <v>9151</v>
      </c>
      <c r="J778" s="3" t="s">
        <v>10</v>
      </c>
      <c r="K778" s="3" t="s">
        <v>11</v>
      </c>
      <c r="L778" s="3" t="s">
        <v>22</v>
      </c>
      <c r="M778">
        <v>42</v>
      </c>
      <c r="N778" s="3"/>
    </row>
    <row r="779" spans="1:14" x14ac:dyDescent="0.25">
      <c r="A779" s="3" t="s">
        <v>809</v>
      </c>
      <c r="B779">
        <v>1981</v>
      </c>
      <c r="C779">
        <v>1981</v>
      </c>
      <c r="D779" s="3" t="s">
        <v>9</v>
      </c>
      <c r="E779" s="3" t="s">
        <v>9</v>
      </c>
      <c r="F779">
        <v>27</v>
      </c>
      <c r="G779" s="7">
        <v>29794</v>
      </c>
      <c r="H779">
        <v>1</v>
      </c>
      <c r="I779" s="3" t="s">
        <v>9152</v>
      </c>
      <c r="J779" s="3" t="s">
        <v>10</v>
      </c>
      <c r="K779" s="3" t="s">
        <v>10</v>
      </c>
      <c r="L779" s="3" t="s">
        <v>12</v>
      </c>
      <c r="M779">
        <v>45</v>
      </c>
      <c r="N779" s="3"/>
    </row>
    <row r="780" spans="1:14" x14ac:dyDescent="0.25">
      <c r="A780" s="3" t="s">
        <v>810</v>
      </c>
      <c r="B780">
        <v>1980</v>
      </c>
      <c r="C780">
        <v>1980</v>
      </c>
      <c r="D780" s="3" t="s">
        <v>17</v>
      </c>
      <c r="E780" s="3" t="s">
        <v>17</v>
      </c>
      <c r="F780">
        <v>8</v>
      </c>
      <c r="G780" s="7">
        <v>29380</v>
      </c>
      <c r="H780">
        <v>0</v>
      </c>
      <c r="I780" s="3" t="s">
        <v>9153</v>
      </c>
      <c r="J780" s="3" t="s">
        <v>10</v>
      </c>
      <c r="K780" s="3" t="s">
        <v>11</v>
      </c>
      <c r="L780" s="3" t="s">
        <v>41</v>
      </c>
      <c r="M780">
        <v>46</v>
      </c>
      <c r="N780" s="3"/>
    </row>
    <row r="781" spans="1:14" x14ac:dyDescent="0.25">
      <c r="A781" s="3" t="s">
        <v>811</v>
      </c>
      <c r="B781">
        <v>1970</v>
      </c>
      <c r="C781">
        <v>1970</v>
      </c>
      <c r="D781" s="3" t="s">
        <v>29</v>
      </c>
      <c r="E781" s="3" t="s">
        <v>29</v>
      </c>
      <c r="F781">
        <v>1</v>
      </c>
      <c r="G781" s="7">
        <v>25903</v>
      </c>
      <c r="H781">
        <v>0</v>
      </c>
      <c r="I781" s="3" t="s">
        <v>9154</v>
      </c>
      <c r="J781" s="3" t="s">
        <v>10</v>
      </c>
      <c r="K781" s="3" t="s">
        <v>10</v>
      </c>
      <c r="L781" s="3" t="s">
        <v>12</v>
      </c>
      <c r="M781">
        <v>56</v>
      </c>
      <c r="N781" s="3"/>
    </row>
    <row r="782" spans="1:14" x14ac:dyDescent="0.25">
      <c r="A782" s="3" t="s">
        <v>812</v>
      </c>
      <c r="B782">
        <v>1982</v>
      </c>
      <c r="C782">
        <v>1982</v>
      </c>
      <c r="D782" s="3" t="s">
        <v>36</v>
      </c>
      <c r="E782" s="3" t="s">
        <v>36</v>
      </c>
      <c r="F782">
        <v>9</v>
      </c>
      <c r="G782" s="7">
        <v>30233</v>
      </c>
      <c r="H782">
        <v>1</v>
      </c>
      <c r="I782" s="3" t="s">
        <v>9155</v>
      </c>
      <c r="J782" s="3" t="s">
        <v>10</v>
      </c>
      <c r="K782" s="3" t="s">
        <v>11</v>
      </c>
      <c r="L782" s="3" t="s">
        <v>41</v>
      </c>
      <c r="M782">
        <v>44</v>
      </c>
      <c r="N782" s="3"/>
    </row>
    <row r="783" spans="1:14" x14ac:dyDescent="0.25">
      <c r="A783" s="3" t="s">
        <v>813</v>
      </c>
      <c r="B783">
        <v>1982</v>
      </c>
      <c r="C783">
        <v>1982</v>
      </c>
      <c r="D783" s="3" t="s">
        <v>34</v>
      </c>
      <c r="E783" s="3" t="s">
        <v>34</v>
      </c>
      <c r="F783">
        <v>28</v>
      </c>
      <c r="G783" s="7">
        <v>30191</v>
      </c>
      <c r="H783">
        <v>1</v>
      </c>
      <c r="I783" s="3" t="s">
        <v>9156</v>
      </c>
      <c r="J783" s="3" t="s">
        <v>10</v>
      </c>
      <c r="K783" s="3" t="s">
        <v>10</v>
      </c>
      <c r="L783" s="3" t="s">
        <v>12</v>
      </c>
      <c r="M783">
        <v>44</v>
      </c>
      <c r="N783" s="3"/>
    </row>
    <row r="784" spans="1:14" x14ac:dyDescent="0.25">
      <c r="A784" s="3" t="s">
        <v>814</v>
      </c>
      <c r="B784">
        <v>1994</v>
      </c>
      <c r="C784">
        <v>1994</v>
      </c>
      <c r="D784" s="3" t="s">
        <v>9</v>
      </c>
      <c r="E784" s="3" t="s">
        <v>9</v>
      </c>
      <c r="F784">
        <v>7</v>
      </c>
      <c r="G784" s="7">
        <v>34522</v>
      </c>
      <c r="H784">
        <v>0</v>
      </c>
      <c r="I784" s="3" t="s">
        <v>9157</v>
      </c>
      <c r="J784" s="3" t="s">
        <v>10</v>
      </c>
      <c r="K784" s="3" t="s">
        <v>15</v>
      </c>
      <c r="L784" s="3" t="s">
        <v>299</v>
      </c>
      <c r="M784">
        <v>32</v>
      </c>
      <c r="N784" s="3"/>
    </row>
    <row r="785" spans="1:14" x14ac:dyDescent="0.25">
      <c r="A785" s="3" t="s">
        <v>815</v>
      </c>
      <c r="B785">
        <v>1976</v>
      </c>
      <c r="C785">
        <v>1976</v>
      </c>
      <c r="D785" s="3" t="s">
        <v>36</v>
      </c>
      <c r="E785" s="3" t="s">
        <v>36</v>
      </c>
      <c r="F785">
        <v>23</v>
      </c>
      <c r="G785" s="7">
        <v>28056</v>
      </c>
      <c r="H785">
        <v>2</v>
      </c>
      <c r="I785" s="3" t="s">
        <v>9158</v>
      </c>
      <c r="J785" s="3" t="s">
        <v>10</v>
      </c>
      <c r="K785" s="3" t="s">
        <v>15</v>
      </c>
      <c r="L785" s="3" t="s">
        <v>12</v>
      </c>
      <c r="M785">
        <v>50</v>
      </c>
      <c r="N785" s="3"/>
    </row>
    <row r="786" spans="1:14" x14ac:dyDescent="0.25">
      <c r="A786" s="3" t="s">
        <v>816</v>
      </c>
      <c r="B786">
        <v>1982</v>
      </c>
      <c r="C786">
        <v>1982</v>
      </c>
      <c r="D786" s="3" t="s">
        <v>34</v>
      </c>
      <c r="E786" s="3" t="s">
        <v>34</v>
      </c>
      <c r="F786">
        <v>12</v>
      </c>
      <c r="G786" s="7">
        <v>30175</v>
      </c>
      <c r="H786">
        <v>3</v>
      </c>
      <c r="I786" s="3" t="s">
        <v>9159</v>
      </c>
      <c r="J786" s="3" t="s">
        <v>10</v>
      </c>
      <c r="K786" s="3" t="s">
        <v>15</v>
      </c>
      <c r="L786" s="3" t="s">
        <v>12</v>
      </c>
      <c r="M786">
        <v>44</v>
      </c>
      <c r="N786" s="3"/>
    </row>
    <row r="787" spans="1:14" x14ac:dyDescent="0.25">
      <c r="A787" s="3" t="s">
        <v>817</v>
      </c>
      <c r="B787">
        <v>1982</v>
      </c>
      <c r="C787">
        <v>1982</v>
      </c>
      <c r="D787" s="3" t="s">
        <v>36</v>
      </c>
      <c r="E787" s="3" t="s">
        <v>36</v>
      </c>
      <c r="F787">
        <v>2</v>
      </c>
      <c r="G787" s="7">
        <v>30226</v>
      </c>
      <c r="H787">
        <v>3</v>
      </c>
      <c r="I787" s="3" t="s">
        <v>9160</v>
      </c>
      <c r="J787" s="3" t="s">
        <v>10</v>
      </c>
      <c r="K787" s="3" t="s">
        <v>10</v>
      </c>
      <c r="L787" s="3" t="s">
        <v>22</v>
      </c>
      <c r="M787">
        <v>44</v>
      </c>
      <c r="N787" s="3"/>
    </row>
    <row r="788" spans="1:14" x14ac:dyDescent="0.25">
      <c r="A788" s="3" t="s">
        <v>818</v>
      </c>
      <c r="B788">
        <v>1969</v>
      </c>
      <c r="C788">
        <v>1969</v>
      </c>
      <c r="D788" s="3" t="s">
        <v>29</v>
      </c>
      <c r="E788" s="3" t="s">
        <v>29</v>
      </c>
      <c r="F788">
        <v>3</v>
      </c>
      <c r="G788" s="7">
        <v>25540</v>
      </c>
      <c r="H788">
        <v>0</v>
      </c>
      <c r="I788" s="3" t="s">
        <v>9161</v>
      </c>
      <c r="J788" s="3" t="s">
        <v>10</v>
      </c>
      <c r="K788" s="3" t="s">
        <v>11</v>
      </c>
      <c r="L788" s="3" t="s">
        <v>12</v>
      </c>
      <c r="M788">
        <v>57</v>
      </c>
      <c r="N788" s="3"/>
    </row>
    <row r="789" spans="1:14" x14ac:dyDescent="0.25">
      <c r="A789" s="3" t="s">
        <v>819</v>
      </c>
      <c r="B789">
        <v>1986</v>
      </c>
      <c r="C789">
        <v>1986</v>
      </c>
      <c r="D789" s="3" t="s">
        <v>29</v>
      </c>
      <c r="E789" s="3" t="s">
        <v>29</v>
      </c>
      <c r="F789">
        <v>18</v>
      </c>
      <c r="G789" s="7">
        <v>31764</v>
      </c>
      <c r="H789">
        <v>3</v>
      </c>
      <c r="I789" s="3" t="s">
        <v>9162</v>
      </c>
      <c r="J789" s="3" t="s">
        <v>10</v>
      </c>
      <c r="K789" s="3" t="s">
        <v>11</v>
      </c>
      <c r="L789" s="3" t="s">
        <v>22</v>
      </c>
      <c r="M789">
        <v>40</v>
      </c>
      <c r="N789" s="3"/>
    </row>
    <row r="790" spans="1:14" x14ac:dyDescent="0.25">
      <c r="A790" s="3" t="s">
        <v>820</v>
      </c>
      <c r="B790">
        <v>1989</v>
      </c>
      <c r="C790">
        <v>1989</v>
      </c>
      <c r="D790" s="3" t="s">
        <v>34</v>
      </c>
      <c r="E790" s="3" t="s">
        <v>34</v>
      </c>
      <c r="F790">
        <v>6</v>
      </c>
      <c r="G790" s="7">
        <v>32726</v>
      </c>
      <c r="H790">
        <v>3</v>
      </c>
      <c r="I790" s="3" t="s">
        <v>9163</v>
      </c>
      <c r="J790" s="3" t="s">
        <v>10</v>
      </c>
      <c r="K790" s="3" t="s">
        <v>10</v>
      </c>
      <c r="L790" s="3" t="s">
        <v>246</v>
      </c>
      <c r="M790">
        <v>37</v>
      </c>
      <c r="N790" s="3"/>
    </row>
    <row r="791" spans="1:14" x14ac:dyDescent="0.25">
      <c r="A791" s="3" t="s">
        <v>821</v>
      </c>
      <c r="B791">
        <v>1968</v>
      </c>
      <c r="C791">
        <v>1968</v>
      </c>
      <c r="D791" s="3" t="s">
        <v>29</v>
      </c>
      <c r="E791" s="3" t="s">
        <v>29</v>
      </c>
      <c r="F791">
        <v>11</v>
      </c>
      <c r="G791" s="7">
        <v>25183</v>
      </c>
      <c r="H791">
        <v>0</v>
      </c>
      <c r="I791" s="3" t="s">
        <v>9164</v>
      </c>
      <c r="J791" s="3" t="s">
        <v>11</v>
      </c>
      <c r="K791" s="3" t="s">
        <v>10</v>
      </c>
      <c r="L791" s="3" t="s">
        <v>12</v>
      </c>
      <c r="M791">
        <v>58</v>
      </c>
      <c r="N791" s="3"/>
    </row>
    <row r="792" spans="1:14" x14ac:dyDescent="0.25">
      <c r="A792" s="3" t="s">
        <v>822</v>
      </c>
      <c r="B792">
        <v>1984</v>
      </c>
      <c r="C792">
        <v>1984</v>
      </c>
      <c r="D792" s="3" t="s">
        <v>19</v>
      </c>
      <c r="E792" s="3" t="s">
        <v>19</v>
      </c>
      <c r="F792">
        <v>20</v>
      </c>
      <c r="G792" s="7">
        <v>30945</v>
      </c>
      <c r="H792">
        <v>1</v>
      </c>
      <c r="I792" s="3" t="s">
        <v>9165</v>
      </c>
      <c r="J792" s="3" t="s">
        <v>10</v>
      </c>
      <c r="K792" s="3" t="s">
        <v>10</v>
      </c>
      <c r="L792" s="3" t="s">
        <v>246</v>
      </c>
      <c r="M792">
        <v>42</v>
      </c>
      <c r="N792" s="3"/>
    </row>
    <row r="793" spans="1:14" x14ac:dyDescent="0.25">
      <c r="A793" s="3" t="s">
        <v>823</v>
      </c>
      <c r="B793">
        <v>1981</v>
      </c>
      <c r="C793">
        <v>1981</v>
      </c>
      <c r="D793" s="3" t="s">
        <v>9</v>
      </c>
      <c r="E793" s="3" t="s">
        <v>9</v>
      </c>
      <c r="F793">
        <v>20</v>
      </c>
      <c r="G793" s="7">
        <v>29787</v>
      </c>
      <c r="H793">
        <v>0</v>
      </c>
      <c r="I793" s="3" t="s">
        <v>9166</v>
      </c>
      <c r="J793" s="3" t="s">
        <v>10</v>
      </c>
      <c r="K793" s="3" t="s">
        <v>15</v>
      </c>
      <c r="L793" s="3" t="s">
        <v>22</v>
      </c>
      <c r="M793">
        <v>45</v>
      </c>
      <c r="N793" s="3"/>
    </row>
    <row r="794" spans="1:14" x14ac:dyDescent="0.25">
      <c r="A794" s="3" t="s">
        <v>824</v>
      </c>
      <c r="B794">
        <v>1984</v>
      </c>
      <c r="C794">
        <v>1984</v>
      </c>
      <c r="D794" s="3" t="s">
        <v>36</v>
      </c>
      <c r="E794" s="3" t="s">
        <v>36</v>
      </c>
      <c r="F794">
        <v>5</v>
      </c>
      <c r="G794" s="7">
        <v>30960</v>
      </c>
      <c r="H794">
        <v>2</v>
      </c>
      <c r="I794" s="3" t="s">
        <v>9167</v>
      </c>
      <c r="J794" s="3" t="s">
        <v>10</v>
      </c>
      <c r="K794" s="3" t="s">
        <v>11</v>
      </c>
      <c r="L794" s="3" t="s">
        <v>41</v>
      </c>
      <c r="M794">
        <v>42</v>
      </c>
      <c r="N794" s="3"/>
    </row>
    <row r="795" spans="1:14" x14ac:dyDescent="0.25">
      <c r="A795" s="3" t="s">
        <v>825</v>
      </c>
      <c r="B795">
        <v>1982</v>
      </c>
      <c r="C795">
        <v>1982</v>
      </c>
      <c r="D795" s="3" t="s">
        <v>14</v>
      </c>
      <c r="E795" s="3" t="s">
        <v>14</v>
      </c>
      <c r="F795">
        <v>22</v>
      </c>
      <c r="G795" s="7">
        <v>30277</v>
      </c>
      <c r="H795">
        <v>2</v>
      </c>
      <c r="I795" s="3" t="s">
        <v>9168</v>
      </c>
      <c r="J795" s="3" t="s">
        <v>10</v>
      </c>
      <c r="K795" s="3" t="s">
        <v>15</v>
      </c>
      <c r="L795" s="3" t="s">
        <v>12</v>
      </c>
      <c r="M795">
        <v>44</v>
      </c>
      <c r="N795" s="3"/>
    </row>
    <row r="796" spans="1:14" x14ac:dyDescent="0.25">
      <c r="A796" s="3" t="s">
        <v>826</v>
      </c>
      <c r="B796">
        <v>1982</v>
      </c>
      <c r="C796">
        <v>1982</v>
      </c>
      <c r="D796" s="3" t="s">
        <v>29</v>
      </c>
      <c r="E796" s="3" t="s">
        <v>29</v>
      </c>
      <c r="F796">
        <v>29</v>
      </c>
      <c r="G796" s="7">
        <v>30314</v>
      </c>
      <c r="H796">
        <v>1</v>
      </c>
      <c r="I796" s="3" t="s">
        <v>9169</v>
      </c>
      <c r="J796" s="3" t="s">
        <v>11</v>
      </c>
      <c r="K796" s="3" t="s">
        <v>10</v>
      </c>
      <c r="L796" s="3" t="s">
        <v>167</v>
      </c>
      <c r="M796">
        <v>44</v>
      </c>
      <c r="N796" s="3"/>
    </row>
    <row r="797" spans="1:14" x14ac:dyDescent="0.25">
      <c r="A797" s="3" t="s">
        <v>827</v>
      </c>
      <c r="B797">
        <v>1982</v>
      </c>
      <c r="C797">
        <v>1982</v>
      </c>
      <c r="D797" s="3" t="s">
        <v>14</v>
      </c>
      <c r="E797" s="3" t="s">
        <v>14</v>
      </c>
      <c r="F797">
        <v>7</v>
      </c>
      <c r="G797" s="7">
        <v>30262</v>
      </c>
      <c r="H797">
        <v>2</v>
      </c>
      <c r="I797" s="3" t="s">
        <v>9170</v>
      </c>
      <c r="J797" s="3" t="s">
        <v>10</v>
      </c>
      <c r="K797" s="3" t="s">
        <v>11</v>
      </c>
      <c r="L797" s="3" t="s">
        <v>41</v>
      </c>
      <c r="M797">
        <v>44</v>
      </c>
      <c r="N797" s="3"/>
    </row>
    <row r="798" spans="1:14" x14ac:dyDescent="0.25">
      <c r="A798" s="3" t="s">
        <v>828</v>
      </c>
      <c r="B798">
        <v>1982</v>
      </c>
      <c r="C798">
        <v>1982</v>
      </c>
      <c r="D798" s="3" t="s">
        <v>34</v>
      </c>
      <c r="E798" s="3" t="s">
        <v>34</v>
      </c>
      <c r="F798">
        <v>28</v>
      </c>
      <c r="G798" s="7">
        <v>30191</v>
      </c>
      <c r="H798">
        <v>1</v>
      </c>
      <c r="I798" s="3" t="s">
        <v>9171</v>
      </c>
      <c r="J798" s="3" t="s">
        <v>11</v>
      </c>
      <c r="K798" s="3" t="s">
        <v>10</v>
      </c>
      <c r="L798" s="3" t="s">
        <v>163</v>
      </c>
      <c r="M798">
        <v>44</v>
      </c>
      <c r="N798" s="3"/>
    </row>
    <row r="799" spans="1:14" x14ac:dyDescent="0.25">
      <c r="A799" s="3" t="s">
        <v>829</v>
      </c>
      <c r="B799">
        <v>1973</v>
      </c>
      <c r="C799">
        <v>1973</v>
      </c>
      <c r="D799" s="3" t="s">
        <v>34</v>
      </c>
      <c r="E799" s="3" t="s">
        <v>34</v>
      </c>
      <c r="F799">
        <v>29</v>
      </c>
      <c r="G799" s="7">
        <v>26905</v>
      </c>
      <c r="H799">
        <v>0</v>
      </c>
      <c r="I799" s="3" t="s">
        <v>9172</v>
      </c>
      <c r="J799" s="3" t="s">
        <v>10</v>
      </c>
      <c r="K799" s="3" t="s">
        <v>15</v>
      </c>
      <c r="L799" s="3" t="s">
        <v>12</v>
      </c>
      <c r="M799">
        <v>53</v>
      </c>
      <c r="N799" s="3"/>
    </row>
    <row r="800" spans="1:14" x14ac:dyDescent="0.25">
      <c r="A800" s="3" t="s">
        <v>830</v>
      </c>
      <c r="B800">
        <v>2003</v>
      </c>
      <c r="C800">
        <v>2003</v>
      </c>
      <c r="D800" s="3" t="s">
        <v>19</v>
      </c>
      <c r="E800" s="3" t="s">
        <v>19</v>
      </c>
      <c r="F800">
        <v>4</v>
      </c>
      <c r="G800" s="7">
        <v>37868</v>
      </c>
      <c r="H800">
        <v>0</v>
      </c>
      <c r="I800" s="3" t="s">
        <v>9173</v>
      </c>
      <c r="J800" s="3" t="s">
        <v>10</v>
      </c>
      <c r="K800" s="3" t="s">
        <v>15</v>
      </c>
      <c r="L800" s="3" t="s">
        <v>22</v>
      </c>
      <c r="M800">
        <v>23</v>
      </c>
      <c r="N800" s="3"/>
    </row>
    <row r="801" spans="1:14" x14ac:dyDescent="0.25">
      <c r="A801" s="3" t="s">
        <v>831</v>
      </c>
      <c r="B801">
        <v>1990</v>
      </c>
      <c r="C801">
        <v>1990</v>
      </c>
      <c r="D801" s="3" t="s">
        <v>17</v>
      </c>
      <c r="E801" s="3" t="s">
        <v>17</v>
      </c>
      <c r="F801">
        <v>6</v>
      </c>
      <c r="G801" s="7">
        <v>33030</v>
      </c>
      <c r="H801">
        <v>3</v>
      </c>
      <c r="I801" s="3" t="s">
        <v>9174</v>
      </c>
      <c r="J801" s="3" t="s">
        <v>10</v>
      </c>
      <c r="K801" s="3" t="s">
        <v>10</v>
      </c>
      <c r="L801" s="3" t="s">
        <v>299</v>
      </c>
      <c r="M801">
        <v>36</v>
      </c>
      <c r="N801" s="3"/>
    </row>
    <row r="802" spans="1:14" x14ac:dyDescent="0.25">
      <c r="A802" s="3" t="s">
        <v>832</v>
      </c>
      <c r="B802">
        <v>1984</v>
      </c>
      <c r="C802">
        <v>1984</v>
      </c>
      <c r="D802" s="3" t="s">
        <v>29</v>
      </c>
      <c r="E802" s="3" t="s">
        <v>29</v>
      </c>
      <c r="F802">
        <v>8</v>
      </c>
      <c r="G802" s="7">
        <v>31024</v>
      </c>
      <c r="H802">
        <v>2</v>
      </c>
      <c r="I802" s="3" t="s">
        <v>9175</v>
      </c>
      <c r="J802" s="3" t="s">
        <v>10</v>
      </c>
      <c r="K802" s="3" t="s">
        <v>11</v>
      </c>
      <c r="L802" s="3" t="s">
        <v>165</v>
      </c>
      <c r="M802">
        <v>42</v>
      </c>
      <c r="N802" s="3"/>
    </row>
    <row r="803" spans="1:14" x14ac:dyDescent="0.25">
      <c r="A803" s="3" t="s">
        <v>833</v>
      </c>
      <c r="B803">
        <v>1970</v>
      </c>
      <c r="C803">
        <v>1970</v>
      </c>
      <c r="D803" s="3" t="s">
        <v>14</v>
      </c>
      <c r="E803" s="3" t="s">
        <v>14</v>
      </c>
      <c r="F803">
        <v>8</v>
      </c>
      <c r="G803" s="7">
        <v>25880</v>
      </c>
      <c r="H803">
        <v>0</v>
      </c>
      <c r="I803" s="3" t="s">
        <v>9176</v>
      </c>
      <c r="J803" s="3" t="s">
        <v>10</v>
      </c>
      <c r="K803" s="3" t="s">
        <v>11</v>
      </c>
      <c r="L803" s="3" t="s">
        <v>12</v>
      </c>
      <c r="M803">
        <v>56</v>
      </c>
      <c r="N803" s="3"/>
    </row>
    <row r="804" spans="1:14" x14ac:dyDescent="0.25">
      <c r="A804" s="3" t="s">
        <v>834</v>
      </c>
      <c r="B804">
        <v>1984</v>
      </c>
      <c r="C804">
        <v>1984</v>
      </c>
      <c r="D804" s="3" t="s">
        <v>9</v>
      </c>
      <c r="E804" s="3" t="s">
        <v>9</v>
      </c>
      <c r="F804">
        <v>1</v>
      </c>
      <c r="G804" s="7">
        <v>30864</v>
      </c>
      <c r="H804">
        <v>3</v>
      </c>
      <c r="I804" s="3" t="s">
        <v>9177</v>
      </c>
      <c r="J804" s="3" t="s">
        <v>11</v>
      </c>
      <c r="K804" s="3" t="s">
        <v>10</v>
      </c>
      <c r="L804" s="3" t="s">
        <v>12</v>
      </c>
      <c r="M804">
        <v>42</v>
      </c>
      <c r="N804" s="3"/>
    </row>
    <row r="805" spans="1:14" x14ac:dyDescent="0.25">
      <c r="A805" s="3" t="s">
        <v>835</v>
      </c>
      <c r="B805">
        <v>1989</v>
      </c>
      <c r="C805">
        <v>1989</v>
      </c>
      <c r="D805" s="3" t="s">
        <v>14</v>
      </c>
      <c r="E805" s="3" t="s">
        <v>14</v>
      </c>
      <c r="F805">
        <v>19</v>
      </c>
      <c r="G805" s="7">
        <v>32831</v>
      </c>
      <c r="H805">
        <v>5</v>
      </c>
      <c r="I805" s="3" t="s">
        <v>9178</v>
      </c>
      <c r="J805" s="3" t="s">
        <v>10</v>
      </c>
      <c r="K805" s="3" t="s">
        <v>15</v>
      </c>
      <c r="L805" s="3" t="s">
        <v>12</v>
      </c>
      <c r="M805">
        <v>37</v>
      </c>
      <c r="N805" s="3"/>
    </row>
    <row r="806" spans="1:14" x14ac:dyDescent="0.25">
      <c r="A806" s="3" t="s">
        <v>836</v>
      </c>
      <c r="B806">
        <v>1982</v>
      </c>
      <c r="C806">
        <v>1982</v>
      </c>
      <c r="D806" s="3" t="s">
        <v>19</v>
      </c>
      <c r="E806" s="3" t="s">
        <v>19</v>
      </c>
      <c r="F806">
        <v>27</v>
      </c>
      <c r="G806" s="7">
        <v>30221</v>
      </c>
      <c r="H806">
        <v>3</v>
      </c>
      <c r="I806" s="3" t="s">
        <v>9179</v>
      </c>
      <c r="J806" s="3" t="s">
        <v>10</v>
      </c>
      <c r="K806" s="3" t="s">
        <v>10</v>
      </c>
      <c r="L806" s="3" t="s">
        <v>12</v>
      </c>
      <c r="M806">
        <v>44</v>
      </c>
      <c r="N806" s="3"/>
    </row>
    <row r="807" spans="1:14" x14ac:dyDescent="0.25">
      <c r="A807" s="3" t="s">
        <v>837</v>
      </c>
      <c r="B807">
        <v>1981</v>
      </c>
      <c r="C807">
        <v>1981</v>
      </c>
      <c r="D807" s="3" t="s">
        <v>19</v>
      </c>
      <c r="E807" s="3" t="s">
        <v>19</v>
      </c>
      <c r="F807">
        <v>17</v>
      </c>
      <c r="G807" s="7">
        <v>29846</v>
      </c>
      <c r="H807">
        <v>1</v>
      </c>
      <c r="I807" s="3" t="s">
        <v>9180</v>
      </c>
      <c r="J807" s="3" t="s">
        <v>11</v>
      </c>
      <c r="K807" s="3" t="s">
        <v>15</v>
      </c>
      <c r="L807" s="3" t="s">
        <v>22</v>
      </c>
      <c r="M807">
        <v>45</v>
      </c>
      <c r="N807" s="3"/>
    </row>
    <row r="808" spans="1:14" x14ac:dyDescent="0.25">
      <c r="A808" s="3" t="s">
        <v>838</v>
      </c>
      <c r="B808">
        <v>1989</v>
      </c>
      <c r="C808">
        <v>1989</v>
      </c>
      <c r="D808" s="3" t="s">
        <v>36</v>
      </c>
      <c r="E808" s="3" t="s">
        <v>36</v>
      </c>
      <c r="F808">
        <v>20</v>
      </c>
      <c r="G808" s="7">
        <v>32801</v>
      </c>
      <c r="H808">
        <v>5</v>
      </c>
      <c r="I808" s="3" t="s">
        <v>9181</v>
      </c>
      <c r="J808" s="3" t="s">
        <v>11</v>
      </c>
      <c r="K808" s="3" t="s">
        <v>15</v>
      </c>
      <c r="L808" s="3" t="s">
        <v>41</v>
      </c>
      <c r="M808">
        <v>37</v>
      </c>
      <c r="N808" s="3"/>
    </row>
    <row r="809" spans="1:14" x14ac:dyDescent="0.25">
      <c r="A809" s="3" t="s">
        <v>839</v>
      </c>
      <c r="B809">
        <v>1985</v>
      </c>
      <c r="C809">
        <v>1985</v>
      </c>
      <c r="D809" s="3" t="s">
        <v>9</v>
      </c>
      <c r="E809" s="3" t="s">
        <v>9</v>
      </c>
      <c r="F809">
        <v>9</v>
      </c>
      <c r="G809" s="7">
        <v>31237</v>
      </c>
      <c r="H809">
        <v>2</v>
      </c>
      <c r="I809" s="3" t="s">
        <v>9182</v>
      </c>
      <c r="J809" s="3" t="s">
        <v>10</v>
      </c>
      <c r="K809" s="3" t="s">
        <v>11</v>
      </c>
      <c r="L809" s="3" t="s">
        <v>22</v>
      </c>
      <c r="M809">
        <v>41</v>
      </c>
      <c r="N809" s="3"/>
    </row>
    <row r="810" spans="1:14" x14ac:dyDescent="0.25">
      <c r="A810" s="3" t="s">
        <v>840</v>
      </c>
      <c r="B810">
        <v>1968</v>
      </c>
      <c r="C810">
        <v>1968</v>
      </c>
      <c r="D810" s="3" t="s">
        <v>9</v>
      </c>
      <c r="E810" s="3" t="s">
        <v>9</v>
      </c>
      <c r="F810">
        <v>13</v>
      </c>
      <c r="G810" s="7">
        <v>25032</v>
      </c>
      <c r="H810">
        <v>0</v>
      </c>
      <c r="I810" s="3" t="s">
        <v>9183</v>
      </c>
      <c r="J810" s="3" t="s">
        <v>11</v>
      </c>
      <c r="K810" s="3" t="s">
        <v>15</v>
      </c>
      <c r="L810" s="3" t="s">
        <v>22</v>
      </c>
      <c r="M810">
        <v>58</v>
      </c>
      <c r="N810" s="3"/>
    </row>
    <row r="811" spans="1:14" x14ac:dyDescent="0.25">
      <c r="A811" s="3" t="s">
        <v>841</v>
      </c>
      <c r="B811">
        <v>1971</v>
      </c>
      <c r="C811">
        <v>1971</v>
      </c>
      <c r="D811" s="3" t="s">
        <v>29</v>
      </c>
      <c r="E811" s="3" t="s">
        <v>29</v>
      </c>
      <c r="F811">
        <v>12</v>
      </c>
      <c r="G811" s="7">
        <v>26279</v>
      </c>
      <c r="H811">
        <v>0</v>
      </c>
      <c r="I811" s="3" t="s">
        <v>9184</v>
      </c>
      <c r="J811" s="3" t="s">
        <v>10</v>
      </c>
      <c r="K811" s="3" t="s">
        <v>15</v>
      </c>
      <c r="L811" s="3" t="s">
        <v>12</v>
      </c>
      <c r="M811">
        <v>55</v>
      </c>
      <c r="N811" s="3"/>
    </row>
    <row r="812" spans="1:14" x14ac:dyDescent="0.25">
      <c r="A812" s="3" t="s">
        <v>842</v>
      </c>
      <c r="B812">
        <v>1983</v>
      </c>
      <c r="C812">
        <v>1983</v>
      </c>
      <c r="D812" s="3" t="s">
        <v>17</v>
      </c>
      <c r="E812" s="3" t="s">
        <v>17</v>
      </c>
      <c r="F812">
        <v>12</v>
      </c>
      <c r="G812" s="7">
        <v>30479</v>
      </c>
      <c r="H812">
        <v>2</v>
      </c>
      <c r="I812" s="3" t="s">
        <v>9185</v>
      </c>
      <c r="J812" s="3" t="s">
        <v>11</v>
      </c>
      <c r="K812" s="3" t="s">
        <v>11</v>
      </c>
      <c r="L812" s="3" t="s">
        <v>22</v>
      </c>
      <c r="M812">
        <v>43</v>
      </c>
      <c r="N812" s="3"/>
    </row>
    <row r="813" spans="1:14" x14ac:dyDescent="0.25">
      <c r="A813" s="3" t="s">
        <v>843</v>
      </c>
      <c r="B813">
        <v>1994</v>
      </c>
      <c r="C813">
        <v>1994</v>
      </c>
      <c r="D813" s="3" t="s">
        <v>17</v>
      </c>
      <c r="E813" s="3" t="s">
        <v>17</v>
      </c>
      <c r="F813">
        <v>13</v>
      </c>
      <c r="G813" s="7">
        <v>34498</v>
      </c>
      <c r="H813">
        <v>0</v>
      </c>
      <c r="I813" s="3" t="s">
        <v>9186</v>
      </c>
      <c r="J813" s="3" t="s">
        <v>10</v>
      </c>
      <c r="K813" s="3" t="s">
        <v>15</v>
      </c>
      <c r="L813" s="3" t="s">
        <v>22</v>
      </c>
      <c r="M813">
        <v>32</v>
      </c>
      <c r="N813" s="3"/>
    </row>
    <row r="814" spans="1:14" x14ac:dyDescent="0.25">
      <c r="A814" s="3" t="s">
        <v>844</v>
      </c>
      <c r="B814">
        <v>1978</v>
      </c>
      <c r="C814">
        <v>1978</v>
      </c>
      <c r="D814" s="3" t="s">
        <v>36</v>
      </c>
      <c r="E814" s="3" t="s">
        <v>36</v>
      </c>
      <c r="F814">
        <v>21</v>
      </c>
      <c r="G814" s="7">
        <v>28784</v>
      </c>
      <c r="H814">
        <v>2</v>
      </c>
      <c r="I814" s="3" t="s">
        <v>9187</v>
      </c>
      <c r="J814" s="3" t="s">
        <v>10</v>
      </c>
      <c r="K814" s="3" t="s">
        <v>11</v>
      </c>
      <c r="L814" s="3" t="s">
        <v>12</v>
      </c>
      <c r="M814">
        <v>48</v>
      </c>
      <c r="N814" s="3"/>
    </row>
    <row r="815" spans="1:14" x14ac:dyDescent="0.25">
      <c r="A815" s="3" t="s">
        <v>845</v>
      </c>
      <c r="B815">
        <v>1968</v>
      </c>
      <c r="C815">
        <v>1968</v>
      </c>
      <c r="D815" s="3" t="s">
        <v>9</v>
      </c>
      <c r="E815" s="3" t="s">
        <v>9</v>
      </c>
      <c r="F815">
        <v>18</v>
      </c>
      <c r="G815" s="7">
        <v>25037</v>
      </c>
      <c r="H815">
        <v>0</v>
      </c>
      <c r="I815" s="3" t="s">
        <v>9188</v>
      </c>
      <c r="J815" s="3" t="s">
        <v>11</v>
      </c>
      <c r="K815" s="3" t="s">
        <v>15</v>
      </c>
      <c r="L815" s="3" t="s">
        <v>22</v>
      </c>
      <c r="M815">
        <v>58</v>
      </c>
      <c r="N815" s="3"/>
    </row>
    <row r="816" spans="1:14" x14ac:dyDescent="0.25">
      <c r="A816" s="3" t="s">
        <v>846</v>
      </c>
      <c r="B816">
        <v>1986</v>
      </c>
      <c r="C816">
        <v>1986</v>
      </c>
      <c r="D816" s="3" t="s">
        <v>34</v>
      </c>
      <c r="E816" s="3" t="s">
        <v>34</v>
      </c>
      <c r="F816">
        <v>7</v>
      </c>
      <c r="G816" s="7">
        <v>31631</v>
      </c>
      <c r="H816">
        <v>3</v>
      </c>
      <c r="I816" s="3" t="s">
        <v>9189</v>
      </c>
      <c r="J816" s="3" t="s">
        <v>11</v>
      </c>
      <c r="K816" s="3" t="s">
        <v>10</v>
      </c>
      <c r="L816" s="3" t="s">
        <v>167</v>
      </c>
      <c r="M816">
        <v>40</v>
      </c>
      <c r="N816" s="3"/>
    </row>
    <row r="817" spans="1:14" x14ac:dyDescent="0.25">
      <c r="A817" s="3" t="s">
        <v>847</v>
      </c>
      <c r="B817">
        <v>1986</v>
      </c>
      <c r="C817">
        <v>1986</v>
      </c>
      <c r="D817" s="3" t="s">
        <v>17</v>
      </c>
      <c r="E817" s="3" t="s">
        <v>17</v>
      </c>
      <c r="F817">
        <v>5</v>
      </c>
      <c r="G817" s="7">
        <v>31568</v>
      </c>
      <c r="H817">
        <v>3</v>
      </c>
      <c r="I817" s="3" t="s">
        <v>9190</v>
      </c>
      <c r="J817" s="3" t="s">
        <v>11</v>
      </c>
      <c r="K817" s="3" t="s">
        <v>15</v>
      </c>
      <c r="L817" s="3" t="s">
        <v>167</v>
      </c>
      <c r="M817">
        <v>40</v>
      </c>
      <c r="N817" s="3"/>
    </row>
    <row r="818" spans="1:14" x14ac:dyDescent="0.25">
      <c r="A818" s="3" t="s">
        <v>848</v>
      </c>
      <c r="B818">
        <v>1970</v>
      </c>
      <c r="C818">
        <v>1970</v>
      </c>
      <c r="D818" s="3" t="s">
        <v>17</v>
      </c>
      <c r="E818" s="3" t="s">
        <v>17</v>
      </c>
      <c r="F818">
        <v>17</v>
      </c>
      <c r="G818" s="7">
        <v>25736</v>
      </c>
      <c r="H818">
        <v>0</v>
      </c>
      <c r="I818" s="3" t="s">
        <v>9191</v>
      </c>
      <c r="J818" s="3" t="s">
        <v>10</v>
      </c>
      <c r="K818" s="3" t="s">
        <v>15</v>
      </c>
      <c r="L818" s="3" t="s">
        <v>12</v>
      </c>
      <c r="M818">
        <v>56</v>
      </c>
      <c r="N818" s="3"/>
    </row>
    <row r="819" spans="1:14" x14ac:dyDescent="0.25">
      <c r="A819" s="3" t="s">
        <v>849</v>
      </c>
      <c r="B819">
        <v>1966</v>
      </c>
      <c r="C819">
        <v>1966</v>
      </c>
      <c r="D819" s="3" t="s">
        <v>29</v>
      </c>
      <c r="E819" s="3" t="s">
        <v>29</v>
      </c>
      <c r="F819">
        <v>9</v>
      </c>
      <c r="G819" s="7">
        <v>24450</v>
      </c>
      <c r="H819">
        <v>0</v>
      </c>
      <c r="I819" s="3" t="s">
        <v>9192</v>
      </c>
      <c r="J819" s="3" t="s">
        <v>11</v>
      </c>
      <c r="K819" s="3" t="s">
        <v>10</v>
      </c>
      <c r="L819" s="3" t="s">
        <v>12</v>
      </c>
      <c r="M819">
        <v>60</v>
      </c>
      <c r="N819" s="3"/>
    </row>
    <row r="820" spans="1:14" x14ac:dyDescent="0.25">
      <c r="A820" s="3" t="s">
        <v>850</v>
      </c>
      <c r="B820">
        <v>1988</v>
      </c>
      <c r="C820">
        <v>1988</v>
      </c>
      <c r="D820" s="3" t="s">
        <v>36</v>
      </c>
      <c r="E820" s="3" t="s">
        <v>36</v>
      </c>
      <c r="F820">
        <v>10</v>
      </c>
      <c r="G820" s="7">
        <v>32426</v>
      </c>
      <c r="H820">
        <v>3</v>
      </c>
      <c r="I820" s="3" t="s">
        <v>9193</v>
      </c>
      <c r="J820" s="3" t="s">
        <v>10</v>
      </c>
      <c r="K820" s="3" t="s">
        <v>10</v>
      </c>
      <c r="L820" s="3" t="s">
        <v>246</v>
      </c>
      <c r="M820">
        <v>38</v>
      </c>
      <c r="N820" s="3"/>
    </row>
    <row r="821" spans="1:14" x14ac:dyDescent="0.25">
      <c r="A821" s="3" t="s">
        <v>851</v>
      </c>
      <c r="B821">
        <v>1981</v>
      </c>
      <c r="C821">
        <v>1981</v>
      </c>
      <c r="D821" s="3" t="s">
        <v>19</v>
      </c>
      <c r="E821" s="3" t="s">
        <v>19</v>
      </c>
      <c r="F821">
        <v>21</v>
      </c>
      <c r="G821" s="7">
        <v>29850</v>
      </c>
      <c r="H821">
        <v>1</v>
      </c>
      <c r="I821" s="3" t="s">
        <v>9194</v>
      </c>
      <c r="J821" s="3" t="s">
        <v>10</v>
      </c>
      <c r="K821" s="3" t="s">
        <v>11</v>
      </c>
      <c r="L821" s="3" t="s">
        <v>12</v>
      </c>
      <c r="M821">
        <v>45</v>
      </c>
      <c r="N821" s="3"/>
    </row>
    <row r="822" spans="1:14" x14ac:dyDescent="0.25">
      <c r="A822" s="3" t="s">
        <v>852</v>
      </c>
      <c r="B822">
        <v>1981</v>
      </c>
      <c r="C822">
        <v>1981</v>
      </c>
      <c r="D822" s="3" t="s">
        <v>19</v>
      </c>
      <c r="E822" s="3" t="s">
        <v>19</v>
      </c>
      <c r="F822">
        <v>3</v>
      </c>
      <c r="G822" s="7">
        <v>29832</v>
      </c>
      <c r="H822">
        <v>1</v>
      </c>
      <c r="I822" s="3" t="s">
        <v>9195</v>
      </c>
      <c r="J822" s="3" t="s">
        <v>10</v>
      </c>
      <c r="K822" s="3" t="s">
        <v>11</v>
      </c>
      <c r="L822" s="3" t="s">
        <v>41</v>
      </c>
      <c r="M822">
        <v>45</v>
      </c>
      <c r="N822" s="3"/>
    </row>
    <row r="823" spans="1:14" x14ac:dyDescent="0.25">
      <c r="A823" s="3" t="s">
        <v>853</v>
      </c>
      <c r="B823">
        <v>1981</v>
      </c>
      <c r="C823">
        <v>1981</v>
      </c>
      <c r="D823" s="3" t="s">
        <v>36</v>
      </c>
      <c r="E823" s="3" t="s">
        <v>36</v>
      </c>
      <c r="F823">
        <v>8</v>
      </c>
      <c r="G823" s="7">
        <v>29867</v>
      </c>
      <c r="H823">
        <v>1</v>
      </c>
      <c r="I823" s="3" t="s">
        <v>9196</v>
      </c>
      <c r="J823" s="3" t="s">
        <v>10</v>
      </c>
      <c r="K823" s="3" t="s">
        <v>15</v>
      </c>
      <c r="L823" s="3" t="s">
        <v>12</v>
      </c>
      <c r="M823">
        <v>45</v>
      </c>
      <c r="N823" s="3"/>
    </row>
    <row r="824" spans="1:14" x14ac:dyDescent="0.25">
      <c r="A824" s="3" t="s">
        <v>854</v>
      </c>
      <c r="B824">
        <v>1980</v>
      </c>
      <c r="C824">
        <v>1980</v>
      </c>
      <c r="D824" s="3" t="s">
        <v>14</v>
      </c>
      <c r="E824" s="3" t="s">
        <v>14</v>
      </c>
      <c r="F824">
        <v>23</v>
      </c>
      <c r="G824" s="7">
        <v>29548</v>
      </c>
      <c r="H824">
        <v>2</v>
      </c>
      <c r="I824" s="3" t="s">
        <v>9197</v>
      </c>
      <c r="J824" s="3" t="s">
        <v>10</v>
      </c>
      <c r="K824" s="3" t="s">
        <v>10</v>
      </c>
      <c r="L824" s="3" t="s">
        <v>12</v>
      </c>
      <c r="M824">
        <v>46</v>
      </c>
      <c r="N824" s="3"/>
    </row>
    <row r="825" spans="1:14" x14ac:dyDescent="0.25">
      <c r="A825" s="3" t="s">
        <v>855</v>
      </c>
      <c r="B825">
        <v>1985</v>
      </c>
      <c r="C825">
        <v>1985</v>
      </c>
      <c r="D825" s="3" t="s">
        <v>29</v>
      </c>
      <c r="E825" s="3" t="s">
        <v>29</v>
      </c>
      <c r="F825">
        <v>24</v>
      </c>
      <c r="G825" s="7">
        <v>31405</v>
      </c>
      <c r="H825">
        <v>3</v>
      </c>
      <c r="I825" s="3" t="s">
        <v>9198</v>
      </c>
      <c r="J825" s="3" t="s">
        <v>11</v>
      </c>
      <c r="K825" s="3" t="s">
        <v>11</v>
      </c>
      <c r="L825" s="3" t="s">
        <v>22</v>
      </c>
      <c r="M825">
        <v>41</v>
      </c>
      <c r="N825" s="3"/>
    </row>
    <row r="826" spans="1:14" x14ac:dyDescent="0.25">
      <c r="A826" s="3" t="s">
        <v>856</v>
      </c>
      <c r="B826">
        <v>1991</v>
      </c>
      <c r="C826">
        <v>1991</v>
      </c>
      <c r="D826" s="3" t="s">
        <v>17</v>
      </c>
      <c r="E826" s="3" t="s">
        <v>17</v>
      </c>
      <c r="F826">
        <v>29</v>
      </c>
      <c r="G826" s="7">
        <v>33418</v>
      </c>
      <c r="H826">
        <v>5</v>
      </c>
      <c r="I826" s="3" t="s">
        <v>9199</v>
      </c>
      <c r="J826" s="3" t="s">
        <v>15</v>
      </c>
      <c r="K826" s="3" t="s">
        <v>10</v>
      </c>
      <c r="L826" s="3" t="s">
        <v>275</v>
      </c>
      <c r="M826">
        <v>35</v>
      </c>
      <c r="N826" s="3"/>
    </row>
    <row r="827" spans="1:14" x14ac:dyDescent="0.25">
      <c r="A827" s="3" t="s">
        <v>857</v>
      </c>
      <c r="B827">
        <v>1975</v>
      </c>
      <c r="C827">
        <v>1975</v>
      </c>
      <c r="D827" s="3" t="s">
        <v>34</v>
      </c>
      <c r="E827" s="3" t="s">
        <v>34</v>
      </c>
      <c r="F827">
        <v>17</v>
      </c>
      <c r="G827" s="7">
        <v>27623</v>
      </c>
      <c r="H827">
        <v>1</v>
      </c>
      <c r="I827" s="3" t="s">
        <v>9200</v>
      </c>
      <c r="J827" s="3" t="s">
        <v>10</v>
      </c>
      <c r="K827" s="3" t="s">
        <v>15</v>
      </c>
      <c r="L827" s="3" t="s">
        <v>22</v>
      </c>
      <c r="M827">
        <v>51</v>
      </c>
      <c r="N827" s="3"/>
    </row>
    <row r="828" spans="1:14" x14ac:dyDescent="0.25">
      <c r="A828" s="3" t="s">
        <v>858</v>
      </c>
      <c r="B828">
        <v>1994</v>
      </c>
      <c r="C828">
        <v>1994</v>
      </c>
      <c r="D828" s="3" t="s">
        <v>9</v>
      </c>
      <c r="E828" s="3" t="s">
        <v>9</v>
      </c>
      <c r="F828">
        <v>8</v>
      </c>
      <c r="G828" s="7">
        <v>34523</v>
      </c>
      <c r="H828">
        <v>0</v>
      </c>
      <c r="I828" s="3" t="s">
        <v>9201</v>
      </c>
      <c r="J828" s="3" t="s">
        <v>10</v>
      </c>
      <c r="K828" s="3" t="s">
        <v>10</v>
      </c>
      <c r="L828" s="3" t="s">
        <v>299</v>
      </c>
      <c r="M828">
        <v>32</v>
      </c>
      <c r="N828" s="3"/>
    </row>
    <row r="829" spans="1:14" x14ac:dyDescent="0.25">
      <c r="A829" s="3" t="s">
        <v>859</v>
      </c>
      <c r="B829">
        <v>1979</v>
      </c>
      <c r="C829">
        <v>1979</v>
      </c>
      <c r="D829" s="3" t="s">
        <v>9</v>
      </c>
      <c r="E829" s="3" t="s">
        <v>9</v>
      </c>
      <c r="F829">
        <v>15</v>
      </c>
      <c r="G829" s="7">
        <v>29051</v>
      </c>
      <c r="H829">
        <v>0</v>
      </c>
      <c r="I829" s="3" t="s">
        <v>9202</v>
      </c>
      <c r="J829" s="3" t="s">
        <v>11</v>
      </c>
      <c r="K829" s="3" t="s">
        <v>15</v>
      </c>
      <c r="L829" s="3" t="s">
        <v>167</v>
      </c>
      <c r="M829">
        <v>47</v>
      </c>
      <c r="N829" s="3"/>
    </row>
    <row r="830" spans="1:14" x14ac:dyDescent="0.25">
      <c r="A830" s="3" t="s">
        <v>860</v>
      </c>
      <c r="B830">
        <v>2000</v>
      </c>
      <c r="C830">
        <v>2000</v>
      </c>
      <c r="D830" s="3" t="s">
        <v>14</v>
      </c>
      <c r="E830" s="3" t="s">
        <v>14</v>
      </c>
      <c r="F830">
        <v>30</v>
      </c>
      <c r="G830" s="7">
        <v>36860</v>
      </c>
      <c r="H830">
        <v>0</v>
      </c>
      <c r="I830" s="3" t="s">
        <v>9203</v>
      </c>
      <c r="J830" s="3" t="s">
        <v>10</v>
      </c>
      <c r="K830" s="3" t="s">
        <v>15</v>
      </c>
      <c r="L830" s="3" t="s">
        <v>22</v>
      </c>
      <c r="M830">
        <v>26</v>
      </c>
      <c r="N830" s="3"/>
    </row>
    <row r="831" spans="1:14" x14ac:dyDescent="0.25">
      <c r="A831" s="3" t="s">
        <v>861</v>
      </c>
      <c r="B831">
        <v>1977</v>
      </c>
      <c r="C831">
        <v>1977</v>
      </c>
      <c r="D831" s="3" t="s">
        <v>17</v>
      </c>
      <c r="E831" s="3" t="s">
        <v>17</v>
      </c>
      <c r="F831">
        <v>15</v>
      </c>
      <c r="G831" s="7">
        <v>28291</v>
      </c>
      <c r="H831">
        <v>2</v>
      </c>
      <c r="I831" s="3" t="s">
        <v>9204</v>
      </c>
      <c r="J831" s="3" t="s">
        <v>10</v>
      </c>
      <c r="K831" s="3" t="s">
        <v>15</v>
      </c>
      <c r="L831" s="3" t="s">
        <v>12</v>
      </c>
      <c r="M831">
        <v>49</v>
      </c>
      <c r="N831" s="3"/>
    </row>
    <row r="832" spans="1:14" x14ac:dyDescent="0.25">
      <c r="A832" s="3" t="s">
        <v>862</v>
      </c>
      <c r="B832">
        <v>1979</v>
      </c>
      <c r="C832">
        <v>1979</v>
      </c>
      <c r="D832" s="3" t="s">
        <v>14</v>
      </c>
      <c r="E832" s="3" t="s">
        <v>14</v>
      </c>
      <c r="F832">
        <v>4</v>
      </c>
      <c r="G832" s="7">
        <v>29163</v>
      </c>
      <c r="H832">
        <v>1</v>
      </c>
      <c r="I832" s="3" t="s">
        <v>9205</v>
      </c>
      <c r="J832" s="3" t="s">
        <v>10</v>
      </c>
      <c r="K832" s="3" t="s">
        <v>10</v>
      </c>
      <c r="L832" s="3" t="s">
        <v>41</v>
      </c>
      <c r="M832">
        <v>47</v>
      </c>
      <c r="N832" s="3"/>
    </row>
    <row r="833" spans="1:14" x14ac:dyDescent="0.25">
      <c r="A833" s="3" t="s">
        <v>863</v>
      </c>
      <c r="B833">
        <v>1981</v>
      </c>
      <c r="C833">
        <v>1981</v>
      </c>
      <c r="D833" s="3" t="s">
        <v>17</v>
      </c>
      <c r="E833" s="3" t="s">
        <v>17</v>
      </c>
      <c r="F833">
        <v>19</v>
      </c>
      <c r="G833" s="7">
        <v>29756</v>
      </c>
      <c r="H833">
        <v>1</v>
      </c>
      <c r="I833" s="3" t="s">
        <v>9206</v>
      </c>
      <c r="J833" s="3" t="s">
        <v>10</v>
      </c>
      <c r="K833" s="3" t="s">
        <v>10</v>
      </c>
      <c r="L833" s="3" t="s">
        <v>165</v>
      </c>
      <c r="M833">
        <v>45</v>
      </c>
      <c r="N833" s="3"/>
    </row>
    <row r="834" spans="1:14" x14ac:dyDescent="0.25">
      <c r="A834" s="3" t="s">
        <v>864</v>
      </c>
      <c r="B834">
        <v>1978</v>
      </c>
      <c r="C834">
        <v>1978</v>
      </c>
      <c r="D834" s="3" t="s">
        <v>34</v>
      </c>
      <c r="E834" s="3" t="s">
        <v>34</v>
      </c>
      <c r="F834">
        <v>5</v>
      </c>
      <c r="G834" s="7">
        <v>28707</v>
      </c>
      <c r="H834">
        <v>2</v>
      </c>
      <c r="I834" s="3" t="s">
        <v>9207</v>
      </c>
      <c r="J834" s="3" t="s">
        <v>10</v>
      </c>
      <c r="K834" s="3" t="s">
        <v>15</v>
      </c>
      <c r="L834" s="3" t="s">
        <v>12</v>
      </c>
      <c r="M834">
        <v>48</v>
      </c>
      <c r="N834" s="3"/>
    </row>
    <row r="835" spans="1:14" x14ac:dyDescent="0.25">
      <c r="A835" s="3" t="s">
        <v>865</v>
      </c>
      <c r="B835">
        <v>1969</v>
      </c>
      <c r="C835">
        <v>1969</v>
      </c>
      <c r="D835" s="3" t="s">
        <v>36</v>
      </c>
      <c r="E835" s="3" t="s">
        <v>36</v>
      </c>
      <c r="F835">
        <v>23</v>
      </c>
      <c r="G835" s="7">
        <v>25499</v>
      </c>
      <c r="H835">
        <v>0</v>
      </c>
      <c r="I835" s="3" t="s">
        <v>9208</v>
      </c>
      <c r="J835" s="3" t="s">
        <v>10</v>
      </c>
      <c r="K835" s="3" t="s">
        <v>10</v>
      </c>
      <c r="L835" s="3" t="s">
        <v>12</v>
      </c>
      <c r="M835">
        <v>57</v>
      </c>
      <c r="N835" s="3"/>
    </row>
    <row r="836" spans="1:14" x14ac:dyDescent="0.25">
      <c r="A836" s="3" t="s">
        <v>866</v>
      </c>
      <c r="B836">
        <v>1981</v>
      </c>
      <c r="C836">
        <v>1981</v>
      </c>
      <c r="D836" s="3" t="s">
        <v>17</v>
      </c>
      <c r="E836" s="3" t="s">
        <v>17</v>
      </c>
      <c r="F836">
        <v>23</v>
      </c>
      <c r="G836" s="7">
        <v>29760</v>
      </c>
      <c r="H836">
        <v>2</v>
      </c>
      <c r="I836" s="3" t="s">
        <v>9209</v>
      </c>
      <c r="J836" s="3" t="s">
        <v>10</v>
      </c>
      <c r="K836" s="3" t="s">
        <v>10</v>
      </c>
      <c r="L836" s="3" t="s">
        <v>41</v>
      </c>
      <c r="M836">
        <v>45</v>
      </c>
      <c r="N836" s="3"/>
    </row>
    <row r="837" spans="1:14" x14ac:dyDescent="0.25">
      <c r="A837" s="3" t="s">
        <v>867</v>
      </c>
      <c r="B837">
        <v>2004</v>
      </c>
      <c r="C837">
        <v>2004</v>
      </c>
      <c r="D837" s="3" t="s">
        <v>29</v>
      </c>
      <c r="E837" s="3" t="s">
        <v>29</v>
      </c>
      <c r="F837">
        <v>24</v>
      </c>
      <c r="G837" s="7">
        <v>38345</v>
      </c>
      <c r="H837">
        <v>0</v>
      </c>
      <c r="I837" s="3" t="s">
        <v>9210</v>
      </c>
      <c r="J837" s="3" t="s">
        <v>10</v>
      </c>
      <c r="K837" s="3" t="s">
        <v>15</v>
      </c>
      <c r="L837" s="3" t="s">
        <v>22</v>
      </c>
      <c r="M837">
        <v>22</v>
      </c>
      <c r="N837" s="3"/>
    </row>
    <row r="838" spans="1:14" x14ac:dyDescent="0.25">
      <c r="A838" s="3" t="s">
        <v>868</v>
      </c>
      <c r="B838">
        <v>1985</v>
      </c>
      <c r="C838">
        <v>1985</v>
      </c>
      <c r="D838" s="3" t="s">
        <v>19</v>
      </c>
      <c r="E838" s="3" t="s">
        <v>19</v>
      </c>
      <c r="F838">
        <v>10</v>
      </c>
      <c r="G838" s="7">
        <v>31300</v>
      </c>
      <c r="H838">
        <v>2</v>
      </c>
      <c r="I838" s="3" t="s">
        <v>9211</v>
      </c>
      <c r="J838" s="3" t="s">
        <v>10</v>
      </c>
      <c r="K838" s="3" t="s">
        <v>15</v>
      </c>
      <c r="L838" s="3" t="s">
        <v>246</v>
      </c>
      <c r="M838">
        <v>41</v>
      </c>
      <c r="N838" s="3"/>
    </row>
    <row r="839" spans="1:14" x14ac:dyDescent="0.25">
      <c r="A839" s="3" t="s">
        <v>869</v>
      </c>
      <c r="B839">
        <v>1989</v>
      </c>
      <c r="C839">
        <v>1989</v>
      </c>
      <c r="D839" s="3" t="s">
        <v>29</v>
      </c>
      <c r="E839" s="3" t="s">
        <v>29</v>
      </c>
      <c r="F839">
        <v>21</v>
      </c>
      <c r="G839" s="7">
        <v>32863</v>
      </c>
      <c r="H839">
        <v>3</v>
      </c>
      <c r="I839" s="3" t="s">
        <v>9212</v>
      </c>
      <c r="J839" s="3" t="s">
        <v>10</v>
      </c>
      <c r="K839" s="3" t="s">
        <v>11</v>
      </c>
      <c r="L839" s="3" t="s">
        <v>246</v>
      </c>
      <c r="M839">
        <v>37</v>
      </c>
      <c r="N839" s="3"/>
    </row>
    <row r="840" spans="1:14" x14ac:dyDescent="0.25">
      <c r="A840" s="3" t="s">
        <v>870</v>
      </c>
      <c r="B840">
        <v>1984</v>
      </c>
      <c r="C840">
        <v>1984</v>
      </c>
      <c r="D840" s="3" t="s">
        <v>19</v>
      </c>
      <c r="E840" s="3" t="s">
        <v>19</v>
      </c>
      <c r="F840">
        <v>5</v>
      </c>
      <c r="G840" s="7">
        <v>30930</v>
      </c>
      <c r="H840">
        <v>2</v>
      </c>
      <c r="I840" s="3" t="s">
        <v>9213</v>
      </c>
      <c r="J840" s="3" t="s">
        <v>10</v>
      </c>
      <c r="K840" s="3" t="s">
        <v>11</v>
      </c>
      <c r="L840" s="3" t="s">
        <v>22</v>
      </c>
      <c r="M840">
        <v>42</v>
      </c>
      <c r="N840" s="3"/>
    </row>
    <row r="841" spans="1:14" x14ac:dyDescent="0.25">
      <c r="A841" s="3" t="s">
        <v>871</v>
      </c>
      <c r="B841">
        <v>1978</v>
      </c>
      <c r="C841">
        <v>1978</v>
      </c>
      <c r="D841" s="3" t="s">
        <v>14</v>
      </c>
      <c r="E841" s="3" t="s">
        <v>14</v>
      </c>
      <c r="F841">
        <v>29</v>
      </c>
      <c r="G841" s="7">
        <v>28823</v>
      </c>
      <c r="H841">
        <v>2</v>
      </c>
      <c r="I841" s="3" t="s">
        <v>9214</v>
      </c>
      <c r="J841" s="3" t="s">
        <v>10</v>
      </c>
      <c r="K841" s="3" t="s">
        <v>10</v>
      </c>
      <c r="L841" s="3" t="s">
        <v>12</v>
      </c>
      <c r="M841">
        <v>48</v>
      </c>
      <c r="N841" s="3"/>
    </row>
    <row r="842" spans="1:14" x14ac:dyDescent="0.25">
      <c r="A842" s="3" t="s">
        <v>872</v>
      </c>
      <c r="B842">
        <v>1980</v>
      </c>
      <c r="C842">
        <v>1980</v>
      </c>
      <c r="D842" s="3" t="s">
        <v>34</v>
      </c>
      <c r="E842" s="3" t="s">
        <v>34</v>
      </c>
      <c r="F842">
        <v>30</v>
      </c>
      <c r="G842" s="7">
        <v>29463</v>
      </c>
      <c r="H842">
        <v>1</v>
      </c>
      <c r="I842" s="3" t="s">
        <v>9215</v>
      </c>
      <c r="J842" s="3" t="s">
        <v>10</v>
      </c>
      <c r="K842" s="3" t="s">
        <v>10</v>
      </c>
      <c r="L842" s="3" t="s">
        <v>22</v>
      </c>
      <c r="M842">
        <v>46</v>
      </c>
      <c r="N842" s="3"/>
    </row>
    <row r="843" spans="1:14" x14ac:dyDescent="0.25">
      <c r="A843" s="3" t="s">
        <v>873</v>
      </c>
      <c r="B843">
        <v>1980</v>
      </c>
      <c r="C843">
        <v>1980</v>
      </c>
      <c r="D843" s="3" t="s">
        <v>36</v>
      </c>
      <c r="E843" s="3" t="s">
        <v>36</v>
      </c>
      <c r="F843">
        <v>5</v>
      </c>
      <c r="G843" s="7">
        <v>29499</v>
      </c>
      <c r="H843">
        <v>2</v>
      </c>
      <c r="I843" s="3" t="s">
        <v>9216</v>
      </c>
      <c r="J843" s="3" t="s">
        <v>10</v>
      </c>
      <c r="K843" s="3" t="s">
        <v>11</v>
      </c>
      <c r="L843" s="3" t="s">
        <v>12</v>
      </c>
      <c r="M843">
        <v>46</v>
      </c>
      <c r="N843" s="3"/>
    </row>
    <row r="844" spans="1:14" x14ac:dyDescent="0.25">
      <c r="A844" s="3" t="s">
        <v>874</v>
      </c>
      <c r="B844">
        <v>1978</v>
      </c>
      <c r="C844">
        <v>1978</v>
      </c>
      <c r="D844" s="3" t="s">
        <v>29</v>
      </c>
      <c r="E844" s="3" t="s">
        <v>29</v>
      </c>
      <c r="F844">
        <v>15</v>
      </c>
      <c r="G844" s="7">
        <v>28839</v>
      </c>
      <c r="H844">
        <v>0</v>
      </c>
      <c r="I844" s="3" t="s">
        <v>9217</v>
      </c>
      <c r="J844" s="3" t="s">
        <v>15</v>
      </c>
      <c r="K844" s="3" t="s">
        <v>10</v>
      </c>
      <c r="L844" s="3" t="s">
        <v>22</v>
      </c>
      <c r="M844">
        <v>48</v>
      </c>
      <c r="N844" s="3"/>
    </row>
    <row r="845" spans="1:14" x14ac:dyDescent="0.25">
      <c r="A845" s="3" t="s">
        <v>875</v>
      </c>
      <c r="B845">
        <v>1980</v>
      </c>
      <c r="C845">
        <v>1980</v>
      </c>
      <c r="D845" s="3" t="s">
        <v>34</v>
      </c>
      <c r="E845" s="3" t="s">
        <v>34</v>
      </c>
      <c r="F845">
        <v>18</v>
      </c>
      <c r="G845" s="7">
        <v>29451</v>
      </c>
      <c r="H845">
        <v>2</v>
      </c>
      <c r="I845" s="3" t="s">
        <v>9218</v>
      </c>
      <c r="J845" s="3" t="s">
        <v>10</v>
      </c>
      <c r="K845" s="3" t="s">
        <v>10</v>
      </c>
      <c r="L845" s="3" t="s">
        <v>12</v>
      </c>
      <c r="M845">
        <v>46</v>
      </c>
      <c r="N845" s="3"/>
    </row>
    <row r="846" spans="1:14" x14ac:dyDescent="0.25">
      <c r="A846" s="3" t="s">
        <v>876</v>
      </c>
      <c r="B846">
        <v>1975</v>
      </c>
      <c r="C846">
        <v>1975</v>
      </c>
      <c r="D846" s="3" t="s">
        <v>17</v>
      </c>
      <c r="E846" s="3" t="s">
        <v>17</v>
      </c>
      <c r="F846">
        <v>3</v>
      </c>
      <c r="G846" s="7">
        <v>27548</v>
      </c>
      <c r="H846">
        <v>1</v>
      </c>
      <c r="I846" s="3" t="s">
        <v>9219</v>
      </c>
      <c r="J846" s="3" t="s">
        <v>10</v>
      </c>
      <c r="K846" s="3" t="s">
        <v>11</v>
      </c>
      <c r="L846" s="3" t="s">
        <v>12</v>
      </c>
      <c r="M846">
        <v>51</v>
      </c>
      <c r="N846" s="3"/>
    </row>
    <row r="847" spans="1:14" x14ac:dyDescent="0.25">
      <c r="A847" s="3" t="s">
        <v>877</v>
      </c>
      <c r="B847">
        <v>1985</v>
      </c>
      <c r="C847">
        <v>1985</v>
      </c>
      <c r="D847" s="3" t="s">
        <v>29</v>
      </c>
      <c r="E847" s="3" t="s">
        <v>29</v>
      </c>
      <c r="F847">
        <v>10</v>
      </c>
      <c r="G847" s="7">
        <v>31391</v>
      </c>
      <c r="H847">
        <v>3</v>
      </c>
      <c r="I847" s="3" t="s">
        <v>9220</v>
      </c>
      <c r="J847" s="3" t="s">
        <v>10</v>
      </c>
      <c r="K847" s="3" t="s">
        <v>10</v>
      </c>
      <c r="L847" s="3" t="s">
        <v>165</v>
      </c>
      <c r="M847">
        <v>41</v>
      </c>
      <c r="N847" s="3"/>
    </row>
    <row r="848" spans="1:14" x14ac:dyDescent="0.25">
      <c r="A848" s="3" t="s">
        <v>878</v>
      </c>
      <c r="B848">
        <v>1982</v>
      </c>
      <c r="C848">
        <v>1982</v>
      </c>
      <c r="D848" s="3" t="s">
        <v>36</v>
      </c>
      <c r="E848" s="3" t="s">
        <v>36</v>
      </c>
      <c r="F848">
        <v>18</v>
      </c>
      <c r="G848" s="7">
        <v>30242</v>
      </c>
      <c r="H848">
        <v>2</v>
      </c>
      <c r="I848" s="3" t="s">
        <v>9221</v>
      </c>
      <c r="J848" s="3" t="s">
        <v>11</v>
      </c>
      <c r="K848" s="3" t="s">
        <v>15</v>
      </c>
      <c r="L848" s="3" t="s">
        <v>22</v>
      </c>
      <c r="M848">
        <v>44</v>
      </c>
      <c r="N848" s="3"/>
    </row>
    <row r="849" spans="1:14" x14ac:dyDescent="0.25">
      <c r="A849" s="3" t="s">
        <v>879</v>
      </c>
      <c r="B849">
        <v>1982</v>
      </c>
      <c r="C849">
        <v>1982</v>
      </c>
      <c r="D849" s="3" t="s">
        <v>19</v>
      </c>
      <c r="E849" s="3" t="s">
        <v>19</v>
      </c>
      <c r="F849">
        <v>1</v>
      </c>
      <c r="G849" s="7">
        <v>30195</v>
      </c>
      <c r="H849">
        <v>3</v>
      </c>
      <c r="I849" s="3" t="s">
        <v>9222</v>
      </c>
      <c r="J849" s="3" t="s">
        <v>10</v>
      </c>
      <c r="K849" s="3" t="s">
        <v>15</v>
      </c>
      <c r="L849" s="3" t="s">
        <v>12</v>
      </c>
      <c r="M849">
        <v>44</v>
      </c>
      <c r="N849" s="3"/>
    </row>
    <row r="850" spans="1:14" x14ac:dyDescent="0.25">
      <c r="A850" s="3" t="s">
        <v>880</v>
      </c>
      <c r="B850">
        <v>1969</v>
      </c>
      <c r="C850">
        <v>1969</v>
      </c>
      <c r="D850" s="3" t="s">
        <v>9</v>
      </c>
      <c r="E850" s="3" t="s">
        <v>9</v>
      </c>
      <c r="F850">
        <v>6</v>
      </c>
      <c r="G850" s="7">
        <v>25390</v>
      </c>
      <c r="H850">
        <v>0</v>
      </c>
      <c r="I850" s="3" t="s">
        <v>9223</v>
      </c>
      <c r="J850" s="3" t="s">
        <v>10</v>
      </c>
      <c r="K850" s="3" t="s">
        <v>11</v>
      </c>
      <c r="L850" s="3" t="s">
        <v>12</v>
      </c>
      <c r="M850">
        <v>57</v>
      </c>
      <c r="N850" s="3"/>
    </row>
    <row r="851" spans="1:14" x14ac:dyDescent="0.25">
      <c r="A851" s="3" t="s">
        <v>881</v>
      </c>
      <c r="B851">
        <v>1978</v>
      </c>
      <c r="C851">
        <v>1978</v>
      </c>
      <c r="D851" s="3" t="s">
        <v>17</v>
      </c>
      <c r="E851" s="3" t="s">
        <v>17</v>
      </c>
      <c r="F851">
        <v>2</v>
      </c>
      <c r="G851" s="7">
        <v>28643</v>
      </c>
      <c r="H851">
        <v>2</v>
      </c>
      <c r="I851" s="3" t="s">
        <v>9224</v>
      </c>
      <c r="J851" s="3" t="s">
        <v>10</v>
      </c>
      <c r="K851" s="3" t="s">
        <v>10</v>
      </c>
      <c r="L851" s="3" t="s">
        <v>12</v>
      </c>
      <c r="M851">
        <v>48</v>
      </c>
      <c r="N851" s="3"/>
    </row>
    <row r="852" spans="1:14" x14ac:dyDescent="0.25">
      <c r="A852" s="3" t="s">
        <v>882</v>
      </c>
      <c r="B852">
        <v>1995</v>
      </c>
      <c r="C852">
        <v>1995</v>
      </c>
      <c r="D852" s="3" t="s">
        <v>36</v>
      </c>
      <c r="E852" s="3" t="s">
        <v>36</v>
      </c>
      <c r="F852">
        <v>29</v>
      </c>
      <c r="G852" s="7">
        <v>35001</v>
      </c>
      <c r="H852">
        <v>0</v>
      </c>
      <c r="I852" s="3" t="s">
        <v>9225</v>
      </c>
      <c r="J852" s="3" t="s">
        <v>10</v>
      </c>
      <c r="K852" s="3" t="s">
        <v>11</v>
      </c>
      <c r="L852" s="3" t="s">
        <v>22</v>
      </c>
      <c r="M852">
        <v>31</v>
      </c>
      <c r="N852" s="3"/>
    </row>
    <row r="853" spans="1:14" x14ac:dyDescent="0.25">
      <c r="A853" s="3" t="s">
        <v>883</v>
      </c>
      <c r="B853">
        <v>1980</v>
      </c>
      <c r="C853">
        <v>1980</v>
      </c>
      <c r="D853" s="3" t="s">
        <v>9</v>
      </c>
      <c r="E853" s="3" t="s">
        <v>9</v>
      </c>
      <c r="F853">
        <v>26</v>
      </c>
      <c r="G853" s="7">
        <v>29428</v>
      </c>
      <c r="H853">
        <v>1</v>
      </c>
      <c r="I853" s="3" t="s">
        <v>9226</v>
      </c>
      <c r="J853" s="3" t="s">
        <v>10</v>
      </c>
      <c r="K853" s="3" t="s">
        <v>15</v>
      </c>
      <c r="L853" s="3" t="s">
        <v>41</v>
      </c>
      <c r="M853">
        <v>46</v>
      </c>
      <c r="N853" s="3"/>
    </row>
    <row r="854" spans="1:14" x14ac:dyDescent="0.25">
      <c r="A854" s="3" t="s">
        <v>884</v>
      </c>
      <c r="B854">
        <v>1980</v>
      </c>
      <c r="C854">
        <v>1980</v>
      </c>
      <c r="D854" s="3" t="s">
        <v>36</v>
      </c>
      <c r="E854" s="3" t="s">
        <v>36</v>
      </c>
      <c r="F854">
        <v>22</v>
      </c>
      <c r="G854" s="7">
        <v>29516</v>
      </c>
      <c r="H854">
        <v>1</v>
      </c>
      <c r="I854" s="3" t="s">
        <v>9227</v>
      </c>
      <c r="J854" s="3" t="s">
        <v>10</v>
      </c>
      <c r="K854" s="3" t="s">
        <v>11</v>
      </c>
      <c r="L854" s="3" t="s">
        <v>12</v>
      </c>
      <c r="M854">
        <v>46</v>
      </c>
      <c r="N854" s="3"/>
    </row>
    <row r="855" spans="1:14" x14ac:dyDescent="0.25">
      <c r="A855" s="3" t="s">
        <v>885</v>
      </c>
      <c r="B855">
        <v>1980</v>
      </c>
      <c r="C855">
        <v>1980</v>
      </c>
      <c r="D855" s="3" t="s">
        <v>9</v>
      </c>
      <c r="E855" s="3" t="s">
        <v>9</v>
      </c>
      <c r="F855">
        <v>21</v>
      </c>
      <c r="G855" s="7">
        <v>29423</v>
      </c>
      <c r="H855">
        <v>0</v>
      </c>
      <c r="I855" s="3" t="s">
        <v>9228</v>
      </c>
      <c r="J855" s="3" t="s">
        <v>10</v>
      </c>
      <c r="K855" s="3" t="s">
        <v>15</v>
      </c>
      <c r="L855" s="3" t="s">
        <v>246</v>
      </c>
      <c r="M855">
        <v>46</v>
      </c>
      <c r="N855" s="3"/>
    </row>
    <row r="856" spans="1:14" x14ac:dyDescent="0.25">
      <c r="A856" s="3" t="s">
        <v>886</v>
      </c>
      <c r="B856">
        <v>1980</v>
      </c>
      <c r="C856">
        <v>1980</v>
      </c>
      <c r="D856" s="3" t="s">
        <v>17</v>
      </c>
      <c r="E856" s="3" t="s">
        <v>17</v>
      </c>
      <c r="F856">
        <v>28</v>
      </c>
      <c r="G856" s="7">
        <v>29400</v>
      </c>
      <c r="H856">
        <v>1</v>
      </c>
      <c r="I856" s="3" t="s">
        <v>9229</v>
      </c>
      <c r="J856" s="3" t="s">
        <v>10</v>
      </c>
      <c r="K856" s="3" t="s">
        <v>11</v>
      </c>
      <c r="L856" s="3" t="s">
        <v>41</v>
      </c>
      <c r="M856">
        <v>46</v>
      </c>
      <c r="N856" s="3"/>
    </row>
    <row r="857" spans="1:14" x14ac:dyDescent="0.25">
      <c r="A857" s="3" t="s">
        <v>887</v>
      </c>
      <c r="B857">
        <v>1978</v>
      </c>
      <c r="C857">
        <v>1978</v>
      </c>
      <c r="D857" s="3" t="s">
        <v>17</v>
      </c>
      <c r="E857" s="3" t="s">
        <v>17</v>
      </c>
      <c r="F857">
        <v>24</v>
      </c>
      <c r="G857" s="7">
        <v>28665</v>
      </c>
      <c r="H857">
        <v>2</v>
      </c>
      <c r="I857" s="3" t="s">
        <v>9230</v>
      </c>
      <c r="J857" s="3" t="s">
        <v>10</v>
      </c>
      <c r="K857" s="3" t="s">
        <v>10</v>
      </c>
      <c r="L857" s="3" t="s">
        <v>12</v>
      </c>
      <c r="M857">
        <v>48</v>
      </c>
      <c r="N857" s="3"/>
    </row>
    <row r="858" spans="1:14" x14ac:dyDescent="0.25">
      <c r="A858" s="3" t="s">
        <v>888</v>
      </c>
      <c r="B858">
        <v>1982</v>
      </c>
      <c r="C858">
        <v>1982</v>
      </c>
      <c r="D858" s="3" t="s">
        <v>36</v>
      </c>
      <c r="E858" s="3" t="s">
        <v>36</v>
      </c>
      <c r="F858">
        <v>6</v>
      </c>
      <c r="G858" s="7">
        <v>30230</v>
      </c>
      <c r="H858">
        <v>1</v>
      </c>
      <c r="I858" s="3" t="s">
        <v>9231</v>
      </c>
      <c r="J858" s="3" t="s">
        <v>10</v>
      </c>
      <c r="K858" s="3" t="s">
        <v>11</v>
      </c>
      <c r="L858" s="3" t="s">
        <v>246</v>
      </c>
      <c r="M858">
        <v>44</v>
      </c>
      <c r="N858" s="3"/>
    </row>
    <row r="859" spans="1:14" x14ac:dyDescent="0.25">
      <c r="A859" s="3" t="s">
        <v>889</v>
      </c>
      <c r="B859">
        <v>1992</v>
      </c>
      <c r="C859">
        <v>1992</v>
      </c>
      <c r="D859" s="3" t="s">
        <v>17</v>
      </c>
      <c r="E859" s="3" t="s">
        <v>17</v>
      </c>
      <c r="F859">
        <v>18</v>
      </c>
      <c r="G859" s="7">
        <v>33773</v>
      </c>
      <c r="H859">
        <v>0</v>
      </c>
      <c r="I859" s="3" t="s">
        <v>9232</v>
      </c>
      <c r="J859" s="3" t="s">
        <v>10</v>
      </c>
      <c r="K859" s="3" t="s">
        <v>10</v>
      </c>
      <c r="L859" s="3" t="s">
        <v>22</v>
      </c>
      <c r="M859">
        <v>34</v>
      </c>
      <c r="N859" s="3"/>
    </row>
    <row r="860" spans="1:14" x14ac:dyDescent="0.25">
      <c r="A860" s="3" t="s">
        <v>890</v>
      </c>
      <c r="B860">
        <v>1987</v>
      </c>
      <c r="C860">
        <v>1987</v>
      </c>
      <c r="D860" s="3" t="s">
        <v>34</v>
      </c>
      <c r="E860" s="3" t="s">
        <v>34</v>
      </c>
      <c r="F860">
        <v>11</v>
      </c>
      <c r="G860" s="7">
        <v>32000</v>
      </c>
      <c r="H860">
        <v>3</v>
      </c>
      <c r="I860" s="3" t="s">
        <v>9233</v>
      </c>
      <c r="J860" s="3" t="s">
        <v>10</v>
      </c>
      <c r="K860" s="3" t="s">
        <v>15</v>
      </c>
      <c r="L860" s="3" t="s">
        <v>22</v>
      </c>
      <c r="M860">
        <v>39</v>
      </c>
      <c r="N860" s="3"/>
    </row>
    <row r="861" spans="1:14" x14ac:dyDescent="0.25">
      <c r="A861" s="3" t="s">
        <v>891</v>
      </c>
      <c r="B861">
        <v>1968</v>
      </c>
      <c r="C861">
        <v>1968</v>
      </c>
      <c r="D861" s="3" t="s">
        <v>17</v>
      </c>
      <c r="E861" s="3" t="s">
        <v>17</v>
      </c>
      <c r="F861">
        <v>29</v>
      </c>
      <c r="G861" s="7">
        <v>25018</v>
      </c>
      <c r="H861">
        <v>0</v>
      </c>
      <c r="I861" s="3" t="s">
        <v>9234</v>
      </c>
      <c r="J861" s="3" t="s">
        <v>11</v>
      </c>
      <c r="K861" s="3" t="s">
        <v>10</v>
      </c>
      <c r="L861" s="3" t="s">
        <v>12</v>
      </c>
      <c r="M861">
        <v>58</v>
      </c>
      <c r="N861" s="3"/>
    </row>
    <row r="862" spans="1:14" x14ac:dyDescent="0.25">
      <c r="A862" s="3" t="s">
        <v>892</v>
      </c>
      <c r="B862">
        <v>1993</v>
      </c>
      <c r="C862">
        <v>1993</v>
      </c>
      <c r="D862" s="3" t="s">
        <v>34</v>
      </c>
      <c r="E862" s="3" t="s">
        <v>34</v>
      </c>
      <c r="F862">
        <v>1</v>
      </c>
      <c r="G862" s="7">
        <v>34182</v>
      </c>
      <c r="H862">
        <v>0</v>
      </c>
      <c r="I862" s="3" t="s">
        <v>9235</v>
      </c>
      <c r="J862" s="3" t="s">
        <v>10</v>
      </c>
      <c r="K862" s="3" t="s">
        <v>10</v>
      </c>
      <c r="L862" s="3" t="s">
        <v>299</v>
      </c>
      <c r="M862">
        <v>33</v>
      </c>
      <c r="N862" s="3"/>
    </row>
    <row r="863" spans="1:14" x14ac:dyDescent="0.25">
      <c r="A863" s="3" t="s">
        <v>893</v>
      </c>
      <c r="B863">
        <v>1984</v>
      </c>
      <c r="C863">
        <v>1984</v>
      </c>
      <c r="D863" s="3" t="s">
        <v>9</v>
      </c>
      <c r="E863" s="3" t="s">
        <v>9</v>
      </c>
      <c r="F863">
        <v>7</v>
      </c>
      <c r="G863" s="7">
        <v>30870</v>
      </c>
      <c r="H863">
        <v>2</v>
      </c>
      <c r="I863" s="3" t="s">
        <v>9236</v>
      </c>
      <c r="J863" s="3" t="s">
        <v>10</v>
      </c>
      <c r="K863" s="3" t="s">
        <v>15</v>
      </c>
      <c r="L863" s="3" t="s">
        <v>246</v>
      </c>
      <c r="M863">
        <v>42</v>
      </c>
      <c r="N863" s="3"/>
    </row>
    <row r="864" spans="1:14" x14ac:dyDescent="0.25">
      <c r="A864" s="3" t="s">
        <v>894</v>
      </c>
      <c r="B864">
        <v>1999</v>
      </c>
      <c r="C864">
        <v>1999</v>
      </c>
      <c r="D864" s="3" t="s">
        <v>34</v>
      </c>
      <c r="E864" s="3" t="s">
        <v>34</v>
      </c>
      <c r="F864">
        <v>8</v>
      </c>
      <c r="G864" s="7">
        <v>36380</v>
      </c>
      <c r="H864">
        <v>0</v>
      </c>
      <c r="I864" s="3" t="s">
        <v>9237</v>
      </c>
      <c r="J864" s="3" t="s">
        <v>10</v>
      </c>
      <c r="K864" s="3" t="s">
        <v>15</v>
      </c>
      <c r="L864" s="3" t="s">
        <v>631</v>
      </c>
      <c r="M864">
        <v>27</v>
      </c>
      <c r="N864" s="3"/>
    </row>
    <row r="865" spans="1:14" x14ac:dyDescent="0.25">
      <c r="A865" s="3" t="s">
        <v>895</v>
      </c>
      <c r="B865">
        <v>1984</v>
      </c>
      <c r="C865">
        <v>1984</v>
      </c>
      <c r="D865" s="3" t="s">
        <v>14</v>
      </c>
      <c r="E865" s="3" t="s">
        <v>14</v>
      </c>
      <c r="F865">
        <v>21</v>
      </c>
      <c r="G865" s="7">
        <v>31007</v>
      </c>
      <c r="H865">
        <v>2</v>
      </c>
      <c r="I865" s="3" t="s">
        <v>9238</v>
      </c>
      <c r="J865" s="3" t="s">
        <v>10</v>
      </c>
      <c r="K865" s="3" t="s">
        <v>10</v>
      </c>
      <c r="L865" s="3" t="s">
        <v>246</v>
      </c>
      <c r="M865">
        <v>42</v>
      </c>
      <c r="N865" s="3"/>
    </row>
    <row r="866" spans="1:14" x14ac:dyDescent="0.25">
      <c r="A866" s="3" t="s">
        <v>896</v>
      </c>
      <c r="B866">
        <v>1976</v>
      </c>
      <c r="C866">
        <v>1976</v>
      </c>
      <c r="D866" s="3" t="s">
        <v>17</v>
      </c>
      <c r="E866" s="3" t="s">
        <v>17</v>
      </c>
      <c r="F866">
        <v>24</v>
      </c>
      <c r="G866" s="7">
        <v>27935</v>
      </c>
      <c r="H866">
        <v>0</v>
      </c>
      <c r="I866" s="3" t="s">
        <v>9239</v>
      </c>
      <c r="J866" s="3" t="s">
        <v>11</v>
      </c>
      <c r="K866" s="3" t="s">
        <v>10</v>
      </c>
      <c r="L866" s="3" t="s">
        <v>41</v>
      </c>
      <c r="M866">
        <v>50</v>
      </c>
      <c r="N866" s="3"/>
    </row>
    <row r="867" spans="1:14" x14ac:dyDescent="0.25">
      <c r="A867" s="3" t="s">
        <v>897</v>
      </c>
      <c r="B867">
        <v>1978</v>
      </c>
      <c r="C867">
        <v>1978</v>
      </c>
      <c r="D867" s="3" t="s">
        <v>9</v>
      </c>
      <c r="E867" s="3" t="s">
        <v>9</v>
      </c>
      <c r="F867">
        <v>30</v>
      </c>
      <c r="G867" s="7">
        <v>28701</v>
      </c>
      <c r="H867">
        <v>1</v>
      </c>
      <c r="I867" s="3" t="s">
        <v>9240</v>
      </c>
      <c r="J867" s="3" t="s">
        <v>10</v>
      </c>
      <c r="K867" s="3" t="s">
        <v>11</v>
      </c>
      <c r="L867" s="3" t="s">
        <v>12</v>
      </c>
      <c r="M867">
        <v>48</v>
      </c>
      <c r="N867" s="3"/>
    </row>
    <row r="868" spans="1:14" x14ac:dyDescent="0.25">
      <c r="A868" s="3" t="s">
        <v>898</v>
      </c>
      <c r="B868">
        <v>1984</v>
      </c>
      <c r="C868">
        <v>1984</v>
      </c>
      <c r="D868" s="3" t="s">
        <v>17</v>
      </c>
      <c r="E868" s="3" t="s">
        <v>17</v>
      </c>
      <c r="F868">
        <v>29</v>
      </c>
      <c r="G868" s="7">
        <v>30862</v>
      </c>
      <c r="H868">
        <v>3</v>
      </c>
      <c r="I868" s="3" t="s">
        <v>9241</v>
      </c>
      <c r="J868" s="3" t="s">
        <v>10</v>
      </c>
      <c r="K868" s="3" t="s">
        <v>10</v>
      </c>
      <c r="L868" s="3" t="s">
        <v>41</v>
      </c>
      <c r="M868">
        <v>42</v>
      </c>
      <c r="N868" s="3"/>
    </row>
    <row r="869" spans="1:14" x14ac:dyDescent="0.25">
      <c r="A869" s="3" t="s">
        <v>899</v>
      </c>
      <c r="B869">
        <v>1978</v>
      </c>
      <c r="C869">
        <v>1978</v>
      </c>
      <c r="D869" s="3" t="s">
        <v>19</v>
      </c>
      <c r="E869" s="3" t="s">
        <v>19</v>
      </c>
      <c r="F869">
        <v>6</v>
      </c>
      <c r="G869" s="7">
        <v>28739</v>
      </c>
      <c r="H869">
        <v>1</v>
      </c>
      <c r="I869" s="3" t="s">
        <v>9242</v>
      </c>
      <c r="J869" s="3" t="s">
        <v>11</v>
      </c>
      <c r="K869" s="3" t="s">
        <v>10</v>
      </c>
      <c r="L869" s="3" t="s">
        <v>12</v>
      </c>
      <c r="M869">
        <v>48</v>
      </c>
      <c r="N869" s="3"/>
    </row>
    <row r="870" spans="1:14" x14ac:dyDescent="0.25">
      <c r="A870" s="3" t="s">
        <v>900</v>
      </c>
      <c r="B870">
        <v>1981</v>
      </c>
      <c r="C870">
        <v>1981</v>
      </c>
      <c r="D870" s="3" t="s">
        <v>9</v>
      </c>
      <c r="E870" s="3" t="s">
        <v>9</v>
      </c>
      <c r="F870">
        <v>17</v>
      </c>
      <c r="G870" s="7">
        <v>29784</v>
      </c>
      <c r="H870">
        <v>1</v>
      </c>
      <c r="I870" s="3" t="s">
        <v>9243</v>
      </c>
      <c r="J870" s="3" t="s">
        <v>10</v>
      </c>
      <c r="K870" s="3" t="s">
        <v>15</v>
      </c>
      <c r="L870" s="3" t="s">
        <v>22</v>
      </c>
      <c r="M870">
        <v>45</v>
      </c>
      <c r="N870" s="3"/>
    </row>
    <row r="871" spans="1:14" x14ac:dyDescent="0.25">
      <c r="A871" s="3" t="s">
        <v>901</v>
      </c>
      <c r="B871">
        <v>1980</v>
      </c>
      <c r="C871">
        <v>1980</v>
      </c>
      <c r="D871" s="3" t="s">
        <v>17</v>
      </c>
      <c r="E871" s="3" t="s">
        <v>17</v>
      </c>
      <c r="F871">
        <v>22</v>
      </c>
      <c r="G871" s="7">
        <v>29394</v>
      </c>
      <c r="H871">
        <v>2</v>
      </c>
      <c r="I871" s="3" t="s">
        <v>9244</v>
      </c>
      <c r="J871" s="3" t="s">
        <v>10</v>
      </c>
      <c r="K871" s="3" t="s">
        <v>10</v>
      </c>
      <c r="L871" s="3" t="s">
        <v>41</v>
      </c>
      <c r="M871">
        <v>46</v>
      </c>
      <c r="N871" s="3"/>
    </row>
    <row r="872" spans="1:14" x14ac:dyDescent="0.25">
      <c r="A872" s="3" t="s">
        <v>902</v>
      </c>
      <c r="B872">
        <v>1980</v>
      </c>
      <c r="C872">
        <v>1980</v>
      </c>
      <c r="D872" s="3" t="s">
        <v>36</v>
      </c>
      <c r="E872" s="3" t="s">
        <v>36</v>
      </c>
      <c r="F872">
        <v>7</v>
      </c>
      <c r="G872" s="7">
        <v>29501</v>
      </c>
      <c r="H872">
        <v>2</v>
      </c>
      <c r="I872" s="3" t="s">
        <v>9245</v>
      </c>
      <c r="J872" s="3" t="s">
        <v>10</v>
      </c>
      <c r="K872" s="3" t="s">
        <v>15</v>
      </c>
      <c r="L872" s="3" t="s">
        <v>12</v>
      </c>
      <c r="M872">
        <v>46</v>
      </c>
      <c r="N872" s="3"/>
    </row>
    <row r="873" spans="1:14" x14ac:dyDescent="0.25">
      <c r="A873" s="3" t="s">
        <v>903</v>
      </c>
      <c r="B873">
        <v>1980</v>
      </c>
      <c r="C873">
        <v>1980</v>
      </c>
      <c r="D873" s="3" t="s">
        <v>19</v>
      </c>
      <c r="E873" s="3" t="s">
        <v>19</v>
      </c>
      <c r="F873">
        <v>30</v>
      </c>
      <c r="G873" s="7">
        <v>29494</v>
      </c>
      <c r="H873">
        <v>2</v>
      </c>
      <c r="I873" s="3" t="s">
        <v>9246</v>
      </c>
      <c r="J873" s="3" t="s">
        <v>10</v>
      </c>
      <c r="K873" s="3" t="s">
        <v>11</v>
      </c>
      <c r="L873" s="3" t="s">
        <v>12</v>
      </c>
      <c r="M873">
        <v>46</v>
      </c>
      <c r="N873" s="3"/>
    </row>
    <row r="874" spans="1:14" x14ac:dyDescent="0.25">
      <c r="A874" s="3" t="s">
        <v>904</v>
      </c>
      <c r="B874">
        <v>1982</v>
      </c>
      <c r="C874">
        <v>1982</v>
      </c>
      <c r="D874" s="3" t="s">
        <v>34</v>
      </c>
      <c r="E874" s="3" t="s">
        <v>34</v>
      </c>
      <c r="F874">
        <v>16</v>
      </c>
      <c r="G874" s="7">
        <v>30179</v>
      </c>
      <c r="H874">
        <v>2</v>
      </c>
      <c r="I874" s="3" t="s">
        <v>9247</v>
      </c>
      <c r="J874" s="3" t="s">
        <v>11</v>
      </c>
      <c r="K874" s="3" t="s">
        <v>10</v>
      </c>
      <c r="L874" s="3" t="s">
        <v>167</v>
      </c>
      <c r="M874">
        <v>44</v>
      </c>
      <c r="N874" s="3"/>
    </row>
    <row r="875" spans="1:14" x14ac:dyDescent="0.25">
      <c r="A875" s="3" t="s">
        <v>905</v>
      </c>
      <c r="B875">
        <v>1975</v>
      </c>
      <c r="C875">
        <v>1975</v>
      </c>
      <c r="D875" s="3" t="s">
        <v>9</v>
      </c>
      <c r="E875" s="3" t="s">
        <v>9</v>
      </c>
      <c r="F875">
        <v>19</v>
      </c>
      <c r="G875" s="7">
        <v>27594</v>
      </c>
      <c r="H875">
        <v>1</v>
      </c>
      <c r="I875" s="3" t="s">
        <v>9248</v>
      </c>
      <c r="J875" s="3" t="s">
        <v>10</v>
      </c>
      <c r="K875" s="3" t="s">
        <v>11</v>
      </c>
      <c r="L875" s="3" t="s">
        <v>12</v>
      </c>
      <c r="M875">
        <v>51</v>
      </c>
      <c r="N875" s="3"/>
    </row>
    <row r="876" spans="1:14" x14ac:dyDescent="0.25">
      <c r="A876" s="3" t="s">
        <v>906</v>
      </c>
      <c r="B876">
        <v>1968</v>
      </c>
      <c r="C876">
        <v>1968</v>
      </c>
      <c r="D876" s="3" t="s">
        <v>34</v>
      </c>
      <c r="E876" s="3" t="s">
        <v>34</v>
      </c>
      <c r="F876">
        <v>26</v>
      </c>
      <c r="G876" s="7">
        <v>25076</v>
      </c>
      <c r="H876">
        <v>0</v>
      </c>
      <c r="I876" s="3" t="s">
        <v>9249</v>
      </c>
      <c r="J876" s="3" t="s">
        <v>11</v>
      </c>
      <c r="K876" s="3" t="s">
        <v>11</v>
      </c>
      <c r="L876" s="3" t="s">
        <v>12</v>
      </c>
      <c r="M876">
        <v>58</v>
      </c>
      <c r="N876" s="3"/>
    </row>
    <row r="877" spans="1:14" x14ac:dyDescent="0.25">
      <c r="A877" s="3" t="s">
        <v>907</v>
      </c>
      <c r="B877">
        <v>1982</v>
      </c>
      <c r="C877">
        <v>1982</v>
      </c>
      <c r="D877" s="3" t="s">
        <v>19</v>
      </c>
      <c r="E877" s="3" t="s">
        <v>19</v>
      </c>
      <c r="F877">
        <v>14</v>
      </c>
      <c r="G877" s="7">
        <v>30208</v>
      </c>
      <c r="H877">
        <v>3</v>
      </c>
      <c r="I877" s="3" t="s">
        <v>9250</v>
      </c>
      <c r="J877" s="3" t="s">
        <v>11</v>
      </c>
      <c r="K877" s="3" t="s">
        <v>10</v>
      </c>
      <c r="L877" s="3" t="s">
        <v>41</v>
      </c>
      <c r="M877">
        <v>44</v>
      </c>
      <c r="N877" s="3"/>
    </row>
    <row r="878" spans="1:14" x14ac:dyDescent="0.25">
      <c r="A878" s="3" t="s">
        <v>908</v>
      </c>
      <c r="B878">
        <v>1983</v>
      </c>
      <c r="C878">
        <v>1983</v>
      </c>
      <c r="D878" s="3" t="s">
        <v>34</v>
      </c>
      <c r="E878" s="3" t="s">
        <v>34</v>
      </c>
      <c r="F878">
        <v>11</v>
      </c>
      <c r="G878" s="7">
        <v>30539</v>
      </c>
      <c r="H878">
        <v>2</v>
      </c>
      <c r="I878" s="3" t="s">
        <v>9251</v>
      </c>
      <c r="J878" s="3" t="s">
        <v>10</v>
      </c>
      <c r="K878" s="3" t="s">
        <v>11</v>
      </c>
      <c r="L878" s="3" t="s">
        <v>22</v>
      </c>
      <c r="M878">
        <v>43</v>
      </c>
      <c r="N878" s="3"/>
    </row>
    <row r="879" spans="1:14" x14ac:dyDescent="0.25">
      <c r="A879" s="3" t="s">
        <v>909</v>
      </c>
      <c r="B879">
        <v>1983</v>
      </c>
      <c r="C879">
        <v>1983</v>
      </c>
      <c r="D879" s="3" t="s">
        <v>14</v>
      </c>
      <c r="E879" s="3" t="s">
        <v>14</v>
      </c>
      <c r="F879">
        <v>21</v>
      </c>
      <c r="G879" s="7">
        <v>30641</v>
      </c>
      <c r="H879">
        <v>2</v>
      </c>
      <c r="I879" s="3" t="s">
        <v>9252</v>
      </c>
      <c r="J879" s="3" t="s">
        <v>10</v>
      </c>
      <c r="K879" s="3" t="s">
        <v>11</v>
      </c>
      <c r="L879" s="3" t="s">
        <v>22</v>
      </c>
      <c r="M879">
        <v>43</v>
      </c>
      <c r="N879" s="3"/>
    </row>
    <row r="880" spans="1:14" x14ac:dyDescent="0.25">
      <c r="A880" s="3" t="s">
        <v>910</v>
      </c>
      <c r="B880">
        <v>1991</v>
      </c>
      <c r="C880">
        <v>1991</v>
      </c>
      <c r="D880" s="3" t="s">
        <v>17</v>
      </c>
      <c r="E880" s="3" t="s">
        <v>17</v>
      </c>
      <c r="F880">
        <v>28</v>
      </c>
      <c r="G880" s="7">
        <v>33417</v>
      </c>
      <c r="H880">
        <v>3</v>
      </c>
      <c r="I880" s="3" t="s">
        <v>9253</v>
      </c>
      <c r="J880" s="3" t="s">
        <v>10</v>
      </c>
      <c r="K880" s="3" t="s">
        <v>10</v>
      </c>
      <c r="L880" s="3" t="s">
        <v>299</v>
      </c>
      <c r="M880">
        <v>35</v>
      </c>
      <c r="N880" s="3"/>
    </row>
    <row r="881" spans="1:14" x14ac:dyDescent="0.25">
      <c r="A881" s="3" t="s">
        <v>911</v>
      </c>
      <c r="B881">
        <v>1977</v>
      </c>
      <c r="C881">
        <v>1977</v>
      </c>
      <c r="D881" s="3" t="s">
        <v>19</v>
      </c>
      <c r="E881" s="3" t="s">
        <v>19</v>
      </c>
      <c r="F881">
        <v>15</v>
      </c>
      <c r="G881" s="7">
        <v>28383</v>
      </c>
      <c r="H881">
        <v>0</v>
      </c>
      <c r="I881" s="3" t="s">
        <v>9254</v>
      </c>
      <c r="J881" s="3" t="s">
        <v>11</v>
      </c>
      <c r="K881" s="3" t="s">
        <v>11</v>
      </c>
      <c r="L881" s="3" t="s">
        <v>22</v>
      </c>
      <c r="M881">
        <v>49</v>
      </c>
      <c r="N881" s="3"/>
    </row>
    <row r="882" spans="1:14" x14ac:dyDescent="0.25">
      <c r="A882" s="3" t="s">
        <v>912</v>
      </c>
      <c r="B882">
        <v>1986</v>
      </c>
      <c r="C882">
        <v>1986</v>
      </c>
      <c r="D882" s="3" t="s">
        <v>9</v>
      </c>
      <c r="E882" s="3" t="s">
        <v>9</v>
      </c>
      <c r="F882">
        <v>13</v>
      </c>
      <c r="G882" s="7">
        <v>31606</v>
      </c>
      <c r="H882">
        <v>3</v>
      </c>
      <c r="I882" s="3" t="s">
        <v>9255</v>
      </c>
      <c r="J882" s="3" t="s">
        <v>10</v>
      </c>
      <c r="K882" s="3" t="s">
        <v>15</v>
      </c>
      <c r="L882" s="3" t="s">
        <v>246</v>
      </c>
      <c r="M882">
        <v>40</v>
      </c>
      <c r="N882" s="3"/>
    </row>
    <row r="883" spans="1:14" x14ac:dyDescent="0.25">
      <c r="A883" s="3" t="s">
        <v>913</v>
      </c>
      <c r="B883">
        <v>1986</v>
      </c>
      <c r="C883">
        <v>1986</v>
      </c>
      <c r="D883" s="3" t="s">
        <v>19</v>
      </c>
      <c r="E883" s="3" t="s">
        <v>19</v>
      </c>
      <c r="F883">
        <v>2</v>
      </c>
      <c r="G883" s="7">
        <v>31657</v>
      </c>
      <c r="H883">
        <v>4</v>
      </c>
      <c r="I883" s="3" t="s">
        <v>9256</v>
      </c>
      <c r="J883" s="3" t="s">
        <v>10</v>
      </c>
      <c r="K883" s="3" t="s">
        <v>11</v>
      </c>
      <c r="L883" s="3" t="s">
        <v>12</v>
      </c>
      <c r="M883">
        <v>40</v>
      </c>
      <c r="N883" s="3"/>
    </row>
    <row r="884" spans="1:14" x14ac:dyDescent="0.25">
      <c r="A884" s="3" t="s">
        <v>914</v>
      </c>
      <c r="B884">
        <v>1982</v>
      </c>
      <c r="C884">
        <v>1982</v>
      </c>
      <c r="D884" s="3" t="s">
        <v>9</v>
      </c>
      <c r="E884" s="3" t="s">
        <v>9</v>
      </c>
      <c r="F884">
        <v>24</v>
      </c>
      <c r="G884" s="7">
        <v>30156</v>
      </c>
      <c r="H884">
        <v>3</v>
      </c>
      <c r="I884" s="3" t="s">
        <v>9257</v>
      </c>
      <c r="J884" s="3" t="s">
        <v>10</v>
      </c>
      <c r="K884" s="3" t="s">
        <v>15</v>
      </c>
      <c r="L884" s="3" t="s">
        <v>12</v>
      </c>
      <c r="M884">
        <v>44</v>
      </c>
      <c r="N884" s="3"/>
    </row>
    <row r="885" spans="1:14" x14ac:dyDescent="0.25">
      <c r="A885" s="3" t="s">
        <v>915</v>
      </c>
      <c r="B885">
        <v>1981</v>
      </c>
      <c r="C885">
        <v>1981</v>
      </c>
      <c r="D885" s="3" t="s">
        <v>34</v>
      </c>
      <c r="E885" s="3" t="s">
        <v>34</v>
      </c>
      <c r="F885">
        <v>14</v>
      </c>
      <c r="G885" s="7">
        <v>29812</v>
      </c>
      <c r="H885">
        <v>2</v>
      </c>
      <c r="I885" s="3" t="s">
        <v>9258</v>
      </c>
      <c r="J885" s="3" t="s">
        <v>11</v>
      </c>
      <c r="K885" s="3" t="s">
        <v>10</v>
      </c>
      <c r="L885" s="3" t="s">
        <v>22</v>
      </c>
      <c r="M885">
        <v>45</v>
      </c>
      <c r="N885" s="3"/>
    </row>
    <row r="886" spans="1:14" x14ac:dyDescent="0.25">
      <c r="A886" s="3" t="s">
        <v>916</v>
      </c>
      <c r="B886">
        <v>1981</v>
      </c>
      <c r="C886">
        <v>1981</v>
      </c>
      <c r="D886" s="3" t="s">
        <v>17</v>
      </c>
      <c r="E886" s="3" t="s">
        <v>17</v>
      </c>
      <c r="F886">
        <v>13</v>
      </c>
      <c r="G886" s="7">
        <v>29750</v>
      </c>
      <c r="H886">
        <v>2</v>
      </c>
      <c r="I886" s="3" t="s">
        <v>9259</v>
      </c>
      <c r="J886" s="3" t="s">
        <v>11</v>
      </c>
      <c r="K886" s="3" t="s">
        <v>11</v>
      </c>
      <c r="L886" s="3" t="s">
        <v>22</v>
      </c>
      <c r="M886">
        <v>45</v>
      </c>
      <c r="N886" s="3"/>
    </row>
    <row r="887" spans="1:14" x14ac:dyDescent="0.25">
      <c r="A887" s="3" t="s">
        <v>917</v>
      </c>
      <c r="B887">
        <v>1973</v>
      </c>
      <c r="C887">
        <v>1973</v>
      </c>
      <c r="D887" s="3" t="s">
        <v>36</v>
      </c>
      <c r="E887" s="3" t="s">
        <v>36</v>
      </c>
      <c r="F887">
        <v>25</v>
      </c>
      <c r="G887" s="7">
        <v>26962</v>
      </c>
      <c r="H887">
        <v>0</v>
      </c>
      <c r="I887" s="3" t="s">
        <v>9260</v>
      </c>
      <c r="J887" s="3" t="s">
        <v>10</v>
      </c>
      <c r="K887" s="3" t="s">
        <v>10</v>
      </c>
      <c r="L887" s="3" t="s">
        <v>12</v>
      </c>
      <c r="M887">
        <v>53</v>
      </c>
      <c r="N887" s="3"/>
    </row>
    <row r="888" spans="1:14" x14ac:dyDescent="0.25">
      <c r="A888" s="3" t="s">
        <v>918</v>
      </c>
      <c r="B888">
        <v>1981</v>
      </c>
      <c r="C888">
        <v>1981</v>
      </c>
      <c r="D888" s="3" t="s">
        <v>34</v>
      </c>
      <c r="E888" s="3" t="s">
        <v>34</v>
      </c>
      <c r="F888">
        <v>4</v>
      </c>
      <c r="G888" s="7">
        <v>29802</v>
      </c>
      <c r="H888">
        <v>2</v>
      </c>
      <c r="I888" s="3" t="s">
        <v>9261</v>
      </c>
      <c r="J888" s="3" t="s">
        <v>11</v>
      </c>
      <c r="K888" s="3" t="s">
        <v>11</v>
      </c>
      <c r="L888" s="3" t="s">
        <v>22</v>
      </c>
      <c r="M888">
        <v>45</v>
      </c>
      <c r="N888" s="3"/>
    </row>
    <row r="889" spans="1:14" x14ac:dyDescent="0.25">
      <c r="A889" s="3" t="s">
        <v>919</v>
      </c>
      <c r="B889">
        <v>1976</v>
      </c>
      <c r="C889">
        <v>1976</v>
      </c>
      <c r="D889" s="3" t="s">
        <v>29</v>
      </c>
      <c r="E889" s="3" t="s">
        <v>29</v>
      </c>
      <c r="F889">
        <v>18</v>
      </c>
      <c r="G889" s="7">
        <v>28112</v>
      </c>
      <c r="H889">
        <v>2</v>
      </c>
      <c r="I889" s="3" t="s">
        <v>9262</v>
      </c>
      <c r="J889" s="3" t="s">
        <v>10</v>
      </c>
      <c r="K889" s="3" t="s">
        <v>15</v>
      </c>
      <c r="L889" s="3" t="s">
        <v>12</v>
      </c>
      <c r="M889">
        <v>50</v>
      </c>
      <c r="N889" s="3"/>
    </row>
    <row r="890" spans="1:14" x14ac:dyDescent="0.25">
      <c r="A890" s="3" t="s">
        <v>920</v>
      </c>
      <c r="B890">
        <v>1985</v>
      </c>
      <c r="C890">
        <v>1985</v>
      </c>
      <c r="D890" s="3" t="s">
        <v>14</v>
      </c>
      <c r="E890" s="3" t="s">
        <v>14</v>
      </c>
      <c r="F890">
        <v>2</v>
      </c>
      <c r="G890" s="7">
        <v>31353</v>
      </c>
      <c r="H890">
        <v>3</v>
      </c>
      <c r="I890" s="3" t="s">
        <v>9263</v>
      </c>
      <c r="J890" s="3" t="s">
        <v>10</v>
      </c>
      <c r="K890" s="3" t="s">
        <v>15</v>
      </c>
      <c r="L890" s="3" t="s">
        <v>22</v>
      </c>
      <c r="M890">
        <v>41</v>
      </c>
      <c r="N890" s="3"/>
    </row>
    <row r="891" spans="1:14" x14ac:dyDescent="0.25">
      <c r="A891" s="3" t="s">
        <v>921</v>
      </c>
      <c r="B891">
        <v>1966</v>
      </c>
      <c r="C891">
        <v>1966</v>
      </c>
      <c r="D891" s="3" t="s">
        <v>29</v>
      </c>
      <c r="E891" s="3" t="s">
        <v>29</v>
      </c>
      <c r="F891">
        <v>26</v>
      </c>
      <c r="G891" s="7">
        <v>24467</v>
      </c>
      <c r="H891">
        <v>0</v>
      </c>
      <c r="I891" s="3" t="s">
        <v>9264</v>
      </c>
      <c r="J891" s="3" t="s">
        <v>11</v>
      </c>
      <c r="K891" s="3" t="s">
        <v>15</v>
      </c>
      <c r="L891" s="3" t="s">
        <v>22</v>
      </c>
      <c r="M891">
        <v>60</v>
      </c>
      <c r="N891" s="3"/>
    </row>
    <row r="892" spans="1:14" x14ac:dyDescent="0.25">
      <c r="A892" s="3" t="s">
        <v>922</v>
      </c>
      <c r="B892">
        <v>1965</v>
      </c>
      <c r="C892">
        <v>1965</v>
      </c>
      <c r="D892" s="3" t="s">
        <v>17</v>
      </c>
      <c r="E892" s="3" t="s">
        <v>17</v>
      </c>
      <c r="F892">
        <v>6</v>
      </c>
      <c r="G892" s="7">
        <v>23899</v>
      </c>
      <c r="H892">
        <v>0</v>
      </c>
      <c r="I892" s="3" t="s">
        <v>9265</v>
      </c>
      <c r="J892" s="3" t="s">
        <v>11</v>
      </c>
      <c r="K892" s="3" t="s">
        <v>11</v>
      </c>
      <c r="L892" s="3" t="s">
        <v>12</v>
      </c>
      <c r="M892">
        <v>61</v>
      </c>
      <c r="N892" s="3"/>
    </row>
    <row r="893" spans="1:14" x14ac:dyDescent="0.25">
      <c r="A893" s="3" t="s">
        <v>923</v>
      </c>
      <c r="B893">
        <v>1965</v>
      </c>
      <c r="C893">
        <v>1965</v>
      </c>
      <c r="D893" s="3" t="s">
        <v>17</v>
      </c>
      <c r="E893" s="3" t="s">
        <v>17</v>
      </c>
      <c r="F893">
        <v>25</v>
      </c>
      <c r="G893" s="7">
        <v>23918</v>
      </c>
      <c r="H893">
        <v>0</v>
      </c>
      <c r="I893" s="3" t="s">
        <v>9266</v>
      </c>
      <c r="J893" s="3" t="s">
        <v>11</v>
      </c>
      <c r="K893" s="3" t="s">
        <v>15</v>
      </c>
      <c r="L893" s="3" t="s">
        <v>12</v>
      </c>
      <c r="M893">
        <v>61</v>
      </c>
      <c r="N893" s="3"/>
    </row>
    <row r="894" spans="1:14" x14ac:dyDescent="0.25">
      <c r="A894" s="3" t="s">
        <v>924</v>
      </c>
      <c r="B894">
        <v>1972</v>
      </c>
      <c r="C894">
        <v>1972</v>
      </c>
      <c r="D894" s="3" t="s">
        <v>34</v>
      </c>
      <c r="E894" s="3" t="s">
        <v>34</v>
      </c>
      <c r="F894">
        <v>11</v>
      </c>
      <c r="G894" s="7">
        <v>26522</v>
      </c>
      <c r="H894">
        <v>0</v>
      </c>
      <c r="I894" s="3" t="s">
        <v>9267</v>
      </c>
      <c r="J894" s="3" t="s">
        <v>10</v>
      </c>
      <c r="K894" s="3" t="s">
        <v>11</v>
      </c>
      <c r="L894" s="3" t="s">
        <v>22</v>
      </c>
      <c r="M894">
        <v>54</v>
      </c>
      <c r="N894" s="3"/>
    </row>
    <row r="895" spans="1:14" x14ac:dyDescent="0.25">
      <c r="A895" s="3" t="s">
        <v>925</v>
      </c>
      <c r="B895">
        <v>1965</v>
      </c>
      <c r="C895">
        <v>1965</v>
      </c>
      <c r="D895" s="3" t="s">
        <v>9</v>
      </c>
      <c r="E895" s="3" t="s">
        <v>9</v>
      </c>
      <c r="F895">
        <v>11</v>
      </c>
      <c r="G895" s="7">
        <v>23934</v>
      </c>
      <c r="H895">
        <v>0</v>
      </c>
      <c r="I895" s="3" t="s">
        <v>9268</v>
      </c>
      <c r="J895" s="3" t="s">
        <v>11</v>
      </c>
      <c r="K895" s="3" t="s">
        <v>11</v>
      </c>
      <c r="L895" s="3" t="s">
        <v>22</v>
      </c>
      <c r="M895">
        <v>61</v>
      </c>
      <c r="N895" s="3"/>
    </row>
    <row r="896" spans="1:14" x14ac:dyDescent="0.25">
      <c r="A896" s="3" t="s">
        <v>926</v>
      </c>
      <c r="B896">
        <v>2004</v>
      </c>
      <c r="C896">
        <v>2004</v>
      </c>
      <c r="D896" s="3" t="s">
        <v>14</v>
      </c>
      <c r="E896" s="3" t="s">
        <v>14</v>
      </c>
      <c r="F896">
        <v>15</v>
      </c>
      <c r="G896" s="7">
        <v>38306</v>
      </c>
      <c r="H896">
        <v>0</v>
      </c>
      <c r="I896" s="3" t="s">
        <v>9269</v>
      </c>
      <c r="J896" s="3" t="s">
        <v>10</v>
      </c>
      <c r="K896" s="3" t="s">
        <v>10</v>
      </c>
      <c r="L896" s="3" t="s">
        <v>246</v>
      </c>
      <c r="M896">
        <v>22</v>
      </c>
      <c r="N896" s="3"/>
    </row>
    <row r="897" spans="1:14" x14ac:dyDescent="0.25">
      <c r="A897" s="3" t="s">
        <v>927</v>
      </c>
      <c r="B897">
        <v>1979</v>
      </c>
      <c r="C897">
        <v>1979</v>
      </c>
      <c r="D897" s="3" t="s">
        <v>17</v>
      </c>
      <c r="E897" s="3" t="s">
        <v>17</v>
      </c>
      <c r="F897">
        <v>19</v>
      </c>
      <c r="G897" s="7">
        <v>29025</v>
      </c>
      <c r="H897">
        <v>0</v>
      </c>
      <c r="I897" s="3" t="s">
        <v>9270</v>
      </c>
      <c r="J897" s="3" t="s">
        <v>10</v>
      </c>
      <c r="K897" s="3" t="s">
        <v>11</v>
      </c>
      <c r="L897" s="3" t="s">
        <v>246</v>
      </c>
      <c r="M897">
        <v>47</v>
      </c>
      <c r="N897" s="3"/>
    </row>
    <row r="898" spans="1:14" x14ac:dyDescent="0.25">
      <c r="A898" s="3" t="s">
        <v>928</v>
      </c>
      <c r="B898">
        <v>1984</v>
      </c>
      <c r="C898">
        <v>1984</v>
      </c>
      <c r="D898" s="3" t="s">
        <v>9</v>
      </c>
      <c r="E898" s="3" t="s">
        <v>9</v>
      </c>
      <c r="F898">
        <v>25</v>
      </c>
      <c r="G898" s="7">
        <v>30888</v>
      </c>
      <c r="H898">
        <v>3</v>
      </c>
      <c r="I898" s="3" t="s">
        <v>9271</v>
      </c>
      <c r="J898" s="3" t="s">
        <v>10</v>
      </c>
      <c r="K898" s="3" t="s">
        <v>15</v>
      </c>
      <c r="L898" s="3" t="s">
        <v>22</v>
      </c>
      <c r="M898">
        <v>42</v>
      </c>
      <c r="N898" s="3"/>
    </row>
    <row r="899" spans="1:14" x14ac:dyDescent="0.25">
      <c r="A899" s="3" t="s">
        <v>929</v>
      </c>
      <c r="B899">
        <v>1979</v>
      </c>
      <c r="C899">
        <v>1979</v>
      </c>
      <c r="D899" s="3" t="s">
        <v>19</v>
      </c>
      <c r="E899" s="3" t="s">
        <v>19</v>
      </c>
      <c r="F899">
        <v>19</v>
      </c>
      <c r="G899" s="7">
        <v>29117</v>
      </c>
      <c r="H899">
        <v>1</v>
      </c>
      <c r="I899" s="3" t="s">
        <v>9272</v>
      </c>
      <c r="J899" s="3" t="s">
        <v>10</v>
      </c>
      <c r="K899" s="3" t="s">
        <v>11</v>
      </c>
      <c r="L899" s="3" t="s">
        <v>41</v>
      </c>
      <c r="M899">
        <v>47</v>
      </c>
      <c r="N899" s="3"/>
    </row>
    <row r="900" spans="1:14" x14ac:dyDescent="0.25">
      <c r="A900" s="3" t="s">
        <v>930</v>
      </c>
      <c r="B900">
        <v>1986</v>
      </c>
      <c r="C900">
        <v>1986</v>
      </c>
      <c r="D900" s="3" t="s">
        <v>17</v>
      </c>
      <c r="E900" s="3" t="s">
        <v>17</v>
      </c>
      <c r="F900">
        <v>15</v>
      </c>
      <c r="G900" s="7">
        <v>31578</v>
      </c>
      <c r="H900">
        <v>3</v>
      </c>
      <c r="I900" s="3" t="s">
        <v>9273</v>
      </c>
      <c r="J900" s="3" t="s">
        <v>10</v>
      </c>
      <c r="K900" s="3" t="s">
        <v>10</v>
      </c>
      <c r="L900" s="3" t="s">
        <v>22</v>
      </c>
      <c r="M900">
        <v>40</v>
      </c>
      <c r="N900" s="3"/>
    </row>
    <row r="901" spans="1:14" x14ac:dyDescent="0.25">
      <c r="A901" s="3" t="s">
        <v>931</v>
      </c>
      <c r="B901">
        <v>1977</v>
      </c>
      <c r="C901">
        <v>1977</v>
      </c>
      <c r="D901" s="3" t="s">
        <v>29</v>
      </c>
      <c r="E901" s="3" t="s">
        <v>29</v>
      </c>
      <c r="F901">
        <v>18</v>
      </c>
      <c r="G901" s="7">
        <v>28477</v>
      </c>
      <c r="H901">
        <v>0</v>
      </c>
      <c r="I901" s="3" t="s">
        <v>9274</v>
      </c>
      <c r="J901" s="3" t="s">
        <v>10</v>
      </c>
      <c r="K901" s="3" t="s">
        <v>15</v>
      </c>
      <c r="L901" s="3" t="s">
        <v>41</v>
      </c>
      <c r="M901">
        <v>49</v>
      </c>
      <c r="N901" s="3"/>
    </row>
    <row r="902" spans="1:14" x14ac:dyDescent="0.25">
      <c r="A902" s="3" t="s">
        <v>932</v>
      </c>
      <c r="B902">
        <v>1979</v>
      </c>
      <c r="C902">
        <v>1979</v>
      </c>
      <c r="D902" s="3" t="s">
        <v>17</v>
      </c>
      <c r="E902" s="3" t="s">
        <v>17</v>
      </c>
      <c r="F902">
        <v>26</v>
      </c>
      <c r="G902" s="7">
        <v>29032</v>
      </c>
      <c r="H902">
        <v>1</v>
      </c>
      <c r="I902" s="3" t="s">
        <v>9275</v>
      </c>
      <c r="J902" s="3" t="s">
        <v>10</v>
      </c>
      <c r="K902" s="3" t="s">
        <v>15</v>
      </c>
      <c r="L902" s="3" t="s">
        <v>12</v>
      </c>
      <c r="M902">
        <v>47</v>
      </c>
      <c r="N902" s="3"/>
    </row>
    <row r="903" spans="1:14" x14ac:dyDescent="0.25">
      <c r="A903" s="3" t="s">
        <v>933</v>
      </c>
      <c r="B903">
        <v>1977</v>
      </c>
      <c r="C903">
        <v>1977</v>
      </c>
      <c r="D903" s="3" t="s">
        <v>29</v>
      </c>
      <c r="E903" s="3" t="s">
        <v>29</v>
      </c>
      <c r="F903">
        <v>1</v>
      </c>
      <c r="G903" s="7">
        <v>28460</v>
      </c>
      <c r="H903">
        <v>0</v>
      </c>
      <c r="I903" s="3" t="s">
        <v>9276</v>
      </c>
      <c r="J903" s="3" t="s">
        <v>10</v>
      </c>
      <c r="K903" s="3" t="s">
        <v>15</v>
      </c>
      <c r="L903" s="3" t="s">
        <v>41</v>
      </c>
      <c r="M903">
        <v>49</v>
      </c>
      <c r="N903" s="3"/>
    </row>
    <row r="904" spans="1:14" x14ac:dyDescent="0.25">
      <c r="A904" s="3" t="s">
        <v>934</v>
      </c>
      <c r="B904">
        <v>1993</v>
      </c>
      <c r="C904">
        <v>1993</v>
      </c>
      <c r="D904" s="3" t="s">
        <v>36</v>
      </c>
      <c r="E904" s="3" t="s">
        <v>36</v>
      </c>
      <c r="F904">
        <v>5</v>
      </c>
      <c r="G904" s="7">
        <v>34247</v>
      </c>
      <c r="H904">
        <v>0</v>
      </c>
      <c r="I904" s="3" t="s">
        <v>9277</v>
      </c>
      <c r="J904" s="3" t="s">
        <v>10</v>
      </c>
      <c r="K904" s="3" t="s">
        <v>10</v>
      </c>
      <c r="L904" s="3" t="s">
        <v>299</v>
      </c>
      <c r="M904">
        <v>33</v>
      </c>
      <c r="N904" s="3"/>
    </row>
    <row r="905" spans="1:14" x14ac:dyDescent="0.25">
      <c r="A905" s="3" t="s">
        <v>935</v>
      </c>
      <c r="B905">
        <v>1983</v>
      </c>
      <c r="C905">
        <v>1983</v>
      </c>
      <c r="D905" s="3" t="s">
        <v>17</v>
      </c>
      <c r="E905" s="3" t="s">
        <v>17</v>
      </c>
      <c r="F905">
        <v>21</v>
      </c>
      <c r="G905" s="7">
        <v>30488</v>
      </c>
      <c r="H905">
        <v>3</v>
      </c>
      <c r="I905" s="3" t="s">
        <v>9278</v>
      </c>
      <c r="J905" s="3" t="s">
        <v>10</v>
      </c>
      <c r="K905" s="3" t="s">
        <v>10</v>
      </c>
      <c r="L905" s="3" t="s">
        <v>22</v>
      </c>
      <c r="M905">
        <v>43</v>
      </c>
      <c r="N905" s="3"/>
    </row>
    <row r="906" spans="1:14" x14ac:dyDescent="0.25">
      <c r="A906" s="3" t="s">
        <v>936</v>
      </c>
      <c r="B906">
        <v>1981</v>
      </c>
      <c r="C906">
        <v>1981</v>
      </c>
      <c r="D906" s="3" t="s">
        <v>9</v>
      </c>
      <c r="E906" s="3" t="s">
        <v>9</v>
      </c>
      <c r="F906">
        <v>16</v>
      </c>
      <c r="G906" s="7">
        <v>29783</v>
      </c>
      <c r="H906">
        <v>1</v>
      </c>
      <c r="I906" s="3" t="s">
        <v>9279</v>
      </c>
      <c r="J906" s="3" t="s">
        <v>10</v>
      </c>
      <c r="K906" s="3" t="s">
        <v>11</v>
      </c>
      <c r="L906" s="3" t="s">
        <v>246</v>
      </c>
      <c r="M906">
        <v>45</v>
      </c>
      <c r="N906" s="3"/>
    </row>
    <row r="907" spans="1:14" x14ac:dyDescent="0.25">
      <c r="A907" s="3" t="s">
        <v>937</v>
      </c>
      <c r="B907">
        <v>1965</v>
      </c>
      <c r="C907">
        <v>1965</v>
      </c>
      <c r="D907" s="3" t="s">
        <v>29</v>
      </c>
      <c r="E907" s="3" t="s">
        <v>29</v>
      </c>
      <c r="F907">
        <v>9</v>
      </c>
      <c r="G907" s="7">
        <v>24085</v>
      </c>
      <c r="H907">
        <v>0</v>
      </c>
      <c r="I907" s="3" t="s">
        <v>9280</v>
      </c>
      <c r="J907" s="3" t="s">
        <v>11</v>
      </c>
      <c r="K907" s="3" t="s">
        <v>11</v>
      </c>
      <c r="L907" s="3" t="s">
        <v>12</v>
      </c>
      <c r="M907">
        <v>61</v>
      </c>
      <c r="N907" s="3"/>
    </row>
    <row r="908" spans="1:14" x14ac:dyDescent="0.25">
      <c r="A908" s="3" t="s">
        <v>938</v>
      </c>
      <c r="B908">
        <v>1981</v>
      </c>
      <c r="C908">
        <v>1981</v>
      </c>
      <c r="D908" s="3" t="s">
        <v>14</v>
      </c>
      <c r="E908" s="3" t="s">
        <v>14</v>
      </c>
      <c r="F908">
        <v>24</v>
      </c>
      <c r="G908" s="7">
        <v>29914</v>
      </c>
      <c r="H908">
        <v>2</v>
      </c>
      <c r="I908" s="3" t="s">
        <v>9281</v>
      </c>
      <c r="J908" s="3" t="s">
        <v>10</v>
      </c>
      <c r="K908" s="3" t="s">
        <v>15</v>
      </c>
      <c r="L908" s="3" t="s">
        <v>41</v>
      </c>
      <c r="M908">
        <v>45</v>
      </c>
      <c r="N908" s="3"/>
    </row>
    <row r="909" spans="1:14" x14ac:dyDescent="0.25">
      <c r="A909" s="3" t="s">
        <v>939</v>
      </c>
      <c r="B909">
        <v>1993</v>
      </c>
      <c r="C909">
        <v>1993</v>
      </c>
      <c r="D909" s="3" t="s">
        <v>9</v>
      </c>
      <c r="E909" s="3" t="s">
        <v>9</v>
      </c>
      <c r="F909">
        <v>22</v>
      </c>
      <c r="G909" s="7">
        <v>34172</v>
      </c>
      <c r="H909">
        <v>0</v>
      </c>
      <c r="I909" s="3" t="s">
        <v>9282</v>
      </c>
      <c r="J909" s="3" t="s">
        <v>10</v>
      </c>
      <c r="K909" s="3" t="s">
        <v>10</v>
      </c>
      <c r="L909" s="3" t="s">
        <v>534</v>
      </c>
      <c r="M909">
        <v>33</v>
      </c>
      <c r="N909" s="3"/>
    </row>
    <row r="910" spans="1:14" x14ac:dyDescent="0.25">
      <c r="A910" s="3" t="s">
        <v>940</v>
      </c>
      <c r="B910">
        <v>1965</v>
      </c>
      <c r="C910">
        <v>1965</v>
      </c>
      <c r="D910" s="3" t="s">
        <v>29</v>
      </c>
      <c r="E910" s="3" t="s">
        <v>29</v>
      </c>
      <c r="F910">
        <v>5</v>
      </c>
      <c r="G910" s="7">
        <v>24081</v>
      </c>
      <c r="H910">
        <v>0</v>
      </c>
      <c r="I910" s="3" t="s">
        <v>9283</v>
      </c>
      <c r="J910" s="3" t="s">
        <v>11</v>
      </c>
      <c r="K910" s="3" t="s">
        <v>10</v>
      </c>
      <c r="L910" s="3" t="s">
        <v>12</v>
      </c>
      <c r="M910">
        <v>61</v>
      </c>
      <c r="N910" s="3"/>
    </row>
    <row r="911" spans="1:14" x14ac:dyDescent="0.25">
      <c r="A911" s="3" t="s">
        <v>941</v>
      </c>
      <c r="B911">
        <v>1983</v>
      </c>
      <c r="C911">
        <v>1983</v>
      </c>
      <c r="D911" s="3" t="s">
        <v>19</v>
      </c>
      <c r="E911" s="3" t="s">
        <v>19</v>
      </c>
      <c r="F911">
        <v>19</v>
      </c>
      <c r="G911" s="7">
        <v>30578</v>
      </c>
      <c r="H911">
        <v>3</v>
      </c>
      <c r="I911" s="3" t="s">
        <v>9284</v>
      </c>
      <c r="J911" s="3" t="s">
        <v>10</v>
      </c>
      <c r="K911" s="3" t="s">
        <v>10</v>
      </c>
      <c r="L911" s="3" t="s">
        <v>41</v>
      </c>
      <c r="M911">
        <v>43</v>
      </c>
      <c r="N911" s="3"/>
    </row>
    <row r="912" spans="1:14" x14ac:dyDescent="0.25">
      <c r="A912" s="3" t="s">
        <v>942</v>
      </c>
      <c r="B912">
        <v>1978</v>
      </c>
      <c r="C912">
        <v>1978</v>
      </c>
      <c r="D912" s="3" t="s">
        <v>14</v>
      </c>
      <c r="E912" s="3" t="s">
        <v>14</v>
      </c>
      <c r="F912">
        <v>12</v>
      </c>
      <c r="G912" s="7">
        <v>28806</v>
      </c>
      <c r="H912">
        <v>0</v>
      </c>
      <c r="I912" s="3" t="s">
        <v>9285</v>
      </c>
      <c r="J912" s="3" t="s">
        <v>10</v>
      </c>
      <c r="K912" s="3" t="s">
        <v>10</v>
      </c>
      <c r="L912" s="3" t="s">
        <v>22</v>
      </c>
      <c r="M912">
        <v>48</v>
      </c>
      <c r="N912" s="3"/>
    </row>
    <row r="913" spans="1:14" x14ac:dyDescent="0.25">
      <c r="A913" s="3" t="s">
        <v>943</v>
      </c>
      <c r="B913">
        <v>1978</v>
      </c>
      <c r="C913">
        <v>1978</v>
      </c>
      <c r="D913" s="3" t="s">
        <v>29</v>
      </c>
      <c r="E913" s="3" t="s">
        <v>29</v>
      </c>
      <c r="F913">
        <v>2</v>
      </c>
      <c r="G913" s="7">
        <v>28826</v>
      </c>
      <c r="H913">
        <v>0</v>
      </c>
      <c r="I913" s="3" t="s">
        <v>9286</v>
      </c>
      <c r="J913" s="3" t="s">
        <v>10</v>
      </c>
      <c r="K913" s="3" t="s">
        <v>11</v>
      </c>
      <c r="L913" s="3" t="s">
        <v>22</v>
      </c>
      <c r="M913">
        <v>48</v>
      </c>
      <c r="N913" s="3"/>
    </row>
    <row r="914" spans="1:14" x14ac:dyDescent="0.25">
      <c r="A914" s="3" t="s">
        <v>944</v>
      </c>
      <c r="B914">
        <v>1977</v>
      </c>
      <c r="C914">
        <v>1977</v>
      </c>
      <c r="D914" s="3" t="s">
        <v>34</v>
      </c>
      <c r="E914" s="3" t="s">
        <v>34</v>
      </c>
      <c r="F914">
        <v>25</v>
      </c>
      <c r="G914" s="7">
        <v>28362</v>
      </c>
      <c r="H914">
        <v>1</v>
      </c>
      <c r="I914" s="3" t="s">
        <v>9287</v>
      </c>
      <c r="J914" s="3" t="s">
        <v>11</v>
      </c>
      <c r="K914" s="3" t="s">
        <v>10</v>
      </c>
      <c r="L914" s="3" t="s">
        <v>41</v>
      </c>
      <c r="M914">
        <v>49</v>
      </c>
      <c r="N914" s="3"/>
    </row>
    <row r="915" spans="1:14" x14ac:dyDescent="0.25">
      <c r="A915" s="3" t="s">
        <v>945</v>
      </c>
      <c r="B915">
        <v>1979</v>
      </c>
      <c r="C915">
        <v>1979</v>
      </c>
      <c r="D915" s="3" t="s">
        <v>19</v>
      </c>
      <c r="E915" s="3" t="s">
        <v>19</v>
      </c>
      <c r="F915">
        <v>1</v>
      </c>
      <c r="G915" s="7">
        <v>29099</v>
      </c>
      <c r="H915">
        <v>2</v>
      </c>
      <c r="I915" s="3" t="s">
        <v>9288</v>
      </c>
      <c r="J915" s="3" t="s">
        <v>11</v>
      </c>
      <c r="K915" s="3" t="s">
        <v>10</v>
      </c>
      <c r="L915" s="3" t="s">
        <v>41</v>
      </c>
      <c r="M915">
        <v>47</v>
      </c>
      <c r="N915" s="3"/>
    </row>
    <row r="916" spans="1:14" x14ac:dyDescent="0.25">
      <c r="A916" s="3" t="s">
        <v>946</v>
      </c>
      <c r="B916">
        <v>1980</v>
      </c>
      <c r="C916">
        <v>1980</v>
      </c>
      <c r="D916" s="3" t="s">
        <v>9</v>
      </c>
      <c r="E916" s="3" t="s">
        <v>9</v>
      </c>
      <c r="F916">
        <v>7</v>
      </c>
      <c r="G916" s="7">
        <v>29409</v>
      </c>
      <c r="H916">
        <v>1</v>
      </c>
      <c r="I916" s="3" t="s">
        <v>9289</v>
      </c>
      <c r="J916" s="3" t="s">
        <v>10</v>
      </c>
      <c r="K916" s="3" t="s">
        <v>11</v>
      </c>
      <c r="L916" s="3" t="s">
        <v>22</v>
      </c>
      <c r="M916">
        <v>46</v>
      </c>
      <c r="N916" s="3"/>
    </row>
    <row r="917" spans="1:14" x14ac:dyDescent="0.25">
      <c r="A917" s="3" t="s">
        <v>947</v>
      </c>
      <c r="B917">
        <v>1977</v>
      </c>
      <c r="C917">
        <v>1977</v>
      </c>
      <c r="D917" s="3" t="s">
        <v>19</v>
      </c>
      <c r="E917" s="3" t="s">
        <v>19</v>
      </c>
      <c r="F917">
        <v>25</v>
      </c>
      <c r="G917" s="7">
        <v>28393</v>
      </c>
      <c r="H917">
        <v>1</v>
      </c>
      <c r="I917" s="3" t="s">
        <v>9290</v>
      </c>
      <c r="J917" s="3" t="s">
        <v>11</v>
      </c>
      <c r="K917" s="3" t="s">
        <v>15</v>
      </c>
      <c r="L917" s="3" t="s">
        <v>41</v>
      </c>
      <c r="M917">
        <v>49</v>
      </c>
      <c r="N917" s="3"/>
    </row>
    <row r="918" spans="1:14" x14ac:dyDescent="0.25">
      <c r="A918" s="3" t="s">
        <v>948</v>
      </c>
      <c r="B918">
        <v>1977</v>
      </c>
      <c r="C918">
        <v>1977</v>
      </c>
      <c r="D918" s="3" t="s">
        <v>19</v>
      </c>
      <c r="E918" s="3" t="s">
        <v>19</v>
      </c>
      <c r="F918">
        <v>30</v>
      </c>
      <c r="G918" s="7">
        <v>28398</v>
      </c>
      <c r="H918">
        <v>0</v>
      </c>
      <c r="I918" s="3" t="s">
        <v>9291</v>
      </c>
      <c r="J918" s="3" t="s">
        <v>11</v>
      </c>
      <c r="K918" s="3" t="s">
        <v>11</v>
      </c>
      <c r="L918" s="3" t="s">
        <v>355</v>
      </c>
      <c r="M918">
        <v>49</v>
      </c>
      <c r="N918" s="3"/>
    </row>
    <row r="919" spans="1:14" x14ac:dyDescent="0.25">
      <c r="A919" s="3" t="s">
        <v>949</v>
      </c>
      <c r="B919">
        <v>2001</v>
      </c>
      <c r="C919">
        <v>2001</v>
      </c>
      <c r="D919" s="3" t="s">
        <v>17</v>
      </c>
      <c r="E919" s="3" t="s">
        <v>17</v>
      </c>
      <c r="F919">
        <v>1</v>
      </c>
      <c r="G919" s="7">
        <v>37043</v>
      </c>
      <c r="H919">
        <v>0</v>
      </c>
      <c r="I919" s="3" t="s">
        <v>9292</v>
      </c>
      <c r="J919" s="3" t="s">
        <v>10</v>
      </c>
      <c r="K919" s="3" t="s">
        <v>10</v>
      </c>
      <c r="L919" s="3" t="s">
        <v>22</v>
      </c>
      <c r="M919">
        <v>25</v>
      </c>
      <c r="N919" s="3"/>
    </row>
    <row r="920" spans="1:14" x14ac:dyDescent="0.25">
      <c r="A920" s="3" t="s">
        <v>950</v>
      </c>
      <c r="B920">
        <v>1967</v>
      </c>
      <c r="C920">
        <v>1967</v>
      </c>
      <c r="D920" s="3" t="s">
        <v>34</v>
      </c>
      <c r="E920" s="3" t="s">
        <v>34</v>
      </c>
      <c r="F920">
        <v>4</v>
      </c>
      <c r="G920" s="7">
        <v>24688</v>
      </c>
      <c r="H920">
        <v>0</v>
      </c>
      <c r="I920" s="3" t="s">
        <v>9293</v>
      </c>
      <c r="J920" s="3" t="s">
        <v>11</v>
      </c>
      <c r="K920" s="3" t="s">
        <v>11</v>
      </c>
      <c r="L920" s="3" t="s">
        <v>12</v>
      </c>
      <c r="M920">
        <v>59</v>
      </c>
      <c r="N920" s="3"/>
    </row>
    <row r="921" spans="1:14" x14ac:dyDescent="0.25">
      <c r="A921" s="3" t="s">
        <v>951</v>
      </c>
      <c r="B921">
        <v>1996</v>
      </c>
      <c r="C921">
        <v>1996</v>
      </c>
      <c r="D921" s="3" t="s">
        <v>17</v>
      </c>
      <c r="E921" s="3" t="s">
        <v>17</v>
      </c>
      <c r="F921">
        <v>14</v>
      </c>
      <c r="G921" s="7">
        <v>35230</v>
      </c>
      <c r="H921">
        <v>0</v>
      </c>
      <c r="I921" s="3" t="s">
        <v>9294</v>
      </c>
      <c r="J921" s="3" t="s">
        <v>10</v>
      </c>
      <c r="K921" s="3" t="s">
        <v>11</v>
      </c>
      <c r="L921" s="3" t="s">
        <v>22</v>
      </c>
      <c r="M921">
        <v>30</v>
      </c>
      <c r="N921" s="3"/>
    </row>
    <row r="922" spans="1:14" x14ac:dyDescent="0.25">
      <c r="A922" s="3" t="s">
        <v>952</v>
      </c>
      <c r="B922">
        <v>1988</v>
      </c>
      <c r="C922">
        <v>1988</v>
      </c>
      <c r="D922" s="3" t="s">
        <v>29</v>
      </c>
      <c r="E922" s="3" t="s">
        <v>29</v>
      </c>
      <c r="F922">
        <v>15</v>
      </c>
      <c r="G922" s="7">
        <v>32492</v>
      </c>
      <c r="H922">
        <v>3</v>
      </c>
      <c r="I922" s="3" t="s">
        <v>9295</v>
      </c>
      <c r="J922" s="3" t="s">
        <v>10</v>
      </c>
      <c r="K922" s="3" t="s">
        <v>11</v>
      </c>
      <c r="L922" s="3" t="s">
        <v>199</v>
      </c>
      <c r="M922">
        <v>38</v>
      </c>
      <c r="N922" s="3"/>
    </row>
    <row r="923" spans="1:14" x14ac:dyDescent="0.25">
      <c r="A923" s="3" t="s">
        <v>953</v>
      </c>
      <c r="B923">
        <v>1997</v>
      </c>
      <c r="C923">
        <v>1997</v>
      </c>
      <c r="D923" s="3" t="s">
        <v>36</v>
      </c>
      <c r="E923" s="3" t="s">
        <v>36</v>
      </c>
      <c r="F923">
        <v>28</v>
      </c>
      <c r="G923" s="7">
        <v>35731</v>
      </c>
      <c r="H923">
        <v>0</v>
      </c>
      <c r="I923" s="3" t="s">
        <v>9296</v>
      </c>
      <c r="J923" s="3" t="s">
        <v>10</v>
      </c>
      <c r="K923" s="3" t="s">
        <v>15</v>
      </c>
      <c r="L923" s="3" t="s">
        <v>22</v>
      </c>
      <c r="M923">
        <v>29</v>
      </c>
      <c r="N923" s="3"/>
    </row>
    <row r="924" spans="1:14" x14ac:dyDescent="0.25">
      <c r="A924" s="3" t="s">
        <v>954</v>
      </c>
      <c r="B924">
        <v>1983</v>
      </c>
      <c r="C924">
        <v>1983</v>
      </c>
      <c r="D924" s="3" t="s">
        <v>9</v>
      </c>
      <c r="E924" s="3" t="s">
        <v>9</v>
      </c>
      <c r="F924">
        <v>10</v>
      </c>
      <c r="G924" s="7">
        <v>30507</v>
      </c>
      <c r="H924">
        <v>4</v>
      </c>
      <c r="I924" s="3" t="s">
        <v>9297</v>
      </c>
      <c r="J924" s="3" t="s">
        <v>11</v>
      </c>
      <c r="K924" s="3" t="s">
        <v>10</v>
      </c>
      <c r="L924" s="3" t="s">
        <v>41</v>
      </c>
      <c r="M924">
        <v>43</v>
      </c>
      <c r="N924" s="3"/>
    </row>
    <row r="925" spans="1:14" x14ac:dyDescent="0.25">
      <c r="A925" s="3" t="s">
        <v>955</v>
      </c>
      <c r="B925">
        <v>1978</v>
      </c>
      <c r="C925">
        <v>1978</v>
      </c>
      <c r="D925" s="3" t="s">
        <v>36</v>
      </c>
      <c r="E925" s="3" t="s">
        <v>36</v>
      </c>
      <c r="F925">
        <v>18</v>
      </c>
      <c r="G925" s="7">
        <v>28781</v>
      </c>
      <c r="H925">
        <v>1</v>
      </c>
      <c r="I925" s="3" t="s">
        <v>9298</v>
      </c>
      <c r="J925" s="3" t="s">
        <v>10</v>
      </c>
      <c r="K925" s="3" t="s">
        <v>11</v>
      </c>
      <c r="L925" s="3" t="s">
        <v>22</v>
      </c>
      <c r="M925">
        <v>48</v>
      </c>
      <c r="N925" s="3"/>
    </row>
    <row r="926" spans="1:14" x14ac:dyDescent="0.25">
      <c r="A926" s="3" t="s">
        <v>956</v>
      </c>
      <c r="B926">
        <v>1976</v>
      </c>
      <c r="C926">
        <v>1976</v>
      </c>
      <c r="D926" s="3" t="s">
        <v>36</v>
      </c>
      <c r="E926" s="3" t="s">
        <v>36</v>
      </c>
      <c r="F926">
        <v>10</v>
      </c>
      <c r="G926" s="7">
        <v>28043</v>
      </c>
      <c r="H926">
        <v>0</v>
      </c>
      <c r="I926" s="3" t="s">
        <v>9299</v>
      </c>
      <c r="J926" s="3" t="s">
        <v>11</v>
      </c>
      <c r="K926" s="3" t="s">
        <v>15</v>
      </c>
      <c r="L926" s="3" t="s">
        <v>22</v>
      </c>
      <c r="M926">
        <v>50</v>
      </c>
      <c r="N926" s="3"/>
    </row>
    <row r="927" spans="1:14" x14ac:dyDescent="0.25">
      <c r="A927" s="3" t="s">
        <v>957</v>
      </c>
      <c r="B927">
        <v>1978</v>
      </c>
      <c r="C927">
        <v>1978</v>
      </c>
      <c r="D927" s="3" t="s">
        <v>29</v>
      </c>
      <c r="E927" s="3" t="s">
        <v>29</v>
      </c>
      <c r="F927">
        <v>14</v>
      </c>
      <c r="G927" s="7">
        <v>28838</v>
      </c>
      <c r="H927">
        <v>2</v>
      </c>
      <c r="I927" s="3" t="s">
        <v>9300</v>
      </c>
      <c r="J927" s="3" t="s">
        <v>10</v>
      </c>
      <c r="K927" s="3" t="s">
        <v>15</v>
      </c>
      <c r="L927" s="3" t="s">
        <v>12</v>
      </c>
      <c r="M927">
        <v>48</v>
      </c>
      <c r="N927" s="3"/>
    </row>
    <row r="928" spans="1:14" x14ac:dyDescent="0.25">
      <c r="A928" s="3" t="s">
        <v>958</v>
      </c>
      <c r="B928">
        <v>1984</v>
      </c>
      <c r="C928">
        <v>1984</v>
      </c>
      <c r="D928" s="3" t="s">
        <v>34</v>
      </c>
      <c r="E928" s="3" t="s">
        <v>34</v>
      </c>
      <c r="F928">
        <v>22</v>
      </c>
      <c r="G928" s="7">
        <v>30916</v>
      </c>
      <c r="H928">
        <v>3</v>
      </c>
      <c r="I928" s="3" t="s">
        <v>9301</v>
      </c>
      <c r="J928" s="3" t="s">
        <v>10</v>
      </c>
      <c r="K928" s="3" t="s">
        <v>10</v>
      </c>
      <c r="L928" s="3" t="s">
        <v>22</v>
      </c>
      <c r="M928">
        <v>42</v>
      </c>
      <c r="N928" s="3"/>
    </row>
    <row r="929" spans="1:14" x14ac:dyDescent="0.25">
      <c r="A929" s="3" t="s">
        <v>959</v>
      </c>
      <c r="B929">
        <v>1988</v>
      </c>
      <c r="C929">
        <v>1988</v>
      </c>
      <c r="D929" s="3" t="s">
        <v>29</v>
      </c>
      <c r="E929" s="3" t="s">
        <v>29</v>
      </c>
      <c r="F929">
        <v>15</v>
      </c>
      <c r="G929" s="7">
        <v>32492</v>
      </c>
      <c r="H929">
        <v>3</v>
      </c>
      <c r="I929" s="3" t="s">
        <v>9302</v>
      </c>
      <c r="J929" s="3" t="s">
        <v>10</v>
      </c>
      <c r="K929" s="3" t="s">
        <v>10</v>
      </c>
      <c r="L929" s="3" t="s">
        <v>22</v>
      </c>
      <c r="M929">
        <v>38</v>
      </c>
      <c r="N929" s="3"/>
    </row>
    <row r="930" spans="1:14" x14ac:dyDescent="0.25">
      <c r="A930" s="3" t="s">
        <v>960</v>
      </c>
      <c r="B930">
        <v>1994</v>
      </c>
      <c r="C930">
        <v>1994</v>
      </c>
      <c r="D930" s="3" t="s">
        <v>34</v>
      </c>
      <c r="E930" s="3" t="s">
        <v>34</v>
      </c>
      <c r="F930">
        <v>14</v>
      </c>
      <c r="G930" s="7">
        <v>34560</v>
      </c>
      <c r="H930">
        <v>0</v>
      </c>
      <c r="I930" s="3" t="s">
        <v>9303</v>
      </c>
      <c r="J930" s="3" t="s">
        <v>10</v>
      </c>
      <c r="K930" s="3" t="s">
        <v>10</v>
      </c>
      <c r="L930" s="3" t="s">
        <v>299</v>
      </c>
      <c r="M930">
        <v>32</v>
      </c>
      <c r="N930" s="3"/>
    </row>
    <row r="931" spans="1:14" x14ac:dyDescent="0.25">
      <c r="A931" s="3" t="s">
        <v>961</v>
      </c>
      <c r="B931">
        <v>1967</v>
      </c>
      <c r="C931">
        <v>1967</v>
      </c>
      <c r="D931" s="3" t="s">
        <v>9</v>
      </c>
      <c r="E931" s="3" t="s">
        <v>9</v>
      </c>
      <c r="F931">
        <v>17</v>
      </c>
      <c r="G931" s="7">
        <v>24670</v>
      </c>
      <c r="H931">
        <v>0</v>
      </c>
      <c r="I931" s="3" t="s">
        <v>9304</v>
      </c>
      <c r="J931" s="3" t="s">
        <v>11</v>
      </c>
      <c r="K931" s="3" t="s">
        <v>10</v>
      </c>
      <c r="L931" s="3" t="s">
        <v>12</v>
      </c>
      <c r="M931">
        <v>59</v>
      </c>
      <c r="N931" s="3"/>
    </row>
    <row r="932" spans="1:14" x14ac:dyDescent="0.25">
      <c r="A932" s="3" t="s">
        <v>962</v>
      </c>
      <c r="B932">
        <v>1997</v>
      </c>
      <c r="C932">
        <v>1997</v>
      </c>
      <c r="D932" s="3" t="s">
        <v>19</v>
      </c>
      <c r="E932" s="3" t="s">
        <v>19</v>
      </c>
      <c r="F932">
        <v>30</v>
      </c>
      <c r="G932" s="7">
        <v>35703</v>
      </c>
      <c r="H932">
        <v>0</v>
      </c>
      <c r="I932" s="3" t="s">
        <v>9305</v>
      </c>
      <c r="J932" s="3" t="s">
        <v>10</v>
      </c>
      <c r="K932" s="3" t="s">
        <v>10</v>
      </c>
      <c r="L932" s="3" t="s">
        <v>22</v>
      </c>
      <c r="M932">
        <v>29</v>
      </c>
      <c r="N932" s="3"/>
    </row>
    <row r="933" spans="1:14" x14ac:dyDescent="0.25">
      <c r="A933" s="3" t="s">
        <v>963</v>
      </c>
      <c r="B933">
        <v>1968</v>
      </c>
      <c r="C933">
        <v>1968</v>
      </c>
      <c r="D933" s="3" t="s">
        <v>9</v>
      </c>
      <c r="E933" s="3" t="s">
        <v>9</v>
      </c>
      <c r="F933">
        <v>3</v>
      </c>
      <c r="G933" s="7">
        <v>25022</v>
      </c>
      <c r="H933">
        <v>0</v>
      </c>
      <c r="I933" s="3" t="s">
        <v>9306</v>
      </c>
      <c r="J933" s="3" t="s">
        <v>11</v>
      </c>
      <c r="K933" s="3" t="s">
        <v>10</v>
      </c>
      <c r="L933" s="3" t="s">
        <v>22</v>
      </c>
      <c r="M933">
        <v>58</v>
      </c>
      <c r="N933" s="3"/>
    </row>
    <row r="934" spans="1:14" x14ac:dyDescent="0.25">
      <c r="A934" s="3" t="s">
        <v>964</v>
      </c>
      <c r="B934">
        <v>1996</v>
      </c>
      <c r="C934">
        <v>1996</v>
      </c>
      <c r="D934" s="3" t="s">
        <v>19</v>
      </c>
      <c r="E934" s="3" t="s">
        <v>19</v>
      </c>
      <c r="F934">
        <v>17</v>
      </c>
      <c r="G934" s="7">
        <v>35325</v>
      </c>
      <c r="H934">
        <v>0</v>
      </c>
      <c r="I934" s="3" t="s">
        <v>9307</v>
      </c>
      <c r="J934" s="3" t="s">
        <v>10</v>
      </c>
      <c r="K934" s="3" t="s">
        <v>11</v>
      </c>
      <c r="L934" s="3" t="s">
        <v>41</v>
      </c>
      <c r="M934">
        <v>30</v>
      </c>
      <c r="N934" s="3"/>
    </row>
    <row r="935" spans="1:14" x14ac:dyDescent="0.25">
      <c r="A935" s="3" t="s">
        <v>965</v>
      </c>
      <c r="B935">
        <v>1978</v>
      </c>
      <c r="C935">
        <v>1978</v>
      </c>
      <c r="D935" s="3" t="s">
        <v>14</v>
      </c>
      <c r="E935" s="3" t="s">
        <v>14</v>
      </c>
      <c r="F935">
        <v>28</v>
      </c>
      <c r="G935" s="7">
        <v>28822</v>
      </c>
      <c r="H935">
        <v>1</v>
      </c>
      <c r="I935" s="3" t="s">
        <v>9308</v>
      </c>
      <c r="J935" s="3" t="s">
        <v>10</v>
      </c>
      <c r="K935" s="3" t="s">
        <v>15</v>
      </c>
      <c r="L935" s="3" t="s">
        <v>41</v>
      </c>
      <c r="M935">
        <v>48</v>
      </c>
      <c r="N935" s="3"/>
    </row>
    <row r="936" spans="1:14" x14ac:dyDescent="0.25">
      <c r="A936" s="3" t="s">
        <v>966</v>
      </c>
      <c r="B936">
        <v>1978</v>
      </c>
      <c r="C936">
        <v>1978</v>
      </c>
      <c r="D936" s="3" t="s">
        <v>14</v>
      </c>
      <c r="E936" s="3" t="s">
        <v>14</v>
      </c>
      <c r="F936">
        <v>6</v>
      </c>
      <c r="G936" s="7">
        <v>28800</v>
      </c>
      <c r="H936">
        <v>1</v>
      </c>
      <c r="I936" s="3" t="s">
        <v>9309</v>
      </c>
      <c r="J936" s="3" t="s">
        <v>10</v>
      </c>
      <c r="K936" s="3" t="s">
        <v>15</v>
      </c>
      <c r="L936" s="3" t="s">
        <v>41</v>
      </c>
      <c r="M936">
        <v>48</v>
      </c>
      <c r="N936" s="3"/>
    </row>
    <row r="937" spans="1:14" x14ac:dyDescent="0.25">
      <c r="A937" s="3" t="s">
        <v>967</v>
      </c>
      <c r="B937">
        <v>1978</v>
      </c>
      <c r="C937">
        <v>1978</v>
      </c>
      <c r="D937" s="3" t="s">
        <v>14</v>
      </c>
      <c r="E937" s="3" t="s">
        <v>14</v>
      </c>
      <c r="F937">
        <v>29</v>
      </c>
      <c r="G937" s="7">
        <v>28823</v>
      </c>
      <c r="H937">
        <v>1</v>
      </c>
      <c r="I937" s="3" t="s">
        <v>9310</v>
      </c>
      <c r="J937" s="3" t="s">
        <v>10</v>
      </c>
      <c r="K937" s="3" t="s">
        <v>10</v>
      </c>
      <c r="L937" s="3" t="s">
        <v>41</v>
      </c>
      <c r="M937">
        <v>48</v>
      </c>
      <c r="N937" s="3"/>
    </row>
    <row r="938" spans="1:14" x14ac:dyDescent="0.25">
      <c r="A938" s="3" t="s">
        <v>968</v>
      </c>
      <c r="B938">
        <v>1978</v>
      </c>
      <c r="C938">
        <v>1978</v>
      </c>
      <c r="D938" s="3" t="s">
        <v>34</v>
      </c>
      <c r="E938" s="3" t="s">
        <v>34</v>
      </c>
      <c r="F938">
        <v>24</v>
      </c>
      <c r="G938" s="7">
        <v>28726</v>
      </c>
      <c r="H938">
        <v>1</v>
      </c>
      <c r="I938" s="3" t="s">
        <v>9311</v>
      </c>
      <c r="J938" s="3" t="s">
        <v>10</v>
      </c>
      <c r="K938" s="3" t="s">
        <v>15</v>
      </c>
      <c r="L938" s="3" t="s">
        <v>12</v>
      </c>
      <c r="M938">
        <v>48</v>
      </c>
      <c r="N938" s="3"/>
    </row>
    <row r="939" spans="1:14" x14ac:dyDescent="0.25">
      <c r="A939" s="3" t="s">
        <v>969</v>
      </c>
      <c r="B939">
        <v>2001</v>
      </c>
      <c r="C939">
        <v>2001</v>
      </c>
      <c r="D939" s="3" t="s">
        <v>29</v>
      </c>
      <c r="E939" s="3" t="s">
        <v>29</v>
      </c>
      <c r="F939">
        <v>13</v>
      </c>
      <c r="G939" s="7">
        <v>37238</v>
      </c>
      <c r="H939">
        <v>0</v>
      </c>
      <c r="I939" s="3" t="s">
        <v>9312</v>
      </c>
      <c r="J939" s="3" t="s">
        <v>10</v>
      </c>
      <c r="K939" s="3" t="s">
        <v>11</v>
      </c>
      <c r="L939" s="3" t="s">
        <v>22</v>
      </c>
      <c r="M939">
        <v>25</v>
      </c>
      <c r="N939" s="3"/>
    </row>
    <row r="940" spans="1:14" x14ac:dyDescent="0.25">
      <c r="A940" s="3" t="s">
        <v>970</v>
      </c>
      <c r="B940">
        <v>1980</v>
      </c>
      <c r="C940">
        <v>1980</v>
      </c>
      <c r="D940" s="3" t="s">
        <v>17</v>
      </c>
      <c r="E940" s="3" t="s">
        <v>17</v>
      </c>
      <c r="F940">
        <v>20</v>
      </c>
      <c r="G940" s="7">
        <v>29392</v>
      </c>
      <c r="H940">
        <v>1</v>
      </c>
      <c r="I940" s="3" t="s">
        <v>9313</v>
      </c>
      <c r="J940" s="3" t="s">
        <v>10</v>
      </c>
      <c r="K940" s="3" t="s">
        <v>10</v>
      </c>
      <c r="L940" s="3" t="s">
        <v>246</v>
      </c>
      <c r="M940">
        <v>46</v>
      </c>
      <c r="N940" s="3"/>
    </row>
    <row r="941" spans="1:14" x14ac:dyDescent="0.25">
      <c r="A941" s="3" t="s">
        <v>971</v>
      </c>
      <c r="B941">
        <v>1980</v>
      </c>
      <c r="C941">
        <v>1980</v>
      </c>
      <c r="D941" s="3" t="s">
        <v>9</v>
      </c>
      <c r="E941" s="3" t="s">
        <v>9</v>
      </c>
      <c r="F941">
        <v>24</v>
      </c>
      <c r="G941" s="7">
        <v>29426</v>
      </c>
      <c r="H941">
        <v>2</v>
      </c>
      <c r="I941" s="3" t="s">
        <v>9314</v>
      </c>
      <c r="J941" s="3" t="s">
        <v>10</v>
      </c>
      <c r="K941" s="3" t="s">
        <v>15</v>
      </c>
      <c r="L941" s="3" t="s">
        <v>12</v>
      </c>
      <c r="M941">
        <v>46</v>
      </c>
      <c r="N941" s="3"/>
    </row>
    <row r="942" spans="1:14" x14ac:dyDescent="0.25">
      <c r="A942" s="3" t="s">
        <v>972</v>
      </c>
      <c r="B942">
        <v>1999</v>
      </c>
      <c r="C942">
        <v>1999</v>
      </c>
      <c r="D942" s="3" t="s">
        <v>17</v>
      </c>
      <c r="E942" s="3" t="s">
        <v>17</v>
      </c>
      <c r="F942">
        <v>15</v>
      </c>
      <c r="G942" s="7">
        <v>36326</v>
      </c>
      <c r="H942">
        <v>0</v>
      </c>
      <c r="I942" s="3" t="s">
        <v>9315</v>
      </c>
      <c r="J942" s="3" t="s">
        <v>10</v>
      </c>
      <c r="K942" s="3" t="s">
        <v>10</v>
      </c>
      <c r="L942" s="3" t="s">
        <v>534</v>
      </c>
      <c r="M942">
        <v>27</v>
      </c>
      <c r="N942" s="3"/>
    </row>
    <row r="943" spans="1:14" x14ac:dyDescent="0.25">
      <c r="A943" s="3" t="s">
        <v>973</v>
      </c>
      <c r="B943">
        <v>1980</v>
      </c>
      <c r="C943">
        <v>1980</v>
      </c>
      <c r="D943" s="3" t="s">
        <v>36</v>
      </c>
      <c r="E943" s="3" t="s">
        <v>36</v>
      </c>
      <c r="F943">
        <v>16</v>
      </c>
      <c r="G943" s="7">
        <v>29510</v>
      </c>
      <c r="H943">
        <v>1</v>
      </c>
      <c r="I943" s="3" t="s">
        <v>9316</v>
      </c>
      <c r="J943" s="3" t="s">
        <v>10</v>
      </c>
      <c r="K943" s="3" t="s">
        <v>10</v>
      </c>
      <c r="L943" s="3" t="s">
        <v>246</v>
      </c>
      <c r="M943">
        <v>46</v>
      </c>
      <c r="N943" s="3"/>
    </row>
    <row r="944" spans="1:14" x14ac:dyDescent="0.25">
      <c r="A944" s="3" t="s">
        <v>974</v>
      </c>
      <c r="B944">
        <v>1993</v>
      </c>
      <c r="C944">
        <v>1993</v>
      </c>
      <c r="D944" s="3" t="s">
        <v>34</v>
      </c>
      <c r="E944" s="3" t="s">
        <v>34</v>
      </c>
      <c r="F944">
        <v>10</v>
      </c>
      <c r="G944" s="7">
        <v>34191</v>
      </c>
      <c r="H944">
        <v>0</v>
      </c>
      <c r="I944" s="3" t="s">
        <v>9317</v>
      </c>
      <c r="J944" s="3" t="s">
        <v>10</v>
      </c>
      <c r="K944" s="3" t="s">
        <v>10</v>
      </c>
      <c r="L944" s="3" t="s">
        <v>22</v>
      </c>
      <c r="M944">
        <v>33</v>
      </c>
      <c r="N944" s="3"/>
    </row>
    <row r="945" spans="1:14" x14ac:dyDescent="0.25">
      <c r="A945" s="3" t="s">
        <v>975</v>
      </c>
      <c r="B945">
        <v>1998</v>
      </c>
      <c r="C945">
        <v>1998</v>
      </c>
      <c r="D945" s="3" t="s">
        <v>19</v>
      </c>
      <c r="E945" s="3" t="s">
        <v>19</v>
      </c>
      <c r="F945">
        <v>30</v>
      </c>
      <c r="G945" s="7">
        <v>36068</v>
      </c>
      <c r="H945">
        <v>0</v>
      </c>
      <c r="I945" s="3" t="s">
        <v>9318</v>
      </c>
      <c r="J945" s="3" t="s">
        <v>10</v>
      </c>
      <c r="K945" s="3" t="s">
        <v>11</v>
      </c>
      <c r="L945" s="3" t="s">
        <v>248</v>
      </c>
      <c r="M945">
        <v>28</v>
      </c>
      <c r="N945" s="3"/>
    </row>
    <row r="946" spans="1:14" x14ac:dyDescent="0.25">
      <c r="A946" s="3" t="s">
        <v>976</v>
      </c>
      <c r="B946">
        <v>1965</v>
      </c>
      <c r="C946">
        <v>1965</v>
      </c>
      <c r="D946" s="3" t="s">
        <v>29</v>
      </c>
      <c r="E946" s="3" t="s">
        <v>29</v>
      </c>
      <c r="F946">
        <v>27</v>
      </c>
      <c r="G946" s="7">
        <v>24103</v>
      </c>
      <c r="H946">
        <v>0</v>
      </c>
      <c r="I946" s="3" t="s">
        <v>9319</v>
      </c>
      <c r="J946" s="3" t="s">
        <v>11</v>
      </c>
      <c r="K946" s="3" t="s">
        <v>11</v>
      </c>
      <c r="L946" s="3" t="s">
        <v>22</v>
      </c>
      <c r="M946">
        <v>61</v>
      </c>
      <c r="N946" s="3"/>
    </row>
    <row r="947" spans="1:14" x14ac:dyDescent="0.25">
      <c r="A947" s="3" t="s">
        <v>977</v>
      </c>
      <c r="B947">
        <v>1976</v>
      </c>
      <c r="C947">
        <v>1976</v>
      </c>
      <c r="D947" s="3" t="s">
        <v>36</v>
      </c>
      <c r="E947" s="3" t="s">
        <v>36</v>
      </c>
      <c r="F947">
        <v>9</v>
      </c>
      <c r="G947" s="7">
        <v>28042</v>
      </c>
      <c r="H947">
        <v>2</v>
      </c>
      <c r="I947" s="3" t="s">
        <v>9320</v>
      </c>
      <c r="J947" s="3" t="s">
        <v>10</v>
      </c>
      <c r="K947" s="3" t="s">
        <v>15</v>
      </c>
      <c r="L947" s="3" t="s">
        <v>41</v>
      </c>
      <c r="M947">
        <v>50</v>
      </c>
      <c r="N947" s="3"/>
    </row>
    <row r="948" spans="1:14" x14ac:dyDescent="0.25">
      <c r="A948" s="3" t="s">
        <v>978</v>
      </c>
      <c r="B948">
        <v>1996</v>
      </c>
      <c r="C948">
        <v>1996</v>
      </c>
      <c r="D948" s="3" t="s">
        <v>14</v>
      </c>
      <c r="E948" s="3" t="s">
        <v>14</v>
      </c>
      <c r="F948">
        <v>24</v>
      </c>
      <c r="G948" s="7">
        <v>35393</v>
      </c>
      <c r="H948">
        <v>0</v>
      </c>
      <c r="I948" s="3" t="s">
        <v>9321</v>
      </c>
      <c r="J948" s="3" t="s">
        <v>10</v>
      </c>
      <c r="K948" s="3" t="s">
        <v>10</v>
      </c>
      <c r="L948" s="3" t="s">
        <v>631</v>
      </c>
      <c r="M948">
        <v>30</v>
      </c>
      <c r="N948" s="3"/>
    </row>
    <row r="949" spans="1:14" x14ac:dyDescent="0.25">
      <c r="A949" s="3" t="s">
        <v>979</v>
      </c>
      <c r="B949">
        <v>1995</v>
      </c>
      <c r="C949">
        <v>1995</v>
      </c>
      <c r="D949" s="3" t="s">
        <v>19</v>
      </c>
      <c r="E949" s="3" t="s">
        <v>19</v>
      </c>
      <c r="F949">
        <v>13</v>
      </c>
      <c r="G949" s="7">
        <v>34955</v>
      </c>
      <c r="H949">
        <v>0</v>
      </c>
      <c r="I949" s="3" t="s">
        <v>9322</v>
      </c>
      <c r="J949" s="3" t="s">
        <v>10</v>
      </c>
      <c r="K949" s="3" t="s">
        <v>15</v>
      </c>
      <c r="L949" s="3" t="s">
        <v>22</v>
      </c>
      <c r="M949">
        <v>31</v>
      </c>
      <c r="N949" s="3"/>
    </row>
    <row r="950" spans="1:14" x14ac:dyDescent="0.25">
      <c r="A950" s="3" t="s">
        <v>980</v>
      </c>
      <c r="B950">
        <v>1971</v>
      </c>
      <c r="C950">
        <v>1971</v>
      </c>
      <c r="D950" s="3" t="s">
        <v>36</v>
      </c>
      <c r="E950" s="3" t="s">
        <v>36</v>
      </c>
      <c r="F950">
        <v>11</v>
      </c>
      <c r="G950" s="7">
        <v>26217</v>
      </c>
      <c r="H950">
        <v>0</v>
      </c>
      <c r="I950" s="3" t="s">
        <v>9323</v>
      </c>
      <c r="J950" s="3" t="s">
        <v>10</v>
      </c>
      <c r="K950" s="3" t="s">
        <v>15</v>
      </c>
      <c r="L950" s="3" t="s">
        <v>12</v>
      </c>
      <c r="M950">
        <v>55</v>
      </c>
      <c r="N950" s="3"/>
    </row>
    <row r="951" spans="1:14" x14ac:dyDescent="0.25">
      <c r="A951" s="3" t="s">
        <v>981</v>
      </c>
      <c r="B951">
        <v>1981</v>
      </c>
      <c r="C951">
        <v>1981</v>
      </c>
      <c r="D951" s="3" t="s">
        <v>29</v>
      </c>
      <c r="E951" s="3" t="s">
        <v>29</v>
      </c>
      <c r="F951">
        <v>19</v>
      </c>
      <c r="G951" s="7">
        <v>29939</v>
      </c>
      <c r="H951">
        <v>1</v>
      </c>
      <c r="I951" s="3" t="s">
        <v>9324</v>
      </c>
      <c r="J951" s="3" t="s">
        <v>10</v>
      </c>
      <c r="K951" s="3" t="s">
        <v>10</v>
      </c>
      <c r="L951" s="3" t="s">
        <v>515</v>
      </c>
      <c r="M951">
        <v>45</v>
      </c>
      <c r="N951" s="3"/>
    </row>
    <row r="952" spans="1:14" x14ac:dyDescent="0.25">
      <c r="A952" s="3" t="s">
        <v>982</v>
      </c>
      <c r="B952">
        <v>1982</v>
      </c>
      <c r="C952">
        <v>1982</v>
      </c>
      <c r="D952" s="3" t="s">
        <v>29</v>
      </c>
      <c r="E952" s="3" t="s">
        <v>29</v>
      </c>
      <c r="F952">
        <v>18</v>
      </c>
      <c r="G952" s="7">
        <v>30303</v>
      </c>
      <c r="H952">
        <v>3</v>
      </c>
      <c r="I952" s="3" t="s">
        <v>9325</v>
      </c>
      <c r="J952" s="3" t="s">
        <v>10</v>
      </c>
      <c r="K952" s="3" t="s">
        <v>15</v>
      </c>
      <c r="L952" s="3" t="s">
        <v>12</v>
      </c>
      <c r="M952">
        <v>44</v>
      </c>
      <c r="N952" s="3"/>
    </row>
    <row r="953" spans="1:14" x14ac:dyDescent="0.25">
      <c r="A953" s="3" t="s">
        <v>983</v>
      </c>
      <c r="B953">
        <v>1987</v>
      </c>
      <c r="C953">
        <v>1987</v>
      </c>
      <c r="D953" s="3" t="s">
        <v>9</v>
      </c>
      <c r="E953" s="3" t="s">
        <v>9</v>
      </c>
      <c r="F953">
        <v>12</v>
      </c>
      <c r="G953" s="7">
        <v>31970</v>
      </c>
      <c r="H953">
        <v>3</v>
      </c>
      <c r="I953" s="3" t="s">
        <v>9326</v>
      </c>
      <c r="J953" s="3" t="s">
        <v>10</v>
      </c>
      <c r="K953" s="3" t="s">
        <v>11</v>
      </c>
      <c r="L953" s="3" t="s">
        <v>299</v>
      </c>
      <c r="M953">
        <v>39</v>
      </c>
      <c r="N953" s="3"/>
    </row>
    <row r="954" spans="1:14" x14ac:dyDescent="0.25">
      <c r="A954" s="3" t="s">
        <v>984</v>
      </c>
      <c r="B954">
        <v>1978</v>
      </c>
      <c r="C954">
        <v>1978</v>
      </c>
      <c r="D954" s="3" t="s">
        <v>29</v>
      </c>
      <c r="E954" s="3" t="s">
        <v>29</v>
      </c>
      <c r="F954">
        <v>29</v>
      </c>
      <c r="G954" s="7">
        <v>28853</v>
      </c>
      <c r="H954">
        <v>2</v>
      </c>
      <c r="I954" s="3" t="s">
        <v>9327</v>
      </c>
      <c r="J954" s="3" t="s">
        <v>15</v>
      </c>
      <c r="K954" s="3" t="s">
        <v>10</v>
      </c>
      <c r="L954" s="3" t="s">
        <v>41</v>
      </c>
      <c r="M954">
        <v>48</v>
      </c>
      <c r="N954" s="3"/>
    </row>
    <row r="955" spans="1:14" x14ac:dyDescent="0.25">
      <c r="A955" s="3" t="s">
        <v>985</v>
      </c>
      <c r="B955">
        <v>1979</v>
      </c>
      <c r="C955">
        <v>1979</v>
      </c>
      <c r="D955" s="3" t="s">
        <v>17</v>
      </c>
      <c r="E955" s="3" t="s">
        <v>17</v>
      </c>
      <c r="F955">
        <v>2</v>
      </c>
      <c r="G955" s="7">
        <v>29008</v>
      </c>
      <c r="H955">
        <v>1</v>
      </c>
      <c r="I955" s="3" t="s">
        <v>9328</v>
      </c>
      <c r="J955" s="3" t="s">
        <v>10</v>
      </c>
      <c r="K955" s="3" t="s">
        <v>11</v>
      </c>
      <c r="L955" s="3" t="s">
        <v>22</v>
      </c>
      <c r="M955">
        <v>47</v>
      </c>
      <c r="N955" s="3"/>
    </row>
    <row r="956" spans="1:14" x14ac:dyDescent="0.25">
      <c r="A956" s="3" t="s">
        <v>986</v>
      </c>
      <c r="B956">
        <v>1980</v>
      </c>
      <c r="C956">
        <v>1980</v>
      </c>
      <c r="D956" s="3" t="s">
        <v>19</v>
      </c>
      <c r="E956" s="3" t="s">
        <v>19</v>
      </c>
      <c r="F956">
        <v>10</v>
      </c>
      <c r="G956" s="7">
        <v>29474</v>
      </c>
      <c r="H956">
        <v>2</v>
      </c>
      <c r="I956" s="3" t="s">
        <v>9329</v>
      </c>
      <c r="J956" s="3" t="s">
        <v>11</v>
      </c>
      <c r="K956" s="3" t="s">
        <v>15</v>
      </c>
      <c r="L956" s="3" t="s">
        <v>167</v>
      </c>
      <c r="M956">
        <v>46</v>
      </c>
      <c r="N956" s="3"/>
    </row>
    <row r="957" spans="1:14" x14ac:dyDescent="0.25">
      <c r="A957" s="3" t="s">
        <v>987</v>
      </c>
      <c r="B957">
        <v>1978</v>
      </c>
      <c r="C957">
        <v>1978</v>
      </c>
      <c r="D957" s="3" t="s">
        <v>29</v>
      </c>
      <c r="E957" s="3" t="s">
        <v>29</v>
      </c>
      <c r="F957">
        <v>4</v>
      </c>
      <c r="G957" s="7">
        <v>28828</v>
      </c>
      <c r="H957">
        <v>2</v>
      </c>
      <c r="I957" s="3" t="s">
        <v>9330</v>
      </c>
      <c r="J957" s="3" t="s">
        <v>11</v>
      </c>
      <c r="K957" s="3" t="s">
        <v>10</v>
      </c>
      <c r="L957" s="3" t="s">
        <v>12</v>
      </c>
      <c r="M957">
        <v>48</v>
      </c>
      <c r="N957" s="3"/>
    </row>
    <row r="958" spans="1:14" x14ac:dyDescent="0.25">
      <c r="A958" s="3" t="s">
        <v>988</v>
      </c>
      <c r="B958">
        <v>1977</v>
      </c>
      <c r="C958">
        <v>1977</v>
      </c>
      <c r="D958" s="3" t="s">
        <v>34</v>
      </c>
      <c r="E958" s="3" t="s">
        <v>34</v>
      </c>
      <c r="F958">
        <v>29</v>
      </c>
      <c r="G958" s="7">
        <v>28366</v>
      </c>
      <c r="H958">
        <v>0</v>
      </c>
      <c r="I958" s="3" t="s">
        <v>9331</v>
      </c>
      <c r="J958" s="3" t="s">
        <v>10</v>
      </c>
      <c r="K958" s="3" t="s">
        <v>11</v>
      </c>
      <c r="L958" s="3" t="s">
        <v>22</v>
      </c>
      <c r="M958">
        <v>49</v>
      </c>
      <c r="N958" s="3"/>
    </row>
    <row r="959" spans="1:14" x14ac:dyDescent="0.25">
      <c r="A959" s="3" t="s">
        <v>989</v>
      </c>
      <c r="B959">
        <v>1965</v>
      </c>
      <c r="C959">
        <v>1965</v>
      </c>
      <c r="D959" s="3" t="s">
        <v>9</v>
      </c>
      <c r="E959" s="3" t="s">
        <v>9</v>
      </c>
      <c r="F959">
        <v>18</v>
      </c>
      <c r="G959" s="7">
        <v>23941</v>
      </c>
      <c r="H959">
        <v>0</v>
      </c>
      <c r="I959" s="3" t="s">
        <v>9332</v>
      </c>
      <c r="J959" s="3" t="s">
        <v>11</v>
      </c>
      <c r="K959" s="3" t="s">
        <v>10</v>
      </c>
      <c r="L959" s="3" t="s">
        <v>12</v>
      </c>
      <c r="M959">
        <v>61</v>
      </c>
      <c r="N959" s="3"/>
    </row>
    <row r="960" spans="1:14" x14ac:dyDescent="0.25">
      <c r="A960" s="3" t="s">
        <v>990</v>
      </c>
      <c r="B960">
        <v>1978</v>
      </c>
      <c r="C960">
        <v>1978</v>
      </c>
      <c r="D960" s="3" t="s">
        <v>19</v>
      </c>
      <c r="E960" s="3" t="s">
        <v>19</v>
      </c>
      <c r="F960">
        <v>4</v>
      </c>
      <c r="G960" s="7">
        <v>28737</v>
      </c>
      <c r="H960">
        <v>2</v>
      </c>
      <c r="I960" s="3" t="s">
        <v>9333</v>
      </c>
      <c r="J960" s="3" t="s">
        <v>15</v>
      </c>
      <c r="K960" s="3" t="s">
        <v>15</v>
      </c>
      <c r="L960" s="3" t="s">
        <v>41</v>
      </c>
      <c r="M960">
        <v>48</v>
      </c>
      <c r="N960" s="3"/>
    </row>
    <row r="961" spans="1:14" x14ac:dyDescent="0.25">
      <c r="A961" s="3" t="s">
        <v>991</v>
      </c>
      <c r="B961">
        <v>1976</v>
      </c>
      <c r="C961">
        <v>1976</v>
      </c>
      <c r="D961" s="3" t="s">
        <v>29</v>
      </c>
      <c r="E961" s="3" t="s">
        <v>29</v>
      </c>
      <c r="F961">
        <v>12</v>
      </c>
      <c r="G961" s="7">
        <v>28106</v>
      </c>
      <c r="H961">
        <v>1</v>
      </c>
      <c r="I961" s="3" t="s">
        <v>9334</v>
      </c>
      <c r="J961" s="3" t="s">
        <v>11</v>
      </c>
      <c r="K961" s="3" t="s">
        <v>10</v>
      </c>
      <c r="L961" s="3" t="s">
        <v>12</v>
      </c>
      <c r="M961">
        <v>50</v>
      </c>
      <c r="N961" s="3"/>
    </row>
    <row r="962" spans="1:14" x14ac:dyDescent="0.25">
      <c r="A962" s="3" t="s">
        <v>992</v>
      </c>
      <c r="B962">
        <v>1981</v>
      </c>
      <c r="C962">
        <v>1981</v>
      </c>
      <c r="D962" s="3" t="s">
        <v>17</v>
      </c>
      <c r="E962" s="3" t="s">
        <v>17</v>
      </c>
      <c r="F962">
        <v>30</v>
      </c>
      <c r="G962" s="7">
        <v>29767</v>
      </c>
      <c r="H962">
        <v>2</v>
      </c>
      <c r="I962" s="3" t="s">
        <v>9335</v>
      </c>
      <c r="J962" s="3" t="s">
        <v>10</v>
      </c>
      <c r="K962" s="3" t="s">
        <v>15</v>
      </c>
      <c r="L962" s="3" t="s">
        <v>22</v>
      </c>
      <c r="M962">
        <v>45</v>
      </c>
      <c r="N962" s="3"/>
    </row>
    <row r="963" spans="1:14" x14ac:dyDescent="0.25">
      <c r="A963" s="3" t="s">
        <v>993</v>
      </c>
      <c r="B963">
        <v>1997</v>
      </c>
      <c r="C963">
        <v>1997</v>
      </c>
      <c r="D963" s="3" t="s">
        <v>29</v>
      </c>
      <c r="E963" s="3" t="s">
        <v>29</v>
      </c>
      <c r="F963">
        <v>21</v>
      </c>
      <c r="G963" s="7">
        <v>35785</v>
      </c>
      <c r="H963">
        <v>0</v>
      </c>
      <c r="I963" s="3" t="s">
        <v>9336</v>
      </c>
      <c r="J963" s="3" t="s">
        <v>10</v>
      </c>
      <c r="K963" s="3" t="s">
        <v>15</v>
      </c>
      <c r="L963" s="3" t="s">
        <v>22</v>
      </c>
      <c r="M963">
        <v>29</v>
      </c>
      <c r="N963" s="3"/>
    </row>
    <row r="964" spans="1:14" x14ac:dyDescent="0.25">
      <c r="A964" s="3" t="s">
        <v>994</v>
      </c>
      <c r="B964">
        <v>1974</v>
      </c>
      <c r="C964">
        <v>1974</v>
      </c>
      <c r="D964" s="3" t="s">
        <v>29</v>
      </c>
      <c r="E964" s="3" t="s">
        <v>29</v>
      </c>
      <c r="F964">
        <v>6</v>
      </c>
      <c r="G964" s="7">
        <v>27369</v>
      </c>
      <c r="H964">
        <v>0</v>
      </c>
      <c r="I964" s="3" t="s">
        <v>9337</v>
      </c>
      <c r="J964" s="3" t="s">
        <v>15</v>
      </c>
      <c r="K964" s="3" t="s">
        <v>11</v>
      </c>
      <c r="L964" s="3" t="s">
        <v>12</v>
      </c>
      <c r="M964">
        <v>52</v>
      </c>
      <c r="N964" s="3"/>
    </row>
    <row r="965" spans="1:14" x14ac:dyDescent="0.25">
      <c r="A965" s="3" t="s">
        <v>995</v>
      </c>
      <c r="B965">
        <v>1999</v>
      </c>
      <c r="C965">
        <v>1999</v>
      </c>
      <c r="D965" s="3" t="s">
        <v>29</v>
      </c>
      <c r="E965" s="3" t="s">
        <v>29</v>
      </c>
      <c r="F965">
        <v>25</v>
      </c>
      <c r="G965" s="7">
        <v>36519</v>
      </c>
      <c r="H965">
        <v>0</v>
      </c>
      <c r="I965" s="3" t="s">
        <v>9338</v>
      </c>
      <c r="J965" s="3" t="s">
        <v>10</v>
      </c>
      <c r="K965" s="3" t="s">
        <v>10</v>
      </c>
      <c r="L965" s="3" t="s">
        <v>534</v>
      </c>
      <c r="M965">
        <v>27</v>
      </c>
      <c r="N965" s="3"/>
    </row>
    <row r="966" spans="1:14" x14ac:dyDescent="0.25">
      <c r="A966" s="3" t="s">
        <v>996</v>
      </c>
      <c r="B966">
        <v>1997</v>
      </c>
      <c r="C966">
        <v>1997</v>
      </c>
      <c r="D966" s="3" t="s">
        <v>29</v>
      </c>
      <c r="E966" s="3" t="s">
        <v>29</v>
      </c>
      <c r="F966">
        <v>2</v>
      </c>
      <c r="G966" s="7">
        <v>35766</v>
      </c>
      <c r="H966">
        <v>0</v>
      </c>
      <c r="I966" s="3" t="s">
        <v>9339</v>
      </c>
      <c r="J966" s="3" t="s">
        <v>10</v>
      </c>
      <c r="K966" s="3" t="s">
        <v>11</v>
      </c>
      <c r="L966" s="3" t="s">
        <v>22</v>
      </c>
      <c r="M966">
        <v>29</v>
      </c>
      <c r="N966" s="3"/>
    </row>
    <row r="967" spans="1:14" x14ac:dyDescent="0.25">
      <c r="A967" s="3" t="s">
        <v>997</v>
      </c>
      <c r="B967">
        <v>1974</v>
      </c>
      <c r="C967">
        <v>1974</v>
      </c>
      <c r="D967" s="3" t="s">
        <v>14</v>
      </c>
      <c r="E967" s="3" t="s">
        <v>14</v>
      </c>
      <c r="F967">
        <v>9</v>
      </c>
      <c r="G967" s="7">
        <v>27342</v>
      </c>
      <c r="H967">
        <v>0</v>
      </c>
      <c r="I967" s="3" t="s">
        <v>9340</v>
      </c>
      <c r="J967" s="3" t="s">
        <v>10</v>
      </c>
      <c r="K967" s="3" t="s">
        <v>11</v>
      </c>
      <c r="L967" s="3" t="s">
        <v>12</v>
      </c>
      <c r="M967">
        <v>52</v>
      </c>
      <c r="N967" s="3"/>
    </row>
    <row r="968" spans="1:14" x14ac:dyDescent="0.25">
      <c r="A968" s="3" t="s">
        <v>998</v>
      </c>
      <c r="B968">
        <v>1991</v>
      </c>
      <c r="C968">
        <v>1991</v>
      </c>
      <c r="D968" s="3" t="s">
        <v>29</v>
      </c>
      <c r="E968" s="3" t="s">
        <v>29</v>
      </c>
      <c r="F968">
        <v>21</v>
      </c>
      <c r="G968" s="7">
        <v>33593</v>
      </c>
      <c r="H968">
        <v>3</v>
      </c>
      <c r="I968" s="3" t="s">
        <v>9341</v>
      </c>
      <c r="J968" s="3" t="s">
        <v>10</v>
      </c>
      <c r="K968" s="3" t="s">
        <v>15</v>
      </c>
      <c r="L968" s="3" t="s">
        <v>22</v>
      </c>
      <c r="M968">
        <v>35</v>
      </c>
      <c r="N968" s="3"/>
    </row>
    <row r="969" spans="1:14" x14ac:dyDescent="0.25">
      <c r="A969" s="3" t="s">
        <v>999</v>
      </c>
      <c r="B969">
        <v>1989</v>
      </c>
      <c r="C969">
        <v>1989</v>
      </c>
      <c r="D969" s="3" t="s">
        <v>36</v>
      </c>
      <c r="E969" s="3" t="s">
        <v>36</v>
      </c>
      <c r="F969">
        <v>12</v>
      </c>
      <c r="G969" s="7">
        <v>32793</v>
      </c>
      <c r="H969">
        <v>3</v>
      </c>
      <c r="I969" s="3" t="s">
        <v>9342</v>
      </c>
      <c r="J969" s="3" t="s">
        <v>10</v>
      </c>
      <c r="K969" s="3" t="s">
        <v>10</v>
      </c>
      <c r="L969" s="3" t="s">
        <v>22</v>
      </c>
      <c r="M969">
        <v>37</v>
      </c>
      <c r="N969" s="3"/>
    </row>
    <row r="970" spans="1:14" x14ac:dyDescent="0.25">
      <c r="A970" s="3" t="s">
        <v>1000</v>
      </c>
      <c r="B970">
        <v>2001</v>
      </c>
      <c r="C970">
        <v>2001</v>
      </c>
      <c r="D970" s="3" t="s">
        <v>36</v>
      </c>
      <c r="E970" s="3" t="s">
        <v>36</v>
      </c>
      <c r="F970">
        <v>5</v>
      </c>
      <c r="G970" s="7">
        <v>37169</v>
      </c>
      <c r="H970">
        <v>0</v>
      </c>
      <c r="I970" s="3" t="s">
        <v>9343</v>
      </c>
      <c r="J970" s="3" t="s">
        <v>10</v>
      </c>
      <c r="K970" s="3" t="s">
        <v>10</v>
      </c>
      <c r="L970" s="3" t="s">
        <v>22</v>
      </c>
      <c r="M970">
        <v>25</v>
      </c>
      <c r="N970" s="3"/>
    </row>
    <row r="971" spans="1:14" x14ac:dyDescent="0.25">
      <c r="A971" s="3" t="s">
        <v>1001</v>
      </c>
      <c r="B971">
        <v>1994</v>
      </c>
      <c r="C971">
        <v>1994</v>
      </c>
      <c r="D971" s="3" t="s">
        <v>14</v>
      </c>
      <c r="E971" s="3" t="s">
        <v>14</v>
      </c>
      <c r="F971">
        <v>17</v>
      </c>
      <c r="G971" s="7">
        <v>34655</v>
      </c>
      <c r="H971">
        <v>0</v>
      </c>
      <c r="I971" s="3" t="s">
        <v>9344</v>
      </c>
      <c r="J971" s="3" t="s">
        <v>10</v>
      </c>
      <c r="K971" s="3" t="s">
        <v>11</v>
      </c>
      <c r="L971" s="3" t="s">
        <v>22</v>
      </c>
      <c r="M971">
        <v>32</v>
      </c>
      <c r="N971" s="3"/>
    </row>
    <row r="972" spans="1:14" x14ac:dyDescent="0.25">
      <c r="A972" s="3" t="s">
        <v>1002</v>
      </c>
      <c r="B972">
        <v>1962</v>
      </c>
      <c r="C972">
        <v>1962</v>
      </c>
      <c r="D972" s="3" t="s">
        <v>36</v>
      </c>
      <c r="E972" s="3" t="s">
        <v>36</v>
      </c>
      <c r="F972">
        <v>10</v>
      </c>
      <c r="G972" s="7">
        <v>22929</v>
      </c>
      <c r="H972">
        <v>0</v>
      </c>
      <c r="I972" s="3" t="s">
        <v>9345</v>
      </c>
      <c r="J972" s="3" t="s">
        <v>11</v>
      </c>
      <c r="K972" s="3" t="s">
        <v>10</v>
      </c>
      <c r="L972" s="3" t="s">
        <v>12</v>
      </c>
      <c r="M972">
        <v>64</v>
      </c>
      <c r="N972" s="3"/>
    </row>
    <row r="973" spans="1:14" x14ac:dyDescent="0.25">
      <c r="A973" s="3" t="s">
        <v>1003</v>
      </c>
      <c r="B973">
        <v>1977</v>
      </c>
      <c r="C973">
        <v>1977</v>
      </c>
      <c r="D973" s="3" t="s">
        <v>9</v>
      </c>
      <c r="E973" s="3" t="s">
        <v>9</v>
      </c>
      <c r="F973">
        <v>20</v>
      </c>
      <c r="G973" s="7">
        <v>28326</v>
      </c>
      <c r="H973">
        <v>0</v>
      </c>
      <c r="I973" s="3" t="s">
        <v>9346</v>
      </c>
      <c r="J973" s="3" t="s">
        <v>10</v>
      </c>
      <c r="K973" s="3" t="s">
        <v>15</v>
      </c>
      <c r="L973" s="3" t="s">
        <v>246</v>
      </c>
      <c r="M973">
        <v>49</v>
      </c>
      <c r="N973" s="3"/>
    </row>
    <row r="974" spans="1:14" x14ac:dyDescent="0.25">
      <c r="A974" s="3" t="s">
        <v>1004</v>
      </c>
      <c r="B974">
        <v>1987</v>
      </c>
      <c r="C974">
        <v>1987</v>
      </c>
      <c r="D974" s="3" t="s">
        <v>36</v>
      </c>
      <c r="E974" s="3" t="s">
        <v>36</v>
      </c>
      <c r="F974">
        <v>29</v>
      </c>
      <c r="G974" s="7">
        <v>32079</v>
      </c>
      <c r="H974">
        <v>3</v>
      </c>
      <c r="I974" s="3" t="s">
        <v>9347</v>
      </c>
      <c r="J974" s="3" t="s">
        <v>10</v>
      </c>
      <c r="K974" s="3" t="s">
        <v>11</v>
      </c>
      <c r="L974" s="3" t="s">
        <v>199</v>
      </c>
      <c r="M974">
        <v>39</v>
      </c>
      <c r="N974" s="3"/>
    </row>
    <row r="975" spans="1:14" x14ac:dyDescent="0.25">
      <c r="A975" s="3" t="s">
        <v>1005</v>
      </c>
      <c r="B975">
        <v>1966</v>
      </c>
      <c r="C975">
        <v>1966</v>
      </c>
      <c r="D975" s="3" t="s">
        <v>9</v>
      </c>
      <c r="E975" s="3" t="s">
        <v>9</v>
      </c>
      <c r="F975">
        <v>9</v>
      </c>
      <c r="G975" s="7">
        <v>24297</v>
      </c>
      <c r="H975">
        <v>0</v>
      </c>
      <c r="I975" s="3" t="s">
        <v>9348</v>
      </c>
      <c r="J975" s="3" t="s">
        <v>11</v>
      </c>
      <c r="K975" s="3" t="s">
        <v>11</v>
      </c>
      <c r="L975" s="3" t="s">
        <v>22</v>
      </c>
      <c r="M975">
        <v>60</v>
      </c>
      <c r="N975" s="3"/>
    </row>
    <row r="976" spans="1:14" x14ac:dyDescent="0.25">
      <c r="A976" s="3" t="s">
        <v>1006</v>
      </c>
      <c r="B976">
        <v>1981</v>
      </c>
      <c r="C976">
        <v>1981</v>
      </c>
      <c r="D976" s="3" t="s">
        <v>29</v>
      </c>
      <c r="E976" s="3" t="s">
        <v>29</v>
      </c>
      <c r="F976">
        <v>28</v>
      </c>
      <c r="G976" s="7">
        <v>29948</v>
      </c>
      <c r="H976">
        <v>3</v>
      </c>
      <c r="I976" s="3" t="s">
        <v>9349</v>
      </c>
      <c r="J976" s="3" t="s">
        <v>10</v>
      </c>
      <c r="K976" s="3" t="s">
        <v>10</v>
      </c>
      <c r="L976" s="3" t="s">
        <v>41</v>
      </c>
      <c r="M976">
        <v>45</v>
      </c>
      <c r="N976" s="3"/>
    </row>
    <row r="977" spans="1:14" x14ac:dyDescent="0.25">
      <c r="A977" s="3" t="s">
        <v>1007</v>
      </c>
      <c r="B977">
        <v>1970</v>
      </c>
      <c r="C977">
        <v>1970</v>
      </c>
      <c r="D977" s="3" t="s">
        <v>17</v>
      </c>
      <c r="E977" s="3" t="s">
        <v>17</v>
      </c>
      <c r="F977">
        <v>19</v>
      </c>
      <c r="G977" s="7">
        <v>25738</v>
      </c>
      <c r="H977">
        <v>0</v>
      </c>
      <c r="I977" s="3" t="s">
        <v>9350</v>
      </c>
      <c r="J977" s="3" t="s">
        <v>10</v>
      </c>
      <c r="K977" s="3" t="s">
        <v>10</v>
      </c>
      <c r="L977" s="3" t="s">
        <v>12</v>
      </c>
      <c r="M977">
        <v>56</v>
      </c>
      <c r="N977" s="3"/>
    </row>
    <row r="978" spans="1:14" x14ac:dyDescent="0.25">
      <c r="A978" s="3" t="s">
        <v>1008</v>
      </c>
      <c r="B978">
        <v>1975</v>
      </c>
      <c r="C978">
        <v>1975</v>
      </c>
      <c r="D978" s="3" t="s">
        <v>34</v>
      </c>
      <c r="E978" s="3" t="s">
        <v>34</v>
      </c>
      <c r="F978">
        <v>10</v>
      </c>
      <c r="G978" s="7">
        <v>27616</v>
      </c>
      <c r="H978">
        <v>1</v>
      </c>
      <c r="I978" s="3" t="s">
        <v>9351</v>
      </c>
      <c r="J978" s="3" t="s">
        <v>10</v>
      </c>
      <c r="K978" s="3" t="s">
        <v>10</v>
      </c>
      <c r="L978" s="3" t="s">
        <v>12</v>
      </c>
      <c r="M978">
        <v>51</v>
      </c>
      <c r="N978" s="3"/>
    </row>
    <row r="979" spans="1:14" x14ac:dyDescent="0.25">
      <c r="A979" s="3" t="s">
        <v>1009</v>
      </c>
      <c r="B979">
        <v>1972</v>
      </c>
      <c r="C979">
        <v>1972</v>
      </c>
      <c r="D979" s="3" t="s">
        <v>14</v>
      </c>
      <c r="E979" s="3" t="s">
        <v>14</v>
      </c>
      <c r="F979">
        <v>23</v>
      </c>
      <c r="G979" s="7">
        <v>26626</v>
      </c>
      <c r="H979">
        <v>0</v>
      </c>
      <c r="I979" s="3" t="s">
        <v>9352</v>
      </c>
      <c r="J979" s="3" t="s">
        <v>10</v>
      </c>
      <c r="K979" s="3" t="s">
        <v>10</v>
      </c>
      <c r="L979" s="3" t="s">
        <v>12</v>
      </c>
      <c r="M979">
        <v>54</v>
      </c>
      <c r="N979" s="3"/>
    </row>
    <row r="980" spans="1:14" x14ac:dyDescent="0.25">
      <c r="A980" s="3" t="s">
        <v>1010</v>
      </c>
      <c r="B980">
        <v>1983</v>
      </c>
      <c r="C980">
        <v>1983</v>
      </c>
      <c r="D980" s="3" t="s">
        <v>34</v>
      </c>
      <c r="E980" s="3" t="s">
        <v>34</v>
      </c>
      <c r="F980">
        <v>28</v>
      </c>
      <c r="G980" s="7">
        <v>30556</v>
      </c>
      <c r="H980">
        <v>3</v>
      </c>
      <c r="I980" s="3" t="s">
        <v>9353</v>
      </c>
      <c r="J980" s="3" t="s">
        <v>10</v>
      </c>
      <c r="K980" s="3" t="s">
        <v>15</v>
      </c>
      <c r="L980" s="3" t="s">
        <v>246</v>
      </c>
      <c r="M980">
        <v>43</v>
      </c>
      <c r="N980" s="3"/>
    </row>
    <row r="981" spans="1:14" x14ac:dyDescent="0.25">
      <c r="A981" s="3" t="s">
        <v>1011</v>
      </c>
      <c r="B981">
        <v>1983</v>
      </c>
      <c r="C981">
        <v>1983</v>
      </c>
      <c r="D981" s="3" t="s">
        <v>34</v>
      </c>
      <c r="E981" s="3" t="s">
        <v>34</v>
      </c>
      <c r="F981">
        <v>20</v>
      </c>
      <c r="G981" s="7">
        <v>30548</v>
      </c>
      <c r="H981">
        <v>3</v>
      </c>
      <c r="I981" s="3" t="s">
        <v>9354</v>
      </c>
      <c r="J981" s="3" t="s">
        <v>10</v>
      </c>
      <c r="K981" s="3" t="s">
        <v>11</v>
      </c>
      <c r="L981" s="3" t="s">
        <v>246</v>
      </c>
      <c r="M981">
        <v>43</v>
      </c>
      <c r="N981" s="3"/>
    </row>
    <row r="982" spans="1:14" x14ac:dyDescent="0.25">
      <c r="A982" s="3" t="s">
        <v>1012</v>
      </c>
      <c r="B982">
        <v>1962</v>
      </c>
      <c r="C982">
        <v>1962</v>
      </c>
      <c r="D982" s="3" t="s">
        <v>34</v>
      </c>
      <c r="E982" s="3" t="s">
        <v>34</v>
      </c>
      <c r="F982">
        <v>22</v>
      </c>
      <c r="G982" s="7">
        <v>22880</v>
      </c>
      <c r="H982">
        <v>0</v>
      </c>
      <c r="I982" s="3" t="s">
        <v>9355</v>
      </c>
      <c r="J982" s="3" t="s">
        <v>11</v>
      </c>
      <c r="K982" s="3" t="s">
        <v>15</v>
      </c>
      <c r="L982" s="3" t="s">
        <v>12</v>
      </c>
      <c r="M982">
        <v>64</v>
      </c>
      <c r="N982" s="3"/>
    </row>
    <row r="983" spans="1:14" x14ac:dyDescent="0.25">
      <c r="A983" s="3" t="s">
        <v>1013</v>
      </c>
      <c r="B983">
        <v>1995</v>
      </c>
      <c r="C983">
        <v>1995</v>
      </c>
      <c r="D983" s="3" t="s">
        <v>19</v>
      </c>
      <c r="E983" s="3" t="s">
        <v>19</v>
      </c>
      <c r="F983">
        <v>18</v>
      </c>
      <c r="G983" s="7">
        <v>34960</v>
      </c>
      <c r="H983">
        <v>0</v>
      </c>
      <c r="I983" s="3" t="s">
        <v>9356</v>
      </c>
      <c r="J983" s="3" t="s">
        <v>10</v>
      </c>
      <c r="K983" s="3" t="s">
        <v>11</v>
      </c>
      <c r="L983" s="3" t="s">
        <v>22</v>
      </c>
      <c r="M983">
        <v>31</v>
      </c>
      <c r="N983" s="3"/>
    </row>
    <row r="984" spans="1:14" x14ac:dyDescent="0.25">
      <c r="A984" s="3" t="s">
        <v>1014</v>
      </c>
      <c r="B984">
        <v>1980</v>
      </c>
      <c r="C984">
        <v>1980</v>
      </c>
      <c r="D984" s="3" t="s">
        <v>14</v>
      </c>
      <c r="E984" s="3" t="s">
        <v>14</v>
      </c>
      <c r="F984">
        <v>8</v>
      </c>
      <c r="G984" s="7">
        <v>29533</v>
      </c>
      <c r="H984">
        <v>2</v>
      </c>
      <c r="I984" s="3" t="s">
        <v>9357</v>
      </c>
      <c r="J984" s="3" t="s">
        <v>10</v>
      </c>
      <c r="K984" s="3" t="s">
        <v>10</v>
      </c>
      <c r="L984" s="3" t="s">
        <v>22</v>
      </c>
      <c r="M984">
        <v>46</v>
      </c>
      <c r="N984" s="3"/>
    </row>
    <row r="985" spans="1:14" x14ac:dyDescent="0.25">
      <c r="A985" s="3" t="s">
        <v>1015</v>
      </c>
      <c r="B985">
        <v>1989</v>
      </c>
      <c r="C985">
        <v>1989</v>
      </c>
      <c r="D985" s="3" t="s">
        <v>14</v>
      </c>
      <c r="E985" s="3" t="s">
        <v>14</v>
      </c>
      <c r="F985">
        <v>3</v>
      </c>
      <c r="G985" s="7">
        <v>32815</v>
      </c>
      <c r="H985">
        <v>3</v>
      </c>
      <c r="I985" s="3" t="s">
        <v>9358</v>
      </c>
      <c r="J985" s="3" t="s">
        <v>10</v>
      </c>
      <c r="K985" s="3" t="s">
        <v>15</v>
      </c>
      <c r="L985" s="3" t="s">
        <v>22</v>
      </c>
      <c r="M985">
        <v>37</v>
      </c>
      <c r="N985" s="3"/>
    </row>
    <row r="986" spans="1:14" x14ac:dyDescent="0.25">
      <c r="A986" s="3" t="s">
        <v>1016</v>
      </c>
      <c r="B986">
        <v>1978</v>
      </c>
      <c r="C986">
        <v>1978</v>
      </c>
      <c r="D986" s="3" t="s">
        <v>9</v>
      </c>
      <c r="E986" s="3" t="s">
        <v>9</v>
      </c>
      <c r="F986">
        <v>17</v>
      </c>
      <c r="G986" s="7">
        <v>28688</v>
      </c>
      <c r="H986">
        <v>1</v>
      </c>
      <c r="I986" s="3" t="s">
        <v>9359</v>
      </c>
      <c r="J986" s="3" t="s">
        <v>10</v>
      </c>
      <c r="K986" s="3" t="s">
        <v>11</v>
      </c>
      <c r="L986" s="3" t="s">
        <v>22</v>
      </c>
      <c r="M986">
        <v>48</v>
      </c>
      <c r="N986" s="3"/>
    </row>
    <row r="987" spans="1:14" x14ac:dyDescent="0.25">
      <c r="A987" s="3" t="s">
        <v>1017</v>
      </c>
      <c r="B987">
        <v>1976</v>
      </c>
      <c r="C987">
        <v>1976</v>
      </c>
      <c r="D987" s="3" t="s">
        <v>29</v>
      </c>
      <c r="E987" s="3" t="s">
        <v>29</v>
      </c>
      <c r="F987">
        <v>20</v>
      </c>
      <c r="G987" s="7">
        <v>28114</v>
      </c>
      <c r="H987">
        <v>0</v>
      </c>
      <c r="I987" s="3" t="s">
        <v>9360</v>
      </c>
      <c r="J987" s="3" t="s">
        <v>10</v>
      </c>
      <c r="K987" s="3" t="s">
        <v>10</v>
      </c>
      <c r="L987" s="3" t="s">
        <v>22</v>
      </c>
      <c r="M987">
        <v>50</v>
      </c>
      <c r="N987" s="3"/>
    </row>
    <row r="988" spans="1:14" x14ac:dyDescent="0.25">
      <c r="A988" s="3" t="s">
        <v>1018</v>
      </c>
      <c r="B988">
        <v>1977</v>
      </c>
      <c r="C988">
        <v>1977</v>
      </c>
      <c r="D988" s="3" t="s">
        <v>14</v>
      </c>
      <c r="E988" s="3" t="s">
        <v>14</v>
      </c>
      <c r="F988">
        <v>6</v>
      </c>
      <c r="G988" s="7">
        <v>28435</v>
      </c>
      <c r="H988">
        <v>2</v>
      </c>
      <c r="I988" s="3" t="s">
        <v>9361</v>
      </c>
      <c r="J988" s="3" t="s">
        <v>11</v>
      </c>
      <c r="K988" s="3" t="s">
        <v>10</v>
      </c>
      <c r="L988" s="3" t="s">
        <v>41</v>
      </c>
      <c r="M988">
        <v>49</v>
      </c>
      <c r="N988" s="3"/>
    </row>
    <row r="989" spans="1:14" x14ac:dyDescent="0.25">
      <c r="A989" s="3" t="s">
        <v>1019</v>
      </c>
      <c r="B989">
        <v>2003</v>
      </c>
      <c r="C989">
        <v>2003</v>
      </c>
      <c r="D989" s="3" t="s">
        <v>29</v>
      </c>
      <c r="E989" s="3" t="s">
        <v>29</v>
      </c>
      <c r="F989">
        <v>12</v>
      </c>
      <c r="G989" s="7">
        <v>37967</v>
      </c>
      <c r="H989">
        <v>0</v>
      </c>
      <c r="I989" s="3" t="s">
        <v>9362</v>
      </c>
      <c r="J989" s="3" t="s">
        <v>10</v>
      </c>
      <c r="K989" s="3" t="s">
        <v>10</v>
      </c>
      <c r="L989" s="3" t="s">
        <v>22</v>
      </c>
      <c r="M989">
        <v>23</v>
      </c>
      <c r="N989" s="3"/>
    </row>
    <row r="990" spans="1:14" x14ac:dyDescent="0.25">
      <c r="A990" s="3" t="s">
        <v>1020</v>
      </c>
      <c r="B990">
        <v>1985</v>
      </c>
      <c r="C990">
        <v>1985</v>
      </c>
      <c r="D990" s="3" t="s">
        <v>14</v>
      </c>
      <c r="E990" s="3" t="s">
        <v>14</v>
      </c>
      <c r="F990">
        <v>28</v>
      </c>
      <c r="G990" s="7">
        <v>31379</v>
      </c>
      <c r="H990">
        <v>3</v>
      </c>
      <c r="I990" s="3" t="s">
        <v>9363</v>
      </c>
      <c r="J990" s="3" t="s">
        <v>10</v>
      </c>
      <c r="K990" s="3" t="s">
        <v>11</v>
      </c>
      <c r="L990" s="3" t="s">
        <v>22</v>
      </c>
      <c r="M990">
        <v>41</v>
      </c>
      <c r="N990" s="3"/>
    </row>
    <row r="991" spans="1:14" x14ac:dyDescent="0.25">
      <c r="A991" s="3" t="s">
        <v>1021</v>
      </c>
      <c r="B991">
        <v>1982</v>
      </c>
      <c r="C991">
        <v>1982</v>
      </c>
      <c r="D991" s="3" t="s">
        <v>29</v>
      </c>
      <c r="E991" s="3" t="s">
        <v>29</v>
      </c>
      <c r="F991">
        <v>27</v>
      </c>
      <c r="G991" s="7">
        <v>30312</v>
      </c>
      <c r="H991">
        <v>3</v>
      </c>
      <c r="I991" s="3" t="s">
        <v>9364</v>
      </c>
      <c r="J991" s="3" t="s">
        <v>10</v>
      </c>
      <c r="K991" s="3" t="s">
        <v>11</v>
      </c>
      <c r="L991" s="3" t="s">
        <v>22</v>
      </c>
      <c r="M991">
        <v>44</v>
      </c>
      <c r="N991" s="3"/>
    </row>
    <row r="992" spans="1:14" x14ac:dyDescent="0.25">
      <c r="A992" s="3" t="s">
        <v>1022</v>
      </c>
      <c r="B992">
        <v>1970</v>
      </c>
      <c r="C992">
        <v>1970</v>
      </c>
      <c r="D992" s="3" t="s">
        <v>29</v>
      </c>
      <c r="E992" s="3" t="s">
        <v>29</v>
      </c>
      <c r="F992">
        <v>12</v>
      </c>
      <c r="G992" s="7">
        <v>25914</v>
      </c>
      <c r="H992">
        <v>0</v>
      </c>
      <c r="I992" s="3" t="s">
        <v>9365</v>
      </c>
      <c r="J992" s="3" t="s">
        <v>10</v>
      </c>
      <c r="K992" s="3" t="s">
        <v>15</v>
      </c>
      <c r="L992" s="3" t="s">
        <v>12</v>
      </c>
      <c r="M992">
        <v>56</v>
      </c>
      <c r="N992" s="3"/>
    </row>
    <row r="993" spans="1:14" x14ac:dyDescent="0.25">
      <c r="A993" s="3" t="s">
        <v>1023</v>
      </c>
      <c r="B993">
        <v>1975</v>
      </c>
      <c r="C993">
        <v>1975</v>
      </c>
      <c r="D993" s="3" t="s">
        <v>17</v>
      </c>
      <c r="E993" s="3" t="s">
        <v>17</v>
      </c>
      <c r="F993">
        <v>28</v>
      </c>
      <c r="G993" s="7">
        <v>27573</v>
      </c>
      <c r="H993">
        <v>1</v>
      </c>
      <c r="I993" s="3" t="s">
        <v>9366</v>
      </c>
      <c r="J993" s="3" t="s">
        <v>11</v>
      </c>
      <c r="K993" s="3" t="s">
        <v>11</v>
      </c>
      <c r="L993" s="3" t="s">
        <v>41</v>
      </c>
      <c r="M993">
        <v>51</v>
      </c>
      <c r="N993" s="3"/>
    </row>
    <row r="994" spans="1:14" x14ac:dyDescent="0.25">
      <c r="A994" s="3" t="s">
        <v>1024</v>
      </c>
      <c r="B994">
        <v>1965</v>
      </c>
      <c r="C994">
        <v>1965</v>
      </c>
      <c r="D994" s="3" t="s">
        <v>34</v>
      </c>
      <c r="E994" s="3" t="s">
        <v>34</v>
      </c>
      <c r="F994">
        <v>11</v>
      </c>
      <c r="G994" s="7">
        <v>23965</v>
      </c>
      <c r="H994">
        <v>0</v>
      </c>
      <c r="I994" s="3" t="s">
        <v>9367</v>
      </c>
      <c r="J994" s="3" t="s">
        <v>11</v>
      </c>
      <c r="K994" s="3" t="s">
        <v>15</v>
      </c>
      <c r="L994" s="3" t="s">
        <v>12</v>
      </c>
      <c r="M994">
        <v>61</v>
      </c>
      <c r="N994" s="3"/>
    </row>
    <row r="995" spans="1:14" x14ac:dyDescent="0.25">
      <c r="A995" s="3" t="s">
        <v>1025</v>
      </c>
      <c r="B995">
        <v>1975</v>
      </c>
      <c r="C995">
        <v>1975</v>
      </c>
      <c r="D995" s="3" t="s">
        <v>29</v>
      </c>
      <c r="E995" s="3" t="s">
        <v>29</v>
      </c>
      <c r="F995">
        <v>15</v>
      </c>
      <c r="G995" s="7">
        <v>27743</v>
      </c>
      <c r="H995">
        <v>1</v>
      </c>
      <c r="I995" s="3" t="s">
        <v>9368</v>
      </c>
      <c r="J995" s="3" t="s">
        <v>11</v>
      </c>
      <c r="K995" s="3" t="s">
        <v>10</v>
      </c>
      <c r="L995" s="3" t="s">
        <v>41</v>
      </c>
      <c r="M995">
        <v>51</v>
      </c>
      <c r="N995" s="3"/>
    </row>
    <row r="996" spans="1:14" x14ac:dyDescent="0.25">
      <c r="A996" s="3" t="s">
        <v>1026</v>
      </c>
      <c r="B996">
        <v>1965</v>
      </c>
      <c r="C996">
        <v>1965</v>
      </c>
      <c r="D996" s="3" t="s">
        <v>36</v>
      </c>
      <c r="E996" s="3" t="s">
        <v>36</v>
      </c>
      <c r="F996">
        <v>21</v>
      </c>
      <c r="G996" s="7">
        <v>24036</v>
      </c>
      <c r="H996">
        <v>0</v>
      </c>
      <c r="I996" s="3" t="s">
        <v>9369</v>
      </c>
      <c r="J996" s="3" t="s">
        <v>11</v>
      </c>
      <c r="K996" s="3" t="s">
        <v>15</v>
      </c>
      <c r="L996" s="3" t="s">
        <v>41</v>
      </c>
      <c r="M996">
        <v>61</v>
      </c>
      <c r="N996" s="3"/>
    </row>
    <row r="997" spans="1:14" x14ac:dyDescent="0.25">
      <c r="A997" s="3" t="s">
        <v>1027</v>
      </c>
      <c r="B997">
        <v>1993</v>
      </c>
      <c r="C997">
        <v>1993</v>
      </c>
      <c r="D997" s="3" t="s">
        <v>14</v>
      </c>
      <c r="E997" s="3" t="s">
        <v>14</v>
      </c>
      <c r="F997">
        <v>7</v>
      </c>
      <c r="G997" s="7">
        <v>34280</v>
      </c>
      <c r="H997">
        <v>0</v>
      </c>
      <c r="I997" s="3" t="s">
        <v>9370</v>
      </c>
      <c r="J997" s="3" t="s">
        <v>10</v>
      </c>
      <c r="K997" s="3" t="s">
        <v>15</v>
      </c>
      <c r="L997" s="3" t="s">
        <v>534</v>
      </c>
      <c r="M997">
        <v>33</v>
      </c>
      <c r="N997" s="3"/>
    </row>
    <row r="998" spans="1:14" x14ac:dyDescent="0.25">
      <c r="A998" s="3" t="s">
        <v>1028</v>
      </c>
      <c r="B998">
        <v>2001</v>
      </c>
      <c r="C998">
        <v>2001</v>
      </c>
      <c r="D998" s="3" t="s">
        <v>34</v>
      </c>
      <c r="E998" s="3" t="s">
        <v>34</v>
      </c>
      <c r="F998">
        <v>28</v>
      </c>
      <c r="G998" s="7">
        <v>37131</v>
      </c>
      <c r="H998">
        <v>0</v>
      </c>
      <c r="I998" s="3" t="s">
        <v>9371</v>
      </c>
      <c r="J998" s="3" t="s">
        <v>10</v>
      </c>
      <c r="K998" s="3" t="s">
        <v>10</v>
      </c>
      <c r="L998" s="3" t="s">
        <v>22</v>
      </c>
      <c r="M998">
        <v>25</v>
      </c>
      <c r="N998" s="3"/>
    </row>
    <row r="999" spans="1:14" x14ac:dyDescent="0.25">
      <c r="A999" s="3" t="s">
        <v>1029</v>
      </c>
      <c r="B999">
        <v>1994</v>
      </c>
      <c r="C999">
        <v>1994</v>
      </c>
      <c r="D999" s="3" t="s">
        <v>36</v>
      </c>
      <c r="E999" s="3" t="s">
        <v>36</v>
      </c>
      <c r="F999">
        <v>12</v>
      </c>
      <c r="G999" s="7">
        <v>34619</v>
      </c>
      <c r="H999">
        <v>0</v>
      </c>
      <c r="I999" s="3" t="s">
        <v>9372</v>
      </c>
      <c r="J999" s="3" t="s">
        <v>10</v>
      </c>
      <c r="K999" s="3" t="s">
        <v>10</v>
      </c>
      <c r="L999" s="3" t="s">
        <v>534</v>
      </c>
      <c r="M999">
        <v>32</v>
      </c>
      <c r="N999" s="3"/>
    </row>
    <row r="1000" spans="1:14" x14ac:dyDescent="0.25">
      <c r="A1000" s="3" t="s">
        <v>1030</v>
      </c>
      <c r="B1000">
        <v>1975</v>
      </c>
      <c r="C1000">
        <v>1975</v>
      </c>
      <c r="D1000" s="3" t="s">
        <v>29</v>
      </c>
      <c r="E1000" s="3" t="s">
        <v>29</v>
      </c>
      <c r="F1000">
        <v>21</v>
      </c>
      <c r="G1000" s="7">
        <v>27749</v>
      </c>
      <c r="H1000">
        <v>1</v>
      </c>
      <c r="I1000" s="3" t="s">
        <v>9373</v>
      </c>
      <c r="J1000" s="3" t="s">
        <v>11</v>
      </c>
      <c r="K1000" s="3" t="s">
        <v>11</v>
      </c>
      <c r="L1000" s="3" t="s">
        <v>12</v>
      </c>
      <c r="M1000">
        <v>51</v>
      </c>
      <c r="N1000" s="3"/>
    </row>
    <row r="1001" spans="1:14" x14ac:dyDescent="0.25">
      <c r="A1001" s="3" t="s">
        <v>1031</v>
      </c>
      <c r="B1001">
        <v>1967</v>
      </c>
      <c r="C1001">
        <v>1967</v>
      </c>
      <c r="D1001" s="3" t="s">
        <v>17</v>
      </c>
      <c r="E1001" s="3" t="s">
        <v>17</v>
      </c>
      <c r="F1001">
        <v>10</v>
      </c>
      <c r="G1001" s="7">
        <v>24633</v>
      </c>
      <c r="H1001">
        <v>0</v>
      </c>
      <c r="I1001" s="3" t="s">
        <v>9374</v>
      </c>
      <c r="J1001" s="3" t="s">
        <v>11</v>
      </c>
      <c r="K1001" s="3" t="s">
        <v>15</v>
      </c>
      <c r="L1001" s="3" t="s">
        <v>22</v>
      </c>
      <c r="M1001">
        <v>59</v>
      </c>
      <c r="N1001" s="3"/>
    </row>
    <row r="1002" spans="1:14" x14ac:dyDescent="0.25">
      <c r="A1002" s="3" t="s">
        <v>1032</v>
      </c>
      <c r="B1002">
        <v>1973</v>
      </c>
      <c r="C1002">
        <v>1973</v>
      </c>
      <c r="D1002" s="3" t="s">
        <v>36</v>
      </c>
      <c r="E1002" s="3" t="s">
        <v>36</v>
      </c>
      <c r="F1002">
        <v>11</v>
      </c>
      <c r="G1002" s="7">
        <v>26948</v>
      </c>
      <c r="H1002">
        <v>0</v>
      </c>
      <c r="I1002" s="3" t="s">
        <v>9375</v>
      </c>
      <c r="J1002" s="3" t="s">
        <v>10</v>
      </c>
      <c r="K1002" s="3" t="s">
        <v>10</v>
      </c>
      <c r="L1002" s="3" t="s">
        <v>12</v>
      </c>
      <c r="M1002">
        <v>53</v>
      </c>
      <c r="N1002" s="3"/>
    </row>
    <row r="1003" spans="1:14" x14ac:dyDescent="0.25">
      <c r="A1003" s="3" t="s">
        <v>1033</v>
      </c>
      <c r="B1003">
        <v>1978</v>
      </c>
      <c r="C1003">
        <v>1978</v>
      </c>
      <c r="D1003" s="3" t="s">
        <v>19</v>
      </c>
      <c r="E1003" s="3" t="s">
        <v>19</v>
      </c>
      <c r="F1003">
        <v>1</v>
      </c>
      <c r="G1003" s="7">
        <v>28734</v>
      </c>
      <c r="H1003">
        <v>2</v>
      </c>
      <c r="I1003" s="3" t="s">
        <v>9376</v>
      </c>
      <c r="J1003" s="3" t="s">
        <v>11</v>
      </c>
      <c r="K1003" s="3" t="s">
        <v>15</v>
      </c>
      <c r="L1003" s="3" t="s">
        <v>22</v>
      </c>
      <c r="M1003">
        <v>48</v>
      </c>
      <c r="N1003" s="3"/>
    </row>
    <row r="1004" spans="1:14" x14ac:dyDescent="0.25">
      <c r="A1004" s="3" t="s">
        <v>1034</v>
      </c>
      <c r="B1004">
        <v>1973</v>
      </c>
      <c r="C1004">
        <v>1973</v>
      </c>
      <c r="D1004" s="3" t="s">
        <v>29</v>
      </c>
      <c r="E1004" s="3" t="s">
        <v>29</v>
      </c>
      <c r="F1004">
        <v>16</v>
      </c>
      <c r="G1004" s="7">
        <v>27014</v>
      </c>
      <c r="H1004">
        <v>0</v>
      </c>
      <c r="I1004" s="3" t="s">
        <v>9377</v>
      </c>
      <c r="J1004" s="3" t="s">
        <v>11</v>
      </c>
      <c r="K1004" s="3" t="s">
        <v>15</v>
      </c>
      <c r="L1004" s="3" t="s">
        <v>41</v>
      </c>
      <c r="M1004">
        <v>53</v>
      </c>
      <c r="N1004" s="3"/>
    </row>
    <row r="1005" spans="1:14" x14ac:dyDescent="0.25">
      <c r="A1005" s="3" t="s">
        <v>1035</v>
      </c>
      <c r="B1005">
        <v>1973</v>
      </c>
      <c r="C1005">
        <v>1973</v>
      </c>
      <c r="D1005" s="3" t="s">
        <v>34</v>
      </c>
      <c r="E1005" s="3" t="s">
        <v>34</v>
      </c>
      <c r="F1005">
        <v>30</v>
      </c>
      <c r="G1005" s="7">
        <v>26906</v>
      </c>
      <c r="H1005">
        <v>0</v>
      </c>
      <c r="I1005" s="3" t="s">
        <v>9378</v>
      </c>
      <c r="J1005" s="3" t="s">
        <v>11</v>
      </c>
      <c r="K1005" s="3" t="s">
        <v>15</v>
      </c>
      <c r="L1005" s="3" t="s">
        <v>12</v>
      </c>
      <c r="M1005">
        <v>53</v>
      </c>
      <c r="N1005" s="3"/>
    </row>
    <row r="1006" spans="1:14" x14ac:dyDescent="0.25">
      <c r="A1006" s="3" t="s">
        <v>1036</v>
      </c>
      <c r="B1006">
        <v>1973</v>
      </c>
      <c r="C1006">
        <v>1973</v>
      </c>
      <c r="D1006" s="3" t="s">
        <v>19</v>
      </c>
      <c r="E1006" s="3" t="s">
        <v>19</v>
      </c>
      <c r="F1006">
        <v>3</v>
      </c>
      <c r="G1006" s="7">
        <v>26910</v>
      </c>
      <c r="H1006">
        <v>0</v>
      </c>
      <c r="I1006" s="3" t="s">
        <v>9379</v>
      </c>
      <c r="J1006" s="3" t="s">
        <v>10</v>
      </c>
      <c r="K1006" s="3" t="s">
        <v>10</v>
      </c>
      <c r="L1006" s="3" t="s">
        <v>12</v>
      </c>
      <c r="M1006">
        <v>53</v>
      </c>
      <c r="N1006" s="3"/>
    </row>
    <row r="1007" spans="1:14" x14ac:dyDescent="0.25">
      <c r="A1007" s="3" t="s">
        <v>1037</v>
      </c>
      <c r="B1007">
        <v>1990</v>
      </c>
      <c r="C1007">
        <v>1990</v>
      </c>
      <c r="D1007" s="3" t="s">
        <v>17</v>
      </c>
      <c r="E1007" s="3" t="s">
        <v>17</v>
      </c>
      <c r="F1007">
        <v>21</v>
      </c>
      <c r="G1007" s="7">
        <v>33045</v>
      </c>
      <c r="H1007">
        <v>3</v>
      </c>
      <c r="I1007" s="3" t="s">
        <v>9380</v>
      </c>
      <c r="J1007" s="3" t="s">
        <v>10</v>
      </c>
      <c r="K1007" s="3" t="s">
        <v>11</v>
      </c>
      <c r="L1007" s="3" t="s">
        <v>199</v>
      </c>
      <c r="M1007">
        <v>36</v>
      </c>
      <c r="N1007" s="3"/>
    </row>
    <row r="1008" spans="1:14" x14ac:dyDescent="0.25">
      <c r="A1008" s="3" t="s">
        <v>1038</v>
      </c>
      <c r="B1008">
        <v>1982</v>
      </c>
      <c r="C1008">
        <v>1982</v>
      </c>
      <c r="D1008" s="3" t="s">
        <v>17</v>
      </c>
      <c r="E1008" s="3" t="s">
        <v>17</v>
      </c>
      <c r="F1008">
        <v>28</v>
      </c>
      <c r="G1008" s="7">
        <v>30130</v>
      </c>
      <c r="H1008">
        <v>4</v>
      </c>
      <c r="I1008" s="3" t="s">
        <v>9381</v>
      </c>
      <c r="J1008" s="3" t="s">
        <v>11</v>
      </c>
      <c r="K1008" s="3" t="s">
        <v>11</v>
      </c>
      <c r="L1008" s="3" t="s">
        <v>22</v>
      </c>
      <c r="M1008">
        <v>44</v>
      </c>
      <c r="N1008" s="3"/>
    </row>
    <row r="1009" spans="1:14" x14ac:dyDescent="0.25">
      <c r="A1009" s="3" t="s">
        <v>1039</v>
      </c>
      <c r="B1009">
        <v>1963</v>
      </c>
      <c r="C1009">
        <v>1963</v>
      </c>
      <c r="D1009" s="3" t="s">
        <v>14</v>
      </c>
      <c r="E1009" s="3" t="s">
        <v>14</v>
      </c>
      <c r="F1009">
        <v>5</v>
      </c>
      <c r="G1009" s="7">
        <v>23320</v>
      </c>
      <c r="H1009">
        <v>0</v>
      </c>
      <c r="I1009" s="3" t="s">
        <v>9382</v>
      </c>
      <c r="J1009" s="3" t="s">
        <v>11</v>
      </c>
      <c r="K1009" s="3" t="s">
        <v>15</v>
      </c>
      <c r="L1009" s="3" t="s">
        <v>12</v>
      </c>
      <c r="M1009">
        <v>63</v>
      </c>
      <c r="N1009" s="3"/>
    </row>
    <row r="1010" spans="1:14" x14ac:dyDescent="0.25">
      <c r="A1010" s="3" t="s">
        <v>1040</v>
      </c>
      <c r="B1010">
        <v>1983</v>
      </c>
      <c r="C1010">
        <v>1983</v>
      </c>
      <c r="D1010" s="3" t="s">
        <v>17</v>
      </c>
      <c r="E1010" s="3" t="s">
        <v>17</v>
      </c>
      <c r="F1010">
        <v>8</v>
      </c>
      <c r="G1010" s="7">
        <v>30475</v>
      </c>
      <c r="H1010">
        <v>3</v>
      </c>
      <c r="I1010" s="3" t="s">
        <v>9383</v>
      </c>
      <c r="J1010" s="3" t="s">
        <v>10</v>
      </c>
      <c r="K1010" s="3" t="s">
        <v>10</v>
      </c>
      <c r="L1010" s="3" t="s">
        <v>515</v>
      </c>
      <c r="M1010">
        <v>43</v>
      </c>
      <c r="N1010" s="3"/>
    </row>
    <row r="1011" spans="1:14" x14ac:dyDescent="0.25">
      <c r="A1011" s="3" t="s">
        <v>1041</v>
      </c>
      <c r="B1011">
        <v>1997</v>
      </c>
      <c r="C1011">
        <v>1997</v>
      </c>
      <c r="D1011" s="3" t="s">
        <v>36</v>
      </c>
      <c r="E1011" s="3" t="s">
        <v>36</v>
      </c>
      <c r="F1011">
        <v>21</v>
      </c>
      <c r="G1011" s="7">
        <v>35724</v>
      </c>
      <c r="H1011">
        <v>0</v>
      </c>
      <c r="I1011" s="3" t="s">
        <v>9384</v>
      </c>
      <c r="J1011" s="3" t="s">
        <v>10</v>
      </c>
      <c r="K1011" s="3" t="s">
        <v>15</v>
      </c>
      <c r="L1011" s="3" t="s">
        <v>534</v>
      </c>
      <c r="M1011">
        <v>29</v>
      </c>
      <c r="N1011" s="3"/>
    </row>
    <row r="1012" spans="1:14" x14ac:dyDescent="0.25">
      <c r="A1012" s="3" t="s">
        <v>1042</v>
      </c>
      <c r="B1012">
        <v>1962</v>
      </c>
      <c r="C1012">
        <v>1962</v>
      </c>
      <c r="D1012" s="3" t="s">
        <v>14</v>
      </c>
      <c r="E1012" s="3" t="s">
        <v>14</v>
      </c>
      <c r="F1012">
        <v>23</v>
      </c>
      <c r="G1012" s="7">
        <v>22973</v>
      </c>
      <c r="H1012">
        <v>0</v>
      </c>
      <c r="I1012" s="3" t="s">
        <v>9385</v>
      </c>
      <c r="J1012" s="3" t="s">
        <v>11</v>
      </c>
      <c r="K1012" s="3" t="s">
        <v>11</v>
      </c>
      <c r="L1012" s="3" t="s">
        <v>12</v>
      </c>
      <c r="M1012">
        <v>64</v>
      </c>
      <c r="N1012" s="3"/>
    </row>
    <row r="1013" spans="1:14" x14ac:dyDescent="0.25">
      <c r="A1013" s="3" t="s">
        <v>1043</v>
      </c>
      <c r="B1013">
        <v>1978</v>
      </c>
      <c r="C1013">
        <v>1978</v>
      </c>
      <c r="D1013" s="3" t="s">
        <v>36</v>
      </c>
      <c r="E1013" s="3" t="s">
        <v>36</v>
      </c>
      <c r="F1013">
        <v>24</v>
      </c>
      <c r="G1013" s="7">
        <v>28787</v>
      </c>
      <c r="H1013">
        <v>2</v>
      </c>
      <c r="I1013" s="3" t="s">
        <v>9386</v>
      </c>
      <c r="J1013" s="3" t="s">
        <v>10</v>
      </c>
      <c r="K1013" s="3" t="s">
        <v>11</v>
      </c>
      <c r="L1013" s="3" t="s">
        <v>12</v>
      </c>
      <c r="M1013">
        <v>48</v>
      </c>
      <c r="N1013" s="3"/>
    </row>
    <row r="1014" spans="1:14" x14ac:dyDescent="0.25">
      <c r="A1014" s="3" t="s">
        <v>1044</v>
      </c>
      <c r="B1014">
        <v>1978</v>
      </c>
      <c r="C1014">
        <v>1978</v>
      </c>
      <c r="D1014" s="3" t="s">
        <v>17</v>
      </c>
      <c r="E1014" s="3" t="s">
        <v>17</v>
      </c>
      <c r="F1014">
        <v>30</v>
      </c>
      <c r="G1014" s="7">
        <v>28671</v>
      </c>
      <c r="H1014">
        <v>2</v>
      </c>
      <c r="I1014" s="3" t="s">
        <v>9387</v>
      </c>
      <c r="J1014" s="3" t="s">
        <v>10</v>
      </c>
      <c r="K1014" s="3" t="s">
        <v>10</v>
      </c>
      <c r="L1014" s="3" t="s">
        <v>12</v>
      </c>
      <c r="M1014">
        <v>48</v>
      </c>
      <c r="N1014" s="3"/>
    </row>
    <row r="1015" spans="1:14" x14ac:dyDescent="0.25">
      <c r="A1015" s="3" t="s">
        <v>1045</v>
      </c>
      <c r="B1015">
        <v>1976</v>
      </c>
      <c r="C1015">
        <v>1976</v>
      </c>
      <c r="D1015" s="3" t="s">
        <v>19</v>
      </c>
      <c r="E1015" s="3" t="s">
        <v>19</v>
      </c>
      <c r="F1015">
        <v>3</v>
      </c>
      <c r="G1015" s="7">
        <v>28006</v>
      </c>
      <c r="H1015">
        <v>1</v>
      </c>
      <c r="I1015" s="3" t="s">
        <v>9388</v>
      </c>
      <c r="J1015" s="3" t="s">
        <v>10</v>
      </c>
      <c r="K1015" s="3" t="s">
        <v>11</v>
      </c>
      <c r="L1015" s="3" t="s">
        <v>12</v>
      </c>
      <c r="M1015">
        <v>50</v>
      </c>
      <c r="N1015" s="3"/>
    </row>
    <row r="1016" spans="1:14" x14ac:dyDescent="0.25">
      <c r="A1016" s="3" t="s">
        <v>1046</v>
      </c>
      <c r="B1016">
        <v>1976</v>
      </c>
      <c r="C1016">
        <v>1976</v>
      </c>
      <c r="D1016" s="3" t="s">
        <v>17</v>
      </c>
      <c r="E1016" s="3" t="s">
        <v>17</v>
      </c>
      <c r="F1016">
        <v>30</v>
      </c>
      <c r="G1016" s="7">
        <v>27941</v>
      </c>
      <c r="H1016">
        <v>1</v>
      </c>
      <c r="I1016" s="3" t="s">
        <v>9389</v>
      </c>
      <c r="J1016" s="3" t="s">
        <v>10</v>
      </c>
      <c r="K1016" s="3" t="s">
        <v>10</v>
      </c>
      <c r="L1016" s="3" t="s">
        <v>12</v>
      </c>
      <c r="M1016">
        <v>50</v>
      </c>
      <c r="N1016" s="3"/>
    </row>
    <row r="1017" spans="1:14" x14ac:dyDescent="0.25">
      <c r="A1017" s="3" t="s">
        <v>1047</v>
      </c>
      <c r="B1017">
        <v>1976</v>
      </c>
      <c r="C1017">
        <v>1976</v>
      </c>
      <c r="D1017" s="3" t="s">
        <v>19</v>
      </c>
      <c r="E1017" s="3" t="s">
        <v>19</v>
      </c>
      <c r="F1017">
        <v>2</v>
      </c>
      <c r="G1017" s="7">
        <v>28005</v>
      </c>
      <c r="H1017">
        <v>1</v>
      </c>
      <c r="I1017" s="3" t="s">
        <v>9390</v>
      </c>
      <c r="J1017" s="3" t="s">
        <v>10</v>
      </c>
      <c r="K1017" s="3" t="s">
        <v>10</v>
      </c>
      <c r="L1017" s="3" t="s">
        <v>12</v>
      </c>
      <c r="M1017">
        <v>50</v>
      </c>
      <c r="N1017" s="3"/>
    </row>
    <row r="1018" spans="1:14" x14ac:dyDescent="0.25">
      <c r="A1018" s="3" t="s">
        <v>1048</v>
      </c>
      <c r="B1018">
        <v>1982</v>
      </c>
      <c r="C1018">
        <v>1982</v>
      </c>
      <c r="D1018" s="3" t="s">
        <v>19</v>
      </c>
      <c r="E1018" s="3" t="s">
        <v>19</v>
      </c>
      <c r="F1018">
        <v>27</v>
      </c>
      <c r="G1018" s="7">
        <v>30221</v>
      </c>
      <c r="H1018">
        <v>3</v>
      </c>
      <c r="I1018" s="3" t="s">
        <v>9391</v>
      </c>
      <c r="J1018" s="3" t="s">
        <v>10</v>
      </c>
      <c r="K1018" s="3" t="s">
        <v>10</v>
      </c>
      <c r="L1018" s="3" t="s">
        <v>246</v>
      </c>
      <c r="M1018">
        <v>44</v>
      </c>
      <c r="N1018" s="3"/>
    </row>
    <row r="1019" spans="1:14" x14ac:dyDescent="0.25">
      <c r="A1019" s="3" t="s">
        <v>1049</v>
      </c>
      <c r="B1019">
        <v>1964</v>
      </c>
      <c r="C1019">
        <v>1964</v>
      </c>
      <c r="D1019" s="3" t="s">
        <v>19</v>
      </c>
      <c r="E1019" s="3" t="s">
        <v>19</v>
      </c>
      <c r="F1019">
        <v>5</v>
      </c>
      <c r="G1019" s="7">
        <v>23625</v>
      </c>
      <c r="H1019">
        <v>0</v>
      </c>
      <c r="I1019" s="3" t="s">
        <v>9392</v>
      </c>
      <c r="J1019" s="3" t="s">
        <v>11</v>
      </c>
      <c r="K1019" s="3" t="s">
        <v>11</v>
      </c>
      <c r="L1019" s="3" t="s">
        <v>12</v>
      </c>
      <c r="M1019">
        <v>62</v>
      </c>
      <c r="N1019" s="3"/>
    </row>
    <row r="1020" spans="1:14" x14ac:dyDescent="0.25">
      <c r="A1020" s="3" t="s">
        <v>1050</v>
      </c>
      <c r="B1020">
        <v>1974</v>
      </c>
      <c r="C1020">
        <v>1974</v>
      </c>
      <c r="D1020" s="3" t="s">
        <v>34</v>
      </c>
      <c r="E1020" s="3" t="s">
        <v>34</v>
      </c>
      <c r="F1020">
        <v>5</v>
      </c>
      <c r="G1020" s="7">
        <v>27246</v>
      </c>
      <c r="H1020">
        <v>0</v>
      </c>
      <c r="I1020" s="3" t="s">
        <v>9393</v>
      </c>
      <c r="J1020" s="3" t="s">
        <v>10</v>
      </c>
      <c r="K1020" s="3" t="s">
        <v>15</v>
      </c>
      <c r="L1020" s="3" t="s">
        <v>41</v>
      </c>
      <c r="M1020">
        <v>52</v>
      </c>
      <c r="N1020" s="3"/>
    </row>
    <row r="1021" spans="1:14" x14ac:dyDescent="0.25">
      <c r="A1021" s="3" t="s">
        <v>1051</v>
      </c>
      <c r="B1021">
        <v>2000</v>
      </c>
      <c r="C1021">
        <v>2000</v>
      </c>
      <c r="D1021" s="3" t="s">
        <v>14</v>
      </c>
      <c r="E1021" s="3" t="s">
        <v>14</v>
      </c>
      <c r="F1021">
        <v>28</v>
      </c>
      <c r="G1021" s="7">
        <v>36858</v>
      </c>
      <c r="H1021">
        <v>0</v>
      </c>
      <c r="I1021" s="3" t="s">
        <v>9394</v>
      </c>
      <c r="J1021" s="3" t="s">
        <v>10</v>
      </c>
      <c r="K1021" s="3" t="s">
        <v>15</v>
      </c>
      <c r="L1021" s="3" t="s">
        <v>248</v>
      </c>
      <c r="M1021">
        <v>26</v>
      </c>
      <c r="N1021" s="3"/>
    </row>
    <row r="1022" spans="1:14" x14ac:dyDescent="0.25">
      <c r="A1022" s="3" t="s">
        <v>1052</v>
      </c>
      <c r="B1022">
        <v>1974</v>
      </c>
      <c r="C1022">
        <v>1974</v>
      </c>
      <c r="D1022" s="3" t="s">
        <v>19</v>
      </c>
      <c r="E1022" s="3" t="s">
        <v>19</v>
      </c>
      <c r="F1022">
        <v>26</v>
      </c>
      <c r="G1022" s="7">
        <v>27298</v>
      </c>
      <c r="H1022">
        <v>0</v>
      </c>
      <c r="I1022" s="3" t="s">
        <v>9395</v>
      </c>
      <c r="J1022" s="3" t="s">
        <v>10</v>
      </c>
      <c r="K1022" s="3" t="s">
        <v>10</v>
      </c>
      <c r="L1022" s="3" t="s">
        <v>41</v>
      </c>
      <c r="M1022">
        <v>52</v>
      </c>
      <c r="N1022" s="3"/>
    </row>
    <row r="1023" spans="1:14" x14ac:dyDescent="0.25">
      <c r="A1023" s="3" t="s">
        <v>1053</v>
      </c>
      <c r="B1023">
        <v>1974</v>
      </c>
      <c r="C1023">
        <v>1974</v>
      </c>
      <c r="D1023" s="3" t="s">
        <v>29</v>
      </c>
      <c r="E1023" s="3" t="s">
        <v>29</v>
      </c>
      <c r="F1023">
        <v>22</v>
      </c>
      <c r="G1023" s="7">
        <v>27385</v>
      </c>
      <c r="H1023">
        <v>0</v>
      </c>
      <c r="I1023" s="3" t="s">
        <v>9396</v>
      </c>
      <c r="J1023" s="3" t="s">
        <v>10</v>
      </c>
      <c r="K1023" s="3" t="s">
        <v>10</v>
      </c>
      <c r="L1023" s="3" t="s">
        <v>12</v>
      </c>
      <c r="M1023">
        <v>52</v>
      </c>
      <c r="N1023" s="3"/>
    </row>
    <row r="1024" spans="1:14" x14ac:dyDescent="0.25">
      <c r="A1024" s="3" t="s">
        <v>1054</v>
      </c>
      <c r="B1024">
        <v>1974</v>
      </c>
      <c r="C1024">
        <v>1974</v>
      </c>
      <c r="D1024" s="3" t="s">
        <v>17</v>
      </c>
      <c r="E1024" s="3" t="s">
        <v>17</v>
      </c>
      <c r="F1024">
        <v>6</v>
      </c>
      <c r="G1024" s="7">
        <v>27186</v>
      </c>
      <c r="H1024">
        <v>0</v>
      </c>
      <c r="I1024" s="3" t="s">
        <v>9397</v>
      </c>
      <c r="J1024" s="3" t="s">
        <v>10</v>
      </c>
      <c r="K1024" s="3" t="s">
        <v>11</v>
      </c>
      <c r="L1024" s="3" t="s">
        <v>12</v>
      </c>
      <c r="M1024">
        <v>52</v>
      </c>
      <c r="N1024" s="3"/>
    </row>
    <row r="1025" spans="1:14" x14ac:dyDescent="0.25">
      <c r="A1025" s="3" t="s">
        <v>1055</v>
      </c>
      <c r="B1025">
        <v>1978</v>
      </c>
      <c r="C1025">
        <v>1978</v>
      </c>
      <c r="D1025" s="3" t="s">
        <v>17</v>
      </c>
      <c r="E1025" s="3" t="s">
        <v>17</v>
      </c>
      <c r="F1025">
        <v>26</v>
      </c>
      <c r="G1025" s="7">
        <v>28667</v>
      </c>
      <c r="H1025">
        <v>2</v>
      </c>
      <c r="I1025" s="3" t="s">
        <v>9398</v>
      </c>
      <c r="J1025" s="3" t="s">
        <v>11</v>
      </c>
      <c r="K1025" s="3" t="s">
        <v>11</v>
      </c>
      <c r="L1025" s="3" t="s">
        <v>167</v>
      </c>
      <c r="M1025">
        <v>48</v>
      </c>
      <c r="N1025" s="3"/>
    </row>
    <row r="1026" spans="1:14" x14ac:dyDescent="0.25">
      <c r="A1026" s="3" t="s">
        <v>1056</v>
      </c>
      <c r="B1026">
        <v>1979</v>
      </c>
      <c r="C1026">
        <v>1979</v>
      </c>
      <c r="D1026" s="3" t="s">
        <v>34</v>
      </c>
      <c r="E1026" s="3" t="s">
        <v>34</v>
      </c>
      <c r="F1026">
        <v>7</v>
      </c>
      <c r="G1026" s="7">
        <v>29074</v>
      </c>
      <c r="H1026">
        <v>2</v>
      </c>
      <c r="I1026" s="3" t="s">
        <v>9399</v>
      </c>
      <c r="J1026" s="3" t="s">
        <v>10</v>
      </c>
      <c r="K1026" s="3" t="s">
        <v>10</v>
      </c>
      <c r="L1026" s="3" t="s">
        <v>22</v>
      </c>
      <c r="M1026">
        <v>47</v>
      </c>
      <c r="N1026" s="3"/>
    </row>
    <row r="1027" spans="1:14" x14ac:dyDescent="0.25">
      <c r="A1027" s="3" t="s">
        <v>1057</v>
      </c>
      <c r="B1027">
        <v>1993</v>
      </c>
      <c r="C1027">
        <v>1993</v>
      </c>
      <c r="D1027" s="3" t="s">
        <v>17</v>
      </c>
      <c r="E1027" s="3" t="s">
        <v>17</v>
      </c>
      <c r="F1027">
        <v>22</v>
      </c>
      <c r="G1027" s="7">
        <v>34142</v>
      </c>
      <c r="H1027">
        <v>0</v>
      </c>
      <c r="I1027" s="3" t="s">
        <v>9400</v>
      </c>
      <c r="J1027" s="3" t="s">
        <v>10</v>
      </c>
      <c r="K1027" s="3" t="s">
        <v>15</v>
      </c>
      <c r="L1027" s="3" t="s">
        <v>22</v>
      </c>
      <c r="M1027">
        <v>33</v>
      </c>
      <c r="N1027" s="3"/>
    </row>
    <row r="1028" spans="1:14" x14ac:dyDescent="0.25">
      <c r="A1028" s="3" t="s">
        <v>1058</v>
      </c>
      <c r="B1028">
        <v>1976</v>
      </c>
      <c r="C1028">
        <v>1976</v>
      </c>
      <c r="D1028" s="3" t="s">
        <v>9</v>
      </c>
      <c r="E1028" s="3" t="s">
        <v>9</v>
      </c>
      <c r="F1028">
        <v>12</v>
      </c>
      <c r="G1028" s="7">
        <v>27953</v>
      </c>
      <c r="H1028">
        <v>1</v>
      </c>
      <c r="I1028" s="3" t="s">
        <v>9401</v>
      </c>
      <c r="J1028" s="3" t="s">
        <v>11</v>
      </c>
      <c r="K1028" s="3" t="s">
        <v>10</v>
      </c>
      <c r="L1028" s="3" t="s">
        <v>167</v>
      </c>
      <c r="M1028">
        <v>50</v>
      </c>
      <c r="N1028" s="3"/>
    </row>
    <row r="1029" spans="1:14" x14ac:dyDescent="0.25">
      <c r="A1029" s="3" t="s">
        <v>1059</v>
      </c>
      <c r="B1029">
        <v>1976</v>
      </c>
      <c r="C1029">
        <v>1976</v>
      </c>
      <c r="D1029" s="3" t="s">
        <v>9</v>
      </c>
      <c r="E1029" s="3" t="s">
        <v>9</v>
      </c>
      <c r="F1029">
        <v>20</v>
      </c>
      <c r="G1029" s="7">
        <v>27961</v>
      </c>
      <c r="H1029">
        <v>1</v>
      </c>
      <c r="I1029" s="3" t="s">
        <v>9402</v>
      </c>
      <c r="J1029" s="3" t="s">
        <v>11</v>
      </c>
      <c r="K1029" s="3" t="s">
        <v>10</v>
      </c>
      <c r="L1029" s="3" t="s">
        <v>167</v>
      </c>
      <c r="M1029">
        <v>50</v>
      </c>
      <c r="N1029" s="3"/>
    </row>
    <row r="1030" spans="1:14" x14ac:dyDescent="0.25">
      <c r="A1030" s="3" t="s">
        <v>1060</v>
      </c>
      <c r="B1030">
        <v>1976</v>
      </c>
      <c r="C1030">
        <v>1976</v>
      </c>
      <c r="D1030" s="3" t="s">
        <v>9</v>
      </c>
      <c r="E1030" s="3" t="s">
        <v>9</v>
      </c>
      <c r="F1030">
        <v>7</v>
      </c>
      <c r="G1030" s="7">
        <v>27948</v>
      </c>
      <c r="H1030">
        <v>1</v>
      </c>
      <c r="I1030" s="3" t="s">
        <v>9403</v>
      </c>
      <c r="J1030" s="3" t="s">
        <v>11</v>
      </c>
      <c r="K1030" s="3" t="s">
        <v>15</v>
      </c>
      <c r="L1030" s="3" t="s">
        <v>167</v>
      </c>
      <c r="M1030">
        <v>50</v>
      </c>
      <c r="N1030" s="3"/>
    </row>
    <row r="1031" spans="1:14" x14ac:dyDescent="0.25">
      <c r="A1031" s="3" t="s">
        <v>1061</v>
      </c>
      <c r="B1031">
        <v>1976</v>
      </c>
      <c r="C1031">
        <v>1976</v>
      </c>
      <c r="D1031" s="3" t="s">
        <v>17</v>
      </c>
      <c r="E1031" s="3" t="s">
        <v>17</v>
      </c>
      <c r="F1031">
        <v>12</v>
      </c>
      <c r="G1031" s="7">
        <v>27923</v>
      </c>
      <c r="H1031">
        <v>2</v>
      </c>
      <c r="I1031" s="3" t="s">
        <v>9404</v>
      </c>
      <c r="J1031" s="3" t="s">
        <v>10</v>
      </c>
      <c r="K1031" s="3" t="s">
        <v>15</v>
      </c>
      <c r="L1031" s="3" t="s">
        <v>12</v>
      </c>
      <c r="M1031">
        <v>50</v>
      </c>
      <c r="N1031" s="3"/>
    </row>
    <row r="1032" spans="1:14" x14ac:dyDescent="0.25">
      <c r="A1032" s="3" t="s">
        <v>1062</v>
      </c>
      <c r="B1032">
        <v>1963</v>
      </c>
      <c r="C1032">
        <v>1963</v>
      </c>
      <c r="D1032" s="3" t="s">
        <v>19</v>
      </c>
      <c r="E1032" s="3" t="s">
        <v>19</v>
      </c>
      <c r="F1032">
        <v>21</v>
      </c>
      <c r="G1032" s="7">
        <v>23275</v>
      </c>
      <c r="H1032">
        <v>0</v>
      </c>
      <c r="I1032" s="3" t="s">
        <v>9405</v>
      </c>
      <c r="J1032" s="3" t="s">
        <v>11</v>
      </c>
      <c r="K1032" s="3" t="s">
        <v>11</v>
      </c>
      <c r="L1032" s="3" t="s">
        <v>22</v>
      </c>
      <c r="M1032">
        <v>63</v>
      </c>
      <c r="N1032" s="3"/>
    </row>
    <row r="1033" spans="1:14" x14ac:dyDescent="0.25">
      <c r="A1033" s="3" t="s">
        <v>1063</v>
      </c>
      <c r="B1033">
        <v>1971</v>
      </c>
      <c r="C1033">
        <v>1971</v>
      </c>
      <c r="D1033" s="3" t="s">
        <v>19</v>
      </c>
      <c r="E1033" s="3" t="s">
        <v>19</v>
      </c>
      <c r="F1033">
        <v>4</v>
      </c>
      <c r="G1033" s="7">
        <v>26180</v>
      </c>
      <c r="H1033">
        <v>0</v>
      </c>
      <c r="I1033" s="3" t="s">
        <v>9406</v>
      </c>
      <c r="J1033" s="3" t="s">
        <v>10</v>
      </c>
      <c r="K1033" s="3" t="s">
        <v>11</v>
      </c>
      <c r="L1033" s="3" t="s">
        <v>12</v>
      </c>
      <c r="M1033">
        <v>55</v>
      </c>
      <c r="N1033" s="3"/>
    </row>
    <row r="1034" spans="1:14" x14ac:dyDescent="0.25">
      <c r="A1034" s="3" t="s">
        <v>1064</v>
      </c>
      <c r="B1034">
        <v>1971</v>
      </c>
      <c r="C1034">
        <v>1971</v>
      </c>
      <c r="D1034" s="3" t="s">
        <v>19</v>
      </c>
      <c r="E1034" s="3" t="s">
        <v>19</v>
      </c>
      <c r="F1034">
        <v>18</v>
      </c>
      <c r="G1034" s="7">
        <v>26194</v>
      </c>
      <c r="H1034">
        <v>0</v>
      </c>
      <c r="I1034" s="3" t="s">
        <v>9407</v>
      </c>
      <c r="J1034" s="3" t="s">
        <v>10</v>
      </c>
      <c r="K1034" s="3" t="s">
        <v>11</v>
      </c>
      <c r="L1034" s="3" t="s">
        <v>12</v>
      </c>
      <c r="M1034">
        <v>55</v>
      </c>
      <c r="N1034" s="3"/>
    </row>
    <row r="1035" spans="1:14" x14ac:dyDescent="0.25">
      <c r="A1035" s="3" t="s">
        <v>1065</v>
      </c>
      <c r="B1035">
        <v>1979</v>
      </c>
      <c r="C1035">
        <v>1979</v>
      </c>
      <c r="D1035" s="3" t="s">
        <v>17</v>
      </c>
      <c r="E1035" s="3" t="s">
        <v>17</v>
      </c>
      <c r="F1035">
        <v>11</v>
      </c>
      <c r="G1035" s="7">
        <v>29017</v>
      </c>
      <c r="H1035">
        <v>3</v>
      </c>
      <c r="I1035" s="3" t="s">
        <v>9408</v>
      </c>
      <c r="J1035" s="3" t="s">
        <v>10</v>
      </c>
      <c r="K1035" s="3" t="s">
        <v>10</v>
      </c>
      <c r="L1035" s="3" t="s">
        <v>22</v>
      </c>
      <c r="M1035">
        <v>47</v>
      </c>
      <c r="N1035" s="3"/>
    </row>
    <row r="1036" spans="1:14" x14ac:dyDescent="0.25">
      <c r="A1036" s="3" t="s">
        <v>1066</v>
      </c>
      <c r="B1036">
        <v>1977</v>
      </c>
      <c r="C1036">
        <v>1977</v>
      </c>
      <c r="D1036" s="3" t="s">
        <v>19</v>
      </c>
      <c r="E1036" s="3" t="s">
        <v>19</v>
      </c>
      <c r="F1036">
        <v>4</v>
      </c>
      <c r="G1036" s="7">
        <v>28372</v>
      </c>
      <c r="H1036">
        <v>2</v>
      </c>
      <c r="I1036" s="3" t="s">
        <v>9409</v>
      </c>
      <c r="J1036" s="3" t="s">
        <v>11</v>
      </c>
      <c r="K1036" s="3" t="s">
        <v>15</v>
      </c>
      <c r="L1036" s="3" t="s">
        <v>22</v>
      </c>
      <c r="M1036">
        <v>49</v>
      </c>
      <c r="N1036" s="3"/>
    </row>
    <row r="1037" spans="1:14" x14ac:dyDescent="0.25">
      <c r="A1037" s="3" t="s">
        <v>1067</v>
      </c>
      <c r="B1037">
        <v>1975</v>
      </c>
      <c r="C1037">
        <v>1975</v>
      </c>
      <c r="D1037" s="3" t="s">
        <v>19</v>
      </c>
      <c r="E1037" s="3" t="s">
        <v>19</v>
      </c>
      <c r="F1037">
        <v>28</v>
      </c>
      <c r="G1037" s="7">
        <v>27665</v>
      </c>
      <c r="H1037">
        <v>1</v>
      </c>
      <c r="I1037" s="3" t="s">
        <v>9410</v>
      </c>
      <c r="J1037" s="3" t="s">
        <v>11</v>
      </c>
      <c r="K1037" s="3" t="s">
        <v>10</v>
      </c>
      <c r="L1037" s="3" t="s">
        <v>22</v>
      </c>
      <c r="M1037">
        <v>51</v>
      </c>
      <c r="N1037" s="3"/>
    </row>
    <row r="1038" spans="1:14" x14ac:dyDescent="0.25">
      <c r="A1038" s="3" t="s">
        <v>1068</v>
      </c>
      <c r="B1038">
        <v>1963</v>
      </c>
      <c r="C1038">
        <v>1963</v>
      </c>
      <c r="D1038" s="3" t="s">
        <v>19</v>
      </c>
      <c r="E1038" s="3" t="s">
        <v>19</v>
      </c>
      <c r="F1038">
        <v>24</v>
      </c>
      <c r="G1038" s="7">
        <v>23278</v>
      </c>
      <c r="H1038">
        <v>0</v>
      </c>
      <c r="I1038" s="3" t="s">
        <v>9411</v>
      </c>
      <c r="J1038" s="3" t="s">
        <v>11</v>
      </c>
      <c r="K1038" s="3" t="s">
        <v>10</v>
      </c>
      <c r="L1038" s="3" t="s">
        <v>12</v>
      </c>
      <c r="M1038">
        <v>63</v>
      </c>
      <c r="N1038" s="3"/>
    </row>
    <row r="1039" spans="1:14" x14ac:dyDescent="0.25">
      <c r="A1039" s="3" t="s">
        <v>1069</v>
      </c>
      <c r="B1039">
        <v>1972</v>
      </c>
      <c r="C1039">
        <v>1972</v>
      </c>
      <c r="D1039" s="3" t="s">
        <v>19</v>
      </c>
      <c r="E1039" s="3" t="s">
        <v>19</v>
      </c>
      <c r="F1039">
        <v>9</v>
      </c>
      <c r="G1039" s="7">
        <v>26551</v>
      </c>
      <c r="H1039">
        <v>0</v>
      </c>
      <c r="I1039" s="3" t="s">
        <v>9412</v>
      </c>
      <c r="J1039" s="3" t="s">
        <v>10</v>
      </c>
      <c r="K1039" s="3" t="s">
        <v>11</v>
      </c>
      <c r="L1039" s="3" t="s">
        <v>12</v>
      </c>
      <c r="M1039">
        <v>54</v>
      </c>
      <c r="N1039" s="3"/>
    </row>
    <row r="1040" spans="1:14" x14ac:dyDescent="0.25">
      <c r="A1040" s="3" t="s">
        <v>1070</v>
      </c>
      <c r="B1040">
        <v>1972</v>
      </c>
      <c r="C1040">
        <v>1972</v>
      </c>
      <c r="D1040" s="3" t="s">
        <v>19</v>
      </c>
      <c r="E1040" s="3" t="s">
        <v>19</v>
      </c>
      <c r="F1040">
        <v>4</v>
      </c>
      <c r="G1040" s="7">
        <v>26546</v>
      </c>
      <c r="H1040">
        <v>0</v>
      </c>
      <c r="I1040" s="3" t="s">
        <v>9413</v>
      </c>
      <c r="J1040" s="3" t="s">
        <v>11</v>
      </c>
      <c r="K1040" s="3" t="s">
        <v>15</v>
      </c>
      <c r="L1040" s="3" t="s">
        <v>41</v>
      </c>
      <c r="M1040">
        <v>54</v>
      </c>
      <c r="N1040" s="3"/>
    </row>
    <row r="1041" spans="1:14" x14ac:dyDescent="0.25">
      <c r="A1041" s="3" t="s">
        <v>1071</v>
      </c>
      <c r="B1041">
        <v>1966</v>
      </c>
      <c r="C1041">
        <v>1966</v>
      </c>
      <c r="D1041" s="3" t="s">
        <v>17</v>
      </c>
      <c r="E1041" s="3" t="s">
        <v>17</v>
      </c>
      <c r="F1041">
        <v>12</v>
      </c>
      <c r="G1041" s="7">
        <v>24270</v>
      </c>
      <c r="H1041">
        <v>0</v>
      </c>
      <c r="I1041" s="3" t="s">
        <v>9414</v>
      </c>
      <c r="J1041" s="3" t="s">
        <v>11</v>
      </c>
      <c r="K1041" s="3" t="s">
        <v>15</v>
      </c>
      <c r="L1041" s="3" t="s">
        <v>12</v>
      </c>
      <c r="M1041">
        <v>60</v>
      </c>
      <c r="N1041" s="3"/>
    </row>
    <row r="1042" spans="1:14" x14ac:dyDescent="0.25">
      <c r="A1042" s="3" t="s">
        <v>1072</v>
      </c>
      <c r="B1042">
        <v>1984</v>
      </c>
      <c r="C1042">
        <v>1984</v>
      </c>
      <c r="D1042" s="3" t="s">
        <v>17</v>
      </c>
      <c r="E1042" s="3" t="s">
        <v>17</v>
      </c>
      <c r="F1042">
        <v>19</v>
      </c>
      <c r="G1042" s="7">
        <v>30852</v>
      </c>
      <c r="H1042">
        <v>3</v>
      </c>
      <c r="I1042" s="3" t="s">
        <v>9415</v>
      </c>
      <c r="J1042" s="3" t="s">
        <v>10</v>
      </c>
      <c r="K1042" s="3" t="s">
        <v>10</v>
      </c>
      <c r="L1042" s="3" t="s">
        <v>199</v>
      </c>
      <c r="M1042">
        <v>42</v>
      </c>
      <c r="N1042" s="3"/>
    </row>
    <row r="1043" spans="1:14" x14ac:dyDescent="0.25">
      <c r="A1043" s="3" t="s">
        <v>1073</v>
      </c>
      <c r="B1043">
        <v>1972</v>
      </c>
      <c r="C1043">
        <v>1972</v>
      </c>
      <c r="D1043" s="3" t="s">
        <v>29</v>
      </c>
      <c r="E1043" s="3" t="s">
        <v>29</v>
      </c>
      <c r="F1043">
        <v>26</v>
      </c>
      <c r="G1043" s="7">
        <v>26659</v>
      </c>
      <c r="H1043">
        <v>0</v>
      </c>
      <c r="I1043" s="3" t="s">
        <v>9416</v>
      </c>
      <c r="J1043" s="3" t="s">
        <v>10</v>
      </c>
      <c r="K1043" s="3" t="s">
        <v>11</v>
      </c>
      <c r="L1043" s="3" t="s">
        <v>41</v>
      </c>
      <c r="M1043">
        <v>54</v>
      </c>
      <c r="N1043" s="3"/>
    </row>
    <row r="1044" spans="1:14" x14ac:dyDescent="0.25">
      <c r="A1044" s="3" t="s">
        <v>1074</v>
      </c>
      <c r="B1044">
        <v>1992</v>
      </c>
      <c r="C1044">
        <v>1992</v>
      </c>
      <c r="D1044" s="3" t="s">
        <v>19</v>
      </c>
      <c r="E1044" s="3" t="s">
        <v>19</v>
      </c>
      <c r="F1044">
        <v>9</v>
      </c>
      <c r="G1044" s="7">
        <v>33856</v>
      </c>
      <c r="H1044">
        <v>0</v>
      </c>
      <c r="I1044" s="3" t="s">
        <v>9417</v>
      </c>
      <c r="J1044" s="3" t="s">
        <v>10</v>
      </c>
      <c r="K1044" s="3" t="s">
        <v>10</v>
      </c>
      <c r="L1044" s="3" t="s">
        <v>22</v>
      </c>
      <c r="M1044">
        <v>34</v>
      </c>
      <c r="N1044" s="3"/>
    </row>
    <row r="1045" spans="1:14" x14ac:dyDescent="0.25">
      <c r="A1045" s="3" t="s">
        <v>1075</v>
      </c>
      <c r="B1045">
        <v>1993</v>
      </c>
      <c r="C1045">
        <v>1993</v>
      </c>
      <c r="D1045" s="3" t="s">
        <v>14</v>
      </c>
      <c r="E1045" s="3" t="s">
        <v>14</v>
      </c>
      <c r="F1045">
        <v>10</v>
      </c>
      <c r="G1045" s="7">
        <v>34283</v>
      </c>
      <c r="H1045">
        <v>0</v>
      </c>
      <c r="I1045" s="3" t="s">
        <v>9418</v>
      </c>
      <c r="J1045" s="3" t="s">
        <v>10</v>
      </c>
      <c r="K1045" s="3" t="s">
        <v>15</v>
      </c>
      <c r="L1045" s="3" t="s">
        <v>22</v>
      </c>
      <c r="M1045">
        <v>33</v>
      </c>
      <c r="N1045" s="3"/>
    </row>
    <row r="1046" spans="1:14" x14ac:dyDescent="0.25">
      <c r="A1046" s="3" t="s">
        <v>1076</v>
      </c>
      <c r="B1046">
        <v>1977</v>
      </c>
      <c r="C1046">
        <v>1977</v>
      </c>
      <c r="D1046" s="3" t="s">
        <v>29</v>
      </c>
      <c r="E1046" s="3" t="s">
        <v>29</v>
      </c>
      <c r="F1046">
        <v>26</v>
      </c>
      <c r="G1046" s="7">
        <v>28485</v>
      </c>
      <c r="H1046">
        <v>2</v>
      </c>
      <c r="I1046" s="3" t="s">
        <v>9419</v>
      </c>
      <c r="J1046" s="3" t="s">
        <v>10</v>
      </c>
      <c r="K1046" s="3" t="s">
        <v>10</v>
      </c>
      <c r="L1046" s="3" t="s">
        <v>12</v>
      </c>
      <c r="M1046">
        <v>49</v>
      </c>
      <c r="N1046" s="3"/>
    </row>
    <row r="1047" spans="1:14" x14ac:dyDescent="0.25">
      <c r="A1047" s="3" t="s">
        <v>1077</v>
      </c>
      <c r="B1047">
        <v>1977</v>
      </c>
      <c r="C1047">
        <v>1977</v>
      </c>
      <c r="D1047" s="3" t="s">
        <v>17</v>
      </c>
      <c r="E1047" s="3" t="s">
        <v>17</v>
      </c>
      <c r="F1047">
        <v>21</v>
      </c>
      <c r="G1047" s="7">
        <v>28297</v>
      </c>
      <c r="H1047">
        <v>2</v>
      </c>
      <c r="I1047" s="3" t="s">
        <v>9420</v>
      </c>
      <c r="J1047" s="3" t="s">
        <v>10</v>
      </c>
      <c r="K1047" s="3" t="s">
        <v>15</v>
      </c>
      <c r="L1047" s="3" t="s">
        <v>12</v>
      </c>
      <c r="M1047">
        <v>49</v>
      </c>
      <c r="N1047" s="3"/>
    </row>
    <row r="1048" spans="1:14" x14ac:dyDescent="0.25">
      <c r="A1048" s="3" t="s">
        <v>1078</v>
      </c>
      <c r="B1048">
        <v>1977</v>
      </c>
      <c r="C1048">
        <v>1977</v>
      </c>
      <c r="D1048" s="3" t="s">
        <v>29</v>
      </c>
      <c r="E1048" s="3" t="s">
        <v>29</v>
      </c>
      <c r="F1048">
        <v>29</v>
      </c>
      <c r="G1048" s="7">
        <v>28488</v>
      </c>
      <c r="H1048">
        <v>2</v>
      </c>
      <c r="I1048" s="3" t="s">
        <v>9421</v>
      </c>
      <c r="J1048" s="3" t="s">
        <v>10</v>
      </c>
      <c r="K1048" s="3" t="s">
        <v>11</v>
      </c>
      <c r="L1048" s="3" t="s">
        <v>41</v>
      </c>
      <c r="M1048">
        <v>49</v>
      </c>
      <c r="N1048" s="3"/>
    </row>
    <row r="1049" spans="1:14" x14ac:dyDescent="0.25">
      <c r="A1049" s="3" t="s">
        <v>1079</v>
      </c>
      <c r="B1049">
        <v>1979</v>
      </c>
      <c r="C1049">
        <v>1979</v>
      </c>
      <c r="D1049" s="3" t="s">
        <v>34</v>
      </c>
      <c r="E1049" s="3" t="s">
        <v>34</v>
      </c>
      <c r="F1049">
        <v>13</v>
      </c>
      <c r="G1049" s="7">
        <v>29080</v>
      </c>
      <c r="H1049">
        <v>3</v>
      </c>
      <c r="I1049" s="3" t="s">
        <v>9422</v>
      </c>
      <c r="J1049" s="3" t="s">
        <v>10</v>
      </c>
      <c r="K1049" s="3" t="s">
        <v>10</v>
      </c>
      <c r="L1049" s="3" t="s">
        <v>41</v>
      </c>
      <c r="M1049">
        <v>47</v>
      </c>
      <c r="N1049" s="3"/>
    </row>
    <row r="1050" spans="1:14" x14ac:dyDescent="0.25">
      <c r="A1050" s="3" t="s">
        <v>1080</v>
      </c>
      <c r="B1050">
        <v>1977</v>
      </c>
      <c r="C1050">
        <v>1977</v>
      </c>
      <c r="D1050" s="3" t="s">
        <v>9</v>
      </c>
      <c r="E1050" s="3" t="s">
        <v>9</v>
      </c>
      <c r="F1050">
        <v>26</v>
      </c>
      <c r="G1050" s="7">
        <v>28332</v>
      </c>
      <c r="H1050">
        <v>2</v>
      </c>
      <c r="I1050" s="3" t="s">
        <v>9423</v>
      </c>
      <c r="J1050" s="3" t="s">
        <v>10</v>
      </c>
      <c r="K1050" s="3" t="s">
        <v>10</v>
      </c>
      <c r="L1050" s="3" t="s">
        <v>12</v>
      </c>
      <c r="M1050">
        <v>49</v>
      </c>
      <c r="N1050" s="3"/>
    </row>
    <row r="1051" spans="1:14" x14ac:dyDescent="0.25">
      <c r="A1051" s="3" t="s">
        <v>1081</v>
      </c>
      <c r="C1051">
        <v>1983</v>
      </c>
      <c r="D1051" s="3" t="s">
        <v>9</v>
      </c>
      <c r="E1051" s="3" t="s">
        <v>9</v>
      </c>
      <c r="F1051">
        <v>24</v>
      </c>
      <c r="G1051" s="7"/>
      <c r="H1051">
        <v>0</v>
      </c>
      <c r="I1051" s="3" t="s">
        <v>9424</v>
      </c>
      <c r="J1051" s="3" t="s">
        <v>10</v>
      </c>
      <c r="K1051" s="3" t="s">
        <v>11</v>
      </c>
      <c r="L1051" s="3" t="s">
        <v>246</v>
      </c>
      <c r="N1051" s="3"/>
    </row>
    <row r="1052" spans="1:14" x14ac:dyDescent="0.25">
      <c r="A1052" s="3" t="s">
        <v>1082</v>
      </c>
      <c r="B1052">
        <v>1981</v>
      </c>
      <c r="C1052">
        <v>1981</v>
      </c>
      <c r="D1052" s="3" t="s">
        <v>29</v>
      </c>
      <c r="E1052" s="3" t="s">
        <v>29</v>
      </c>
      <c r="F1052">
        <v>27</v>
      </c>
      <c r="G1052" s="7">
        <v>29947</v>
      </c>
      <c r="H1052">
        <v>3</v>
      </c>
      <c r="I1052" s="3" t="s">
        <v>9425</v>
      </c>
      <c r="J1052" s="3" t="s">
        <v>10</v>
      </c>
      <c r="K1052" s="3" t="s">
        <v>11</v>
      </c>
      <c r="L1052" s="3" t="s">
        <v>246</v>
      </c>
      <c r="M1052">
        <v>45</v>
      </c>
      <c r="N1052" s="3"/>
    </row>
    <row r="1053" spans="1:14" x14ac:dyDescent="0.25">
      <c r="A1053" s="3" t="s">
        <v>1083</v>
      </c>
      <c r="B1053">
        <v>1975</v>
      </c>
      <c r="C1053">
        <v>1975</v>
      </c>
      <c r="D1053" s="3" t="s">
        <v>14</v>
      </c>
      <c r="E1053" s="3" t="s">
        <v>14</v>
      </c>
      <c r="F1053">
        <v>6</v>
      </c>
      <c r="G1053" s="7">
        <v>27704</v>
      </c>
      <c r="H1053">
        <v>1</v>
      </c>
      <c r="I1053" s="3" t="s">
        <v>9426</v>
      </c>
      <c r="J1053" s="3" t="s">
        <v>10</v>
      </c>
      <c r="K1053" s="3" t="s">
        <v>11</v>
      </c>
      <c r="L1053" s="3" t="s">
        <v>41</v>
      </c>
      <c r="M1053">
        <v>51</v>
      </c>
      <c r="N1053" s="3"/>
    </row>
    <row r="1054" spans="1:14" x14ac:dyDescent="0.25">
      <c r="A1054" s="3" t="s">
        <v>1084</v>
      </c>
      <c r="C1054">
        <v>1983</v>
      </c>
      <c r="D1054" s="3" t="s">
        <v>29</v>
      </c>
      <c r="E1054" s="3" t="s">
        <v>29</v>
      </c>
      <c r="F1054">
        <v>12</v>
      </c>
      <c r="G1054" s="7"/>
      <c r="H1054">
        <v>1</v>
      </c>
      <c r="I1054" s="3" t="s">
        <v>9427</v>
      </c>
      <c r="J1054" s="3" t="s">
        <v>10</v>
      </c>
      <c r="K1054" s="3" t="s">
        <v>15</v>
      </c>
      <c r="L1054" s="3" t="s">
        <v>12</v>
      </c>
      <c r="N1054" s="3"/>
    </row>
    <row r="1055" spans="1:14" x14ac:dyDescent="0.25">
      <c r="A1055" s="3" t="s">
        <v>1085</v>
      </c>
      <c r="B1055">
        <v>1975</v>
      </c>
      <c r="C1055">
        <v>1975</v>
      </c>
      <c r="D1055" s="3" t="s">
        <v>34</v>
      </c>
      <c r="E1055" s="3" t="s">
        <v>34</v>
      </c>
      <c r="F1055">
        <v>6</v>
      </c>
      <c r="G1055" s="7">
        <v>27612</v>
      </c>
      <c r="H1055">
        <v>1</v>
      </c>
      <c r="I1055" s="3" t="s">
        <v>9428</v>
      </c>
      <c r="J1055" s="3" t="s">
        <v>10</v>
      </c>
      <c r="K1055" s="3" t="s">
        <v>10</v>
      </c>
      <c r="L1055" s="3" t="s">
        <v>41</v>
      </c>
      <c r="M1055">
        <v>51</v>
      </c>
      <c r="N1055" s="3"/>
    </row>
    <row r="1056" spans="1:14" x14ac:dyDescent="0.25">
      <c r="A1056" s="3" t="s">
        <v>1086</v>
      </c>
      <c r="B1056">
        <v>1975</v>
      </c>
      <c r="C1056">
        <v>1975</v>
      </c>
      <c r="D1056" s="3" t="s">
        <v>34</v>
      </c>
      <c r="E1056" s="3" t="s">
        <v>34</v>
      </c>
      <c r="F1056">
        <v>21</v>
      </c>
      <c r="G1056" s="7">
        <v>27627</v>
      </c>
      <c r="H1056">
        <v>1</v>
      </c>
      <c r="I1056" s="3" t="s">
        <v>9429</v>
      </c>
      <c r="J1056" s="3" t="s">
        <v>10</v>
      </c>
      <c r="K1056" s="3" t="s">
        <v>15</v>
      </c>
      <c r="L1056" s="3" t="s">
        <v>41</v>
      </c>
      <c r="M1056">
        <v>51</v>
      </c>
      <c r="N1056" s="3"/>
    </row>
    <row r="1057" spans="1:14" x14ac:dyDescent="0.25">
      <c r="A1057" s="3" t="s">
        <v>1087</v>
      </c>
      <c r="B1057">
        <v>1988</v>
      </c>
      <c r="C1057">
        <v>1988</v>
      </c>
      <c r="D1057" s="3" t="s">
        <v>19</v>
      </c>
      <c r="E1057" s="3" t="s">
        <v>19</v>
      </c>
      <c r="F1057">
        <v>21</v>
      </c>
      <c r="G1057" s="7">
        <v>32407</v>
      </c>
      <c r="H1057">
        <v>3</v>
      </c>
      <c r="I1057" s="3" t="s">
        <v>9430</v>
      </c>
      <c r="J1057" s="3" t="s">
        <v>10</v>
      </c>
      <c r="K1057" s="3" t="s">
        <v>15</v>
      </c>
      <c r="L1057" s="3" t="s">
        <v>22</v>
      </c>
      <c r="M1057">
        <v>38</v>
      </c>
      <c r="N1057" s="3"/>
    </row>
    <row r="1058" spans="1:14" x14ac:dyDescent="0.25">
      <c r="A1058" s="3" t="s">
        <v>1088</v>
      </c>
      <c r="B1058">
        <v>1975</v>
      </c>
      <c r="C1058">
        <v>1975</v>
      </c>
      <c r="D1058" s="3" t="s">
        <v>19</v>
      </c>
      <c r="E1058" s="3" t="s">
        <v>19</v>
      </c>
      <c r="F1058">
        <v>26</v>
      </c>
      <c r="G1058" s="7">
        <v>27663</v>
      </c>
      <c r="H1058">
        <v>1</v>
      </c>
      <c r="I1058" s="3" t="s">
        <v>9431</v>
      </c>
      <c r="J1058" s="3" t="s">
        <v>10</v>
      </c>
      <c r="K1058" s="3" t="s">
        <v>11</v>
      </c>
      <c r="L1058" s="3" t="s">
        <v>12</v>
      </c>
      <c r="M1058">
        <v>51</v>
      </c>
      <c r="N1058" s="3"/>
    </row>
    <row r="1059" spans="1:14" x14ac:dyDescent="0.25">
      <c r="A1059" s="3" t="s">
        <v>1089</v>
      </c>
      <c r="B1059">
        <v>1982</v>
      </c>
      <c r="C1059">
        <v>1982</v>
      </c>
      <c r="D1059" s="3" t="s">
        <v>29</v>
      </c>
      <c r="E1059" s="3" t="s">
        <v>29</v>
      </c>
      <c r="F1059">
        <v>6</v>
      </c>
      <c r="G1059" s="7">
        <v>30291</v>
      </c>
      <c r="H1059">
        <v>3</v>
      </c>
      <c r="I1059" s="3" t="s">
        <v>9432</v>
      </c>
      <c r="J1059" s="3" t="s">
        <v>10</v>
      </c>
      <c r="K1059" s="3" t="s">
        <v>10</v>
      </c>
      <c r="L1059" s="3" t="s">
        <v>299</v>
      </c>
      <c r="M1059">
        <v>44</v>
      </c>
      <c r="N1059" s="3"/>
    </row>
    <row r="1060" spans="1:14" x14ac:dyDescent="0.25">
      <c r="A1060" s="3" t="s">
        <v>1090</v>
      </c>
      <c r="B1060">
        <v>1987</v>
      </c>
      <c r="C1060">
        <v>1987</v>
      </c>
      <c r="D1060" s="3" t="s">
        <v>14</v>
      </c>
      <c r="E1060" s="3" t="s">
        <v>14</v>
      </c>
      <c r="F1060">
        <v>11</v>
      </c>
      <c r="G1060" s="7">
        <v>32092</v>
      </c>
      <c r="H1060">
        <v>3</v>
      </c>
      <c r="I1060" s="3" t="s">
        <v>9433</v>
      </c>
      <c r="J1060" s="3" t="s">
        <v>10</v>
      </c>
      <c r="K1060" s="3" t="s">
        <v>10</v>
      </c>
      <c r="L1060" s="3" t="s">
        <v>299</v>
      </c>
      <c r="M1060">
        <v>39</v>
      </c>
      <c r="N1060" s="3"/>
    </row>
    <row r="1061" spans="1:14" x14ac:dyDescent="0.25">
      <c r="A1061" s="3" t="s">
        <v>1091</v>
      </c>
      <c r="B1061">
        <v>1983</v>
      </c>
      <c r="C1061">
        <v>1983</v>
      </c>
      <c r="D1061" s="3" t="s">
        <v>29</v>
      </c>
      <c r="E1061" s="3" t="s">
        <v>29</v>
      </c>
      <c r="F1061">
        <v>30</v>
      </c>
      <c r="G1061" s="7">
        <v>30680</v>
      </c>
      <c r="H1061">
        <v>5</v>
      </c>
      <c r="I1061" s="3" t="s">
        <v>9434</v>
      </c>
      <c r="J1061" s="3" t="s">
        <v>10</v>
      </c>
      <c r="K1061" s="3" t="s">
        <v>15</v>
      </c>
      <c r="L1061" s="3" t="s">
        <v>12</v>
      </c>
      <c r="M1061">
        <v>43</v>
      </c>
      <c r="N1061" s="3"/>
    </row>
    <row r="1062" spans="1:14" x14ac:dyDescent="0.25">
      <c r="A1062" s="3" t="s">
        <v>1092</v>
      </c>
      <c r="B1062">
        <v>1983</v>
      </c>
      <c r="C1062">
        <v>1983</v>
      </c>
      <c r="D1062" s="3" t="s">
        <v>9</v>
      </c>
      <c r="E1062" s="3" t="s">
        <v>9</v>
      </c>
      <c r="F1062">
        <v>25</v>
      </c>
      <c r="G1062" s="7">
        <v>30522</v>
      </c>
      <c r="H1062">
        <v>5</v>
      </c>
      <c r="I1062" s="3" t="s">
        <v>9435</v>
      </c>
      <c r="J1062" s="3" t="s">
        <v>10</v>
      </c>
      <c r="K1062" s="3" t="s">
        <v>11</v>
      </c>
      <c r="L1062" s="3" t="s">
        <v>12</v>
      </c>
      <c r="M1062">
        <v>43</v>
      </c>
      <c r="N1062" s="3"/>
    </row>
    <row r="1063" spans="1:14" x14ac:dyDescent="0.25">
      <c r="A1063" s="3" t="s">
        <v>1093</v>
      </c>
      <c r="B1063">
        <v>1973</v>
      </c>
      <c r="C1063">
        <v>1973</v>
      </c>
      <c r="D1063" s="3" t="s">
        <v>9</v>
      </c>
      <c r="E1063" s="3" t="s">
        <v>9</v>
      </c>
      <c r="F1063">
        <v>11</v>
      </c>
      <c r="G1063" s="7">
        <v>26856</v>
      </c>
      <c r="H1063">
        <v>0</v>
      </c>
      <c r="I1063" s="3" t="s">
        <v>9436</v>
      </c>
      <c r="J1063" s="3" t="s">
        <v>10</v>
      </c>
      <c r="K1063" s="3" t="s">
        <v>15</v>
      </c>
      <c r="L1063" s="3" t="s">
        <v>12</v>
      </c>
      <c r="M1063">
        <v>53</v>
      </c>
      <c r="N1063" s="3"/>
    </row>
    <row r="1064" spans="1:14" x14ac:dyDescent="0.25">
      <c r="A1064" s="3" t="s">
        <v>1094</v>
      </c>
      <c r="B1064">
        <v>1977</v>
      </c>
      <c r="C1064">
        <v>1977</v>
      </c>
      <c r="D1064" s="3" t="s">
        <v>19</v>
      </c>
      <c r="E1064" s="3" t="s">
        <v>19</v>
      </c>
      <c r="F1064">
        <v>24</v>
      </c>
      <c r="G1064" s="7">
        <v>28392</v>
      </c>
      <c r="H1064">
        <v>2</v>
      </c>
      <c r="I1064" s="3" t="s">
        <v>9437</v>
      </c>
      <c r="J1064" s="3" t="s">
        <v>10</v>
      </c>
      <c r="K1064" s="3" t="s">
        <v>15</v>
      </c>
      <c r="L1064" s="3" t="s">
        <v>165</v>
      </c>
      <c r="M1064">
        <v>49</v>
      </c>
      <c r="N1064" s="3"/>
    </row>
    <row r="1065" spans="1:14" x14ac:dyDescent="0.25">
      <c r="A1065" s="3" t="s">
        <v>1095</v>
      </c>
      <c r="B1065">
        <v>1977</v>
      </c>
      <c r="C1065">
        <v>1977</v>
      </c>
      <c r="D1065" s="3" t="s">
        <v>14</v>
      </c>
      <c r="E1065" s="3" t="s">
        <v>14</v>
      </c>
      <c r="F1065">
        <v>12</v>
      </c>
      <c r="G1065" s="7">
        <v>28441</v>
      </c>
      <c r="H1065">
        <v>2</v>
      </c>
      <c r="I1065" s="3" t="s">
        <v>9438</v>
      </c>
      <c r="J1065" s="3" t="s">
        <v>11</v>
      </c>
      <c r="K1065" s="3" t="s">
        <v>10</v>
      </c>
      <c r="L1065" s="3" t="s">
        <v>167</v>
      </c>
      <c r="M1065">
        <v>49</v>
      </c>
      <c r="N1065" s="3"/>
    </row>
    <row r="1066" spans="1:14" x14ac:dyDescent="0.25">
      <c r="A1066" s="3" t="s">
        <v>1096</v>
      </c>
      <c r="B1066">
        <v>1977</v>
      </c>
      <c r="C1066">
        <v>1977</v>
      </c>
      <c r="D1066" s="3" t="s">
        <v>36</v>
      </c>
      <c r="E1066" s="3" t="s">
        <v>36</v>
      </c>
      <c r="F1066">
        <v>15</v>
      </c>
      <c r="G1066" s="7">
        <v>28413</v>
      </c>
      <c r="H1066">
        <v>3</v>
      </c>
      <c r="I1066" s="3" t="s">
        <v>9439</v>
      </c>
      <c r="J1066" s="3" t="s">
        <v>10</v>
      </c>
      <c r="K1066" s="3" t="s">
        <v>10</v>
      </c>
      <c r="L1066" s="3" t="s">
        <v>12</v>
      </c>
      <c r="M1066">
        <v>49</v>
      </c>
      <c r="N1066" s="3"/>
    </row>
    <row r="1067" spans="1:14" x14ac:dyDescent="0.25">
      <c r="A1067" s="3" t="s">
        <v>1097</v>
      </c>
      <c r="B1067">
        <v>1979</v>
      </c>
      <c r="C1067">
        <v>1979</v>
      </c>
      <c r="D1067" s="3" t="s">
        <v>9</v>
      </c>
      <c r="E1067" s="3" t="s">
        <v>9</v>
      </c>
      <c r="F1067">
        <v>17</v>
      </c>
      <c r="G1067" s="7">
        <v>29053</v>
      </c>
      <c r="H1067">
        <v>3</v>
      </c>
      <c r="I1067" s="3" t="s">
        <v>9440</v>
      </c>
      <c r="J1067" s="3" t="s">
        <v>15</v>
      </c>
      <c r="K1067" s="3" t="s">
        <v>10</v>
      </c>
      <c r="L1067" s="3" t="s">
        <v>275</v>
      </c>
      <c r="M1067">
        <v>47</v>
      </c>
      <c r="N1067" s="3"/>
    </row>
    <row r="1068" spans="1:14" x14ac:dyDescent="0.25">
      <c r="A1068" s="3" t="s">
        <v>1098</v>
      </c>
      <c r="B1068">
        <v>1977</v>
      </c>
      <c r="C1068">
        <v>1977</v>
      </c>
      <c r="D1068" s="3" t="s">
        <v>19</v>
      </c>
      <c r="E1068" s="3" t="s">
        <v>19</v>
      </c>
      <c r="F1068">
        <v>2</v>
      </c>
      <c r="G1068" s="7">
        <v>28370</v>
      </c>
      <c r="H1068">
        <v>3</v>
      </c>
      <c r="I1068" s="3" t="s">
        <v>9441</v>
      </c>
      <c r="J1068" s="3" t="s">
        <v>10</v>
      </c>
      <c r="K1068" s="3" t="s">
        <v>11</v>
      </c>
      <c r="L1068" s="3" t="s">
        <v>41</v>
      </c>
      <c r="M1068">
        <v>49</v>
      </c>
      <c r="N1068" s="3"/>
    </row>
    <row r="1069" spans="1:14" x14ac:dyDescent="0.25">
      <c r="A1069" s="3" t="s">
        <v>1099</v>
      </c>
      <c r="B1069">
        <v>1975</v>
      </c>
      <c r="C1069">
        <v>1975</v>
      </c>
      <c r="D1069" s="3" t="s">
        <v>34</v>
      </c>
      <c r="E1069" s="3" t="s">
        <v>34</v>
      </c>
      <c r="F1069">
        <v>3</v>
      </c>
      <c r="G1069" s="7">
        <v>27609</v>
      </c>
      <c r="H1069">
        <v>1</v>
      </c>
      <c r="I1069" s="3" t="s">
        <v>9442</v>
      </c>
      <c r="J1069" s="3" t="s">
        <v>10</v>
      </c>
      <c r="K1069" s="3" t="s">
        <v>10</v>
      </c>
      <c r="L1069" s="3" t="s">
        <v>355</v>
      </c>
      <c r="M1069">
        <v>51</v>
      </c>
      <c r="N1069" s="3"/>
    </row>
    <row r="1070" spans="1:14" x14ac:dyDescent="0.25">
      <c r="A1070" s="3" t="s">
        <v>1100</v>
      </c>
      <c r="B1070">
        <v>1965</v>
      </c>
      <c r="C1070">
        <v>1965</v>
      </c>
      <c r="D1070" s="3" t="s">
        <v>36</v>
      </c>
      <c r="E1070" s="3" t="s">
        <v>36</v>
      </c>
      <c r="F1070">
        <v>21</v>
      </c>
      <c r="G1070" s="7">
        <v>24036</v>
      </c>
      <c r="H1070">
        <v>0</v>
      </c>
      <c r="I1070" s="3" t="s">
        <v>9443</v>
      </c>
      <c r="J1070" s="3" t="s">
        <v>11</v>
      </c>
      <c r="K1070" s="3" t="s">
        <v>10</v>
      </c>
      <c r="L1070" s="3" t="s">
        <v>22</v>
      </c>
      <c r="M1070">
        <v>61</v>
      </c>
      <c r="N1070" s="3"/>
    </row>
    <row r="1071" spans="1:14" x14ac:dyDescent="0.25">
      <c r="A1071" s="3" t="s">
        <v>1101</v>
      </c>
      <c r="B1071">
        <v>1969</v>
      </c>
      <c r="C1071">
        <v>1969</v>
      </c>
      <c r="D1071" s="3" t="s">
        <v>34</v>
      </c>
      <c r="E1071" s="3" t="s">
        <v>34</v>
      </c>
      <c r="F1071">
        <v>10</v>
      </c>
      <c r="G1071" s="7">
        <v>25425</v>
      </c>
      <c r="H1071">
        <v>0</v>
      </c>
      <c r="I1071" s="3" t="s">
        <v>9444</v>
      </c>
      <c r="J1071" s="3" t="s">
        <v>10</v>
      </c>
      <c r="K1071" s="3" t="s">
        <v>11</v>
      </c>
      <c r="L1071" s="3" t="s">
        <v>12</v>
      </c>
      <c r="M1071">
        <v>57</v>
      </c>
      <c r="N1071" s="3"/>
    </row>
    <row r="1072" spans="1:14" x14ac:dyDescent="0.25">
      <c r="A1072" s="3" t="s">
        <v>1102</v>
      </c>
      <c r="B1072">
        <v>1974</v>
      </c>
      <c r="C1072">
        <v>1974</v>
      </c>
      <c r="D1072" s="3" t="s">
        <v>34</v>
      </c>
      <c r="E1072" s="3" t="s">
        <v>34</v>
      </c>
      <c r="F1072">
        <v>16</v>
      </c>
      <c r="G1072" s="7">
        <v>27257</v>
      </c>
      <c r="H1072">
        <v>0</v>
      </c>
      <c r="I1072" s="3" t="s">
        <v>9445</v>
      </c>
      <c r="J1072" s="3" t="s">
        <v>10</v>
      </c>
      <c r="K1072" s="3" t="s">
        <v>15</v>
      </c>
      <c r="L1072" s="3" t="s">
        <v>22</v>
      </c>
      <c r="M1072">
        <v>52</v>
      </c>
      <c r="N1072" s="3"/>
    </row>
    <row r="1073" spans="1:14" x14ac:dyDescent="0.25">
      <c r="A1073" s="3" t="s">
        <v>1103</v>
      </c>
      <c r="B1073">
        <v>1973</v>
      </c>
      <c r="C1073">
        <v>1973</v>
      </c>
      <c r="D1073" s="3" t="s">
        <v>36</v>
      </c>
      <c r="E1073" s="3" t="s">
        <v>36</v>
      </c>
      <c r="F1073">
        <v>11</v>
      </c>
      <c r="G1073" s="7">
        <v>26948</v>
      </c>
      <c r="H1073">
        <v>0</v>
      </c>
      <c r="I1073" s="3" t="s">
        <v>9446</v>
      </c>
      <c r="J1073" s="3" t="s">
        <v>10</v>
      </c>
      <c r="K1073" s="3" t="s">
        <v>15</v>
      </c>
      <c r="L1073" s="3" t="s">
        <v>355</v>
      </c>
      <c r="M1073">
        <v>53</v>
      </c>
      <c r="N1073" s="3"/>
    </row>
    <row r="1074" spans="1:14" x14ac:dyDescent="0.25">
      <c r="A1074" s="3" t="s">
        <v>1104</v>
      </c>
      <c r="B1074">
        <v>1980</v>
      </c>
      <c r="C1074">
        <v>1980</v>
      </c>
      <c r="D1074" s="3" t="s">
        <v>36</v>
      </c>
      <c r="E1074" s="3" t="s">
        <v>36</v>
      </c>
      <c r="F1074">
        <v>28</v>
      </c>
      <c r="G1074" s="7">
        <v>29522</v>
      </c>
      <c r="H1074">
        <v>2</v>
      </c>
      <c r="I1074" s="3" t="s">
        <v>9447</v>
      </c>
      <c r="J1074" s="3" t="s">
        <v>10</v>
      </c>
      <c r="K1074" s="3" t="s">
        <v>11</v>
      </c>
      <c r="L1074" s="3" t="s">
        <v>299</v>
      </c>
      <c r="M1074">
        <v>46</v>
      </c>
      <c r="N1074" s="3"/>
    </row>
    <row r="1075" spans="1:14" x14ac:dyDescent="0.25">
      <c r="A1075" s="3" t="s">
        <v>1105</v>
      </c>
      <c r="B1075">
        <v>1973</v>
      </c>
      <c r="C1075">
        <v>1973</v>
      </c>
      <c r="D1075" s="3" t="s">
        <v>17</v>
      </c>
      <c r="E1075" s="3" t="s">
        <v>17</v>
      </c>
      <c r="F1075">
        <v>25</v>
      </c>
      <c r="G1075" s="7">
        <v>26840</v>
      </c>
      <c r="H1075">
        <v>1</v>
      </c>
      <c r="I1075" s="3" t="s">
        <v>9448</v>
      </c>
      <c r="J1075" s="3" t="s">
        <v>11</v>
      </c>
      <c r="K1075" s="3" t="s">
        <v>11</v>
      </c>
      <c r="L1075" s="3" t="s">
        <v>41</v>
      </c>
      <c r="M1075">
        <v>53</v>
      </c>
      <c r="N1075" s="3"/>
    </row>
    <row r="1076" spans="1:14" x14ac:dyDescent="0.25">
      <c r="A1076" s="3" t="s">
        <v>1106</v>
      </c>
      <c r="B1076">
        <v>1976</v>
      </c>
      <c r="C1076">
        <v>1976</v>
      </c>
      <c r="D1076" s="3" t="s">
        <v>17</v>
      </c>
      <c r="E1076" s="3" t="s">
        <v>17</v>
      </c>
      <c r="F1076">
        <v>17</v>
      </c>
      <c r="G1076" s="7">
        <v>27928</v>
      </c>
      <c r="H1076">
        <v>2</v>
      </c>
      <c r="I1076" s="3" t="s">
        <v>9449</v>
      </c>
      <c r="J1076" s="3" t="s">
        <v>10</v>
      </c>
      <c r="K1076" s="3" t="s">
        <v>11</v>
      </c>
      <c r="L1076" s="3" t="s">
        <v>22</v>
      </c>
      <c r="M1076">
        <v>50</v>
      </c>
      <c r="N1076" s="3"/>
    </row>
    <row r="1077" spans="1:14" x14ac:dyDescent="0.25">
      <c r="A1077" s="3" t="s">
        <v>1107</v>
      </c>
      <c r="B1077">
        <v>1999</v>
      </c>
      <c r="C1077">
        <v>1999</v>
      </c>
      <c r="D1077" s="3" t="s">
        <v>34</v>
      </c>
      <c r="E1077" s="3" t="s">
        <v>34</v>
      </c>
      <c r="F1077">
        <v>23</v>
      </c>
      <c r="G1077" s="7">
        <v>36395</v>
      </c>
      <c r="H1077">
        <v>0</v>
      </c>
      <c r="I1077" s="3" t="s">
        <v>9450</v>
      </c>
      <c r="J1077" s="3" t="s">
        <v>10</v>
      </c>
      <c r="K1077" s="3" t="s">
        <v>11</v>
      </c>
      <c r="L1077" s="3" t="s">
        <v>41</v>
      </c>
      <c r="M1077">
        <v>27</v>
      </c>
      <c r="N1077" s="3"/>
    </row>
    <row r="1078" spans="1:14" x14ac:dyDescent="0.25">
      <c r="A1078" s="3" t="s">
        <v>1108</v>
      </c>
      <c r="B1078">
        <v>1969</v>
      </c>
      <c r="C1078">
        <v>1969</v>
      </c>
      <c r="D1078" s="3" t="s">
        <v>19</v>
      </c>
      <c r="E1078" s="3" t="s">
        <v>19</v>
      </c>
      <c r="F1078">
        <v>9</v>
      </c>
      <c r="G1078" s="7">
        <v>25455</v>
      </c>
      <c r="H1078">
        <v>0</v>
      </c>
      <c r="I1078" s="3" t="s">
        <v>9451</v>
      </c>
      <c r="J1078" s="3" t="s">
        <v>10</v>
      </c>
      <c r="K1078" s="3" t="s">
        <v>15</v>
      </c>
      <c r="L1078" s="3" t="s">
        <v>12</v>
      </c>
      <c r="M1078">
        <v>57</v>
      </c>
      <c r="N1078" s="3"/>
    </row>
    <row r="1079" spans="1:14" x14ac:dyDescent="0.25">
      <c r="A1079" s="3" t="s">
        <v>1109</v>
      </c>
      <c r="B1079">
        <v>1974</v>
      </c>
      <c r="C1079">
        <v>1974</v>
      </c>
      <c r="D1079" s="3" t="s">
        <v>19</v>
      </c>
      <c r="E1079" s="3" t="s">
        <v>19</v>
      </c>
      <c r="F1079">
        <v>6</v>
      </c>
      <c r="G1079" s="7">
        <v>27278</v>
      </c>
      <c r="H1079">
        <v>1</v>
      </c>
      <c r="I1079" s="3" t="s">
        <v>9452</v>
      </c>
      <c r="J1079" s="3" t="s">
        <v>10</v>
      </c>
      <c r="K1079" s="3" t="s">
        <v>11</v>
      </c>
      <c r="L1079" s="3" t="s">
        <v>22</v>
      </c>
      <c r="M1079">
        <v>52</v>
      </c>
      <c r="N1079" s="3"/>
    </row>
    <row r="1080" spans="1:14" x14ac:dyDescent="0.25">
      <c r="A1080" s="3" t="s">
        <v>1110</v>
      </c>
      <c r="B1080">
        <v>1971</v>
      </c>
      <c r="C1080">
        <v>1971</v>
      </c>
      <c r="D1080" s="3" t="s">
        <v>34</v>
      </c>
      <c r="E1080" s="3" t="s">
        <v>34</v>
      </c>
      <c r="F1080">
        <v>23</v>
      </c>
      <c r="G1080" s="7">
        <v>26168</v>
      </c>
      <c r="H1080">
        <v>0</v>
      </c>
      <c r="I1080" s="3" t="s">
        <v>9453</v>
      </c>
      <c r="J1080" s="3" t="s">
        <v>10</v>
      </c>
      <c r="K1080" s="3" t="s">
        <v>11</v>
      </c>
      <c r="L1080" s="3" t="s">
        <v>41</v>
      </c>
      <c r="M1080">
        <v>55</v>
      </c>
      <c r="N1080" s="3"/>
    </row>
    <row r="1081" spans="1:14" x14ac:dyDescent="0.25">
      <c r="A1081" s="3" t="s">
        <v>1111</v>
      </c>
      <c r="B1081">
        <v>1971</v>
      </c>
      <c r="C1081">
        <v>1971</v>
      </c>
      <c r="D1081" s="3" t="s">
        <v>17</v>
      </c>
      <c r="E1081" s="3" t="s">
        <v>17</v>
      </c>
      <c r="F1081">
        <v>18</v>
      </c>
      <c r="G1081" s="7">
        <v>26102</v>
      </c>
      <c r="H1081">
        <v>0</v>
      </c>
      <c r="I1081" s="3" t="s">
        <v>9454</v>
      </c>
      <c r="J1081" s="3" t="s">
        <v>10</v>
      </c>
      <c r="K1081" s="3" t="s">
        <v>15</v>
      </c>
      <c r="L1081" s="3" t="s">
        <v>41</v>
      </c>
      <c r="M1081">
        <v>55</v>
      </c>
      <c r="N1081" s="3"/>
    </row>
    <row r="1082" spans="1:14" x14ac:dyDescent="0.25">
      <c r="A1082" s="3" t="s">
        <v>1112</v>
      </c>
      <c r="B1082">
        <v>1965</v>
      </c>
      <c r="C1082">
        <v>1965</v>
      </c>
      <c r="D1082" s="3" t="s">
        <v>34</v>
      </c>
      <c r="E1082" s="3" t="s">
        <v>34</v>
      </c>
      <c r="F1082">
        <v>29</v>
      </c>
      <c r="G1082" s="7">
        <v>23983</v>
      </c>
      <c r="H1082">
        <v>0</v>
      </c>
      <c r="I1082" s="3" t="s">
        <v>9455</v>
      </c>
      <c r="J1082" s="3" t="s">
        <v>11</v>
      </c>
      <c r="K1082" s="3" t="s">
        <v>10</v>
      </c>
      <c r="L1082" s="3" t="s">
        <v>12</v>
      </c>
      <c r="M1082">
        <v>61</v>
      </c>
      <c r="N1082" s="3"/>
    </row>
    <row r="1083" spans="1:14" x14ac:dyDescent="0.25">
      <c r="A1083" s="3" t="s">
        <v>1113</v>
      </c>
      <c r="B1083">
        <v>2001</v>
      </c>
      <c r="C1083">
        <v>2001</v>
      </c>
      <c r="D1083" s="3" t="s">
        <v>14</v>
      </c>
      <c r="E1083" s="3" t="s">
        <v>14</v>
      </c>
      <c r="F1083">
        <v>7</v>
      </c>
      <c r="G1083" s="7">
        <v>37202</v>
      </c>
      <c r="H1083">
        <v>0</v>
      </c>
      <c r="I1083" s="3" t="s">
        <v>9456</v>
      </c>
      <c r="J1083" s="3" t="s">
        <v>10</v>
      </c>
      <c r="K1083" s="3" t="s">
        <v>11</v>
      </c>
      <c r="L1083" s="3" t="s">
        <v>248</v>
      </c>
      <c r="M1083">
        <v>25</v>
      </c>
      <c r="N1083" s="3"/>
    </row>
    <row r="1084" spans="1:14" x14ac:dyDescent="0.25">
      <c r="A1084" s="3" t="s">
        <v>1114</v>
      </c>
      <c r="B1084">
        <v>1976</v>
      </c>
      <c r="C1084">
        <v>1976</v>
      </c>
      <c r="D1084" s="3" t="s">
        <v>17</v>
      </c>
      <c r="E1084" s="3" t="s">
        <v>17</v>
      </c>
      <c r="F1084">
        <v>14</v>
      </c>
      <c r="G1084" s="7">
        <v>27925</v>
      </c>
      <c r="H1084">
        <v>2</v>
      </c>
      <c r="I1084" s="3" t="s">
        <v>9457</v>
      </c>
      <c r="J1084" s="3" t="s">
        <v>10</v>
      </c>
      <c r="K1084" s="3" t="s">
        <v>15</v>
      </c>
      <c r="L1084" s="3" t="s">
        <v>41</v>
      </c>
      <c r="M1084">
        <v>50</v>
      </c>
      <c r="N1084" s="3"/>
    </row>
    <row r="1085" spans="1:14" x14ac:dyDescent="0.25">
      <c r="A1085" s="3" t="s">
        <v>1115</v>
      </c>
      <c r="B1085">
        <v>1976</v>
      </c>
      <c r="C1085">
        <v>1976</v>
      </c>
      <c r="D1085" s="3" t="s">
        <v>36</v>
      </c>
      <c r="E1085" s="3" t="s">
        <v>36</v>
      </c>
      <c r="F1085">
        <v>19</v>
      </c>
      <c r="G1085" s="7">
        <v>28052</v>
      </c>
      <c r="H1085">
        <v>1</v>
      </c>
      <c r="I1085" s="3" t="s">
        <v>9458</v>
      </c>
      <c r="J1085" s="3" t="s">
        <v>10</v>
      </c>
      <c r="K1085" s="3" t="s">
        <v>11</v>
      </c>
      <c r="L1085" s="3" t="s">
        <v>246</v>
      </c>
      <c r="M1085">
        <v>50</v>
      </c>
      <c r="N1085" s="3"/>
    </row>
    <row r="1086" spans="1:14" x14ac:dyDescent="0.25">
      <c r="A1086" s="3" t="s">
        <v>1116</v>
      </c>
      <c r="B1086">
        <v>1988</v>
      </c>
      <c r="C1086">
        <v>1988</v>
      </c>
      <c r="D1086" s="3" t="s">
        <v>34</v>
      </c>
      <c r="E1086" s="3" t="s">
        <v>34</v>
      </c>
      <c r="F1086">
        <v>22</v>
      </c>
      <c r="G1086" s="7">
        <v>32377</v>
      </c>
      <c r="H1086">
        <v>3</v>
      </c>
      <c r="I1086" s="3" t="s">
        <v>9459</v>
      </c>
      <c r="J1086" s="3" t="s">
        <v>10</v>
      </c>
      <c r="K1086" s="3" t="s">
        <v>15</v>
      </c>
      <c r="L1086" s="3" t="s">
        <v>199</v>
      </c>
      <c r="M1086">
        <v>38</v>
      </c>
      <c r="N1086" s="3"/>
    </row>
    <row r="1087" spans="1:14" x14ac:dyDescent="0.25">
      <c r="A1087" s="3" t="s">
        <v>1117</v>
      </c>
      <c r="B1087">
        <v>1976</v>
      </c>
      <c r="C1087">
        <v>1976</v>
      </c>
      <c r="D1087" s="3" t="s">
        <v>9</v>
      </c>
      <c r="E1087" s="3" t="s">
        <v>9</v>
      </c>
      <c r="F1087">
        <v>14</v>
      </c>
      <c r="G1087" s="7">
        <v>27955</v>
      </c>
      <c r="H1087">
        <v>2</v>
      </c>
      <c r="I1087" s="3" t="s">
        <v>9460</v>
      </c>
      <c r="J1087" s="3" t="s">
        <v>10</v>
      </c>
      <c r="K1087" s="3" t="s">
        <v>11</v>
      </c>
      <c r="L1087" s="3" t="s">
        <v>41</v>
      </c>
      <c r="M1087">
        <v>50</v>
      </c>
      <c r="N1087" s="3"/>
    </row>
    <row r="1088" spans="1:14" x14ac:dyDescent="0.25">
      <c r="A1088" s="3" t="s">
        <v>1118</v>
      </c>
      <c r="B1088">
        <v>1972</v>
      </c>
      <c r="C1088">
        <v>1972</v>
      </c>
      <c r="D1088" s="3" t="s">
        <v>14</v>
      </c>
      <c r="E1088" s="3" t="s">
        <v>14</v>
      </c>
      <c r="F1088">
        <v>14</v>
      </c>
      <c r="G1088" s="7">
        <v>26617</v>
      </c>
      <c r="H1088">
        <v>0</v>
      </c>
      <c r="I1088" s="3" t="s">
        <v>9461</v>
      </c>
      <c r="J1088" s="3" t="s">
        <v>11</v>
      </c>
      <c r="K1088" s="3" t="s">
        <v>15</v>
      </c>
      <c r="L1088" s="3" t="s">
        <v>22</v>
      </c>
      <c r="M1088">
        <v>54</v>
      </c>
      <c r="N1088" s="3"/>
    </row>
    <row r="1089" spans="1:14" x14ac:dyDescent="0.25">
      <c r="A1089" s="3" t="s">
        <v>1119</v>
      </c>
      <c r="B1089">
        <v>1972</v>
      </c>
      <c r="C1089">
        <v>1972</v>
      </c>
      <c r="D1089" s="3" t="s">
        <v>14</v>
      </c>
      <c r="E1089" s="3" t="s">
        <v>14</v>
      </c>
      <c r="F1089">
        <v>22</v>
      </c>
      <c r="G1089" s="7">
        <v>26625</v>
      </c>
      <c r="H1089">
        <v>0</v>
      </c>
      <c r="I1089" s="3" t="s">
        <v>9462</v>
      </c>
      <c r="J1089" s="3" t="s">
        <v>11</v>
      </c>
      <c r="K1089" s="3" t="s">
        <v>10</v>
      </c>
      <c r="L1089" s="3" t="s">
        <v>22</v>
      </c>
      <c r="M1089">
        <v>54</v>
      </c>
      <c r="N1089" s="3"/>
    </row>
    <row r="1090" spans="1:14" x14ac:dyDescent="0.25">
      <c r="A1090" s="3" t="s">
        <v>1120</v>
      </c>
      <c r="B1090">
        <v>1974</v>
      </c>
      <c r="C1090">
        <v>1974</v>
      </c>
      <c r="D1090" s="3" t="s">
        <v>17</v>
      </c>
      <c r="E1090" s="3" t="s">
        <v>17</v>
      </c>
      <c r="F1090">
        <v>18</v>
      </c>
      <c r="G1090" s="7">
        <v>27198</v>
      </c>
      <c r="H1090">
        <v>1</v>
      </c>
      <c r="I1090" s="3" t="s">
        <v>9463</v>
      </c>
      <c r="J1090" s="3" t="s">
        <v>10</v>
      </c>
      <c r="K1090" s="3" t="s">
        <v>11</v>
      </c>
      <c r="L1090" s="3" t="s">
        <v>12</v>
      </c>
      <c r="M1090">
        <v>52</v>
      </c>
      <c r="N1090" s="3"/>
    </row>
    <row r="1091" spans="1:14" x14ac:dyDescent="0.25">
      <c r="A1091" s="3" t="s">
        <v>1121</v>
      </c>
      <c r="B1091">
        <v>1973</v>
      </c>
      <c r="C1091">
        <v>1973</v>
      </c>
      <c r="D1091" s="3" t="s">
        <v>19</v>
      </c>
      <c r="E1091" s="3" t="s">
        <v>19</v>
      </c>
      <c r="F1091">
        <v>9</v>
      </c>
      <c r="G1091" s="7">
        <v>26916</v>
      </c>
      <c r="H1091">
        <v>0</v>
      </c>
      <c r="I1091" s="3" t="s">
        <v>9464</v>
      </c>
      <c r="J1091" s="3" t="s">
        <v>10</v>
      </c>
      <c r="K1091" s="3" t="s">
        <v>11</v>
      </c>
      <c r="L1091" s="3" t="s">
        <v>22</v>
      </c>
      <c r="M1091">
        <v>53</v>
      </c>
      <c r="N1091" s="3"/>
    </row>
    <row r="1092" spans="1:14" x14ac:dyDescent="0.25">
      <c r="A1092" s="3" t="s">
        <v>1122</v>
      </c>
      <c r="B1092">
        <v>1978</v>
      </c>
      <c r="C1092">
        <v>1978</v>
      </c>
      <c r="D1092" s="3" t="s">
        <v>29</v>
      </c>
      <c r="E1092" s="3" t="s">
        <v>29</v>
      </c>
      <c r="F1092">
        <v>16</v>
      </c>
      <c r="G1092" s="7">
        <v>28840</v>
      </c>
      <c r="H1092">
        <v>3</v>
      </c>
      <c r="I1092" s="3" t="s">
        <v>9465</v>
      </c>
      <c r="J1092" s="3" t="s">
        <v>10</v>
      </c>
      <c r="K1092" s="3" t="s">
        <v>11</v>
      </c>
      <c r="L1092" s="3" t="s">
        <v>355</v>
      </c>
      <c r="M1092">
        <v>48</v>
      </c>
      <c r="N1092" s="3"/>
    </row>
    <row r="1093" spans="1:14" x14ac:dyDescent="0.25">
      <c r="A1093" s="3" t="s">
        <v>1123</v>
      </c>
      <c r="B1093">
        <v>1997</v>
      </c>
      <c r="C1093">
        <v>1997</v>
      </c>
      <c r="D1093" s="3" t="s">
        <v>14</v>
      </c>
      <c r="E1093" s="3" t="s">
        <v>14</v>
      </c>
      <c r="F1093">
        <v>28</v>
      </c>
      <c r="G1093" s="7">
        <v>35762</v>
      </c>
      <c r="H1093">
        <v>0</v>
      </c>
      <c r="I1093" s="3" t="s">
        <v>9466</v>
      </c>
      <c r="J1093" s="3" t="s">
        <v>10</v>
      </c>
      <c r="K1093" s="3" t="s">
        <v>10</v>
      </c>
      <c r="L1093" s="3" t="s">
        <v>22</v>
      </c>
      <c r="M1093">
        <v>29</v>
      </c>
      <c r="N1093" s="3"/>
    </row>
    <row r="1094" spans="1:14" x14ac:dyDescent="0.25">
      <c r="A1094" s="3" t="s">
        <v>1124</v>
      </c>
      <c r="B1094">
        <v>1967</v>
      </c>
      <c r="C1094">
        <v>1967</v>
      </c>
      <c r="D1094" s="3" t="s">
        <v>19</v>
      </c>
      <c r="E1094" s="3" t="s">
        <v>19</v>
      </c>
      <c r="F1094">
        <v>6</v>
      </c>
      <c r="G1094" s="7">
        <v>24721</v>
      </c>
      <c r="H1094">
        <v>0</v>
      </c>
      <c r="I1094" s="3" t="s">
        <v>9467</v>
      </c>
      <c r="J1094" s="3" t="s">
        <v>11</v>
      </c>
      <c r="K1094" s="3" t="s">
        <v>10</v>
      </c>
      <c r="L1094" s="3" t="s">
        <v>12</v>
      </c>
      <c r="M1094">
        <v>59</v>
      </c>
      <c r="N1094" s="3"/>
    </row>
    <row r="1095" spans="1:14" x14ac:dyDescent="0.25">
      <c r="A1095" s="3" t="s">
        <v>1125</v>
      </c>
      <c r="B1095">
        <v>1975</v>
      </c>
      <c r="C1095">
        <v>1975</v>
      </c>
      <c r="D1095" s="3" t="s">
        <v>9</v>
      </c>
      <c r="E1095" s="3" t="s">
        <v>9</v>
      </c>
      <c r="F1095">
        <v>7</v>
      </c>
      <c r="G1095" s="7">
        <v>27582</v>
      </c>
      <c r="H1095">
        <v>1</v>
      </c>
      <c r="I1095" s="3" t="s">
        <v>9468</v>
      </c>
      <c r="J1095" s="3" t="s">
        <v>10</v>
      </c>
      <c r="K1095" s="3" t="s">
        <v>10</v>
      </c>
      <c r="L1095" s="3" t="s">
        <v>22</v>
      </c>
      <c r="M1095">
        <v>51</v>
      </c>
      <c r="N1095" s="3"/>
    </row>
    <row r="1096" spans="1:14" x14ac:dyDescent="0.25">
      <c r="A1096" s="3" t="s">
        <v>1126</v>
      </c>
      <c r="B1096">
        <v>1972</v>
      </c>
      <c r="C1096">
        <v>1972</v>
      </c>
      <c r="D1096" s="3" t="s">
        <v>17</v>
      </c>
      <c r="E1096" s="3" t="s">
        <v>17</v>
      </c>
      <c r="F1096">
        <v>6</v>
      </c>
      <c r="G1096" s="7">
        <v>26456</v>
      </c>
      <c r="H1096">
        <v>0</v>
      </c>
      <c r="I1096" s="3" t="s">
        <v>9469</v>
      </c>
      <c r="J1096" s="3" t="s">
        <v>10</v>
      </c>
      <c r="K1096" s="3" t="s">
        <v>15</v>
      </c>
      <c r="L1096" s="3" t="s">
        <v>41</v>
      </c>
      <c r="M1096">
        <v>54</v>
      </c>
      <c r="N1096" s="3"/>
    </row>
    <row r="1097" spans="1:14" x14ac:dyDescent="0.25">
      <c r="A1097" s="3" t="s">
        <v>1127</v>
      </c>
      <c r="B1097">
        <v>1976</v>
      </c>
      <c r="C1097">
        <v>1976</v>
      </c>
      <c r="D1097" s="3" t="s">
        <v>29</v>
      </c>
      <c r="E1097" s="3" t="s">
        <v>29</v>
      </c>
      <c r="F1097">
        <v>25</v>
      </c>
      <c r="G1097" s="7">
        <v>28119</v>
      </c>
      <c r="H1097">
        <v>3</v>
      </c>
      <c r="I1097" s="3" t="s">
        <v>9470</v>
      </c>
      <c r="J1097" s="3" t="s">
        <v>11</v>
      </c>
      <c r="K1097" s="3" t="s">
        <v>10</v>
      </c>
      <c r="L1097" s="3" t="s">
        <v>12</v>
      </c>
      <c r="M1097">
        <v>50</v>
      </c>
      <c r="N1097" s="3"/>
    </row>
    <row r="1098" spans="1:14" x14ac:dyDescent="0.25">
      <c r="A1098" s="3" t="s">
        <v>1128</v>
      </c>
      <c r="B1098">
        <v>1992</v>
      </c>
      <c r="C1098">
        <v>1992</v>
      </c>
      <c r="D1098" s="3" t="s">
        <v>19</v>
      </c>
      <c r="E1098" s="3" t="s">
        <v>19</v>
      </c>
      <c r="F1098">
        <v>27</v>
      </c>
      <c r="G1098" s="7">
        <v>33874</v>
      </c>
      <c r="H1098">
        <v>0</v>
      </c>
      <c r="I1098" s="3" t="s">
        <v>9471</v>
      </c>
      <c r="J1098" s="3" t="s">
        <v>10</v>
      </c>
      <c r="K1098" s="3" t="s">
        <v>11</v>
      </c>
      <c r="L1098" s="3" t="s">
        <v>534</v>
      </c>
      <c r="M1098">
        <v>34</v>
      </c>
      <c r="N1098" s="3"/>
    </row>
    <row r="1099" spans="1:14" x14ac:dyDescent="0.25">
      <c r="A1099" s="3" t="s">
        <v>1129</v>
      </c>
      <c r="B1099">
        <v>1974</v>
      </c>
      <c r="C1099">
        <v>1974</v>
      </c>
      <c r="D1099" s="3" t="s">
        <v>34</v>
      </c>
      <c r="E1099" s="3" t="s">
        <v>34</v>
      </c>
      <c r="F1099">
        <v>17</v>
      </c>
      <c r="G1099" s="7">
        <v>27258</v>
      </c>
      <c r="H1099">
        <v>1</v>
      </c>
      <c r="I1099" s="3" t="s">
        <v>9472</v>
      </c>
      <c r="J1099" s="3" t="s">
        <v>11</v>
      </c>
      <c r="K1099" s="3" t="s">
        <v>10</v>
      </c>
      <c r="L1099" s="3" t="s">
        <v>167</v>
      </c>
      <c r="M1099">
        <v>52</v>
      </c>
      <c r="N1099" s="3"/>
    </row>
    <row r="1100" spans="1:14" x14ac:dyDescent="0.25">
      <c r="A1100" s="3" t="s">
        <v>1130</v>
      </c>
      <c r="B1100">
        <v>1983</v>
      </c>
      <c r="C1100">
        <v>1983</v>
      </c>
      <c r="D1100" s="3" t="s">
        <v>9</v>
      </c>
      <c r="E1100" s="3" t="s">
        <v>9</v>
      </c>
      <c r="F1100">
        <v>15</v>
      </c>
      <c r="G1100" s="7">
        <v>30512</v>
      </c>
      <c r="H1100">
        <v>5</v>
      </c>
      <c r="I1100" s="3" t="s">
        <v>9473</v>
      </c>
      <c r="J1100" s="3" t="s">
        <v>10</v>
      </c>
      <c r="K1100" s="3" t="s">
        <v>11</v>
      </c>
      <c r="L1100" s="3" t="s">
        <v>22</v>
      </c>
      <c r="M1100">
        <v>43</v>
      </c>
      <c r="N1100" s="3"/>
    </row>
    <row r="1101" spans="1:14" x14ac:dyDescent="0.25">
      <c r="A1101" s="3" t="s">
        <v>1131</v>
      </c>
      <c r="B1101">
        <v>1974</v>
      </c>
      <c r="C1101">
        <v>1974</v>
      </c>
      <c r="D1101" s="3" t="s">
        <v>19</v>
      </c>
      <c r="E1101" s="3" t="s">
        <v>19</v>
      </c>
      <c r="F1101">
        <v>8</v>
      </c>
      <c r="G1101" s="7">
        <v>27280</v>
      </c>
      <c r="H1101">
        <v>2</v>
      </c>
      <c r="I1101" s="3" t="s">
        <v>9474</v>
      </c>
      <c r="J1101" s="3" t="s">
        <v>11</v>
      </c>
      <c r="K1101" s="3" t="s">
        <v>10</v>
      </c>
      <c r="L1101" s="3" t="s">
        <v>41</v>
      </c>
      <c r="M1101">
        <v>52</v>
      </c>
      <c r="N1101" s="3"/>
    </row>
    <row r="1102" spans="1:14" x14ac:dyDescent="0.25">
      <c r="A1102" s="3" t="s">
        <v>1132</v>
      </c>
      <c r="B1102">
        <v>1974</v>
      </c>
      <c r="C1102">
        <v>1974</v>
      </c>
      <c r="D1102" s="3" t="s">
        <v>9</v>
      </c>
      <c r="E1102" s="3" t="s">
        <v>9</v>
      </c>
      <c r="F1102">
        <v>21</v>
      </c>
      <c r="G1102" s="7">
        <v>27231</v>
      </c>
      <c r="H1102">
        <v>2</v>
      </c>
      <c r="I1102" s="3" t="s">
        <v>9475</v>
      </c>
      <c r="J1102" s="3" t="s">
        <v>10</v>
      </c>
      <c r="K1102" s="3" t="s">
        <v>10</v>
      </c>
      <c r="L1102" s="3" t="s">
        <v>12</v>
      </c>
      <c r="M1102">
        <v>52</v>
      </c>
      <c r="N1102" s="3"/>
    </row>
    <row r="1103" spans="1:14" x14ac:dyDescent="0.25">
      <c r="A1103" s="3" t="s">
        <v>1133</v>
      </c>
      <c r="B1103">
        <v>1973</v>
      </c>
      <c r="C1103">
        <v>1973</v>
      </c>
      <c r="D1103" s="3" t="s">
        <v>36</v>
      </c>
      <c r="E1103" s="3" t="s">
        <v>36</v>
      </c>
      <c r="F1103">
        <v>11</v>
      </c>
      <c r="G1103" s="7">
        <v>26948</v>
      </c>
      <c r="H1103">
        <v>0</v>
      </c>
      <c r="I1103" s="3" t="s">
        <v>9476</v>
      </c>
      <c r="J1103" s="3" t="s">
        <v>10</v>
      </c>
      <c r="K1103" s="3" t="s">
        <v>15</v>
      </c>
      <c r="L1103" s="3" t="s">
        <v>22</v>
      </c>
      <c r="M1103">
        <v>53</v>
      </c>
      <c r="N1103" s="3"/>
    </row>
    <row r="1104" spans="1:14" x14ac:dyDescent="0.25">
      <c r="A1104" s="3" t="s">
        <v>1134</v>
      </c>
      <c r="B1104">
        <v>1979</v>
      </c>
      <c r="C1104">
        <v>1979</v>
      </c>
      <c r="D1104" s="3" t="s">
        <v>29</v>
      </c>
      <c r="E1104" s="3" t="s">
        <v>29</v>
      </c>
      <c r="F1104">
        <v>16</v>
      </c>
      <c r="G1104" s="7">
        <v>29205</v>
      </c>
      <c r="H1104">
        <v>2</v>
      </c>
      <c r="I1104" s="3" t="s">
        <v>9477</v>
      </c>
      <c r="J1104" s="3" t="s">
        <v>10</v>
      </c>
      <c r="K1104" s="3" t="s">
        <v>15</v>
      </c>
      <c r="L1104" s="3" t="s">
        <v>199</v>
      </c>
      <c r="M1104">
        <v>47</v>
      </c>
      <c r="N1104" s="3"/>
    </row>
    <row r="1105" spans="1:14" x14ac:dyDescent="0.25">
      <c r="A1105" s="3" t="s">
        <v>1135</v>
      </c>
      <c r="B1105">
        <v>1993</v>
      </c>
      <c r="C1105">
        <v>1993</v>
      </c>
      <c r="D1105" s="3" t="s">
        <v>29</v>
      </c>
      <c r="E1105" s="3" t="s">
        <v>29</v>
      </c>
      <c r="F1105">
        <v>1</v>
      </c>
      <c r="G1105" s="7">
        <v>34304</v>
      </c>
      <c r="H1105">
        <v>0</v>
      </c>
      <c r="I1105" s="3" t="s">
        <v>9478</v>
      </c>
      <c r="J1105" s="3" t="s">
        <v>10</v>
      </c>
      <c r="K1105" s="3" t="s">
        <v>11</v>
      </c>
      <c r="L1105" s="3" t="s">
        <v>534</v>
      </c>
      <c r="M1105">
        <v>33</v>
      </c>
      <c r="N1105" s="3"/>
    </row>
    <row r="1106" spans="1:14" x14ac:dyDescent="0.25">
      <c r="A1106" s="3" t="s">
        <v>1136</v>
      </c>
      <c r="B1106">
        <v>1972</v>
      </c>
      <c r="C1106">
        <v>1972</v>
      </c>
      <c r="D1106" s="3" t="s">
        <v>29</v>
      </c>
      <c r="E1106" s="3" t="s">
        <v>29</v>
      </c>
      <c r="F1106">
        <v>7</v>
      </c>
      <c r="G1106" s="7">
        <v>26640</v>
      </c>
      <c r="H1106">
        <v>1</v>
      </c>
      <c r="I1106" s="3" t="s">
        <v>9479</v>
      </c>
      <c r="J1106" s="3" t="s">
        <v>10</v>
      </c>
      <c r="K1106" s="3" t="s">
        <v>10</v>
      </c>
      <c r="L1106" s="3" t="s">
        <v>12</v>
      </c>
      <c r="M1106">
        <v>54</v>
      </c>
      <c r="N1106" s="3"/>
    </row>
    <row r="1107" spans="1:14" x14ac:dyDescent="0.25">
      <c r="A1107" s="3" t="s">
        <v>1137</v>
      </c>
      <c r="B1107">
        <v>1972</v>
      </c>
      <c r="C1107">
        <v>1972</v>
      </c>
      <c r="D1107" s="3" t="s">
        <v>29</v>
      </c>
      <c r="E1107" s="3" t="s">
        <v>29</v>
      </c>
      <c r="F1107">
        <v>2</v>
      </c>
      <c r="G1107" s="7">
        <v>26635</v>
      </c>
      <c r="H1107">
        <v>1</v>
      </c>
      <c r="I1107" s="3" t="s">
        <v>9480</v>
      </c>
      <c r="J1107" s="3" t="s">
        <v>11</v>
      </c>
      <c r="K1107" s="3" t="s">
        <v>10</v>
      </c>
      <c r="L1107" s="3" t="s">
        <v>12</v>
      </c>
      <c r="M1107">
        <v>54</v>
      </c>
      <c r="N1107" s="3"/>
    </row>
    <row r="1108" spans="1:14" x14ac:dyDescent="0.25">
      <c r="A1108" s="3" t="s">
        <v>1138</v>
      </c>
      <c r="B1108">
        <v>1977</v>
      </c>
      <c r="C1108">
        <v>1977</v>
      </c>
      <c r="D1108" s="3" t="s">
        <v>14</v>
      </c>
      <c r="E1108" s="3" t="s">
        <v>14</v>
      </c>
      <c r="F1108">
        <v>4</v>
      </c>
      <c r="G1108" s="7">
        <v>28433</v>
      </c>
      <c r="H1108">
        <v>2</v>
      </c>
      <c r="I1108" s="3" t="s">
        <v>9481</v>
      </c>
      <c r="J1108" s="3" t="s">
        <v>10</v>
      </c>
      <c r="K1108" s="3" t="s">
        <v>10</v>
      </c>
      <c r="L1108" s="3" t="s">
        <v>246</v>
      </c>
      <c r="M1108">
        <v>49</v>
      </c>
      <c r="N1108" s="3"/>
    </row>
    <row r="1109" spans="1:14" x14ac:dyDescent="0.25">
      <c r="A1109" s="3" t="s">
        <v>1139</v>
      </c>
      <c r="B1109">
        <v>1965</v>
      </c>
      <c r="C1109">
        <v>1965</v>
      </c>
      <c r="D1109" s="3" t="s">
        <v>14</v>
      </c>
      <c r="E1109" s="3" t="s">
        <v>14</v>
      </c>
      <c r="F1109">
        <v>9</v>
      </c>
      <c r="G1109" s="7">
        <v>24055</v>
      </c>
      <c r="H1109">
        <v>0</v>
      </c>
      <c r="I1109" s="3" t="s">
        <v>9482</v>
      </c>
      <c r="J1109" s="3" t="s">
        <v>11</v>
      </c>
      <c r="K1109" s="3" t="s">
        <v>15</v>
      </c>
      <c r="L1109" s="3" t="s">
        <v>41</v>
      </c>
      <c r="M1109">
        <v>61</v>
      </c>
      <c r="N1109" s="3"/>
    </row>
    <row r="1110" spans="1:14" x14ac:dyDescent="0.25">
      <c r="A1110" s="3" t="s">
        <v>1140</v>
      </c>
      <c r="B1110">
        <v>1977</v>
      </c>
      <c r="C1110">
        <v>1977</v>
      </c>
      <c r="D1110" s="3" t="s">
        <v>29</v>
      </c>
      <c r="E1110" s="3" t="s">
        <v>29</v>
      </c>
      <c r="F1110">
        <v>2</v>
      </c>
      <c r="G1110" s="7">
        <v>28461</v>
      </c>
      <c r="H1110">
        <v>3</v>
      </c>
      <c r="I1110" s="3" t="s">
        <v>9483</v>
      </c>
      <c r="J1110" s="3" t="s">
        <v>10</v>
      </c>
      <c r="K1110" s="3" t="s">
        <v>15</v>
      </c>
      <c r="L1110" s="3" t="s">
        <v>41</v>
      </c>
      <c r="M1110">
        <v>49</v>
      </c>
      <c r="N1110" s="3"/>
    </row>
    <row r="1111" spans="1:14" x14ac:dyDescent="0.25">
      <c r="A1111" s="3" t="s">
        <v>1141</v>
      </c>
      <c r="B1111">
        <v>1970</v>
      </c>
      <c r="C1111">
        <v>1970</v>
      </c>
      <c r="D1111" s="3" t="s">
        <v>34</v>
      </c>
      <c r="E1111" s="3" t="s">
        <v>34</v>
      </c>
      <c r="F1111">
        <v>12</v>
      </c>
      <c r="G1111" s="7">
        <v>25792</v>
      </c>
      <c r="H1111">
        <v>0</v>
      </c>
      <c r="I1111" s="3" t="s">
        <v>9484</v>
      </c>
      <c r="J1111" s="3" t="s">
        <v>11</v>
      </c>
      <c r="K1111" s="3" t="s">
        <v>11</v>
      </c>
      <c r="L1111" s="3" t="s">
        <v>12</v>
      </c>
      <c r="M1111">
        <v>56</v>
      </c>
      <c r="N1111" s="3"/>
    </row>
    <row r="1112" spans="1:14" x14ac:dyDescent="0.25">
      <c r="A1112" s="3" t="s">
        <v>1142</v>
      </c>
      <c r="B1112">
        <v>1970</v>
      </c>
      <c r="C1112">
        <v>1970</v>
      </c>
      <c r="D1112" s="3" t="s">
        <v>36</v>
      </c>
      <c r="E1112" s="3" t="s">
        <v>36</v>
      </c>
      <c r="F1112">
        <v>18</v>
      </c>
      <c r="G1112" s="7">
        <v>25859</v>
      </c>
      <c r="H1112">
        <v>0</v>
      </c>
      <c r="I1112" s="3" t="s">
        <v>9485</v>
      </c>
      <c r="J1112" s="3" t="s">
        <v>11</v>
      </c>
      <c r="K1112" s="3" t="s">
        <v>10</v>
      </c>
      <c r="L1112" s="3" t="s">
        <v>41</v>
      </c>
      <c r="M1112">
        <v>56</v>
      </c>
      <c r="N1112" s="3"/>
    </row>
    <row r="1113" spans="1:14" x14ac:dyDescent="0.25">
      <c r="A1113" s="3" t="s">
        <v>1143</v>
      </c>
      <c r="B1113">
        <v>1982</v>
      </c>
      <c r="C1113">
        <v>1982</v>
      </c>
      <c r="D1113" s="3" t="s">
        <v>29</v>
      </c>
      <c r="E1113" s="3" t="s">
        <v>29</v>
      </c>
      <c r="F1113">
        <v>8</v>
      </c>
      <c r="G1113" s="7">
        <v>30293</v>
      </c>
      <c r="H1113">
        <v>3</v>
      </c>
      <c r="I1113" s="3" t="s">
        <v>9486</v>
      </c>
      <c r="J1113" s="3" t="s">
        <v>10</v>
      </c>
      <c r="K1113" s="3" t="s">
        <v>15</v>
      </c>
      <c r="L1113" s="3" t="s">
        <v>22</v>
      </c>
      <c r="M1113">
        <v>44</v>
      </c>
      <c r="N1113" s="3"/>
    </row>
    <row r="1114" spans="1:14" x14ac:dyDescent="0.25">
      <c r="A1114" s="3" t="s">
        <v>1144</v>
      </c>
      <c r="B1114">
        <v>1990</v>
      </c>
      <c r="C1114">
        <v>1990</v>
      </c>
      <c r="D1114" s="3" t="s">
        <v>34</v>
      </c>
      <c r="E1114" s="3" t="s">
        <v>34</v>
      </c>
      <c r="F1114">
        <v>23</v>
      </c>
      <c r="G1114" s="7">
        <v>33108</v>
      </c>
      <c r="H1114">
        <v>3</v>
      </c>
      <c r="I1114" s="3" t="s">
        <v>9487</v>
      </c>
      <c r="J1114" s="3" t="s">
        <v>10</v>
      </c>
      <c r="K1114" s="3" t="s">
        <v>10</v>
      </c>
      <c r="L1114" s="3" t="s">
        <v>299</v>
      </c>
      <c r="M1114">
        <v>36</v>
      </c>
      <c r="N1114" s="3"/>
    </row>
    <row r="1115" spans="1:14" x14ac:dyDescent="0.25">
      <c r="A1115" s="3" t="s">
        <v>1145</v>
      </c>
      <c r="B1115">
        <v>1970</v>
      </c>
      <c r="C1115">
        <v>1970</v>
      </c>
      <c r="D1115" s="3" t="s">
        <v>36</v>
      </c>
      <c r="E1115" s="3" t="s">
        <v>36</v>
      </c>
      <c r="F1115">
        <v>24</v>
      </c>
      <c r="G1115" s="7">
        <v>25865</v>
      </c>
      <c r="H1115">
        <v>0</v>
      </c>
      <c r="I1115" s="3" t="s">
        <v>9488</v>
      </c>
      <c r="J1115" s="3" t="s">
        <v>10</v>
      </c>
      <c r="K1115" s="3" t="s">
        <v>10</v>
      </c>
      <c r="L1115" s="3" t="s">
        <v>22</v>
      </c>
      <c r="M1115">
        <v>56</v>
      </c>
      <c r="N1115" s="3"/>
    </row>
    <row r="1116" spans="1:14" x14ac:dyDescent="0.25">
      <c r="A1116" s="3" t="s">
        <v>1146</v>
      </c>
      <c r="B1116">
        <v>1971</v>
      </c>
      <c r="C1116">
        <v>1971</v>
      </c>
      <c r="D1116" s="3" t="s">
        <v>29</v>
      </c>
      <c r="E1116" s="3" t="s">
        <v>29</v>
      </c>
      <c r="F1116">
        <v>29</v>
      </c>
      <c r="G1116" s="7">
        <v>26296</v>
      </c>
      <c r="H1116">
        <v>0</v>
      </c>
      <c r="I1116" s="3" t="s">
        <v>9489</v>
      </c>
      <c r="J1116" s="3" t="s">
        <v>11</v>
      </c>
      <c r="K1116" s="3" t="s">
        <v>15</v>
      </c>
      <c r="L1116" s="3" t="s">
        <v>22</v>
      </c>
      <c r="M1116">
        <v>55</v>
      </c>
      <c r="N1116" s="3"/>
    </row>
    <row r="1117" spans="1:14" x14ac:dyDescent="0.25">
      <c r="A1117" s="3" t="s">
        <v>1147</v>
      </c>
      <c r="B1117">
        <v>1973</v>
      </c>
      <c r="C1117">
        <v>1973</v>
      </c>
      <c r="D1117" s="3" t="s">
        <v>29</v>
      </c>
      <c r="E1117" s="3" t="s">
        <v>29</v>
      </c>
      <c r="F1117">
        <v>25</v>
      </c>
      <c r="G1117" s="7">
        <v>27023</v>
      </c>
      <c r="H1117">
        <v>1</v>
      </c>
      <c r="I1117" s="3" t="s">
        <v>9490</v>
      </c>
      <c r="J1117" s="3" t="s">
        <v>10</v>
      </c>
      <c r="K1117" s="3" t="s">
        <v>11</v>
      </c>
      <c r="L1117" s="3" t="s">
        <v>41</v>
      </c>
      <c r="M1117">
        <v>53</v>
      </c>
      <c r="N1117" s="3"/>
    </row>
    <row r="1118" spans="1:14" x14ac:dyDescent="0.25">
      <c r="A1118" s="3" t="s">
        <v>1148</v>
      </c>
      <c r="B1118">
        <v>1976</v>
      </c>
      <c r="C1118">
        <v>1976</v>
      </c>
      <c r="D1118" s="3" t="s">
        <v>19</v>
      </c>
      <c r="E1118" s="3" t="s">
        <v>19</v>
      </c>
      <c r="F1118">
        <v>10</v>
      </c>
      <c r="G1118" s="7">
        <v>28013</v>
      </c>
      <c r="H1118">
        <v>2</v>
      </c>
      <c r="I1118" s="3" t="s">
        <v>9491</v>
      </c>
      <c r="J1118" s="3" t="s">
        <v>10</v>
      </c>
      <c r="K1118" s="3" t="s">
        <v>15</v>
      </c>
      <c r="L1118" s="3" t="s">
        <v>22</v>
      </c>
      <c r="M1118">
        <v>50</v>
      </c>
      <c r="N1118" s="3"/>
    </row>
    <row r="1119" spans="1:14" x14ac:dyDescent="0.25">
      <c r="A1119" s="3" t="s">
        <v>1149</v>
      </c>
      <c r="B1119">
        <v>1986</v>
      </c>
      <c r="C1119">
        <v>1986</v>
      </c>
      <c r="D1119" s="3" t="s">
        <v>29</v>
      </c>
      <c r="E1119" s="3" t="s">
        <v>29</v>
      </c>
      <c r="F1119">
        <v>25</v>
      </c>
      <c r="G1119" s="7">
        <v>31771</v>
      </c>
      <c r="H1119">
        <v>3</v>
      </c>
      <c r="I1119" s="3" t="s">
        <v>9492</v>
      </c>
      <c r="J1119" s="3" t="s">
        <v>10</v>
      </c>
      <c r="K1119" s="3" t="s">
        <v>11</v>
      </c>
      <c r="L1119" s="3" t="s">
        <v>299</v>
      </c>
      <c r="M1119">
        <v>40</v>
      </c>
      <c r="N1119" s="3"/>
    </row>
    <row r="1120" spans="1:14" x14ac:dyDescent="0.25">
      <c r="A1120" s="3" t="s">
        <v>1150</v>
      </c>
      <c r="B1120">
        <v>1981</v>
      </c>
      <c r="C1120">
        <v>1981</v>
      </c>
      <c r="D1120" s="3" t="s">
        <v>29</v>
      </c>
      <c r="E1120" s="3" t="s">
        <v>29</v>
      </c>
      <c r="F1120">
        <v>5</v>
      </c>
      <c r="G1120" s="7">
        <v>29925</v>
      </c>
      <c r="H1120">
        <v>5</v>
      </c>
      <c r="I1120" s="3" t="s">
        <v>9493</v>
      </c>
      <c r="J1120" s="3" t="s">
        <v>10</v>
      </c>
      <c r="K1120" s="3" t="s">
        <v>11</v>
      </c>
      <c r="L1120" s="3" t="s">
        <v>165</v>
      </c>
      <c r="M1120">
        <v>45</v>
      </c>
      <c r="N1120" s="3"/>
    </row>
    <row r="1121" spans="1:14" x14ac:dyDescent="0.25">
      <c r="A1121" s="3" t="s">
        <v>1151</v>
      </c>
      <c r="B1121">
        <v>1975</v>
      </c>
      <c r="C1121">
        <v>1975</v>
      </c>
      <c r="D1121" s="3" t="s">
        <v>29</v>
      </c>
      <c r="E1121" s="3" t="s">
        <v>29</v>
      </c>
      <c r="F1121">
        <v>6</v>
      </c>
      <c r="G1121" s="7">
        <v>27734</v>
      </c>
      <c r="H1121">
        <v>2</v>
      </c>
      <c r="I1121" s="3" t="s">
        <v>9494</v>
      </c>
      <c r="J1121" s="3" t="s">
        <v>11</v>
      </c>
      <c r="K1121" s="3" t="s">
        <v>11</v>
      </c>
      <c r="L1121" s="3" t="s">
        <v>163</v>
      </c>
      <c r="M1121">
        <v>51</v>
      </c>
      <c r="N1121" s="3"/>
    </row>
    <row r="1122" spans="1:14" x14ac:dyDescent="0.25">
      <c r="A1122" s="3" t="s">
        <v>1152</v>
      </c>
      <c r="B1122">
        <v>1980</v>
      </c>
      <c r="C1122">
        <v>1980</v>
      </c>
      <c r="D1122" s="3" t="s">
        <v>36</v>
      </c>
      <c r="E1122" s="3" t="s">
        <v>36</v>
      </c>
      <c r="F1122">
        <v>5</v>
      </c>
      <c r="G1122" s="7">
        <v>29499</v>
      </c>
      <c r="H1122">
        <v>2</v>
      </c>
      <c r="I1122" s="3" t="s">
        <v>9495</v>
      </c>
      <c r="J1122" s="3" t="s">
        <v>10</v>
      </c>
      <c r="K1122" s="3" t="s">
        <v>15</v>
      </c>
      <c r="L1122" s="3" t="s">
        <v>299</v>
      </c>
      <c r="M1122">
        <v>46</v>
      </c>
      <c r="N1122" s="3"/>
    </row>
    <row r="1123" spans="1:14" x14ac:dyDescent="0.25">
      <c r="A1123" s="3" t="s">
        <v>1153</v>
      </c>
      <c r="B1123">
        <v>1974</v>
      </c>
      <c r="C1123">
        <v>1974</v>
      </c>
      <c r="D1123" s="3" t="s">
        <v>34</v>
      </c>
      <c r="E1123" s="3" t="s">
        <v>34</v>
      </c>
      <c r="F1123">
        <v>21</v>
      </c>
      <c r="G1123" s="7">
        <v>27262</v>
      </c>
      <c r="H1123">
        <v>1</v>
      </c>
      <c r="I1123" s="3" t="s">
        <v>9496</v>
      </c>
      <c r="J1123" s="3" t="s">
        <v>10</v>
      </c>
      <c r="K1123" s="3" t="s">
        <v>15</v>
      </c>
      <c r="L1123" s="3" t="s">
        <v>22</v>
      </c>
      <c r="M1123">
        <v>52</v>
      </c>
      <c r="N1123" s="3"/>
    </row>
    <row r="1124" spans="1:14" x14ac:dyDescent="0.25">
      <c r="A1124" s="3" t="s">
        <v>1154</v>
      </c>
      <c r="B1124">
        <v>1971</v>
      </c>
      <c r="C1124">
        <v>1971</v>
      </c>
      <c r="D1124" s="3" t="s">
        <v>34</v>
      </c>
      <c r="E1124" s="3" t="s">
        <v>34</v>
      </c>
      <c r="F1124">
        <v>6</v>
      </c>
      <c r="G1124" s="7">
        <v>26151</v>
      </c>
      <c r="H1124">
        <v>0</v>
      </c>
      <c r="I1124" s="3" t="s">
        <v>9497</v>
      </c>
      <c r="J1124" s="3" t="s">
        <v>10</v>
      </c>
      <c r="K1124" s="3" t="s">
        <v>15</v>
      </c>
      <c r="L1124" s="3" t="s">
        <v>41</v>
      </c>
      <c r="M1124">
        <v>55</v>
      </c>
      <c r="N1124" s="3"/>
    </row>
    <row r="1125" spans="1:14" x14ac:dyDescent="0.25">
      <c r="A1125" s="3" t="s">
        <v>1155</v>
      </c>
      <c r="B1125">
        <v>1973</v>
      </c>
      <c r="C1125">
        <v>1973</v>
      </c>
      <c r="D1125" s="3" t="s">
        <v>36</v>
      </c>
      <c r="E1125" s="3" t="s">
        <v>36</v>
      </c>
      <c r="F1125">
        <v>27</v>
      </c>
      <c r="G1125" s="7">
        <v>26964</v>
      </c>
      <c r="H1125">
        <v>1</v>
      </c>
      <c r="I1125" s="3" t="s">
        <v>9498</v>
      </c>
      <c r="J1125" s="3" t="s">
        <v>11</v>
      </c>
      <c r="K1125" s="3" t="s">
        <v>10</v>
      </c>
      <c r="L1125" s="3" t="s">
        <v>167</v>
      </c>
      <c r="M1125">
        <v>53</v>
      </c>
      <c r="N1125" s="3"/>
    </row>
    <row r="1126" spans="1:14" x14ac:dyDescent="0.25">
      <c r="A1126" s="3" t="s">
        <v>1156</v>
      </c>
      <c r="B1126">
        <v>1971</v>
      </c>
      <c r="C1126">
        <v>1971</v>
      </c>
      <c r="D1126" s="3" t="s">
        <v>9</v>
      </c>
      <c r="E1126" s="3" t="s">
        <v>9</v>
      </c>
      <c r="F1126">
        <v>2</v>
      </c>
      <c r="G1126" s="7">
        <v>26116</v>
      </c>
      <c r="H1126">
        <v>0</v>
      </c>
      <c r="I1126" s="3" t="s">
        <v>9499</v>
      </c>
      <c r="J1126" s="3" t="s">
        <v>10</v>
      </c>
      <c r="K1126" s="3" t="s">
        <v>11</v>
      </c>
      <c r="L1126" s="3" t="s">
        <v>12</v>
      </c>
      <c r="M1126">
        <v>55</v>
      </c>
      <c r="N1126" s="3"/>
    </row>
    <row r="1127" spans="1:14" x14ac:dyDescent="0.25">
      <c r="A1127" s="3" t="s">
        <v>1157</v>
      </c>
      <c r="B1127">
        <v>1969</v>
      </c>
      <c r="C1127">
        <v>1969</v>
      </c>
      <c r="D1127" s="3" t="s">
        <v>14</v>
      </c>
      <c r="E1127" s="3" t="s">
        <v>14</v>
      </c>
      <c r="F1127">
        <v>26</v>
      </c>
      <c r="G1127" s="7">
        <v>25533</v>
      </c>
      <c r="H1127">
        <v>0</v>
      </c>
      <c r="I1127" s="3" t="s">
        <v>9500</v>
      </c>
      <c r="J1127" s="3" t="s">
        <v>10</v>
      </c>
      <c r="K1127" s="3" t="s">
        <v>11</v>
      </c>
      <c r="L1127" s="3" t="s">
        <v>12</v>
      </c>
      <c r="M1127">
        <v>57</v>
      </c>
      <c r="N1127" s="3"/>
    </row>
    <row r="1128" spans="1:14" x14ac:dyDescent="0.25">
      <c r="A1128" s="3" t="s">
        <v>1158</v>
      </c>
      <c r="B1128">
        <v>1973</v>
      </c>
      <c r="C1128">
        <v>1973</v>
      </c>
      <c r="D1128" s="3" t="s">
        <v>36</v>
      </c>
      <c r="E1128" s="3" t="s">
        <v>36</v>
      </c>
      <c r="F1128">
        <v>16</v>
      </c>
      <c r="G1128" s="7">
        <v>26953</v>
      </c>
      <c r="H1128">
        <v>1</v>
      </c>
      <c r="I1128" s="3" t="s">
        <v>9501</v>
      </c>
      <c r="J1128" s="3" t="s">
        <v>10</v>
      </c>
      <c r="K1128" s="3" t="s">
        <v>11</v>
      </c>
      <c r="L1128" s="3" t="s">
        <v>169</v>
      </c>
      <c r="M1128">
        <v>53</v>
      </c>
      <c r="N1128" s="3"/>
    </row>
    <row r="1129" spans="1:14" x14ac:dyDescent="0.25">
      <c r="A1129" s="3" t="s">
        <v>1159</v>
      </c>
      <c r="B1129">
        <v>1973</v>
      </c>
      <c r="C1129">
        <v>1973</v>
      </c>
      <c r="D1129" s="3" t="s">
        <v>19</v>
      </c>
      <c r="E1129" s="3" t="s">
        <v>19</v>
      </c>
      <c r="F1129">
        <v>18</v>
      </c>
      <c r="G1129" s="7">
        <v>26925</v>
      </c>
      <c r="H1129">
        <v>1</v>
      </c>
      <c r="I1129" s="3" t="s">
        <v>9502</v>
      </c>
      <c r="J1129" s="3" t="s">
        <v>11</v>
      </c>
      <c r="K1129" s="3" t="s">
        <v>11</v>
      </c>
      <c r="L1129" s="3" t="s">
        <v>167</v>
      </c>
      <c r="M1129">
        <v>53</v>
      </c>
      <c r="N1129" s="3"/>
    </row>
    <row r="1130" spans="1:14" x14ac:dyDescent="0.25">
      <c r="A1130" s="3" t="s">
        <v>1160</v>
      </c>
      <c r="B1130">
        <v>1976</v>
      </c>
      <c r="C1130">
        <v>1976</v>
      </c>
      <c r="D1130" s="3" t="s">
        <v>14</v>
      </c>
      <c r="E1130" s="3" t="s">
        <v>14</v>
      </c>
      <c r="F1130">
        <v>3</v>
      </c>
      <c r="G1130" s="7">
        <v>28067</v>
      </c>
      <c r="H1130">
        <v>3</v>
      </c>
      <c r="I1130" s="3" t="s">
        <v>9503</v>
      </c>
      <c r="J1130" s="3" t="s">
        <v>10</v>
      </c>
      <c r="K1130" s="3" t="s">
        <v>15</v>
      </c>
      <c r="L1130" s="3" t="s">
        <v>22</v>
      </c>
      <c r="M1130">
        <v>50</v>
      </c>
      <c r="N1130" s="3"/>
    </row>
    <row r="1131" spans="1:14" x14ac:dyDescent="0.25">
      <c r="A1131" s="3" t="s">
        <v>1161</v>
      </c>
      <c r="B1131">
        <v>1973</v>
      </c>
      <c r="C1131">
        <v>1973</v>
      </c>
      <c r="D1131" s="3" t="s">
        <v>36</v>
      </c>
      <c r="E1131" s="3" t="s">
        <v>36</v>
      </c>
      <c r="F1131">
        <v>16</v>
      </c>
      <c r="G1131" s="7">
        <v>26953</v>
      </c>
      <c r="H1131">
        <v>2</v>
      </c>
      <c r="I1131" s="3" t="s">
        <v>9504</v>
      </c>
      <c r="J1131" s="3" t="s">
        <v>11</v>
      </c>
      <c r="K1131" s="3" t="s">
        <v>11</v>
      </c>
      <c r="L1131" s="3" t="s">
        <v>12</v>
      </c>
      <c r="M1131">
        <v>53</v>
      </c>
      <c r="N1131" s="3"/>
    </row>
    <row r="1132" spans="1:14" x14ac:dyDescent="0.25">
      <c r="A1132" s="3" t="s">
        <v>1162</v>
      </c>
      <c r="B1132">
        <v>1963</v>
      </c>
      <c r="C1132">
        <v>1963</v>
      </c>
      <c r="D1132" s="3" t="s">
        <v>17</v>
      </c>
      <c r="E1132" s="3" t="s">
        <v>17</v>
      </c>
      <c r="F1132">
        <v>8</v>
      </c>
      <c r="G1132" s="7">
        <v>23170</v>
      </c>
      <c r="H1132">
        <v>0</v>
      </c>
      <c r="I1132" s="3" t="s">
        <v>9505</v>
      </c>
      <c r="J1132" s="3" t="s">
        <v>11</v>
      </c>
      <c r="K1132" s="3" t="s">
        <v>15</v>
      </c>
      <c r="L1132" s="3" t="s">
        <v>12</v>
      </c>
      <c r="M1132">
        <v>63</v>
      </c>
      <c r="N1132" s="3"/>
    </row>
    <row r="1133" spans="1:14" x14ac:dyDescent="0.25">
      <c r="A1133" s="3" t="s">
        <v>1163</v>
      </c>
      <c r="B1133">
        <v>1977</v>
      </c>
      <c r="C1133">
        <v>1977</v>
      </c>
      <c r="D1133" s="3" t="s">
        <v>36</v>
      </c>
      <c r="E1133" s="3" t="s">
        <v>36</v>
      </c>
      <c r="F1133">
        <v>12</v>
      </c>
      <c r="G1133" s="7">
        <v>28410</v>
      </c>
      <c r="H1133">
        <v>2</v>
      </c>
      <c r="I1133" s="3" t="s">
        <v>9506</v>
      </c>
      <c r="J1133" s="3" t="s">
        <v>10</v>
      </c>
      <c r="K1133" s="3" t="s">
        <v>15</v>
      </c>
      <c r="L1133" s="3" t="s">
        <v>246</v>
      </c>
      <c r="M1133">
        <v>49</v>
      </c>
      <c r="N1133" s="3"/>
    </row>
    <row r="1134" spans="1:14" x14ac:dyDescent="0.25">
      <c r="A1134" s="3" t="s">
        <v>1164</v>
      </c>
      <c r="B1134">
        <v>1988</v>
      </c>
      <c r="C1134">
        <v>1988</v>
      </c>
      <c r="D1134" s="3" t="s">
        <v>9</v>
      </c>
      <c r="E1134" s="3" t="s">
        <v>9</v>
      </c>
      <c r="F1134">
        <v>9</v>
      </c>
      <c r="G1134" s="7">
        <v>32333</v>
      </c>
      <c r="H1134">
        <v>3</v>
      </c>
      <c r="I1134" s="3" t="s">
        <v>9507</v>
      </c>
      <c r="J1134" s="3" t="s">
        <v>10</v>
      </c>
      <c r="K1134" s="3" t="s">
        <v>15</v>
      </c>
      <c r="L1134" s="3" t="s">
        <v>22</v>
      </c>
      <c r="M1134">
        <v>38</v>
      </c>
      <c r="N1134" s="3"/>
    </row>
    <row r="1135" spans="1:14" x14ac:dyDescent="0.25">
      <c r="A1135" s="3" t="s">
        <v>1165</v>
      </c>
      <c r="B1135">
        <v>1996</v>
      </c>
      <c r="C1135">
        <v>1996</v>
      </c>
      <c r="D1135" s="3" t="s">
        <v>36</v>
      </c>
      <c r="E1135" s="3" t="s">
        <v>36</v>
      </c>
      <c r="F1135">
        <v>12</v>
      </c>
      <c r="G1135" s="7">
        <v>35350</v>
      </c>
      <c r="H1135">
        <v>0</v>
      </c>
      <c r="I1135" s="3" t="s">
        <v>9508</v>
      </c>
      <c r="J1135" s="3" t="s">
        <v>10</v>
      </c>
      <c r="K1135" s="3" t="s">
        <v>15</v>
      </c>
      <c r="L1135" s="3" t="s">
        <v>534</v>
      </c>
      <c r="M1135">
        <v>30</v>
      </c>
      <c r="N1135" s="3"/>
    </row>
    <row r="1136" spans="1:14" x14ac:dyDescent="0.25">
      <c r="A1136" s="3" t="s">
        <v>1166</v>
      </c>
      <c r="B1136">
        <v>1988</v>
      </c>
      <c r="C1136">
        <v>1988</v>
      </c>
      <c r="D1136" s="3" t="s">
        <v>9</v>
      </c>
      <c r="E1136" s="3" t="s">
        <v>9</v>
      </c>
      <c r="F1136">
        <v>1</v>
      </c>
      <c r="G1136" s="7">
        <v>32325</v>
      </c>
      <c r="H1136">
        <v>3</v>
      </c>
      <c r="I1136" s="3" t="s">
        <v>9509</v>
      </c>
      <c r="J1136" s="3" t="s">
        <v>10</v>
      </c>
      <c r="K1136" s="3" t="s">
        <v>15</v>
      </c>
      <c r="L1136" s="3" t="s">
        <v>299</v>
      </c>
      <c r="M1136">
        <v>38</v>
      </c>
      <c r="N1136" s="3"/>
    </row>
    <row r="1137" spans="1:14" x14ac:dyDescent="0.25">
      <c r="A1137" s="3" t="s">
        <v>1167</v>
      </c>
      <c r="B1137">
        <v>1971</v>
      </c>
      <c r="C1137">
        <v>1971</v>
      </c>
      <c r="D1137" s="3" t="s">
        <v>36</v>
      </c>
      <c r="E1137" s="3" t="s">
        <v>36</v>
      </c>
      <c r="F1137">
        <v>8</v>
      </c>
      <c r="G1137" s="7">
        <v>26214</v>
      </c>
      <c r="H1137">
        <v>0</v>
      </c>
      <c r="I1137" s="3" t="s">
        <v>9510</v>
      </c>
      <c r="J1137" s="3" t="s">
        <v>11</v>
      </c>
      <c r="K1137" s="3" t="s">
        <v>15</v>
      </c>
      <c r="L1137" s="3" t="s">
        <v>167</v>
      </c>
      <c r="M1137">
        <v>55</v>
      </c>
      <c r="N1137" s="3"/>
    </row>
    <row r="1138" spans="1:14" x14ac:dyDescent="0.25">
      <c r="A1138" s="3" t="s">
        <v>1168</v>
      </c>
      <c r="B1138">
        <v>1969</v>
      </c>
      <c r="C1138">
        <v>1969</v>
      </c>
      <c r="D1138" s="3" t="s">
        <v>14</v>
      </c>
      <c r="E1138" s="3" t="s">
        <v>14</v>
      </c>
      <c r="F1138">
        <v>24</v>
      </c>
      <c r="G1138" s="7">
        <v>25531</v>
      </c>
      <c r="H1138">
        <v>0</v>
      </c>
      <c r="I1138" s="3" t="s">
        <v>9511</v>
      </c>
      <c r="J1138" s="3" t="s">
        <v>10</v>
      </c>
      <c r="K1138" s="3" t="s">
        <v>11</v>
      </c>
      <c r="L1138" s="3" t="s">
        <v>12</v>
      </c>
      <c r="M1138">
        <v>57</v>
      </c>
      <c r="N1138" s="3"/>
    </row>
    <row r="1139" spans="1:14" x14ac:dyDescent="0.25">
      <c r="A1139" s="3" t="s">
        <v>1169</v>
      </c>
      <c r="B1139">
        <v>1971</v>
      </c>
      <c r="C1139">
        <v>1971</v>
      </c>
      <c r="D1139" s="3" t="s">
        <v>14</v>
      </c>
      <c r="E1139" s="3" t="s">
        <v>14</v>
      </c>
      <c r="F1139">
        <v>26</v>
      </c>
      <c r="G1139" s="7">
        <v>26263</v>
      </c>
      <c r="H1139">
        <v>1</v>
      </c>
      <c r="I1139" s="3" t="s">
        <v>9512</v>
      </c>
      <c r="J1139" s="3" t="s">
        <v>10</v>
      </c>
      <c r="K1139" s="3" t="s">
        <v>15</v>
      </c>
      <c r="L1139" s="3" t="s">
        <v>12</v>
      </c>
      <c r="M1139">
        <v>55</v>
      </c>
      <c r="N1139" s="3"/>
    </row>
    <row r="1140" spans="1:14" x14ac:dyDescent="0.25">
      <c r="A1140" s="3" t="s">
        <v>1170</v>
      </c>
      <c r="B1140">
        <v>1975</v>
      </c>
      <c r="C1140">
        <v>1975</v>
      </c>
      <c r="D1140" s="3" t="s">
        <v>29</v>
      </c>
      <c r="E1140" s="3" t="s">
        <v>29</v>
      </c>
      <c r="F1140">
        <v>2</v>
      </c>
      <c r="G1140" s="7">
        <v>27730</v>
      </c>
      <c r="H1140">
        <v>1</v>
      </c>
      <c r="I1140" s="3" t="s">
        <v>9513</v>
      </c>
      <c r="J1140" s="3" t="s">
        <v>10</v>
      </c>
      <c r="K1140" s="3" t="s">
        <v>10</v>
      </c>
      <c r="L1140" s="3" t="s">
        <v>246</v>
      </c>
      <c r="M1140">
        <v>51</v>
      </c>
      <c r="N1140" s="3"/>
    </row>
    <row r="1141" spans="1:14" x14ac:dyDescent="0.25">
      <c r="A1141" s="3" t="s">
        <v>1171</v>
      </c>
      <c r="B1141">
        <v>1971</v>
      </c>
      <c r="C1141">
        <v>1971</v>
      </c>
      <c r="D1141" s="3" t="s">
        <v>29</v>
      </c>
      <c r="E1141" s="3" t="s">
        <v>29</v>
      </c>
      <c r="F1141">
        <v>29</v>
      </c>
      <c r="G1141" s="7">
        <v>26296</v>
      </c>
      <c r="H1141">
        <v>1</v>
      </c>
      <c r="I1141" s="3" t="s">
        <v>9514</v>
      </c>
      <c r="J1141" s="3" t="s">
        <v>11</v>
      </c>
      <c r="K1141" s="3" t="s">
        <v>10</v>
      </c>
      <c r="L1141" s="3" t="s">
        <v>12</v>
      </c>
      <c r="M1141">
        <v>55</v>
      </c>
      <c r="N1141" s="3"/>
    </row>
    <row r="1142" spans="1:14" x14ac:dyDescent="0.25">
      <c r="A1142" s="3" t="s">
        <v>1172</v>
      </c>
      <c r="B1142">
        <v>1971</v>
      </c>
      <c r="C1142">
        <v>1971</v>
      </c>
      <c r="D1142" s="3" t="s">
        <v>36</v>
      </c>
      <c r="E1142" s="3" t="s">
        <v>36</v>
      </c>
      <c r="F1142">
        <v>20</v>
      </c>
      <c r="G1142" s="7">
        <v>26226</v>
      </c>
      <c r="H1142">
        <v>1</v>
      </c>
      <c r="I1142" s="3" t="s">
        <v>9515</v>
      </c>
      <c r="J1142" s="3" t="s">
        <v>11</v>
      </c>
      <c r="K1142" s="3" t="s">
        <v>11</v>
      </c>
      <c r="L1142" s="3" t="s">
        <v>41</v>
      </c>
      <c r="M1142">
        <v>55</v>
      </c>
      <c r="N1142" s="3"/>
    </row>
    <row r="1143" spans="1:14" x14ac:dyDescent="0.25">
      <c r="A1143" s="3" t="s">
        <v>1173</v>
      </c>
      <c r="B1143">
        <v>1976</v>
      </c>
      <c r="C1143">
        <v>1976</v>
      </c>
      <c r="D1143" s="3" t="s">
        <v>36</v>
      </c>
      <c r="E1143" s="3" t="s">
        <v>36</v>
      </c>
      <c r="F1143">
        <v>17</v>
      </c>
      <c r="G1143" s="7">
        <v>28050</v>
      </c>
      <c r="H1143">
        <v>2</v>
      </c>
      <c r="I1143" s="3" t="s">
        <v>9516</v>
      </c>
      <c r="J1143" s="3" t="s">
        <v>10</v>
      </c>
      <c r="K1143" s="3" t="s">
        <v>11</v>
      </c>
      <c r="L1143" s="3" t="s">
        <v>246</v>
      </c>
      <c r="M1143">
        <v>50</v>
      </c>
      <c r="N1143" s="3"/>
    </row>
    <row r="1144" spans="1:14" x14ac:dyDescent="0.25">
      <c r="A1144" s="3" t="s">
        <v>1174</v>
      </c>
      <c r="B1144">
        <v>1976</v>
      </c>
      <c r="C1144">
        <v>1976</v>
      </c>
      <c r="D1144" s="3" t="s">
        <v>36</v>
      </c>
      <c r="E1144" s="3" t="s">
        <v>36</v>
      </c>
      <c r="F1144">
        <v>30</v>
      </c>
      <c r="G1144" s="7">
        <v>28063</v>
      </c>
      <c r="H1144">
        <v>3</v>
      </c>
      <c r="I1144" s="3" t="s">
        <v>9517</v>
      </c>
      <c r="J1144" s="3" t="s">
        <v>10</v>
      </c>
      <c r="K1144" s="3" t="s">
        <v>10</v>
      </c>
      <c r="L1144" s="3" t="s">
        <v>41</v>
      </c>
      <c r="M1144">
        <v>50</v>
      </c>
      <c r="N1144" s="3"/>
    </row>
    <row r="1145" spans="1:14" x14ac:dyDescent="0.25">
      <c r="A1145" s="3" t="s">
        <v>1175</v>
      </c>
      <c r="B1145">
        <v>1976</v>
      </c>
      <c r="C1145">
        <v>1976</v>
      </c>
      <c r="D1145" s="3" t="s">
        <v>14</v>
      </c>
      <c r="E1145" s="3" t="s">
        <v>14</v>
      </c>
      <c r="F1145">
        <v>3</v>
      </c>
      <c r="G1145" s="7">
        <v>28067</v>
      </c>
      <c r="H1145">
        <v>2</v>
      </c>
      <c r="I1145" s="3" t="s">
        <v>9518</v>
      </c>
      <c r="J1145" s="3" t="s">
        <v>10</v>
      </c>
      <c r="K1145" s="3" t="s">
        <v>15</v>
      </c>
      <c r="L1145" s="3" t="s">
        <v>246</v>
      </c>
      <c r="M1145">
        <v>50</v>
      </c>
      <c r="N1145" s="3"/>
    </row>
    <row r="1146" spans="1:14" x14ac:dyDescent="0.25">
      <c r="A1146" s="3" t="s">
        <v>1176</v>
      </c>
      <c r="B1146">
        <v>1974</v>
      </c>
      <c r="C1146">
        <v>1974</v>
      </c>
      <c r="D1146" s="3" t="s">
        <v>14</v>
      </c>
      <c r="E1146" s="3" t="s">
        <v>14</v>
      </c>
      <c r="F1146">
        <v>27</v>
      </c>
      <c r="G1146" s="7">
        <v>27360</v>
      </c>
      <c r="H1146">
        <v>1</v>
      </c>
      <c r="I1146" s="3" t="s">
        <v>9519</v>
      </c>
      <c r="J1146" s="3" t="s">
        <v>10</v>
      </c>
      <c r="K1146" s="3" t="s">
        <v>15</v>
      </c>
      <c r="L1146" s="3" t="s">
        <v>246</v>
      </c>
      <c r="M1146">
        <v>52</v>
      </c>
      <c r="N1146" s="3"/>
    </row>
    <row r="1147" spans="1:14" x14ac:dyDescent="0.25">
      <c r="A1147" s="3" t="s">
        <v>1177</v>
      </c>
      <c r="B1147">
        <v>1974</v>
      </c>
      <c r="C1147">
        <v>1974</v>
      </c>
      <c r="D1147" s="3" t="s">
        <v>17</v>
      </c>
      <c r="E1147" s="3" t="s">
        <v>17</v>
      </c>
      <c r="F1147">
        <v>8</v>
      </c>
      <c r="G1147" s="7">
        <v>27188</v>
      </c>
      <c r="H1147">
        <v>1</v>
      </c>
      <c r="I1147" s="3" t="s">
        <v>9520</v>
      </c>
      <c r="J1147" s="3" t="s">
        <v>10</v>
      </c>
      <c r="K1147" s="3" t="s">
        <v>11</v>
      </c>
      <c r="L1147" s="3" t="s">
        <v>246</v>
      </c>
      <c r="M1147">
        <v>52</v>
      </c>
      <c r="N1147" s="3"/>
    </row>
    <row r="1148" spans="1:14" x14ac:dyDescent="0.25">
      <c r="A1148" s="3" t="s">
        <v>1178</v>
      </c>
      <c r="B1148">
        <v>1987</v>
      </c>
      <c r="C1148">
        <v>1987</v>
      </c>
      <c r="D1148" s="3" t="s">
        <v>14</v>
      </c>
      <c r="E1148" s="3" t="s">
        <v>14</v>
      </c>
      <c r="F1148">
        <v>14</v>
      </c>
      <c r="G1148" s="7">
        <v>32095</v>
      </c>
      <c r="H1148">
        <v>3</v>
      </c>
      <c r="I1148" s="3" t="s">
        <v>9521</v>
      </c>
      <c r="J1148" s="3" t="s">
        <v>10</v>
      </c>
      <c r="K1148" s="3" t="s">
        <v>11</v>
      </c>
      <c r="L1148" s="3" t="s">
        <v>299</v>
      </c>
      <c r="M1148">
        <v>39</v>
      </c>
      <c r="N1148" s="3"/>
    </row>
    <row r="1149" spans="1:14" x14ac:dyDescent="0.25">
      <c r="A1149" s="3" t="s">
        <v>1179</v>
      </c>
      <c r="B1149">
        <v>1979</v>
      </c>
      <c r="C1149">
        <v>1979</v>
      </c>
      <c r="D1149" s="3" t="s">
        <v>9</v>
      </c>
      <c r="E1149" s="3" t="s">
        <v>9</v>
      </c>
      <c r="F1149">
        <v>17</v>
      </c>
      <c r="G1149" s="7">
        <v>29053</v>
      </c>
      <c r="H1149">
        <v>2</v>
      </c>
      <c r="I1149" s="3" t="s">
        <v>9522</v>
      </c>
      <c r="J1149" s="3" t="s">
        <v>10</v>
      </c>
      <c r="K1149" s="3" t="s">
        <v>10</v>
      </c>
      <c r="L1149" s="3" t="s">
        <v>299</v>
      </c>
      <c r="M1149">
        <v>47</v>
      </c>
      <c r="N1149" s="3"/>
    </row>
    <row r="1150" spans="1:14" x14ac:dyDescent="0.25">
      <c r="A1150" s="3" t="s">
        <v>1180</v>
      </c>
      <c r="B1150">
        <v>1969</v>
      </c>
      <c r="C1150">
        <v>1969</v>
      </c>
      <c r="D1150" s="3" t="s">
        <v>17</v>
      </c>
      <c r="E1150" s="3" t="s">
        <v>17</v>
      </c>
      <c r="F1150">
        <v>4</v>
      </c>
      <c r="G1150" s="7">
        <v>25358</v>
      </c>
      <c r="H1150">
        <v>0</v>
      </c>
      <c r="I1150" s="3" t="s">
        <v>9523</v>
      </c>
      <c r="J1150" s="3" t="s">
        <v>10</v>
      </c>
      <c r="K1150" s="3" t="s">
        <v>10</v>
      </c>
      <c r="L1150" s="3" t="s">
        <v>12</v>
      </c>
      <c r="M1150">
        <v>57</v>
      </c>
      <c r="N1150" s="3"/>
    </row>
    <row r="1151" spans="1:14" x14ac:dyDescent="0.25">
      <c r="A1151" s="3" t="s">
        <v>1181</v>
      </c>
      <c r="B1151">
        <v>1976</v>
      </c>
      <c r="C1151">
        <v>1976</v>
      </c>
      <c r="D1151" s="3" t="s">
        <v>14</v>
      </c>
      <c r="E1151" s="3" t="s">
        <v>14</v>
      </c>
      <c r="F1151">
        <v>28</v>
      </c>
      <c r="G1151" s="7">
        <v>28092</v>
      </c>
      <c r="H1151">
        <v>3</v>
      </c>
      <c r="I1151" s="3" t="s">
        <v>9524</v>
      </c>
      <c r="J1151" s="3" t="s">
        <v>10</v>
      </c>
      <c r="K1151" s="3" t="s">
        <v>11</v>
      </c>
      <c r="L1151" s="3" t="s">
        <v>355</v>
      </c>
      <c r="M1151">
        <v>50</v>
      </c>
      <c r="N1151" s="3"/>
    </row>
    <row r="1152" spans="1:14" x14ac:dyDescent="0.25">
      <c r="A1152" s="3" t="s">
        <v>1182</v>
      </c>
      <c r="B1152">
        <v>1969</v>
      </c>
      <c r="C1152">
        <v>1969</v>
      </c>
      <c r="D1152" s="3" t="s">
        <v>34</v>
      </c>
      <c r="E1152" s="3" t="s">
        <v>34</v>
      </c>
      <c r="F1152">
        <v>24</v>
      </c>
      <c r="G1152" s="7">
        <v>25439</v>
      </c>
      <c r="H1152">
        <v>0</v>
      </c>
      <c r="I1152" s="3" t="s">
        <v>9525</v>
      </c>
      <c r="J1152" s="3" t="s">
        <v>11</v>
      </c>
      <c r="K1152" s="3" t="s">
        <v>10</v>
      </c>
      <c r="L1152" s="3" t="s">
        <v>12</v>
      </c>
      <c r="M1152">
        <v>57</v>
      </c>
      <c r="N1152" s="3"/>
    </row>
    <row r="1153" spans="1:14" x14ac:dyDescent="0.25">
      <c r="A1153" s="3" t="s">
        <v>1183</v>
      </c>
      <c r="B1153">
        <v>1992</v>
      </c>
      <c r="C1153">
        <v>1992</v>
      </c>
      <c r="D1153" s="3" t="s">
        <v>34</v>
      </c>
      <c r="E1153" s="3" t="s">
        <v>34</v>
      </c>
      <c r="F1153">
        <v>22</v>
      </c>
      <c r="G1153" s="7">
        <v>33838</v>
      </c>
      <c r="H1153">
        <v>0</v>
      </c>
      <c r="I1153" s="3" t="s">
        <v>9526</v>
      </c>
      <c r="J1153" s="3" t="s">
        <v>10</v>
      </c>
      <c r="K1153" s="3" t="s">
        <v>15</v>
      </c>
      <c r="L1153" s="3" t="s">
        <v>22</v>
      </c>
      <c r="M1153">
        <v>34</v>
      </c>
      <c r="N1153" s="3"/>
    </row>
    <row r="1154" spans="1:14" x14ac:dyDescent="0.25">
      <c r="A1154" s="3" t="s">
        <v>1184</v>
      </c>
      <c r="B1154">
        <v>1971</v>
      </c>
      <c r="C1154">
        <v>1971</v>
      </c>
      <c r="D1154" s="3" t="s">
        <v>14</v>
      </c>
      <c r="E1154" s="3" t="s">
        <v>14</v>
      </c>
      <c r="F1154">
        <v>29</v>
      </c>
      <c r="G1154" s="7">
        <v>26266</v>
      </c>
      <c r="H1154">
        <v>0</v>
      </c>
      <c r="I1154" s="3" t="s">
        <v>9527</v>
      </c>
      <c r="J1154" s="3" t="s">
        <v>10</v>
      </c>
      <c r="K1154" s="3" t="s">
        <v>10</v>
      </c>
      <c r="L1154" s="3" t="s">
        <v>41</v>
      </c>
      <c r="M1154">
        <v>55</v>
      </c>
      <c r="N1154" s="3"/>
    </row>
    <row r="1155" spans="1:14" x14ac:dyDescent="0.25">
      <c r="A1155" s="3" t="s">
        <v>1185</v>
      </c>
      <c r="B1155">
        <v>1973</v>
      </c>
      <c r="C1155">
        <v>1973</v>
      </c>
      <c r="D1155" s="3" t="s">
        <v>29</v>
      </c>
      <c r="E1155" s="3" t="s">
        <v>29</v>
      </c>
      <c r="F1155">
        <v>21</v>
      </c>
      <c r="G1155" s="7">
        <v>27019</v>
      </c>
      <c r="H1155">
        <v>0</v>
      </c>
      <c r="I1155" s="3" t="s">
        <v>9528</v>
      </c>
      <c r="J1155" s="3" t="s">
        <v>10</v>
      </c>
      <c r="K1155" s="3" t="s">
        <v>11</v>
      </c>
      <c r="L1155" s="3" t="s">
        <v>299</v>
      </c>
      <c r="M1155">
        <v>53</v>
      </c>
      <c r="N1155" s="3"/>
    </row>
    <row r="1156" spans="1:14" x14ac:dyDescent="0.25">
      <c r="A1156" s="3" t="s">
        <v>1186</v>
      </c>
      <c r="B1156">
        <v>1975</v>
      </c>
      <c r="C1156">
        <v>1975</v>
      </c>
      <c r="D1156" s="3" t="s">
        <v>9</v>
      </c>
      <c r="E1156" s="3" t="s">
        <v>9</v>
      </c>
      <c r="F1156">
        <v>28</v>
      </c>
      <c r="G1156" s="7">
        <v>27603</v>
      </c>
      <c r="H1156">
        <v>1</v>
      </c>
      <c r="I1156" s="3" t="s">
        <v>9529</v>
      </c>
      <c r="J1156" s="3" t="s">
        <v>10</v>
      </c>
      <c r="K1156" s="3" t="s">
        <v>10</v>
      </c>
      <c r="L1156" s="3" t="s">
        <v>246</v>
      </c>
      <c r="M1156">
        <v>51</v>
      </c>
      <c r="N1156" s="3"/>
    </row>
    <row r="1157" spans="1:14" x14ac:dyDescent="0.25">
      <c r="A1157" s="3" t="s">
        <v>1187</v>
      </c>
      <c r="B1157">
        <v>1972</v>
      </c>
      <c r="C1157">
        <v>1972</v>
      </c>
      <c r="D1157" s="3" t="s">
        <v>19</v>
      </c>
      <c r="E1157" s="3" t="s">
        <v>19</v>
      </c>
      <c r="F1157">
        <v>22</v>
      </c>
      <c r="G1157" s="7">
        <v>26564</v>
      </c>
      <c r="H1157">
        <v>0</v>
      </c>
      <c r="I1157" s="3" t="s">
        <v>9530</v>
      </c>
      <c r="J1157" s="3" t="s">
        <v>10</v>
      </c>
      <c r="K1157" s="3" t="s">
        <v>15</v>
      </c>
      <c r="L1157" s="3" t="s">
        <v>246</v>
      </c>
      <c r="M1157">
        <v>54</v>
      </c>
      <c r="N1157" s="3"/>
    </row>
    <row r="1158" spans="1:14" x14ac:dyDescent="0.25">
      <c r="A1158" s="3" t="s">
        <v>1188</v>
      </c>
      <c r="B1158">
        <v>1972</v>
      </c>
      <c r="C1158">
        <v>1972</v>
      </c>
      <c r="D1158" s="3" t="s">
        <v>19</v>
      </c>
      <c r="E1158" s="3" t="s">
        <v>19</v>
      </c>
      <c r="F1158">
        <v>22</v>
      </c>
      <c r="G1158" s="7">
        <v>26564</v>
      </c>
      <c r="H1158">
        <v>1</v>
      </c>
      <c r="I1158" s="3" t="s">
        <v>9531</v>
      </c>
      <c r="J1158" s="3" t="s">
        <v>10</v>
      </c>
      <c r="K1158" s="3" t="s">
        <v>15</v>
      </c>
      <c r="L1158" s="3" t="s">
        <v>12</v>
      </c>
      <c r="M1158">
        <v>54</v>
      </c>
      <c r="N1158" s="3"/>
    </row>
    <row r="1159" spans="1:14" x14ac:dyDescent="0.25">
      <c r="A1159" s="3" t="s">
        <v>1189</v>
      </c>
      <c r="B1159">
        <v>1974</v>
      </c>
      <c r="C1159">
        <v>1974</v>
      </c>
      <c r="D1159" s="3" t="s">
        <v>34</v>
      </c>
      <c r="E1159" s="3" t="s">
        <v>34</v>
      </c>
      <c r="F1159">
        <v>14</v>
      </c>
      <c r="G1159" s="7">
        <v>27255</v>
      </c>
      <c r="H1159">
        <v>3</v>
      </c>
      <c r="I1159" s="3" t="s">
        <v>9532</v>
      </c>
      <c r="J1159" s="3" t="s">
        <v>11</v>
      </c>
      <c r="K1159" s="3" t="s">
        <v>15</v>
      </c>
      <c r="L1159" s="3" t="s">
        <v>41</v>
      </c>
      <c r="M1159">
        <v>52</v>
      </c>
      <c r="N1159" s="3"/>
    </row>
    <row r="1160" spans="1:14" x14ac:dyDescent="0.25">
      <c r="A1160" s="3" t="s">
        <v>1190</v>
      </c>
      <c r="B1160">
        <v>1973</v>
      </c>
      <c r="C1160">
        <v>1973</v>
      </c>
      <c r="D1160" s="3" t="s">
        <v>29</v>
      </c>
      <c r="E1160" s="3" t="s">
        <v>29</v>
      </c>
      <c r="F1160">
        <v>1</v>
      </c>
      <c r="G1160" s="7">
        <v>26999</v>
      </c>
      <c r="H1160">
        <v>1</v>
      </c>
      <c r="I1160" s="3" t="s">
        <v>9533</v>
      </c>
      <c r="J1160" s="3" t="s">
        <v>10</v>
      </c>
      <c r="K1160" s="3" t="s">
        <v>15</v>
      </c>
      <c r="L1160" s="3" t="s">
        <v>22</v>
      </c>
      <c r="M1160">
        <v>53</v>
      </c>
      <c r="N1160" s="3"/>
    </row>
    <row r="1161" spans="1:14" x14ac:dyDescent="0.25">
      <c r="A1161" s="3" t="s">
        <v>1191</v>
      </c>
      <c r="B1161">
        <v>1966</v>
      </c>
      <c r="C1161">
        <v>1966</v>
      </c>
      <c r="D1161" s="3" t="s">
        <v>29</v>
      </c>
      <c r="E1161" s="3" t="s">
        <v>29</v>
      </c>
      <c r="F1161">
        <v>4</v>
      </c>
      <c r="G1161" s="7">
        <v>24445</v>
      </c>
      <c r="H1161">
        <v>0</v>
      </c>
      <c r="I1161" s="3" t="s">
        <v>9534</v>
      </c>
      <c r="J1161" s="3" t="s">
        <v>11</v>
      </c>
      <c r="K1161" s="3" t="s">
        <v>10</v>
      </c>
      <c r="L1161" s="3" t="s">
        <v>12</v>
      </c>
      <c r="M1161">
        <v>60</v>
      </c>
      <c r="N1161" s="3"/>
    </row>
    <row r="1162" spans="1:14" x14ac:dyDescent="0.25">
      <c r="A1162" s="3" t="s">
        <v>1192</v>
      </c>
      <c r="B1162">
        <v>1973</v>
      </c>
      <c r="C1162">
        <v>1973</v>
      </c>
      <c r="D1162" s="3" t="s">
        <v>14</v>
      </c>
      <c r="E1162" s="3" t="s">
        <v>14</v>
      </c>
      <c r="F1162">
        <v>28</v>
      </c>
      <c r="G1162" s="7">
        <v>26996</v>
      </c>
      <c r="H1162">
        <v>1</v>
      </c>
      <c r="I1162" s="3" t="s">
        <v>9535</v>
      </c>
      <c r="J1162" s="3" t="s">
        <v>10</v>
      </c>
      <c r="K1162" s="3" t="s">
        <v>11</v>
      </c>
      <c r="L1162" s="3" t="s">
        <v>22</v>
      </c>
      <c r="M1162">
        <v>53</v>
      </c>
      <c r="N1162" s="3"/>
    </row>
    <row r="1163" spans="1:14" x14ac:dyDescent="0.25">
      <c r="A1163" s="3" t="s">
        <v>1193</v>
      </c>
      <c r="B1163">
        <v>1981</v>
      </c>
      <c r="C1163">
        <v>1981</v>
      </c>
      <c r="D1163" s="3" t="s">
        <v>36</v>
      </c>
      <c r="E1163" s="3" t="s">
        <v>36</v>
      </c>
      <c r="F1163">
        <v>18</v>
      </c>
      <c r="G1163" s="7">
        <v>29877</v>
      </c>
      <c r="H1163">
        <v>1</v>
      </c>
      <c r="I1163" s="3" t="s">
        <v>9536</v>
      </c>
      <c r="J1163" s="3" t="s">
        <v>10</v>
      </c>
      <c r="K1163" s="3" t="s">
        <v>15</v>
      </c>
      <c r="L1163" s="3" t="s">
        <v>299</v>
      </c>
      <c r="M1163">
        <v>45</v>
      </c>
      <c r="N1163" s="3"/>
    </row>
    <row r="1164" spans="1:14" x14ac:dyDescent="0.25">
      <c r="A1164" s="3" t="s">
        <v>1194</v>
      </c>
      <c r="B1164">
        <v>1964</v>
      </c>
      <c r="C1164">
        <v>1964</v>
      </c>
      <c r="D1164" s="3" t="s">
        <v>29</v>
      </c>
      <c r="E1164" s="3" t="s">
        <v>29</v>
      </c>
      <c r="F1164">
        <v>15</v>
      </c>
      <c r="G1164" s="7">
        <v>23726</v>
      </c>
      <c r="H1164">
        <v>0</v>
      </c>
      <c r="I1164" s="3" t="s">
        <v>9537</v>
      </c>
      <c r="J1164" s="3" t="s">
        <v>11</v>
      </c>
      <c r="K1164" s="3" t="s">
        <v>11</v>
      </c>
      <c r="L1164" s="3" t="s">
        <v>12</v>
      </c>
      <c r="M1164">
        <v>62</v>
      </c>
      <c r="N1164" s="3"/>
    </row>
    <row r="1165" spans="1:14" x14ac:dyDescent="0.25">
      <c r="A1165" s="3" t="s">
        <v>1195</v>
      </c>
      <c r="B1165">
        <v>1972</v>
      </c>
      <c r="C1165">
        <v>1972</v>
      </c>
      <c r="D1165" s="3" t="s">
        <v>29</v>
      </c>
      <c r="E1165" s="3" t="s">
        <v>29</v>
      </c>
      <c r="F1165">
        <v>27</v>
      </c>
      <c r="G1165" s="7">
        <v>26660</v>
      </c>
      <c r="H1165">
        <v>1</v>
      </c>
      <c r="I1165" s="3" t="s">
        <v>9538</v>
      </c>
      <c r="J1165" s="3" t="s">
        <v>11</v>
      </c>
      <c r="K1165" s="3" t="s">
        <v>11</v>
      </c>
      <c r="L1165" s="3" t="s">
        <v>167</v>
      </c>
      <c r="M1165">
        <v>54</v>
      </c>
      <c r="N1165" s="3"/>
    </row>
    <row r="1166" spans="1:14" x14ac:dyDescent="0.25">
      <c r="A1166" s="3" t="s">
        <v>1196</v>
      </c>
      <c r="B1166">
        <v>1982</v>
      </c>
      <c r="C1166">
        <v>1982</v>
      </c>
      <c r="D1166" s="3" t="s">
        <v>34</v>
      </c>
      <c r="E1166" s="3" t="s">
        <v>34</v>
      </c>
      <c r="F1166">
        <v>29</v>
      </c>
      <c r="G1166" s="7">
        <v>30192</v>
      </c>
      <c r="H1166">
        <v>3</v>
      </c>
      <c r="I1166" s="3" t="s">
        <v>9539</v>
      </c>
      <c r="J1166" s="3" t="s">
        <v>10</v>
      </c>
      <c r="K1166" s="3" t="s">
        <v>15</v>
      </c>
      <c r="L1166" s="3" t="s">
        <v>199</v>
      </c>
      <c r="M1166">
        <v>44</v>
      </c>
      <c r="N1166" s="3"/>
    </row>
    <row r="1167" spans="1:14" x14ac:dyDescent="0.25">
      <c r="A1167" s="3" t="s">
        <v>1197</v>
      </c>
      <c r="B1167">
        <v>1975</v>
      </c>
      <c r="C1167">
        <v>1975</v>
      </c>
      <c r="D1167" s="3" t="s">
        <v>36</v>
      </c>
      <c r="E1167" s="3" t="s">
        <v>36</v>
      </c>
      <c r="F1167">
        <v>29</v>
      </c>
      <c r="G1167" s="7">
        <v>27696</v>
      </c>
      <c r="H1167">
        <v>3</v>
      </c>
      <c r="I1167" s="3" t="s">
        <v>9540</v>
      </c>
      <c r="J1167" s="3" t="s">
        <v>11</v>
      </c>
      <c r="K1167" s="3" t="s">
        <v>11</v>
      </c>
      <c r="L1167" s="3" t="s">
        <v>22</v>
      </c>
      <c r="M1167">
        <v>51</v>
      </c>
      <c r="N1167" s="3"/>
    </row>
    <row r="1168" spans="1:14" x14ac:dyDescent="0.25">
      <c r="A1168" s="3" t="s">
        <v>1198</v>
      </c>
      <c r="B1168">
        <v>1970</v>
      </c>
      <c r="C1168">
        <v>1970</v>
      </c>
      <c r="D1168" s="3" t="s">
        <v>29</v>
      </c>
      <c r="E1168" s="3" t="s">
        <v>29</v>
      </c>
      <c r="F1168">
        <v>16</v>
      </c>
      <c r="G1168" s="7">
        <v>25918</v>
      </c>
      <c r="H1168">
        <v>0</v>
      </c>
      <c r="I1168" s="3" t="s">
        <v>9541</v>
      </c>
      <c r="J1168" s="3" t="s">
        <v>10</v>
      </c>
      <c r="K1168" s="3" t="s">
        <v>11</v>
      </c>
      <c r="L1168" s="3" t="s">
        <v>41</v>
      </c>
      <c r="M1168">
        <v>56</v>
      </c>
      <c r="N1168" s="3"/>
    </row>
    <row r="1169" spans="1:14" x14ac:dyDescent="0.25">
      <c r="A1169" s="3" t="s">
        <v>1199</v>
      </c>
      <c r="B1169">
        <v>1998</v>
      </c>
      <c r="C1169">
        <v>1998</v>
      </c>
      <c r="D1169" s="3" t="s">
        <v>17</v>
      </c>
      <c r="E1169" s="3" t="s">
        <v>17</v>
      </c>
      <c r="F1169">
        <v>23</v>
      </c>
      <c r="G1169" s="7">
        <v>35969</v>
      </c>
      <c r="H1169">
        <v>0</v>
      </c>
      <c r="I1169" s="3" t="s">
        <v>9542</v>
      </c>
      <c r="J1169" s="3" t="s">
        <v>10</v>
      </c>
      <c r="K1169" s="3" t="s">
        <v>10</v>
      </c>
      <c r="L1169" s="3" t="s">
        <v>534</v>
      </c>
      <c r="M1169">
        <v>28</v>
      </c>
      <c r="N1169" s="3"/>
    </row>
    <row r="1170" spans="1:14" x14ac:dyDescent="0.25">
      <c r="A1170" s="3" t="s">
        <v>1200</v>
      </c>
      <c r="B1170">
        <v>1979</v>
      </c>
      <c r="C1170">
        <v>1979</v>
      </c>
      <c r="D1170" s="3" t="s">
        <v>29</v>
      </c>
      <c r="E1170" s="3" t="s">
        <v>29</v>
      </c>
      <c r="F1170">
        <v>19</v>
      </c>
      <c r="G1170" s="7">
        <v>29208</v>
      </c>
      <c r="H1170">
        <v>2</v>
      </c>
      <c r="I1170" s="3" t="s">
        <v>9543</v>
      </c>
      <c r="J1170" s="3" t="s">
        <v>10</v>
      </c>
      <c r="K1170" s="3" t="s">
        <v>10</v>
      </c>
      <c r="L1170" s="3" t="s">
        <v>299</v>
      </c>
      <c r="M1170">
        <v>47</v>
      </c>
      <c r="N1170" s="3"/>
    </row>
    <row r="1171" spans="1:14" x14ac:dyDescent="0.25">
      <c r="A1171" s="3" t="s">
        <v>1201</v>
      </c>
      <c r="B1171">
        <v>1972</v>
      </c>
      <c r="C1171">
        <v>1972</v>
      </c>
      <c r="D1171" s="3" t="s">
        <v>36</v>
      </c>
      <c r="E1171" s="3" t="s">
        <v>36</v>
      </c>
      <c r="F1171">
        <v>23</v>
      </c>
      <c r="G1171" s="7">
        <v>26595</v>
      </c>
      <c r="H1171">
        <v>2</v>
      </c>
      <c r="I1171" s="3" t="s">
        <v>9544</v>
      </c>
      <c r="J1171" s="3" t="s">
        <v>10</v>
      </c>
      <c r="K1171" s="3" t="s">
        <v>10</v>
      </c>
      <c r="L1171" s="3" t="s">
        <v>41</v>
      </c>
      <c r="M1171">
        <v>54</v>
      </c>
      <c r="N1171" s="3"/>
    </row>
    <row r="1172" spans="1:14" x14ac:dyDescent="0.25">
      <c r="A1172" s="3" t="s">
        <v>1202</v>
      </c>
      <c r="B1172">
        <v>1968</v>
      </c>
      <c r="C1172">
        <v>1968</v>
      </c>
      <c r="D1172" s="3" t="s">
        <v>17</v>
      </c>
      <c r="E1172" s="3" t="s">
        <v>17</v>
      </c>
      <c r="F1172">
        <v>22</v>
      </c>
      <c r="G1172" s="7">
        <v>25011</v>
      </c>
      <c r="H1172">
        <v>0</v>
      </c>
      <c r="I1172" s="3" t="s">
        <v>9545</v>
      </c>
      <c r="J1172" s="3" t="s">
        <v>11</v>
      </c>
      <c r="K1172" s="3" t="s">
        <v>10</v>
      </c>
      <c r="L1172" s="3" t="s">
        <v>12</v>
      </c>
      <c r="M1172">
        <v>58</v>
      </c>
      <c r="N1172" s="3"/>
    </row>
    <row r="1173" spans="1:14" x14ac:dyDescent="0.25">
      <c r="A1173" s="3" t="s">
        <v>1203</v>
      </c>
      <c r="B1173">
        <v>1970</v>
      </c>
      <c r="C1173">
        <v>1970</v>
      </c>
      <c r="D1173" s="3" t="s">
        <v>19</v>
      </c>
      <c r="E1173" s="3" t="s">
        <v>19</v>
      </c>
      <c r="F1173">
        <v>30</v>
      </c>
      <c r="G1173" s="7">
        <v>25841</v>
      </c>
      <c r="H1173">
        <v>0</v>
      </c>
      <c r="I1173" s="3" t="s">
        <v>9546</v>
      </c>
      <c r="J1173" s="3" t="s">
        <v>10</v>
      </c>
      <c r="K1173" s="3" t="s">
        <v>10</v>
      </c>
      <c r="L1173" s="3" t="s">
        <v>41</v>
      </c>
      <c r="M1173">
        <v>56</v>
      </c>
      <c r="N1173" s="3"/>
    </row>
    <row r="1174" spans="1:14" x14ac:dyDescent="0.25">
      <c r="A1174" s="3" t="s">
        <v>1204</v>
      </c>
      <c r="B1174">
        <v>1971</v>
      </c>
      <c r="C1174">
        <v>1971</v>
      </c>
      <c r="D1174" s="3" t="s">
        <v>9</v>
      </c>
      <c r="E1174" s="3" t="s">
        <v>9</v>
      </c>
      <c r="F1174">
        <v>19</v>
      </c>
      <c r="G1174" s="7">
        <v>26133</v>
      </c>
      <c r="H1174">
        <v>0</v>
      </c>
      <c r="I1174" s="3" t="s">
        <v>9547</v>
      </c>
      <c r="J1174" s="3" t="s">
        <v>10</v>
      </c>
      <c r="K1174" s="3" t="s">
        <v>15</v>
      </c>
      <c r="L1174" s="3" t="s">
        <v>22</v>
      </c>
      <c r="M1174">
        <v>55</v>
      </c>
      <c r="N1174" s="3"/>
    </row>
    <row r="1175" spans="1:14" x14ac:dyDescent="0.25">
      <c r="A1175" s="3" t="s">
        <v>1205</v>
      </c>
      <c r="B1175">
        <v>1974</v>
      </c>
      <c r="C1175">
        <v>1974</v>
      </c>
      <c r="D1175" s="3" t="s">
        <v>9</v>
      </c>
      <c r="E1175" s="3" t="s">
        <v>9</v>
      </c>
      <c r="F1175">
        <v>8</v>
      </c>
      <c r="G1175" s="7">
        <v>27218</v>
      </c>
      <c r="H1175">
        <v>0</v>
      </c>
      <c r="I1175" s="3" t="s">
        <v>9548</v>
      </c>
      <c r="J1175" s="3" t="s">
        <v>10</v>
      </c>
      <c r="K1175" s="3" t="s">
        <v>10</v>
      </c>
      <c r="L1175" s="3" t="s">
        <v>41</v>
      </c>
      <c r="M1175">
        <v>52</v>
      </c>
      <c r="N1175" s="3"/>
    </row>
    <row r="1176" spans="1:14" x14ac:dyDescent="0.25">
      <c r="A1176" s="3" t="s">
        <v>1206</v>
      </c>
      <c r="B1176">
        <v>1981</v>
      </c>
      <c r="C1176">
        <v>1981</v>
      </c>
      <c r="D1176" s="3" t="s">
        <v>34</v>
      </c>
      <c r="E1176" s="3" t="s">
        <v>34</v>
      </c>
      <c r="F1176">
        <v>8</v>
      </c>
      <c r="G1176" s="7">
        <v>29806</v>
      </c>
      <c r="H1176">
        <v>1</v>
      </c>
      <c r="I1176" s="3" t="s">
        <v>9549</v>
      </c>
      <c r="J1176" s="3" t="s">
        <v>10</v>
      </c>
      <c r="K1176" s="3" t="s">
        <v>11</v>
      </c>
      <c r="L1176" s="3" t="s">
        <v>41</v>
      </c>
      <c r="M1176">
        <v>45</v>
      </c>
      <c r="N1176" s="3"/>
    </row>
    <row r="1177" spans="1:14" x14ac:dyDescent="0.25">
      <c r="A1177" s="3" t="s">
        <v>1207</v>
      </c>
      <c r="B1177">
        <v>1966</v>
      </c>
      <c r="C1177">
        <v>1966</v>
      </c>
      <c r="D1177" s="3" t="s">
        <v>19</v>
      </c>
      <c r="E1177" s="3" t="s">
        <v>19</v>
      </c>
      <c r="F1177">
        <v>16</v>
      </c>
      <c r="G1177" s="7">
        <v>24366</v>
      </c>
      <c r="H1177">
        <v>0</v>
      </c>
      <c r="I1177" s="3" t="s">
        <v>9550</v>
      </c>
      <c r="J1177" s="3" t="s">
        <v>11</v>
      </c>
      <c r="K1177" s="3" t="s">
        <v>10</v>
      </c>
      <c r="L1177" s="3" t="s">
        <v>12</v>
      </c>
      <c r="M1177">
        <v>60</v>
      </c>
      <c r="N1177" s="3"/>
    </row>
    <row r="1178" spans="1:14" x14ac:dyDescent="0.25">
      <c r="A1178" s="3" t="s">
        <v>1208</v>
      </c>
      <c r="B1178">
        <v>1964</v>
      </c>
      <c r="C1178">
        <v>1964</v>
      </c>
      <c r="D1178" s="3" t="s">
        <v>14</v>
      </c>
      <c r="E1178" s="3" t="s">
        <v>14</v>
      </c>
      <c r="F1178">
        <v>7</v>
      </c>
      <c r="G1178" s="7">
        <v>23688</v>
      </c>
      <c r="H1178">
        <v>0</v>
      </c>
      <c r="I1178" s="3" t="s">
        <v>9551</v>
      </c>
      <c r="J1178" s="3" t="s">
        <v>11</v>
      </c>
      <c r="K1178" s="3" t="s">
        <v>11</v>
      </c>
      <c r="L1178" s="3" t="s">
        <v>12</v>
      </c>
      <c r="M1178">
        <v>62</v>
      </c>
      <c r="N1178" s="3"/>
    </row>
    <row r="1179" spans="1:14" x14ac:dyDescent="0.25">
      <c r="A1179" s="3" t="s">
        <v>1209</v>
      </c>
      <c r="B1179">
        <v>1977</v>
      </c>
      <c r="C1179">
        <v>1977</v>
      </c>
      <c r="D1179" s="3" t="s">
        <v>19</v>
      </c>
      <c r="E1179" s="3" t="s">
        <v>19</v>
      </c>
      <c r="F1179">
        <v>19</v>
      </c>
      <c r="G1179" s="7">
        <v>28387</v>
      </c>
      <c r="H1179">
        <v>3</v>
      </c>
      <c r="I1179" s="3" t="s">
        <v>9552</v>
      </c>
      <c r="J1179" s="3" t="s">
        <v>10</v>
      </c>
      <c r="K1179" s="3" t="s">
        <v>11</v>
      </c>
      <c r="L1179" s="3" t="s">
        <v>246</v>
      </c>
      <c r="M1179">
        <v>49</v>
      </c>
      <c r="N1179" s="3"/>
    </row>
    <row r="1180" spans="1:14" x14ac:dyDescent="0.25">
      <c r="A1180" s="3" t="s">
        <v>1210</v>
      </c>
      <c r="B1180">
        <v>1972</v>
      </c>
      <c r="C1180">
        <v>1972</v>
      </c>
      <c r="D1180" s="3" t="s">
        <v>9</v>
      </c>
      <c r="E1180" s="3" t="s">
        <v>9</v>
      </c>
      <c r="F1180">
        <v>10</v>
      </c>
      <c r="G1180" s="7">
        <v>26490</v>
      </c>
      <c r="H1180">
        <v>0</v>
      </c>
      <c r="I1180" s="3" t="s">
        <v>9553</v>
      </c>
      <c r="J1180" s="3" t="s">
        <v>10</v>
      </c>
      <c r="K1180" s="3" t="s">
        <v>15</v>
      </c>
      <c r="L1180" s="3" t="s">
        <v>299</v>
      </c>
      <c r="M1180">
        <v>54</v>
      </c>
      <c r="N1180" s="3"/>
    </row>
    <row r="1181" spans="1:14" x14ac:dyDescent="0.25">
      <c r="A1181" s="3" t="s">
        <v>1211</v>
      </c>
      <c r="B1181">
        <v>1975</v>
      </c>
      <c r="C1181">
        <v>1975</v>
      </c>
      <c r="D1181" s="3" t="s">
        <v>17</v>
      </c>
      <c r="E1181" s="3" t="s">
        <v>17</v>
      </c>
      <c r="F1181">
        <v>27</v>
      </c>
      <c r="G1181" s="7">
        <v>27572</v>
      </c>
      <c r="H1181">
        <v>2</v>
      </c>
      <c r="I1181" s="3" t="s">
        <v>9554</v>
      </c>
      <c r="J1181" s="3" t="s">
        <v>10</v>
      </c>
      <c r="K1181" s="3" t="s">
        <v>15</v>
      </c>
      <c r="L1181" s="3" t="s">
        <v>246</v>
      </c>
      <c r="M1181">
        <v>51</v>
      </c>
      <c r="N1181" s="3"/>
    </row>
    <row r="1182" spans="1:14" x14ac:dyDescent="0.25">
      <c r="A1182" s="3" t="s">
        <v>1212</v>
      </c>
      <c r="B1182">
        <v>1970</v>
      </c>
      <c r="C1182">
        <v>1970</v>
      </c>
      <c r="D1182" s="3" t="s">
        <v>19</v>
      </c>
      <c r="E1182" s="3" t="s">
        <v>19</v>
      </c>
      <c r="F1182">
        <v>12</v>
      </c>
      <c r="G1182" s="7">
        <v>25823</v>
      </c>
      <c r="H1182">
        <v>0</v>
      </c>
      <c r="I1182" s="3" t="s">
        <v>9555</v>
      </c>
      <c r="J1182" s="3" t="s">
        <v>11</v>
      </c>
      <c r="K1182" s="3" t="s">
        <v>15</v>
      </c>
      <c r="L1182" s="3" t="s">
        <v>167</v>
      </c>
      <c r="M1182">
        <v>56</v>
      </c>
      <c r="N1182" s="3"/>
    </row>
    <row r="1183" spans="1:14" x14ac:dyDescent="0.25">
      <c r="A1183" s="3" t="s">
        <v>1213</v>
      </c>
      <c r="B1183">
        <v>1970</v>
      </c>
      <c r="C1183">
        <v>1970</v>
      </c>
      <c r="D1183" s="3" t="s">
        <v>34</v>
      </c>
      <c r="E1183" s="3" t="s">
        <v>34</v>
      </c>
      <c r="F1183">
        <v>18</v>
      </c>
      <c r="G1183" s="7">
        <v>25798</v>
      </c>
      <c r="H1183">
        <v>1</v>
      </c>
      <c r="I1183" s="3" t="s">
        <v>9556</v>
      </c>
      <c r="J1183" s="3" t="s">
        <v>11</v>
      </c>
      <c r="K1183" s="3" t="s">
        <v>15</v>
      </c>
      <c r="L1183" s="3" t="s">
        <v>41</v>
      </c>
      <c r="M1183">
        <v>56</v>
      </c>
      <c r="N1183" s="3"/>
    </row>
    <row r="1184" spans="1:14" x14ac:dyDescent="0.25">
      <c r="A1184" s="3" t="s">
        <v>1214</v>
      </c>
      <c r="B1184">
        <v>1970</v>
      </c>
      <c r="C1184">
        <v>1970</v>
      </c>
      <c r="D1184" s="3" t="s">
        <v>9</v>
      </c>
      <c r="E1184" s="3" t="s">
        <v>9</v>
      </c>
      <c r="F1184">
        <v>4</v>
      </c>
      <c r="G1184" s="7">
        <v>25753</v>
      </c>
      <c r="H1184">
        <v>1</v>
      </c>
      <c r="I1184" s="3" t="s">
        <v>9557</v>
      </c>
      <c r="J1184" s="3" t="s">
        <v>10</v>
      </c>
      <c r="K1184" s="3" t="s">
        <v>15</v>
      </c>
      <c r="L1184" s="3" t="s">
        <v>12</v>
      </c>
      <c r="M1184">
        <v>56</v>
      </c>
      <c r="N1184" s="3"/>
    </row>
    <row r="1185" spans="1:14" x14ac:dyDescent="0.25">
      <c r="A1185" s="3" t="s">
        <v>1215</v>
      </c>
      <c r="B1185">
        <v>2001</v>
      </c>
      <c r="C1185">
        <v>2001</v>
      </c>
      <c r="D1185" s="3" t="s">
        <v>9</v>
      </c>
      <c r="E1185" s="3" t="s">
        <v>9</v>
      </c>
      <c r="F1185">
        <v>14</v>
      </c>
      <c r="G1185" s="7">
        <v>37086</v>
      </c>
      <c r="H1185">
        <v>0</v>
      </c>
      <c r="I1185" s="3" t="s">
        <v>9558</v>
      </c>
      <c r="J1185" s="3" t="s">
        <v>10</v>
      </c>
      <c r="K1185" s="3" t="s">
        <v>10</v>
      </c>
      <c r="L1185" s="3" t="s">
        <v>22</v>
      </c>
      <c r="M1185">
        <v>25</v>
      </c>
      <c r="N1185" s="3"/>
    </row>
    <row r="1186" spans="1:14" x14ac:dyDescent="0.25">
      <c r="A1186" s="3" t="s">
        <v>1216</v>
      </c>
      <c r="B1186">
        <v>1965</v>
      </c>
      <c r="C1186">
        <v>1965</v>
      </c>
      <c r="D1186" s="3" t="s">
        <v>19</v>
      </c>
      <c r="E1186" s="3" t="s">
        <v>19</v>
      </c>
      <c r="F1186">
        <v>5</v>
      </c>
      <c r="G1186" s="7">
        <v>23990</v>
      </c>
      <c r="H1186">
        <v>0</v>
      </c>
      <c r="I1186" s="3" t="s">
        <v>9559</v>
      </c>
      <c r="J1186" s="3" t="s">
        <v>11</v>
      </c>
      <c r="K1186" s="3" t="s">
        <v>15</v>
      </c>
      <c r="L1186" s="3" t="s">
        <v>22</v>
      </c>
      <c r="M1186">
        <v>61</v>
      </c>
      <c r="N1186" s="3"/>
    </row>
    <row r="1187" spans="1:14" x14ac:dyDescent="0.25">
      <c r="A1187" s="3" t="s">
        <v>1217</v>
      </c>
      <c r="B1187">
        <v>1973</v>
      </c>
      <c r="C1187">
        <v>1973</v>
      </c>
      <c r="D1187" s="3" t="s">
        <v>9</v>
      </c>
      <c r="E1187" s="3" t="s">
        <v>9</v>
      </c>
      <c r="F1187">
        <v>7</v>
      </c>
      <c r="G1187" s="7">
        <v>26852</v>
      </c>
      <c r="H1187">
        <v>1</v>
      </c>
      <c r="I1187" s="3" t="s">
        <v>9560</v>
      </c>
      <c r="J1187" s="3" t="s">
        <v>10</v>
      </c>
      <c r="K1187" s="3" t="s">
        <v>10</v>
      </c>
      <c r="L1187" s="3" t="s">
        <v>246</v>
      </c>
      <c r="M1187">
        <v>53</v>
      </c>
      <c r="N1187" s="3"/>
    </row>
    <row r="1188" spans="1:14" x14ac:dyDescent="0.25">
      <c r="A1188" s="3" t="s">
        <v>1218</v>
      </c>
      <c r="B1188">
        <v>1996</v>
      </c>
      <c r="C1188">
        <v>1996</v>
      </c>
      <c r="D1188" s="3" t="s">
        <v>34</v>
      </c>
      <c r="E1188" s="3" t="s">
        <v>34</v>
      </c>
      <c r="F1188">
        <v>8</v>
      </c>
      <c r="G1188" s="7">
        <v>35285</v>
      </c>
      <c r="H1188">
        <v>0</v>
      </c>
      <c r="I1188" s="3" t="s">
        <v>9561</v>
      </c>
      <c r="J1188" s="3" t="s">
        <v>10</v>
      </c>
      <c r="K1188" s="3" t="s">
        <v>11</v>
      </c>
      <c r="L1188" s="3" t="s">
        <v>248</v>
      </c>
      <c r="M1188">
        <v>30</v>
      </c>
      <c r="N1188" s="3"/>
    </row>
    <row r="1189" spans="1:14" x14ac:dyDescent="0.25">
      <c r="A1189" s="3" t="s">
        <v>1219</v>
      </c>
      <c r="B1189">
        <v>1977</v>
      </c>
      <c r="C1189">
        <v>1977</v>
      </c>
      <c r="D1189" s="3" t="s">
        <v>17</v>
      </c>
      <c r="E1189" s="3" t="s">
        <v>17</v>
      </c>
      <c r="F1189">
        <v>7</v>
      </c>
      <c r="G1189" s="7">
        <v>28283</v>
      </c>
      <c r="H1189">
        <v>5</v>
      </c>
      <c r="I1189" s="3" t="s">
        <v>9562</v>
      </c>
      <c r="J1189" s="3" t="s">
        <v>11</v>
      </c>
      <c r="K1189" s="3" t="s">
        <v>10</v>
      </c>
      <c r="L1189" s="3" t="s">
        <v>12</v>
      </c>
      <c r="M1189">
        <v>49</v>
      </c>
      <c r="N1189" s="3"/>
    </row>
    <row r="1190" spans="1:14" x14ac:dyDescent="0.25">
      <c r="A1190" s="3" t="s">
        <v>1220</v>
      </c>
      <c r="B1190">
        <v>1973</v>
      </c>
      <c r="C1190">
        <v>1973</v>
      </c>
      <c r="D1190" s="3" t="s">
        <v>19</v>
      </c>
      <c r="E1190" s="3" t="s">
        <v>19</v>
      </c>
      <c r="F1190">
        <v>17</v>
      </c>
      <c r="G1190" s="7">
        <v>26924</v>
      </c>
      <c r="H1190">
        <v>2</v>
      </c>
      <c r="I1190" s="3" t="s">
        <v>9563</v>
      </c>
      <c r="J1190" s="3" t="s">
        <v>10</v>
      </c>
      <c r="K1190" s="3" t="s">
        <v>15</v>
      </c>
      <c r="L1190" s="3" t="s">
        <v>12</v>
      </c>
      <c r="M1190">
        <v>53</v>
      </c>
      <c r="N1190" s="3"/>
    </row>
    <row r="1191" spans="1:14" x14ac:dyDescent="0.25">
      <c r="A1191" s="3" t="s">
        <v>1221</v>
      </c>
      <c r="B1191">
        <v>1972</v>
      </c>
      <c r="C1191">
        <v>1972</v>
      </c>
      <c r="D1191" s="3" t="s">
        <v>17</v>
      </c>
      <c r="E1191" s="3" t="s">
        <v>17</v>
      </c>
      <c r="F1191">
        <v>28</v>
      </c>
      <c r="G1191" s="7">
        <v>26478</v>
      </c>
      <c r="H1191">
        <v>0</v>
      </c>
      <c r="I1191" s="3" t="s">
        <v>9564</v>
      </c>
      <c r="J1191" s="3" t="s">
        <v>10</v>
      </c>
      <c r="K1191" s="3" t="s">
        <v>10</v>
      </c>
      <c r="L1191" s="3" t="s">
        <v>299</v>
      </c>
      <c r="M1191">
        <v>54</v>
      </c>
      <c r="N1191" s="3"/>
    </row>
    <row r="1192" spans="1:14" x14ac:dyDescent="0.25">
      <c r="A1192" s="3" t="s">
        <v>1222</v>
      </c>
      <c r="B1192">
        <v>1972</v>
      </c>
      <c r="C1192">
        <v>1972</v>
      </c>
      <c r="D1192" s="3" t="s">
        <v>19</v>
      </c>
      <c r="E1192" s="3" t="s">
        <v>19</v>
      </c>
      <c r="F1192">
        <v>26</v>
      </c>
      <c r="G1192" s="7">
        <v>26568</v>
      </c>
      <c r="H1192">
        <v>0</v>
      </c>
      <c r="I1192" s="3" t="s">
        <v>9565</v>
      </c>
      <c r="J1192" s="3" t="s">
        <v>10</v>
      </c>
      <c r="K1192" s="3" t="s">
        <v>11</v>
      </c>
      <c r="L1192" s="3" t="s">
        <v>299</v>
      </c>
      <c r="M1192">
        <v>54</v>
      </c>
      <c r="N1192" s="3"/>
    </row>
    <row r="1193" spans="1:14" x14ac:dyDescent="0.25">
      <c r="A1193" s="3" t="s">
        <v>1223</v>
      </c>
      <c r="B1193">
        <v>1992</v>
      </c>
      <c r="C1193">
        <v>1992</v>
      </c>
      <c r="D1193" s="3" t="s">
        <v>34</v>
      </c>
      <c r="E1193" s="3" t="s">
        <v>34</v>
      </c>
      <c r="F1193">
        <v>13</v>
      </c>
      <c r="G1193" s="7">
        <v>33829</v>
      </c>
      <c r="H1193">
        <v>0</v>
      </c>
      <c r="I1193" s="3" t="s">
        <v>9566</v>
      </c>
      <c r="J1193" s="3" t="s">
        <v>10</v>
      </c>
      <c r="K1193" s="3" t="s">
        <v>15</v>
      </c>
      <c r="L1193" s="3" t="s">
        <v>22</v>
      </c>
      <c r="M1193">
        <v>34</v>
      </c>
      <c r="N1193" s="3"/>
    </row>
    <row r="1194" spans="1:14" x14ac:dyDescent="0.25">
      <c r="A1194" s="3" t="s">
        <v>1224</v>
      </c>
      <c r="B1194">
        <v>1968</v>
      </c>
      <c r="C1194">
        <v>1968</v>
      </c>
      <c r="D1194" s="3" t="s">
        <v>14</v>
      </c>
      <c r="E1194" s="3" t="s">
        <v>14</v>
      </c>
      <c r="F1194">
        <v>4</v>
      </c>
      <c r="G1194" s="7">
        <v>25146</v>
      </c>
      <c r="H1194">
        <v>0</v>
      </c>
      <c r="I1194" s="3" t="s">
        <v>9567</v>
      </c>
      <c r="J1194" s="3" t="s">
        <v>11</v>
      </c>
      <c r="K1194" s="3" t="s">
        <v>11</v>
      </c>
      <c r="L1194" s="3" t="s">
        <v>41</v>
      </c>
      <c r="M1194">
        <v>58</v>
      </c>
      <c r="N1194" s="3"/>
    </row>
    <row r="1195" spans="1:14" x14ac:dyDescent="0.25">
      <c r="A1195" s="3" t="s">
        <v>1225</v>
      </c>
      <c r="B1195">
        <v>1971</v>
      </c>
      <c r="C1195">
        <v>1971</v>
      </c>
      <c r="D1195" s="3" t="s">
        <v>36</v>
      </c>
      <c r="E1195" s="3" t="s">
        <v>36</v>
      </c>
      <c r="F1195">
        <v>23</v>
      </c>
      <c r="G1195" s="7">
        <v>26229</v>
      </c>
      <c r="H1195">
        <v>1</v>
      </c>
      <c r="I1195" s="3" t="s">
        <v>9568</v>
      </c>
      <c r="J1195" s="3" t="s">
        <v>10</v>
      </c>
      <c r="K1195" s="3" t="s">
        <v>11</v>
      </c>
      <c r="L1195" s="3" t="s">
        <v>12</v>
      </c>
      <c r="M1195">
        <v>55</v>
      </c>
      <c r="N1195" s="3"/>
    </row>
    <row r="1196" spans="1:14" x14ac:dyDescent="0.25">
      <c r="A1196" s="3" t="s">
        <v>1226</v>
      </c>
      <c r="B1196">
        <v>1971</v>
      </c>
      <c r="C1196">
        <v>1971</v>
      </c>
      <c r="D1196" s="3" t="s">
        <v>9</v>
      </c>
      <c r="E1196" s="3" t="s">
        <v>9</v>
      </c>
      <c r="F1196">
        <v>17</v>
      </c>
      <c r="G1196" s="7">
        <v>26131</v>
      </c>
      <c r="H1196">
        <v>1</v>
      </c>
      <c r="I1196" s="3" t="s">
        <v>9569</v>
      </c>
      <c r="J1196" s="3" t="s">
        <v>10</v>
      </c>
      <c r="K1196" s="3" t="s">
        <v>10</v>
      </c>
      <c r="L1196" s="3" t="s">
        <v>41</v>
      </c>
      <c r="M1196">
        <v>55</v>
      </c>
      <c r="N1196" s="3"/>
    </row>
    <row r="1197" spans="1:14" x14ac:dyDescent="0.25">
      <c r="A1197" s="3" t="s">
        <v>1227</v>
      </c>
      <c r="B1197">
        <v>1969</v>
      </c>
      <c r="C1197">
        <v>1969</v>
      </c>
      <c r="D1197" s="3" t="s">
        <v>36</v>
      </c>
      <c r="E1197" s="3" t="s">
        <v>36</v>
      </c>
      <c r="F1197">
        <v>20</v>
      </c>
      <c r="G1197" s="7">
        <v>25496</v>
      </c>
      <c r="H1197">
        <v>0</v>
      </c>
      <c r="I1197" s="3" t="s">
        <v>9570</v>
      </c>
      <c r="J1197" s="3" t="s">
        <v>11</v>
      </c>
      <c r="K1197" s="3" t="s">
        <v>11</v>
      </c>
      <c r="L1197" s="3" t="s">
        <v>22</v>
      </c>
      <c r="M1197">
        <v>57</v>
      </c>
      <c r="N1197" s="3"/>
    </row>
    <row r="1198" spans="1:14" x14ac:dyDescent="0.25">
      <c r="A1198" s="3" t="s">
        <v>1228</v>
      </c>
      <c r="B1198">
        <v>1971</v>
      </c>
      <c r="C1198">
        <v>1971</v>
      </c>
      <c r="D1198" s="3" t="s">
        <v>14</v>
      </c>
      <c r="E1198" s="3" t="s">
        <v>14</v>
      </c>
      <c r="F1198">
        <v>9</v>
      </c>
      <c r="G1198" s="7">
        <v>26246</v>
      </c>
      <c r="H1198">
        <v>0</v>
      </c>
      <c r="I1198" s="3" t="s">
        <v>9571</v>
      </c>
      <c r="J1198" s="3" t="s">
        <v>10</v>
      </c>
      <c r="K1198" s="3" t="s">
        <v>11</v>
      </c>
      <c r="L1198" s="3" t="s">
        <v>246</v>
      </c>
      <c r="M1198">
        <v>55</v>
      </c>
      <c r="N1198" s="3"/>
    </row>
    <row r="1199" spans="1:14" x14ac:dyDescent="0.25">
      <c r="A1199" s="3" t="s">
        <v>1229</v>
      </c>
      <c r="B1199">
        <v>1969</v>
      </c>
      <c r="C1199">
        <v>1969</v>
      </c>
      <c r="D1199" s="3" t="s">
        <v>34</v>
      </c>
      <c r="E1199" s="3" t="s">
        <v>34</v>
      </c>
      <c r="F1199">
        <v>13</v>
      </c>
      <c r="G1199" s="7">
        <v>25428</v>
      </c>
      <c r="H1199">
        <v>0</v>
      </c>
      <c r="I1199" s="3" t="s">
        <v>9572</v>
      </c>
      <c r="J1199" s="3" t="s">
        <v>11</v>
      </c>
      <c r="K1199" s="3" t="s">
        <v>11</v>
      </c>
      <c r="L1199" s="3" t="s">
        <v>22</v>
      </c>
      <c r="M1199">
        <v>57</v>
      </c>
      <c r="N1199" s="3"/>
    </row>
    <row r="1200" spans="1:14" x14ac:dyDescent="0.25">
      <c r="A1200" s="3" t="s">
        <v>1230</v>
      </c>
      <c r="B1200">
        <v>1998</v>
      </c>
      <c r="C1200">
        <v>1998</v>
      </c>
      <c r="D1200" s="3" t="s">
        <v>9</v>
      </c>
      <c r="E1200" s="3" t="s">
        <v>9</v>
      </c>
      <c r="F1200">
        <v>6</v>
      </c>
      <c r="G1200" s="7">
        <v>35982</v>
      </c>
      <c r="H1200">
        <v>0</v>
      </c>
      <c r="I1200" s="3" t="s">
        <v>9573</v>
      </c>
      <c r="J1200" s="3" t="s">
        <v>10</v>
      </c>
      <c r="K1200" s="3" t="s">
        <v>10</v>
      </c>
      <c r="L1200" s="3" t="s">
        <v>248</v>
      </c>
      <c r="M1200">
        <v>28</v>
      </c>
      <c r="N1200" s="3"/>
    </row>
    <row r="1201" spans="1:14" x14ac:dyDescent="0.25">
      <c r="A1201" s="3" t="s">
        <v>1231</v>
      </c>
      <c r="B1201">
        <v>1971</v>
      </c>
      <c r="C1201">
        <v>1971</v>
      </c>
      <c r="D1201" s="3" t="s">
        <v>29</v>
      </c>
      <c r="E1201" s="3" t="s">
        <v>29</v>
      </c>
      <c r="F1201">
        <v>22</v>
      </c>
      <c r="G1201" s="7">
        <v>26289</v>
      </c>
      <c r="H1201">
        <v>1</v>
      </c>
      <c r="I1201" s="3" t="s">
        <v>9574</v>
      </c>
      <c r="J1201" s="3" t="s">
        <v>10</v>
      </c>
      <c r="K1201" s="3" t="s">
        <v>10</v>
      </c>
      <c r="L1201" s="3" t="s">
        <v>41</v>
      </c>
      <c r="M1201">
        <v>55</v>
      </c>
      <c r="N1201" s="3"/>
    </row>
    <row r="1202" spans="1:14" x14ac:dyDescent="0.25">
      <c r="A1202" s="3" t="s">
        <v>1232</v>
      </c>
      <c r="B1202">
        <v>1971</v>
      </c>
      <c r="C1202">
        <v>1971</v>
      </c>
      <c r="D1202" s="3" t="s">
        <v>9</v>
      </c>
      <c r="E1202" s="3" t="s">
        <v>9</v>
      </c>
      <c r="F1202">
        <v>3</v>
      </c>
      <c r="G1202" s="7">
        <v>26117</v>
      </c>
      <c r="H1202">
        <v>0</v>
      </c>
      <c r="I1202" s="3" t="s">
        <v>9575</v>
      </c>
      <c r="J1202" s="3" t="s">
        <v>10</v>
      </c>
      <c r="K1202" s="3" t="s">
        <v>11</v>
      </c>
      <c r="L1202" s="3" t="s">
        <v>246</v>
      </c>
      <c r="M1202">
        <v>55</v>
      </c>
      <c r="N1202" s="3"/>
    </row>
    <row r="1203" spans="1:14" x14ac:dyDescent="0.25">
      <c r="A1203" s="3" t="s">
        <v>1233</v>
      </c>
      <c r="B1203">
        <v>1971</v>
      </c>
      <c r="C1203">
        <v>1971</v>
      </c>
      <c r="D1203" s="3" t="s">
        <v>36</v>
      </c>
      <c r="E1203" s="3" t="s">
        <v>36</v>
      </c>
      <c r="F1203">
        <v>3</v>
      </c>
      <c r="G1203" s="7">
        <v>26209</v>
      </c>
      <c r="H1203">
        <v>1</v>
      </c>
      <c r="I1203" s="3" t="s">
        <v>9576</v>
      </c>
      <c r="J1203" s="3" t="s">
        <v>10</v>
      </c>
      <c r="K1203" s="3" t="s">
        <v>15</v>
      </c>
      <c r="L1203" s="3" t="s">
        <v>12</v>
      </c>
      <c r="M1203">
        <v>55</v>
      </c>
      <c r="N1203" s="3"/>
    </row>
    <row r="1204" spans="1:14" x14ac:dyDescent="0.25">
      <c r="A1204" s="3" t="s">
        <v>1234</v>
      </c>
      <c r="B1204">
        <v>1971</v>
      </c>
      <c r="C1204">
        <v>1971</v>
      </c>
      <c r="D1204" s="3" t="s">
        <v>14</v>
      </c>
      <c r="E1204" s="3" t="s">
        <v>14</v>
      </c>
      <c r="F1204">
        <v>8</v>
      </c>
      <c r="G1204" s="7">
        <v>26245</v>
      </c>
      <c r="H1204">
        <v>1</v>
      </c>
      <c r="I1204" s="3" t="s">
        <v>9577</v>
      </c>
      <c r="J1204" s="3" t="s">
        <v>10</v>
      </c>
      <c r="K1204" s="3" t="s">
        <v>11</v>
      </c>
      <c r="L1204" s="3" t="s">
        <v>41</v>
      </c>
      <c r="M1204">
        <v>55</v>
      </c>
      <c r="N1204" s="3"/>
    </row>
    <row r="1205" spans="1:14" x14ac:dyDescent="0.25">
      <c r="A1205" s="3" t="s">
        <v>1235</v>
      </c>
      <c r="B1205">
        <v>1966</v>
      </c>
      <c r="C1205">
        <v>1966</v>
      </c>
      <c r="D1205" s="3" t="s">
        <v>14</v>
      </c>
      <c r="E1205" s="3" t="s">
        <v>14</v>
      </c>
      <c r="F1205">
        <v>5</v>
      </c>
      <c r="G1205" s="7">
        <v>24416</v>
      </c>
      <c r="H1205">
        <v>0</v>
      </c>
      <c r="I1205" s="3" t="s">
        <v>9578</v>
      </c>
      <c r="J1205" s="3" t="s">
        <v>11</v>
      </c>
      <c r="K1205" s="3" t="s">
        <v>11</v>
      </c>
      <c r="L1205" s="3" t="s">
        <v>12</v>
      </c>
      <c r="M1205">
        <v>60</v>
      </c>
      <c r="N1205" s="3"/>
    </row>
    <row r="1206" spans="1:14" x14ac:dyDescent="0.25">
      <c r="A1206" s="3" t="s">
        <v>1236</v>
      </c>
      <c r="B1206">
        <v>1996</v>
      </c>
      <c r="C1206">
        <v>1996</v>
      </c>
      <c r="D1206" s="3" t="s">
        <v>9</v>
      </c>
      <c r="E1206" s="3" t="s">
        <v>9</v>
      </c>
      <c r="F1206">
        <v>8</v>
      </c>
      <c r="G1206" s="7">
        <v>35254</v>
      </c>
      <c r="H1206">
        <v>0</v>
      </c>
      <c r="I1206" s="3" t="s">
        <v>9579</v>
      </c>
      <c r="J1206" s="3" t="s">
        <v>10</v>
      </c>
      <c r="K1206" s="3" t="s">
        <v>11</v>
      </c>
      <c r="L1206" s="3" t="s">
        <v>22</v>
      </c>
      <c r="M1206">
        <v>30</v>
      </c>
      <c r="N1206" s="3"/>
    </row>
    <row r="1207" spans="1:14" x14ac:dyDescent="0.25">
      <c r="A1207" s="3" t="s">
        <v>1237</v>
      </c>
      <c r="B1207">
        <v>1962</v>
      </c>
      <c r="C1207">
        <v>1962</v>
      </c>
      <c r="D1207" s="3" t="s">
        <v>34</v>
      </c>
      <c r="E1207" s="3" t="s">
        <v>34</v>
      </c>
      <c r="F1207">
        <v>17</v>
      </c>
      <c r="G1207" s="7">
        <v>22875</v>
      </c>
      <c r="H1207">
        <v>0</v>
      </c>
      <c r="I1207" s="3" t="s">
        <v>9580</v>
      </c>
      <c r="J1207" s="3" t="s">
        <v>11</v>
      </c>
      <c r="K1207" s="3" t="s">
        <v>10</v>
      </c>
      <c r="L1207" s="3" t="s">
        <v>12</v>
      </c>
      <c r="M1207">
        <v>64</v>
      </c>
      <c r="N1207" s="3"/>
    </row>
    <row r="1208" spans="1:14" x14ac:dyDescent="0.25">
      <c r="A1208" s="3" t="s">
        <v>1238</v>
      </c>
      <c r="B1208">
        <v>1972</v>
      </c>
      <c r="C1208">
        <v>1972</v>
      </c>
      <c r="D1208" s="3" t="s">
        <v>19</v>
      </c>
      <c r="E1208" s="3" t="s">
        <v>19</v>
      </c>
      <c r="F1208">
        <v>14</v>
      </c>
      <c r="G1208" s="7">
        <v>26556</v>
      </c>
      <c r="H1208">
        <v>1</v>
      </c>
      <c r="I1208" s="3" t="s">
        <v>9581</v>
      </c>
      <c r="J1208" s="3" t="s">
        <v>10</v>
      </c>
      <c r="K1208" s="3" t="s">
        <v>11</v>
      </c>
      <c r="L1208" s="3" t="s">
        <v>22</v>
      </c>
      <c r="M1208">
        <v>54</v>
      </c>
      <c r="N1208" s="3"/>
    </row>
    <row r="1209" spans="1:14" x14ac:dyDescent="0.25">
      <c r="A1209" s="3" t="s">
        <v>1239</v>
      </c>
      <c r="B1209">
        <v>1985</v>
      </c>
      <c r="C1209">
        <v>1985</v>
      </c>
      <c r="D1209" s="3" t="s">
        <v>34</v>
      </c>
      <c r="E1209" s="3" t="s">
        <v>34</v>
      </c>
      <c r="F1209">
        <v>19</v>
      </c>
      <c r="G1209" s="7">
        <v>31278</v>
      </c>
      <c r="H1209">
        <v>3</v>
      </c>
      <c r="I1209" s="3" t="s">
        <v>9582</v>
      </c>
      <c r="J1209" s="3" t="s">
        <v>10</v>
      </c>
      <c r="K1209" s="3" t="s">
        <v>11</v>
      </c>
      <c r="L1209" s="3" t="s">
        <v>199</v>
      </c>
      <c r="M1209">
        <v>41</v>
      </c>
      <c r="N1209" s="3"/>
    </row>
    <row r="1210" spans="1:14" x14ac:dyDescent="0.25">
      <c r="A1210" s="3" t="s">
        <v>1240</v>
      </c>
      <c r="B1210">
        <v>1983</v>
      </c>
      <c r="C1210">
        <v>1983</v>
      </c>
      <c r="D1210" s="3" t="s">
        <v>29</v>
      </c>
      <c r="E1210" s="3" t="s">
        <v>29</v>
      </c>
      <c r="F1210">
        <v>3</v>
      </c>
      <c r="G1210" s="7">
        <v>30653</v>
      </c>
      <c r="H1210">
        <v>3</v>
      </c>
      <c r="I1210" s="3" t="s">
        <v>9583</v>
      </c>
      <c r="J1210" s="3" t="s">
        <v>10</v>
      </c>
      <c r="K1210" s="3" t="s">
        <v>10</v>
      </c>
      <c r="L1210" s="3" t="s">
        <v>22</v>
      </c>
      <c r="M1210">
        <v>43</v>
      </c>
      <c r="N1210" s="3"/>
    </row>
    <row r="1211" spans="1:14" x14ac:dyDescent="0.25">
      <c r="A1211" s="3" t="s">
        <v>1241</v>
      </c>
      <c r="B1211">
        <v>1964</v>
      </c>
      <c r="C1211">
        <v>1964</v>
      </c>
      <c r="D1211" s="3" t="s">
        <v>19</v>
      </c>
      <c r="E1211" s="3" t="s">
        <v>19</v>
      </c>
      <c r="F1211">
        <v>11</v>
      </c>
      <c r="G1211" s="7">
        <v>23631</v>
      </c>
      <c r="H1211">
        <v>0</v>
      </c>
      <c r="I1211" s="3" t="s">
        <v>9584</v>
      </c>
      <c r="J1211" s="3" t="s">
        <v>11</v>
      </c>
      <c r="K1211" s="3" t="s">
        <v>11</v>
      </c>
      <c r="L1211" s="3" t="s">
        <v>12</v>
      </c>
      <c r="M1211">
        <v>62</v>
      </c>
      <c r="N1211" s="3"/>
    </row>
    <row r="1212" spans="1:14" x14ac:dyDescent="0.25">
      <c r="A1212" s="3" t="s">
        <v>1242</v>
      </c>
      <c r="B1212">
        <v>1971</v>
      </c>
      <c r="C1212">
        <v>1971</v>
      </c>
      <c r="D1212" s="3" t="s">
        <v>29</v>
      </c>
      <c r="E1212" s="3" t="s">
        <v>29</v>
      </c>
      <c r="F1212">
        <v>26</v>
      </c>
      <c r="G1212" s="7">
        <v>26293</v>
      </c>
      <c r="H1212">
        <v>1</v>
      </c>
      <c r="I1212" s="3" t="s">
        <v>9585</v>
      </c>
      <c r="J1212" s="3" t="s">
        <v>10</v>
      </c>
      <c r="K1212" s="3" t="s">
        <v>11</v>
      </c>
      <c r="L1212" s="3" t="s">
        <v>169</v>
      </c>
      <c r="M1212">
        <v>55</v>
      </c>
      <c r="N1212" s="3"/>
    </row>
    <row r="1213" spans="1:14" x14ac:dyDescent="0.25">
      <c r="A1213" s="3" t="s">
        <v>1243</v>
      </c>
      <c r="B1213">
        <v>1971</v>
      </c>
      <c r="C1213">
        <v>1971</v>
      </c>
      <c r="D1213" s="3" t="s">
        <v>36</v>
      </c>
      <c r="E1213" s="3" t="s">
        <v>36</v>
      </c>
      <c r="F1213">
        <v>6</v>
      </c>
      <c r="G1213" s="7">
        <v>26212</v>
      </c>
      <c r="H1213">
        <v>1</v>
      </c>
      <c r="I1213" s="3" t="s">
        <v>9586</v>
      </c>
      <c r="J1213" s="3" t="s">
        <v>10</v>
      </c>
      <c r="K1213" s="3" t="s">
        <v>10</v>
      </c>
      <c r="L1213" s="3" t="s">
        <v>165</v>
      </c>
      <c r="M1213">
        <v>55</v>
      </c>
      <c r="N1213" s="3"/>
    </row>
    <row r="1214" spans="1:14" x14ac:dyDescent="0.25">
      <c r="A1214" s="3" t="s">
        <v>1244</v>
      </c>
      <c r="B1214">
        <v>1970</v>
      </c>
      <c r="C1214">
        <v>1970</v>
      </c>
      <c r="D1214" s="3" t="s">
        <v>34</v>
      </c>
      <c r="E1214" s="3" t="s">
        <v>34</v>
      </c>
      <c r="F1214">
        <v>11</v>
      </c>
      <c r="G1214" s="7">
        <v>25791</v>
      </c>
      <c r="H1214">
        <v>0</v>
      </c>
      <c r="I1214" s="3" t="s">
        <v>9587</v>
      </c>
      <c r="J1214" s="3" t="s">
        <v>10</v>
      </c>
      <c r="K1214" s="3" t="s">
        <v>11</v>
      </c>
      <c r="L1214" s="3" t="s">
        <v>22</v>
      </c>
      <c r="M1214">
        <v>56</v>
      </c>
      <c r="N1214" s="3"/>
    </row>
    <row r="1215" spans="1:14" x14ac:dyDescent="0.25">
      <c r="A1215" s="3" t="s">
        <v>1245</v>
      </c>
      <c r="B1215">
        <v>1988</v>
      </c>
      <c r="C1215">
        <v>1988</v>
      </c>
      <c r="D1215" s="3" t="s">
        <v>9</v>
      </c>
      <c r="E1215" s="3" t="s">
        <v>9</v>
      </c>
      <c r="F1215">
        <v>3</v>
      </c>
      <c r="G1215" s="7">
        <v>32327</v>
      </c>
      <c r="H1215">
        <v>3</v>
      </c>
      <c r="I1215" s="3" t="s">
        <v>9588</v>
      </c>
      <c r="J1215" s="3" t="s">
        <v>11</v>
      </c>
      <c r="K1215" s="3" t="s">
        <v>11</v>
      </c>
      <c r="L1215" s="3" t="s">
        <v>534</v>
      </c>
      <c r="M1215">
        <v>38</v>
      </c>
      <c r="N1215" s="3"/>
    </row>
    <row r="1216" spans="1:14" x14ac:dyDescent="0.25">
      <c r="A1216" s="3" t="s">
        <v>1246</v>
      </c>
      <c r="B1216">
        <v>1979</v>
      </c>
      <c r="C1216">
        <v>1979</v>
      </c>
      <c r="D1216" s="3" t="s">
        <v>29</v>
      </c>
      <c r="E1216" s="3" t="s">
        <v>29</v>
      </c>
      <c r="F1216">
        <v>28</v>
      </c>
      <c r="G1216" s="7">
        <v>29217</v>
      </c>
      <c r="H1216">
        <v>2</v>
      </c>
      <c r="I1216" s="3" t="s">
        <v>9589</v>
      </c>
      <c r="J1216" s="3" t="s">
        <v>11</v>
      </c>
      <c r="K1216" s="3" t="s">
        <v>15</v>
      </c>
      <c r="L1216" s="3" t="s">
        <v>299</v>
      </c>
      <c r="M1216">
        <v>47</v>
      </c>
      <c r="N1216" s="3"/>
    </row>
    <row r="1217" spans="1:14" x14ac:dyDescent="0.25">
      <c r="A1217" s="3" t="s">
        <v>1247</v>
      </c>
      <c r="B1217">
        <v>1974</v>
      </c>
      <c r="C1217">
        <v>1974</v>
      </c>
      <c r="D1217" s="3" t="s">
        <v>34</v>
      </c>
      <c r="E1217" s="3" t="s">
        <v>34</v>
      </c>
      <c r="F1217">
        <v>30</v>
      </c>
      <c r="G1217" s="7">
        <v>27271</v>
      </c>
      <c r="H1217">
        <v>2</v>
      </c>
      <c r="I1217" s="3" t="s">
        <v>9590</v>
      </c>
      <c r="J1217" s="3" t="s">
        <v>11</v>
      </c>
      <c r="K1217" s="3" t="s">
        <v>10</v>
      </c>
      <c r="L1217" s="3" t="s">
        <v>246</v>
      </c>
      <c r="M1217">
        <v>52</v>
      </c>
      <c r="N1217" s="3"/>
    </row>
    <row r="1218" spans="1:14" x14ac:dyDescent="0.25">
      <c r="A1218" s="3" t="s">
        <v>1248</v>
      </c>
      <c r="B1218">
        <v>1969</v>
      </c>
      <c r="C1218">
        <v>1969</v>
      </c>
      <c r="D1218" s="3" t="s">
        <v>34</v>
      </c>
      <c r="E1218" s="3" t="s">
        <v>34</v>
      </c>
      <c r="F1218">
        <v>22</v>
      </c>
      <c r="G1218" s="7">
        <v>25437</v>
      </c>
      <c r="H1218">
        <v>1</v>
      </c>
      <c r="I1218" s="3" t="s">
        <v>9591</v>
      </c>
      <c r="J1218" s="3" t="s">
        <v>11</v>
      </c>
      <c r="K1218" s="3" t="s">
        <v>10</v>
      </c>
      <c r="L1218" s="3" t="s">
        <v>41</v>
      </c>
      <c r="M1218">
        <v>57</v>
      </c>
      <c r="N1218" s="3"/>
    </row>
    <row r="1219" spans="1:14" x14ac:dyDescent="0.25">
      <c r="A1219" s="3" t="s">
        <v>1249</v>
      </c>
      <c r="B1219">
        <v>1969</v>
      </c>
      <c r="C1219">
        <v>1969</v>
      </c>
      <c r="D1219" s="3" t="s">
        <v>36</v>
      </c>
      <c r="E1219" s="3" t="s">
        <v>36</v>
      </c>
      <c r="F1219">
        <v>27</v>
      </c>
      <c r="G1219" s="7">
        <v>25503</v>
      </c>
      <c r="H1219">
        <v>0</v>
      </c>
      <c r="I1219" s="3" t="s">
        <v>9592</v>
      </c>
      <c r="J1219" s="3" t="s">
        <v>11</v>
      </c>
      <c r="K1219" s="3" t="s">
        <v>15</v>
      </c>
      <c r="L1219" s="3" t="s">
        <v>355</v>
      </c>
      <c r="M1219">
        <v>57</v>
      </c>
      <c r="N1219" s="3"/>
    </row>
    <row r="1220" spans="1:14" x14ac:dyDescent="0.25">
      <c r="A1220" s="3" t="s">
        <v>1250</v>
      </c>
      <c r="B1220">
        <v>1969</v>
      </c>
      <c r="C1220">
        <v>1969</v>
      </c>
      <c r="D1220" s="3" t="s">
        <v>9</v>
      </c>
      <c r="E1220" s="3" t="s">
        <v>9</v>
      </c>
      <c r="F1220">
        <v>3</v>
      </c>
      <c r="G1220" s="7">
        <v>25387</v>
      </c>
      <c r="H1220">
        <v>1</v>
      </c>
      <c r="I1220" s="3" t="s">
        <v>9593</v>
      </c>
      <c r="J1220" s="3" t="s">
        <v>11</v>
      </c>
      <c r="K1220" s="3" t="s">
        <v>11</v>
      </c>
      <c r="L1220" s="3" t="s">
        <v>41</v>
      </c>
      <c r="M1220">
        <v>57</v>
      </c>
      <c r="N1220" s="3"/>
    </row>
    <row r="1221" spans="1:14" x14ac:dyDescent="0.25">
      <c r="A1221" s="3" t="s">
        <v>1251</v>
      </c>
      <c r="B1221">
        <v>1976</v>
      </c>
      <c r="C1221">
        <v>1976</v>
      </c>
      <c r="D1221" s="3" t="s">
        <v>29</v>
      </c>
      <c r="E1221" s="3" t="s">
        <v>29</v>
      </c>
      <c r="F1221">
        <v>19</v>
      </c>
      <c r="G1221" s="7">
        <v>28113</v>
      </c>
      <c r="H1221">
        <v>5</v>
      </c>
      <c r="I1221" s="3" t="s">
        <v>9594</v>
      </c>
      <c r="J1221" s="3" t="s">
        <v>11</v>
      </c>
      <c r="K1221" s="3" t="s">
        <v>10</v>
      </c>
      <c r="L1221" s="3" t="s">
        <v>41</v>
      </c>
      <c r="M1221">
        <v>50</v>
      </c>
      <c r="N1221" s="3"/>
    </row>
    <row r="1222" spans="1:14" x14ac:dyDescent="0.25">
      <c r="A1222" s="3" t="s">
        <v>1252</v>
      </c>
      <c r="B1222">
        <v>1972</v>
      </c>
      <c r="C1222">
        <v>1972</v>
      </c>
      <c r="D1222" s="3" t="s">
        <v>36</v>
      </c>
      <c r="E1222" s="3" t="s">
        <v>36</v>
      </c>
      <c r="F1222">
        <v>19</v>
      </c>
      <c r="G1222" s="7">
        <v>26591</v>
      </c>
      <c r="H1222">
        <v>1</v>
      </c>
      <c r="I1222" s="3" t="s">
        <v>9595</v>
      </c>
      <c r="J1222" s="3" t="s">
        <v>11</v>
      </c>
      <c r="K1222" s="3" t="s">
        <v>15</v>
      </c>
      <c r="L1222" s="3" t="s">
        <v>246</v>
      </c>
      <c r="M1222">
        <v>54</v>
      </c>
      <c r="N1222" s="3"/>
    </row>
    <row r="1223" spans="1:14" x14ac:dyDescent="0.25">
      <c r="A1223" s="3" t="s">
        <v>1253</v>
      </c>
      <c r="B1223">
        <v>1972</v>
      </c>
      <c r="C1223">
        <v>1972</v>
      </c>
      <c r="D1223" s="3" t="s">
        <v>34</v>
      </c>
      <c r="E1223" s="3" t="s">
        <v>34</v>
      </c>
      <c r="F1223">
        <v>8</v>
      </c>
      <c r="G1223" s="7">
        <v>26519</v>
      </c>
      <c r="H1223">
        <v>2</v>
      </c>
      <c r="I1223" s="3" t="s">
        <v>9596</v>
      </c>
      <c r="J1223" s="3" t="s">
        <v>11</v>
      </c>
      <c r="K1223" s="3" t="s">
        <v>15</v>
      </c>
      <c r="L1223" s="3" t="s">
        <v>12</v>
      </c>
      <c r="M1223">
        <v>54</v>
      </c>
      <c r="N1223" s="3"/>
    </row>
    <row r="1224" spans="1:14" x14ac:dyDescent="0.25">
      <c r="A1224" s="3" t="s">
        <v>1254</v>
      </c>
      <c r="B1224">
        <v>1975</v>
      </c>
      <c r="C1224">
        <v>1975</v>
      </c>
      <c r="D1224" s="3" t="s">
        <v>9</v>
      </c>
      <c r="E1224" s="3" t="s">
        <v>9</v>
      </c>
      <c r="F1224">
        <v>2</v>
      </c>
      <c r="G1224" s="7">
        <v>27577</v>
      </c>
      <c r="H1224">
        <v>3</v>
      </c>
      <c r="I1224" s="3" t="s">
        <v>9597</v>
      </c>
      <c r="J1224" s="3" t="s">
        <v>11</v>
      </c>
      <c r="K1224" s="3" t="s">
        <v>11</v>
      </c>
      <c r="L1224" s="3" t="s">
        <v>22</v>
      </c>
      <c r="M1224">
        <v>51</v>
      </c>
      <c r="N1224" s="3"/>
    </row>
    <row r="1225" spans="1:14" x14ac:dyDescent="0.25">
      <c r="A1225" s="3" t="s">
        <v>1255</v>
      </c>
      <c r="B1225">
        <v>1972</v>
      </c>
      <c r="C1225">
        <v>1972</v>
      </c>
      <c r="D1225" s="3" t="s">
        <v>14</v>
      </c>
      <c r="E1225" s="3" t="s">
        <v>14</v>
      </c>
      <c r="F1225">
        <v>16</v>
      </c>
      <c r="G1225" s="7">
        <v>26619</v>
      </c>
      <c r="H1225">
        <v>2</v>
      </c>
      <c r="I1225" s="3" t="s">
        <v>9598</v>
      </c>
      <c r="J1225" s="3" t="s">
        <v>11</v>
      </c>
      <c r="K1225" s="3" t="s">
        <v>11</v>
      </c>
      <c r="L1225" s="3" t="s">
        <v>41</v>
      </c>
      <c r="M1225">
        <v>54</v>
      </c>
      <c r="N1225" s="3"/>
    </row>
    <row r="1226" spans="1:14" x14ac:dyDescent="0.25">
      <c r="A1226" s="3" t="s">
        <v>1256</v>
      </c>
      <c r="B1226">
        <v>1997</v>
      </c>
      <c r="C1226">
        <v>1997</v>
      </c>
      <c r="D1226" s="3" t="s">
        <v>19</v>
      </c>
      <c r="E1226" s="3" t="s">
        <v>19</v>
      </c>
      <c r="F1226">
        <v>5</v>
      </c>
      <c r="G1226" s="7">
        <v>35678</v>
      </c>
      <c r="H1226">
        <v>0</v>
      </c>
      <c r="I1226" s="3" t="s">
        <v>9599</v>
      </c>
      <c r="J1226" s="3" t="s">
        <v>11</v>
      </c>
      <c r="K1226" s="3" t="s">
        <v>10</v>
      </c>
      <c r="L1226" s="3" t="s">
        <v>22</v>
      </c>
      <c r="M1226">
        <v>29</v>
      </c>
      <c r="N1226" s="3"/>
    </row>
    <row r="1227" spans="1:14" x14ac:dyDescent="0.25">
      <c r="A1227" s="3" t="s">
        <v>1257</v>
      </c>
      <c r="B1227">
        <v>1974</v>
      </c>
      <c r="C1227">
        <v>1974</v>
      </c>
      <c r="D1227" s="3" t="s">
        <v>29</v>
      </c>
      <c r="E1227" s="3" t="s">
        <v>29</v>
      </c>
      <c r="F1227">
        <v>30</v>
      </c>
      <c r="G1227" s="7">
        <v>27393</v>
      </c>
      <c r="H1227">
        <v>3</v>
      </c>
      <c r="I1227" s="3" t="s">
        <v>9600</v>
      </c>
      <c r="J1227" s="3" t="s">
        <v>11</v>
      </c>
      <c r="K1227" s="3" t="s">
        <v>15</v>
      </c>
      <c r="L1227" s="3" t="s">
        <v>167</v>
      </c>
      <c r="M1227">
        <v>52</v>
      </c>
      <c r="N1227" s="3"/>
    </row>
    <row r="1228" spans="1:14" x14ac:dyDescent="0.25">
      <c r="A1228" s="3" t="s">
        <v>1258</v>
      </c>
      <c r="B1228">
        <v>1981</v>
      </c>
      <c r="C1228">
        <v>1981</v>
      </c>
      <c r="D1228" s="3" t="s">
        <v>17</v>
      </c>
      <c r="E1228" s="3" t="s">
        <v>17</v>
      </c>
      <c r="F1228">
        <v>12</v>
      </c>
      <c r="G1228" s="7">
        <v>29749</v>
      </c>
      <c r="H1228">
        <v>1</v>
      </c>
      <c r="I1228" s="3" t="s">
        <v>9601</v>
      </c>
      <c r="J1228" s="3" t="s">
        <v>11</v>
      </c>
      <c r="K1228" s="3" t="s">
        <v>15</v>
      </c>
      <c r="L1228" s="3" t="s">
        <v>199</v>
      </c>
      <c r="M1228">
        <v>45</v>
      </c>
      <c r="N1228" s="3"/>
    </row>
    <row r="1229" spans="1:14" x14ac:dyDescent="0.25">
      <c r="A1229" s="3" t="s">
        <v>1259</v>
      </c>
      <c r="B1229">
        <v>1973</v>
      </c>
      <c r="C1229">
        <v>1973</v>
      </c>
      <c r="D1229" s="3" t="s">
        <v>36</v>
      </c>
      <c r="E1229" s="3" t="s">
        <v>36</v>
      </c>
      <c r="F1229">
        <v>13</v>
      </c>
      <c r="G1229" s="7">
        <v>26950</v>
      </c>
      <c r="H1229">
        <v>2</v>
      </c>
      <c r="I1229" s="3" t="s">
        <v>9602</v>
      </c>
      <c r="J1229" s="3" t="s">
        <v>11</v>
      </c>
      <c r="K1229" s="3" t="s">
        <v>10</v>
      </c>
      <c r="L1229" s="3" t="s">
        <v>22</v>
      </c>
      <c r="M1229">
        <v>53</v>
      </c>
      <c r="N1229" s="3"/>
    </row>
    <row r="1230" spans="1:14" x14ac:dyDescent="0.25">
      <c r="A1230" s="3" t="s">
        <v>1260</v>
      </c>
      <c r="B1230">
        <v>1972</v>
      </c>
      <c r="C1230">
        <v>1972</v>
      </c>
      <c r="D1230" s="3" t="s">
        <v>9</v>
      </c>
      <c r="E1230" s="3" t="s">
        <v>9</v>
      </c>
      <c r="F1230">
        <v>10</v>
      </c>
      <c r="G1230" s="7">
        <v>26490</v>
      </c>
      <c r="H1230">
        <v>0</v>
      </c>
      <c r="I1230" s="3" t="s">
        <v>9603</v>
      </c>
      <c r="J1230" s="3" t="s">
        <v>11</v>
      </c>
      <c r="K1230" s="3" t="s">
        <v>11</v>
      </c>
      <c r="L1230" s="3" t="s">
        <v>199</v>
      </c>
      <c r="M1230">
        <v>54</v>
      </c>
      <c r="N1230" s="3"/>
    </row>
    <row r="1231" spans="1:14" x14ac:dyDescent="0.25">
      <c r="A1231" s="3" t="s">
        <v>1261</v>
      </c>
      <c r="B1231">
        <v>1985</v>
      </c>
      <c r="C1231">
        <v>1985</v>
      </c>
      <c r="D1231" s="3" t="s">
        <v>36</v>
      </c>
      <c r="E1231" s="3" t="s">
        <v>36</v>
      </c>
      <c r="F1231">
        <v>16</v>
      </c>
      <c r="G1231" s="7">
        <v>31336</v>
      </c>
      <c r="H1231">
        <v>3</v>
      </c>
      <c r="I1231" s="3" t="s">
        <v>9604</v>
      </c>
      <c r="J1231" s="3" t="s">
        <v>11</v>
      </c>
      <c r="K1231" s="3" t="s">
        <v>10</v>
      </c>
      <c r="L1231" s="3" t="s">
        <v>534</v>
      </c>
      <c r="M1231">
        <v>41</v>
      </c>
      <c r="N1231" s="3"/>
    </row>
    <row r="1232" spans="1:14" x14ac:dyDescent="0.25">
      <c r="A1232" s="3" t="s">
        <v>1262</v>
      </c>
      <c r="B1232">
        <v>1970</v>
      </c>
      <c r="C1232">
        <v>1970</v>
      </c>
      <c r="D1232" s="3" t="s">
        <v>29</v>
      </c>
      <c r="E1232" s="3" t="s">
        <v>29</v>
      </c>
      <c r="F1232">
        <v>24</v>
      </c>
      <c r="G1232" s="7">
        <v>25926</v>
      </c>
      <c r="H1232">
        <v>0</v>
      </c>
      <c r="I1232" s="3" t="s">
        <v>9605</v>
      </c>
      <c r="J1232" s="3" t="s">
        <v>11</v>
      </c>
      <c r="K1232" s="3" t="s">
        <v>15</v>
      </c>
      <c r="L1232" s="3" t="s">
        <v>246</v>
      </c>
      <c r="M1232">
        <v>56</v>
      </c>
      <c r="N1232" s="3"/>
    </row>
    <row r="1233" spans="1:14" x14ac:dyDescent="0.25">
      <c r="A1233" s="3" t="s">
        <v>1263</v>
      </c>
      <c r="B1233">
        <v>1967</v>
      </c>
      <c r="C1233">
        <v>1967</v>
      </c>
      <c r="D1233" s="3" t="s">
        <v>19</v>
      </c>
      <c r="E1233" s="3" t="s">
        <v>19</v>
      </c>
      <c r="F1233">
        <v>26</v>
      </c>
      <c r="G1233" s="7">
        <v>24741</v>
      </c>
      <c r="H1233">
        <v>0</v>
      </c>
      <c r="I1233" s="3" t="s">
        <v>9606</v>
      </c>
      <c r="J1233" s="3" t="s">
        <v>11</v>
      </c>
      <c r="K1233" s="3" t="s">
        <v>10</v>
      </c>
      <c r="L1233" s="3" t="s">
        <v>41</v>
      </c>
      <c r="M1233">
        <v>59</v>
      </c>
      <c r="N1233" s="3"/>
    </row>
    <row r="1234" spans="1:14" x14ac:dyDescent="0.25">
      <c r="A1234" s="3" t="s">
        <v>1264</v>
      </c>
      <c r="B1234">
        <v>1967</v>
      </c>
      <c r="C1234">
        <v>1967</v>
      </c>
      <c r="D1234" s="3" t="s">
        <v>17</v>
      </c>
      <c r="E1234" s="3" t="s">
        <v>17</v>
      </c>
      <c r="F1234">
        <v>28</v>
      </c>
      <c r="G1234" s="7">
        <v>24651</v>
      </c>
      <c r="H1234">
        <v>0</v>
      </c>
      <c r="I1234" s="3" t="s">
        <v>9607</v>
      </c>
      <c r="J1234" s="3" t="s">
        <v>11</v>
      </c>
      <c r="K1234" s="3" t="s">
        <v>11</v>
      </c>
      <c r="L1234" s="3" t="s">
        <v>12</v>
      </c>
      <c r="M1234">
        <v>59</v>
      </c>
      <c r="N1234" s="3"/>
    </row>
    <row r="1235" spans="1:14" x14ac:dyDescent="0.25">
      <c r="A1235" s="3" t="s">
        <v>1265</v>
      </c>
      <c r="B1235">
        <v>1968</v>
      </c>
      <c r="C1235">
        <v>1968</v>
      </c>
      <c r="D1235" s="3" t="s">
        <v>19</v>
      </c>
      <c r="E1235" s="3" t="s">
        <v>19</v>
      </c>
      <c r="F1235">
        <v>23</v>
      </c>
      <c r="G1235" s="7">
        <v>25104</v>
      </c>
      <c r="H1235">
        <v>0</v>
      </c>
      <c r="I1235" s="3" t="s">
        <v>9608</v>
      </c>
      <c r="J1235" s="3" t="s">
        <v>11</v>
      </c>
      <c r="K1235" s="3" t="s">
        <v>15</v>
      </c>
      <c r="L1235" s="3" t="s">
        <v>22</v>
      </c>
      <c r="M1235">
        <v>58</v>
      </c>
      <c r="N1235" s="3"/>
    </row>
    <row r="1236" spans="1:14" x14ac:dyDescent="0.25">
      <c r="A1236" s="3" t="s">
        <v>1266</v>
      </c>
      <c r="B1236">
        <v>1975</v>
      </c>
      <c r="C1236">
        <v>1975</v>
      </c>
      <c r="D1236" s="3" t="s">
        <v>34</v>
      </c>
      <c r="E1236" s="3" t="s">
        <v>34</v>
      </c>
      <c r="F1236">
        <v>15</v>
      </c>
      <c r="G1236" s="7">
        <v>27621</v>
      </c>
      <c r="H1236">
        <v>1</v>
      </c>
      <c r="I1236" s="3" t="s">
        <v>9609</v>
      </c>
      <c r="J1236" s="3" t="s">
        <v>11</v>
      </c>
      <c r="K1236" s="3" t="s">
        <v>10</v>
      </c>
      <c r="L1236" s="3" t="s">
        <v>41</v>
      </c>
      <c r="M1236">
        <v>51</v>
      </c>
      <c r="N1236" s="3"/>
    </row>
    <row r="1237" spans="1:14" x14ac:dyDescent="0.25">
      <c r="A1237" s="3" t="s">
        <v>1267</v>
      </c>
      <c r="B1237">
        <v>1973</v>
      </c>
      <c r="C1237">
        <v>1973</v>
      </c>
      <c r="D1237" s="3" t="s">
        <v>19</v>
      </c>
      <c r="E1237" s="3" t="s">
        <v>19</v>
      </c>
      <c r="F1237">
        <v>5</v>
      </c>
      <c r="G1237" s="7">
        <v>26912</v>
      </c>
      <c r="H1237">
        <v>3</v>
      </c>
      <c r="I1237" s="3" t="s">
        <v>9610</v>
      </c>
      <c r="J1237" s="3" t="s">
        <v>11</v>
      </c>
      <c r="K1237" s="3" t="s">
        <v>10</v>
      </c>
      <c r="L1237" s="3" t="s">
        <v>22</v>
      </c>
      <c r="M1237">
        <v>53</v>
      </c>
      <c r="N1237" s="3"/>
    </row>
    <row r="1238" spans="1:14" x14ac:dyDescent="0.25">
      <c r="A1238" s="3" t="s">
        <v>1268</v>
      </c>
      <c r="B1238">
        <v>1973</v>
      </c>
      <c r="C1238">
        <v>1973</v>
      </c>
      <c r="D1238" s="3" t="s">
        <v>14</v>
      </c>
      <c r="E1238" s="3" t="s">
        <v>14</v>
      </c>
      <c r="F1238">
        <v>27</v>
      </c>
      <c r="G1238" s="7">
        <v>26995</v>
      </c>
      <c r="H1238">
        <v>3</v>
      </c>
      <c r="I1238" s="3" t="s">
        <v>9611</v>
      </c>
      <c r="J1238" s="3" t="s">
        <v>11</v>
      </c>
      <c r="K1238" s="3" t="s">
        <v>11</v>
      </c>
      <c r="L1238" s="3" t="s">
        <v>22</v>
      </c>
      <c r="M1238">
        <v>53</v>
      </c>
      <c r="N1238" s="3"/>
    </row>
    <row r="1239" spans="1:14" x14ac:dyDescent="0.25">
      <c r="A1239" s="3" t="s">
        <v>1269</v>
      </c>
      <c r="B1239">
        <v>1970</v>
      </c>
      <c r="C1239">
        <v>1970</v>
      </c>
      <c r="D1239" s="3" t="s">
        <v>17</v>
      </c>
      <c r="E1239" s="3" t="s">
        <v>17</v>
      </c>
      <c r="F1239">
        <v>21</v>
      </c>
      <c r="G1239" s="7">
        <v>25740</v>
      </c>
      <c r="H1239">
        <v>0</v>
      </c>
      <c r="I1239" s="3" t="s">
        <v>9612</v>
      </c>
      <c r="J1239" s="3" t="s">
        <v>11</v>
      </c>
      <c r="K1239" s="3" t="s">
        <v>15</v>
      </c>
      <c r="L1239" s="3" t="s">
        <v>246</v>
      </c>
      <c r="M1239">
        <v>56</v>
      </c>
      <c r="N1239" s="3"/>
    </row>
    <row r="1240" spans="1:14" x14ac:dyDescent="0.25">
      <c r="A1240" s="3" t="s">
        <v>1270</v>
      </c>
      <c r="B1240">
        <v>1988</v>
      </c>
      <c r="C1240">
        <v>1988</v>
      </c>
      <c r="D1240" s="3" t="s">
        <v>19</v>
      </c>
      <c r="E1240" s="3" t="s">
        <v>19</v>
      </c>
      <c r="F1240">
        <v>14</v>
      </c>
      <c r="G1240" s="7">
        <v>32400</v>
      </c>
      <c r="H1240">
        <v>3</v>
      </c>
      <c r="I1240" s="3" t="s">
        <v>9613</v>
      </c>
      <c r="J1240" s="3" t="s">
        <v>11</v>
      </c>
      <c r="K1240" s="3" t="s">
        <v>15</v>
      </c>
      <c r="L1240" s="3" t="s">
        <v>299</v>
      </c>
      <c r="M1240">
        <v>38</v>
      </c>
      <c r="N1240" s="3"/>
    </row>
    <row r="1241" spans="1:14" x14ac:dyDescent="0.25">
      <c r="A1241" s="3" t="s">
        <v>1271</v>
      </c>
      <c r="B1241">
        <v>1963</v>
      </c>
      <c r="C1241">
        <v>1963</v>
      </c>
      <c r="D1241" s="3" t="s">
        <v>19</v>
      </c>
      <c r="E1241" s="3" t="s">
        <v>19</v>
      </c>
      <c r="F1241">
        <v>24</v>
      </c>
      <c r="G1241" s="7">
        <v>23278</v>
      </c>
      <c r="H1241">
        <v>0</v>
      </c>
      <c r="I1241" s="3" t="s">
        <v>9614</v>
      </c>
      <c r="J1241" s="3" t="s">
        <v>11</v>
      </c>
      <c r="K1241" s="3" t="s">
        <v>15</v>
      </c>
      <c r="L1241" s="3" t="s">
        <v>12</v>
      </c>
      <c r="M1241">
        <v>63</v>
      </c>
      <c r="N1241" s="3"/>
    </row>
    <row r="1242" spans="1:14" x14ac:dyDescent="0.25">
      <c r="A1242" s="3" t="s">
        <v>1272</v>
      </c>
      <c r="B1242">
        <v>1962</v>
      </c>
      <c r="C1242">
        <v>1962</v>
      </c>
      <c r="D1242" s="3" t="s">
        <v>9</v>
      </c>
      <c r="E1242" s="3" t="s">
        <v>9</v>
      </c>
      <c r="F1242">
        <v>12</v>
      </c>
      <c r="G1242" s="7">
        <v>22839</v>
      </c>
      <c r="H1242">
        <v>0</v>
      </c>
      <c r="I1242" s="3" t="s">
        <v>9615</v>
      </c>
      <c r="J1242" s="3" t="s">
        <v>11</v>
      </c>
      <c r="K1242" s="3" t="s">
        <v>11</v>
      </c>
      <c r="L1242" s="3" t="s">
        <v>22</v>
      </c>
      <c r="M1242">
        <v>64</v>
      </c>
      <c r="N1242" s="3"/>
    </row>
    <row r="1243" spans="1:14" x14ac:dyDescent="0.25">
      <c r="A1243" s="3" t="s">
        <v>1273</v>
      </c>
      <c r="B1243">
        <v>1991</v>
      </c>
      <c r="C1243">
        <v>1991</v>
      </c>
      <c r="D1243" s="3" t="s">
        <v>14</v>
      </c>
      <c r="E1243" s="3" t="s">
        <v>14</v>
      </c>
      <c r="F1243">
        <v>17</v>
      </c>
      <c r="G1243" s="7">
        <v>33559</v>
      </c>
      <c r="H1243">
        <v>3</v>
      </c>
      <c r="I1243" s="3" t="s">
        <v>9616</v>
      </c>
      <c r="J1243" s="3" t="s">
        <v>11</v>
      </c>
      <c r="K1243" s="3" t="s">
        <v>10</v>
      </c>
      <c r="L1243" s="3" t="s">
        <v>22</v>
      </c>
      <c r="M1243">
        <v>35</v>
      </c>
      <c r="N1243" s="3"/>
    </row>
    <row r="1244" spans="1:14" x14ac:dyDescent="0.25">
      <c r="A1244" s="3" t="s">
        <v>1274</v>
      </c>
      <c r="B1244">
        <v>1991</v>
      </c>
      <c r="C1244">
        <v>1991</v>
      </c>
      <c r="D1244" s="3" t="s">
        <v>34</v>
      </c>
      <c r="E1244" s="3" t="s">
        <v>34</v>
      </c>
      <c r="F1244">
        <v>21</v>
      </c>
      <c r="G1244" s="7">
        <v>33471</v>
      </c>
      <c r="H1244">
        <v>3</v>
      </c>
      <c r="I1244" s="3" t="s">
        <v>9617</v>
      </c>
      <c r="J1244" s="3" t="s">
        <v>11</v>
      </c>
      <c r="K1244" s="3" t="s">
        <v>15</v>
      </c>
      <c r="L1244" s="3" t="s">
        <v>534</v>
      </c>
      <c r="M1244">
        <v>35</v>
      </c>
      <c r="N1244" s="3"/>
    </row>
    <row r="1245" spans="1:14" x14ac:dyDescent="0.25">
      <c r="A1245" s="3" t="s">
        <v>1275</v>
      </c>
      <c r="B1245">
        <v>1970</v>
      </c>
      <c r="C1245">
        <v>1970</v>
      </c>
      <c r="D1245" s="3" t="s">
        <v>29</v>
      </c>
      <c r="E1245" s="3" t="s">
        <v>29</v>
      </c>
      <c r="F1245">
        <v>1</v>
      </c>
      <c r="G1245" s="7">
        <v>25903</v>
      </c>
      <c r="H1245">
        <v>2</v>
      </c>
      <c r="I1245" s="3" t="s">
        <v>9618</v>
      </c>
      <c r="J1245" s="3" t="s">
        <v>11</v>
      </c>
      <c r="K1245" s="3" t="s">
        <v>11</v>
      </c>
      <c r="L1245" s="3" t="s">
        <v>41</v>
      </c>
      <c r="M1245">
        <v>56</v>
      </c>
      <c r="N1245" s="3"/>
    </row>
    <row r="1246" spans="1:14" x14ac:dyDescent="0.25">
      <c r="A1246" s="3" t="s">
        <v>1276</v>
      </c>
      <c r="B1246">
        <v>1982</v>
      </c>
      <c r="C1246">
        <v>1982</v>
      </c>
      <c r="D1246" s="3" t="s">
        <v>9</v>
      </c>
      <c r="E1246" s="3" t="s">
        <v>9</v>
      </c>
      <c r="F1246">
        <v>21</v>
      </c>
      <c r="G1246" s="7">
        <v>30153</v>
      </c>
      <c r="H1246">
        <v>3</v>
      </c>
      <c r="I1246" s="3" t="s">
        <v>9619</v>
      </c>
      <c r="J1246" s="3" t="s">
        <v>11</v>
      </c>
      <c r="K1246" s="3" t="s">
        <v>15</v>
      </c>
      <c r="L1246" s="3" t="s">
        <v>299</v>
      </c>
      <c r="M1246">
        <v>44</v>
      </c>
      <c r="N1246" s="3"/>
    </row>
    <row r="1247" spans="1:14" x14ac:dyDescent="0.25">
      <c r="A1247" s="3" t="s">
        <v>1277</v>
      </c>
      <c r="B1247">
        <v>1968</v>
      </c>
      <c r="C1247">
        <v>1968</v>
      </c>
      <c r="D1247" s="3" t="s">
        <v>9</v>
      </c>
      <c r="E1247" s="3" t="s">
        <v>9</v>
      </c>
      <c r="F1247">
        <v>19</v>
      </c>
      <c r="G1247" s="7">
        <v>25038</v>
      </c>
      <c r="H1247">
        <v>0</v>
      </c>
      <c r="I1247" s="3" t="s">
        <v>9620</v>
      </c>
      <c r="J1247" s="3" t="s">
        <v>11</v>
      </c>
      <c r="K1247" s="3" t="s">
        <v>15</v>
      </c>
      <c r="L1247" s="3" t="s">
        <v>12</v>
      </c>
      <c r="M1247">
        <v>58</v>
      </c>
      <c r="N1247" s="3"/>
    </row>
    <row r="1248" spans="1:14" x14ac:dyDescent="0.25">
      <c r="A1248" s="3" t="s">
        <v>1278</v>
      </c>
      <c r="B1248">
        <v>1973</v>
      </c>
      <c r="C1248">
        <v>1973</v>
      </c>
      <c r="D1248" s="3" t="s">
        <v>34</v>
      </c>
      <c r="E1248" s="3" t="s">
        <v>34</v>
      </c>
      <c r="F1248">
        <v>8</v>
      </c>
      <c r="G1248" s="7">
        <v>26884</v>
      </c>
      <c r="H1248">
        <v>0</v>
      </c>
      <c r="I1248" s="3" t="s">
        <v>9621</v>
      </c>
      <c r="J1248" s="3" t="s">
        <v>11</v>
      </c>
      <c r="K1248" s="3" t="s">
        <v>10</v>
      </c>
      <c r="L1248" s="3" t="s">
        <v>299</v>
      </c>
      <c r="M1248">
        <v>53</v>
      </c>
      <c r="N1248" s="3"/>
    </row>
    <row r="1249" spans="1:14" x14ac:dyDescent="0.25">
      <c r="A1249" s="3" t="s">
        <v>1279</v>
      </c>
      <c r="B1249">
        <v>1974</v>
      </c>
      <c r="C1249">
        <v>1974</v>
      </c>
      <c r="D1249" s="3" t="s">
        <v>19</v>
      </c>
      <c r="E1249" s="3" t="s">
        <v>19</v>
      </c>
      <c r="F1249">
        <v>29</v>
      </c>
      <c r="G1249" s="7">
        <v>27301</v>
      </c>
      <c r="H1249">
        <v>0</v>
      </c>
      <c r="I1249" s="3" t="s">
        <v>9622</v>
      </c>
      <c r="J1249" s="3" t="s">
        <v>11</v>
      </c>
      <c r="K1249" s="3" t="s">
        <v>15</v>
      </c>
      <c r="L1249" s="3" t="s">
        <v>22</v>
      </c>
      <c r="M1249">
        <v>52</v>
      </c>
      <c r="N1249" s="3"/>
    </row>
    <row r="1250" spans="1:14" x14ac:dyDescent="0.25">
      <c r="A1250" s="3" t="s">
        <v>1280</v>
      </c>
      <c r="B1250">
        <v>1969</v>
      </c>
      <c r="C1250">
        <v>1969</v>
      </c>
      <c r="D1250" s="3" t="s">
        <v>17</v>
      </c>
      <c r="E1250" s="3" t="s">
        <v>17</v>
      </c>
      <c r="F1250">
        <v>17</v>
      </c>
      <c r="G1250" s="7">
        <v>25371</v>
      </c>
      <c r="H1250">
        <v>0</v>
      </c>
      <c r="I1250" s="3" t="s">
        <v>9623</v>
      </c>
      <c r="J1250" s="3" t="s">
        <v>11</v>
      </c>
      <c r="K1250" s="3" t="s">
        <v>15</v>
      </c>
      <c r="L1250" s="3" t="s">
        <v>22</v>
      </c>
      <c r="M1250">
        <v>57</v>
      </c>
      <c r="N1250" s="3"/>
    </row>
    <row r="1251" spans="1:14" x14ac:dyDescent="0.25">
      <c r="A1251" s="3" t="s">
        <v>1281</v>
      </c>
      <c r="B1251">
        <v>1971</v>
      </c>
      <c r="C1251">
        <v>1971</v>
      </c>
      <c r="D1251" s="3" t="s">
        <v>19</v>
      </c>
      <c r="E1251" s="3" t="s">
        <v>19</v>
      </c>
      <c r="F1251">
        <v>6</v>
      </c>
      <c r="G1251" s="7">
        <v>26182</v>
      </c>
      <c r="H1251">
        <v>0</v>
      </c>
      <c r="I1251" s="3" t="s">
        <v>9624</v>
      </c>
      <c r="J1251" s="3" t="s">
        <v>11</v>
      </c>
      <c r="K1251" s="3" t="s">
        <v>15</v>
      </c>
      <c r="L1251" s="3" t="s">
        <v>199</v>
      </c>
      <c r="M1251">
        <v>55</v>
      </c>
      <c r="N1251" s="3"/>
    </row>
    <row r="1252" spans="1:14" x14ac:dyDescent="0.25">
      <c r="A1252" s="3" t="s">
        <v>1282</v>
      </c>
      <c r="B1252">
        <v>1973</v>
      </c>
      <c r="C1252">
        <v>1973</v>
      </c>
      <c r="D1252" s="3" t="s">
        <v>19</v>
      </c>
      <c r="E1252" s="3" t="s">
        <v>19</v>
      </c>
      <c r="F1252">
        <v>29</v>
      </c>
      <c r="G1252" s="7">
        <v>26936</v>
      </c>
      <c r="H1252">
        <v>2</v>
      </c>
      <c r="I1252" s="3" t="s">
        <v>9625</v>
      </c>
      <c r="J1252" s="3" t="s">
        <v>11</v>
      </c>
      <c r="K1252" s="3" t="s">
        <v>11</v>
      </c>
      <c r="L1252" s="3" t="s">
        <v>246</v>
      </c>
      <c r="M1252">
        <v>53</v>
      </c>
      <c r="N1252" s="3"/>
    </row>
    <row r="1253" spans="1:14" x14ac:dyDescent="0.25">
      <c r="A1253" s="3" t="s">
        <v>1283</v>
      </c>
      <c r="B1253">
        <v>1973</v>
      </c>
      <c r="C1253">
        <v>1973</v>
      </c>
      <c r="D1253" s="3" t="s">
        <v>19</v>
      </c>
      <c r="E1253" s="3" t="s">
        <v>19</v>
      </c>
      <c r="F1253">
        <v>19</v>
      </c>
      <c r="G1253" s="7">
        <v>26926</v>
      </c>
      <c r="H1253">
        <v>3</v>
      </c>
      <c r="I1253" s="3" t="s">
        <v>9626</v>
      </c>
      <c r="J1253" s="3" t="s">
        <v>11</v>
      </c>
      <c r="K1253" s="3" t="s">
        <v>11</v>
      </c>
      <c r="L1253" s="3" t="s">
        <v>12</v>
      </c>
      <c r="M1253">
        <v>53</v>
      </c>
      <c r="N1253" s="3"/>
    </row>
    <row r="1254" spans="1:14" x14ac:dyDescent="0.25">
      <c r="A1254" s="3" t="s">
        <v>1284</v>
      </c>
      <c r="B1254">
        <v>1969</v>
      </c>
      <c r="C1254">
        <v>1969</v>
      </c>
      <c r="D1254" s="3" t="s">
        <v>9</v>
      </c>
      <c r="E1254" s="3" t="s">
        <v>9</v>
      </c>
      <c r="F1254">
        <v>7</v>
      </c>
      <c r="G1254" s="7">
        <v>25391</v>
      </c>
      <c r="H1254">
        <v>0</v>
      </c>
      <c r="I1254" s="3" t="s">
        <v>9627</v>
      </c>
      <c r="J1254" s="3" t="s">
        <v>11</v>
      </c>
      <c r="K1254" s="3" t="s">
        <v>10</v>
      </c>
      <c r="L1254" s="3" t="s">
        <v>515</v>
      </c>
      <c r="M1254">
        <v>57</v>
      </c>
      <c r="N1254" s="3"/>
    </row>
    <row r="1255" spans="1:14" x14ac:dyDescent="0.25">
      <c r="A1255" s="3" t="s">
        <v>1285</v>
      </c>
      <c r="B1255">
        <v>1975</v>
      </c>
      <c r="C1255">
        <v>1975</v>
      </c>
      <c r="D1255" s="3" t="s">
        <v>17</v>
      </c>
      <c r="E1255" s="3" t="s">
        <v>17</v>
      </c>
      <c r="F1255">
        <v>5</v>
      </c>
      <c r="G1255" s="7">
        <v>27550</v>
      </c>
      <c r="H1255">
        <v>4</v>
      </c>
      <c r="I1255" s="3" t="s">
        <v>9628</v>
      </c>
      <c r="J1255" s="3" t="s">
        <v>11</v>
      </c>
      <c r="K1255" s="3" t="s">
        <v>15</v>
      </c>
      <c r="L1255" s="3" t="s">
        <v>163</v>
      </c>
      <c r="M1255">
        <v>51</v>
      </c>
      <c r="N1255" s="3"/>
    </row>
    <row r="1256" spans="1:14" x14ac:dyDescent="0.25">
      <c r="A1256" s="3" t="s">
        <v>1286</v>
      </c>
      <c r="B1256">
        <v>1980</v>
      </c>
      <c r="C1256">
        <v>1980</v>
      </c>
      <c r="D1256" s="3" t="s">
        <v>36</v>
      </c>
      <c r="E1256" s="3" t="s">
        <v>36</v>
      </c>
      <c r="F1256">
        <v>24</v>
      </c>
      <c r="G1256" s="7">
        <v>29518</v>
      </c>
      <c r="H1256">
        <v>2</v>
      </c>
      <c r="I1256" s="3" t="s">
        <v>9629</v>
      </c>
      <c r="J1256" s="3" t="s">
        <v>11</v>
      </c>
      <c r="K1256" s="3" t="s">
        <v>15</v>
      </c>
      <c r="L1256" s="3" t="s">
        <v>299</v>
      </c>
      <c r="M1256">
        <v>46</v>
      </c>
      <c r="N1256" s="3"/>
    </row>
    <row r="1257" spans="1:14" x14ac:dyDescent="0.25">
      <c r="A1257" s="3" t="s">
        <v>1287</v>
      </c>
      <c r="B1257">
        <v>1973</v>
      </c>
      <c r="C1257">
        <v>1973</v>
      </c>
      <c r="D1257" s="3" t="s">
        <v>36</v>
      </c>
      <c r="E1257" s="3" t="s">
        <v>36</v>
      </c>
      <c r="F1257">
        <v>11</v>
      </c>
      <c r="G1257" s="7">
        <v>26948</v>
      </c>
      <c r="H1257">
        <v>0</v>
      </c>
      <c r="I1257" s="3" t="s">
        <v>9630</v>
      </c>
      <c r="J1257" s="3" t="s">
        <v>11</v>
      </c>
      <c r="K1257" s="3" t="s">
        <v>10</v>
      </c>
      <c r="L1257" s="3" t="s">
        <v>199</v>
      </c>
      <c r="M1257">
        <v>53</v>
      </c>
      <c r="N1257" s="3"/>
    </row>
    <row r="1258" spans="1:14" x14ac:dyDescent="0.25">
      <c r="A1258" s="3" t="s">
        <v>1288</v>
      </c>
      <c r="B1258">
        <v>1979</v>
      </c>
      <c r="C1258">
        <v>1979</v>
      </c>
      <c r="D1258" s="3" t="s">
        <v>14</v>
      </c>
      <c r="E1258" s="3" t="s">
        <v>14</v>
      </c>
      <c r="F1258">
        <v>25</v>
      </c>
      <c r="G1258" s="7">
        <v>29184</v>
      </c>
      <c r="H1258">
        <v>2</v>
      </c>
      <c r="I1258" s="3" t="s">
        <v>9631</v>
      </c>
      <c r="J1258" s="3" t="s">
        <v>11</v>
      </c>
      <c r="K1258" s="3" t="s">
        <v>10</v>
      </c>
      <c r="L1258" s="3" t="s">
        <v>199</v>
      </c>
      <c r="M1258">
        <v>47</v>
      </c>
      <c r="N1258" s="3"/>
    </row>
    <row r="1259" spans="1:14" x14ac:dyDescent="0.25">
      <c r="A1259" s="3" t="s">
        <v>1289</v>
      </c>
      <c r="B1259">
        <v>1968</v>
      </c>
      <c r="C1259">
        <v>1968</v>
      </c>
      <c r="D1259" s="3" t="s">
        <v>29</v>
      </c>
      <c r="E1259" s="3" t="s">
        <v>29</v>
      </c>
      <c r="F1259">
        <v>27</v>
      </c>
      <c r="G1259" s="7">
        <v>25199</v>
      </c>
      <c r="H1259">
        <v>0</v>
      </c>
      <c r="I1259" s="3" t="s">
        <v>9632</v>
      </c>
      <c r="J1259" s="3" t="s">
        <v>11</v>
      </c>
      <c r="K1259" s="3" t="s">
        <v>15</v>
      </c>
      <c r="L1259" s="3" t="s">
        <v>355</v>
      </c>
      <c r="M1259">
        <v>58</v>
      </c>
      <c r="N1259" s="3"/>
    </row>
    <row r="1260" spans="1:14" x14ac:dyDescent="0.25">
      <c r="A1260" s="3" t="s">
        <v>1290</v>
      </c>
      <c r="B1260">
        <v>1968</v>
      </c>
      <c r="C1260">
        <v>1968</v>
      </c>
      <c r="D1260" s="3" t="s">
        <v>34</v>
      </c>
      <c r="E1260" s="3" t="s">
        <v>34</v>
      </c>
      <c r="F1260">
        <v>23</v>
      </c>
      <c r="G1260" s="7">
        <v>25073</v>
      </c>
      <c r="H1260">
        <v>0</v>
      </c>
      <c r="I1260" s="3" t="s">
        <v>9633</v>
      </c>
      <c r="J1260" s="3" t="s">
        <v>11</v>
      </c>
      <c r="K1260" s="3" t="s">
        <v>15</v>
      </c>
      <c r="L1260" s="3" t="s">
        <v>167</v>
      </c>
      <c r="M1260">
        <v>58</v>
      </c>
      <c r="N1260" s="3"/>
    </row>
    <row r="1261" spans="1:14" x14ac:dyDescent="0.25">
      <c r="A1261" s="3" t="s">
        <v>1291</v>
      </c>
      <c r="B1261">
        <v>1968</v>
      </c>
      <c r="C1261">
        <v>1968</v>
      </c>
      <c r="D1261" s="3" t="s">
        <v>34</v>
      </c>
      <c r="E1261" s="3" t="s">
        <v>34</v>
      </c>
      <c r="F1261">
        <v>29</v>
      </c>
      <c r="G1261" s="7">
        <v>25079</v>
      </c>
      <c r="H1261">
        <v>1</v>
      </c>
      <c r="I1261" s="3" t="s">
        <v>9634</v>
      </c>
      <c r="J1261" s="3" t="s">
        <v>11</v>
      </c>
      <c r="K1261" s="3" t="s">
        <v>11</v>
      </c>
      <c r="L1261" s="3" t="s">
        <v>41</v>
      </c>
      <c r="M1261">
        <v>58</v>
      </c>
      <c r="N1261" s="3"/>
    </row>
    <row r="1262" spans="1:14" x14ac:dyDescent="0.25">
      <c r="A1262" s="3" t="s">
        <v>1292</v>
      </c>
      <c r="B1262">
        <v>1968</v>
      </c>
      <c r="C1262">
        <v>1968</v>
      </c>
      <c r="D1262" s="3" t="s">
        <v>14</v>
      </c>
      <c r="E1262" s="3" t="s">
        <v>14</v>
      </c>
      <c r="F1262">
        <v>8</v>
      </c>
      <c r="G1262" s="7">
        <v>25150</v>
      </c>
      <c r="H1262">
        <v>1</v>
      </c>
      <c r="I1262" s="3" t="s">
        <v>9635</v>
      </c>
      <c r="J1262" s="3" t="s">
        <v>11</v>
      </c>
      <c r="K1262" s="3" t="s">
        <v>15</v>
      </c>
      <c r="L1262" s="3" t="s">
        <v>41</v>
      </c>
      <c r="M1262">
        <v>58</v>
      </c>
      <c r="N1262" s="3"/>
    </row>
    <row r="1263" spans="1:14" x14ac:dyDescent="0.25">
      <c r="A1263" s="3" t="s">
        <v>1293</v>
      </c>
      <c r="B1263">
        <v>1964</v>
      </c>
      <c r="C1263">
        <v>1964</v>
      </c>
      <c r="D1263" s="3" t="s">
        <v>36</v>
      </c>
      <c r="E1263" s="3" t="s">
        <v>36</v>
      </c>
      <c r="F1263">
        <v>14</v>
      </c>
      <c r="G1263" s="7">
        <v>23664</v>
      </c>
      <c r="H1263">
        <v>0</v>
      </c>
      <c r="I1263" s="3" t="s">
        <v>9636</v>
      </c>
      <c r="J1263" s="3" t="s">
        <v>11</v>
      </c>
      <c r="K1263" s="3" t="s">
        <v>15</v>
      </c>
      <c r="L1263" s="3" t="s">
        <v>22</v>
      </c>
      <c r="M1263">
        <v>62</v>
      </c>
      <c r="N1263" s="3"/>
    </row>
    <row r="1264" spans="1:14" x14ac:dyDescent="0.25">
      <c r="A1264" s="3" t="s">
        <v>1294</v>
      </c>
      <c r="B1264">
        <v>1976</v>
      </c>
      <c r="C1264">
        <v>1976</v>
      </c>
      <c r="D1264" s="3" t="s">
        <v>34</v>
      </c>
      <c r="E1264" s="3" t="s">
        <v>34</v>
      </c>
      <c r="F1264">
        <v>3</v>
      </c>
      <c r="G1264" s="7">
        <v>27975</v>
      </c>
      <c r="H1264">
        <v>2</v>
      </c>
      <c r="I1264" s="3" t="s">
        <v>9637</v>
      </c>
      <c r="J1264" s="3" t="s">
        <v>11</v>
      </c>
      <c r="K1264" s="3" t="s">
        <v>10</v>
      </c>
      <c r="L1264" s="3" t="s">
        <v>299</v>
      </c>
      <c r="M1264">
        <v>50</v>
      </c>
      <c r="N1264" s="3"/>
    </row>
    <row r="1265" spans="1:14" x14ac:dyDescent="0.25">
      <c r="A1265" s="3" t="s">
        <v>1295</v>
      </c>
      <c r="B1265">
        <v>1964</v>
      </c>
      <c r="C1265">
        <v>1964</v>
      </c>
      <c r="D1265" s="3" t="s">
        <v>9</v>
      </c>
      <c r="E1265" s="3" t="s">
        <v>9</v>
      </c>
      <c r="F1265">
        <v>27</v>
      </c>
      <c r="G1265" s="7">
        <v>23585</v>
      </c>
      <c r="H1265">
        <v>0</v>
      </c>
      <c r="I1265" s="3" t="s">
        <v>9638</v>
      </c>
      <c r="J1265" s="3" t="s">
        <v>11</v>
      </c>
      <c r="K1265" s="3" t="s">
        <v>15</v>
      </c>
      <c r="L1265" s="3" t="s">
        <v>12</v>
      </c>
      <c r="M1265">
        <v>62</v>
      </c>
      <c r="N1265" s="3"/>
    </row>
    <row r="1266" spans="1:14" x14ac:dyDescent="0.25">
      <c r="A1266" s="3" t="s">
        <v>1296</v>
      </c>
      <c r="B1266">
        <v>1969</v>
      </c>
      <c r="C1266">
        <v>1969</v>
      </c>
      <c r="D1266" s="3" t="s">
        <v>19</v>
      </c>
      <c r="E1266" s="3" t="s">
        <v>19</v>
      </c>
      <c r="F1266">
        <v>22</v>
      </c>
      <c r="G1266" s="7">
        <v>25468</v>
      </c>
      <c r="H1266">
        <v>1</v>
      </c>
      <c r="I1266" s="3" t="s">
        <v>9639</v>
      </c>
      <c r="J1266" s="3" t="s">
        <v>11</v>
      </c>
      <c r="K1266" s="3" t="s">
        <v>15</v>
      </c>
      <c r="L1266" s="3" t="s">
        <v>22</v>
      </c>
      <c r="M1266">
        <v>57</v>
      </c>
      <c r="N1266" s="3"/>
    </row>
    <row r="1267" spans="1:14" x14ac:dyDescent="0.25">
      <c r="A1267" s="3" t="s">
        <v>1297</v>
      </c>
      <c r="B1267">
        <v>1987</v>
      </c>
      <c r="C1267">
        <v>1987</v>
      </c>
      <c r="D1267" s="3" t="s">
        <v>17</v>
      </c>
      <c r="E1267" s="3" t="s">
        <v>17</v>
      </c>
      <c r="F1267">
        <v>28</v>
      </c>
      <c r="G1267" s="7">
        <v>31956</v>
      </c>
      <c r="H1267">
        <v>3</v>
      </c>
      <c r="I1267" s="3" t="s">
        <v>9640</v>
      </c>
      <c r="J1267" s="3" t="s">
        <v>11</v>
      </c>
      <c r="K1267" s="3" t="s">
        <v>15</v>
      </c>
      <c r="L1267" s="3" t="s">
        <v>22</v>
      </c>
      <c r="M1267">
        <v>39</v>
      </c>
      <c r="N1267" s="3"/>
    </row>
    <row r="1268" spans="1:14" x14ac:dyDescent="0.25">
      <c r="A1268" s="3" t="s">
        <v>1298</v>
      </c>
      <c r="B1268">
        <v>1978</v>
      </c>
      <c r="C1268">
        <v>1978</v>
      </c>
      <c r="D1268" s="3" t="s">
        <v>34</v>
      </c>
      <c r="E1268" s="3" t="s">
        <v>34</v>
      </c>
      <c r="F1268">
        <v>21</v>
      </c>
      <c r="G1268" s="7">
        <v>28723</v>
      </c>
      <c r="H1268">
        <v>2</v>
      </c>
      <c r="I1268" s="3" t="s">
        <v>9641</v>
      </c>
      <c r="J1268" s="3" t="s">
        <v>11</v>
      </c>
      <c r="K1268" s="3" t="s">
        <v>11</v>
      </c>
      <c r="L1268" s="3" t="s">
        <v>199</v>
      </c>
      <c r="M1268">
        <v>48</v>
      </c>
      <c r="N1268" s="3"/>
    </row>
    <row r="1269" spans="1:14" x14ac:dyDescent="0.25">
      <c r="A1269" s="3" t="s">
        <v>1299</v>
      </c>
      <c r="B1269">
        <v>1972</v>
      </c>
      <c r="C1269">
        <v>1972</v>
      </c>
      <c r="D1269" s="3" t="s">
        <v>36</v>
      </c>
      <c r="E1269" s="3" t="s">
        <v>36</v>
      </c>
      <c r="F1269">
        <v>19</v>
      </c>
      <c r="G1269" s="7">
        <v>26591</v>
      </c>
      <c r="H1269">
        <v>2</v>
      </c>
      <c r="I1269" s="3" t="s">
        <v>9642</v>
      </c>
      <c r="J1269" s="3" t="s">
        <v>11</v>
      </c>
      <c r="K1269" s="3" t="s">
        <v>15</v>
      </c>
      <c r="L1269" s="3" t="s">
        <v>22</v>
      </c>
      <c r="M1269">
        <v>54</v>
      </c>
      <c r="N1269" s="3"/>
    </row>
    <row r="1270" spans="1:14" x14ac:dyDescent="0.25">
      <c r="A1270" s="3" t="s">
        <v>1300</v>
      </c>
      <c r="B1270">
        <v>1977</v>
      </c>
      <c r="C1270">
        <v>1977</v>
      </c>
      <c r="D1270" s="3" t="s">
        <v>36</v>
      </c>
      <c r="E1270" s="3" t="s">
        <v>36</v>
      </c>
      <c r="F1270">
        <v>25</v>
      </c>
      <c r="G1270" s="7">
        <v>28423</v>
      </c>
      <c r="H1270">
        <v>2</v>
      </c>
      <c r="I1270" s="3" t="s">
        <v>9643</v>
      </c>
      <c r="J1270" s="3" t="s">
        <v>11</v>
      </c>
      <c r="K1270" s="3" t="s">
        <v>15</v>
      </c>
      <c r="L1270" s="3" t="s">
        <v>22</v>
      </c>
      <c r="M1270">
        <v>49</v>
      </c>
      <c r="N1270" s="3"/>
    </row>
    <row r="1271" spans="1:14" x14ac:dyDescent="0.25">
      <c r="A1271" s="3" t="s">
        <v>1301</v>
      </c>
      <c r="B1271">
        <v>1971</v>
      </c>
      <c r="C1271">
        <v>1971</v>
      </c>
      <c r="D1271" s="3" t="s">
        <v>19</v>
      </c>
      <c r="E1271" s="3" t="s">
        <v>19</v>
      </c>
      <c r="F1271">
        <v>26</v>
      </c>
      <c r="G1271" s="7">
        <v>26202</v>
      </c>
      <c r="H1271">
        <v>0</v>
      </c>
      <c r="I1271" s="3" t="s">
        <v>9644</v>
      </c>
      <c r="J1271" s="3" t="s">
        <v>11</v>
      </c>
      <c r="K1271" s="3" t="s">
        <v>11</v>
      </c>
      <c r="L1271" s="3" t="s">
        <v>41</v>
      </c>
      <c r="M1271">
        <v>55</v>
      </c>
      <c r="N1271" s="3"/>
    </row>
    <row r="1272" spans="1:14" x14ac:dyDescent="0.25">
      <c r="A1272" s="3" t="s">
        <v>1302</v>
      </c>
      <c r="B1272">
        <v>1971</v>
      </c>
      <c r="C1272">
        <v>1971</v>
      </c>
      <c r="D1272" s="3" t="s">
        <v>17</v>
      </c>
      <c r="E1272" s="3" t="s">
        <v>17</v>
      </c>
      <c r="F1272">
        <v>29</v>
      </c>
      <c r="G1272" s="7">
        <v>26113</v>
      </c>
      <c r="H1272">
        <v>3</v>
      </c>
      <c r="I1272" s="3" t="s">
        <v>9645</v>
      </c>
      <c r="J1272" s="3" t="s">
        <v>11</v>
      </c>
      <c r="K1272" s="3" t="s">
        <v>10</v>
      </c>
      <c r="L1272" s="3" t="s">
        <v>12</v>
      </c>
      <c r="M1272">
        <v>55</v>
      </c>
      <c r="N1272" s="3"/>
    </row>
    <row r="1273" spans="1:14" x14ac:dyDescent="0.25">
      <c r="A1273" s="3" t="s">
        <v>1303</v>
      </c>
      <c r="B1273">
        <v>1969</v>
      </c>
      <c r="C1273">
        <v>1969</v>
      </c>
      <c r="D1273" s="3" t="s">
        <v>9</v>
      </c>
      <c r="E1273" s="3" t="s">
        <v>9</v>
      </c>
      <c r="F1273">
        <v>17</v>
      </c>
      <c r="G1273" s="7">
        <v>25401</v>
      </c>
      <c r="H1273">
        <v>0</v>
      </c>
      <c r="I1273" s="3" t="s">
        <v>9646</v>
      </c>
      <c r="J1273" s="3" t="s">
        <v>11</v>
      </c>
      <c r="K1273" s="3" t="s">
        <v>15</v>
      </c>
      <c r="L1273" s="3" t="s">
        <v>246</v>
      </c>
      <c r="M1273">
        <v>57</v>
      </c>
      <c r="N1273" s="3"/>
    </row>
    <row r="1274" spans="1:14" x14ac:dyDescent="0.25">
      <c r="A1274" s="3" t="s">
        <v>1304</v>
      </c>
      <c r="B1274">
        <v>1966</v>
      </c>
      <c r="C1274">
        <v>1966</v>
      </c>
      <c r="D1274" s="3" t="s">
        <v>29</v>
      </c>
      <c r="E1274" s="3" t="s">
        <v>29</v>
      </c>
      <c r="F1274">
        <v>11</v>
      </c>
      <c r="G1274" s="7">
        <v>24452</v>
      </c>
      <c r="H1274">
        <v>0</v>
      </c>
      <c r="I1274" s="3" t="s">
        <v>9647</v>
      </c>
      <c r="J1274" s="3" t="s">
        <v>11</v>
      </c>
      <c r="K1274" s="3" t="s">
        <v>11</v>
      </c>
      <c r="L1274" s="3" t="s">
        <v>41</v>
      </c>
      <c r="M1274">
        <v>60</v>
      </c>
      <c r="N1274" s="3"/>
    </row>
    <row r="1275" spans="1:14" x14ac:dyDescent="0.25">
      <c r="A1275" s="3" t="s">
        <v>1305</v>
      </c>
      <c r="B1275">
        <v>1969</v>
      </c>
      <c r="C1275">
        <v>1969</v>
      </c>
      <c r="D1275" s="3" t="s">
        <v>29</v>
      </c>
      <c r="E1275" s="3" t="s">
        <v>29</v>
      </c>
      <c r="F1275">
        <v>25</v>
      </c>
      <c r="G1275" s="7">
        <v>25562</v>
      </c>
      <c r="H1275">
        <v>1</v>
      </c>
      <c r="I1275" s="3" t="s">
        <v>9648</v>
      </c>
      <c r="J1275" s="3" t="s">
        <v>11</v>
      </c>
      <c r="K1275" s="3" t="s">
        <v>11</v>
      </c>
      <c r="L1275" s="3" t="s">
        <v>12</v>
      </c>
      <c r="M1275">
        <v>57</v>
      </c>
      <c r="N1275" s="3"/>
    </row>
    <row r="1276" spans="1:14" x14ac:dyDescent="0.25">
      <c r="A1276" s="3" t="s">
        <v>1306</v>
      </c>
      <c r="B1276">
        <v>1966</v>
      </c>
      <c r="C1276">
        <v>1966</v>
      </c>
      <c r="D1276" s="3" t="s">
        <v>14</v>
      </c>
      <c r="E1276" s="3" t="s">
        <v>14</v>
      </c>
      <c r="F1276">
        <v>3</v>
      </c>
      <c r="G1276" s="7">
        <v>24414</v>
      </c>
      <c r="H1276">
        <v>0</v>
      </c>
      <c r="I1276" s="3" t="s">
        <v>9649</v>
      </c>
      <c r="J1276" s="3" t="s">
        <v>11</v>
      </c>
      <c r="K1276" s="3" t="s">
        <v>11</v>
      </c>
      <c r="L1276" s="3" t="s">
        <v>12</v>
      </c>
      <c r="M1276">
        <v>60</v>
      </c>
      <c r="N1276" s="3"/>
    </row>
    <row r="1277" spans="1:14" x14ac:dyDescent="0.25">
      <c r="A1277" s="3" t="s">
        <v>1307</v>
      </c>
      <c r="B1277">
        <v>1967</v>
      </c>
      <c r="C1277">
        <v>1967</v>
      </c>
      <c r="D1277" s="3" t="s">
        <v>14</v>
      </c>
      <c r="E1277" s="3" t="s">
        <v>14</v>
      </c>
      <c r="F1277">
        <v>29</v>
      </c>
      <c r="G1277" s="7">
        <v>24805</v>
      </c>
      <c r="H1277">
        <v>0</v>
      </c>
      <c r="I1277" s="3" t="s">
        <v>9650</v>
      </c>
      <c r="J1277" s="3" t="s">
        <v>11</v>
      </c>
      <c r="K1277" s="3" t="s">
        <v>15</v>
      </c>
      <c r="L1277" s="3" t="s">
        <v>22</v>
      </c>
      <c r="M1277">
        <v>59</v>
      </c>
      <c r="N1277" s="3"/>
    </row>
    <row r="1278" spans="1:14" x14ac:dyDescent="0.25">
      <c r="A1278" s="3" t="s">
        <v>1308</v>
      </c>
      <c r="B1278">
        <v>1972</v>
      </c>
      <c r="C1278">
        <v>1972</v>
      </c>
      <c r="D1278" s="3" t="s">
        <v>29</v>
      </c>
      <c r="E1278" s="3" t="s">
        <v>29</v>
      </c>
      <c r="F1278">
        <v>14</v>
      </c>
      <c r="G1278" s="7">
        <v>26647</v>
      </c>
      <c r="H1278">
        <v>3</v>
      </c>
      <c r="I1278" s="3" t="s">
        <v>9651</v>
      </c>
      <c r="J1278" s="3" t="s">
        <v>11</v>
      </c>
      <c r="K1278" s="3" t="s">
        <v>15</v>
      </c>
      <c r="L1278" s="3" t="s">
        <v>22</v>
      </c>
      <c r="M1278">
        <v>54</v>
      </c>
      <c r="N1278" s="3"/>
    </row>
    <row r="1279" spans="1:14" x14ac:dyDescent="0.25">
      <c r="A1279" s="3" t="s">
        <v>1309</v>
      </c>
      <c r="B1279">
        <v>1966</v>
      </c>
      <c r="C1279">
        <v>1966</v>
      </c>
      <c r="D1279" s="3" t="s">
        <v>9</v>
      </c>
      <c r="E1279" s="3" t="s">
        <v>9</v>
      </c>
      <c r="F1279">
        <v>20</v>
      </c>
      <c r="G1279" s="7">
        <v>24308</v>
      </c>
      <c r="H1279">
        <v>0</v>
      </c>
      <c r="I1279" s="3" t="s">
        <v>9652</v>
      </c>
      <c r="J1279" s="3" t="s">
        <v>11</v>
      </c>
      <c r="K1279" s="3" t="s">
        <v>10</v>
      </c>
      <c r="L1279" s="3" t="s">
        <v>41</v>
      </c>
      <c r="M1279">
        <v>60</v>
      </c>
      <c r="N1279" s="3"/>
    </row>
    <row r="1280" spans="1:14" x14ac:dyDescent="0.25">
      <c r="A1280" s="3" t="s">
        <v>1310</v>
      </c>
      <c r="B1280">
        <v>1967</v>
      </c>
      <c r="C1280">
        <v>1967</v>
      </c>
      <c r="D1280" s="3" t="s">
        <v>17</v>
      </c>
      <c r="E1280" s="3" t="s">
        <v>17</v>
      </c>
      <c r="F1280">
        <v>23</v>
      </c>
      <c r="G1280" s="7">
        <v>24646</v>
      </c>
      <c r="H1280">
        <v>0</v>
      </c>
      <c r="I1280" s="3" t="s">
        <v>9653</v>
      </c>
      <c r="J1280" s="3" t="s">
        <v>11</v>
      </c>
      <c r="K1280" s="3" t="s">
        <v>10</v>
      </c>
      <c r="L1280" s="3" t="s">
        <v>22</v>
      </c>
      <c r="M1280">
        <v>59</v>
      </c>
      <c r="N1280" s="3"/>
    </row>
    <row r="1281" spans="1:14" x14ac:dyDescent="0.25">
      <c r="A1281" s="3" t="s">
        <v>1311</v>
      </c>
      <c r="B1281">
        <v>1966</v>
      </c>
      <c r="C1281">
        <v>1966</v>
      </c>
      <c r="D1281" s="3" t="s">
        <v>9</v>
      </c>
      <c r="E1281" s="3" t="s">
        <v>9</v>
      </c>
      <c r="F1281">
        <v>2</v>
      </c>
      <c r="G1281" s="7">
        <v>24290</v>
      </c>
      <c r="H1281">
        <v>0</v>
      </c>
      <c r="I1281" s="3" t="s">
        <v>9654</v>
      </c>
      <c r="J1281" s="3" t="s">
        <v>11</v>
      </c>
      <c r="K1281" s="3" t="s">
        <v>11</v>
      </c>
      <c r="L1281" s="3" t="s">
        <v>41</v>
      </c>
      <c r="M1281">
        <v>60</v>
      </c>
      <c r="N1281" s="3"/>
    </row>
    <row r="1282" spans="1:14" x14ac:dyDescent="0.25">
      <c r="A1282" s="3" t="s">
        <v>1312</v>
      </c>
      <c r="B1282">
        <v>1965</v>
      </c>
      <c r="C1282">
        <v>1965</v>
      </c>
      <c r="D1282" s="3" t="s">
        <v>17</v>
      </c>
      <c r="E1282" s="3" t="s">
        <v>17</v>
      </c>
      <c r="F1282">
        <v>27</v>
      </c>
      <c r="G1282" s="7">
        <v>23920</v>
      </c>
      <c r="H1282">
        <v>0</v>
      </c>
      <c r="I1282" s="3" t="s">
        <v>9655</v>
      </c>
      <c r="J1282" s="3" t="s">
        <v>11</v>
      </c>
      <c r="K1282" s="3" t="s">
        <v>11</v>
      </c>
      <c r="L1282" s="3" t="s">
        <v>22</v>
      </c>
      <c r="M1282">
        <v>61</v>
      </c>
      <c r="N1282" s="3"/>
    </row>
    <row r="1283" spans="1:14" x14ac:dyDescent="0.25">
      <c r="A1283" s="3" t="s">
        <v>1313</v>
      </c>
      <c r="B1283">
        <v>1992</v>
      </c>
      <c r="C1283">
        <v>1992</v>
      </c>
      <c r="D1283" s="3" t="s">
        <v>9</v>
      </c>
      <c r="E1283" s="3" t="s">
        <v>9</v>
      </c>
      <c r="F1283">
        <v>23</v>
      </c>
      <c r="G1283" s="7">
        <v>33808</v>
      </c>
      <c r="H1283">
        <v>0</v>
      </c>
      <c r="I1283" s="3" t="s">
        <v>9656</v>
      </c>
      <c r="J1283" s="3" t="s">
        <v>11</v>
      </c>
      <c r="K1283" s="3" t="s">
        <v>11</v>
      </c>
      <c r="L1283" s="3" t="s">
        <v>534</v>
      </c>
      <c r="M1283">
        <v>34</v>
      </c>
      <c r="N1283" s="3"/>
    </row>
    <row r="1284" spans="1:14" x14ac:dyDescent="0.25">
      <c r="A1284" s="3" t="s">
        <v>1314</v>
      </c>
      <c r="B1284">
        <v>1990</v>
      </c>
      <c r="C1284">
        <v>1990</v>
      </c>
      <c r="D1284" s="3" t="s">
        <v>9</v>
      </c>
      <c r="E1284" s="3" t="s">
        <v>9</v>
      </c>
      <c r="F1284">
        <v>6</v>
      </c>
      <c r="G1284" s="7">
        <v>33060</v>
      </c>
      <c r="H1284">
        <v>3</v>
      </c>
      <c r="I1284" s="3" t="s">
        <v>9657</v>
      </c>
      <c r="J1284" s="3" t="s">
        <v>11</v>
      </c>
      <c r="K1284" s="3" t="s">
        <v>11</v>
      </c>
      <c r="L1284" s="3" t="s">
        <v>22</v>
      </c>
      <c r="M1284">
        <v>36</v>
      </c>
      <c r="N1284" s="3"/>
    </row>
    <row r="1285" spans="1:14" x14ac:dyDescent="0.25">
      <c r="A1285" s="3" t="s">
        <v>1315</v>
      </c>
      <c r="B1285">
        <v>1964</v>
      </c>
      <c r="C1285">
        <v>1964</v>
      </c>
      <c r="D1285" s="3" t="s">
        <v>34</v>
      </c>
      <c r="E1285" s="3" t="s">
        <v>34</v>
      </c>
      <c r="F1285">
        <v>8</v>
      </c>
      <c r="G1285" s="7">
        <v>23597</v>
      </c>
      <c r="H1285">
        <v>0</v>
      </c>
      <c r="I1285" s="3" t="s">
        <v>9658</v>
      </c>
      <c r="J1285" s="3" t="s">
        <v>11</v>
      </c>
      <c r="K1285" s="3" t="s">
        <v>11</v>
      </c>
      <c r="L1285" s="3" t="s">
        <v>12</v>
      </c>
      <c r="M1285">
        <v>62</v>
      </c>
      <c r="N1285" s="3"/>
    </row>
    <row r="1286" spans="1:14" x14ac:dyDescent="0.25">
      <c r="A1286" s="3" t="s">
        <v>1316</v>
      </c>
      <c r="B1286">
        <v>1976</v>
      </c>
      <c r="C1286">
        <v>1976</v>
      </c>
      <c r="D1286" s="3" t="s">
        <v>14</v>
      </c>
      <c r="E1286" s="3" t="s">
        <v>14</v>
      </c>
      <c r="F1286">
        <v>22</v>
      </c>
      <c r="G1286" s="7">
        <v>28086</v>
      </c>
      <c r="H1286">
        <v>2</v>
      </c>
      <c r="I1286" s="3" t="s">
        <v>9659</v>
      </c>
      <c r="J1286" s="3" t="s">
        <v>11</v>
      </c>
      <c r="K1286" s="3" t="s">
        <v>10</v>
      </c>
      <c r="L1286" s="3" t="s">
        <v>299</v>
      </c>
      <c r="M1286">
        <v>50</v>
      </c>
      <c r="N1286" s="3"/>
    </row>
    <row r="1287" spans="1:14" x14ac:dyDescent="0.25">
      <c r="A1287" s="3" t="s">
        <v>1317</v>
      </c>
      <c r="B1287">
        <v>1962</v>
      </c>
      <c r="C1287">
        <v>1962</v>
      </c>
      <c r="D1287" s="3" t="s">
        <v>19</v>
      </c>
      <c r="E1287" s="3" t="s">
        <v>19</v>
      </c>
      <c r="F1287">
        <v>7</v>
      </c>
      <c r="G1287" s="7">
        <v>22896</v>
      </c>
      <c r="H1287">
        <v>0</v>
      </c>
      <c r="I1287" s="3" t="s">
        <v>9660</v>
      </c>
      <c r="J1287" s="3" t="s">
        <v>11</v>
      </c>
      <c r="K1287" s="3" t="s">
        <v>11</v>
      </c>
      <c r="L1287" s="3" t="s">
        <v>12</v>
      </c>
      <c r="M1287">
        <v>64</v>
      </c>
      <c r="N1287" s="3"/>
    </row>
    <row r="1288" spans="1:14" x14ac:dyDescent="0.25">
      <c r="A1288" s="3" t="s">
        <v>1318</v>
      </c>
      <c r="B1288">
        <v>1977</v>
      </c>
      <c r="C1288">
        <v>1977</v>
      </c>
      <c r="D1288" s="3" t="s">
        <v>34</v>
      </c>
      <c r="E1288" s="3" t="s">
        <v>34</v>
      </c>
      <c r="F1288">
        <v>2</v>
      </c>
      <c r="G1288" s="7">
        <v>28339</v>
      </c>
      <c r="H1288">
        <v>2</v>
      </c>
      <c r="I1288" s="3" t="s">
        <v>9661</v>
      </c>
      <c r="J1288" s="3" t="s">
        <v>11</v>
      </c>
      <c r="K1288" s="3" t="s">
        <v>10</v>
      </c>
      <c r="L1288" s="3" t="s">
        <v>299</v>
      </c>
      <c r="M1288">
        <v>49</v>
      </c>
      <c r="N1288" s="3"/>
    </row>
    <row r="1289" spans="1:14" x14ac:dyDescent="0.25">
      <c r="A1289" s="3" t="s">
        <v>1319</v>
      </c>
      <c r="B1289">
        <v>1976</v>
      </c>
      <c r="C1289">
        <v>1976</v>
      </c>
      <c r="D1289" s="3" t="s">
        <v>19</v>
      </c>
      <c r="E1289" s="3" t="s">
        <v>19</v>
      </c>
      <c r="F1289">
        <v>30</v>
      </c>
      <c r="G1289" s="7">
        <v>28033</v>
      </c>
      <c r="H1289">
        <v>2</v>
      </c>
      <c r="I1289" s="3" t="s">
        <v>9662</v>
      </c>
      <c r="J1289" s="3" t="s">
        <v>11</v>
      </c>
      <c r="K1289" s="3" t="s">
        <v>15</v>
      </c>
      <c r="L1289" s="3" t="s">
        <v>199</v>
      </c>
      <c r="M1289">
        <v>50</v>
      </c>
      <c r="N1289" s="3"/>
    </row>
    <row r="1290" spans="1:14" x14ac:dyDescent="0.25">
      <c r="A1290" s="3" t="s">
        <v>1320</v>
      </c>
      <c r="B1290">
        <v>1972</v>
      </c>
      <c r="C1290">
        <v>1972</v>
      </c>
      <c r="D1290" s="3" t="s">
        <v>36</v>
      </c>
      <c r="E1290" s="3" t="s">
        <v>36</v>
      </c>
      <c r="F1290">
        <v>24</v>
      </c>
      <c r="G1290" s="7">
        <v>26596</v>
      </c>
      <c r="H1290">
        <v>3</v>
      </c>
      <c r="I1290" s="3" t="s">
        <v>9663</v>
      </c>
      <c r="J1290" s="3" t="s">
        <v>11</v>
      </c>
      <c r="K1290" s="3" t="s">
        <v>11</v>
      </c>
      <c r="L1290" s="3" t="s">
        <v>12</v>
      </c>
      <c r="M1290">
        <v>54</v>
      </c>
      <c r="N1290" s="3"/>
    </row>
    <row r="1291" spans="1:14" x14ac:dyDescent="0.25">
      <c r="A1291" s="3" t="s">
        <v>1321</v>
      </c>
      <c r="B1291">
        <v>1967</v>
      </c>
      <c r="C1291">
        <v>1967</v>
      </c>
      <c r="D1291" s="3" t="s">
        <v>9</v>
      </c>
      <c r="E1291" s="3" t="s">
        <v>9</v>
      </c>
      <c r="F1291">
        <v>30</v>
      </c>
      <c r="G1291" s="7">
        <v>24683</v>
      </c>
      <c r="H1291">
        <v>0</v>
      </c>
      <c r="I1291" s="3" t="s">
        <v>9664</v>
      </c>
      <c r="J1291" s="3" t="s">
        <v>11</v>
      </c>
      <c r="K1291" s="3" t="s">
        <v>10</v>
      </c>
      <c r="L1291" s="3" t="s">
        <v>41</v>
      </c>
      <c r="M1291">
        <v>59</v>
      </c>
      <c r="N1291" s="3"/>
    </row>
    <row r="1292" spans="1:14" x14ac:dyDescent="0.25">
      <c r="A1292" s="3" t="s">
        <v>1322</v>
      </c>
      <c r="B1292">
        <v>1967</v>
      </c>
      <c r="C1292">
        <v>1967</v>
      </c>
      <c r="D1292" s="3" t="s">
        <v>36</v>
      </c>
      <c r="E1292" s="3" t="s">
        <v>36</v>
      </c>
      <c r="F1292">
        <v>5</v>
      </c>
      <c r="G1292" s="7">
        <v>24750</v>
      </c>
      <c r="H1292">
        <v>0</v>
      </c>
      <c r="I1292" s="3" t="s">
        <v>9665</v>
      </c>
      <c r="J1292" s="3" t="s">
        <v>11</v>
      </c>
      <c r="K1292" s="3" t="s">
        <v>11</v>
      </c>
      <c r="L1292" s="3" t="s">
        <v>41</v>
      </c>
      <c r="M1292">
        <v>59</v>
      </c>
      <c r="N1292" s="3"/>
    </row>
    <row r="1293" spans="1:14" x14ac:dyDescent="0.25">
      <c r="A1293" s="3" t="s">
        <v>1323</v>
      </c>
      <c r="B1293">
        <v>1992</v>
      </c>
      <c r="C1293">
        <v>1992</v>
      </c>
      <c r="D1293" s="3" t="s">
        <v>17</v>
      </c>
      <c r="E1293" s="3" t="s">
        <v>17</v>
      </c>
      <c r="F1293">
        <v>25</v>
      </c>
      <c r="G1293" s="7">
        <v>33780</v>
      </c>
      <c r="H1293">
        <v>0</v>
      </c>
      <c r="I1293" s="3" t="s">
        <v>9666</v>
      </c>
      <c r="J1293" s="3" t="s">
        <v>11</v>
      </c>
      <c r="K1293" s="3" t="s">
        <v>15</v>
      </c>
      <c r="L1293" s="3" t="s">
        <v>22</v>
      </c>
      <c r="M1293">
        <v>34</v>
      </c>
      <c r="N1293" s="3"/>
    </row>
    <row r="1294" spans="1:14" x14ac:dyDescent="0.25">
      <c r="A1294" s="3" t="s">
        <v>1324</v>
      </c>
      <c r="B1294">
        <v>1974</v>
      </c>
      <c r="C1294">
        <v>1974</v>
      </c>
      <c r="D1294" s="3" t="s">
        <v>29</v>
      </c>
      <c r="E1294" s="3" t="s">
        <v>29</v>
      </c>
      <c r="F1294">
        <v>9</v>
      </c>
      <c r="G1294" s="7">
        <v>27372</v>
      </c>
      <c r="H1294">
        <v>4</v>
      </c>
      <c r="I1294" s="3" t="s">
        <v>9667</v>
      </c>
      <c r="J1294" s="3" t="s">
        <v>11</v>
      </c>
      <c r="K1294" s="3" t="s">
        <v>15</v>
      </c>
      <c r="L1294" s="3" t="s">
        <v>167</v>
      </c>
      <c r="M1294">
        <v>52</v>
      </c>
      <c r="N1294" s="3"/>
    </row>
    <row r="1295" spans="1:14" x14ac:dyDescent="0.25">
      <c r="A1295" s="3" t="s">
        <v>1325</v>
      </c>
      <c r="B1295">
        <v>1986</v>
      </c>
      <c r="C1295">
        <v>1986</v>
      </c>
      <c r="D1295" s="3" t="s">
        <v>34</v>
      </c>
      <c r="E1295" s="3" t="s">
        <v>34</v>
      </c>
      <c r="F1295">
        <v>29</v>
      </c>
      <c r="G1295" s="7">
        <v>31653</v>
      </c>
      <c r="H1295">
        <v>3</v>
      </c>
      <c r="I1295" s="3" t="s">
        <v>9668</v>
      </c>
      <c r="J1295" s="3" t="s">
        <v>11</v>
      </c>
      <c r="K1295" s="3" t="s">
        <v>15</v>
      </c>
      <c r="L1295" s="3" t="s">
        <v>534</v>
      </c>
      <c r="M1295">
        <v>40</v>
      </c>
      <c r="N1295" s="3"/>
    </row>
    <row r="1296" spans="1:14" x14ac:dyDescent="0.25">
      <c r="A1296" s="3" t="s">
        <v>1326</v>
      </c>
      <c r="B1296">
        <v>1989</v>
      </c>
      <c r="C1296">
        <v>1989</v>
      </c>
      <c r="D1296" s="3" t="s">
        <v>14</v>
      </c>
      <c r="E1296" s="3" t="s">
        <v>14</v>
      </c>
      <c r="F1296">
        <v>25</v>
      </c>
      <c r="G1296" s="7">
        <v>32837</v>
      </c>
      <c r="H1296">
        <v>3</v>
      </c>
      <c r="I1296" s="3" t="s">
        <v>9669</v>
      </c>
      <c r="J1296" s="3" t="s">
        <v>11</v>
      </c>
      <c r="K1296" s="3" t="s">
        <v>10</v>
      </c>
      <c r="L1296" s="3" t="s">
        <v>631</v>
      </c>
      <c r="M1296">
        <v>37</v>
      </c>
      <c r="N1296" s="3"/>
    </row>
    <row r="1297" spans="1:14" x14ac:dyDescent="0.25">
      <c r="A1297" s="3" t="s">
        <v>1327</v>
      </c>
      <c r="B1297">
        <v>1967</v>
      </c>
      <c r="C1297">
        <v>1967</v>
      </c>
      <c r="D1297" s="3" t="s">
        <v>14</v>
      </c>
      <c r="E1297" s="3" t="s">
        <v>14</v>
      </c>
      <c r="F1297">
        <v>11</v>
      </c>
      <c r="G1297" s="7">
        <v>24787</v>
      </c>
      <c r="H1297">
        <v>1</v>
      </c>
      <c r="I1297" s="3" t="s">
        <v>9670</v>
      </c>
      <c r="J1297" s="3" t="s">
        <v>11</v>
      </c>
      <c r="K1297" s="3" t="s">
        <v>10</v>
      </c>
      <c r="L1297" s="3" t="s">
        <v>41</v>
      </c>
      <c r="M1297">
        <v>59</v>
      </c>
      <c r="N1297" s="3"/>
    </row>
    <row r="1298" spans="1:14" x14ac:dyDescent="0.25">
      <c r="A1298" s="3" t="s">
        <v>1328</v>
      </c>
      <c r="B1298">
        <v>1999</v>
      </c>
      <c r="C1298">
        <v>1999</v>
      </c>
      <c r="D1298" s="3" t="s">
        <v>29</v>
      </c>
      <c r="E1298" s="3" t="s">
        <v>29</v>
      </c>
      <c r="F1298">
        <v>24</v>
      </c>
      <c r="G1298" s="7">
        <v>36518</v>
      </c>
      <c r="H1298">
        <v>0</v>
      </c>
      <c r="I1298" s="3" t="s">
        <v>9671</v>
      </c>
      <c r="J1298" s="3" t="s">
        <v>11</v>
      </c>
      <c r="K1298" s="3" t="s">
        <v>15</v>
      </c>
      <c r="L1298" s="3" t="s">
        <v>41</v>
      </c>
      <c r="M1298">
        <v>27</v>
      </c>
      <c r="N1298" s="3"/>
    </row>
    <row r="1299" spans="1:14" x14ac:dyDescent="0.25">
      <c r="A1299" s="3" t="s">
        <v>1329</v>
      </c>
      <c r="B1299">
        <v>1967</v>
      </c>
      <c r="C1299">
        <v>1967</v>
      </c>
      <c r="D1299" s="3" t="s">
        <v>36</v>
      </c>
      <c r="E1299" s="3" t="s">
        <v>36</v>
      </c>
      <c r="F1299">
        <v>23</v>
      </c>
      <c r="G1299" s="7">
        <v>24768</v>
      </c>
      <c r="H1299">
        <v>0</v>
      </c>
      <c r="I1299" s="3" t="s">
        <v>9672</v>
      </c>
      <c r="J1299" s="3" t="s">
        <v>11</v>
      </c>
      <c r="K1299" s="3" t="s">
        <v>15</v>
      </c>
      <c r="L1299" s="3" t="s">
        <v>165</v>
      </c>
      <c r="M1299">
        <v>59</v>
      </c>
      <c r="N1299" s="3"/>
    </row>
    <row r="1300" spans="1:14" x14ac:dyDescent="0.25">
      <c r="A1300" s="3" t="s">
        <v>1330</v>
      </c>
      <c r="B1300">
        <v>1970</v>
      </c>
      <c r="C1300">
        <v>1970</v>
      </c>
      <c r="D1300" s="3" t="s">
        <v>36</v>
      </c>
      <c r="E1300" s="3" t="s">
        <v>36</v>
      </c>
      <c r="F1300">
        <v>28</v>
      </c>
      <c r="G1300" s="7">
        <v>25869</v>
      </c>
      <c r="H1300">
        <v>1</v>
      </c>
      <c r="I1300" s="3" t="s">
        <v>9673</v>
      </c>
      <c r="J1300" s="3" t="s">
        <v>11</v>
      </c>
      <c r="K1300" s="3" t="s">
        <v>10</v>
      </c>
      <c r="L1300" s="3" t="s">
        <v>248</v>
      </c>
      <c r="M1300">
        <v>56</v>
      </c>
      <c r="N1300" s="3"/>
    </row>
    <row r="1301" spans="1:14" x14ac:dyDescent="0.25">
      <c r="A1301" s="3" t="s">
        <v>1331</v>
      </c>
      <c r="B1301">
        <v>1970</v>
      </c>
      <c r="C1301">
        <v>1970</v>
      </c>
      <c r="D1301" s="3" t="s">
        <v>29</v>
      </c>
      <c r="E1301" s="3" t="s">
        <v>29</v>
      </c>
      <c r="F1301">
        <v>18</v>
      </c>
      <c r="G1301" s="7">
        <v>25920</v>
      </c>
      <c r="H1301">
        <v>2</v>
      </c>
      <c r="I1301" s="3" t="s">
        <v>9674</v>
      </c>
      <c r="J1301" s="3" t="s">
        <v>11</v>
      </c>
      <c r="K1301" s="3" t="s">
        <v>10</v>
      </c>
      <c r="L1301" s="3" t="s">
        <v>41</v>
      </c>
      <c r="M1301">
        <v>56</v>
      </c>
      <c r="N1301" s="3"/>
    </row>
    <row r="1302" spans="1:14" x14ac:dyDescent="0.25">
      <c r="A1302" s="3" t="s">
        <v>1332</v>
      </c>
      <c r="B1302">
        <v>1967</v>
      </c>
      <c r="C1302">
        <v>1967</v>
      </c>
      <c r="D1302" s="3" t="s">
        <v>36</v>
      </c>
      <c r="E1302" s="3" t="s">
        <v>36</v>
      </c>
      <c r="F1302">
        <v>2</v>
      </c>
      <c r="G1302" s="7">
        <v>24747</v>
      </c>
      <c r="H1302">
        <v>1</v>
      </c>
      <c r="I1302" s="3" t="s">
        <v>9675</v>
      </c>
      <c r="J1302" s="3" t="s">
        <v>11</v>
      </c>
      <c r="K1302" s="3" t="s">
        <v>10</v>
      </c>
      <c r="L1302" s="3" t="s">
        <v>12</v>
      </c>
      <c r="M1302">
        <v>59</v>
      </c>
      <c r="N1302" s="3"/>
    </row>
    <row r="1303" spans="1:14" x14ac:dyDescent="0.25">
      <c r="A1303" s="3" t="s">
        <v>1333</v>
      </c>
      <c r="B1303">
        <v>1968</v>
      </c>
      <c r="C1303">
        <v>1968</v>
      </c>
      <c r="D1303" s="3" t="s">
        <v>9</v>
      </c>
      <c r="E1303" s="3" t="s">
        <v>9</v>
      </c>
      <c r="F1303">
        <v>28</v>
      </c>
      <c r="G1303" s="7">
        <v>25047</v>
      </c>
      <c r="H1303">
        <v>1</v>
      </c>
      <c r="I1303" s="3" t="s">
        <v>9676</v>
      </c>
      <c r="J1303" s="3" t="s">
        <v>11</v>
      </c>
      <c r="K1303" s="3" t="s">
        <v>11</v>
      </c>
      <c r="L1303" s="3" t="s">
        <v>22</v>
      </c>
      <c r="M1303">
        <v>58</v>
      </c>
      <c r="N1303" s="3"/>
    </row>
    <row r="1304" spans="1:14" x14ac:dyDescent="0.25">
      <c r="A1304" s="3" t="s">
        <v>1334</v>
      </c>
      <c r="B1304">
        <v>1971</v>
      </c>
      <c r="C1304">
        <v>1971</v>
      </c>
      <c r="D1304" s="3" t="s">
        <v>29</v>
      </c>
      <c r="E1304" s="3" t="s">
        <v>29</v>
      </c>
      <c r="F1304">
        <v>20</v>
      </c>
      <c r="G1304" s="7">
        <v>26287</v>
      </c>
      <c r="H1304">
        <v>2</v>
      </c>
      <c r="I1304" s="3" t="s">
        <v>9677</v>
      </c>
      <c r="J1304" s="3" t="s">
        <v>11</v>
      </c>
      <c r="K1304" s="3" t="s">
        <v>11</v>
      </c>
      <c r="L1304" s="3" t="s">
        <v>22</v>
      </c>
      <c r="M1304">
        <v>55</v>
      </c>
      <c r="N1304" s="3"/>
    </row>
    <row r="1305" spans="1:14" x14ac:dyDescent="0.25">
      <c r="A1305" s="3" t="s">
        <v>1335</v>
      </c>
      <c r="B1305">
        <v>1994</v>
      </c>
      <c r="C1305">
        <v>1994</v>
      </c>
      <c r="D1305" s="3" t="s">
        <v>19</v>
      </c>
      <c r="E1305" s="3" t="s">
        <v>19</v>
      </c>
      <c r="F1305">
        <v>6</v>
      </c>
      <c r="G1305" s="7">
        <v>34583</v>
      </c>
      <c r="H1305">
        <v>0</v>
      </c>
      <c r="I1305" s="3" t="s">
        <v>9678</v>
      </c>
      <c r="J1305" s="3" t="s">
        <v>11</v>
      </c>
      <c r="K1305" s="3" t="s">
        <v>11</v>
      </c>
      <c r="L1305" s="3" t="s">
        <v>22</v>
      </c>
      <c r="M1305">
        <v>32</v>
      </c>
      <c r="N1305" s="3"/>
    </row>
    <row r="1306" spans="1:14" x14ac:dyDescent="0.25">
      <c r="A1306" s="3" t="s">
        <v>1336</v>
      </c>
      <c r="B1306">
        <v>1968</v>
      </c>
      <c r="C1306">
        <v>1968</v>
      </c>
      <c r="D1306" s="3" t="s">
        <v>14</v>
      </c>
      <c r="E1306" s="3" t="s">
        <v>14</v>
      </c>
      <c r="F1306">
        <v>13</v>
      </c>
      <c r="G1306" s="7">
        <v>25155</v>
      </c>
      <c r="H1306">
        <v>0</v>
      </c>
      <c r="I1306" s="3" t="s">
        <v>9679</v>
      </c>
      <c r="J1306" s="3" t="s">
        <v>11</v>
      </c>
      <c r="K1306" s="3" t="s">
        <v>15</v>
      </c>
      <c r="L1306" s="3" t="s">
        <v>246</v>
      </c>
      <c r="M1306">
        <v>58</v>
      </c>
      <c r="N1306" s="3"/>
    </row>
    <row r="1307" spans="1:14" x14ac:dyDescent="0.25">
      <c r="A1307" s="3" t="s">
        <v>1337</v>
      </c>
      <c r="B1307">
        <v>1968</v>
      </c>
      <c r="C1307">
        <v>1968</v>
      </c>
      <c r="D1307" s="3" t="s">
        <v>14</v>
      </c>
      <c r="E1307" s="3" t="s">
        <v>14</v>
      </c>
      <c r="F1307">
        <v>12</v>
      </c>
      <c r="G1307" s="7">
        <v>25154</v>
      </c>
      <c r="H1307">
        <v>1</v>
      </c>
      <c r="I1307" s="3" t="s">
        <v>9680</v>
      </c>
      <c r="J1307" s="3" t="s">
        <v>11</v>
      </c>
      <c r="K1307" s="3" t="s">
        <v>11</v>
      </c>
      <c r="L1307" s="3" t="s">
        <v>12</v>
      </c>
      <c r="M1307">
        <v>58</v>
      </c>
      <c r="N1307" s="3"/>
    </row>
    <row r="1308" spans="1:14" x14ac:dyDescent="0.25">
      <c r="A1308" s="3" t="s">
        <v>1338</v>
      </c>
      <c r="B1308">
        <v>1969</v>
      </c>
      <c r="C1308">
        <v>1969</v>
      </c>
      <c r="D1308" s="3" t="s">
        <v>14</v>
      </c>
      <c r="E1308" s="3" t="s">
        <v>14</v>
      </c>
      <c r="F1308">
        <v>10</v>
      </c>
      <c r="G1308" s="7">
        <v>25517</v>
      </c>
      <c r="H1308">
        <v>1</v>
      </c>
      <c r="I1308" s="3" t="s">
        <v>9681</v>
      </c>
      <c r="J1308" s="3" t="s">
        <v>11</v>
      </c>
      <c r="K1308" s="3" t="s">
        <v>11</v>
      </c>
      <c r="L1308" s="3" t="s">
        <v>22</v>
      </c>
      <c r="M1308">
        <v>57</v>
      </c>
      <c r="N1308" s="3"/>
    </row>
    <row r="1309" spans="1:14" x14ac:dyDescent="0.25">
      <c r="A1309" s="3" t="s">
        <v>1339</v>
      </c>
      <c r="B1309">
        <v>1965</v>
      </c>
      <c r="C1309">
        <v>1965</v>
      </c>
      <c r="D1309" s="3" t="s">
        <v>29</v>
      </c>
      <c r="E1309" s="3" t="s">
        <v>29</v>
      </c>
      <c r="F1309">
        <v>4</v>
      </c>
      <c r="G1309" s="7">
        <v>24080</v>
      </c>
      <c r="H1309">
        <v>0</v>
      </c>
      <c r="I1309" s="3" t="s">
        <v>9682</v>
      </c>
      <c r="J1309" s="3" t="s">
        <v>11</v>
      </c>
      <c r="K1309" s="3" t="s">
        <v>11</v>
      </c>
      <c r="L1309" s="3" t="s">
        <v>41</v>
      </c>
      <c r="M1309">
        <v>61</v>
      </c>
      <c r="N1309" s="3"/>
    </row>
    <row r="1310" spans="1:14" x14ac:dyDescent="0.25">
      <c r="A1310" s="3" t="s">
        <v>1340</v>
      </c>
      <c r="B1310">
        <v>1969</v>
      </c>
      <c r="C1310">
        <v>1969</v>
      </c>
      <c r="D1310" s="3" t="s">
        <v>34</v>
      </c>
      <c r="E1310" s="3" t="s">
        <v>34</v>
      </c>
      <c r="F1310">
        <v>14</v>
      </c>
      <c r="G1310" s="7">
        <v>25429</v>
      </c>
      <c r="H1310">
        <v>1</v>
      </c>
      <c r="I1310" s="3" t="s">
        <v>9683</v>
      </c>
      <c r="J1310" s="3" t="s">
        <v>11</v>
      </c>
      <c r="K1310" s="3" t="s">
        <v>11</v>
      </c>
      <c r="L1310" s="3" t="s">
        <v>22</v>
      </c>
      <c r="M1310">
        <v>57</v>
      </c>
      <c r="N1310" s="3"/>
    </row>
    <row r="1311" spans="1:14" x14ac:dyDescent="0.25">
      <c r="A1311" s="3" t="s">
        <v>1341</v>
      </c>
      <c r="B1311">
        <v>1965</v>
      </c>
      <c r="C1311">
        <v>1965</v>
      </c>
      <c r="D1311" s="3" t="s">
        <v>17</v>
      </c>
      <c r="E1311" s="3" t="s">
        <v>17</v>
      </c>
      <c r="F1311">
        <v>19</v>
      </c>
      <c r="G1311" s="7">
        <v>23912</v>
      </c>
      <c r="H1311">
        <v>0</v>
      </c>
      <c r="I1311" s="3" t="s">
        <v>9684</v>
      </c>
      <c r="J1311" s="3" t="s">
        <v>11</v>
      </c>
      <c r="K1311" s="3" t="s">
        <v>10</v>
      </c>
      <c r="L1311" s="3" t="s">
        <v>41</v>
      </c>
      <c r="M1311">
        <v>61</v>
      </c>
      <c r="N1311" s="3"/>
    </row>
    <row r="1312" spans="1:14" x14ac:dyDescent="0.25">
      <c r="A1312" s="3" t="s">
        <v>1342</v>
      </c>
      <c r="B1312">
        <v>1966</v>
      </c>
      <c r="C1312">
        <v>1966</v>
      </c>
      <c r="D1312" s="3" t="s">
        <v>9</v>
      </c>
      <c r="E1312" s="3" t="s">
        <v>9</v>
      </c>
      <c r="F1312">
        <v>9</v>
      </c>
      <c r="G1312" s="7">
        <v>24297</v>
      </c>
      <c r="H1312">
        <v>0</v>
      </c>
      <c r="I1312" s="3" t="s">
        <v>9685</v>
      </c>
      <c r="J1312" s="3" t="s">
        <v>11</v>
      </c>
      <c r="K1312" s="3" t="s">
        <v>10</v>
      </c>
      <c r="L1312" s="3" t="s">
        <v>22</v>
      </c>
      <c r="M1312">
        <v>60</v>
      </c>
      <c r="N1312" s="3"/>
    </row>
    <row r="1313" spans="1:14" x14ac:dyDescent="0.25">
      <c r="A1313" s="3" t="s">
        <v>1343</v>
      </c>
      <c r="B1313">
        <v>1973</v>
      </c>
      <c r="C1313">
        <v>1973</v>
      </c>
      <c r="D1313" s="3" t="s">
        <v>36</v>
      </c>
      <c r="E1313" s="3" t="s">
        <v>36</v>
      </c>
      <c r="F1313">
        <v>21</v>
      </c>
      <c r="G1313" s="7">
        <v>26958</v>
      </c>
      <c r="H1313">
        <v>4</v>
      </c>
      <c r="I1313" s="3" t="s">
        <v>9686</v>
      </c>
      <c r="J1313" s="3" t="s">
        <v>11</v>
      </c>
      <c r="K1313" s="3" t="s">
        <v>15</v>
      </c>
      <c r="L1313" s="3" t="s">
        <v>12</v>
      </c>
      <c r="M1313">
        <v>53</v>
      </c>
      <c r="N1313" s="3"/>
    </row>
    <row r="1314" spans="1:14" x14ac:dyDescent="0.25">
      <c r="A1314" s="3" t="s">
        <v>1344</v>
      </c>
      <c r="B1314">
        <v>1965</v>
      </c>
      <c r="C1314">
        <v>1965</v>
      </c>
      <c r="D1314" s="3" t="s">
        <v>29</v>
      </c>
      <c r="E1314" s="3" t="s">
        <v>29</v>
      </c>
      <c r="F1314">
        <v>18</v>
      </c>
      <c r="G1314" s="7">
        <v>24094</v>
      </c>
      <c r="H1314">
        <v>0</v>
      </c>
      <c r="I1314" s="3" t="s">
        <v>9687</v>
      </c>
      <c r="J1314" s="3" t="s">
        <v>11</v>
      </c>
      <c r="K1314" s="3" t="s">
        <v>11</v>
      </c>
      <c r="L1314" s="3" t="s">
        <v>12</v>
      </c>
      <c r="M1314">
        <v>61</v>
      </c>
      <c r="N1314" s="3"/>
    </row>
    <row r="1315" spans="1:14" x14ac:dyDescent="0.25">
      <c r="A1315" s="3" t="s">
        <v>1345</v>
      </c>
      <c r="B1315">
        <v>2000</v>
      </c>
      <c r="C1315">
        <v>2000</v>
      </c>
      <c r="D1315" s="3" t="s">
        <v>19</v>
      </c>
      <c r="E1315" s="3" t="s">
        <v>19</v>
      </c>
      <c r="F1315">
        <v>17</v>
      </c>
      <c r="G1315" s="7">
        <v>36786</v>
      </c>
      <c r="H1315">
        <v>0</v>
      </c>
      <c r="I1315" s="3" t="s">
        <v>9688</v>
      </c>
      <c r="J1315" s="3" t="s">
        <v>11</v>
      </c>
      <c r="K1315" s="3" t="s">
        <v>11</v>
      </c>
      <c r="L1315" s="3" t="s">
        <v>22</v>
      </c>
      <c r="M1315">
        <v>26</v>
      </c>
      <c r="N1315" s="3"/>
    </row>
    <row r="1316" spans="1:14" x14ac:dyDescent="0.25">
      <c r="A1316" s="3" t="s">
        <v>1346</v>
      </c>
      <c r="B1316">
        <v>1968</v>
      </c>
      <c r="C1316">
        <v>1968</v>
      </c>
      <c r="D1316" s="3" t="s">
        <v>36</v>
      </c>
      <c r="E1316" s="3" t="s">
        <v>36</v>
      </c>
      <c r="F1316">
        <v>24</v>
      </c>
      <c r="G1316" s="7">
        <v>25135</v>
      </c>
      <c r="H1316">
        <v>2</v>
      </c>
      <c r="I1316" s="3" t="s">
        <v>9689</v>
      </c>
      <c r="J1316" s="3" t="s">
        <v>11</v>
      </c>
      <c r="K1316" s="3" t="s">
        <v>15</v>
      </c>
      <c r="L1316" s="3" t="s">
        <v>12</v>
      </c>
      <c r="M1316">
        <v>58</v>
      </c>
      <c r="N1316" s="3"/>
    </row>
    <row r="1317" spans="1:14" x14ac:dyDescent="0.25">
      <c r="A1317" s="3" t="s">
        <v>1347</v>
      </c>
      <c r="B1317">
        <v>1974</v>
      </c>
      <c r="C1317">
        <v>1974</v>
      </c>
      <c r="D1317" s="3" t="s">
        <v>29</v>
      </c>
      <c r="E1317" s="3" t="s">
        <v>29</v>
      </c>
      <c r="F1317">
        <v>15</v>
      </c>
      <c r="G1317" s="7">
        <v>27378</v>
      </c>
      <c r="H1317">
        <v>4</v>
      </c>
      <c r="I1317" s="3" t="s">
        <v>9690</v>
      </c>
      <c r="J1317" s="3" t="s">
        <v>11</v>
      </c>
      <c r="K1317" s="3" t="s">
        <v>15</v>
      </c>
      <c r="L1317" s="3" t="s">
        <v>22</v>
      </c>
      <c r="M1317">
        <v>52</v>
      </c>
      <c r="N1317" s="3"/>
    </row>
    <row r="1318" spans="1:14" x14ac:dyDescent="0.25">
      <c r="A1318" s="3" t="s">
        <v>1348</v>
      </c>
      <c r="B1318">
        <v>1991</v>
      </c>
      <c r="C1318">
        <v>1991</v>
      </c>
      <c r="D1318" s="3" t="s">
        <v>17</v>
      </c>
      <c r="E1318" s="3" t="s">
        <v>17</v>
      </c>
      <c r="F1318">
        <v>26</v>
      </c>
      <c r="G1318" s="7">
        <v>33415</v>
      </c>
      <c r="H1318">
        <v>3</v>
      </c>
      <c r="I1318" s="3" t="s">
        <v>9691</v>
      </c>
      <c r="J1318" s="3" t="s">
        <v>11</v>
      </c>
      <c r="K1318" s="3" t="s">
        <v>10</v>
      </c>
      <c r="L1318" s="3" t="s">
        <v>22</v>
      </c>
      <c r="M1318">
        <v>35</v>
      </c>
      <c r="N1318" s="3"/>
    </row>
    <row r="1319" spans="1:14" x14ac:dyDescent="0.25">
      <c r="A1319" s="3" t="s">
        <v>1349</v>
      </c>
      <c r="B1319">
        <v>1996</v>
      </c>
      <c r="C1319">
        <v>1996</v>
      </c>
      <c r="D1319" s="3" t="s">
        <v>9</v>
      </c>
      <c r="E1319" s="3" t="s">
        <v>9</v>
      </c>
      <c r="F1319">
        <v>21</v>
      </c>
      <c r="G1319" s="7">
        <v>35267</v>
      </c>
      <c r="H1319">
        <v>0</v>
      </c>
      <c r="I1319" s="3" t="s">
        <v>9692</v>
      </c>
      <c r="J1319" s="3" t="s">
        <v>11</v>
      </c>
      <c r="K1319" s="3" t="s">
        <v>11</v>
      </c>
      <c r="L1319" s="3" t="s">
        <v>22</v>
      </c>
      <c r="M1319">
        <v>30</v>
      </c>
      <c r="N1319" s="3"/>
    </row>
    <row r="1320" spans="1:14" x14ac:dyDescent="0.25">
      <c r="A1320" s="3" t="s">
        <v>1350</v>
      </c>
      <c r="B1320">
        <v>1974</v>
      </c>
      <c r="C1320">
        <v>1974</v>
      </c>
      <c r="D1320" s="3" t="s">
        <v>29</v>
      </c>
      <c r="E1320" s="3" t="s">
        <v>29</v>
      </c>
      <c r="F1320">
        <v>10</v>
      </c>
      <c r="G1320" s="7">
        <v>27373</v>
      </c>
      <c r="H1320">
        <v>4</v>
      </c>
      <c r="I1320" s="3" t="s">
        <v>9693</v>
      </c>
      <c r="J1320" s="3" t="s">
        <v>11</v>
      </c>
      <c r="K1320" s="3" t="s">
        <v>11</v>
      </c>
      <c r="L1320" s="3" t="s">
        <v>22</v>
      </c>
      <c r="M1320">
        <v>52</v>
      </c>
      <c r="N1320" s="3"/>
    </row>
    <row r="1321" spans="1:14" x14ac:dyDescent="0.25">
      <c r="A1321" s="3" t="s">
        <v>1351</v>
      </c>
      <c r="B1321">
        <v>1989</v>
      </c>
      <c r="C1321">
        <v>1989</v>
      </c>
      <c r="D1321" s="3" t="s">
        <v>36</v>
      </c>
      <c r="E1321" s="3" t="s">
        <v>36</v>
      </c>
      <c r="F1321">
        <v>25</v>
      </c>
      <c r="G1321" s="7">
        <v>32806</v>
      </c>
      <c r="H1321">
        <v>3</v>
      </c>
      <c r="I1321" s="3" t="s">
        <v>9694</v>
      </c>
      <c r="J1321" s="3" t="s">
        <v>11</v>
      </c>
      <c r="K1321" s="3" t="s">
        <v>15</v>
      </c>
      <c r="L1321" s="3" t="s">
        <v>22</v>
      </c>
      <c r="M1321">
        <v>37</v>
      </c>
      <c r="N1321" s="3"/>
    </row>
    <row r="1322" spans="1:14" x14ac:dyDescent="0.25">
      <c r="A1322" s="3" t="s">
        <v>1352</v>
      </c>
      <c r="B1322">
        <v>1974</v>
      </c>
      <c r="C1322">
        <v>1974</v>
      </c>
      <c r="D1322" s="3" t="s">
        <v>34</v>
      </c>
      <c r="E1322" s="3" t="s">
        <v>34</v>
      </c>
      <c r="F1322">
        <v>30</v>
      </c>
      <c r="G1322" s="7">
        <v>27271</v>
      </c>
      <c r="H1322">
        <v>0</v>
      </c>
      <c r="I1322" s="3" t="s">
        <v>9695</v>
      </c>
      <c r="J1322" s="3" t="s">
        <v>11</v>
      </c>
      <c r="K1322" s="3" t="s">
        <v>10</v>
      </c>
      <c r="L1322" s="3" t="s">
        <v>199</v>
      </c>
      <c r="M1322">
        <v>52</v>
      </c>
      <c r="N1322" s="3"/>
    </row>
    <row r="1323" spans="1:14" x14ac:dyDescent="0.25">
      <c r="A1323" s="3" t="s">
        <v>1353</v>
      </c>
      <c r="B1323">
        <v>2001</v>
      </c>
      <c r="C1323">
        <v>2001</v>
      </c>
      <c r="D1323" s="3" t="s">
        <v>29</v>
      </c>
      <c r="E1323" s="3" t="s">
        <v>29</v>
      </c>
      <c r="F1323">
        <v>17</v>
      </c>
      <c r="G1323" s="7">
        <v>37242</v>
      </c>
      <c r="H1323">
        <v>0</v>
      </c>
      <c r="I1323" s="3" t="s">
        <v>9696</v>
      </c>
      <c r="J1323" s="3" t="s">
        <v>11</v>
      </c>
      <c r="K1323" s="3" t="s">
        <v>15</v>
      </c>
      <c r="L1323" s="3" t="s">
        <v>534</v>
      </c>
      <c r="M1323">
        <v>25</v>
      </c>
      <c r="N1323" s="3"/>
    </row>
    <row r="1324" spans="1:14" x14ac:dyDescent="0.25">
      <c r="A1324" s="3" t="s">
        <v>1354</v>
      </c>
      <c r="B1324">
        <v>2000</v>
      </c>
      <c r="C1324">
        <v>2000</v>
      </c>
      <c r="D1324" s="3" t="s">
        <v>19</v>
      </c>
      <c r="E1324" s="3" t="s">
        <v>19</v>
      </c>
      <c r="F1324">
        <v>18</v>
      </c>
      <c r="G1324" s="7">
        <v>36787</v>
      </c>
      <c r="H1324">
        <v>0</v>
      </c>
      <c r="I1324" s="3" t="s">
        <v>9697</v>
      </c>
      <c r="J1324" s="3" t="s">
        <v>11</v>
      </c>
      <c r="K1324" s="3" t="s">
        <v>15</v>
      </c>
      <c r="L1324" s="3" t="s">
        <v>41</v>
      </c>
      <c r="M1324">
        <v>26</v>
      </c>
      <c r="N1324" s="3"/>
    </row>
    <row r="1325" spans="1:14" x14ac:dyDescent="0.25">
      <c r="A1325" s="3" t="s">
        <v>1355</v>
      </c>
      <c r="B1325">
        <v>1971</v>
      </c>
      <c r="C1325">
        <v>1971</v>
      </c>
      <c r="D1325" s="3" t="s">
        <v>14</v>
      </c>
      <c r="E1325" s="3" t="s">
        <v>14</v>
      </c>
      <c r="F1325">
        <v>9</v>
      </c>
      <c r="G1325" s="7">
        <v>26246</v>
      </c>
      <c r="H1325">
        <v>0</v>
      </c>
      <c r="I1325" s="3" t="s">
        <v>9698</v>
      </c>
      <c r="J1325" s="3" t="s">
        <v>11</v>
      </c>
      <c r="K1325" s="3" t="s">
        <v>10</v>
      </c>
      <c r="L1325" s="3" t="s">
        <v>22</v>
      </c>
      <c r="M1325">
        <v>55</v>
      </c>
      <c r="N1325" s="3"/>
    </row>
    <row r="1326" spans="1:14" x14ac:dyDescent="0.25">
      <c r="A1326" s="3" t="s">
        <v>1356</v>
      </c>
      <c r="B1326">
        <v>1966</v>
      </c>
      <c r="C1326">
        <v>1966</v>
      </c>
      <c r="D1326" s="3" t="s">
        <v>14</v>
      </c>
      <c r="E1326" s="3" t="s">
        <v>14</v>
      </c>
      <c r="F1326">
        <v>7</v>
      </c>
      <c r="G1326" s="7">
        <v>24418</v>
      </c>
      <c r="H1326">
        <v>0</v>
      </c>
      <c r="I1326" s="3" t="s">
        <v>9699</v>
      </c>
      <c r="J1326" s="3" t="s">
        <v>11</v>
      </c>
      <c r="K1326" s="3" t="s">
        <v>11</v>
      </c>
      <c r="L1326" s="3" t="s">
        <v>41</v>
      </c>
      <c r="M1326">
        <v>60</v>
      </c>
      <c r="N1326" s="3"/>
    </row>
    <row r="1327" spans="1:14" x14ac:dyDescent="0.25">
      <c r="A1327" s="3" t="s">
        <v>1357</v>
      </c>
      <c r="B1327">
        <v>1966</v>
      </c>
      <c r="C1327">
        <v>1966</v>
      </c>
      <c r="D1327" s="3" t="s">
        <v>14</v>
      </c>
      <c r="E1327" s="3" t="s">
        <v>14</v>
      </c>
      <c r="F1327">
        <v>20</v>
      </c>
      <c r="G1327" s="7">
        <v>24431</v>
      </c>
      <c r="H1327">
        <v>0</v>
      </c>
      <c r="I1327" s="3" t="s">
        <v>9700</v>
      </c>
      <c r="J1327" s="3" t="s">
        <v>11</v>
      </c>
      <c r="K1327" s="3" t="s">
        <v>11</v>
      </c>
      <c r="L1327" s="3" t="s">
        <v>41</v>
      </c>
      <c r="M1327">
        <v>60</v>
      </c>
      <c r="N1327" s="3"/>
    </row>
    <row r="1328" spans="1:14" x14ac:dyDescent="0.25">
      <c r="A1328" s="3" t="s">
        <v>1358</v>
      </c>
      <c r="B1328">
        <v>1967</v>
      </c>
      <c r="C1328">
        <v>1967</v>
      </c>
      <c r="D1328" s="3" t="s">
        <v>19</v>
      </c>
      <c r="E1328" s="3" t="s">
        <v>19</v>
      </c>
      <c r="F1328">
        <v>4</v>
      </c>
      <c r="G1328" s="7">
        <v>24719</v>
      </c>
      <c r="H1328">
        <v>0</v>
      </c>
      <c r="I1328" s="3" t="s">
        <v>9701</v>
      </c>
      <c r="J1328" s="3" t="s">
        <v>11</v>
      </c>
      <c r="K1328" s="3" t="s">
        <v>10</v>
      </c>
      <c r="L1328" s="3" t="s">
        <v>22</v>
      </c>
      <c r="M1328">
        <v>59</v>
      </c>
      <c r="N1328" s="3"/>
    </row>
    <row r="1329" spans="1:14" x14ac:dyDescent="0.25">
      <c r="A1329" s="3" t="s">
        <v>1359</v>
      </c>
      <c r="B1329">
        <v>1972</v>
      </c>
      <c r="C1329">
        <v>1972</v>
      </c>
      <c r="D1329" s="3" t="s">
        <v>36</v>
      </c>
      <c r="E1329" s="3" t="s">
        <v>36</v>
      </c>
      <c r="F1329">
        <v>7</v>
      </c>
      <c r="G1329" s="7">
        <v>26579</v>
      </c>
      <c r="H1329">
        <v>3</v>
      </c>
      <c r="I1329" s="3" t="s">
        <v>9702</v>
      </c>
      <c r="J1329" s="3" t="s">
        <v>11</v>
      </c>
      <c r="K1329" s="3" t="s">
        <v>10</v>
      </c>
      <c r="L1329" s="3" t="s">
        <v>22</v>
      </c>
      <c r="M1329">
        <v>54</v>
      </c>
      <c r="N1329" s="3"/>
    </row>
    <row r="1330" spans="1:14" x14ac:dyDescent="0.25">
      <c r="A1330" s="3" t="s">
        <v>1360</v>
      </c>
      <c r="B1330">
        <v>1966</v>
      </c>
      <c r="C1330">
        <v>1966</v>
      </c>
      <c r="D1330" s="3" t="s">
        <v>19</v>
      </c>
      <c r="E1330" s="3" t="s">
        <v>19</v>
      </c>
      <c r="F1330">
        <v>9</v>
      </c>
      <c r="G1330" s="7">
        <v>24359</v>
      </c>
      <c r="H1330">
        <v>0</v>
      </c>
      <c r="I1330" s="3" t="s">
        <v>9703</v>
      </c>
      <c r="J1330" s="3" t="s">
        <v>11</v>
      </c>
      <c r="K1330" s="3" t="s">
        <v>15</v>
      </c>
      <c r="L1330" s="3" t="s">
        <v>12</v>
      </c>
      <c r="M1330">
        <v>60</v>
      </c>
      <c r="N1330" s="3"/>
    </row>
    <row r="1331" spans="1:14" x14ac:dyDescent="0.25">
      <c r="A1331" s="3" t="s">
        <v>1361</v>
      </c>
      <c r="B1331">
        <v>1966</v>
      </c>
      <c r="C1331">
        <v>1966</v>
      </c>
      <c r="D1331" s="3" t="s">
        <v>9</v>
      </c>
      <c r="E1331" s="3" t="s">
        <v>9</v>
      </c>
      <c r="F1331">
        <v>5</v>
      </c>
      <c r="G1331" s="7">
        <v>24293</v>
      </c>
      <c r="H1331">
        <v>0</v>
      </c>
      <c r="I1331" s="3" t="s">
        <v>9704</v>
      </c>
      <c r="J1331" s="3" t="s">
        <v>11</v>
      </c>
      <c r="K1331" s="3" t="s">
        <v>15</v>
      </c>
      <c r="L1331" s="3" t="s">
        <v>12</v>
      </c>
      <c r="M1331">
        <v>60</v>
      </c>
      <c r="N1331" s="3"/>
    </row>
    <row r="1332" spans="1:14" x14ac:dyDescent="0.25">
      <c r="A1332" s="3" t="s">
        <v>1362</v>
      </c>
      <c r="B1332">
        <v>1980</v>
      </c>
      <c r="C1332">
        <v>1980</v>
      </c>
      <c r="D1332" s="3" t="s">
        <v>34</v>
      </c>
      <c r="E1332" s="3" t="s">
        <v>34</v>
      </c>
      <c r="F1332">
        <v>20</v>
      </c>
      <c r="G1332" s="7">
        <v>29453</v>
      </c>
      <c r="H1332">
        <v>2</v>
      </c>
      <c r="I1332" s="3" t="s">
        <v>9705</v>
      </c>
      <c r="J1332" s="3" t="s">
        <v>11</v>
      </c>
      <c r="K1332" s="3" t="s">
        <v>15</v>
      </c>
      <c r="L1332" s="3" t="s">
        <v>299</v>
      </c>
      <c r="M1332">
        <v>46</v>
      </c>
      <c r="N1332" s="3"/>
    </row>
    <row r="1333" spans="1:14" x14ac:dyDescent="0.25">
      <c r="A1333" s="3" t="s">
        <v>1363</v>
      </c>
      <c r="B1333">
        <v>1969</v>
      </c>
      <c r="C1333">
        <v>1969</v>
      </c>
      <c r="D1333" s="3" t="s">
        <v>14</v>
      </c>
      <c r="E1333" s="3" t="s">
        <v>14</v>
      </c>
      <c r="F1333">
        <v>30</v>
      </c>
      <c r="G1333" s="7">
        <v>25537</v>
      </c>
      <c r="H1333">
        <v>2</v>
      </c>
      <c r="I1333" s="3" t="s">
        <v>9706</v>
      </c>
      <c r="J1333" s="3" t="s">
        <v>11</v>
      </c>
      <c r="K1333" s="3" t="s">
        <v>10</v>
      </c>
      <c r="L1333" s="3" t="s">
        <v>41</v>
      </c>
      <c r="M1333">
        <v>57</v>
      </c>
      <c r="N1333" s="3"/>
    </row>
    <row r="1334" spans="1:14" x14ac:dyDescent="0.25">
      <c r="A1334" s="3" t="s">
        <v>1364</v>
      </c>
      <c r="B1334">
        <v>1969</v>
      </c>
      <c r="C1334">
        <v>1969</v>
      </c>
      <c r="D1334" s="3" t="s">
        <v>17</v>
      </c>
      <c r="E1334" s="3" t="s">
        <v>17</v>
      </c>
      <c r="F1334">
        <v>25</v>
      </c>
      <c r="G1334" s="7">
        <v>25379</v>
      </c>
      <c r="H1334">
        <v>2</v>
      </c>
      <c r="I1334" s="3" t="s">
        <v>9707</v>
      </c>
      <c r="J1334" s="3" t="s">
        <v>11</v>
      </c>
      <c r="K1334" s="3" t="s">
        <v>10</v>
      </c>
      <c r="L1334" s="3" t="s">
        <v>41</v>
      </c>
      <c r="M1334">
        <v>57</v>
      </c>
      <c r="N1334" s="3"/>
    </row>
    <row r="1335" spans="1:14" x14ac:dyDescent="0.25">
      <c r="A1335" s="3" t="s">
        <v>1365</v>
      </c>
      <c r="B1335">
        <v>1966</v>
      </c>
      <c r="C1335">
        <v>1966</v>
      </c>
      <c r="D1335" s="3" t="s">
        <v>34</v>
      </c>
      <c r="E1335" s="3" t="s">
        <v>34</v>
      </c>
      <c r="F1335">
        <v>6</v>
      </c>
      <c r="G1335" s="7">
        <v>24325</v>
      </c>
      <c r="H1335">
        <v>0</v>
      </c>
      <c r="I1335" s="3" t="s">
        <v>9708</v>
      </c>
      <c r="J1335" s="3" t="s">
        <v>11</v>
      </c>
      <c r="K1335" s="3" t="s">
        <v>15</v>
      </c>
      <c r="L1335" s="3" t="s">
        <v>167</v>
      </c>
      <c r="M1335">
        <v>60</v>
      </c>
      <c r="N1335" s="3"/>
    </row>
    <row r="1336" spans="1:14" x14ac:dyDescent="0.25">
      <c r="A1336" s="3" t="s">
        <v>1366</v>
      </c>
      <c r="B1336">
        <v>1972</v>
      </c>
      <c r="C1336">
        <v>1972</v>
      </c>
      <c r="D1336" s="3" t="s">
        <v>19</v>
      </c>
      <c r="E1336" s="3" t="s">
        <v>19</v>
      </c>
      <c r="F1336">
        <v>3</v>
      </c>
      <c r="G1336" s="7">
        <v>26545</v>
      </c>
      <c r="H1336">
        <v>0</v>
      </c>
      <c r="I1336" s="3" t="s">
        <v>9709</v>
      </c>
      <c r="J1336" s="3" t="s">
        <v>11</v>
      </c>
      <c r="K1336" s="3" t="s">
        <v>10</v>
      </c>
      <c r="L1336" s="3" t="s">
        <v>299</v>
      </c>
      <c r="M1336">
        <v>54</v>
      </c>
      <c r="N1336" s="3"/>
    </row>
    <row r="1337" spans="1:14" x14ac:dyDescent="0.25">
      <c r="A1337" s="3" t="s">
        <v>1367</v>
      </c>
      <c r="B1337">
        <v>1970</v>
      </c>
      <c r="C1337">
        <v>1970</v>
      </c>
      <c r="D1337" s="3" t="s">
        <v>17</v>
      </c>
      <c r="E1337" s="3" t="s">
        <v>17</v>
      </c>
      <c r="F1337">
        <v>14</v>
      </c>
      <c r="G1337" s="7">
        <v>25733</v>
      </c>
      <c r="H1337">
        <v>2</v>
      </c>
      <c r="I1337" s="3" t="s">
        <v>9710</v>
      </c>
      <c r="J1337" s="3" t="s">
        <v>11</v>
      </c>
      <c r="K1337" s="3" t="s">
        <v>10</v>
      </c>
      <c r="L1337" s="3" t="s">
        <v>22</v>
      </c>
      <c r="M1337">
        <v>56</v>
      </c>
      <c r="N1337" s="3"/>
    </row>
    <row r="1338" spans="1:14" x14ac:dyDescent="0.25">
      <c r="A1338" s="3" t="s">
        <v>1368</v>
      </c>
      <c r="B1338">
        <v>1976</v>
      </c>
      <c r="C1338">
        <v>1976</v>
      </c>
      <c r="D1338" s="3" t="s">
        <v>17</v>
      </c>
      <c r="E1338" s="3" t="s">
        <v>17</v>
      </c>
      <c r="F1338">
        <v>28</v>
      </c>
      <c r="G1338" s="7">
        <v>27939</v>
      </c>
      <c r="H1338">
        <v>2</v>
      </c>
      <c r="I1338" s="3" t="s">
        <v>9711</v>
      </c>
      <c r="J1338" s="3" t="s">
        <v>11</v>
      </c>
      <c r="K1338" s="3" t="s">
        <v>10</v>
      </c>
      <c r="L1338" s="3" t="s">
        <v>199</v>
      </c>
      <c r="M1338">
        <v>50</v>
      </c>
      <c r="N1338" s="3"/>
    </row>
    <row r="1339" spans="1:14" x14ac:dyDescent="0.25">
      <c r="A1339" s="3" t="s">
        <v>1369</v>
      </c>
      <c r="B1339">
        <v>1969</v>
      </c>
      <c r="C1339">
        <v>1969</v>
      </c>
      <c r="D1339" s="3" t="s">
        <v>29</v>
      </c>
      <c r="E1339" s="3" t="s">
        <v>29</v>
      </c>
      <c r="F1339">
        <v>30</v>
      </c>
      <c r="G1339" s="7">
        <v>25567</v>
      </c>
      <c r="H1339">
        <v>2</v>
      </c>
      <c r="I1339" s="3" t="s">
        <v>9712</v>
      </c>
      <c r="J1339" s="3" t="s">
        <v>11</v>
      </c>
      <c r="K1339" s="3" t="s">
        <v>15</v>
      </c>
      <c r="L1339" s="3" t="s">
        <v>167</v>
      </c>
      <c r="M1339">
        <v>57</v>
      </c>
      <c r="N1339" s="3"/>
    </row>
    <row r="1340" spans="1:14" x14ac:dyDescent="0.25">
      <c r="A1340" s="3" t="s">
        <v>1370</v>
      </c>
      <c r="B1340">
        <v>1989</v>
      </c>
      <c r="C1340">
        <v>1989</v>
      </c>
      <c r="D1340" s="3" t="s">
        <v>29</v>
      </c>
      <c r="E1340" s="3" t="s">
        <v>29</v>
      </c>
      <c r="F1340">
        <v>17</v>
      </c>
      <c r="G1340" s="7">
        <v>32859</v>
      </c>
      <c r="H1340">
        <v>3</v>
      </c>
      <c r="I1340" s="3" t="s">
        <v>9713</v>
      </c>
      <c r="J1340" s="3" t="s">
        <v>11</v>
      </c>
      <c r="K1340" s="3" t="s">
        <v>10</v>
      </c>
      <c r="L1340" s="3" t="s">
        <v>534</v>
      </c>
      <c r="M1340">
        <v>37</v>
      </c>
      <c r="N1340" s="3"/>
    </row>
    <row r="1341" spans="1:14" x14ac:dyDescent="0.25">
      <c r="A1341" s="3" t="s">
        <v>1371</v>
      </c>
      <c r="B1341">
        <v>1969</v>
      </c>
      <c r="C1341">
        <v>1969</v>
      </c>
      <c r="D1341" s="3" t="s">
        <v>34</v>
      </c>
      <c r="E1341" s="3" t="s">
        <v>34</v>
      </c>
      <c r="F1341">
        <v>20</v>
      </c>
      <c r="G1341" s="7">
        <v>25435</v>
      </c>
      <c r="H1341">
        <v>3</v>
      </c>
      <c r="I1341" s="3" t="s">
        <v>9714</v>
      </c>
      <c r="J1341" s="3" t="s">
        <v>11</v>
      </c>
      <c r="K1341" s="3" t="s">
        <v>15</v>
      </c>
      <c r="L1341" s="3" t="s">
        <v>41</v>
      </c>
      <c r="M1341">
        <v>57</v>
      </c>
      <c r="N1341" s="3"/>
    </row>
    <row r="1342" spans="1:14" x14ac:dyDescent="0.25">
      <c r="A1342" s="3" t="s">
        <v>1372</v>
      </c>
      <c r="B1342">
        <v>1981</v>
      </c>
      <c r="C1342">
        <v>1981</v>
      </c>
      <c r="D1342" s="3" t="s">
        <v>36</v>
      </c>
      <c r="E1342" s="3" t="s">
        <v>36</v>
      </c>
      <c r="F1342">
        <v>2</v>
      </c>
      <c r="G1342" s="7">
        <v>29861</v>
      </c>
      <c r="H1342">
        <v>1</v>
      </c>
      <c r="I1342" s="3" t="s">
        <v>9715</v>
      </c>
      <c r="J1342" s="3" t="s">
        <v>11</v>
      </c>
      <c r="K1342" s="3" t="s">
        <v>15</v>
      </c>
      <c r="L1342" s="3" t="s">
        <v>534</v>
      </c>
      <c r="M1342">
        <v>45</v>
      </c>
      <c r="N1342" s="3"/>
    </row>
    <row r="1343" spans="1:14" x14ac:dyDescent="0.25">
      <c r="A1343" s="3" t="s">
        <v>1373</v>
      </c>
      <c r="B1343">
        <v>1969</v>
      </c>
      <c r="C1343">
        <v>1969</v>
      </c>
      <c r="D1343" s="3" t="s">
        <v>36</v>
      </c>
      <c r="E1343" s="3" t="s">
        <v>36</v>
      </c>
      <c r="F1343">
        <v>11</v>
      </c>
      <c r="G1343" s="7">
        <v>25487</v>
      </c>
      <c r="H1343">
        <v>3</v>
      </c>
      <c r="I1343" s="3" t="s">
        <v>9716</v>
      </c>
      <c r="J1343" s="3" t="s">
        <v>11</v>
      </c>
      <c r="K1343" s="3" t="s">
        <v>10</v>
      </c>
      <c r="L1343" s="3" t="s">
        <v>41</v>
      </c>
      <c r="M1343">
        <v>57</v>
      </c>
      <c r="N1343" s="3"/>
    </row>
    <row r="1344" spans="1:14" x14ac:dyDescent="0.25">
      <c r="A1344" s="3" t="s">
        <v>1374</v>
      </c>
      <c r="B1344">
        <v>1971</v>
      </c>
      <c r="C1344">
        <v>1971</v>
      </c>
      <c r="D1344" s="3" t="s">
        <v>29</v>
      </c>
      <c r="E1344" s="3" t="s">
        <v>29</v>
      </c>
      <c r="F1344">
        <v>26</v>
      </c>
      <c r="G1344" s="7">
        <v>26293</v>
      </c>
      <c r="H1344">
        <v>0</v>
      </c>
      <c r="I1344" s="3" t="s">
        <v>9717</v>
      </c>
      <c r="J1344" s="3" t="s">
        <v>11</v>
      </c>
      <c r="K1344" s="3" t="s">
        <v>15</v>
      </c>
      <c r="L1344" s="3" t="s">
        <v>199</v>
      </c>
      <c r="M1344">
        <v>55</v>
      </c>
      <c r="N1344" s="3"/>
    </row>
    <row r="1345" spans="1:14" x14ac:dyDescent="0.25">
      <c r="A1345" s="3" t="s">
        <v>1375</v>
      </c>
      <c r="B1345">
        <v>2004</v>
      </c>
      <c r="C1345">
        <v>2004</v>
      </c>
      <c r="D1345" s="3" t="s">
        <v>36</v>
      </c>
      <c r="E1345" s="3" t="s">
        <v>36</v>
      </c>
      <c r="F1345">
        <v>4</v>
      </c>
      <c r="G1345" s="7">
        <v>38264</v>
      </c>
      <c r="H1345">
        <v>1</v>
      </c>
      <c r="I1345" s="3" t="s">
        <v>9718</v>
      </c>
      <c r="J1345" s="3" t="s">
        <v>11</v>
      </c>
      <c r="K1345" s="3" t="s">
        <v>10</v>
      </c>
      <c r="L1345" s="3" t="s">
        <v>165</v>
      </c>
      <c r="M1345">
        <v>22</v>
      </c>
      <c r="N1345" s="3"/>
    </row>
    <row r="1346" spans="1:14" x14ac:dyDescent="0.25">
      <c r="A1346" s="3" t="s">
        <v>1376</v>
      </c>
      <c r="B1346">
        <v>1967</v>
      </c>
      <c r="C1346">
        <v>1967</v>
      </c>
      <c r="D1346" s="3" t="s">
        <v>17</v>
      </c>
      <c r="E1346" s="3" t="s">
        <v>17</v>
      </c>
      <c r="F1346">
        <v>14</v>
      </c>
      <c r="G1346" s="7">
        <v>24637</v>
      </c>
      <c r="H1346">
        <v>0</v>
      </c>
      <c r="I1346" s="3" t="s">
        <v>9719</v>
      </c>
      <c r="J1346" s="3" t="s">
        <v>11</v>
      </c>
      <c r="K1346" s="3" t="s">
        <v>11</v>
      </c>
      <c r="L1346" s="3" t="s">
        <v>246</v>
      </c>
      <c r="M1346">
        <v>59</v>
      </c>
      <c r="N1346" s="3"/>
    </row>
    <row r="1347" spans="1:14" x14ac:dyDescent="0.25">
      <c r="A1347" s="3" t="s">
        <v>1377</v>
      </c>
      <c r="B1347">
        <v>1970</v>
      </c>
      <c r="C1347">
        <v>1970</v>
      </c>
      <c r="D1347" s="3" t="s">
        <v>17</v>
      </c>
      <c r="E1347" s="3" t="s">
        <v>17</v>
      </c>
      <c r="F1347">
        <v>22</v>
      </c>
      <c r="G1347" s="7">
        <v>25741</v>
      </c>
      <c r="H1347">
        <v>3</v>
      </c>
      <c r="I1347" s="3" t="s">
        <v>9720</v>
      </c>
      <c r="J1347" s="3" t="s">
        <v>11</v>
      </c>
      <c r="K1347" s="3" t="s">
        <v>15</v>
      </c>
      <c r="L1347" s="3" t="s">
        <v>22</v>
      </c>
      <c r="M1347">
        <v>56</v>
      </c>
      <c r="N1347" s="3"/>
    </row>
    <row r="1348" spans="1:14" x14ac:dyDescent="0.25">
      <c r="A1348" s="3" t="s">
        <v>1378</v>
      </c>
      <c r="B1348">
        <v>1988</v>
      </c>
      <c r="C1348">
        <v>1988</v>
      </c>
      <c r="D1348" s="3" t="s">
        <v>14</v>
      </c>
      <c r="E1348" s="3" t="s">
        <v>14</v>
      </c>
      <c r="F1348">
        <v>14</v>
      </c>
      <c r="G1348" s="7">
        <v>32461</v>
      </c>
      <c r="H1348">
        <v>3</v>
      </c>
      <c r="I1348" s="3" t="s">
        <v>9721</v>
      </c>
      <c r="J1348" s="3" t="s">
        <v>11</v>
      </c>
      <c r="K1348" s="3" t="s">
        <v>15</v>
      </c>
      <c r="L1348" s="3" t="s">
        <v>631</v>
      </c>
      <c r="M1348">
        <v>38</v>
      </c>
      <c r="N1348" s="3"/>
    </row>
    <row r="1349" spans="1:14" x14ac:dyDescent="0.25">
      <c r="A1349" s="3" t="s">
        <v>1379</v>
      </c>
      <c r="B1349">
        <v>1972</v>
      </c>
      <c r="C1349">
        <v>1972</v>
      </c>
      <c r="D1349" s="3" t="s">
        <v>19</v>
      </c>
      <c r="E1349" s="3" t="s">
        <v>19</v>
      </c>
      <c r="F1349">
        <v>25</v>
      </c>
      <c r="G1349" s="7">
        <v>26567</v>
      </c>
      <c r="H1349">
        <v>4</v>
      </c>
      <c r="I1349" s="3" t="s">
        <v>9722</v>
      </c>
      <c r="J1349" s="3" t="s">
        <v>11</v>
      </c>
      <c r="K1349" s="3" t="s">
        <v>10</v>
      </c>
      <c r="L1349" s="3" t="s">
        <v>41</v>
      </c>
      <c r="M1349">
        <v>54</v>
      </c>
      <c r="N1349" s="3"/>
    </row>
    <row r="1350" spans="1:14" x14ac:dyDescent="0.25">
      <c r="A1350" s="3" t="s">
        <v>1380</v>
      </c>
      <c r="B1350">
        <v>1968</v>
      </c>
      <c r="C1350">
        <v>1968</v>
      </c>
      <c r="D1350" s="3" t="s">
        <v>36</v>
      </c>
      <c r="E1350" s="3" t="s">
        <v>36</v>
      </c>
      <c r="F1350">
        <v>6</v>
      </c>
      <c r="G1350" s="7">
        <v>25117</v>
      </c>
      <c r="H1350">
        <v>1</v>
      </c>
      <c r="I1350" s="3" t="s">
        <v>9723</v>
      </c>
      <c r="J1350" s="3" t="s">
        <v>11</v>
      </c>
      <c r="K1350" s="3" t="s">
        <v>15</v>
      </c>
      <c r="L1350" s="3" t="s">
        <v>22</v>
      </c>
      <c r="M1350">
        <v>58</v>
      </c>
      <c r="N1350" s="3"/>
    </row>
    <row r="1351" spans="1:14" x14ac:dyDescent="0.25">
      <c r="A1351" s="3" t="s">
        <v>1381</v>
      </c>
      <c r="B1351">
        <v>1963</v>
      </c>
      <c r="C1351">
        <v>1963</v>
      </c>
      <c r="D1351" s="3" t="s">
        <v>14</v>
      </c>
      <c r="E1351" s="3" t="s">
        <v>14</v>
      </c>
      <c r="F1351">
        <v>22</v>
      </c>
      <c r="G1351" s="7">
        <v>23337</v>
      </c>
      <c r="H1351">
        <v>0</v>
      </c>
      <c r="I1351" s="3" t="s">
        <v>9724</v>
      </c>
      <c r="J1351" s="3" t="s">
        <v>11</v>
      </c>
      <c r="K1351" s="3" t="s">
        <v>11</v>
      </c>
      <c r="L1351" s="3" t="s">
        <v>22</v>
      </c>
      <c r="M1351">
        <v>63</v>
      </c>
      <c r="N1351" s="3"/>
    </row>
    <row r="1352" spans="1:14" x14ac:dyDescent="0.25">
      <c r="A1352" s="3" t="s">
        <v>1382</v>
      </c>
      <c r="B1352">
        <v>1995</v>
      </c>
      <c r="C1352">
        <v>1995</v>
      </c>
      <c r="D1352" s="3" t="s">
        <v>29</v>
      </c>
      <c r="E1352" s="3" t="s">
        <v>29</v>
      </c>
      <c r="F1352">
        <v>10</v>
      </c>
      <c r="G1352" s="7">
        <v>35043</v>
      </c>
      <c r="H1352">
        <v>0</v>
      </c>
      <c r="I1352" s="3" t="s">
        <v>9725</v>
      </c>
      <c r="J1352" s="3" t="s">
        <v>11</v>
      </c>
      <c r="K1352" s="3" t="s">
        <v>10</v>
      </c>
      <c r="L1352" s="3" t="s">
        <v>534</v>
      </c>
      <c r="M1352">
        <v>31</v>
      </c>
      <c r="N1352" s="3"/>
    </row>
    <row r="1353" spans="1:14" x14ac:dyDescent="0.25">
      <c r="A1353" s="3" t="s">
        <v>1383</v>
      </c>
      <c r="B1353">
        <v>1963</v>
      </c>
      <c r="C1353">
        <v>1963</v>
      </c>
      <c r="D1353" s="3" t="s">
        <v>9</v>
      </c>
      <c r="E1353" s="3" t="s">
        <v>9</v>
      </c>
      <c r="F1353">
        <v>11</v>
      </c>
      <c r="G1353" s="7">
        <v>23203</v>
      </c>
      <c r="H1353">
        <v>0</v>
      </c>
      <c r="I1353" s="3" t="s">
        <v>9726</v>
      </c>
      <c r="J1353" s="3" t="s">
        <v>11</v>
      </c>
      <c r="K1353" s="3" t="s">
        <v>15</v>
      </c>
      <c r="L1353" s="3" t="s">
        <v>22</v>
      </c>
      <c r="M1353">
        <v>63</v>
      </c>
      <c r="N1353" s="3"/>
    </row>
    <row r="1354" spans="1:14" x14ac:dyDescent="0.25">
      <c r="A1354" s="3" t="s">
        <v>1384</v>
      </c>
      <c r="B1354">
        <v>2002</v>
      </c>
      <c r="C1354">
        <v>2002</v>
      </c>
      <c r="D1354" s="3" t="s">
        <v>19</v>
      </c>
      <c r="E1354" s="3" t="s">
        <v>19</v>
      </c>
      <c r="F1354">
        <v>20</v>
      </c>
      <c r="G1354" s="7">
        <v>37519</v>
      </c>
      <c r="H1354">
        <v>0</v>
      </c>
      <c r="I1354" s="3" t="s">
        <v>9727</v>
      </c>
      <c r="J1354" s="3" t="s">
        <v>11</v>
      </c>
      <c r="K1354" s="3" t="s">
        <v>11</v>
      </c>
      <c r="L1354" s="3" t="s">
        <v>22</v>
      </c>
      <c r="M1354">
        <v>24</v>
      </c>
      <c r="N1354" s="3"/>
    </row>
    <row r="1355" spans="1:14" x14ac:dyDescent="0.25">
      <c r="A1355" s="3" t="s">
        <v>1385</v>
      </c>
      <c r="B1355">
        <v>1989</v>
      </c>
      <c r="C1355">
        <v>1989</v>
      </c>
      <c r="D1355" s="3" t="s">
        <v>34</v>
      </c>
      <c r="E1355" s="3" t="s">
        <v>34</v>
      </c>
      <c r="F1355">
        <v>19</v>
      </c>
      <c r="G1355" s="7">
        <v>32739</v>
      </c>
      <c r="H1355">
        <v>1</v>
      </c>
      <c r="I1355" s="3" t="s">
        <v>9728</v>
      </c>
      <c r="J1355" s="3" t="s">
        <v>11</v>
      </c>
      <c r="K1355" s="3" t="s">
        <v>11</v>
      </c>
      <c r="L1355" s="3" t="s">
        <v>12</v>
      </c>
      <c r="M1355">
        <v>37</v>
      </c>
      <c r="N1355" s="3"/>
    </row>
    <row r="1356" spans="1:14" x14ac:dyDescent="0.25">
      <c r="A1356" s="3" t="s">
        <v>1386</v>
      </c>
      <c r="B1356">
        <v>1968</v>
      </c>
      <c r="C1356">
        <v>1968</v>
      </c>
      <c r="D1356" s="3" t="s">
        <v>14</v>
      </c>
      <c r="E1356" s="3" t="s">
        <v>14</v>
      </c>
      <c r="F1356">
        <v>2</v>
      </c>
      <c r="G1356" s="7">
        <v>25144</v>
      </c>
      <c r="H1356">
        <v>0</v>
      </c>
      <c r="I1356" s="3" t="s">
        <v>9729</v>
      </c>
      <c r="J1356" s="3" t="s">
        <v>11</v>
      </c>
      <c r="K1356" s="3" t="s">
        <v>10</v>
      </c>
      <c r="L1356" s="3" t="s">
        <v>199</v>
      </c>
      <c r="M1356">
        <v>58</v>
      </c>
      <c r="N1356" s="3"/>
    </row>
    <row r="1357" spans="1:14" x14ac:dyDescent="0.25">
      <c r="A1357" s="3" t="s">
        <v>1387</v>
      </c>
      <c r="B1357">
        <v>1964</v>
      </c>
      <c r="C1357">
        <v>1964</v>
      </c>
      <c r="D1357" s="3" t="s">
        <v>9</v>
      </c>
      <c r="E1357" s="3" t="s">
        <v>9</v>
      </c>
      <c r="F1357">
        <v>12</v>
      </c>
      <c r="G1357" s="7">
        <v>23570</v>
      </c>
      <c r="H1357">
        <v>0</v>
      </c>
      <c r="I1357" s="3" t="s">
        <v>9730</v>
      </c>
      <c r="J1357" s="3" t="s">
        <v>11</v>
      </c>
      <c r="K1357" s="3" t="s">
        <v>11</v>
      </c>
      <c r="L1357" s="3" t="s">
        <v>41</v>
      </c>
      <c r="M1357">
        <v>62</v>
      </c>
      <c r="N1357" s="3"/>
    </row>
    <row r="1358" spans="1:14" x14ac:dyDescent="0.25">
      <c r="A1358" s="3" t="s">
        <v>1388</v>
      </c>
      <c r="B1358">
        <v>1965</v>
      </c>
      <c r="C1358">
        <v>1965</v>
      </c>
      <c r="D1358" s="3" t="s">
        <v>14</v>
      </c>
      <c r="E1358" s="3" t="s">
        <v>14</v>
      </c>
      <c r="F1358">
        <v>29</v>
      </c>
      <c r="G1358" s="7">
        <v>24075</v>
      </c>
      <c r="H1358">
        <v>0</v>
      </c>
      <c r="I1358" s="3" t="s">
        <v>9731</v>
      </c>
      <c r="J1358" s="3" t="s">
        <v>11</v>
      </c>
      <c r="K1358" s="3" t="s">
        <v>15</v>
      </c>
      <c r="L1358" s="3" t="s">
        <v>22</v>
      </c>
      <c r="M1358">
        <v>61</v>
      </c>
      <c r="N1358" s="3"/>
    </row>
    <row r="1359" spans="1:14" x14ac:dyDescent="0.25">
      <c r="A1359" s="3" t="s">
        <v>1389</v>
      </c>
      <c r="B1359">
        <v>1965</v>
      </c>
      <c r="C1359">
        <v>1965</v>
      </c>
      <c r="D1359" s="3" t="s">
        <v>19</v>
      </c>
      <c r="E1359" s="3" t="s">
        <v>19</v>
      </c>
      <c r="F1359">
        <v>26</v>
      </c>
      <c r="G1359" s="7">
        <v>24011</v>
      </c>
      <c r="H1359">
        <v>0</v>
      </c>
      <c r="I1359" s="3" t="s">
        <v>9732</v>
      </c>
      <c r="J1359" s="3" t="s">
        <v>11</v>
      </c>
      <c r="K1359" s="3" t="s">
        <v>11</v>
      </c>
      <c r="L1359" s="3" t="s">
        <v>22</v>
      </c>
      <c r="M1359">
        <v>61</v>
      </c>
      <c r="N1359" s="3"/>
    </row>
    <row r="1360" spans="1:14" x14ac:dyDescent="0.25">
      <c r="A1360" s="3" t="s">
        <v>1390</v>
      </c>
      <c r="B1360">
        <v>1964</v>
      </c>
      <c r="C1360">
        <v>1964</v>
      </c>
      <c r="D1360" s="3" t="s">
        <v>9</v>
      </c>
      <c r="E1360" s="3" t="s">
        <v>9</v>
      </c>
      <c r="F1360">
        <v>4</v>
      </c>
      <c r="G1360" s="7">
        <v>23562</v>
      </c>
      <c r="H1360">
        <v>0</v>
      </c>
      <c r="I1360" s="3" t="s">
        <v>9733</v>
      </c>
      <c r="J1360" s="3" t="s">
        <v>11</v>
      </c>
      <c r="K1360" s="3" t="s">
        <v>15</v>
      </c>
      <c r="L1360" s="3" t="s">
        <v>41</v>
      </c>
      <c r="M1360">
        <v>62</v>
      </c>
      <c r="N1360" s="3"/>
    </row>
    <row r="1361" spans="1:14" x14ac:dyDescent="0.25">
      <c r="A1361" s="3" t="s">
        <v>1391</v>
      </c>
      <c r="B1361">
        <v>1964</v>
      </c>
      <c r="C1361">
        <v>1964</v>
      </c>
      <c r="D1361" s="3" t="s">
        <v>9</v>
      </c>
      <c r="E1361" s="3" t="s">
        <v>9</v>
      </c>
      <c r="F1361">
        <v>3</v>
      </c>
      <c r="G1361" s="7">
        <v>23561</v>
      </c>
      <c r="H1361">
        <v>0</v>
      </c>
      <c r="I1361" s="3" t="s">
        <v>9734</v>
      </c>
      <c r="J1361" s="3" t="s">
        <v>11</v>
      </c>
      <c r="K1361" s="3" t="s">
        <v>15</v>
      </c>
      <c r="L1361" s="3" t="s">
        <v>12</v>
      </c>
      <c r="M1361">
        <v>62</v>
      </c>
      <c r="N1361" s="3"/>
    </row>
    <row r="1362" spans="1:14" x14ac:dyDescent="0.25">
      <c r="A1362" s="3" t="s">
        <v>1392</v>
      </c>
      <c r="B1362">
        <v>1964</v>
      </c>
      <c r="C1362">
        <v>1964</v>
      </c>
      <c r="D1362" s="3" t="s">
        <v>29</v>
      </c>
      <c r="E1362" s="3" t="s">
        <v>29</v>
      </c>
      <c r="F1362">
        <v>13</v>
      </c>
      <c r="G1362" s="7">
        <v>23724</v>
      </c>
      <c r="H1362">
        <v>0</v>
      </c>
      <c r="I1362" s="3" t="s">
        <v>9735</v>
      </c>
      <c r="J1362" s="3" t="s">
        <v>11</v>
      </c>
      <c r="K1362" s="3" t="s">
        <v>10</v>
      </c>
      <c r="L1362" s="3" t="s">
        <v>41</v>
      </c>
      <c r="M1362">
        <v>62</v>
      </c>
      <c r="N1362" s="3"/>
    </row>
    <row r="1363" spans="1:14" x14ac:dyDescent="0.25">
      <c r="A1363" s="3" t="s">
        <v>1393</v>
      </c>
      <c r="B1363">
        <v>1979</v>
      </c>
      <c r="C1363">
        <v>1979</v>
      </c>
      <c r="D1363" s="3" t="s">
        <v>17</v>
      </c>
      <c r="E1363" s="3" t="s">
        <v>17</v>
      </c>
      <c r="F1363">
        <v>7</v>
      </c>
      <c r="G1363" s="7">
        <v>29013</v>
      </c>
      <c r="H1363">
        <v>2</v>
      </c>
      <c r="I1363" s="3" t="s">
        <v>9736</v>
      </c>
      <c r="J1363" s="3" t="s">
        <v>11</v>
      </c>
      <c r="K1363" s="3" t="s">
        <v>15</v>
      </c>
      <c r="L1363" s="3" t="s">
        <v>534</v>
      </c>
      <c r="M1363">
        <v>47</v>
      </c>
      <c r="N1363" s="3"/>
    </row>
    <row r="1364" spans="1:14" x14ac:dyDescent="0.25">
      <c r="A1364" s="3" t="s">
        <v>1394</v>
      </c>
      <c r="B1364">
        <v>1972</v>
      </c>
      <c r="C1364">
        <v>1972</v>
      </c>
      <c r="D1364" s="3" t="s">
        <v>29</v>
      </c>
      <c r="E1364" s="3" t="s">
        <v>29</v>
      </c>
      <c r="F1364">
        <v>6</v>
      </c>
      <c r="G1364" s="7">
        <v>26639</v>
      </c>
      <c r="H1364">
        <v>0</v>
      </c>
      <c r="I1364" s="3" t="s">
        <v>9737</v>
      </c>
      <c r="J1364" s="3" t="s">
        <v>11</v>
      </c>
      <c r="K1364" s="3" t="s">
        <v>10</v>
      </c>
      <c r="L1364" s="3" t="s">
        <v>199</v>
      </c>
      <c r="M1364">
        <v>54</v>
      </c>
      <c r="N1364" s="3"/>
    </row>
    <row r="1365" spans="1:14" x14ac:dyDescent="0.25">
      <c r="A1365" s="3" t="s">
        <v>1395</v>
      </c>
      <c r="B1365">
        <v>1964</v>
      </c>
      <c r="C1365">
        <v>1964</v>
      </c>
      <c r="D1365" s="3" t="s">
        <v>17</v>
      </c>
      <c r="E1365" s="3" t="s">
        <v>17</v>
      </c>
      <c r="F1365">
        <v>13</v>
      </c>
      <c r="G1365" s="7">
        <v>23541</v>
      </c>
      <c r="H1365">
        <v>0</v>
      </c>
      <c r="I1365" s="3" t="s">
        <v>9738</v>
      </c>
      <c r="J1365" s="3" t="s">
        <v>11</v>
      </c>
      <c r="K1365" s="3" t="s">
        <v>10</v>
      </c>
      <c r="L1365" s="3" t="s">
        <v>12</v>
      </c>
      <c r="M1365">
        <v>62</v>
      </c>
      <c r="N1365" s="3"/>
    </row>
    <row r="1366" spans="1:14" x14ac:dyDescent="0.25">
      <c r="A1366" s="3" t="s">
        <v>1396</v>
      </c>
      <c r="B1366">
        <v>1997</v>
      </c>
      <c r="C1366">
        <v>1997</v>
      </c>
      <c r="D1366" s="3" t="s">
        <v>9</v>
      </c>
      <c r="E1366" s="3" t="s">
        <v>9</v>
      </c>
      <c r="F1366">
        <v>28</v>
      </c>
      <c r="G1366" s="7">
        <v>35639</v>
      </c>
      <c r="H1366">
        <v>0</v>
      </c>
      <c r="I1366" s="3" t="s">
        <v>9739</v>
      </c>
      <c r="J1366" s="3" t="s">
        <v>11</v>
      </c>
      <c r="K1366" s="3" t="s">
        <v>10</v>
      </c>
      <c r="L1366" s="3" t="s">
        <v>534</v>
      </c>
      <c r="M1366">
        <v>29</v>
      </c>
      <c r="N1366" s="3"/>
    </row>
    <row r="1367" spans="1:14" x14ac:dyDescent="0.25">
      <c r="A1367" s="3" t="s">
        <v>1397</v>
      </c>
      <c r="B1367">
        <v>1967</v>
      </c>
      <c r="C1367">
        <v>1967</v>
      </c>
      <c r="D1367" s="3" t="s">
        <v>29</v>
      </c>
      <c r="E1367" s="3" t="s">
        <v>29</v>
      </c>
      <c r="F1367">
        <v>19</v>
      </c>
      <c r="G1367" s="7">
        <v>24825</v>
      </c>
      <c r="H1367">
        <v>1</v>
      </c>
      <c r="I1367" s="3" t="s">
        <v>9740</v>
      </c>
      <c r="J1367" s="3" t="s">
        <v>11</v>
      </c>
      <c r="K1367" s="3" t="s">
        <v>15</v>
      </c>
      <c r="L1367" s="3" t="s">
        <v>169</v>
      </c>
      <c r="M1367">
        <v>59</v>
      </c>
      <c r="N1367" s="3"/>
    </row>
    <row r="1368" spans="1:14" x14ac:dyDescent="0.25">
      <c r="A1368" s="3" t="s">
        <v>1398</v>
      </c>
      <c r="B1368">
        <v>1970</v>
      </c>
      <c r="C1368">
        <v>1970</v>
      </c>
      <c r="D1368" s="3" t="s">
        <v>36</v>
      </c>
      <c r="E1368" s="3" t="s">
        <v>36</v>
      </c>
      <c r="F1368">
        <v>2</v>
      </c>
      <c r="G1368" s="7">
        <v>25843</v>
      </c>
      <c r="H1368">
        <v>2</v>
      </c>
      <c r="I1368" s="3" t="s">
        <v>9741</v>
      </c>
      <c r="J1368" s="3" t="s">
        <v>11</v>
      </c>
      <c r="K1368" s="3" t="s">
        <v>11</v>
      </c>
      <c r="L1368" s="3" t="s">
        <v>246</v>
      </c>
      <c r="M1368">
        <v>56</v>
      </c>
      <c r="N1368" s="3"/>
    </row>
    <row r="1369" spans="1:14" x14ac:dyDescent="0.25">
      <c r="A1369" s="3" t="s">
        <v>1399</v>
      </c>
      <c r="B1369">
        <v>1970</v>
      </c>
      <c r="C1369">
        <v>1970</v>
      </c>
      <c r="D1369" s="3" t="s">
        <v>36</v>
      </c>
      <c r="E1369" s="3" t="s">
        <v>36</v>
      </c>
      <c r="F1369">
        <v>7</v>
      </c>
      <c r="G1369" s="7">
        <v>25848</v>
      </c>
      <c r="H1369">
        <v>3</v>
      </c>
      <c r="I1369" s="3" t="s">
        <v>9742</v>
      </c>
      <c r="J1369" s="3" t="s">
        <v>11</v>
      </c>
      <c r="K1369" s="3" t="s">
        <v>10</v>
      </c>
      <c r="L1369" s="3" t="s">
        <v>41</v>
      </c>
      <c r="M1369">
        <v>56</v>
      </c>
      <c r="N1369" s="3"/>
    </row>
    <row r="1370" spans="1:14" x14ac:dyDescent="0.25">
      <c r="A1370" s="3" t="s">
        <v>1400</v>
      </c>
      <c r="B1370">
        <v>1983</v>
      </c>
      <c r="C1370">
        <v>1983</v>
      </c>
      <c r="D1370" s="3" t="s">
        <v>36</v>
      </c>
      <c r="E1370" s="3" t="s">
        <v>36</v>
      </c>
      <c r="F1370">
        <v>23</v>
      </c>
      <c r="G1370" s="7">
        <v>30612</v>
      </c>
      <c r="H1370">
        <v>3</v>
      </c>
      <c r="I1370" s="3" t="s">
        <v>9743</v>
      </c>
      <c r="J1370" s="3" t="s">
        <v>11</v>
      </c>
      <c r="K1370" s="3" t="s">
        <v>15</v>
      </c>
      <c r="L1370" s="3" t="s">
        <v>299</v>
      </c>
      <c r="M1370">
        <v>43</v>
      </c>
      <c r="N1370" s="3"/>
    </row>
    <row r="1371" spans="1:14" x14ac:dyDescent="0.25">
      <c r="A1371" s="3" t="s">
        <v>1401</v>
      </c>
      <c r="B1371">
        <v>1985</v>
      </c>
      <c r="C1371">
        <v>1985</v>
      </c>
      <c r="D1371" s="3" t="s">
        <v>17</v>
      </c>
      <c r="E1371" s="3" t="s">
        <v>17</v>
      </c>
      <c r="F1371">
        <v>9</v>
      </c>
      <c r="G1371" s="7">
        <v>31207</v>
      </c>
      <c r="H1371">
        <v>3</v>
      </c>
      <c r="I1371" s="3" t="s">
        <v>9744</v>
      </c>
      <c r="J1371" s="3" t="s">
        <v>11</v>
      </c>
      <c r="K1371" s="3" t="s">
        <v>15</v>
      </c>
      <c r="L1371" s="3" t="s">
        <v>22</v>
      </c>
      <c r="M1371">
        <v>41</v>
      </c>
      <c r="N1371" s="3"/>
    </row>
    <row r="1372" spans="1:14" x14ac:dyDescent="0.25">
      <c r="A1372" s="3" t="s">
        <v>1402</v>
      </c>
      <c r="B1372">
        <v>1980</v>
      </c>
      <c r="C1372">
        <v>1980</v>
      </c>
      <c r="D1372" s="3" t="s">
        <v>9</v>
      </c>
      <c r="E1372" s="3" t="s">
        <v>9</v>
      </c>
      <c r="F1372">
        <v>17</v>
      </c>
      <c r="G1372" s="7">
        <v>29419</v>
      </c>
      <c r="H1372">
        <v>2</v>
      </c>
      <c r="I1372" s="3" t="s">
        <v>9745</v>
      </c>
      <c r="J1372" s="3" t="s">
        <v>11</v>
      </c>
      <c r="K1372" s="3" t="s">
        <v>11</v>
      </c>
      <c r="L1372" s="3" t="s">
        <v>299</v>
      </c>
      <c r="M1372">
        <v>46</v>
      </c>
      <c r="N1372" s="3"/>
    </row>
    <row r="1373" spans="1:14" x14ac:dyDescent="0.25">
      <c r="A1373" s="3" t="s">
        <v>1403</v>
      </c>
      <c r="B1373">
        <v>1971</v>
      </c>
      <c r="C1373">
        <v>1971</v>
      </c>
      <c r="D1373" s="3" t="s">
        <v>19</v>
      </c>
      <c r="E1373" s="3" t="s">
        <v>19</v>
      </c>
      <c r="F1373">
        <v>12</v>
      </c>
      <c r="G1373" s="7">
        <v>26188</v>
      </c>
      <c r="H1373">
        <v>3</v>
      </c>
      <c r="I1373" s="3" t="s">
        <v>9746</v>
      </c>
      <c r="J1373" s="3" t="s">
        <v>11</v>
      </c>
      <c r="K1373" s="3" t="s">
        <v>11</v>
      </c>
      <c r="L1373" s="3" t="s">
        <v>22</v>
      </c>
      <c r="M1373">
        <v>55</v>
      </c>
      <c r="N1373" s="3"/>
    </row>
    <row r="1374" spans="1:14" x14ac:dyDescent="0.25">
      <c r="A1374" s="3" t="s">
        <v>1404</v>
      </c>
      <c r="B1374">
        <v>1966</v>
      </c>
      <c r="C1374">
        <v>1966</v>
      </c>
      <c r="D1374" s="3" t="s">
        <v>17</v>
      </c>
      <c r="E1374" s="3" t="s">
        <v>17</v>
      </c>
      <c r="F1374">
        <v>14</v>
      </c>
      <c r="G1374" s="7">
        <v>24272</v>
      </c>
      <c r="H1374">
        <v>0</v>
      </c>
      <c r="I1374" s="3" t="s">
        <v>9747</v>
      </c>
      <c r="J1374" s="3" t="s">
        <v>11</v>
      </c>
      <c r="K1374" s="3" t="s">
        <v>15</v>
      </c>
      <c r="L1374" s="3" t="s">
        <v>22</v>
      </c>
      <c r="M1374">
        <v>60</v>
      </c>
      <c r="N1374" s="3"/>
    </row>
    <row r="1375" spans="1:14" x14ac:dyDescent="0.25">
      <c r="A1375" s="3" t="s">
        <v>1405</v>
      </c>
      <c r="B1375">
        <v>1965</v>
      </c>
      <c r="C1375">
        <v>1965</v>
      </c>
      <c r="D1375" s="3" t="s">
        <v>17</v>
      </c>
      <c r="E1375" s="3" t="s">
        <v>17</v>
      </c>
      <c r="F1375">
        <v>23</v>
      </c>
      <c r="G1375" s="7">
        <v>23916</v>
      </c>
      <c r="H1375">
        <v>0</v>
      </c>
      <c r="I1375" s="3" t="s">
        <v>9748</v>
      </c>
      <c r="J1375" s="3" t="s">
        <v>11</v>
      </c>
      <c r="K1375" s="3" t="s">
        <v>10</v>
      </c>
      <c r="L1375" s="3" t="s">
        <v>41</v>
      </c>
      <c r="M1375">
        <v>61</v>
      </c>
      <c r="N1375" s="3"/>
    </row>
    <row r="1376" spans="1:14" x14ac:dyDescent="0.25">
      <c r="A1376" s="3" t="s">
        <v>1406</v>
      </c>
      <c r="B1376">
        <v>1966</v>
      </c>
      <c r="C1376">
        <v>1966</v>
      </c>
      <c r="D1376" s="3" t="s">
        <v>19</v>
      </c>
      <c r="E1376" s="3" t="s">
        <v>19</v>
      </c>
      <c r="F1376">
        <v>7</v>
      </c>
      <c r="G1376" s="7">
        <v>24357</v>
      </c>
      <c r="H1376">
        <v>0</v>
      </c>
      <c r="I1376" s="3" t="s">
        <v>9749</v>
      </c>
      <c r="J1376" s="3" t="s">
        <v>11</v>
      </c>
      <c r="K1376" s="3" t="s">
        <v>10</v>
      </c>
      <c r="L1376" s="3" t="s">
        <v>199</v>
      </c>
      <c r="M1376">
        <v>60</v>
      </c>
      <c r="N1376" s="3"/>
    </row>
    <row r="1377" spans="1:14" x14ac:dyDescent="0.25">
      <c r="A1377" s="3" t="s">
        <v>1407</v>
      </c>
      <c r="B1377">
        <v>2004</v>
      </c>
      <c r="C1377">
        <v>2004</v>
      </c>
      <c r="D1377" s="3" t="s">
        <v>19</v>
      </c>
      <c r="E1377" s="3" t="s">
        <v>19</v>
      </c>
      <c r="F1377">
        <v>10</v>
      </c>
      <c r="G1377" s="7">
        <v>38240</v>
      </c>
      <c r="H1377">
        <v>0</v>
      </c>
      <c r="I1377" s="3" t="s">
        <v>9750</v>
      </c>
      <c r="J1377" s="3" t="s">
        <v>11</v>
      </c>
      <c r="K1377" s="3" t="s">
        <v>10</v>
      </c>
      <c r="L1377" s="3" t="s">
        <v>12</v>
      </c>
      <c r="M1377">
        <v>22</v>
      </c>
      <c r="N1377" s="3"/>
    </row>
    <row r="1378" spans="1:14" x14ac:dyDescent="0.25">
      <c r="A1378" s="3" t="s">
        <v>1408</v>
      </c>
      <c r="B1378">
        <v>1970</v>
      </c>
      <c r="C1378">
        <v>1970</v>
      </c>
      <c r="D1378" s="3" t="s">
        <v>36</v>
      </c>
      <c r="E1378" s="3" t="s">
        <v>36</v>
      </c>
      <c r="F1378">
        <v>13</v>
      </c>
      <c r="G1378" s="7">
        <v>25854</v>
      </c>
      <c r="H1378">
        <v>3</v>
      </c>
      <c r="I1378" s="3" t="s">
        <v>9751</v>
      </c>
      <c r="J1378" s="3" t="s">
        <v>11</v>
      </c>
      <c r="K1378" s="3" t="s">
        <v>15</v>
      </c>
      <c r="L1378" s="3" t="s">
        <v>275</v>
      </c>
      <c r="M1378">
        <v>56</v>
      </c>
      <c r="N1378" s="3"/>
    </row>
    <row r="1379" spans="1:14" x14ac:dyDescent="0.25">
      <c r="A1379" s="3" t="s">
        <v>1409</v>
      </c>
      <c r="B1379">
        <v>1983</v>
      </c>
      <c r="C1379">
        <v>1983</v>
      </c>
      <c r="D1379" s="3" t="s">
        <v>17</v>
      </c>
      <c r="E1379" s="3" t="s">
        <v>17</v>
      </c>
      <c r="F1379">
        <v>7</v>
      </c>
      <c r="G1379" s="7">
        <v>30474</v>
      </c>
      <c r="H1379">
        <v>3</v>
      </c>
      <c r="I1379" s="3" t="s">
        <v>9752</v>
      </c>
      <c r="J1379" s="3" t="s">
        <v>11</v>
      </c>
      <c r="K1379" s="3" t="s">
        <v>11</v>
      </c>
      <c r="L1379" s="3" t="s">
        <v>534</v>
      </c>
      <c r="M1379">
        <v>43</v>
      </c>
      <c r="N1379" s="3"/>
    </row>
    <row r="1380" spans="1:14" x14ac:dyDescent="0.25">
      <c r="A1380" s="3" t="s">
        <v>1410</v>
      </c>
      <c r="B1380">
        <v>1969</v>
      </c>
      <c r="C1380">
        <v>1969</v>
      </c>
      <c r="D1380" s="3" t="s">
        <v>34</v>
      </c>
      <c r="E1380" s="3" t="s">
        <v>34</v>
      </c>
      <c r="F1380">
        <v>11</v>
      </c>
      <c r="G1380" s="7">
        <v>25426</v>
      </c>
      <c r="H1380">
        <v>0</v>
      </c>
      <c r="I1380" s="3" t="s">
        <v>9753</v>
      </c>
      <c r="J1380" s="3" t="s">
        <v>11</v>
      </c>
      <c r="K1380" s="3" t="s">
        <v>15</v>
      </c>
      <c r="L1380" s="3" t="s">
        <v>22</v>
      </c>
      <c r="M1380">
        <v>57</v>
      </c>
      <c r="N1380" s="3"/>
    </row>
    <row r="1381" spans="1:14" x14ac:dyDescent="0.25">
      <c r="A1381" s="3" t="s">
        <v>1411</v>
      </c>
      <c r="B1381">
        <v>1989</v>
      </c>
      <c r="C1381">
        <v>1989</v>
      </c>
      <c r="D1381" s="3" t="s">
        <v>36</v>
      </c>
      <c r="E1381" s="3" t="s">
        <v>36</v>
      </c>
      <c r="F1381">
        <v>6</v>
      </c>
      <c r="G1381" s="7">
        <v>32787</v>
      </c>
      <c r="H1381">
        <v>3</v>
      </c>
      <c r="I1381" s="3" t="s">
        <v>9754</v>
      </c>
      <c r="J1381" s="3" t="s">
        <v>11</v>
      </c>
      <c r="K1381" s="3" t="s">
        <v>11</v>
      </c>
      <c r="L1381" s="3" t="s">
        <v>534</v>
      </c>
      <c r="M1381">
        <v>37</v>
      </c>
      <c r="N1381" s="3"/>
    </row>
    <row r="1382" spans="1:14" x14ac:dyDescent="0.25">
      <c r="A1382" s="3" t="s">
        <v>1412</v>
      </c>
      <c r="B1382">
        <v>1968</v>
      </c>
      <c r="C1382">
        <v>1968</v>
      </c>
      <c r="D1382" s="3" t="s">
        <v>17</v>
      </c>
      <c r="E1382" s="3" t="s">
        <v>17</v>
      </c>
      <c r="F1382">
        <v>24</v>
      </c>
      <c r="G1382" s="7">
        <v>25013</v>
      </c>
      <c r="H1382">
        <v>1</v>
      </c>
      <c r="I1382" s="3" t="s">
        <v>9755</v>
      </c>
      <c r="J1382" s="3" t="s">
        <v>11</v>
      </c>
      <c r="K1382" s="3" t="s">
        <v>15</v>
      </c>
      <c r="L1382" s="3" t="s">
        <v>246</v>
      </c>
      <c r="M1382">
        <v>58</v>
      </c>
      <c r="N1382" s="3"/>
    </row>
    <row r="1383" spans="1:14" x14ac:dyDescent="0.25">
      <c r="A1383" s="3" t="s">
        <v>1413</v>
      </c>
      <c r="B1383">
        <v>1971</v>
      </c>
      <c r="C1383">
        <v>1971</v>
      </c>
      <c r="D1383" s="3" t="s">
        <v>29</v>
      </c>
      <c r="E1383" s="3" t="s">
        <v>29</v>
      </c>
      <c r="F1383">
        <v>19</v>
      </c>
      <c r="G1383" s="7">
        <v>26286</v>
      </c>
      <c r="H1383">
        <v>4</v>
      </c>
      <c r="I1383" s="3" t="s">
        <v>9756</v>
      </c>
      <c r="J1383" s="3" t="s">
        <v>11</v>
      </c>
      <c r="K1383" s="3" t="s">
        <v>15</v>
      </c>
      <c r="L1383" s="3" t="s">
        <v>22</v>
      </c>
      <c r="M1383">
        <v>55</v>
      </c>
      <c r="N1383" s="3"/>
    </row>
    <row r="1384" spans="1:14" x14ac:dyDescent="0.25">
      <c r="A1384" s="3" t="s">
        <v>1414</v>
      </c>
      <c r="B1384">
        <v>1988</v>
      </c>
      <c r="C1384">
        <v>1988</v>
      </c>
      <c r="D1384" s="3" t="s">
        <v>17</v>
      </c>
      <c r="E1384" s="3" t="s">
        <v>17</v>
      </c>
      <c r="F1384">
        <v>12</v>
      </c>
      <c r="G1384" s="7">
        <v>32306</v>
      </c>
      <c r="H1384">
        <v>3</v>
      </c>
      <c r="I1384" s="3" t="s">
        <v>9757</v>
      </c>
      <c r="J1384" s="3" t="s">
        <v>11</v>
      </c>
      <c r="K1384" s="3" t="s">
        <v>15</v>
      </c>
      <c r="L1384" s="3" t="s">
        <v>534</v>
      </c>
      <c r="M1384">
        <v>38</v>
      </c>
      <c r="N1384" s="3"/>
    </row>
    <row r="1385" spans="1:14" x14ac:dyDescent="0.25">
      <c r="A1385" s="3" t="s">
        <v>1415</v>
      </c>
      <c r="B1385">
        <v>1970</v>
      </c>
      <c r="C1385">
        <v>1970</v>
      </c>
      <c r="D1385" s="3" t="s">
        <v>9</v>
      </c>
      <c r="E1385" s="3" t="s">
        <v>9</v>
      </c>
      <c r="F1385">
        <v>23</v>
      </c>
      <c r="G1385" s="7">
        <v>25772</v>
      </c>
      <c r="H1385">
        <v>0</v>
      </c>
      <c r="I1385" s="3" t="s">
        <v>9758</v>
      </c>
      <c r="J1385" s="3" t="s">
        <v>11</v>
      </c>
      <c r="K1385" s="3" t="s">
        <v>15</v>
      </c>
      <c r="L1385" s="3" t="s">
        <v>22</v>
      </c>
      <c r="M1385">
        <v>56</v>
      </c>
      <c r="N1385" s="3"/>
    </row>
    <row r="1386" spans="1:14" x14ac:dyDescent="0.25">
      <c r="A1386" s="3" t="s">
        <v>1416</v>
      </c>
      <c r="B1386">
        <v>1965</v>
      </c>
      <c r="C1386">
        <v>1965</v>
      </c>
      <c r="D1386" s="3" t="s">
        <v>36</v>
      </c>
      <c r="E1386" s="3" t="s">
        <v>36</v>
      </c>
      <c r="F1386">
        <v>3</v>
      </c>
      <c r="G1386" s="7">
        <v>24018</v>
      </c>
      <c r="H1386">
        <v>0</v>
      </c>
      <c r="I1386" s="3" t="s">
        <v>9759</v>
      </c>
      <c r="J1386" s="3" t="s">
        <v>11</v>
      </c>
      <c r="K1386" s="3" t="s">
        <v>15</v>
      </c>
      <c r="L1386" s="3" t="s">
        <v>355</v>
      </c>
      <c r="M1386">
        <v>61</v>
      </c>
      <c r="N1386" s="3"/>
    </row>
    <row r="1387" spans="1:14" x14ac:dyDescent="0.25">
      <c r="A1387" s="3" t="s">
        <v>1417</v>
      </c>
      <c r="B1387">
        <v>1968</v>
      </c>
      <c r="C1387">
        <v>1968</v>
      </c>
      <c r="D1387" s="3" t="s">
        <v>14</v>
      </c>
      <c r="E1387" s="3" t="s">
        <v>14</v>
      </c>
      <c r="F1387">
        <v>14</v>
      </c>
      <c r="G1387" s="7">
        <v>25156</v>
      </c>
      <c r="H1387">
        <v>2</v>
      </c>
      <c r="I1387" s="3" t="s">
        <v>9760</v>
      </c>
      <c r="J1387" s="3" t="s">
        <v>11</v>
      </c>
      <c r="K1387" s="3" t="s">
        <v>15</v>
      </c>
      <c r="L1387" s="3" t="s">
        <v>41</v>
      </c>
      <c r="M1387">
        <v>58</v>
      </c>
      <c r="N1387" s="3"/>
    </row>
    <row r="1388" spans="1:14" x14ac:dyDescent="0.25">
      <c r="A1388" s="3" t="s">
        <v>1418</v>
      </c>
      <c r="B1388">
        <v>1971</v>
      </c>
      <c r="C1388">
        <v>1971</v>
      </c>
      <c r="D1388" s="3" t="s">
        <v>29</v>
      </c>
      <c r="E1388" s="3" t="s">
        <v>29</v>
      </c>
      <c r="F1388">
        <v>1</v>
      </c>
      <c r="G1388" s="7">
        <v>26268</v>
      </c>
      <c r="H1388">
        <v>0</v>
      </c>
      <c r="I1388" s="3" t="s">
        <v>9761</v>
      </c>
      <c r="J1388" s="3" t="s">
        <v>11</v>
      </c>
      <c r="K1388" s="3" t="s">
        <v>15</v>
      </c>
      <c r="L1388" s="3" t="s">
        <v>22</v>
      </c>
      <c r="M1388">
        <v>55</v>
      </c>
      <c r="N1388" s="3"/>
    </row>
    <row r="1389" spans="1:14" x14ac:dyDescent="0.25">
      <c r="A1389" s="3" t="s">
        <v>1419</v>
      </c>
      <c r="B1389">
        <v>1973</v>
      </c>
      <c r="C1389">
        <v>1973</v>
      </c>
      <c r="D1389" s="3" t="s">
        <v>9</v>
      </c>
      <c r="E1389" s="3" t="s">
        <v>9</v>
      </c>
      <c r="F1389">
        <v>23</v>
      </c>
      <c r="G1389" s="7">
        <v>26868</v>
      </c>
      <c r="H1389">
        <v>5</v>
      </c>
      <c r="I1389" s="3" t="s">
        <v>9762</v>
      </c>
      <c r="J1389" s="3" t="s">
        <v>11</v>
      </c>
      <c r="K1389" s="3" t="s">
        <v>10</v>
      </c>
      <c r="L1389" s="3" t="s">
        <v>41</v>
      </c>
      <c r="M1389">
        <v>53</v>
      </c>
      <c r="N1389" s="3"/>
    </row>
    <row r="1390" spans="1:14" x14ac:dyDescent="0.25">
      <c r="A1390" s="3" t="s">
        <v>1420</v>
      </c>
      <c r="B1390">
        <v>1965</v>
      </c>
      <c r="C1390">
        <v>1965</v>
      </c>
      <c r="D1390" s="3" t="s">
        <v>36</v>
      </c>
      <c r="E1390" s="3" t="s">
        <v>36</v>
      </c>
      <c r="F1390">
        <v>27</v>
      </c>
      <c r="G1390" s="7">
        <v>24042</v>
      </c>
      <c r="H1390">
        <v>1</v>
      </c>
      <c r="I1390" s="3" t="s">
        <v>9763</v>
      </c>
      <c r="J1390" s="3" t="s">
        <v>11</v>
      </c>
      <c r="K1390" s="3" t="s">
        <v>15</v>
      </c>
      <c r="L1390" s="3" t="s">
        <v>12</v>
      </c>
      <c r="M1390">
        <v>61</v>
      </c>
      <c r="N1390" s="3"/>
    </row>
    <row r="1391" spans="1:14" x14ac:dyDescent="0.25">
      <c r="A1391" s="3" t="s">
        <v>1421</v>
      </c>
      <c r="B1391">
        <v>1965</v>
      </c>
      <c r="C1391">
        <v>1965</v>
      </c>
      <c r="D1391" s="3" t="s">
        <v>29</v>
      </c>
      <c r="E1391" s="3" t="s">
        <v>29</v>
      </c>
      <c r="F1391">
        <v>25</v>
      </c>
      <c r="G1391" s="7">
        <v>24101</v>
      </c>
      <c r="H1391">
        <v>0</v>
      </c>
      <c r="I1391" s="3" t="s">
        <v>9764</v>
      </c>
      <c r="J1391" s="3" t="s">
        <v>11</v>
      </c>
      <c r="K1391" s="3" t="s">
        <v>11</v>
      </c>
      <c r="L1391" s="3" t="s">
        <v>167</v>
      </c>
      <c r="M1391">
        <v>61</v>
      </c>
      <c r="N1391" s="3"/>
    </row>
    <row r="1392" spans="1:14" x14ac:dyDescent="0.25">
      <c r="A1392" s="3" t="s">
        <v>1422</v>
      </c>
      <c r="B1392">
        <v>1965</v>
      </c>
      <c r="C1392">
        <v>1965</v>
      </c>
      <c r="D1392" s="3" t="s">
        <v>14</v>
      </c>
      <c r="E1392" s="3" t="s">
        <v>14</v>
      </c>
      <c r="F1392">
        <v>6</v>
      </c>
      <c r="G1392" s="7">
        <v>24052</v>
      </c>
      <c r="H1392">
        <v>1</v>
      </c>
      <c r="I1392" s="3" t="s">
        <v>9765</v>
      </c>
      <c r="J1392" s="3" t="s">
        <v>11</v>
      </c>
      <c r="K1392" s="3" t="s">
        <v>11</v>
      </c>
      <c r="L1392" s="3" t="s">
        <v>41</v>
      </c>
      <c r="M1392">
        <v>61</v>
      </c>
      <c r="N1392" s="3"/>
    </row>
    <row r="1393" spans="1:14" x14ac:dyDescent="0.25">
      <c r="A1393" s="3" t="s">
        <v>1423</v>
      </c>
      <c r="B1393">
        <v>1964</v>
      </c>
      <c r="C1393">
        <v>1964</v>
      </c>
      <c r="D1393" s="3" t="s">
        <v>17</v>
      </c>
      <c r="E1393" s="3" t="s">
        <v>17</v>
      </c>
      <c r="F1393">
        <v>20</v>
      </c>
      <c r="G1393" s="7">
        <v>23548</v>
      </c>
      <c r="H1393">
        <v>0</v>
      </c>
      <c r="I1393" s="3" t="s">
        <v>9766</v>
      </c>
      <c r="J1393" s="3" t="s">
        <v>11</v>
      </c>
      <c r="K1393" s="3" t="s">
        <v>15</v>
      </c>
      <c r="L1393" s="3" t="s">
        <v>515</v>
      </c>
      <c r="M1393">
        <v>62</v>
      </c>
      <c r="N1393" s="3"/>
    </row>
    <row r="1394" spans="1:14" x14ac:dyDescent="0.25">
      <c r="A1394" s="3" t="s">
        <v>1424</v>
      </c>
      <c r="B1394">
        <v>1986</v>
      </c>
      <c r="C1394">
        <v>1986</v>
      </c>
      <c r="D1394" s="3" t="s">
        <v>9</v>
      </c>
      <c r="E1394" s="3" t="s">
        <v>9</v>
      </c>
      <c r="F1394">
        <v>17</v>
      </c>
      <c r="G1394" s="7">
        <v>31610</v>
      </c>
      <c r="H1394">
        <v>3</v>
      </c>
      <c r="I1394" s="3" t="s">
        <v>9767</v>
      </c>
      <c r="J1394" s="3" t="s">
        <v>11</v>
      </c>
      <c r="K1394" s="3" t="s">
        <v>11</v>
      </c>
      <c r="L1394" s="3" t="s">
        <v>631</v>
      </c>
      <c r="M1394">
        <v>40</v>
      </c>
      <c r="N1394" s="3"/>
    </row>
    <row r="1395" spans="1:14" x14ac:dyDescent="0.25">
      <c r="A1395" s="3" t="s">
        <v>1425</v>
      </c>
      <c r="B1395">
        <v>1966</v>
      </c>
      <c r="C1395">
        <v>1966</v>
      </c>
      <c r="D1395" s="3" t="s">
        <v>36</v>
      </c>
      <c r="E1395" s="3" t="s">
        <v>36</v>
      </c>
      <c r="F1395">
        <v>4</v>
      </c>
      <c r="G1395" s="7">
        <v>24384</v>
      </c>
      <c r="H1395">
        <v>0</v>
      </c>
      <c r="I1395" s="3" t="s">
        <v>9768</v>
      </c>
      <c r="J1395" s="3" t="s">
        <v>11</v>
      </c>
      <c r="K1395" s="3" t="s">
        <v>10</v>
      </c>
      <c r="L1395" s="3" t="s">
        <v>246</v>
      </c>
      <c r="M1395">
        <v>60</v>
      </c>
      <c r="N1395" s="3"/>
    </row>
    <row r="1396" spans="1:14" x14ac:dyDescent="0.25">
      <c r="A1396" s="3" t="s">
        <v>1426</v>
      </c>
      <c r="B1396">
        <v>1994</v>
      </c>
      <c r="C1396">
        <v>1994</v>
      </c>
      <c r="D1396" s="3" t="s">
        <v>9</v>
      </c>
      <c r="E1396" s="3" t="s">
        <v>9</v>
      </c>
      <c r="F1396">
        <v>20</v>
      </c>
      <c r="G1396" s="7">
        <v>34535</v>
      </c>
      <c r="H1396">
        <v>0</v>
      </c>
      <c r="I1396" s="3" t="s">
        <v>9769</v>
      </c>
      <c r="J1396" s="3" t="s">
        <v>11</v>
      </c>
      <c r="K1396" s="3" t="s">
        <v>10</v>
      </c>
      <c r="L1396" s="3" t="s">
        <v>248</v>
      </c>
      <c r="M1396">
        <v>32</v>
      </c>
      <c r="N1396" s="3"/>
    </row>
    <row r="1397" spans="1:14" x14ac:dyDescent="0.25">
      <c r="A1397" s="3" t="s">
        <v>1427</v>
      </c>
      <c r="B1397">
        <v>1966</v>
      </c>
      <c r="C1397">
        <v>1966</v>
      </c>
      <c r="D1397" s="3" t="s">
        <v>9</v>
      </c>
      <c r="E1397" s="3" t="s">
        <v>9</v>
      </c>
      <c r="F1397">
        <v>6</v>
      </c>
      <c r="G1397" s="7">
        <v>24294</v>
      </c>
      <c r="H1397">
        <v>0</v>
      </c>
      <c r="I1397" s="3" t="s">
        <v>9770</v>
      </c>
      <c r="J1397" s="3" t="s">
        <v>11</v>
      </c>
      <c r="K1397" s="3" t="s">
        <v>15</v>
      </c>
      <c r="L1397" s="3" t="s">
        <v>246</v>
      </c>
      <c r="M1397">
        <v>60</v>
      </c>
      <c r="N1397" s="3"/>
    </row>
    <row r="1398" spans="1:14" x14ac:dyDescent="0.25">
      <c r="A1398" s="3" t="s">
        <v>1428</v>
      </c>
      <c r="B1398">
        <v>1966</v>
      </c>
      <c r="C1398">
        <v>1966</v>
      </c>
      <c r="D1398" s="3" t="s">
        <v>34</v>
      </c>
      <c r="E1398" s="3" t="s">
        <v>34</v>
      </c>
      <c r="F1398">
        <v>23</v>
      </c>
      <c r="G1398" s="7">
        <v>24342</v>
      </c>
      <c r="H1398">
        <v>0</v>
      </c>
      <c r="I1398" s="3" t="s">
        <v>9771</v>
      </c>
      <c r="J1398" s="3" t="s">
        <v>11</v>
      </c>
      <c r="K1398" s="3" t="s">
        <v>11</v>
      </c>
      <c r="L1398" s="3" t="s">
        <v>246</v>
      </c>
      <c r="M1398">
        <v>60</v>
      </c>
      <c r="N1398" s="3"/>
    </row>
    <row r="1399" spans="1:14" x14ac:dyDescent="0.25">
      <c r="A1399" s="3" t="s">
        <v>1429</v>
      </c>
      <c r="B1399">
        <v>1966</v>
      </c>
      <c r="C1399">
        <v>1966</v>
      </c>
      <c r="D1399" s="3" t="s">
        <v>14</v>
      </c>
      <c r="E1399" s="3" t="s">
        <v>14</v>
      </c>
      <c r="F1399">
        <v>9</v>
      </c>
      <c r="G1399" s="7">
        <v>24420</v>
      </c>
      <c r="H1399">
        <v>1</v>
      </c>
      <c r="I1399" s="3" t="s">
        <v>9772</v>
      </c>
      <c r="J1399" s="3" t="s">
        <v>11</v>
      </c>
      <c r="K1399" s="3" t="s">
        <v>15</v>
      </c>
      <c r="L1399" s="3" t="s">
        <v>41</v>
      </c>
      <c r="M1399">
        <v>60</v>
      </c>
      <c r="N1399" s="3"/>
    </row>
    <row r="1400" spans="1:14" x14ac:dyDescent="0.25">
      <c r="A1400" s="3" t="s">
        <v>1430</v>
      </c>
      <c r="B1400">
        <v>1970</v>
      </c>
      <c r="C1400">
        <v>1970</v>
      </c>
      <c r="D1400" s="3" t="s">
        <v>29</v>
      </c>
      <c r="E1400" s="3" t="s">
        <v>29</v>
      </c>
      <c r="F1400">
        <v>1</v>
      </c>
      <c r="G1400" s="7">
        <v>25903</v>
      </c>
      <c r="H1400">
        <v>0</v>
      </c>
      <c r="I1400" s="3" t="s">
        <v>9773</v>
      </c>
      <c r="J1400" s="3" t="s">
        <v>11</v>
      </c>
      <c r="K1400" s="3" t="s">
        <v>15</v>
      </c>
      <c r="L1400" s="3" t="s">
        <v>299</v>
      </c>
      <c r="M1400">
        <v>56</v>
      </c>
      <c r="N1400" s="3"/>
    </row>
    <row r="1401" spans="1:14" x14ac:dyDescent="0.25">
      <c r="A1401" s="3" t="s">
        <v>1431</v>
      </c>
      <c r="B1401">
        <v>1982</v>
      </c>
      <c r="C1401">
        <v>1982</v>
      </c>
      <c r="D1401" s="3" t="s">
        <v>36</v>
      </c>
      <c r="E1401" s="3" t="s">
        <v>36</v>
      </c>
      <c r="F1401">
        <v>21</v>
      </c>
      <c r="G1401" s="7">
        <v>30245</v>
      </c>
      <c r="H1401">
        <v>3</v>
      </c>
      <c r="I1401" s="3" t="s">
        <v>9774</v>
      </c>
      <c r="J1401" s="3" t="s">
        <v>11</v>
      </c>
      <c r="K1401" s="3" t="s">
        <v>10</v>
      </c>
      <c r="L1401" s="3" t="s">
        <v>299</v>
      </c>
      <c r="M1401">
        <v>44</v>
      </c>
      <c r="N1401" s="3"/>
    </row>
    <row r="1402" spans="1:14" x14ac:dyDescent="0.25">
      <c r="A1402" s="3" t="s">
        <v>1432</v>
      </c>
      <c r="B1402">
        <v>1969</v>
      </c>
      <c r="C1402">
        <v>1969</v>
      </c>
      <c r="D1402" s="3" t="s">
        <v>36</v>
      </c>
      <c r="E1402" s="3" t="s">
        <v>36</v>
      </c>
      <c r="F1402">
        <v>12</v>
      </c>
      <c r="G1402" s="7">
        <v>25488</v>
      </c>
      <c r="H1402">
        <v>2</v>
      </c>
      <c r="I1402" s="3" t="s">
        <v>9775</v>
      </c>
      <c r="J1402" s="3" t="s">
        <v>11</v>
      </c>
      <c r="K1402" s="3" t="s">
        <v>15</v>
      </c>
      <c r="L1402" s="3" t="s">
        <v>246</v>
      </c>
      <c r="M1402">
        <v>57</v>
      </c>
      <c r="N1402" s="3"/>
    </row>
    <row r="1403" spans="1:14" x14ac:dyDescent="0.25">
      <c r="A1403" s="3" t="s">
        <v>1433</v>
      </c>
      <c r="B1403">
        <v>1984</v>
      </c>
      <c r="C1403">
        <v>1984</v>
      </c>
      <c r="D1403" s="3" t="s">
        <v>14</v>
      </c>
      <c r="E1403" s="3" t="s">
        <v>14</v>
      </c>
      <c r="F1403">
        <v>26</v>
      </c>
      <c r="G1403" s="7">
        <v>31012</v>
      </c>
      <c r="H1403">
        <v>3</v>
      </c>
      <c r="I1403" s="3" t="s">
        <v>9776</v>
      </c>
      <c r="J1403" s="3" t="s">
        <v>11</v>
      </c>
      <c r="K1403" s="3" t="s">
        <v>11</v>
      </c>
      <c r="L1403" s="3" t="s">
        <v>534</v>
      </c>
      <c r="M1403">
        <v>42</v>
      </c>
      <c r="N1403" s="3"/>
    </row>
    <row r="1404" spans="1:14" x14ac:dyDescent="0.25">
      <c r="A1404" s="3" t="s">
        <v>1434</v>
      </c>
      <c r="B1404">
        <v>1964</v>
      </c>
      <c r="C1404">
        <v>1964</v>
      </c>
      <c r="D1404" s="3" t="s">
        <v>14</v>
      </c>
      <c r="E1404" s="3" t="s">
        <v>14</v>
      </c>
      <c r="F1404">
        <v>9</v>
      </c>
      <c r="G1404" s="7">
        <v>23690</v>
      </c>
      <c r="H1404">
        <v>0</v>
      </c>
      <c r="I1404" s="3" t="s">
        <v>9777</v>
      </c>
      <c r="J1404" s="3" t="s">
        <v>11</v>
      </c>
      <c r="K1404" s="3" t="s">
        <v>15</v>
      </c>
      <c r="L1404" s="3" t="s">
        <v>22</v>
      </c>
      <c r="M1404">
        <v>62</v>
      </c>
      <c r="N1404" s="3"/>
    </row>
    <row r="1405" spans="1:14" x14ac:dyDescent="0.25">
      <c r="A1405" s="3" t="s">
        <v>1435</v>
      </c>
      <c r="B1405">
        <v>1988</v>
      </c>
      <c r="C1405">
        <v>1988</v>
      </c>
      <c r="D1405" s="3" t="s">
        <v>19</v>
      </c>
      <c r="E1405" s="3" t="s">
        <v>19</v>
      </c>
      <c r="F1405">
        <v>5</v>
      </c>
      <c r="G1405" s="7">
        <v>32391</v>
      </c>
      <c r="H1405">
        <v>2</v>
      </c>
      <c r="I1405" s="3" t="s">
        <v>9778</v>
      </c>
      <c r="J1405" s="3" t="s">
        <v>11</v>
      </c>
      <c r="K1405" s="3" t="s">
        <v>15</v>
      </c>
      <c r="L1405" s="3" t="s">
        <v>41</v>
      </c>
      <c r="M1405">
        <v>38</v>
      </c>
      <c r="N1405" s="3"/>
    </row>
    <row r="1406" spans="1:14" x14ac:dyDescent="0.25">
      <c r="A1406" s="3" t="s">
        <v>1436</v>
      </c>
      <c r="B1406">
        <v>1969</v>
      </c>
      <c r="C1406">
        <v>1969</v>
      </c>
      <c r="D1406" s="3" t="s">
        <v>14</v>
      </c>
      <c r="E1406" s="3" t="s">
        <v>14</v>
      </c>
      <c r="F1406">
        <v>12</v>
      </c>
      <c r="G1406" s="7">
        <v>25519</v>
      </c>
      <c r="H1406">
        <v>3</v>
      </c>
      <c r="I1406" s="3" t="s">
        <v>9779</v>
      </c>
      <c r="J1406" s="3" t="s">
        <v>11</v>
      </c>
      <c r="K1406" s="3" t="s">
        <v>15</v>
      </c>
      <c r="L1406" s="3" t="s">
        <v>41</v>
      </c>
      <c r="M1406">
        <v>57</v>
      </c>
      <c r="N1406" s="3"/>
    </row>
    <row r="1407" spans="1:14" x14ac:dyDescent="0.25">
      <c r="A1407" s="3" t="s">
        <v>1437</v>
      </c>
      <c r="B1407">
        <v>1963</v>
      </c>
      <c r="C1407">
        <v>1963</v>
      </c>
      <c r="D1407" s="3" t="s">
        <v>17</v>
      </c>
      <c r="E1407" s="3" t="s">
        <v>17</v>
      </c>
      <c r="F1407">
        <v>9</v>
      </c>
      <c r="G1407" s="7">
        <v>23171</v>
      </c>
      <c r="H1407">
        <v>0</v>
      </c>
      <c r="I1407" s="3" t="s">
        <v>9780</v>
      </c>
      <c r="J1407" s="3" t="s">
        <v>11</v>
      </c>
      <c r="K1407" s="3" t="s">
        <v>11</v>
      </c>
      <c r="L1407" s="3" t="s">
        <v>12</v>
      </c>
      <c r="M1407">
        <v>63</v>
      </c>
      <c r="N1407" s="3"/>
    </row>
    <row r="1408" spans="1:14" x14ac:dyDescent="0.25">
      <c r="A1408" s="3" t="s">
        <v>1438</v>
      </c>
      <c r="B1408">
        <v>1964</v>
      </c>
      <c r="C1408">
        <v>1964</v>
      </c>
      <c r="D1408" s="3" t="s">
        <v>29</v>
      </c>
      <c r="E1408" s="3" t="s">
        <v>29</v>
      </c>
      <c r="F1408">
        <v>2</v>
      </c>
      <c r="G1408" s="7">
        <v>23713</v>
      </c>
      <c r="H1408">
        <v>0</v>
      </c>
      <c r="I1408" s="3" t="s">
        <v>9781</v>
      </c>
      <c r="J1408" s="3" t="s">
        <v>11</v>
      </c>
      <c r="K1408" s="3" t="s">
        <v>15</v>
      </c>
      <c r="L1408" s="3" t="s">
        <v>22</v>
      </c>
      <c r="M1408">
        <v>62</v>
      </c>
      <c r="N1408" s="3"/>
    </row>
    <row r="1409" spans="1:14" x14ac:dyDescent="0.25">
      <c r="A1409" s="3" t="s">
        <v>1439</v>
      </c>
      <c r="B1409">
        <v>1979</v>
      </c>
      <c r="C1409">
        <v>1979</v>
      </c>
      <c r="D1409" s="3" t="s">
        <v>14</v>
      </c>
      <c r="E1409" s="3" t="s">
        <v>14</v>
      </c>
      <c r="F1409">
        <v>6</v>
      </c>
      <c r="G1409" s="7">
        <v>29165</v>
      </c>
      <c r="H1409">
        <v>2</v>
      </c>
      <c r="I1409" s="3" t="s">
        <v>9782</v>
      </c>
      <c r="J1409" s="3" t="s">
        <v>11</v>
      </c>
      <c r="K1409" s="3" t="s">
        <v>15</v>
      </c>
      <c r="L1409" s="3" t="s">
        <v>534</v>
      </c>
      <c r="M1409">
        <v>47</v>
      </c>
      <c r="N1409" s="3"/>
    </row>
    <row r="1410" spans="1:14" x14ac:dyDescent="0.25">
      <c r="A1410" s="3" t="s">
        <v>1440</v>
      </c>
      <c r="B1410">
        <v>1966</v>
      </c>
      <c r="C1410">
        <v>1966</v>
      </c>
      <c r="D1410" s="3" t="s">
        <v>9</v>
      </c>
      <c r="E1410" s="3" t="s">
        <v>9</v>
      </c>
      <c r="F1410">
        <v>25</v>
      </c>
      <c r="G1410" s="7">
        <v>24313</v>
      </c>
      <c r="H1410">
        <v>1</v>
      </c>
      <c r="I1410" s="3" t="s">
        <v>9783</v>
      </c>
      <c r="J1410" s="3" t="s">
        <v>11</v>
      </c>
      <c r="K1410" s="3" t="s">
        <v>11</v>
      </c>
      <c r="L1410" s="3" t="s">
        <v>167</v>
      </c>
      <c r="M1410">
        <v>60</v>
      </c>
      <c r="N1410" s="3"/>
    </row>
    <row r="1411" spans="1:14" x14ac:dyDescent="0.25">
      <c r="A1411" s="3" t="s">
        <v>1441</v>
      </c>
      <c r="B1411">
        <v>1982</v>
      </c>
      <c r="C1411">
        <v>1982</v>
      </c>
      <c r="D1411" s="3" t="s">
        <v>14</v>
      </c>
      <c r="E1411" s="3" t="s">
        <v>14</v>
      </c>
      <c r="F1411">
        <v>20</v>
      </c>
      <c r="G1411" s="7">
        <v>30275</v>
      </c>
      <c r="H1411">
        <v>3</v>
      </c>
      <c r="I1411" s="3" t="s">
        <v>9784</v>
      </c>
      <c r="J1411" s="3" t="s">
        <v>11</v>
      </c>
      <c r="K1411" s="3" t="s">
        <v>11</v>
      </c>
      <c r="L1411" s="3" t="s">
        <v>534</v>
      </c>
      <c r="M1411">
        <v>44</v>
      </c>
      <c r="N1411" s="3"/>
    </row>
    <row r="1412" spans="1:14" x14ac:dyDescent="0.25">
      <c r="A1412" s="3" t="s">
        <v>1442</v>
      </c>
      <c r="B1412">
        <v>1965</v>
      </c>
      <c r="C1412">
        <v>1965</v>
      </c>
      <c r="D1412" s="3" t="s">
        <v>36</v>
      </c>
      <c r="E1412" s="3" t="s">
        <v>36</v>
      </c>
      <c r="F1412">
        <v>3</v>
      </c>
      <c r="G1412" s="7">
        <v>24018</v>
      </c>
      <c r="H1412">
        <v>0</v>
      </c>
      <c r="I1412" s="3" t="s">
        <v>9785</v>
      </c>
      <c r="J1412" s="3" t="s">
        <v>11</v>
      </c>
      <c r="K1412" s="3" t="s">
        <v>15</v>
      </c>
      <c r="L1412" s="3" t="s">
        <v>22</v>
      </c>
      <c r="M1412">
        <v>61</v>
      </c>
      <c r="N1412" s="3"/>
    </row>
    <row r="1413" spans="1:14" x14ac:dyDescent="0.25">
      <c r="A1413" s="3" t="s">
        <v>1443</v>
      </c>
      <c r="B1413">
        <v>1964</v>
      </c>
      <c r="C1413">
        <v>1964</v>
      </c>
      <c r="D1413" s="3" t="s">
        <v>17</v>
      </c>
      <c r="E1413" s="3" t="s">
        <v>17</v>
      </c>
      <c r="F1413">
        <v>27</v>
      </c>
      <c r="G1413" s="7">
        <v>23555</v>
      </c>
      <c r="H1413">
        <v>0</v>
      </c>
      <c r="I1413" s="3" t="s">
        <v>9786</v>
      </c>
      <c r="J1413" s="3" t="s">
        <v>11</v>
      </c>
      <c r="K1413" s="3" t="s">
        <v>11</v>
      </c>
      <c r="L1413" s="3" t="s">
        <v>12</v>
      </c>
      <c r="M1413">
        <v>62</v>
      </c>
      <c r="N1413" s="3"/>
    </row>
    <row r="1414" spans="1:14" x14ac:dyDescent="0.25">
      <c r="A1414" s="3" t="s">
        <v>1444</v>
      </c>
      <c r="B1414">
        <v>1964</v>
      </c>
      <c r="C1414">
        <v>1964</v>
      </c>
      <c r="D1414" s="3" t="s">
        <v>19</v>
      </c>
      <c r="E1414" s="3" t="s">
        <v>19</v>
      </c>
      <c r="F1414">
        <v>11</v>
      </c>
      <c r="G1414" s="7">
        <v>23631</v>
      </c>
      <c r="H1414">
        <v>0</v>
      </c>
      <c r="I1414" s="3" t="s">
        <v>9787</v>
      </c>
      <c r="J1414" s="3" t="s">
        <v>11</v>
      </c>
      <c r="K1414" s="3" t="s">
        <v>11</v>
      </c>
      <c r="L1414" s="3" t="s">
        <v>41</v>
      </c>
      <c r="M1414">
        <v>62</v>
      </c>
      <c r="N1414" s="3"/>
    </row>
    <row r="1415" spans="1:14" x14ac:dyDescent="0.25">
      <c r="A1415" s="3" t="s">
        <v>1445</v>
      </c>
      <c r="B1415">
        <v>1965</v>
      </c>
      <c r="C1415">
        <v>1965</v>
      </c>
      <c r="D1415" s="3" t="s">
        <v>19</v>
      </c>
      <c r="E1415" s="3" t="s">
        <v>19</v>
      </c>
      <c r="F1415">
        <v>25</v>
      </c>
      <c r="G1415" s="7">
        <v>24010</v>
      </c>
      <c r="H1415">
        <v>0</v>
      </c>
      <c r="I1415" s="3" t="s">
        <v>9788</v>
      </c>
      <c r="J1415" s="3" t="s">
        <v>11</v>
      </c>
      <c r="K1415" s="3" t="s">
        <v>10</v>
      </c>
      <c r="L1415" s="3" t="s">
        <v>22</v>
      </c>
      <c r="M1415">
        <v>61</v>
      </c>
      <c r="N1415" s="3"/>
    </row>
    <row r="1416" spans="1:14" x14ac:dyDescent="0.25">
      <c r="A1416" s="3" t="s">
        <v>1446</v>
      </c>
      <c r="B1416">
        <v>1964</v>
      </c>
      <c r="C1416">
        <v>1964</v>
      </c>
      <c r="D1416" s="3" t="s">
        <v>9</v>
      </c>
      <c r="E1416" s="3" t="s">
        <v>9</v>
      </c>
      <c r="F1416">
        <v>11</v>
      </c>
      <c r="G1416" s="7">
        <v>23569</v>
      </c>
      <c r="H1416">
        <v>0</v>
      </c>
      <c r="I1416" s="3" t="s">
        <v>9789</v>
      </c>
      <c r="J1416" s="3" t="s">
        <v>11</v>
      </c>
      <c r="K1416" s="3" t="s">
        <v>10</v>
      </c>
      <c r="L1416" s="3" t="s">
        <v>41</v>
      </c>
      <c r="M1416">
        <v>62</v>
      </c>
      <c r="N1416" s="3"/>
    </row>
    <row r="1417" spans="1:14" x14ac:dyDescent="0.25">
      <c r="A1417" s="3" t="s">
        <v>1447</v>
      </c>
      <c r="B1417">
        <v>1965</v>
      </c>
      <c r="C1417">
        <v>1965</v>
      </c>
      <c r="D1417" s="3" t="s">
        <v>14</v>
      </c>
      <c r="E1417" s="3" t="s">
        <v>14</v>
      </c>
      <c r="F1417">
        <v>10</v>
      </c>
      <c r="G1417" s="7">
        <v>24056</v>
      </c>
      <c r="H1417">
        <v>0</v>
      </c>
      <c r="I1417" s="3" t="s">
        <v>9790</v>
      </c>
      <c r="J1417" s="3" t="s">
        <v>11</v>
      </c>
      <c r="K1417" s="3" t="s">
        <v>11</v>
      </c>
      <c r="L1417" s="3" t="s">
        <v>22</v>
      </c>
      <c r="M1417">
        <v>61</v>
      </c>
      <c r="N1417" s="3"/>
    </row>
    <row r="1418" spans="1:14" x14ac:dyDescent="0.25">
      <c r="A1418" s="3" t="s">
        <v>1448</v>
      </c>
      <c r="B1418">
        <v>1964</v>
      </c>
      <c r="C1418">
        <v>1964</v>
      </c>
      <c r="D1418" s="3" t="s">
        <v>17</v>
      </c>
      <c r="E1418" s="3" t="s">
        <v>17</v>
      </c>
      <c r="F1418">
        <v>27</v>
      </c>
      <c r="G1418" s="7">
        <v>23555</v>
      </c>
      <c r="H1418">
        <v>0</v>
      </c>
      <c r="I1418" s="3" t="s">
        <v>9791</v>
      </c>
      <c r="J1418" s="3" t="s">
        <v>11</v>
      </c>
      <c r="K1418" s="3" t="s">
        <v>10</v>
      </c>
      <c r="L1418" s="3" t="s">
        <v>41</v>
      </c>
      <c r="M1418">
        <v>62</v>
      </c>
      <c r="N1418" s="3"/>
    </row>
    <row r="1419" spans="1:14" x14ac:dyDescent="0.25">
      <c r="A1419" s="3" t="s">
        <v>1449</v>
      </c>
      <c r="B1419">
        <v>1964</v>
      </c>
      <c r="C1419">
        <v>1964</v>
      </c>
      <c r="D1419" s="3" t="s">
        <v>19</v>
      </c>
      <c r="E1419" s="3" t="s">
        <v>19</v>
      </c>
      <c r="F1419">
        <v>29</v>
      </c>
      <c r="G1419" s="7">
        <v>23649</v>
      </c>
      <c r="H1419">
        <v>0</v>
      </c>
      <c r="I1419" s="3" t="s">
        <v>9792</v>
      </c>
      <c r="J1419" s="3" t="s">
        <v>11</v>
      </c>
      <c r="K1419" s="3" t="s">
        <v>10</v>
      </c>
      <c r="L1419" s="3" t="s">
        <v>12</v>
      </c>
      <c r="M1419">
        <v>62</v>
      </c>
      <c r="N1419" s="3"/>
    </row>
    <row r="1420" spans="1:14" x14ac:dyDescent="0.25">
      <c r="A1420" s="3" t="s">
        <v>1450</v>
      </c>
      <c r="B1420">
        <v>1974</v>
      </c>
      <c r="C1420">
        <v>1974</v>
      </c>
      <c r="D1420" s="3" t="s">
        <v>9</v>
      </c>
      <c r="E1420" s="3" t="s">
        <v>9</v>
      </c>
      <c r="F1420">
        <v>7</v>
      </c>
      <c r="G1420" s="7">
        <v>27217</v>
      </c>
      <c r="H1420">
        <v>0</v>
      </c>
      <c r="I1420" s="3" t="s">
        <v>9793</v>
      </c>
      <c r="J1420" s="3" t="s">
        <v>11</v>
      </c>
      <c r="K1420" s="3" t="s">
        <v>11</v>
      </c>
      <c r="L1420" s="3" t="s">
        <v>41</v>
      </c>
      <c r="M1420">
        <v>52</v>
      </c>
      <c r="N1420" s="3"/>
    </row>
    <row r="1421" spans="1:14" x14ac:dyDescent="0.25">
      <c r="A1421" s="3" t="s">
        <v>1451</v>
      </c>
      <c r="B1421">
        <v>1967</v>
      </c>
      <c r="C1421">
        <v>1967</v>
      </c>
      <c r="D1421" s="3" t="s">
        <v>34</v>
      </c>
      <c r="E1421" s="3" t="s">
        <v>34</v>
      </c>
      <c r="F1421">
        <v>24</v>
      </c>
      <c r="G1421" s="7">
        <v>24708</v>
      </c>
      <c r="H1421">
        <v>1</v>
      </c>
      <c r="I1421" s="3" t="s">
        <v>9794</v>
      </c>
      <c r="J1421" s="3" t="s">
        <v>11</v>
      </c>
      <c r="K1421" s="3" t="s">
        <v>11</v>
      </c>
      <c r="L1421" s="3" t="s">
        <v>246</v>
      </c>
      <c r="M1421">
        <v>59</v>
      </c>
      <c r="N1421" s="3"/>
    </row>
    <row r="1422" spans="1:14" x14ac:dyDescent="0.25">
      <c r="A1422" s="3" t="s">
        <v>1452</v>
      </c>
      <c r="B1422">
        <v>1967</v>
      </c>
      <c r="C1422">
        <v>1967</v>
      </c>
      <c r="D1422" s="3" t="s">
        <v>9</v>
      </c>
      <c r="E1422" s="3" t="s">
        <v>9</v>
      </c>
      <c r="F1422">
        <v>14</v>
      </c>
      <c r="G1422" s="7">
        <v>24667</v>
      </c>
      <c r="H1422">
        <v>2</v>
      </c>
      <c r="I1422" s="3" t="s">
        <v>9795</v>
      </c>
      <c r="J1422" s="3" t="s">
        <v>11</v>
      </c>
      <c r="K1422" s="3" t="s">
        <v>10</v>
      </c>
      <c r="L1422" s="3" t="s">
        <v>41</v>
      </c>
      <c r="M1422">
        <v>59</v>
      </c>
      <c r="N1422" s="3"/>
    </row>
    <row r="1423" spans="1:14" x14ac:dyDescent="0.25">
      <c r="A1423" s="3" t="s">
        <v>1453</v>
      </c>
      <c r="B1423">
        <v>1967</v>
      </c>
      <c r="C1423">
        <v>1967</v>
      </c>
      <c r="D1423" s="3" t="s">
        <v>36</v>
      </c>
      <c r="E1423" s="3" t="s">
        <v>36</v>
      </c>
      <c r="F1423">
        <v>29</v>
      </c>
      <c r="G1423" s="7">
        <v>24774</v>
      </c>
      <c r="H1423">
        <v>2</v>
      </c>
      <c r="I1423" s="3" t="s">
        <v>9796</v>
      </c>
      <c r="J1423" s="3" t="s">
        <v>11</v>
      </c>
      <c r="K1423" s="3" t="s">
        <v>15</v>
      </c>
      <c r="L1423" s="3" t="s">
        <v>12</v>
      </c>
      <c r="M1423">
        <v>59</v>
      </c>
      <c r="N1423" s="3"/>
    </row>
    <row r="1424" spans="1:14" x14ac:dyDescent="0.25">
      <c r="A1424" s="3" t="s">
        <v>1454</v>
      </c>
      <c r="B1424">
        <v>2004</v>
      </c>
      <c r="C1424">
        <v>2004</v>
      </c>
      <c r="D1424" s="3" t="s">
        <v>17</v>
      </c>
      <c r="E1424" s="3" t="s">
        <v>17</v>
      </c>
      <c r="F1424">
        <v>2</v>
      </c>
      <c r="G1424" s="7">
        <v>38140</v>
      </c>
      <c r="H1424">
        <v>2</v>
      </c>
      <c r="I1424" s="3" t="s">
        <v>9797</v>
      </c>
      <c r="J1424" s="3" t="s">
        <v>11</v>
      </c>
      <c r="K1424" s="3" t="s">
        <v>11</v>
      </c>
      <c r="L1424" s="3" t="s">
        <v>12</v>
      </c>
      <c r="M1424">
        <v>22</v>
      </c>
      <c r="N1424" s="3"/>
    </row>
    <row r="1425" spans="1:14" x14ac:dyDescent="0.25">
      <c r="A1425" s="3" t="s">
        <v>1455</v>
      </c>
      <c r="B1425">
        <v>1964</v>
      </c>
      <c r="C1425">
        <v>1964</v>
      </c>
      <c r="D1425" s="3" t="s">
        <v>14</v>
      </c>
      <c r="E1425" s="3" t="s">
        <v>14</v>
      </c>
      <c r="F1425">
        <v>19</v>
      </c>
      <c r="G1425" s="7">
        <v>23700</v>
      </c>
      <c r="H1425">
        <v>0</v>
      </c>
      <c r="I1425" s="3" t="s">
        <v>9798</v>
      </c>
      <c r="J1425" s="3" t="s">
        <v>11</v>
      </c>
      <c r="K1425" s="3" t="s">
        <v>15</v>
      </c>
      <c r="L1425" s="3" t="s">
        <v>299</v>
      </c>
      <c r="M1425">
        <v>62</v>
      </c>
      <c r="N1425" s="3"/>
    </row>
    <row r="1426" spans="1:14" x14ac:dyDescent="0.25">
      <c r="A1426" s="3" t="s">
        <v>1456</v>
      </c>
      <c r="B1426">
        <v>1964</v>
      </c>
      <c r="C1426">
        <v>1964</v>
      </c>
      <c r="D1426" s="3" t="s">
        <v>29</v>
      </c>
      <c r="E1426" s="3" t="s">
        <v>29</v>
      </c>
      <c r="F1426">
        <v>20</v>
      </c>
      <c r="G1426" s="7">
        <v>23731</v>
      </c>
      <c r="H1426">
        <v>0</v>
      </c>
      <c r="I1426" s="3" t="s">
        <v>9799</v>
      </c>
      <c r="J1426" s="3" t="s">
        <v>11</v>
      </c>
      <c r="K1426" s="3" t="s">
        <v>15</v>
      </c>
      <c r="L1426" s="3" t="s">
        <v>165</v>
      </c>
      <c r="M1426">
        <v>62</v>
      </c>
      <c r="N1426" s="3"/>
    </row>
    <row r="1427" spans="1:14" x14ac:dyDescent="0.25">
      <c r="A1427" s="3" t="s">
        <v>1457</v>
      </c>
      <c r="B1427">
        <v>1964</v>
      </c>
      <c r="C1427">
        <v>1964</v>
      </c>
      <c r="D1427" s="3" t="s">
        <v>34</v>
      </c>
      <c r="E1427" s="3" t="s">
        <v>34</v>
      </c>
      <c r="F1427">
        <v>2</v>
      </c>
      <c r="G1427" s="7">
        <v>23591</v>
      </c>
      <c r="H1427">
        <v>0</v>
      </c>
      <c r="I1427" s="3" t="s">
        <v>9800</v>
      </c>
      <c r="J1427" s="3" t="s">
        <v>11</v>
      </c>
      <c r="K1427" s="3" t="s">
        <v>11</v>
      </c>
      <c r="L1427" s="3" t="s">
        <v>165</v>
      </c>
      <c r="M1427">
        <v>62</v>
      </c>
      <c r="N1427" s="3"/>
    </row>
    <row r="1428" spans="1:14" x14ac:dyDescent="0.25">
      <c r="A1428" s="3" t="s">
        <v>1458</v>
      </c>
      <c r="B1428">
        <v>1991</v>
      </c>
      <c r="C1428">
        <v>1991</v>
      </c>
      <c r="D1428" s="3" t="s">
        <v>36</v>
      </c>
      <c r="E1428" s="3" t="s">
        <v>36</v>
      </c>
      <c r="F1428">
        <v>19</v>
      </c>
      <c r="G1428" s="7">
        <v>33530</v>
      </c>
      <c r="H1428">
        <v>3</v>
      </c>
      <c r="I1428" s="3" t="s">
        <v>9801</v>
      </c>
      <c r="J1428" s="3" t="s">
        <v>11</v>
      </c>
      <c r="K1428" s="3" t="s">
        <v>15</v>
      </c>
      <c r="L1428" s="3" t="s">
        <v>248</v>
      </c>
      <c r="M1428">
        <v>35</v>
      </c>
      <c r="N1428" s="3"/>
    </row>
    <row r="1429" spans="1:14" x14ac:dyDescent="0.25">
      <c r="A1429" s="3" t="s">
        <v>1459</v>
      </c>
      <c r="B1429">
        <v>1964</v>
      </c>
      <c r="C1429">
        <v>1964</v>
      </c>
      <c r="D1429" s="3" t="s">
        <v>29</v>
      </c>
      <c r="E1429" s="3" t="s">
        <v>29</v>
      </c>
      <c r="F1429">
        <v>25</v>
      </c>
      <c r="G1429" s="7">
        <v>23736</v>
      </c>
      <c r="H1429">
        <v>0</v>
      </c>
      <c r="I1429" s="3" t="s">
        <v>9802</v>
      </c>
      <c r="J1429" s="3" t="s">
        <v>11</v>
      </c>
      <c r="K1429" s="3" t="s">
        <v>10</v>
      </c>
      <c r="L1429" s="3" t="s">
        <v>167</v>
      </c>
      <c r="M1429">
        <v>62</v>
      </c>
      <c r="N1429" s="3"/>
    </row>
    <row r="1430" spans="1:14" x14ac:dyDescent="0.25">
      <c r="A1430" s="3" t="s">
        <v>1460</v>
      </c>
      <c r="B1430">
        <v>1965</v>
      </c>
      <c r="C1430">
        <v>1965</v>
      </c>
      <c r="D1430" s="3" t="s">
        <v>14</v>
      </c>
      <c r="E1430" s="3" t="s">
        <v>14</v>
      </c>
      <c r="F1430">
        <v>1</v>
      </c>
      <c r="G1430" s="7">
        <v>24047</v>
      </c>
      <c r="H1430">
        <v>1</v>
      </c>
      <c r="I1430" s="3" t="s">
        <v>9803</v>
      </c>
      <c r="J1430" s="3" t="s">
        <v>11</v>
      </c>
      <c r="K1430" s="3" t="s">
        <v>10</v>
      </c>
      <c r="L1430" s="3" t="s">
        <v>22</v>
      </c>
      <c r="M1430">
        <v>61</v>
      </c>
      <c r="N1430" s="3"/>
    </row>
    <row r="1431" spans="1:14" x14ac:dyDescent="0.25">
      <c r="A1431" s="3" t="s">
        <v>1461</v>
      </c>
      <c r="B1431">
        <v>1964</v>
      </c>
      <c r="C1431">
        <v>1964</v>
      </c>
      <c r="D1431" s="3" t="s">
        <v>19</v>
      </c>
      <c r="E1431" s="3" t="s">
        <v>19</v>
      </c>
      <c r="F1431">
        <v>29</v>
      </c>
      <c r="G1431" s="7">
        <v>23649</v>
      </c>
      <c r="H1431">
        <v>1</v>
      </c>
      <c r="I1431" s="3" t="s">
        <v>9804</v>
      </c>
      <c r="J1431" s="3" t="s">
        <v>11</v>
      </c>
      <c r="K1431" s="3" t="s">
        <v>10</v>
      </c>
      <c r="L1431" s="3" t="s">
        <v>12</v>
      </c>
      <c r="M1431">
        <v>62</v>
      </c>
      <c r="N1431" s="3"/>
    </row>
    <row r="1432" spans="1:14" x14ac:dyDescent="0.25">
      <c r="A1432" s="3" t="s">
        <v>1462</v>
      </c>
      <c r="B1432">
        <v>1967</v>
      </c>
      <c r="C1432">
        <v>1967</v>
      </c>
      <c r="D1432" s="3" t="s">
        <v>29</v>
      </c>
      <c r="E1432" s="3" t="s">
        <v>29</v>
      </c>
      <c r="F1432">
        <v>22</v>
      </c>
      <c r="G1432" s="7">
        <v>24828</v>
      </c>
      <c r="H1432">
        <v>3</v>
      </c>
      <c r="I1432" s="3" t="s">
        <v>9805</v>
      </c>
      <c r="J1432" s="3" t="s">
        <v>11</v>
      </c>
      <c r="K1432" s="3" t="s">
        <v>11</v>
      </c>
      <c r="L1432" s="3" t="s">
        <v>12</v>
      </c>
      <c r="M1432">
        <v>59</v>
      </c>
      <c r="N1432" s="3"/>
    </row>
    <row r="1433" spans="1:14" x14ac:dyDescent="0.25">
      <c r="A1433" s="3" t="s">
        <v>1463</v>
      </c>
      <c r="B1433">
        <v>1983</v>
      </c>
      <c r="C1433">
        <v>1983</v>
      </c>
      <c r="D1433" s="3" t="s">
        <v>9</v>
      </c>
      <c r="E1433" s="3" t="s">
        <v>9</v>
      </c>
      <c r="F1433">
        <v>4</v>
      </c>
      <c r="G1433" s="7">
        <v>30501</v>
      </c>
      <c r="H1433">
        <v>3</v>
      </c>
      <c r="I1433" s="3" t="s">
        <v>9806</v>
      </c>
      <c r="J1433" s="3" t="s">
        <v>11</v>
      </c>
      <c r="K1433" s="3" t="s">
        <v>10</v>
      </c>
      <c r="L1433" s="3" t="s">
        <v>534</v>
      </c>
      <c r="M1433">
        <v>43</v>
      </c>
      <c r="N1433" s="3"/>
    </row>
    <row r="1434" spans="1:14" x14ac:dyDescent="0.25">
      <c r="A1434" s="3" t="s">
        <v>1464</v>
      </c>
      <c r="B1434">
        <v>1993</v>
      </c>
      <c r="C1434">
        <v>1993</v>
      </c>
      <c r="D1434" s="3" t="s">
        <v>29</v>
      </c>
      <c r="E1434" s="3" t="s">
        <v>29</v>
      </c>
      <c r="F1434">
        <v>12</v>
      </c>
      <c r="G1434" s="7">
        <v>34315</v>
      </c>
      <c r="H1434">
        <v>0</v>
      </c>
      <c r="I1434" s="3" t="s">
        <v>9807</v>
      </c>
      <c r="J1434" s="3" t="s">
        <v>11</v>
      </c>
      <c r="K1434" s="3" t="s">
        <v>10</v>
      </c>
      <c r="L1434" s="3" t="s">
        <v>22</v>
      </c>
      <c r="M1434">
        <v>33</v>
      </c>
      <c r="N1434" s="3"/>
    </row>
    <row r="1435" spans="1:14" x14ac:dyDescent="0.25">
      <c r="A1435" s="3" t="s">
        <v>1465</v>
      </c>
      <c r="B1435">
        <v>1982</v>
      </c>
      <c r="C1435">
        <v>1982</v>
      </c>
      <c r="D1435" s="3" t="s">
        <v>36</v>
      </c>
      <c r="E1435" s="3" t="s">
        <v>36</v>
      </c>
      <c r="F1435">
        <v>17</v>
      </c>
      <c r="G1435" s="7">
        <v>30241</v>
      </c>
      <c r="H1435">
        <v>3</v>
      </c>
      <c r="I1435" s="3" t="s">
        <v>9808</v>
      </c>
      <c r="J1435" s="3" t="s">
        <v>11</v>
      </c>
      <c r="K1435" s="3" t="s">
        <v>11</v>
      </c>
      <c r="L1435" s="3" t="s">
        <v>299</v>
      </c>
      <c r="M1435">
        <v>44</v>
      </c>
      <c r="N1435" s="3"/>
    </row>
    <row r="1436" spans="1:14" x14ac:dyDescent="0.25">
      <c r="A1436" s="3" t="s">
        <v>1466</v>
      </c>
      <c r="B1436">
        <v>1965</v>
      </c>
      <c r="C1436">
        <v>1965</v>
      </c>
      <c r="D1436" s="3" t="s">
        <v>17</v>
      </c>
      <c r="E1436" s="3" t="s">
        <v>17</v>
      </c>
      <c r="F1436">
        <v>9</v>
      </c>
      <c r="G1436" s="7">
        <v>23902</v>
      </c>
      <c r="H1436">
        <v>0</v>
      </c>
      <c r="I1436" s="3" t="s">
        <v>9809</v>
      </c>
      <c r="J1436" s="3" t="s">
        <v>11</v>
      </c>
      <c r="K1436" s="3" t="s">
        <v>10</v>
      </c>
      <c r="L1436" s="3" t="s">
        <v>246</v>
      </c>
      <c r="M1436">
        <v>61</v>
      </c>
      <c r="N1436" s="3"/>
    </row>
    <row r="1437" spans="1:14" x14ac:dyDescent="0.25">
      <c r="A1437" s="3" t="s">
        <v>1467</v>
      </c>
      <c r="B1437">
        <v>1965</v>
      </c>
      <c r="C1437">
        <v>1965</v>
      </c>
      <c r="D1437" s="3" t="s">
        <v>36</v>
      </c>
      <c r="E1437" s="3" t="s">
        <v>36</v>
      </c>
      <c r="F1437">
        <v>29</v>
      </c>
      <c r="G1437" s="7">
        <v>24044</v>
      </c>
      <c r="H1437">
        <v>1</v>
      </c>
      <c r="I1437" s="3" t="s">
        <v>9810</v>
      </c>
      <c r="J1437" s="3" t="s">
        <v>11</v>
      </c>
      <c r="K1437" s="3" t="s">
        <v>15</v>
      </c>
      <c r="L1437" s="3" t="s">
        <v>41</v>
      </c>
      <c r="M1437">
        <v>61</v>
      </c>
      <c r="N1437" s="3"/>
    </row>
    <row r="1438" spans="1:14" x14ac:dyDescent="0.25">
      <c r="A1438" s="3" t="s">
        <v>1468</v>
      </c>
      <c r="B1438">
        <v>1979</v>
      </c>
      <c r="C1438">
        <v>1979</v>
      </c>
      <c r="D1438" s="3" t="s">
        <v>36</v>
      </c>
      <c r="E1438" s="3" t="s">
        <v>36</v>
      </c>
      <c r="F1438">
        <v>16</v>
      </c>
      <c r="G1438" s="7">
        <v>29144</v>
      </c>
      <c r="H1438">
        <v>2</v>
      </c>
      <c r="I1438" s="3" t="s">
        <v>9811</v>
      </c>
      <c r="J1438" s="3" t="s">
        <v>11</v>
      </c>
      <c r="K1438" s="3" t="s">
        <v>11</v>
      </c>
      <c r="L1438" s="3" t="s">
        <v>299</v>
      </c>
      <c r="M1438">
        <v>47</v>
      </c>
      <c r="N1438" s="3"/>
    </row>
    <row r="1439" spans="1:14" x14ac:dyDescent="0.25">
      <c r="A1439" s="3" t="s">
        <v>1469</v>
      </c>
      <c r="B1439">
        <v>1966</v>
      </c>
      <c r="C1439">
        <v>1966</v>
      </c>
      <c r="D1439" s="3" t="s">
        <v>14</v>
      </c>
      <c r="E1439" s="3" t="s">
        <v>14</v>
      </c>
      <c r="F1439">
        <v>24</v>
      </c>
      <c r="G1439" s="7">
        <v>24435</v>
      </c>
      <c r="H1439">
        <v>1</v>
      </c>
      <c r="I1439" s="3" t="s">
        <v>9812</v>
      </c>
      <c r="J1439" s="3" t="s">
        <v>11</v>
      </c>
      <c r="K1439" s="3" t="s">
        <v>15</v>
      </c>
      <c r="L1439" s="3" t="s">
        <v>22</v>
      </c>
      <c r="M1439">
        <v>60</v>
      </c>
      <c r="N1439" s="3"/>
    </row>
    <row r="1440" spans="1:14" x14ac:dyDescent="0.25">
      <c r="A1440" s="3" t="s">
        <v>1470</v>
      </c>
      <c r="B1440">
        <v>1986</v>
      </c>
      <c r="C1440">
        <v>1986</v>
      </c>
      <c r="D1440" s="3" t="s">
        <v>19</v>
      </c>
      <c r="E1440" s="3" t="s">
        <v>19</v>
      </c>
      <c r="F1440">
        <v>7</v>
      </c>
      <c r="G1440" s="7">
        <v>31662</v>
      </c>
      <c r="H1440">
        <v>3</v>
      </c>
      <c r="I1440" s="3" t="s">
        <v>9813</v>
      </c>
      <c r="J1440" s="3" t="s">
        <v>11</v>
      </c>
      <c r="K1440" s="3" t="s">
        <v>10</v>
      </c>
      <c r="L1440" s="3" t="s">
        <v>534</v>
      </c>
      <c r="M1440">
        <v>40</v>
      </c>
      <c r="N1440" s="3"/>
    </row>
    <row r="1441" spans="1:14" x14ac:dyDescent="0.25">
      <c r="A1441" s="3" t="s">
        <v>1471</v>
      </c>
      <c r="B1441">
        <v>1984</v>
      </c>
      <c r="C1441">
        <v>1984</v>
      </c>
      <c r="D1441" s="3" t="s">
        <v>19</v>
      </c>
      <c r="E1441" s="3" t="s">
        <v>19</v>
      </c>
      <c r="F1441">
        <v>2</v>
      </c>
      <c r="G1441" s="7">
        <v>30927</v>
      </c>
      <c r="H1441">
        <v>3</v>
      </c>
      <c r="I1441" s="3" t="s">
        <v>9814</v>
      </c>
      <c r="J1441" s="3" t="s">
        <v>11</v>
      </c>
      <c r="K1441" s="3" t="s">
        <v>10</v>
      </c>
      <c r="L1441" s="3" t="s">
        <v>631</v>
      </c>
      <c r="M1441">
        <v>42</v>
      </c>
      <c r="N1441" s="3"/>
    </row>
    <row r="1442" spans="1:14" x14ac:dyDescent="0.25">
      <c r="A1442" s="3" t="s">
        <v>1472</v>
      </c>
      <c r="B1442">
        <v>1968</v>
      </c>
      <c r="C1442">
        <v>1968</v>
      </c>
      <c r="D1442" s="3" t="s">
        <v>17</v>
      </c>
      <c r="E1442" s="3" t="s">
        <v>17</v>
      </c>
      <c r="F1442">
        <v>21</v>
      </c>
      <c r="G1442" s="7">
        <v>25010</v>
      </c>
      <c r="H1442">
        <v>3</v>
      </c>
      <c r="I1442" s="3" t="s">
        <v>9815</v>
      </c>
      <c r="J1442" s="3" t="s">
        <v>11</v>
      </c>
      <c r="K1442" s="3" t="s">
        <v>11</v>
      </c>
      <c r="L1442" s="3" t="s">
        <v>41</v>
      </c>
      <c r="M1442">
        <v>58</v>
      </c>
      <c r="N1442" s="3"/>
    </row>
    <row r="1443" spans="1:14" x14ac:dyDescent="0.25">
      <c r="A1443" s="3" t="s">
        <v>1473</v>
      </c>
      <c r="B1443">
        <v>1968</v>
      </c>
      <c r="C1443">
        <v>1968</v>
      </c>
      <c r="D1443" s="3" t="s">
        <v>29</v>
      </c>
      <c r="E1443" s="3" t="s">
        <v>29</v>
      </c>
      <c r="F1443">
        <v>9</v>
      </c>
      <c r="G1443" s="7">
        <v>25181</v>
      </c>
      <c r="H1443">
        <v>2</v>
      </c>
      <c r="I1443" s="3" t="s">
        <v>9816</v>
      </c>
      <c r="J1443" s="3" t="s">
        <v>11</v>
      </c>
      <c r="K1443" s="3" t="s">
        <v>15</v>
      </c>
      <c r="L1443" s="3" t="s">
        <v>246</v>
      </c>
      <c r="M1443">
        <v>58</v>
      </c>
      <c r="N1443" s="3"/>
    </row>
    <row r="1444" spans="1:14" x14ac:dyDescent="0.25">
      <c r="A1444" s="3" t="s">
        <v>1474</v>
      </c>
      <c r="B1444">
        <v>1968</v>
      </c>
      <c r="C1444">
        <v>1968</v>
      </c>
      <c r="D1444" s="3" t="s">
        <v>36</v>
      </c>
      <c r="E1444" s="3" t="s">
        <v>36</v>
      </c>
      <c r="F1444">
        <v>25</v>
      </c>
      <c r="G1444" s="7">
        <v>25136</v>
      </c>
      <c r="H1444">
        <v>3</v>
      </c>
      <c r="I1444" s="3" t="s">
        <v>9817</v>
      </c>
      <c r="J1444" s="3" t="s">
        <v>11</v>
      </c>
      <c r="K1444" s="3" t="s">
        <v>11</v>
      </c>
      <c r="L1444" s="3" t="s">
        <v>41</v>
      </c>
      <c r="M1444">
        <v>58</v>
      </c>
      <c r="N1444" s="3"/>
    </row>
    <row r="1445" spans="1:14" x14ac:dyDescent="0.25">
      <c r="A1445" s="3" t="s">
        <v>1475</v>
      </c>
      <c r="B1445">
        <v>1963</v>
      </c>
      <c r="C1445">
        <v>1963</v>
      </c>
      <c r="D1445" s="3" t="s">
        <v>9</v>
      </c>
      <c r="E1445" s="3" t="s">
        <v>9</v>
      </c>
      <c r="F1445">
        <v>20</v>
      </c>
      <c r="G1445" s="7">
        <v>23212</v>
      </c>
      <c r="H1445">
        <v>0</v>
      </c>
      <c r="I1445" s="3" t="s">
        <v>9818</v>
      </c>
      <c r="J1445" s="3" t="s">
        <v>11</v>
      </c>
      <c r="K1445" s="3" t="s">
        <v>15</v>
      </c>
      <c r="L1445" s="3" t="s">
        <v>22</v>
      </c>
      <c r="M1445">
        <v>63</v>
      </c>
      <c r="N1445" s="3"/>
    </row>
    <row r="1446" spans="1:14" x14ac:dyDescent="0.25">
      <c r="A1446" s="3" t="s">
        <v>1476</v>
      </c>
      <c r="B1446">
        <v>1963</v>
      </c>
      <c r="C1446">
        <v>1963</v>
      </c>
      <c r="D1446" s="3" t="s">
        <v>17</v>
      </c>
      <c r="E1446" s="3" t="s">
        <v>17</v>
      </c>
      <c r="F1446">
        <v>4</v>
      </c>
      <c r="G1446" s="7">
        <v>23166</v>
      </c>
      <c r="H1446">
        <v>0</v>
      </c>
      <c r="I1446" s="3" t="s">
        <v>9819</v>
      </c>
      <c r="J1446" s="3" t="s">
        <v>11</v>
      </c>
      <c r="K1446" s="3" t="s">
        <v>15</v>
      </c>
      <c r="L1446" s="3" t="s">
        <v>22</v>
      </c>
      <c r="M1446">
        <v>63</v>
      </c>
      <c r="N1446" s="3"/>
    </row>
    <row r="1447" spans="1:14" x14ac:dyDescent="0.25">
      <c r="A1447" s="3" t="s">
        <v>1477</v>
      </c>
      <c r="B1447">
        <v>1991</v>
      </c>
      <c r="C1447">
        <v>1991</v>
      </c>
      <c r="D1447" s="3" t="s">
        <v>14</v>
      </c>
      <c r="E1447" s="3" t="s">
        <v>14</v>
      </c>
      <c r="F1447">
        <v>6</v>
      </c>
      <c r="G1447" s="7">
        <v>33548</v>
      </c>
      <c r="H1447">
        <v>3</v>
      </c>
      <c r="I1447" s="3" t="s">
        <v>9820</v>
      </c>
      <c r="J1447" s="3" t="s">
        <v>11</v>
      </c>
      <c r="K1447" s="3" t="s">
        <v>11</v>
      </c>
      <c r="L1447" s="3" t="s">
        <v>534</v>
      </c>
      <c r="M1447">
        <v>35</v>
      </c>
      <c r="N1447" s="3"/>
    </row>
    <row r="1448" spans="1:14" x14ac:dyDescent="0.25">
      <c r="A1448" s="3" t="s">
        <v>1478</v>
      </c>
      <c r="B1448">
        <v>1974</v>
      </c>
      <c r="C1448">
        <v>1974</v>
      </c>
      <c r="D1448" s="3" t="s">
        <v>19</v>
      </c>
      <c r="E1448" s="3" t="s">
        <v>19</v>
      </c>
      <c r="F1448">
        <v>16</v>
      </c>
      <c r="G1448" s="7">
        <v>27288</v>
      </c>
      <c r="H1448">
        <v>0</v>
      </c>
      <c r="I1448" s="3" t="s">
        <v>9821</v>
      </c>
      <c r="J1448" s="3" t="s">
        <v>11</v>
      </c>
      <c r="K1448" s="3" t="s">
        <v>11</v>
      </c>
      <c r="L1448" s="3" t="s">
        <v>22</v>
      </c>
      <c r="M1448">
        <v>52</v>
      </c>
      <c r="N1448" s="3"/>
    </row>
    <row r="1449" spans="1:14" x14ac:dyDescent="0.25">
      <c r="A1449" s="3" t="s">
        <v>1479</v>
      </c>
      <c r="B1449">
        <v>1962</v>
      </c>
      <c r="C1449">
        <v>1962</v>
      </c>
      <c r="D1449" s="3" t="s">
        <v>14</v>
      </c>
      <c r="E1449" s="3" t="s">
        <v>14</v>
      </c>
      <c r="F1449">
        <v>4</v>
      </c>
      <c r="G1449" s="7">
        <v>22954</v>
      </c>
      <c r="H1449">
        <v>0</v>
      </c>
      <c r="I1449" s="3" t="s">
        <v>9822</v>
      </c>
      <c r="J1449" s="3" t="s">
        <v>11</v>
      </c>
      <c r="K1449" s="3" t="s">
        <v>10</v>
      </c>
      <c r="L1449" s="3" t="s">
        <v>12</v>
      </c>
      <c r="M1449">
        <v>64</v>
      </c>
      <c r="N1449" s="3"/>
    </row>
    <row r="1450" spans="1:14" x14ac:dyDescent="0.25">
      <c r="A1450" s="3" t="s">
        <v>1480</v>
      </c>
      <c r="B1450">
        <v>1962</v>
      </c>
      <c r="C1450">
        <v>1962</v>
      </c>
      <c r="D1450" s="3" t="s">
        <v>19</v>
      </c>
      <c r="E1450" s="3" t="s">
        <v>19</v>
      </c>
      <c r="F1450">
        <v>15</v>
      </c>
      <c r="G1450" s="7">
        <v>22904</v>
      </c>
      <c r="H1450">
        <v>0</v>
      </c>
      <c r="I1450" s="3" t="s">
        <v>9823</v>
      </c>
      <c r="J1450" s="3" t="s">
        <v>11</v>
      </c>
      <c r="K1450" s="3" t="s">
        <v>11</v>
      </c>
      <c r="L1450" s="3" t="s">
        <v>41</v>
      </c>
      <c r="M1450">
        <v>64</v>
      </c>
      <c r="N1450" s="3"/>
    </row>
    <row r="1451" spans="1:14" x14ac:dyDescent="0.25">
      <c r="A1451" s="3" t="s">
        <v>1481</v>
      </c>
      <c r="B1451">
        <v>1987</v>
      </c>
      <c r="C1451">
        <v>1987</v>
      </c>
      <c r="D1451" s="3" t="s">
        <v>36</v>
      </c>
      <c r="E1451" s="3" t="s">
        <v>36</v>
      </c>
      <c r="F1451">
        <v>5</v>
      </c>
      <c r="G1451" s="7">
        <v>32055</v>
      </c>
      <c r="H1451">
        <v>3</v>
      </c>
      <c r="I1451" s="3" t="s">
        <v>9824</v>
      </c>
      <c r="J1451" s="3" t="s">
        <v>11</v>
      </c>
      <c r="K1451" s="3" t="s">
        <v>11</v>
      </c>
      <c r="L1451" s="3" t="s">
        <v>22</v>
      </c>
      <c r="M1451">
        <v>39</v>
      </c>
      <c r="N1451" s="3"/>
    </row>
    <row r="1452" spans="1:14" x14ac:dyDescent="0.25">
      <c r="A1452" s="3" t="s">
        <v>1482</v>
      </c>
      <c r="B1452">
        <v>1991</v>
      </c>
      <c r="C1452">
        <v>1991</v>
      </c>
      <c r="D1452" s="3" t="s">
        <v>34</v>
      </c>
      <c r="E1452" s="3" t="s">
        <v>34</v>
      </c>
      <c r="F1452">
        <v>29</v>
      </c>
      <c r="G1452" s="7">
        <v>33479</v>
      </c>
      <c r="H1452">
        <v>3</v>
      </c>
      <c r="I1452" s="3" t="s">
        <v>9825</v>
      </c>
      <c r="J1452" s="3" t="s">
        <v>11</v>
      </c>
      <c r="K1452" s="3" t="s">
        <v>11</v>
      </c>
      <c r="L1452" s="3" t="s">
        <v>534</v>
      </c>
      <c r="M1452">
        <v>35</v>
      </c>
      <c r="N1452" s="3"/>
    </row>
    <row r="1453" spans="1:14" x14ac:dyDescent="0.25">
      <c r="A1453" s="3" t="s">
        <v>1483</v>
      </c>
      <c r="B1453">
        <v>1977</v>
      </c>
      <c r="C1453">
        <v>1977</v>
      </c>
      <c r="D1453" s="3" t="s">
        <v>34</v>
      </c>
      <c r="E1453" s="3" t="s">
        <v>34</v>
      </c>
      <c r="F1453">
        <v>14</v>
      </c>
      <c r="G1453" s="7">
        <v>28351</v>
      </c>
      <c r="H1453">
        <v>2</v>
      </c>
      <c r="I1453" s="3" t="s">
        <v>9826</v>
      </c>
      <c r="J1453" s="3" t="s">
        <v>11</v>
      </c>
      <c r="K1453" s="3" t="s">
        <v>15</v>
      </c>
      <c r="L1453" s="3" t="s">
        <v>22</v>
      </c>
      <c r="M1453">
        <v>49</v>
      </c>
      <c r="N1453" s="3"/>
    </row>
    <row r="1454" spans="1:14" x14ac:dyDescent="0.25">
      <c r="A1454" s="3" t="s">
        <v>1484</v>
      </c>
      <c r="B1454">
        <v>1964</v>
      </c>
      <c r="C1454">
        <v>1964</v>
      </c>
      <c r="D1454" s="3" t="s">
        <v>9</v>
      </c>
      <c r="E1454" s="3" t="s">
        <v>9</v>
      </c>
      <c r="F1454">
        <v>20</v>
      </c>
      <c r="G1454" s="7">
        <v>23578</v>
      </c>
      <c r="H1454">
        <v>0</v>
      </c>
      <c r="I1454" s="3" t="s">
        <v>9827</v>
      </c>
      <c r="J1454" s="3" t="s">
        <v>11</v>
      </c>
      <c r="K1454" s="3" t="s">
        <v>10</v>
      </c>
      <c r="L1454" s="3" t="s">
        <v>22</v>
      </c>
      <c r="M1454">
        <v>62</v>
      </c>
      <c r="N1454" s="3"/>
    </row>
    <row r="1455" spans="1:14" x14ac:dyDescent="0.25">
      <c r="A1455" s="3" t="s">
        <v>1485</v>
      </c>
      <c r="B1455">
        <v>1964</v>
      </c>
      <c r="C1455">
        <v>1964</v>
      </c>
      <c r="D1455" s="3" t="s">
        <v>9</v>
      </c>
      <c r="E1455" s="3" t="s">
        <v>9</v>
      </c>
      <c r="F1455">
        <v>2</v>
      </c>
      <c r="G1455" s="7">
        <v>23560</v>
      </c>
      <c r="H1455">
        <v>0</v>
      </c>
      <c r="I1455" s="3" t="s">
        <v>9828</v>
      </c>
      <c r="J1455" s="3" t="s">
        <v>11</v>
      </c>
      <c r="K1455" s="3" t="s">
        <v>15</v>
      </c>
      <c r="L1455" s="3" t="s">
        <v>22</v>
      </c>
      <c r="M1455">
        <v>62</v>
      </c>
      <c r="N1455" s="3"/>
    </row>
    <row r="1456" spans="1:14" x14ac:dyDescent="0.25">
      <c r="A1456" s="3" t="s">
        <v>1486</v>
      </c>
      <c r="B1456">
        <v>1964</v>
      </c>
      <c r="C1456">
        <v>1964</v>
      </c>
      <c r="D1456" s="3" t="s">
        <v>17</v>
      </c>
      <c r="E1456" s="3" t="s">
        <v>17</v>
      </c>
      <c r="F1456">
        <v>24</v>
      </c>
      <c r="G1456" s="7">
        <v>23552</v>
      </c>
      <c r="H1456">
        <v>0</v>
      </c>
      <c r="I1456" s="3" t="s">
        <v>9829</v>
      </c>
      <c r="J1456" s="3" t="s">
        <v>11</v>
      </c>
      <c r="K1456" s="3" t="s">
        <v>11</v>
      </c>
      <c r="L1456" s="3" t="s">
        <v>22</v>
      </c>
      <c r="M1456">
        <v>62</v>
      </c>
      <c r="N1456" s="3"/>
    </row>
    <row r="1457" spans="1:14" x14ac:dyDescent="0.25">
      <c r="A1457" s="3" t="s">
        <v>1487</v>
      </c>
      <c r="B1457">
        <v>1963</v>
      </c>
      <c r="C1457">
        <v>1963</v>
      </c>
      <c r="D1457" s="3" t="s">
        <v>9</v>
      </c>
      <c r="E1457" s="3" t="s">
        <v>9</v>
      </c>
      <c r="F1457">
        <v>19</v>
      </c>
      <c r="G1457" s="7">
        <v>23211</v>
      </c>
      <c r="H1457">
        <v>0</v>
      </c>
      <c r="I1457" s="3" t="s">
        <v>9830</v>
      </c>
      <c r="J1457" s="3" t="s">
        <v>11</v>
      </c>
      <c r="K1457" s="3" t="s">
        <v>15</v>
      </c>
      <c r="L1457" s="3" t="s">
        <v>41</v>
      </c>
      <c r="M1457">
        <v>63</v>
      </c>
      <c r="N1457" s="3"/>
    </row>
    <row r="1458" spans="1:14" x14ac:dyDescent="0.25">
      <c r="A1458" s="3" t="s">
        <v>1488</v>
      </c>
      <c r="B1458">
        <v>1964</v>
      </c>
      <c r="C1458">
        <v>1964</v>
      </c>
      <c r="D1458" s="3" t="s">
        <v>36</v>
      </c>
      <c r="E1458" s="3" t="s">
        <v>36</v>
      </c>
      <c r="F1458">
        <v>15</v>
      </c>
      <c r="G1458" s="7">
        <v>23665</v>
      </c>
      <c r="H1458">
        <v>0</v>
      </c>
      <c r="I1458" s="3" t="s">
        <v>9831</v>
      </c>
      <c r="J1458" s="3" t="s">
        <v>11</v>
      </c>
      <c r="K1458" s="3" t="s">
        <v>11</v>
      </c>
      <c r="L1458" s="3" t="s">
        <v>22</v>
      </c>
      <c r="M1458">
        <v>62</v>
      </c>
      <c r="N1458" s="3"/>
    </row>
    <row r="1459" spans="1:14" x14ac:dyDescent="0.25">
      <c r="A1459" s="3" t="s">
        <v>1489</v>
      </c>
      <c r="B1459">
        <v>1966</v>
      </c>
      <c r="C1459">
        <v>1966</v>
      </c>
      <c r="D1459" s="3" t="s">
        <v>9</v>
      </c>
      <c r="E1459" s="3" t="s">
        <v>9</v>
      </c>
      <c r="F1459">
        <v>29</v>
      </c>
      <c r="G1459" s="7">
        <v>24317</v>
      </c>
      <c r="H1459">
        <v>0</v>
      </c>
      <c r="I1459" s="3" t="s">
        <v>9832</v>
      </c>
      <c r="J1459" s="3" t="s">
        <v>11</v>
      </c>
      <c r="K1459" s="3" t="s">
        <v>11</v>
      </c>
      <c r="L1459" s="3" t="s">
        <v>22</v>
      </c>
      <c r="M1459">
        <v>60</v>
      </c>
      <c r="N1459" s="3"/>
    </row>
    <row r="1460" spans="1:14" x14ac:dyDescent="0.25">
      <c r="A1460" s="3" t="s">
        <v>1490</v>
      </c>
      <c r="B1460">
        <v>1963</v>
      </c>
      <c r="C1460">
        <v>1963</v>
      </c>
      <c r="D1460" s="3" t="s">
        <v>9</v>
      </c>
      <c r="E1460" s="3" t="s">
        <v>9</v>
      </c>
      <c r="F1460">
        <v>17</v>
      </c>
      <c r="G1460" s="7">
        <v>23209</v>
      </c>
      <c r="H1460">
        <v>0</v>
      </c>
      <c r="I1460" s="3" t="s">
        <v>9833</v>
      </c>
      <c r="J1460" s="3" t="s">
        <v>11</v>
      </c>
      <c r="K1460" s="3" t="s">
        <v>15</v>
      </c>
      <c r="L1460" s="3" t="s">
        <v>12</v>
      </c>
      <c r="M1460">
        <v>63</v>
      </c>
      <c r="N1460" s="3"/>
    </row>
    <row r="1461" spans="1:14" x14ac:dyDescent="0.25">
      <c r="A1461" s="3" t="s">
        <v>1491</v>
      </c>
      <c r="B1461">
        <v>1974</v>
      </c>
      <c r="C1461">
        <v>1974</v>
      </c>
      <c r="D1461" s="3" t="s">
        <v>17</v>
      </c>
      <c r="E1461" s="3" t="s">
        <v>17</v>
      </c>
      <c r="F1461">
        <v>23</v>
      </c>
      <c r="G1461" s="7">
        <v>27203</v>
      </c>
      <c r="H1461">
        <v>0</v>
      </c>
      <c r="I1461" s="3" t="s">
        <v>9834</v>
      </c>
      <c r="J1461" s="3" t="s">
        <v>11</v>
      </c>
      <c r="K1461" s="3" t="s">
        <v>15</v>
      </c>
      <c r="L1461" s="3" t="s">
        <v>22</v>
      </c>
      <c r="M1461">
        <v>52</v>
      </c>
      <c r="N1461" s="3"/>
    </row>
    <row r="1462" spans="1:14" x14ac:dyDescent="0.25">
      <c r="A1462" s="3" t="s">
        <v>1492</v>
      </c>
      <c r="B1462">
        <v>1989</v>
      </c>
      <c r="C1462">
        <v>1989</v>
      </c>
      <c r="D1462" s="3" t="s">
        <v>14</v>
      </c>
      <c r="E1462" s="3" t="s">
        <v>14</v>
      </c>
      <c r="F1462">
        <v>23</v>
      </c>
      <c r="G1462" s="7">
        <v>32835</v>
      </c>
      <c r="H1462">
        <v>3</v>
      </c>
      <c r="I1462" s="3" t="s">
        <v>9835</v>
      </c>
      <c r="J1462" s="3" t="s">
        <v>11</v>
      </c>
      <c r="K1462" s="3" t="s">
        <v>11</v>
      </c>
      <c r="L1462" s="3" t="s">
        <v>534</v>
      </c>
      <c r="M1462">
        <v>37</v>
      </c>
      <c r="N1462" s="3"/>
    </row>
    <row r="1463" spans="1:14" x14ac:dyDescent="0.25">
      <c r="A1463" s="3" t="s">
        <v>1493</v>
      </c>
      <c r="B1463">
        <v>1986</v>
      </c>
      <c r="C1463">
        <v>1986</v>
      </c>
      <c r="D1463" s="3" t="s">
        <v>34</v>
      </c>
      <c r="E1463" s="3" t="s">
        <v>34</v>
      </c>
      <c r="F1463">
        <v>13</v>
      </c>
      <c r="G1463" s="7">
        <v>31637</v>
      </c>
      <c r="H1463">
        <v>3</v>
      </c>
      <c r="I1463" s="3" t="s">
        <v>9836</v>
      </c>
      <c r="J1463" s="3" t="s">
        <v>11</v>
      </c>
      <c r="K1463" s="3" t="s">
        <v>10</v>
      </c>
      <c r="L1463" s="3" t="s">
        <v>534</v>
      </c>
      <c r="M1463">
        <v>40</v>
      </c>
      <c r="N1463" s="3"/>
    </row>
    <row r="1464" spans="1:14" x14ac:dyDescent="0.25">
      <c r="A1464" s="3" t="s">
        <v>1494</v>
      </c>
      <c r="B1464">
        <v>1966</v>
      </c>
      <c r="C1464">
        <v>1966</v>
      </c>
      <c r="D1464" s="3" t="s">
        <v>29</v>
      </c>
      <c r="E1464" s="3" t="s">
        <v>29</v>
      </c>
      <c r="F1464">
        <v>6</v>
      </c>
      <c r="G1464" s="7">
        <v>24447</v>
      </c>
      <c r="H1464">
        <v>2</v>
      </c>
      <c r="I1464" s="3" t="s">
        <v>9837</v>
      </c>
      <c r="J1464" s="3" t="s">
        <v>11</v>
      </c>
      <c r="K1464" s="3" t="s">
        <v>11</v>
      </c>
      <c r="L1464" s="3" t="s">
        <v>12</v>
      </c>
      <c r="M1464">
        <v>60</v>
      </c>
      <c r="N1464" s="3"/>
    </row>
    <row r="1465" spans="1:14" x14ac:dyDescent="0.25">
      <c r="A1465" s="3" t="s">
        <v>1495</v>
      </c>
      <c r="B1465">
        <v>1967</v>
      </c>
      <c r="C1465">
        <v>1967</v>
      </c>
      <c r="D1465" s="3" t="s">
        <v>29</v>
      </c>
      <c r="E1465" s="3" t="s">
        <v>29</v>
      </c>
      <c r="F1465">
        <v>30</v>
      </c>
      <c r="G1465" s="7">
        <v>24836</v>
      </c>
      <c r="H1465">
        <v>2</v>
      </c>
      <c r="I1465" s="3" t="s">
        <v>9838</v>
      </c>
      <c r="J1465" s="3" t="s">
        <v>11</v>
      </c>
      <c r="K1465" s="3" t="s">
        <v>15</v>
      </c>
      <c r="L1465" s="3" t="s">
        <v>22</v>
      </c>
      <c r="M1465">
        <v>59</v>
      </c>
      <c r="N1465" s="3"/>
    </row>
    <row r="1466" spans="1:14" x14ac:dyDescent="0.25">
      <c r="A1466" s="3" t="s">
        <v>1496</v>
      </c>
      <c r="B1466">
        <v>1967</v>
      </c>
      <c r="C1466">
        <v>1967</v>
      </c>
      <c r="D1466" s="3" t="s">
        <v>34</v>
      </c>
      <c r="E1466" s="3" t="s">
        <v>34</v>
      </c>
      <c r="F1466">
        <v>28</v>
      </c>
      <c r="G1466" s="7">
        <v>24712</v>
      </c>
      <c r="H1466">
        <v>2</v>
      </c>
      <c r="I1466" s="3" t="s">
        <v>9839</v>
      </c>
      <c r="J1466" s="3" t="s">
        <v>11</v>
      </c>
      <c r="K1466" s="3" t="s">
        <v>10</v>
      </c>
      <c r="L1466" s="3" t="s">
        <v>22</v>
      </c>
      <c r="M1466">
        <v>59</v>
      </c>
      <c r="N1466" s="3"/>
    </row>
    <row r="1467" spans="1:14" x14ac:dyDescent="0.25">
      <c r="A1467" s="3" t="s">
        <v>1497</v>
      </c>
      <c r="B1467">
        <v>1966</v>
      </c>
      <c r="C1467">
        <v>1966</v>
      </c>
      <c r="D1467" s="3" t="s">
        <v>14</v>
      </c>
      <c r="E1467" s="3" t="s">
        <v>14</v>
      </c>
      <c r="F1467">
        <v>16</v>
      </c>
      <c r="G1467" s="7">
        <v>24427</v>
      </c>
      <c r="H1467">
        <v>0</v>
      </c>
      <c r="I1467" s="3" t="s">
        <v>9840</v>
      </c>
      <c r="J1467" s="3" t="s">
        <v>11</v>
      </c>
      <c r="K1467" s="3" t="s">
        <v>15</v>
      </c>
      <c r="L1467" s="3" t="s">
        <v>199</v>
      </c>
      <c r="M1467">
        <v>60</v>
      </c>
      <c r="N1467" s="3"/>
    </row>
    <row r="1468" spans="1:14" x14ac:dyDescent="0.25">
      <c r="A1468" s="3" t="s">
        <v>1498</v>
      </c>
      <c r="B1468">
        <v>1990</v>
      </c>
      <c r="C1468">
        <v>1990</v>
      </c>
      <c r="D1468" s="3" t="s">
        <v>36</v>
      </c>
      <c r="E1468" s="3" t="s">
        <v>36</v>
      </c>
      <c r="F1468">
        <v>29</v>
      </c>
      <c r="G1468" s="7">
        <v>33175</v>
      </c>
      <c r="H1468">
        <v>3</v>
      </c>
      <c r="I1468" s="3" t="s">
        <v>9841</v>
      </c>
      <c r="J1468" s="3" t="s">
        <v>11</v>
      </c>
      <c r="K1468" s="3" t="s">
        <v>15</v>
      </c>
      <c r="L1468" s="3" t="s">
        <v>41</v>
      </c>
      <c r="M1468">
        <v>36</v>
      </c>
      <c r="N1468" s="3"/>
    </row>
    <row r="1469" spans="1:14" x14ac:dyDescent="0.25">
      <c r="A1469" s="3" t="s">
        <v>1499</v>
      </c>
      <c r="B1469">
        <v>1963</v>
      </c>
      <c r="C1469">
        <v>1963</v>
      </c>
      <c r="D1469" s="3" t="s">
        <v>36</v>
      </c>
      <c r="E1469" s="3" t="s">
        <v>36</v>
      </c>
      <c r="F1469">
        <v>28</v>
      </c>
      <c r="G1469" s="7">
        <v>23312</v>
      </c>
      <c r="H1469">
        <v>0</v>
      </c>
      <c r="I1469" s="3" t="s">
        <v>9842</v>
      </c>
      <c r="J1469" s="3" t="s">
        <v>11</v>
      </c>
      <c r="K1469" s="3" t="s">
        <v>15</v>
      </c>
      <c r="L1469" s="3" t="s">
        <v>199</v>
      </c>
      <c r="M1469">
        <v>63</v>
      </c>
      <c r="N1469" s="3"/>
    </row>
    <row r="1470" spans="1:14" x14ac:dyDescent="0.25">
      <c r="A1470" s="3" t="s">
        <v>1500</v>
      </c>
      <c r="B1470">
        <v>1963</v>
      </c>
      <c r="C1470">
        <v>1963</v>
      </c>
      <c r="D1470" s="3" t="s">
        <v>34</v>
      </c>
      <c r="E1470" s="3" t="s">
        <v>34</v>
      </c>
      <c r="F1470">
        <v>29</v>
      </c>
      <c r="G1470" s="7">
        <v>23252</v>
      </c>
      <c r="H1470">
        <v>0</v>
      </c>
      <c r="I1470" s="3" t="s">
        <v>9843</v>
      </c>
      <c r="J1470" s="3" t="s">
        <v>11</v>
      </c>
      <c r="K1470" s="3" t="s">
        <v>11</v>
      </c>
      <c r="L1470" s="3" t="s">
        <v>355</v>
      </c>
      <c r="M1470">
        <v>63</v>
      </c>
      <c r="N1470" s="3"/>
    </row>
    <row r="1471" spans="1:14" x14ac:dyDescent="0.25">
      <c r="A1471" s="3" t="s">
        <v>1501</v>
      </c>
      <c r="B1471">
        <v>1963</v>
      </c>
      <c r="C1471">
        <v>1963</v>
      </c>
      <c r="D1471" s="3" t="s">
        <v>34</v>
      </c>
      <c r="E1471" s="3" t="s">
        <v>34</v>
      </c>
      <c r="F1471">
        <v>2</v>
      </c>
      <c r="G1471" s="7">
        <v>23225</v>
      </c>
      <c r="H1471">
        <v>1</v>
      </c>
      <c r="I1471" s="3" t="s">
        <v>9844</v>
      </c>
      <c r="J1471" s="3" t="s">
        <v>11</v>
      </c>
      <c r="K1471" s="3" t="s">
        <v>10</v>
      </c>
      <c r="L1471" s="3" t="s">
        <v>41</v>
      </c>
      <c r="M1471">
        <v>63</v>
      </c>
      <c r="N1471" s="3"/>
    </row>
    <row r="1472" spans="1:14" x14ac:dyDescent="0.25">
      <c r="A1472" s="3" t="s">
        <v>1502</v>
      </c>
      <c r="B1472">
        <v>1963</v>
      </c>
      <c r="C1472">
        <v>1963</v>
      </c>
      <c r="D1472" s="3" t="s">
        <v>19</v>
      </c>
      <c r="E1472" s="3" t="s">
        <v>19</v>
      </c>
      <c r="F1472">
        <v>22</v>
      </c>
      <c r="G1472" s="7">
        <v>23276</v>
      </c>
      <c r="H1472">
        <v>1</v>
      </c>
      <c r="I1472" s="3" t="s">
        <v>9845</v>
      </c>
      <c r="J1472" s="3" t="s">
        <v>11</v>
      </c>
      <c r="K1472" s="3" t="s">
        <v>11</v>
      </c>
      <c r="L1472" s="3" t="s">
        <v>41</v>
      </c>
      <c r="M1472">
        <v>63</v>
      </c>
      <c r="N1472" s="3"/>
    </row>
    <row r="1473" spans="1:14" x14ac:dyDescent="0.25">
      <c r="A1473" s="3" t="s">
        <v>1503</v>
      </c>
      <c r="B1473">
        <v>1966</v>
      </c>
      <c r="C1473">
        <v>1966</v>
      </c>
      <c r="D1473" s="3" t="s">
        <v>29</v>
      </c>
      <c r="E1473" s="3" t="s">
        <v>29</v>
      </c>
      <c r="F1473">
        <v>29</v>
      </c>
      <c r="G1473" s="7">
        <v>24470</v>
      </c>
      <c r="H1473">
        <v>3</v>
      </c>
      <c r="I1473" s="3" t="s">
        <v>9846</v>
      </c>
      <c r="J1473" s="3" t="s">
        <v>11</v>
      </c>
      <c r="K1473" s="3" t="s">
        <v>11</v>
      </c>
      <c r="L1473" s="3" t="s">
        <v>41</v>
      </c>
      <c r="M1473">
        <v>60</v>
      </c>
      <c r="N1473" s="3"/>
    </row>
    <row r="1474" spans="1:14" x14ac:dyDescent="0.25">
      <c r="A1474" s="3" t="s">
        <v>1504</v>
      </c>
      <c r="B1474">
        <v>1962</v>
      </c>
      <c r="C1474">
        <v>1962</v>
      </c>
      <c r="D1474" s="3" t="s">
        <v>19</v>
      </c>
      <c r="E1474" s="3" t="s">
        <v>19</v>
      </c>
      <c r="F1474">
        <v>26</v>
      </c>
      <c r="G1474" s="7">
        <v>22915</v>
      </c>
      <c r="H1474">
        <v>0</v>
      </c>
      <c r="I1474" s="3" t="s">
        <v>9847</v>
      </c>
      <c r="J1474" s="3" t="s">
        <v>11</v>
      </c>
      <c r="K1474" s="3" t="s">
        <v>10</v>
      </c>
      <c r="L1474" s="3" t="s">
        <v>246</v>
      </c>
      <c r="M1474">
        <v>64</v>
      </c>
      <c r="N1474" s="3"/>
    </row>
    <row r="1475" spans="1:14" x14ac:dyDescent="0.25">
      <c r="A1475" s="3" t="s">
        <v>1505</v>
      </c>
      <c r="B1475">
        <v>1989</v>
      </c>
      <c r="C1475">
        <v>1989</v>
      </c>
      <c r="D1475" s="3" t="s">
        <v>29</v>
      </c>
      <c r="E1475" s="3" t="s">
        <v>29</v>
      </c>
      <c r="F1475">
        <v>29</v>
      </c>
      <c r="G1475" s="7">
        <v>32871</v>
      </c>
      <c r="H1475">
        <v>0</v>
      </c>
      <c r="I1475" s="3" t="s">
        <v>9848</v>
      </c>
      <c r="J1475" s="3" t="s">
        <v>11</v>
      </c>
      <c r="K1475" s="3" t="s">
        <v>11</v>
      </c>
      <c r="L1475" s="3" t="s">
        <v>167</v>
      </c>
      <c r="M1475">
        <v>37</v>
      </c>
      <c r="N1475" s="3"/>
    </row>
    <row r="1476" spans="1:14" x14ac:dyDescent="0.25">
      <c r="A1476" s="3" t="s">
        <v>1506</v>
      </c>
      <c r="B1476">
        <v>1972</v>
      </c>
      <c r="C1476">
        <v>1972</v>
      </c>
      <c r="D1476" s="3" t="s">
        <v>34</v>
      </c>
      <c r="E1476" s="3" t="s">
        <v>34</v>
      </c>
      <c r="F1476">
        <v>21</v>
      </c>
      <c r="G1476" s="7">
        <v>26532</v>
      </c>
      <c r="H1476">
        <v>0</v>
      </c>
      <c r="I1476" s="3" t="s">
        <v>9849</v>
      </c>
      <c r="J1476" s="3" t="s">
        <v>11</v>
      </c>
      <c r="K1476" s="3" t="s">
        <v>10</v>
      </c>
      <c r="L1476" s="3" t="s">
        <v>299</v>
      </c>
      <c r="M1476">
        <v>54</v>
      </c>
      <c r="N1476" s="3"/>
    </row>
    <row r="1477" spans="1:14" x14ac:dyDescent="0.25">
      <c r="A1477" s="3" t="s">
        <v>1507</v>
      </c>
      <c r="B1477">
        <v>1979</v>
      </c>
      <c r="C1477">
        <v>1979</v>
      </c>
      <c r="D1477" s="3" t="s">
        <v>9</v>
      </c>
      <c r="E1477" s="3" t="s">
        <v>9</v>
      </c>
      <c r="F1477">
        <v>14</v>
      </c>
      <c r="G1477" s="7">
        <v>29050</v>
      </c>
      <c r="H1477">
        <v>2</v>
      </c>
      <c r="I1477" s="3" t="s">
        <v>9850</v>
      </c>
      <c r="J1477" s="3" t="s">
        <v>11</v>
      </c>
      <c r="K1477" s="3" t="s">
        <v>15</v>
      </c>
      <c r="L1477" s="3" t="s">
        <v>631</v>
      </c>
      <c r="M1477">
        <v>47</v>
      </c>
      <c r="N1477" s="3"/>
    </row>
    <row r="1478" spans="1:14" x14ac:dyDescent="0.25">
      <c r="A1478" s="3" t="s">
        <v>1508</v>
      </c>
      <c r="B1478">
        <v>1964</v>
      </c>
      <c r="C1478">
        <v>1964</v>
      </c>
      <c r="D1478" s="3" t="s">
        <v>34</v>
      </c>
      <c r="E1478" s="3" t="s">
        <v>34</v>
      </c>
      <c r="F1478">
        <v>4</v>
      </c>
      <c r="G1478" s="7">
        <v>23593</v>
      </c>
      <c r="H1478">
        <v>0</v>
      </c>
      <c r="I1478" s="3" t="s">
        <v>9851</v>
      </c>
      <c r="J1478" s="3" t="s">
        <v>11</v>
      </c>
      <c r="K1478" s="3" t="s">
        <v>11</v>
      </c>
      <c r="L1478" s="3" t="s">
        <v>246</v>
      </c>
      <c r="M1478">
        <v>62</v>
      </c>
      <c r="N1478" s="3"/>
    </row>
    <row r="1479" spans="1:14" x14ac:dyDescent="0.25">
      <c r="A1479" s="3" t="s">
        <v>1509</v>
      </c>
      <c r="B1479">
        <v>1995</v>
      </c>
      <c r="C1479">
        <v>1995</v>
      </c>
      <c r="D1479" s="3" t="s">
        <v>34</v>
      </c>
      <c r="E1479" s="3" t="s">
        <v>34</v>
      </c>
      <c r="F1479">
        <v>9</v>
      </c>
      <c r="G1479" s="7">
        <v>34920</v>
      </c>
      <c r="H1479">
        <v>0</v>
      </c>
      <c r="I1479" s="3" t="s">
        <v>9852</v>
      </c>
      <c r="J1479" s="3" t="s">
        <v>11</v>
      </c>
      <c r="K1479" s="3" t="s">
        <v>11</v>
      </c>
      <c r="L1479" s="3" t="s">
        <v>22</v>
      </c>
      <c r="M1479">
        <v>31</v>
      </c>
      <c r="N1479" s="3"/>
    </row>
    <row r="1480" spans="1:14" x14ac:dyDescent="0.25">
      <c r="A1480" s="3" t="s">
        <v>1510</v>
      </c>
      <c r="B1480">
        <v>1968</v>
      </c>
      <c r="C1480">
        <v>1968</v>
      </c>
      <c r="D1480" s="3" t="s">
        <v>14</v>
      </c>
      <c r="E1480" s="3" t="s">
        <v>14</v>
      </c>
      <c r="F1480">
        <v>26</v>
      </c>
      <c r="G1480" s="7">
        <v>25168</v>
      </c>
      <c r="H1480">
        <v>3</v>
      </c>
      <c r="I1480" s="3" t="s">
        <v>9853</v>
      </c>
      <c r="J1480" s="3" t="s">
        <v>11</v>
      </c>
      <c r="K1480" s="3" t="s">
        <v>15</v>
      </c>
      <c r="L1480" s="3" t="s">
        <v>22</v>
      </c>
      <c r="M1480">
        <v>58</v>
      </c>
      <c r="N1480" s="3"/>
    </row>
    <row r="1481" spans="1:14" x14ac:dyDescent="0.25">
      <c r="A1481" s="3" t="s">
        <v>1511</v>
      </c>
      <c r="B1481">
        <v>1968</v>
      </c>
      <c r="C1481">
        <v>1968</v>
      </c>
      <c r="D1481" s="3" t="s">
        <v>14</v>
      </c>
      <c r="E1481" s="3" t="s">
        <v>14</v>
      </c>
      <c r="F1481">
        <v>12</v>
      </c>
      <c r="G1481" s="7">
        <v>25154</v>
      </c>
      <c r="H1481">
        <v>3</v>
      </c>
      <c r="I1481" s="3" t="s">
        <v>9854</v>
      </c>
      <c r="J1481" s="3" t="s">
        <v>11</v>
      </c>
      <c r="K1481" s="3" t="s">
        <v>11</v>
      </c>
      <c r="L1481" s="3" t="s">
        <v>22</v>
      </c>
      <c r="M1481">
        <v>58</v>
      </c>
      <c r="N1481" s="3"/>
    </row>
    <row r="1482" spans="1:14" x14ac:dyDescent="0.25">
      <c r="A1482" s="3" t="s">
        <v>1512</v>
      </c>
      <c r="B1482">
        <v>1967</v>
      </c>
      <c r="C1482">
        <v>1967</v>
      </c>
      <c r="D1482" s="3" t="s">
        <v>19</v>
      </c>
      <c r="E1482" s="3" t="s">
        <v>19</v>
      </c>
      <c r="F1482">
        <v>1</v>
      </c>
      <c r="G1482" s="7">
        <v>24716</v>
      </c>
      <c r="H1482">
        <v>3</v>
      </c>
      <c r="I1482" s="3" t="s">
        <v>9855</v>
      </c>
      <c r="J1482" s="3" t="s">
        <v>11</v>
      </c>
      <c r="K1482" s="3" t="s">
        <v>11</v>
      </c>
      <c r="L1482" s="3" t="s">
        <v>12</v>
      </c>
      <c r="M1482">
        <v>59</v>
      </c>
      <c r="N1482" s="3"/>
    </row>
    <row r="1483" spans="1:14" x14ac:dyDescent="0.25">
      <c r="A1483" s="3" t="s">
        <v>1513</v>
      </c>
      <c r="B1483">
        <v>1968</v>
      </c>
      <c r="C1483">
        <v>1968</v>
      </c>
      <c r="D1483" s="3" t="s">
        <v>29</v>
      </c>
      <c r="E1483" s="3" t="s">
        <v>29</v>
      </c>
      <c r="F1483">
        <v>3</v>
      </c>
      <c r="G1483" s="7">
        <v>25175</v>
      </c>
      <c r="H1483">
        <v>3</v>
      </c>
      <c r="I1483" s="3" t="s">
        <v>9856</v>
      </c>
      <c r="J1483" s="3" t="s">
        <v>11</v>
      </c>
      <c r="K1483" s="3" t="s">
        <v>11</v>
      </c>
      <c r="L1483" s="3" t="s">
        <v>22</v>
      </c>
      <c r="M1483">
        <v>58</v>
      </c>
      <c r="N1483" s="3"/>
    </row>
    <row r="1484" spans="1:14" x14ac:dyDescent="0.25">
      <c r="A1484" s="3" t="s">
        <v>1514</v>
      </c>
      <c r="B1484">
        <v>1966</v>
      </c>
      <c r="C1484">
        <v>1966</v>
      </c>
      <c r="D1484" s="3" t="s">
        <v>9</v>
      </c>
      <c r="E1484" s="3" t="s">
        <v>9</v>
      </c>
      <c r="F1484">
        <v>12</v>
      </c>
      <c r="G1484" s="7">
        <v>24300</v>
      </c>
      <c r="H1484">
        <v>0</v>
      </c>
      <c r="I1484" s="3" t="s">
        <v>9857</v>
      </c>
      <c r="J1484" s="3" t="s">
        <v>11</v>
      </c>
      <c r="K1484" s="3" t="s">
        <v>10</v>
      </c>
      <c r="L1484" s="3" t="s">
        <v>22</v>
      </c>
      <c r="M1484">
        <v>60</v>
      </c>
      <c r="N1484" s="3"/>
    </row>
    <row r="1485" spans="1:14" x14ac:dyDescent="0.25">
      <c r="A1485" s="3" t="s">
        <v>1515</v>
      </c>
      <c r="B1485">
        <v>1962</v>
      </c>
      <c r="C1485">
        <v>1962</v>
      </c>
      <c r="D1485" s="3" t="s">
        <v>36</v>
      </c>
      <c r="E1485" s="3" t="s">
        <v>36</v>
      </c>
      <c r="F1485">
        <v>16</v>
      </c>
      <c r="G1485" s="7">
        <v>22935</v>
      </c>
      <c r="H1485">
        <v>0</v>
      </c>
      <c r="I1485" s="3" t="s">
        <v>9858</v>
      </c>
      <c r="J1485" s="3" t="s">
        <v>11</v>
      </c>
      <c r="K1485" s="3" t="s">
        <v>11</v>
      </c>
      <c r="L1485" s="3" t="s">
        <v>22</v>
      </c>
      <c r="M1485">
        <v>64</v>
      </c>
      <c r="N1485" s="3"/>
    </row>
    <row r="1486" spans="1:14" x14ac:dyDescent="0.25">
      <c r="A1486" s="3" t="s">
        <v>1516</v>
      </c>
      <c r="B1486">
        <v>1961</v>
      </c>
      <c r="C1486">
        <v>1961</v>
      </c>
      <c r="D1486" s="3" t="s">
        <v>14</v>
      </c>
      <c r="E1486" s="3" t="s">
        <v>14</v>
      </c>
      <c r="F1486">
        <v>28</v>
      </c>
      <c r="G1486" s="7">
        <v>22613</v>
      </c>
      <c r="H1486">
        <v>0</v>
      </c>
      <c r="I1486" s="3" t="s">
        <v>9859</v>
      </c>
      <c r="J1486" s="3" t="s">
        <v>11</v>
      </c>
      <c r="K1486" s="3" t="s">
        <v>11</v>
      </c>
      <c r="L1486" s="3" t="s">
        <v>12</v>
      </c>
      <c r="M1486">
        <v>65</v>
      </c>
      <c r="N1486" s="3"/>
    </row>
    <row r="1487" spans="1:14" x14ac:dyDescent="0.25">
      <c r="A1487" s="3" t="s">
        <v>1517</v>
      </c>
      <c r="B1487">
        <v>1961</v>
      </c>
      <c r="C1487">
        <v>1961</v>
      </c>
      <c r="D1487" s="3" t="s">
        <v>14</v>
      </c>
      <c r="E1487" s="3" t="s">
        <v>14</v>
      </c>
      <c r="F1487">
        <v>28</v>
      </c>
      <c r="G1487" s="7">
        <v>22613</v>
      </c>
      <c r="H1487">
        <v>0</v>
      </c>
      <c r="I1487" s="3" t="s">
        <v>9860</v>
      </c>
      <c r="J1487" s="3" t="s">
        <v>11</v>
      </c>
      <c r="K1487" s="3" t="s">
        <v>15</v>
      </c>
      <c r="L1487" s="3" t="s">
        <v>41</v>
      </c>
      <c r="M1487">
        <v>65</v>
      </c>
      <c r="N1487" s="3"/>
    </row>
    <row r="1488" spans="1:14" x14ac:dyDescent="0.25">
      <c r="A1488" s="3" t="s">
        <v>1518</v>
      </c>
      <c r="B1488">
        <v>1969</v>
      </c>
      <c r="C1488">
        <v>1969</v>
      </c>
      <c r="D1488" s="3" t="s">
        <v>14</v>
      </c>
      <c r="E1488" s="3" t="s">
        <v>14</v>
      </c>
      <c r="F1488">
        <v>26</v>
      </c>
      <c r="G1488" s="7">
        <v>25533</v>
      </c>
      <c r="H1488">
        <v>0</v>
      </c>
      <c r="I1488" s="3" t="s">
        <v>9861</v>
      </c>
      <c r="J1488" s="3" t="s">
        <v>11</v>
      </c>
      <c r="K1488" s="3" t="s">
        <v>15</v>
      </c>
      <c r="L1488" s="3" t="s">
        <v>199</v>
      </c>
      <c r="M1488">
        <v>57</v>
      </c>
      <c r="N1488" s="3"/>
    </row>
    <row r="1489" spans="1:14" x14ac:dyDescent="0.25">
      <c r="A1489" s="3" t="s">
        <v>1519</v>
      </c>
      <c r="B1489">
        <v>1970</v>
      </c>
      <c r="C1489">
        <v>1970</v>
      </c>
      <c r="D1489" s="3" t="s">
        <v>17</v>
      </c>
      <c r="E1489" s="3" t="s">
        <v>17</v>
      </c>
      <c r="F1489">
        <v>18</v>
      </c>
      <c r="G1489" s="7">
        <v>25737</v>
      </c>
      <c r="H1489">
        <v>5</v>
      </c>
      <c r="I1489" s="3" t="s">
        <v>9862</v>
      </c>
      <c r="J1489" s="3" t="s">
        <v>11</v>
      </c>
      <c r="K1489" s="3" t="s">
        <v>10</v>
      </c>
      <c r="L1489" s="3" t="s">
        <v>12</v>
      </c>
      <c r="M1489">
        <v>56</v>
      </c>
      <c r="N1489" s="3"/>
    </row>
    <row r="1490" spans="1:14" x14ac:dyDescent="0.25">
      <c r="A1490" s="3" t="s">
        <v>1520</v>
      </c>
      <c r="B1490">
        <v>1988</v>
      </c>
      <c r="C1490">
        <v>1988</v>
      </c>
      <c r="D1490" s="3" t="s">
        <v>34</v>
      </c>
      <c r="E1490" s="3" t="s">
        <v>34</v>
      </c>
      <c r="F1490">
        <v>11</v>
      </c>
      <c r="G1490" s="7">
        <v>32366</v>
      </c>
      <c r="H1490">
        <v>3</v>
      </c>
      <c r="I1490" s="3" t="s">
        <v>9863</v>
      </c>
      <c r="J1490" s="3" t="s">
        <v>11</v>
      </c>
      <c r="K1490" s="3" t="s">
        <v>15</v>
      </c>
      <c r="L1490" s="3" t="s">
        <v>248</v>
      </c>
      <c r="M1490">
        <v>38</v>
      </c>
      <c r="N1490" s="3"/>
    </row>
    <row r="1491" spans="1:14" x14ac:dyDescent="0.25">
      <c r="A1491" s="3" t="s">
        <v>1521</v>
      </c>
      <c r="B1491">
        <v>1998</v>
      </c>
      <c r="C1491">
        <v>1998</v>
      </c>
      <c r="D1491" s="3" t="s">
        <v>14</v>
      </c>
      <c r="E1491" s="3" t="s">
        <v>14</v>
      </c>
      <c r="F1491">
        <v>18</v>
      </c>
      <c r="G1491" s="7">
        <v>36117</v>
      </c>
      <c r="H1491">
        <v>1</v>
      </c>
      <c r="I1491" s="3" t="s">
        <v>9864</v>
      </c>
      <c r="J1491" s="3" t="s">
        <v>11</v>
      </c>
      <c r="K1491" s="3" t="s">
        <v>11</v>
      </c>
      <c r="L1491" s="3" t="s">
        <v>22</v>
      </c>
      <c r="M1491">
        <v>28</v>
      </c>
      <c r="N1491" s="3"/>
    </row>
    <row r="1492" spans="1:14" x14ac:dyDescent="0.25">
      <c r="A1492" s="3" t="s">
        <v>1522</v>
      </c>
      <c r="B1492">
        <v>1963</v>
      </c>
      <c r="C1492">
        <v>1963</v>
      </c>
      <c r="D1492" s="3" t="s">
        <v>34</v>
      </c>
      <c r="E1492" s="3" t="s">
        <v>34</v>
      </c>
      <c r="F1492">
        <v>19</v>
      </c>
      <c r="G1492" s="7">
        <v>23242</v>
      </c>
      <c r="H1492">
        <v>0</v>
      </c>
      <c r="I1492" s="3" t="s">
        <v>9865</v>
      </c>
      <c r="J1492" s="3" t="s">
        <v>11</v>
      </c>
      <c r="K1492" s="3" t="s">
        <v>15</v>
      </c>
      <c r="L1492" s="3" t="s">
        <v>22</v>
      </c>
      <c r="M1492">
        <v>63</v>
      </c>
      <c r="N1492" s="3"/>
    </row>
    <row r="1493" spans="1:14" x14ac:dyDescent="0.25">
      <c r="A1493" s="3" t="s">
        <v>1523</v>
      </c>
      <c r="B1493">
        <v>1970</v>
      </c>
      <c r="C1493">
        <v>1970</v>
      </c>
      <c r="D1493" s="3" t="s">
        <v>29</v>
      </c>
      <c r="E1493" s="3" t="s">
        <v>29</v>
      </c>
      <c r="F1493">
        <v>28</v>
      </c>
      <c r="G1493" s="7">
        <v>25930</v>
      </c>
      <c r="H1493">
        <v>0</v>
      </c>
      <c r="I1493" s="3" t="s">
        <v>9866</v>
      </c>
      <c r="J1493" s="3" t="s">
        <v>11</v>
      </c>
      <c r="K1493" s="3" t="s">
        <v>15</v>
      </c>
      <c r="L1493" s="3" t="s">
        <v>22</v>
      </c>
      <c r="M1493">
        <v>56</v>
      </c>
      <c r="N1493" s="3"/>
    </row>
    <row r="1494" spans="1:14" x14ac:dyDescent="0.25">
      <c r="A1494" s="3" t="s">
        <v>1524</v>
      </c>
      <c r="B1494">
        <v>1965</v>
      </c>
      <c r="C1494">
        <v>1965</v>
      </c>
      <c r="D1494" s="3" t="s">
        <v>36</v>
      </c>
      <c r="E1494" s="3" t="s">
        <v>36</v>
      </c>
      <c r="F1494">
        <v>4</v>
      </c>
      <c r="G1494" s="7">
        <v>24019</v>
      </c>
      <c r="H1494">
        <v>2</v>
      </c>
      <c r="I1494" s="3" t="s">
        <v>9867</v>
      </c>
      <c r="J1494" s="3" t="s">
        <v>11</v>
      </c>
      <c r="K1494" s="3" t="s">
        <v>15</v>
      </c>
      <c r="L1494" s="3" t="s">
        <v>12</v>
      </c>
      <c r="M1494">
        <v>61</v>
      </c>
      <c r="N1494" s="3"/>
    </row>
    <row r="1495" spans="1:14" x14ac:dyDescent="0.25">
      <c r="A1495" s="3" t="s">
        <v>1525</v>
      </c>
      <c r="B1495">
        <v>1962</v>
      </c>
      <c r="C1495">
        <v>1962</v>
      </c>
      <c r="D1495" s="3" t="s">
        <v>14</v>
      </c>
      <c r="E1495" s="3" t="s">
        <v>14</v>
      </c>
      <c r="F1495">
        <v>22</v>
      </c>
      <c r="G1495" s="7">
        <v>22972</v>
      </c>
      <c r="H1495">
        <v>0</v>
      </c>
      <c r="I1495" s="3" t="s">
        <v>9868</v>
      </c>
      <c r="J1495" s="3" t="s">
        <v>11</v>
      </c>
      <c r="K1495" s="3" t="s">
        <v>11</v>
      </c>
      <c r="L1495" s="3" t="s">
        <v>12</v>
      </c>
      <c r="M1495">
        <v>64</v>
      </c>
      <c r="N1495" s="3"/>
    </row>
    <row r="1496" spans="1:14" x14ac:dyDescent="0.25">
      <c r="A1496" s="3" t="s">
        <v>1526</v>
      </c>
      <c r="B1496">
        <v>1962</v>
      </c>
      <c r="C1496">
        <v>1962</v>
      </c>
      <c r="D1496" s="3" t="s">
        <v>9</v>
      </c>
      <c r="E1496" s="3" t="s">
        <v>9</v>
      </c>
      <c r="F1496">
        <v>22</v>
      </c>
      <c r="G1496" s="7">
        <v>22849</v>
      </c>
      <c r="H1496">
        <v>0</v>
      </c>
      <c r="I1496" s="3" t="s">
        <v>9869</v>
      </c>
      <c r="J1496" s="3" t="s">
        <v>11</v>
      </c>
      <c r="K1496" s="3" t="s">
        <v>15</v>
      </c>
      <c r="L1496" s="3" t="s">
        <v>41</v>
      </c>
      <c r="M1496">
        <v>64</v>
      </c>
      <c r="N1496" s="3"/>
    </row>
    <row r="1497" spans="1:14" x14ac:dyDescent="0.25">
      <c r="A1497" s="3" t="s">
        <v>1527</v>
      </c>
      <c r="B1497">
        <v>1972</v>
      </c>
      <c r="C1497">
        <v>1972</v>
      </c>
      <c r="D1497" s="3" t="s">
        <v>19</v>
      </c>
      <c r="E1497" s="3" t="s">
        <v>19</v>
      </c>
      <c r="F1497">
        <v>5</v>
      </c>
      <c r="G1497" s="7">
        <v>26547</v>
      </c>
      <c r="H1497">
        <v>0</v>
      </c>
      <c r="I1497" s="3" t="s">
        <v>9870</v>
      </c>
      <c r="J1497" s="3" t="s">
        <v>11</v>
      </c>
      <c r="K1497" s="3" t="s">
        <v>15</v>
      </c>
      <c r="L1497" s="3" t="s">
        <v>41</v>
      </c>
      <c r="M1497">
        <v>54</v>
      </c>
      <c r="N1497" s="3"/>
    </row>
    <row r="1498" spans="1:14" x14ac:dyDescent="0.25">
      <c r="A1498" s="3" t="s">
        <v>1528</v>
      </c>
      <c r="B1498">
        <v>1966</v>
      </c>
      <c r="C1498">
        <v>1966</v>
      </c>
      <c r="D1498" s="3" t="s">
        <v>29</v>
      </c>
      <c r="E1498" s="3" t="s">
        <v>29</v>
      </c>
      <c r="F1498">
        <v>17</v>
      </c>
      <c r="G1498" s="7">
        <v>24458</v>
      </c>
      <c r="H1498">
        <v>2</v>
      </c>
      <c r="I1498" s="3" t="s">
        <v>9871</v>
      </c>
      <c r="J1498" s="3" t="s">
        <v>11</v>
      </c>
      <c r="K1498" s="3" t="s">
        <v>15</v>
      </c>
      <c r="L1498" s="3" t="s">
        <v>22</v>
      </c>
      <c r="M1498">
        <v>60</v>
      </c>
      <c r="N1498" s="3"/>
    </row>
    <row r="1499" spans="1:14" x14ac:dyDescent="0.25">
      <c r="A1499" s="3" t="s">
        <v>1529</v>
      </c>
      <c r="B1499">
        <v>1962</v>
      </c>
      <c r="C1499">
        <v>1962</v>
      </c>
      <c r="D1499" s="3" t="s">
        <v>9</v>
      </c>
      <c r="E1499" s="3" t="s">
        <v>9</v>
      </c>
      <c r="F1499">
        <v>11</v>
      </c>
      <c r="G1499" s="7">
        <v>22838</v>
      </c>
      <c r="H1499">
        <v>0</v>
      </c>
      <c r="I1499" s="3" t="s">
        <v>9872</v>
      </c>
      <c r="J1499" s="3" t="s">
        <v>11</v>
      </c>
      <c r="K1499" s="3" t="s">
        <v>10</v>
      </c>
      <c r="L1499" s="3" t="s">
        <v>41</v>
      </c>
      <c r="M1499">
        <v>64</v>
      </c>
      <c r="N1499" s="3"/>
    </row>
    <row r="1500" spans="1:14" x14ac:dyDescent="0.25">
      <c r="A1500" s="3" t="s">
        <v>1530</v>
      </c>
      <c r="B1500">
        <v>1965</v>
      </c>
      <c r="C1500">
        <v>1965</v>
      </c>
      <c r="D1500" s="3" t="s">
        <v>19</v>
      </c>
      <c r="E1500" s="3" t="s">
        <v>19</v>
      </c>
      <c r="F1500">
        <v>14</v>
      </c>
      <c r="G1500" s="7">
        <v>23999</v>
      </c>
      <c r="H1500">
        <v>2</v>
      </c>
      <c r="I1500" s="3" t="s">
        <v>9873</v>
      </c>
      <c r="J1500" s="3" t="s">
        <v>11</v>
      </c>
      <c r="K1500" s="3" t="s">
        <v>10</v>
      </c>
      <c r="L1500" s="3" t="s">
        <v>41</v>
      </c>
      <c r="M1500">
        <v>61</v>
      </c>
      <c r="N1500" s="3"/>
    </row>
    <row r="1501" spans="1:14" x14ac:dyDescent="0.25">
      <c r="A1501" s="3" t="s">
        <v>1531</v>
      </c>
      <c r="B1501">
        <v>1962</v>
      </c>
      <c r="C1501">
        <v>1962</v>
      </c>
      <c r="D1501" s="3" t="s">
        <v>34</v>
      </c>
      <c r="E1501" s="3" t="s">
        <v>34</v>
      </c>
      <c r="F1501">
        <v>27</v>
      </c>
      <c r="G1501" s="7">
        <v>22885</v>
      </c>
      <c r="H1501">
        <v>0</v>
      </c>
      <c r="I1501" s="3" t="s">
        <v>9874</v>
      </c>
      <c r="J1501" s="3" t="s">
        <v>11</v>
      </c>
      <c r="K1501" s="3" t="s">
        <v>10</v>
      </c>
      <c r="L1501" s="3" t="s">
        <v>12</v>
      </c>
      <c r="M1501">
        <v>64</v>
      </c>
      <c r="N1501" s="3"/>
    </row>
    <row r="1502" spans="1:14" x14ac:dyDescent="0.25">
      <c r="A1502" s="3" t="s">
        <v>1532</v>
      </c>
      <c r="B1502">
        <v>1974</v>
      </c>
      <c r="C1502">
        <v>1974</v>
      </c>
      <c r="D1502" s="3" t="s">
        <v>19</v>
      </c>
      <c r="E1502" s="3" t="s">
        <v>19</v>
      </c>
      <c r="F1502">
        <v>24</v>
      </c>
      <c r="G1502" s="7">
        <v>27296</v>
      </c>
      <c r="H1502">
        <v>0</v>
      </c>
      <c r="I1502" s="3" t="s">
        <v>9875</v>
      </c>
      <c r="J1502" s="3" t="s">
        <v>11</v>
      </c>
      <c r="K1502" s="3" t="s">
        <v>11</v>
      </c>
      <c r="L1502" s="3" t="s">
        <v>299</v>
      </c>
      <c r="M1502">
        <v>52</v>
      </c>
      <c r="N1502" s="3"/>
    </row>
    <row r="1503" spans="1:14" x14ac:dyDescent="0.25">
      <c r="A1503" s="3" t="s">
        <v>1533</v>
      </c>
      <c r="B1503">
        <v>1992</v>
      </c>
      <c r="C1503">
        <v>1992</v>
      </c>
      <c r="D1503" s="3" t="s">
        <v>9</v>
      </c>
      <c r="E1503" s="3" t="s">
        <v>9</v>
      </c>
      <c r="F1503">
        <v>7</v>
      </c>
      <c r="G1503" s="7">
        <v>33792</v>
      </c>
      <c r="H1503">
        <v>0</v>
      </c>
      <c r="I1503" s="3" t="s">
        <v>9876</v>
      </c>
      <c r="J1503" s="3" t="s">
        <v>11</v>
      </c>
      <c r="K1503" s="3" t="s">
        <v>10</v>
      </c>
      <c r="L1503" s="3" t="s">
        <v>41</v>
      </c>
      <c r="M1503">
        <v>34</v>
      </c>
      <c r="N1503" s="3"/>
    </row>
    <row r="1504" spans="1:14" x14ac:dyDescent="0.25">
      <c r="A1504" s="3" t="s">
        <v>1534</v>
      </c>
      <c r="B1504">
        <v>1964</v>
      </c>
      <c r="C1504">
        <v>1964</v>
      </c>
      <c r="D1504" s="3" t="s">
        <v>14</v>
      </c>
      <c r="E1504" s="3" t="s">
        <v>14</v>
      </c>
      <c r="F1504">
        <v>28</v>
      </c>
      <c r="G1504" s="7">
        <v>23709</v>
      </c>
      <c r="H1504">
        <v>0</v>
      </c>
      <c r="I1504" s="3" t="s">
        <v>9877</v>
      </c>
      <c r="J1504" s="3" t="s">
        <v>11</v>
      </c>
      <c r="K1504" s="3" t="s">
        <v>11</v>
      </c>
      <c r="L1504" s="3" t="s">
        <v>41</v>
      </c>
      <c r="M1504">
        <v>62</v>
      </c>
      <c r="N1504" s="3"/>
    </row>
    <row r="1505" spans="1:14" x14ac:dyDescent="0.25">
      <c r="A1505" s="3" t="s">
        <v>1535</v>
      </c>
      <c r="B1505">
        <v>1970</v>
      </c>
      <c r="C1505">
        <v>1970</v>
      </c>
      <c r="D1505" s="3" t="s">
        <v>9</v>
      </c>
      <c r="E1505" s="3" t="s">
        <v>9</v>
      </c>
      <c r="F1505">
        <v>8</v>
      </c>
      <c r="G1505" s="7">
        <v>25757</v>
      </c>
      <c r="H1505">
        <v>0</v>
      </c>
      <c r="I1505" s="3" t="s">
        <v>9878</v>
      </c>
      <c r="J1505" s="3" t="s">
        <v>11</v>
      </c>
      <c r="K1505" s="3" t="s">
        <v>15</v>
      </c>
      <c r="L1505" s="3" t="s">
        <v>41</v>
      </c>
      <c r="M1505">
        <v>56</v>
      </c>
      <c r="N1505" s="3"/>
    </row>
    <row r="1506" spans="1:14" x14ac:dyDescent="0.25">
      <c r="A1506" s="3" t="s">
        <v>1536</v>
      </c>
      <c r="B1506">
        <v>1988</v>
      </c>
      <c r="C1506">
        <v>1988</v>
      </c>
      <c r="D1506" s="3" t="s">
        <v>9</v>
      </c>
      <c r="E1506" s="3" t="s">
        <v>9</v>
      </c>
      <c r="F1506">
        <v>17</v>
      </c>
      <c r="G1506" s="7">
        <v>32341</v>
      </c>
      <c r="H1506">
        <v>3</v>
      </c>
      <c r="I1506" s="3" t="s">
        <v>9879</v>
      </c>
      <c r="J1506" s="3" t="s">
        <v>11</v>
      </c>
      <c r="K1506" s="3" t="s">
        <v>15</v>
      </c>
      <c r="L1506" s="3" t="s">
        <v>534</v>
      </c>
      <c r="M1506">
        <v>38</v>
      </c>
      <c r="N1506" s="3"/>
    </row>
    <row r="1507" spans="1:14" x14ac:dyDescent="0.25">
      <c r="A1507" s="3" t="s">
        <v>1537</v>
      </c>
      <c r="B1507">
        <v>1962</v>
      </c>
      <c r="C1507">
        <v>1962</v>
      </c>
      <c r="D1507" s="3" t="s">
        <v>19</v>
      </c>
      <c r="E1507" s="3" t="s">
        <v>19</v>
      </c>
      <c r="F1507">
        <v>2</v>
      </c>
      <c r="G1507" s="7">
        <v>22891</v>
      </c>
      <c r="H1507">
        <v>0</v>
      </c>
      <c r="I1507" s="3" t="s">
        <v>9880</v>
      </c>
      <c r="J1507" s="3" t="s">
        <v>11</v>
      </c>
      <c r="K1507" s="3" t="s">
        <v>11</v>
      </c>
      <c r="L1507" s="3" t="s">
        <v>167</v>
      </c>
      <c r="M1507">
        <v>64</v>
      </c>
      <c r="N1507" s="3"/>
    </row>
    <row r="1508" spans="1:14" x14ac:dyDescent="0.25">
      <c r="A1508" s="3" t="s">
        <v>1538</v>
      </c>
      <c r="B1508">
        <v>1962</v>
      </c>
      <c r="C1508">
        <v>1962</v>
      </c>
      <c r="D1508" s="3" t="s">
        <v>36</v>
      </c>
      <c r="E1508" s="3" t="s">
        <v>36</v>
      </c>
      <c r="F1508">
        <v>1</v>
      </c>
      <c r="G1508" s="7">
        <v>22920</v>
      </c>
      <c r="H1508">
        <v>0</v>
      </c>
      <c r="I1508" s="3" t="s">
        <v>9881</v>
      </c>
      <c r="J1508" s="3" t="s">
        <v>11</v>
      </c>
      <c r="K1508" s="3" t="s">
        <v>15</v>
      </c>
      <c r="L1508" s="3" t="s">
        <v>355</v>
      </c>
      <c r="M1508">
        <v>64</v>
      </c>
      <c r="N1508" s="3"/>
    </row>
    <row r="1509" spans="1:14" x14ac:dyDescent="0.25">
      <c r="A1509" s="3" t="s">
        <v>1539</v>
      </c>
      <c r="B1509">
        <v>1975</v>
      </c>
      <c r="C1509">
        <v>1975</v>
      </c>
      <c r="D1509" s="3" t="s">
        <v>19</v>
      </c>
      <c r="E1509" s="3" t="s">
        <v>19</v>
      </c>
      <c r="F1509">
        <v>25</v>
      </c>
      <c r="G1509" s="7">
        <v>27662</v>
      </c>
      <c r="H1509">
        <v>1</v>
      </c>
      <c r="I1509" s="3" t="s">
        <v>9882</v>
      </c>
      <c r="J1509" s="3" t="s">
        <v>11</v>
      </c>
      <c r="K1509" s="3" t="s">
        <v>11</v>
      </c>
      <c r="L1509" s="3" t="s">
        <v>299</v>
      </c>
      <c r="M1509">
        <v>51</v>
      </c>
      <c r="N1509" s="3"/>
    </row>
    <row r="1510" spans="1:14" x14ac:dyDescent="0.25">
      <c r="A1510" s="3" t="s">
        <v>1540</v>
      </c>
      <c r="B1510">
        <v>1972</v>
      </c>
      <c r="C1510">
        <v>1972</v>
      </c>
      <c r="D1510" s="3" t="s">
        <v>36</v>
      </c>
      <c r="E1510" s="3" t="s">
        <v>36</v>
      </c>
      <c r="F1510">
        <v>7</v>
      </c>
      <c r="G1510" s="7">
        <v>26579</v>
      </c>
      <c r="H1510">
        <v>0</v>
      </c>
      <c r="I1510" s="3" t="s">
        <v>9883</v>
      </c>
      <c r="J1510" s="3" t="s">
        <v>11</v>
      </c>
      <c r="K1510" s="3" t="s">
        <v>11</v>
      </c>
      <c r="L1510" s="3" t="s">
        <v>534</v>
      </c>
      <c r="M1510">
        <v>54</v>
      </c>
      <c r="N1510" s="3"/>
    </row>
    <row r="1511" spans="1:14" x14ac:dyDescent="0.25">
      <c r="A1511" s="3" t="s">
        <v>1541</v>
      </c>
      <c r="B1511">
        <v>1963</v>
      </c>
      <c r="C1511">
        <v>1963</v>
      </c>
      <c r="D1511" s="3" t="s">
        <v>29</v>
      </c>
      <c r="E1511" s="3" t="s">
        <v>29</v>
      </c>
      <c r="F1511">
        <v>5</v>
      </c>
      <c r="G1511" s="7">
        <v>23350</v>
      </c>
      <c r="H1511">
        <v>0</v>
      </c>
      <c r="I1511" s="3" t="s">
        <v>9884</v>
      </c>
      <c r="J1511" s="3" t="s">
        <v>11</v>
      </c>
      <c r="K1511" s="3" t="s">
        <v>11</v>
      </c>
      <c r="L1511" s="3" t="s">
        <v>199</v>
      </c>
      <c r="M1511">
        <v>63</v>
      </c>
      <c r="N1511" s="3"/>
    </row>
    <row r="1512" spans="1:14" x14ac:dyDescent="0.25">
      <c r="A1512" s="3" t="s">
        <v>1542</v>
      </c>
      <c r="B1512">
        <v>1983</v>
      </c>
      <c r="C1512">
        <v>1983</v>
      </c>
      <c r="D1512" s="3" t="s">
        <v>36</v>
      </c>
      <c r="E1512" s="3" t="s">
        <v>36</v>
      </c>
      <c r="F1512">
        <v>29</v>
      </c>
      <c r="G1512" s="7">
        <v>30618</v>
      </c>
      <c r="H1512">
        <v>3</v>
      </c>
      <c r="I1512" s="3" t="s">
        <v>9885</v>
      </c>
      <c r="J1512" s="3" t="s">
        <v>11</v>
      </c>
      <c r="K1512" s="3" t="s">
        <v>15</v>
      </c>
      <c r="L1512" s="3" t="s">
        <v>534</v>
      </c>
      <c r="M1512">
        <v>43</v>
      </c>
      <c r="N1512" s="3"/>
    </row>
    <row r="1513" spans="1:14" x14ac:dyDescent="0.25">
      <c r="A1513" s="3" t="s">
        <v>1543</v>
      </c>
      <c r="B1513">
        <v>1978</v>
      </c>
      <c r="C1513">
        <v>1978</v>
      </c>
      <c r="D1513" s="3" t="s">
        <v>9</v>
      </c>
      <c r="E1513" s="3" t="s">
        <v>9</v>
      </c>
      <c r="F1513">
        <v>24</v>
      </c>
      <c r="G1513" s="7">
        <v>28695</v>
      </c>
      <c r="H1513">
        <v>0</v>
      </c>
      <c r="I1513" s="3" t="s">
        <v>9886</v>
      </c>
      <c r="J1513" s="3" t="s">
        <v>11</v>
      </c>
      <c r="K1513" s="3" t="s">
        <v>15</v>
      </c>
      <c r="L1513" s="3" t="s">
        <v>246</v>
      </c>
      <c r="M1513">
        <v>48</v>
      </c>
      <c r="N1513" s="3"/>
    </row>
    <row r="1514" spans="1:14" x14ac:dyDescent="0.25">
      <c r="A1514" s="3" t="s">
        <v>1544</v>
      </c>
      <c r="B1514">
        <v>1963</v>
      </c>
      <c r="C1514">
        <v>1963</v>
      </c>
      <c r="D1514" s="3" t="s">
        <v>9</v>
      </c>
      <c r="E1514" s="3" t="s">
        <v>9</v>
      </c>
      <c r="F1514">
        <v>20</v>
      </c>
      <c r="G1514" s="7">
        <v>23212</v>
      </c>
      <c r="H1514">
        <v>0</v>
      </c>
      <c r="I1514" s="3" t="s">
        <v>9887</v>
      </c>
      <c r="J1514" s="3" t="s">
        <v>11</v>
      </c>
      <c r="K1514" s="3" t="s">
        <v>11</v>
      </c>
      <c r="L1514" s="3" t="s">
        <v>246</v>
      </c>
      <c r="M1514">
        <v>63</v>
      </c>
      <c r="N1514" s="3"/>
    </row>
    <row r="1515" spans="1:14" x14ac:dyDescent="0.25">
      <c r="A1515" s="3" t="s">
        <v>1545</v>
      </c>
      <c r="B1515">
        <v>1967</v>
      </c>
      <c r="C1515">
        <v>1967</v>
      </c>
      <c r="D1515" s="3" t="s">
        <v>19</v>
      </c>
      <c r="E1515" s="3" t="s">
        <v>19</v>
      </c>
      <c r="F1515">
        <v>25</v>
      </c>
      <c r="G1515" s="7">
        <v>24740</v>
      </c>
      <c r="H1515">
        <v>0</v>
      </c>
      <c r="I1515" s="3" t="s">
        <v>9888</v>
      </c>
      <c r="J1515" s="3" t="s">
        <v>11</v>
      </c>
      <c r="K1515" s="3" t="s">
        <v>11</v>
      </c>
      <c r="L1515" s="3" t="s">
        <v>299</v>
      </c>
      <c r="M1515">
        <v>59</v>
      </c>
      <c r="N1515" s="3"/>
    </row>
    <row r="1516" spans="1:14" x14ac:dyDescent="0.25">
      <c r="A1516" s="3" t="s">
        <v>1546</v>
      </c>
      <c r="B1516">
        <v>2004</v>
      </c>
      <c r="C1516">
        <v>2004</v>
      </c>
      <c r="D1516" s="3" t="s">
        <v>14</v>
      </c>
      <c r="E1516" s="3" t="s">
        <v>14</v>
      </c>
      <c r="F1516">
        <v>9</v>
      </c>
      <c r="G1516" s="7">
        <v>38300</v>
      </c>
      <c r="H1516">
        <v>2</v>
      </c>
      <c r="I1516" s="3" t="s">
        <v>9889</v>
      </c>
      <c r="J1516" s="3" t="s">
        <v>11</v>
      </c>
      <c r="K1516" s="3" t="s">
        <v>11</v>
      </c>
      <c r="L1516" s="3" t="s">
        <v>167</v>
      </c>
      <c r="M1516">
        <v>22</v>
      </c>
      <c r="N1516" s="3"/>
    </row>
    <row r="1517" spans="1:14" x14ac:dyDescent="0.25">
      <c r="A1517" s="3" t="s">
        <v>1547</v>
      </c>
      <c r="B1517">
        <v>1993</v>
      </c>
      <c r="C1517">
        <v>1993</v>
      </c>
      <c r="D1517" s="3" t="s">
        <v>19</v>
      </c>
      <c r="E1517" s="3" t="s">
        <v>19</v>
      </c>
      <c r="F1517">
        <v>27</v>
      </c>
      <c r="G1517" s="7">
        <v>34239</v>
      </c>
      <c r="H1517">
        <v>0</v>
      </c>
      <c r="I1517" s="3" t="s">
        <v>9890</v>
      </c>
      <c r="J1517" s="3" t="s">
        <v>11</v>
      </c>
      <c r="K1517" s="3" t="s">
        <v>10</v>
      </c>
      <c r="L1517" s="3" t="s">
        <v>22</v>
      </c>
      <c r="M1517">
        <v>33</v>
      </c>
      <c r="N1517" s="3"/>
    </row>
    <row r="1518" spans="1:14" x14ac:dyDescent="0.25">
      <c r="A1518" s="3" t="s">
        <v>1548</v>
      </c>
      <c r="B1518">
        <v>1973</v>
      </c>
      <c r="C1518">
        <v>1973</v>
      </c>
      <c r="D1518" s="3" t="s">
        <v>19</v>
      </c>
      <c r="E1518" s="3" t="s">
        <v>19</v>
      </c>
      <c r="F1518">
        <v>22</v>
      </c>
      <c r="G1518" s="7">
        <v>26929</v>
      </c>
      <c r="H1518">
        <v>0</v>
      </c>
      <c r="I1518" s="3" t="s">
        <v>9891</v>
      </c>
      <c r="J1518" s="3" t="s">
        <v>11</v>
      </c>
      <c r="K1518" s="3" t="s">
        <v>15</v>
      </c>
      <c r="L1518" s="3" t="s">
        <v>22</v>
      </c>
      <c r="M1518">
        <v>53</v>
      </c>
      <c r="N1518" s="3"/>
    </row>
    <row r="1519" spans="1:14" x14ac:dyDescent="0.25">
      <c r="A1519" s="3" t="s">
        <v>1549</v>
      </c>
      <c r="B1519">
        <v>1963</v>
      </c>
      <c r="C1519">
        <v>1963</v>
      </c>
      <c r="D1519" s="3" t="s">
        <v>19</v>
      </c>
      <c r="E1519" s="3" t="s">
        <v>19</v>
      </c>
      <c r="F1519">
        <v>27</v>
      </c>
      <c r="G1519" s="7">
        <v>23281</v>
      </c>
      <c r="H1519">
        <v>0</v>
      </c>
      <c r="I1519" s="3" t="s">
        <v>9892</v>
      </c>
      <c r="J1519" s="3" t="s">
        <v>11</v>
      </c>
      <c r="K1519" s="3" t="s">
        <v>11</v>
      </c>
      <c r="L1519" s="3" t="s">
        <v>299</v>
      </c>
      <c r="M1519">
        <v>63</v>
      </c>
      <c r="N1519" s="3"/>
    </row>
    <row r="1520" spans="1:14" x14ac:dyDescent="0.25">
      <c r="A1520" s="3" t="s">
        <v>1550</v>
      </c>
      <c r="B1520">
        <v>1984</v>
      </c>
      <c r="C1520">
        <v>1984</v>
      </c>
      <c r="D1520" s="3" t="s">
        <v>34</v>
      </c>
      <c r="E1520" s="3" t="s">
        <v>34</v>
      </c>
      <c r="F1520">
        <v>6</v>
      </c>
      <c r="G1520" s="7">
        <v>30900</v>
      </c>
      <c r="H1520">
        <v>3</v>
      </c>
      <c r="I1520" s="3" t="s">
        <v>9893</v>
      </c>
      <c r="J1520" s="3" t="s">
        <v>11</v>
      </c>
      <c r="K1520" s="3" t="s">
        <v>11</v>
      </c>
      <c r="L1520" s="3" t="s">
        <v>22</v>
      </c>
      <c r="M1520">
        <v>42</v>
      </c>
      <c r="N1520" s="3"/>
    </row>
    <row r="1521" spans="1:14" x14ac:dyDescent="0.25">
      <c r="A1521" s="3" t="s">
        <v>1551</v>
      </c>
      <c r="B1521">
        <v>2004</v>
      </c>
      <c r="C1521">
        <v>2004</v>
      </c>
      <c r="D1521" s="3" t="s">
        <v>9</v>
      </c>
      <c r="E1521" s="3" t="s">
        <v>9</v>
      </c>
      <c r="F1521">
        <v>9</v>
      </c>
      <c r="G1521" s="7">
        <v>38177</v>
      </c>
      <c r="H1521">
        <v>0</v>
      </c>
      <c r="I1521" s="3" t="s">
        <v>9894</v>
      </c>
      <c r="J1521" s="3" t="s">
        <v>11</v>
      </c>
      <c r="K1521" s="3" t="s">
        <v>15</v>
      </c>
      <c r="L1521" s="3" t="s">
        <v>165</v>
      </c>
      <c r="M1521">
        <v>22</v>
      </c>
      <c r="N1521" s="3"/>
    </row>
    <row r="1522" spans="1:14" x14ac:dyDescent="0.25">
      <c r="A1522" s="3" t="s">
        <v>1552</v>
      </c>
      <c r="B1522">
        <v>1963</v>
      </c>
      <c r="C1522">
        <v>1963</v>
      </c>
      <c r="D1522" s="3" t="s">
        <v>34</v>
      </c>
      <c r="E1522" s="3" t="s">
        <v>34</v>
      </c>
      <c r="F1522">
        <v>16</v>
      </c>
      <c r="G1522" s="7">
        <v>23239</v>
      </c>
      <c r="H1522">
        <v>1</v>
      </c>
      <c r="I1522" s="3" t="s">
        <v>9895</v>
      </c>
      <c r="J1522" s="3" t="s">
        <v>11</v>
      </c>
      <c r="K1522" s="3" t="s">
        <v>10</v>
      </c>
      <c r="L1522" s="3" t="s">
        <v>167</v>
      </c>
      <c r="M1522">
        <v>63</v>
      </c>
      <c r="N1522" s="3"/>
    </row>
    <row r="1523" spans="1:14" x14ac:dyDescent="0.25">
      <c r="A1523" s="3" t="s">
        <v>1553</v>
      </c>
      <c r="B1523">
        <v>1963</v>
      </c>
      <c r="C1523">
        <v>1963</v>
      </c>
      <c r="D1523" s="3" t="s">
        <v>19</v>
      </c>
      <c r="E1523" s="3" t="s">
        <v>19</v>
      </c>
      <c r="F1523">
        <v>1</v>
      </c>
      <c r="G1523" s="7">
        <v>23255</v>
      </c>
      <c r="H1523">
        <v>2</v>
      </c>
      <c r="I1523" s="3" t="s">
        <v>9896</v>
      </c>
      <c r="J1523" s="3" t="s">
        <v>11</v>
      </c>
      <c r="K1523" s="3" t="s">
        <v>10</v>
      </c>
      <c r="L1523" s="3" t="s">
        <v>12</v>
      </c>
      <c r="M1523">
        <v>63</v>
      </c>
      <c r="N1523" s="3"/>
    </row>
    <row r="1524" spans="1:14" x14ac:dyDescent="0.25">
      <c r="A1524" s="3" t="s">
        <v>1554</v>
      </c>
      <c r="B1524">
        <v>1963</v>
      </c>
      <c r="C1524">
        <v>1963</v>
      </c>
      <c r="D1524" s="3" t="s">
        <v>34</v>
      </c>
      <c r="E1524" s="3" t="s">
        <v>34</v>
      </c>
      <c r="F1524">
        <v>14</v>
      </c>
      <c r="G1524" s="7">
        <v>23237</v>
      </c>
      <c r="H1524">
        <v>2</v>
      </c>
      <c r="I1524" s="3" t="s">
        <v>9897</v>
      </c>
      <c r="J1524" s="3" t="s">
        <v>11</v>
      </c>
      <c r="K1524" s="3" t="s">
        <v>10</v>
      </c>
      <c r="L1524" s="3" t="s">
        <v>12</v>
      </c>
      <c r="M1524">
        <v>63</v>
      </c>
      <c r="N1524" s="3"/>
    </row>
    <row r="1525" spans="1:14" x14ac:dyDescent="0.25">
      <c r="A1525" s="3" t="s">
        <v>1555</v>
      </c>
      <c r="B1525">
        <v>1966</v>
      </c>
      <c r="C1525">
        <v>1966</v>
      </c>
      <c r="D1525" s="3" t="s">
        <v>29</v>
      </c>
      <c r="E1525" s="3" t="s">
        <v>29</v>
      </c>
      <c r="F1525">
        <v>22</v>
      </c>
      <c r="G1525" s="7">
        <v>24463</v>
      </c>
      <c r="H1525">
        <v>4</v>
      </c>
      <c r="I1525" s="3" t="s">
        <v>9898</v>
      </c>
      <c r="J1525" s="3" t="s">
        <v>11</v>
      </c>
      <c r="K1525" s="3" t="s">
        <v>11</v>
      </c>
      <c r="L1525" s="3" t="s">
        <v>12</v>
      </c>
      <c r="M1525">
        <v>60</v>
      </c>
      <c r="N1525" s="3"/>
    </row>
    <row r="1526" spans="1:14" x14ac:dyDescent="0.25">
      <c r="A1526" s="3" t="s">
        <v>1556</v>
      </c>
      <c r="B1526">
        <v>1961</v>
      </c>
      <c r="C1526">
        <v>1961</v>
      </c>
      <c r="D1526" s="3" t="s">
        <v>34</v>
      </c>
      <c r="E1526" s="3" t="s">
        <v>34</v>
      </c>
      <c r="F1526">
        <v>20</v>
      </c>
      <c r="G1526" s="7">
        <v>22513</v>
      </c>
      <c r="H1526">
        <v>0</v>
      </c>
      <c r="I1526" s="3" t="s">
        <v>9899</v>
      </c>
      <c r="J1526" s="3" t="s">
        <v>11</v>
      </c>
      <c r="K1526" s="3" t="s">
        <v>15</v>
      </c>
      <c r="L1526" s="3" t="s">
        <v>22</v>
      </c>
      <c r="M1526">
        <v>65</v>
      </c>
      <c r="N1526" s="3"/>
    </row>
    <row r="1527" spans="1:14" x14ac:dyDescent="0.25">
      <c r="A1527" s="3" t="s">
        <v>1557</v>
      </c>
      <c r="B1527">
        <v>1960</v>
      </c>
      <c r="C1527">
        <v>1960</v>
      </c>
      <c r="D1527" s="3" t="s">
        <v>14</v>
      </c>
      <c r="E1527" s="3" t="s">
        <v>14</v>
      </c>
      <c r="F1527">
        <v>4</v>
      </c>
      <c r="G1527" s="7">
        <v>22224</v>
      </c>
      <c r="H1527">
        <v>0</v>
      </c>
      <c r="I1527" s="3" t="s">
        <v>9900</v>
      </c>
      <c r="J1527" s="3" t="s">
        <v>11</v>
      </c>
      <c r="K1527" s="3" t="s">
        <v>15</v>
      </c>
      <c r="L1527" s="3" t="s">
        <v>41</v>
      </c>
      <c r="M1527">
        <v>66</v>
      </c>
      <c r="N1527" s="3"/>
    </row>
    <row r="1528" spans="1:14" x14ac:dyDescent="0.25">
      <c r="A1528" s="3" t="s">
        <v>1558</v>
      </c>
      <c r="B1528">
        <v>1960</v>
      </c>
      <c r="C1528">
        <v>1960</v>
      </c>
      <c r="D1528" s="3" t="s">
        <v>17</v>
      </c>
      <c r="E1528" s="3" t="s">
        <v>17</v>
      </c>
      <c r="F1528">
        <v>22</v>
      </c>
      <c r="G1528" s="7">
        <v>22089</v>
      </c>
      <c r="H1528">
        <v>0</v>
      </c>
      <c r="I1528" s="3" t="s">
        <v>9901</v>
      </c>
      <c r="J1528" s="3" t="s">
        <v>11</v>
      </c>
      <c r="K1528" s="3" t="s">
        <v>15</v>
      </c>
      <c r="L1528" s="3" t="s">
        <v>41</v>
      </c>
      <c r="M1528">
        <v>66</v>
      </c>
      <c r="N1528" s="3"/>
    </row>
    <row r="1529" spans="1:14" x14ac:dyDescent="0.25">
      <c r="A1529" s="3" t="s">
        <v>1559</v>
      </c>
      <c r="B1529">
        <v>1960</v>
      </c>
      <c r="C1529">
        <v>1960</v>
      </c>
      <c r="D1529" s="3" t="s">
        <v>19</v>
      </c>
      <c r="E1529" s="3" t="s">
        <v>19</v>
      </c>
      <c r="F1529">
        <v>23</v>
      </c>
      <c r="G1529" s="7">
        <v>22182</v>
      </c>
      <c r="H1529">
        <v>0</v>
      </c>
      <c r="I1529" s="3" t="s">
        <v>9902</v>
      </c>
      <c r="J1529" s="3" t="s">
        <v>11</v>
      </c>
      <c r="K1529" s="3" t="s">
        <v>11</v>
      </c>
      <c r="L1529" s="3" t="s">
        <v>12</v>
      </c>
      <c r="M1529">
        <v>66</v>
      </c>
      <c r="N1529" s="3"/>
    </row>
    <row r="1530" spans="1:14" x14ac:dyDescent="0.25">
      <c r="A1530" s="3" t="s">
        <v>1560</v>
      </c>
      <c r="B1530">
        <v>1960</v>
      </c>
      <c r="C1530">
        <v>1960</v>
      </c>
      <c r="D1530" s="3" t="s">
        <v>14</v>
      </c>
      <c r="E1530" s="3" t="s">
        <v>14</v>
      </c>
      <c r="F1530">
        <v>28</v>
      </c>
      <c r="G1530" s="7">
        <v>22248</v>
      </c>
      <c r="H1530">
        <v>0</v>
      </c>
      <c r="I1530" s="3" t="s">
        <v>9903</v>
      </c>
      <c r="J1530" s="3" t="s">
        <v>11</v>
      </c>
      <c r="K1530" s="3" t="s">
        <v>15</v>
      </c>
      <c r="L1530" s="3" t="s">
        <v>12</v>
      </c>
      <c r="M1530">
        <v>66</v>
      </c>
      <c r="N1530" s="3"/>
    </row>
    <row r="1531" spans="1:14" x14ac:dyDescent="0.25">
      <c r="A1531" s="3" t="s">
        <v>1561</v>
      </c>
      <c r="B1531">
        <v>1979</v>
      </c>
      <c r="C1531">
        <v>1979</v>
      </c>
      <c r="D1531" s="3" t="s">
        <v>14</v>
      </c>
      <c r="E1531" s="3" t="s">
        <v>14</v>
      </c>
      <c r="F1531">
        <v>27</v>
      </c>
      <c r="G1531" s="7">
        <v>29186</v>
      </c>
      <c r="H1531">
        <v>2</v>
      </c>
      <c r="I1531" s="3" t="s">
        <v>9904</v>
      </c>
      <c r="J1531" s="3" t="s">
        <v>11</v>
      </c>
      <c r="K1531" s="3" t="s">
        <v>10</v>
      </c>
      <c r="L1531" s="3" t="s">
        <v>534</v>
      </c>
      <c r="M1531">
        <v>47</v>
      </c>
      <c r="N1531" s="3"/>
    </row>
    <row r="1532" spans="1:14" x14ac:dyDescent="0.25">
      <c r="A1532" s="3" t="s">
        <v>1562</v>
      </c>
      <c r="B1532">
        <v>1981</v>
      </c>
      <c r="C1532">
        <v>1981</v>
      </c>
      <c r="D1532" s="3" t="s">
        <v>36</v>
      </c>
      <c r="E1532" s="3" t="s">
        <v>36</v>
      </c>
      <c r="F1532">
        <v>30</v>
      </c>
      <c r="G1532" s="7">
        <v>29889</v>
      </c>
      <c r="H1532">
        <v>1</v>
      </c>
      <c r="I1532" s="3" t="s">
        <v>9905</v>
      </c>
      <c r="J1532" s="3" t="s">
        <v>11</v>
      </c>
      <c r="K1532" s="3" t="s">
        <v>15</v>
      </c>
      <c r="L1532" s="3" t="s">
        <v>22</v>
      </c>
      <c r="M1532">
        <v>45</v>
      </c>
      <c r="N1532" s="3"/>
    </row>
    <row r="1533" spans="1:14" x14ac:dyDescent="0.25">
      <c r="A1533" s="3" t="s">
        <v>1563</v>
      </c>
      <c r="B1533">
        <v>1962</v>
      </c>
      <c r="C1533">
        <v>1962</v>
      </c>
      <c r="D1533" s="3" t="s">
        <v>17</v>
      </c>
      <c r="E1533" s="3" t="s">
        <v>17</v>
      </c>
      <c r="F1533">
        <v>24</v>
      </c>
      <c r="G1533" s="7">
        <v>22821</v>
      </c>
      <c r="H1533">
        <v>0</v>
      </c>
      <c r="I1533" s="3" t="s">
        <v>9906</v>
      </c>
      <c r="J1533" s="3" t="s">
        <v>11</v>
      </c>
      <c r="K1533" s="3" t="s">
        <v>15</v>
      </c>
      <c r="L1533" s="3" t="s">
        <v>22</v>
      </c>
      <c r="M1533">
        <v>64</v>
      </c>
      <c r="N1533" s="3"/>
    </row>
    <row r="1534" spans="1:14" x14ac:dyDescent="0.25">
      <c r="A1534" s="3" t="s">
        <v>1564</v>
      </c>
      <c r="B1534">
        <v>1969</v>
      </c>
      <c r="C1534">
        <v>1969</v>
      </c>
      <c r="D1534" s="3" t="s">
        <v>29</v>
      </c>
      <c r="E1534" s="3" t="s">
        <v>29</v>
      </c>
      <c r="F1534">
        <v>13</v>
      </c>
      <c r="G1534" s="7">
        <v>25550</v>
      </c>
      <c r="H1534">
        <v>0</v>
      </c>
      <c r="I1534" s="3" t="s">
        <v>9907</v>
      </c>
      <c r="J1534" s="3" t="s">
        <v>11</v>
      </c>
      <c r="K1534" s="3" t="s">
        <v>11</v>
      </c>
      <c r="L1534" s="3" t="s">
        <v>22</v>
      </c>
      <c r="M1534">
        <v>57</v>
      </c>
      <c r="N1534" s="3"/>
    </row>
    <row r="1535" spans="1:14" x14ac:dyDescent="0.25">
      <c r="A1535" s="3" t="s">
        <v>1565</v>
      </c>
      <c r="B1535">
        <v>1972</v>
      </c>
      <c r="C1535">
        <v>1972</v>
      </c>
      <c r="D1535" s="3" t="s">
        <v>19</v>
      </c>
      <c r="E1535" s="3" t="s">
        <v>19</v>
      </c>
      <c r="F1535">
        <v>27</v>
      </c>
      <c r="G1535" s="7">
        <v>26569</v>
      </c>
      <c r="H1535">
        <v>0</v>
      </c>
      <c r="I1535" s="3" t="s">
        <v>9908</v>
      </c>
      <c r="J1535" s="3" t="s">
        <v>11</v>
      </c>
      <c r="K1535" s="3" t="s">
        <v>10</v>
      </c>
      <c r="L1535" s="3" t="s">
        <v>22</v>
      </c>
      <c r="M1535">
        <v>54</v>
      </c>
      <c r="N1535" s="3"/>
    </row>
    <row r="1536" spans="1:14" x14ac:dyDescent="0.25">
      <c r="A1536" s="3" t="s">
        <v>1566</v>
      </c>
      <c r="B1536">
        <v>1962</v>
      </c>
      <c r="C1536">
        <v>1962</v>
      </c>
      <c r="D1536" s="3" t="s">
        <v>9</v>
      </c>
      <c r="E1536" s="3" t="s">
        <v>9</v>
      </c>
      <c r="F1536">
        <v>20</v>
      </c>
      <c r="G1536" s="7">
        <v>22847</v>
      </c>
      <c r="H1536">
        <v>0</v>
      </c>
      <c r="I1536" s="3" t="s">
        <v>9909</v>
      </c>
      <c r="J1536" s="3" t="s">
        <v>11</v>
      </c>
      <c r="K1536" s="3" t="s">
        <v>15</v>
      </c>
      <c r="L1536" s="3" t="s">
        <v>22</v>
      </c>
      <c r="M1536">
        <v>64</v>
      </c>
      <c r="N1536" s="3"/>
    </row>
    <row r="1537" spans="1:14" x14ac:dyDescent="0.25">
      <c r="A1537" s="3" t="s">
        <v>1567</v>
      </c>
      <c r="B1537">
        <v>1964</v>
      </c>
      <c r="C1537">
        <v>1964</v>
      </c>
      <c r="D1537" s="3" t="s">
        <v>19</v>
      </c>
      <c r="E1537" s="3" t="s">
        <v>19</v>
      </c>
      <c r="F1537">
        <v>23</v>
      </c>
      <c r="G1537" s="7">
        <v>23643</v>
      </c>
      <c r="H1537">
        <v>1</v>
      </c>
      <c r="I1537" s="3" t="s">
        <v>9910</v>
      </c>
      <c r="J1537" s="3" t="s">
        <v>11</v>
      </c>
      <c r="K1537" s="3" t="s">
        <v>15</v>
      </c>
      <c r="L1537" s="3" t="s">
        <v>246</v>
      </c>
      <c r="M1537">
        <v>62</v>
      </c>
      <c r="N1537" s="3"/>
    </row>
    <row r="1538" spans="1:14" x14ac:dyDescent="0.25">
      <c r="A1538" s="3" t="s">
        <v>1568</v>
      </c>
      <c r="B1538">
        <v>1965</v>
      </c>
      <c r="C1538">
        <v>1965</v>
      </c>
      <c r="D1538" s="3" t="s">
        <v>14</v>
      </c>
      <c r="E1538" s="3" t="s">
        <v>14</v>
      </c>
      <c r="F1538">
        <v>4</v>
      </c>
      <c r="G1538" s="7">
        <v>24050</v>
      </c>
      <c r="H1538">
        <v>0</v>
      </c>
      <c r="I1538" s="3" t="s">
        <v>9911</v>
      </c>
      <c r="J1538" s="3" t="s">
        <v>11</v>
      </c>
      <c r="K1538" s="3" t="s">
        <v>10</v>
      </c>
      <c r="L1538" s="3" t="s">
        <v>199</v>
      </c>
      <c r="M1538">
        <v>61</v>
      </c>
      <c r="N1538" s="3"/>
    </row>
    <row r="1539" spans="1:14" x14ac:dyDescent="0.25">
      <c r="A1539" s="3" t="s">
        <v>1569</v>
      </c>
      <c r="B1539">
        <v>1961</v>
      </c>
      <c r="C1539">
        <v>1961</v>
      </c>
      <c r="D1539" s="3" t="s">
        <v>14</v>
      </c>
      <c r="E1539" s="3" t="s">
        <v>14</v>
      </c>
      <c r="F1539">
        <v>9</v>
      </c>
      <c r="G1539" s="7">
        <v>22594</v>
      </c>
      <c r="H1539">
        <v>0</v>
      </c>
      <c r="I1539" s="3" t="s">
        <v>9912</v>
      </c>
      <c r="J1539" s="3" t="s">
        <v>11</v>
      </c>
      <c r="K1539" s="3" t="s">
        <v>15</v>
      </c>
      <c r="L1539" s="3" t="s">
        <v>41</v>
      </c>
      <c r="M1539">
        <v>65</v>
      </c>
      <c r="N1539" s="3"/>
    </row>
    <row r="1540" spans="1:14" x14ac:dyDescent="0.25">
      <c r="A1540" s="3" t="s">
        <v>1570</v>
      </c>
      <c r="B1540">
        <v>1969</v>
      </c>
      <c r="C1540">
        <v>1969</v>
      </c>
      <c r="D1540" s="3" t="s">
        <v>19</v>
      </c>
      <c r="E1540" s="3" t="s">
        <v>19</v>
      </c>
      <c r="F1540">
        <v>23</v>
      </c>
      <c r="G1540" s="7">
        <v>25469</v>
      </c>
      <c r="H1540">
        <v>0</v>
      </c>
      <c r="I1540" s="3" t="s">
        <v>9913</v>
      </c>
      <c r="J1540" s="3" t="s">
        <v>11</v>
      </c>
      <c r="K1540" s="3" t="s">
        <v>15</v>
      </c>
      <c r="L1540" s="3" t="s">
        <v>22</v>
      </c>
      <c r="M1540">
        <v>57</v>
      </c>
      <c r="N1540" s="3"/>
    </row>
    <row r="1541" spans="1:14" x14ac:dyDescent="0.25">
      <c r="A1541" s="3" t="s">
        <v>1571</v>
      </c>
      <c r="B1541">
        <v>1967</v>
      </c>
      <c r="C1541">
        <v>1967</v>
      </c>
      <c r="D1541" s="3" t="s">
        <v>34</v>
      </c>
      <c r="E1541" s="3" t="s">
        <v>34</v>
      </c>
      <c r="F1541">
        <v>6</v>
      </c>
      <c r="G1541" s="7">
        <v>24690</v>
      </c>
      <c r="H1541">
        <v>3</v>
      </c>
      <c r="I1541" s="3" t="s">
        <v>9914</v>
      </c>
      <c r="J1541" s="3" t="s">
        <v>11</v>
      </c>
      <c r="K1541" s="3" t="s">
        <v>11</v>
      </c>
      <c r="L1541" s="3" t="s">
        <v>246</v>
      </c>
      <c r="M1541">
        <v>59</v>
      </c>
      <c r="N1541" s="3"/>
    </row>
    <row r="1542" spans="1:14" x14ac:dyDescent="0.25">
      <c r="A1542" s="3" t="s">
        <v>1572</v>
      </c>
      <c r="B1542">
        <v>1985</v>
      </c>
      <c r="C1542">
        <v>1985</v>
      </c>
      <c r="D1542" s="3" t="s">
        <v>36</v>
      </c>
      <c r="E1542" s="3" t="s">
        <v>36</v>
      </c>
      <c r="F1542">
        <v>26</v>
      </c>
      <c r="G1542" s="7">
        <v>31346</v>
      </c>
      <c r="H1542">
        <v>3</v>
      </c>
      <c r="I1542" s="3" t="s">
        <v>9915</v>
      </c>
      <c r="J1542" s="3" t="s">
        <v>11</v>
      </c>
      <c r="K1542" s="3" t="s">
        <v>15</v>
      </c>
      <c r="L1542" s="3" t="s">
        <v>534</v>
      </c>
      <c r="M1542">
        <v>41</v>
      </c>
      <c r="N1542" s="3"/>
    </row>
    <row r="1543" spans="1:14" x14ac:dyDescent="0.25">
      <c r="A1543" s="3" t="s">
        <v>1573</v>
      </c>
      <c r="B1543">
        <v>1961</v>
      </c>
      <c r="C1543">
        <v>1961</v>
      </c>
      <c r="D1543" s="3" t="s">
        <v>14</v>
      </c>
      <c r="E1543" s="3" t="s">
        <v>14</v>
      </c>
      <c r="F1543">
        <v>6</v>
      </c>
      <c r="G1543" s="7">
        <v>22591</v>
      </c>
      <c r="H1543">
        <v>0</v>
      </c>
      <c r="I1543" s="3" t="s">
        <v>9916</v>
      </c>
      <c r="J1543" s="3" t="s">
        <v>11</v>
      </c>
      <c r="K1543" s="3" t="s">
        <v>10</v>
      </c>
      <c r="L1543" s="3" t="s">
        <v>41</v>
      </c>
      <c r="M1543">
        <v>65</v>
      </c>
      <c r="N1543" s="3"/>
    </row>
    <row r="1544" spans="1:14" x14ac:dyDescent="0.25">
      <c r="A1544" s="3" t="s">
        <v>1574</v>
      </c>
      <c r="B1544">
        <v>1978</v>
      </c>
      <c r="C1544">
        <v>1978</v>
      </c>
      <c r="D1544" s="3" t="s">
        <v>9</v>
      </c>
      <c r="E1544" s="3" t="s">
        <v>9</v>
      </c>
      <c r="F1544">
        <v>17</v>
      </c>
      <c r="G1544" s="7">
        <v>28688</v>
      </c>
      <c r="H1544">
        <v>2</v>
      </c>
      <c r="I1544" s="3" t="s">
        <v>9917</v>
      </c>
      <c r="J1544" s="3" t="s">
        <v>11</v>
      </c>
      <c r="K1544" s="3" t="s">
        <v>10</v>
      </c>
      <c r="L1544" s="3" t="s">
        <v>534</v>
      </c>
      <c r="M1544">
        <v>48</v>
      </c>
      <c r="N1544" s="3"/>
    </row>
    <row r="1545" spans="1:14" x14ac:dyDescent="0.25">
      <c r="A1545" s="3" t="s">
        <v>1575</v>
      </c>
      <c r="B1545">
        <v>1971</v>
      </c>
      <c r="C1545">
        <v>1971</v>
      </c>
      <c r="D1545" s="3" t="s">
        <v>36</v>
      </c>
      <c r="E1545" s="3" t="s">
        <v>36</v>
      </c>
      <c r="F1545">
        <v>30</v>
      </c>
      <c r="G1545" s="7">
        <v>26236</v>
      </c>
      <c r="H1545">
        <v>0</v>
      </c>
      <c r="I1545" s="3" t="s">
        <v>9918</v>
      </c>
      <c r="J1545" s="3" t="s">
        <v>11</v>
      </c>
      <c r="K1545" s="3" t="s">
        <v>10</v>
      </c>
      <c r="L1545" s="3" t="s">
        <v>41</v>
      </c>
      <c r="M1545">
        <v>55</v>
      </c>
      <c r="N1545" s="3"/>
    </row>
    <row r="1546" spans="1:14" x14ac:dyDescent="0.25">
      <c r="A1546" s="3" t="s">
        <v>1576</v>
      </c>
      <c r="B1546">
        <v>1962</v>
      </c>
      <c r="C1546">
        <v>1962</v>
      </c>
      <c r="D1546" s="3" t="s">
        <v>34</v>
      </c>
      <c r="E1546" s="3" t="s">
        <v>34</v>
      </c>
      <c r="F1546">
        <v>2</v>
      </c>
      <c r="G1546" s="7">
        <v>22860</v>
      </c>
      <c r="H1546">
        <v>1</v>
      </c>
      <c r="I1546" s="3" t="s">
        <v>9919</v>
      </c>
      <c r="J1546" s="3" t="s">
        <v>11</v>
      </c>
      <c r="K1546" s="3" t="s">
        <v>11</v>
      </c>
      <c r="L1546" s="3" t="s">
        <v>22</v>
      </c>
      <c r="M1546">
        <v>64</v>
      </c>
      <c r="N1546" s="3"/>
    </row>
    <row r="1547" spans="1:14" x14ac:dyDescent="0.25">
      <c r="A1547" s="3" t="s">
        <v>1577</v>
      </c>
      <c r="B1547">
        <v>1992</v>
      </c>
      <c r="C1547">
        <v>1992</v>
      </c>
      <c r="D1547" s="3" t="s">
        <v>34</v>
      </c>
      <c r="E1547" s="3" t="s">
        <v>34</v>
      </c>
      <c r="F1547">
        <v>12</v>
      </c>
      <c r="G1547" s="7">
        <v>33828</v>
      </c>
      <c r="H1547">
        <v>0</v>
      </c>
      <c r="I1547" s="3" t="s">
        <v>9920</v>
      </c>
      <c r="J1547" s="3" t="s">
        <v>11</v>
      </c>
      <c r="K1547" s="3" t="s">
        <v>10</v>
      </c>
      <c r="L1547" s="3" t="s">
        <v>534</v>
      </c>
      <c r="M1547">
        <v>34</v>
      </c>
      <c r="N1547" s="3"/>
    </row>
    <row r="1548" spans="1:14" x14ac:dyDescent="0.25">
      <c r="A1548" s="3" t="s">
        <v>1578</v>
      </c>
      <c r="B1548">
        <v>1963</v>
      </c>
      <c r="C1548">
        <v>1963</v>
      </c>
      <c r="D1548" s="3" t="s">
        <v>19</v>
      </c>
      <c r="E1548" s="3" t="s">
        <v>19</v>
      </c>
      <c r="F1548">
        <v>14</v>
      </c>
      <c r="G1548" s="7">
        <v>23268</v>
      </c>
      <c r="H1548">
        <v>0</v>
      </c>
      <c r="I1548" s="3" t="s">
        <v>9921</v>
      </c>
      <c r="J1548" s="3" t="s">
        <v>11</v>
      </c>
      <c r="K1548" s="3" t="s">
        <v>15</v>
      </c>
      <c r="L1548" s="3" t="s">
        <v>22</v>
      </c>
      <c r="M1548">
        <v>63</v>
      </c>
      <c r="N1548" s="3"/>
    </row>
    <row r="1549" spans="1:14" x14ac:dyDescent="0.25">
      <c r="A1549" s="3" t="s">
        <v>1579</v>
      </c>
      <c r="B1549">
        <v>1999</v>
      </c>
      <c r="C1549">
        <v>1999</v>
      </c>
      <c r="D1549" s="3" t="s">
        <v>34</v>
      </c>
      <c r="E1549" s="3" t="s">
        <v>34</v>
      </c>
      <c r="F1549">
        <v>16</v>
      </c>
      <c r="G1549" s="7">
        <v>36388</v>
      </c>
      <c r="H1549">
        <v>0</v>
      </c>
      <c r="I1549" s="3" t="s">
        <v>9922</v>
      </c>
      <c r="J1549" s="3" t="s">
        <v>11</v>
      </c>
      <c r="K1549" s="3" t="s">
        <v>11</v>
      </c>
      <c r="L1549" s="3" t="s">
        <v>41</v>
      </c>
      <c r="M1549">
        <v>27</v>
      </c>
      <c r="N1549" s="3"/>
    </row>
    <row r="1550" spans="1:14" x14ac:dyDescent="0.25">
      <c r="A1550" s="3" t="s">
        <v>1580</v>
      </c>
      <c r="B1550">
        <v>1961</v>
      </c>
      <c r="C1550">
        <v>1961</v>
      </c>
      <c r="D1550" s="3" t="s">
        <v>19</v>
      </c>
      <c r="E1550" s="3" t="s">
        <v>19</v>
      </c>
      <c r="F1550">
        <v>7</v>
      </c>
      <c r="G1550" s="7">
        <v>22531</v>
      </c>
      <c r="H1550">
        <v>0</v>
      </c>
      <c r="I1550" s="3" t="s">
        <v>9923</v>
      </c>
      <c r="J1550" s="3" t="s">
        <v>11</v>
      </c>
      <c r="K1550" s="3" t="s">
        <v>10</v>
      </c>
      <c r="L1550" s="3" t="s">
        <v>355</v>
      </c>
      <c r="M1550">
        <v>65</v>
      </c>
      <c r="N1550" s="3"/>
    </row>
    <row r="1551" spans="1:14" x14ac:dyDescent="0.25">
      <c r="A1551" s="3" t="s">
        <v>1581</v>
      </c>
      <c r="B1551">
        <v>1961</v>
      </c>
      <c r="C1551">
        <v>1961</v>
      </c>
      <c r="D1551" s="3" t="s">
        <v>29</v>
      </c>
      <c r="E1551" s="3" t="s">
        <v>29</v>
      </c>
      <c r="F1551">
        <v>6</v>
      </c>
      <c r="G1551" s="7">
        <v>22621</v>
      </c>
      <c r="H1551">
        <v>0</v>
      </c>
      <c r="I1551" s="3" t="s">
        <v>9924</v>
      </c>
      <c r="J1551" s="3" t="s">
        <v>11</v>
      </c>
      <c r="K1551" s="3" t="s">
        <v>10</v>
      </c>
      <c r="L1551" s="3" t="s">
        <v>515</v>
      </c>
      <c r="M1551">
        <v>65</v>
      </c>
      <c r="N1551" s="3"/>
    </row>
    <row r="1552" spans="1:14" x14ac:dyDescent="0.25">
      <c r="A1552" s="3" t="s">
        <v>1582</v>
      </c>
      <c r="B1552">
        <v>1961</v>
      </c>
      <c r="C1552">
        <v>1961</v>
      </c>
      <c r="D1552" s="3" t="s">
        <v>29</v>
      </c>
      <c r="E1552" s="3" t="s">
        <v>29</v>
      </c>
      <c r="F1552">
        <v>6</v>
      </c>
      <c r="G1552" s="7">
        <v>22621</v>
      </c>
      <c r="H1552">
        <v>0</v>
      </c>
      <c r="I1552" s="3" t="s">
        <v>9925</v>
      </c>
      <c r="J1552" s="3" t="s">
        <v>11</v>
      </c>
      <c r="K1552" s="3" t="s">
        <v>10</v>
      </c>
      <c r="L1552" s="3" t="s">
        <v>167</v>
      </c>
      <c r="M1552">
        <v>65</v>
      </c>
      <c r="N1552" s="3"/>
    </row>
    <row r="1553" spans="1:14" x14ac:dyDescent="0.25">
      <c r="A1553" s="3" t="s">
        <v>1583</v>
      </c>
      <c r="B1553">
        <v>1962</v>
      </c>
      <c r="C1553">
        <v>1962</v>
      </c>
      <c r="D1553" s="3" t="s">
        <v>34</v>
      </c>
      <c r="E1553" s="3" t="s">
        <v>34</v>
      </c>
      <c r="F1553">
        <v>5</v>
      </c>
      <c r="G1553" s="7">
        <v>22863</v>
      </c>
      <c r="H1553">
        <v>0</v>
      </c>
      <c r="I1553" s="3" t="s">
        <v>9926</v>
      </c>
      <c r="J1553" s="3" t="s">
        <v>11</v>
      </c>
      <c r="K1553" s="3" t="s">
        <v>15</v>
      </c>
      <c r="L1553" s="3" t="s">
        <v>246</v>
      </c>
      <c r="M1553">
        <v>64</v>
      </c>
      <c r="N1553" s="3"/>
    </row>
    <row r="1554" spans="1:14" x14ac:dyDescent="0.25">
      <c r="A1554" s="3" t="s">
        <v>1584</v>
      </c>
      <c r="B1554">
        <v>1982</v>
      </c>
      <c r="C1554">
        <v>1982</v>
      </c>
      <c r="D1554" s="3" t="s">
        <v>36</v>
      </c>
      <c r="E1554" s="3" t="s">
        <v>36</v>
      </c>
      <c r="F1554">
        <v>15</v>
      </c>
      <c r="G1554" s="7">
        <v>30239</v>
      </c>
      <c r="H1554">
        <v>3</v>
      </c>
      <c r="I1554" s="3" t="s">
        <v>9927</v>
      </c>
      <c r="J1554" s="3" t="s">
        <v>11</v>
      </c>
      <c r="K1554" s="3" t="s">
        <v>10</v>
      </c>
      <c r="L1554" s="3" t="s">
        <v>22</v>
      </c>
      <c r="M1554">
        <v>44</v>
      </c>
      <c r="N1554" s="3"/>
    </row>
    <row r="1555" spans="1:14" x14ac:dyDescent="0.25">
      <c r="A1555" s="3" t="s">
        <v>1585</v>
      </c>
      <c r="B1555">
        <v>1962</v>
      </c>
      <c r="C1555">
        <v>1962</v>
      </c>
      <c r="D1555" s="3" t="s">
        <v>29</v>
      </c>
      <c r="E1555" s="3" t="s">
        <v>29</v>
      </c>
      <c r="F1555">
        <v>7</v>
      </c>
      <c r="G1555" s="7">
        <v>22987</v>
      </c>
      <c r="H1555">
        <v>0</v>
      </c>
      <c r="I1555" s="3" t="s">
        <v>9928</v>
      </c>
      <c r="J1555" s="3" t="s">
        <v>11</v>
      </c>
      <c r="K1555" s="3" t="s">
        <v>15</v>
      </c>
      <c r="L1555" s="3" t="s">
        <v>246</v>
      </c>
      <c r="M1555">
        <v>64</v>
      </c>
      <c r="N1555" s="3"/>
    </row>
    <row r="1556" spans="1:14" x14ac:dyDescent="0.25">
      <c r="A1556" s="3" t="s">
        <v>1586</v>
      </c>
      <c r="B1556">
        <v>1965</v>
      </c>
      <c r="C1556">
        <v>1965</v>
      </c>
      <c r="D1556" s="3" t="s">
        <v>14</v>
      </c>
      <c r="E1556" s="3" t="s">
        <v>14</v>
      </c>
      <c r="F1556">
        <v>13</v>
      </c>
      <c r="G1556" s="7">
        <v>24059</v>
      </c>
      <c r="H1556">
        <v>2</v>
      </c>
      <c r="I1556" s="3" t="s">
        <v>9929</v>
      </c>
      <c r="J1556" s="3" t="s">
        <v>11</v>
      </c>
      <c r="K1556" s="3" t="s">
        <v>11</v>
      </c>
      <c r="L1556" s="3" t="s">
        <v>246</v>
      </c>
      <c r="M1556">
        <v>61</v>
      </c>
      <c r="N1556" s="3"/>
    </row>
    <row r="1557" spans="1:14" x14ac:dyDescent="0.25">
      <c r="A1557" s="3" t="s">
        <v>1587</v>
      </c>
      <c r="B1557">
        <v>1962</v>
      </c>
      <c r="C1557">
        <v>1962</v>
      </c>
      <c r="D1557" s="3" t="s">
        <v>14</v>
      </c>
      <c r="E1557" s="3" t="s">
        <v>14</v>
      </c>
      <c r="F1557">
        <v>24</v>
      </c>
      <c r="G1557" s="7">
        <v>22974</v>
      </c>
      <c r="H1557">
        <v>1</v>
      </c>
      <c r="I1557" s="3" t="s">
        <v>9930</v>
      </c>
      <c r="J1557" s="3" t="s">
        <v>11</v>
      </c>
      <c r="K1557" s="3" t="s">
        <v>10</v>
      </c>
      <c r="L1557" s="3" t="s">
        <v>41</v>
      </c>
      <c r="M1557">
        <v>64</v>
      </c>
      <c r="N1557" s="3"/>
    </row>
    <row r="1558" spans="1:14" x14ac:dyDescent="0.25">
      <c r="A1558" s="3" t="s">
        <v>1588</v>
      </c>
      <c r="B1558">
        <v>1962</v>
      </c>
      <c r="C1558">
        <v>1962</v>
      </c>
      <c r="D1558" s="3" t="s">
        <v>36</v>
      </c>
      <c r="E1558" s="3" t="s">
        <v>36</v>
      </c>
      <c r="F1558">
        <v>11</v>
      </c>
      <c r="G1558" s="7">
        <v>22930</v>
      </c>
      <c r="H1558">
        <v>0</v>
      </c>
      <c r="I1558" s="3" t="s">
        <v>9931</v>
      </c>
      <c r="J1558" s="3" t="s">
        <v>11</v>
      </c>
      <c r="K1558" s="3" t="s">
        <v>11</v>
      </c>
      <c r="L1558" s="3" t="s">
        <v>248</v>
      </c>
      <c r="M1558">
        <v>64</v>
      </c>
      <c r="N1558" s="3"/>
    </row>
    <row r="1559" spans="1:14" x14ac:dyDescent="0.25">
      <c r="A1559" s="3" t="s">
        <v>1589</v>
      </c>
      <c r="B1559">
        <v>1994</v>
      </c>
      <c r="C1559">
        <v>1994</v>
      </c>
      <c r="D1559" s="3" t="s">
        <v>9</v>
      </c>
      <c r="E1559" s="3" t="s">
        <v>9</v>
      </c>
      <c r="F1559">
        <v>1</v>
      </c>
      <c r="G1559" s="7">
        <v>34516</v>
      </c>
      <c r="H1559">
        <v>0</v>
      </c>
      <c r="I1559" s="3" t="s">
        <v>9932</v>
      </c>
      <c r="J1559" s="3" t="s">
        <v>11</v>
      </c>
      <c r="K1559" s="3" t="s">
        <v>11</v>
      </c>
      <c r="L1559" s="3" t="s">
        <v>22</v>
      </c>
      <c r="M1559">
        <v>32</v>
      </c>
      <c r="N1559" s="3"/>
    </row>
    <row r="1560" spans="1:14" x14ac:dyDescent="0.25">
      <c r="A1560" s="3" t="s">
        <v>1590</v>
      </c>
      <c r="B1560">
        <v>1976</v>
      </c>
      <c r="C1560">
        <v>1976</v>
      </c>
      <c r="D1560" s="3" t="s">
        <v>34</v>
      </c>
      <c r="E1560" s="3" t="s">
        <v>34</v>
      </c>
      <c r="F1560">
        <v>23</v>
      </c>
      <c r="G1560" s="7">
        <v>27995</v>
      </c>
      <c r="H1560">
        <v>2</v>
      </c>
      <c r="I1560" s="3" t="s">
        <v>9933</v>
      </c>
      <c r="J1560" s="3" t="s">
        <v>11</v>
      </c>
      <c r="K1560" s="3" t="s">
        <v>10</v>
      </c>
      <c r="L1560" s="3" t="s">
        <v>22</v>
      </c>
      <c r="M1560">
        <v>50</v>
      </c>
      <c r="N1560" s="3"/>
    </row>
    <row r="1561" spans="1:14" x14ac:dyDescent="0.25">
      <c r="A1561" s="3" t="s">
        <v>1591</v>
      </c>
      <c r="B1561">
        <v>1960</v>
      </c>
      <c r="C1561">
        <v>1960</v>
      </c>
      <c r="D1561" s="3" t="s">
        <v>14</v>
      </c>
      <c r="E1561" s="3" t="s">
        <v>14</v>
      </c>
      <c r="F1561">
        <v>11</v>
      </c>
      <c r="G1561" s="7">
        <v>22231</v>
      </c>
      <c r="H1561">
        <v>0</v>
      </c>
      <c r="I1561" s="3" t="s">
        <v>9934</v>
      </c>
      <c r="J1561" s="3" t="s">
        <v>11</v>
      </c>
      <c r="K1561" s="3" t="s">
        <v>15</v>
      </c>
      <c r="L1561" s="3" t="s">
        <v>22</v>
      </c>
      <c r="M1561">
        <v>66</v>
      </c>
      <c r="N1561" s="3"/>
    </row>
    <row r="1562" spans="1:14" x14ac:dyDescent="0.25">
      <c r="A1562" s="3" t="s">
        <v>1592</v>
      </c>
      <c r="B1562">
        <v>1990</v>
      </c>
      <c r="C1562">
        <v>1990</v>
      </c>
      <c r="D1562" s="3" t="s">
        <v>36</v>
      </c>
      <c r="E1562" s="3" t="s">
        <v>36</v>
      </c>
      <c r="F1562">
        <v>2</v>
      </c>
      <c r="G1562" s="7">
        <v>33148</v>
      </c>
      <c r="H1562">
        <v>3</v>
      </c>
      <c r="I1562" s="3" t="s">
        <v>9935</v>
      </c>
      <c r="J1562" s="3" t="s">
        <v>11</v>
      </c>
      <c r="K1562" s="3" t="s">
        <v>15</v>
      </c>
      <c r="L1562" s="3" t="s">
        <v>22</v>
      </c>
      <c r="M1562">
        <v>36</v>
      </c>
      <c r="N1562" s="3"/>
    </row>
    <row r="1563" spans="1:14" x14ac:dyDescent="0.25">
      <c r="A1563" s="3" t="s">
        <v>1593</v>
      </c>
      <c r="B1563">
        <v>1964</v>
      </c>
      <c r="C1563">
        <v>1964</v>
      </c>
      <c r="D1563" s="3" t="s">
        <v>19</v>
      </c>
      <c r="E1563" s="3" t="s">
        <v>19</v>
      </c>
      <c r="F1563">
        <v>24</v>
      </c>
      <c r="G1563" s="7">
        <v>23644</v>
      </c>
      <c r="H1563">
        <v>0</v>
      </c>
      <c r="I1563" s="3" t="s">
        <v>9936</v>
      </c>
      <c r="J1563" s="3" t="s">
        <v>11</v>
      </c>
      <c r="K1563" s="3" t="s">
        <v>10</v>
      </c>
      <c r="L1563" s="3" t="s">
        <v>199</v>
      </c>
      <c r="M1563">
        <v>62</v>
      </c>
      <c r="N1563" s="3"/>
    </row>
    <row r="1564" spans="1:14" x14ac:dyDescent="0.25">
      <c r="A1564" s="3" t="s">
        <v>1594</v>
      </c>
      <c r="B1564">
        <v>1979</v>
      </c>
      <c r="C1564">
        <v>1979</v>
      </c>
      <c r="D1564" s="3" t="s">
        <v>19</v>
      </c>
      <c r="E1564" s="3" t="s">
        <v>19</v>
      </c>
      <c r="F1564">
        <v>30</v>
      </c>
      <c r="G1564" s="7">
        <v>29128</v>
      </c>
      <c r="H1564">
        <v>2</v>
      </c>
      <c r="I1564" s="3" t="s">
        <v>9937</v>
      </c>
      <c r="J1564" s="3" t="s">
        <v>11</v>
      </c>
      <c r="K1564" s="3" t="s">
        <v>11</v>
      </c>
      <c r="L1564" s="3" t="s">
        <v>534</v>
      </c>
      <c r="M1564">
        <v>47</v>
      </c>
      <c r="N1564" s="3"/>
    </row>
    <row r="1565" spans="1:14" x14ac:dyDescent="0.25">
      <c r="A1565" s="3" t="s">
        <v>1595</v>
      </c>
      <c r="B1565">
        <v>1984</v>
      </c>
      <c r="C1565">
        <v>1984</v>
      </c>
      <c r="D1565" s="3" t="s">
        <v>17</v>
      </c>
      <c r="E1565" s="3" t="s">
        <v>17</v>
      </c>
      <c r="F1565">
        <v>6</v>
      </c>
      <c r="G1565" s="7">
        <v>30839</v>
      </c>
      <c r="H1565">
        <v>3</v>
      </c>
      <c r="I1565" s="3" t="s">
        <v>9938</v>
      </c>
      <c r="J1565" s="3" t="s">
        <v>11</v>
      </c>
      <c r="K1565" s="3" t="s">
        <v>10</v>
      </c>
      <c r="L1565" s="3" t="s">
        <v>248</v>
      </c>
      <c r="M1565">
        <v>42</v>
      </c>
      <c r="N1565" s="3"/>
    </row>
    <row r="1566" spans="1:14" x14ac:dyDescent="0.25">
      <c r="A1566" s="3" t="s">
        <v>1596</v>
      </c>
      <c r="B1566">
        <v>1959</v>
      </c>
      <c r="C1566">
        <v>1959</v>
      </c>
      <c r="D1566" s="3" t="s">
        <v>29</v>
      </c>
      <c r="E1566" s="3" t="s">
        <v>29</v>
      </c>
      <c r="F1566">
        <v>9</v>
      </c>
      <c r="G1566" s="7">
        <v>21893</v>
      </c>
      <c r="H1566">
        <v>0</v>
      </c>
      <c r="I1566" s="3" t="s">
        <v>9939</v>
      </c>
      <c r="J1566" s="3" t="s">
        <v>11</v>
      </c>
      <c r="K1566" s="3" t="s">
        <v>11</v>
      </c>
      <c r="L1566" s="3" t="s">
        <v>41</v>
      </c>
      <c r="M1566">
        <v>67</v>
      </c>
      <c r="N1566" s="3"/>
    </row>
    <row r="1567" spans="1:14" x14ac:dyDescent="0.25">
      <c r="A1567" s="3" t="s">
        <v>1597</v>
      </c>
      <c r="B1567">
        <v>1959</v>
      </c>
      <c r="C1567">
        <v>1959</v>
      </c>
      <c r="D1567" s="3" t="s">
        <v>14</v>
      </c>
      <c r="E1567" s="3" t="s">
        <v>14</v>
      </c>
      <c r="F1567">
        <v>25</v>
      </c>
      <c r="G1567" s="7">
        <v>21879</v>
      </c>
      <c r="H1567">
        <v>0</v>
      </c>
      <c r="I1567" s="3" t="s">
        <v>9940</v>
      </c>
      <c r="J1567" s="3" t="s">
        <v>11</v>
      </c>
      <c r="K1567" s="3" t="s">
        <v>15</v>
      </c>
      <c r="L1567" s="3" t="s">
        <v>41</v>
      </c>
      <c r="M1567">
        <v>67</v>
      </c>
      <c r="N1567" s="3"/>
    </row>
    <row r="1568" spans="1:14" x14ac:dyDescent="0.25">
      <c r="A1568" s="3" t="s">
        <v>1598</v>
      </c>
      <c r="B1568">
        <v>1959</v>
      </c>
      <c r="C1568">
        <v>1959</v>
      </c>
      <c r="D1568" s="3" t="s">
        <v>29</v>
      </c>
      <c r="E1568" s="3" t="s">
        <v>29</v>
      </c>
      <c r="F1568">
        <v>20</v>
      </c>
      <c r="G1568" s="7">
        <v>21904</v>
      </c>
      <c r="H1568">
        <v>0</v>
      </c>
      <c r="I1568" s="3" t="s">
        <v>9941</v>
      </c>
      <c r="J1568" s="3" t="s">
        <v>11</v>
      </c>
      <c r="K1568" s="3" t="s">
        <v>11</v>
      </c>
      <c r="L1568" s="3" t="s">
        <v>12</v>
      </c>
      <c r="M1568">
        <v>67</v>
      </c>
      <c r="N1568" s="3"/>
    </row>
    <row r="1569" spans="1:14" x14ac:dyDescent="0.25">
      <c r="A1569" s="3" t="s">
        <v>1599</v>
      </c>
      <c r="B1569">
        <v>1992</v>
      </c>
      <c r="C1569">
        <v>1992</v>
      </c>
      <c r="D1569" s="3" t="s">
        <v>29</v>
      </c>
      <c r="E1569" s="3" t="s">
        <v>29</v>
      </c>
      <c r="F1569">
        <v>19</v>
      </c>
      <c r="G1569" s="7">
        <v>33957</v>
      </c>
      <c r="H1569">
        <v>0</v>
      </c>
      <c r="I1569" s="3" t="s">
        <v>9942</v>
      </c>
      <c r="J1569" s="3" t="s">
        <v>11</v>
      </c>
      <c r="K1569" s="3" t="s">
        <v>11</v>
      </c>
      <c r="L1569" s="3" t="s">
        <v>248</v>
      </c>
      <c r="M1569">
        <v>34</v>
      </c>
      <c r="N1569" s="3"/>
    </row>
    <row r="1570" spans="1:14" x14ac:dyDescent="0.25">
      <c r="A1570" s="3" t="s">
        <v>1600</v>
      </c>
      <c r="B1570">
        <v>1961</v>
      </c>
      <c r="C1570">
        <v>1961</v>
      </c>
      <c r="D1570" s="3" t="s">
        <v>9</v>
      </c>
      <c r="E1570" s="3" t="s">
        <v>9</v>
      </c>
      <c r="F1570">
        <v>22</v>
      </c>
      <c r="G1570" s="7">
        <v>22484</v>
      </c>
      <c r="H1570">
        <v>0</v>
      </c>
      <c r="I1570" s="3" t="s">
        <v>9943</v>
      </c>
      <c r="J1570" s="3" t="s">
        <v>11</v>
      </c>
      <c r="K1570" s="3" t="s">
        <v>10</v>
      </c>
      <c r="L1570" s="3" t="s">
        <v>22</v>
      </c>
      <c r="M1570">
        <v>65</v>
      </c>
      <c r="N1570" s="3"/>
    </row>
    <row r="1571" spans="1:14" x14ac:dyDescent="0.25">
      <c r="A1571" s="3" t="s">
        <v>1601</v>
      </c>
      <c r="B1571">
        <v>1994</v>
      </c>
      <c r="C1571">
        <v>1994</v>
      </c>
      <c r="D1571" s="3" t="s">
        <v>17</v>
      </c>
      <c r="E1571" s="3" t="s">
        <v>17</v>
      </c>
      <c r="F1571">
        <v>17</v>
      </c>
      <c r="G1571" s="7">
        <v>34502</v>
      </c>
      <c r="H1571">
        <v>0</v>
      </c>
      <c r="I1571" s="3" t="s">
        <v>9944</v>
      </c>
      <c r="J1571" s="3" t="s">
        <v>11</v>
      </c>
      <c r="K1571" s="3" t="s">
        <v>11</v>
      </c>
      <c r="L1571" s="3" t="s">
        <v>22</v>
      </c>
      <c r="M1571">
        <v>32</v>
      </c>
      <c r="N1571" s="3"/>
    </row>
    <row r="1572" spans="1:14" x14ac:dyDescent="0.25">
      <c r="A1572" s="3" t="s">
        <v>1602</v>
      </c>
      <c r="B1572">
        <v>1961</v>
      </c>
      <c r="C1572">
        <v>1961</v>
      </c>
      <c r="D1572" s="3" t="s">
        <v>14</v>
      </c>
      <c r="E1572" s="3" t="s">
        <v>14</v>
      </c>
      <c r="F1572">
        <v>3</v>
      </c>
      <c r="G1572" s="7">
        <v>22588</v>
      </c>
      <c r="H1572">
        <v>0</v>
      </c>
      <c r="I1572" s="3" t="s">
        <v>9945</v>
      </c>
      <c r="J1572" s="3" t="s">
        <v>11</v>
      </c>
      <c r="K1572" s="3" t="s">
        <v>11</v>
      </c>
      <c r="L1572" s="3" t="s">
        <v>22</v>
      </c>
      <c r="M1572">
        <v>65</v>
      </c>
      <c r="N1572" s="3"/>
    </row>
    <row r="1573" spans="1:14" x14ac:dyDescent="0.25">
      <c r="A1573" s="3" t="s">
        <v>1603</v>
      </c>
      <c r="B1573">
        <v>1966</v>
      </c>
      <c r="C1573">
        <v>1966</v>
      </c>
      <c r="D1573" s="3" t="s">
        <v>14</v>
      </c>
      <c r="E1573" s="3" t="s">
        <v>14</v>
      </c>
      <c r="F1573">
        <v>14</v>
      </c>
      <c r="G1573" s="7">
        <v>24425</v>
      </c>
      <c r="H1573">
        <v>3</v>
      </c>
      <c r="I1573" s="3" t="s">
        <v>9946</v>
      </c>
      <c r="J1573" s="3" t="s">
        <v>11</v>
      </c>
      <c r="K1573" s="3" t="s">
        <v>11</v>
      </c>
      <c r="L1573" s="3" t="s">
        <v>246</v>
      </c>
      <c r="M1573">
        <v>60</v>
      </c>
      <c r="N1573" s="3"/>
    </row>
    <row r="1574" spans="1:14" x14ac:dyDescent="0.25">
      <c r="A1574" s="3" t="s">
        <v>1604</v>
      </c>
      <c r="B1574">
        <v>1975</v>
      </c>
      <c r="C1574">
        <v>1975</v>
      </c>
      <c r="D1574" s="3" t="s">
        <v>17</v>
      </c>
      <c r="E1574" s="3" t="s">
        <v>17</v>
      </c>
      <c r="F1574">
        <v>29</v>
      </c>
      <c r="G1574" s="7">
        <v>27574</v>
      </c>
      <c r="H1574">
        <v>1</v>
      </c>
      <c r="I1574" s="3" t="s">
        <v>9947</v>
      </c>
      <c r="J1574" s="3" t="s">
        <v>11</v>
      </c>
      <c r="K1574" s="3" t="s">
        <v>10</v>
      </c>
      <c r="L1574" s="3" t="s">
        <v>22</v>
      </c>
      <c r="M1574">
        <v>51</v>
      </c>
      <c r="N1574" s="3"/>
    </row>
    <row r="1575" spans="1:14" x14ac:dyDescent="0.25">
      <c r="A1575" s="3" t="s">
        <v>1605</v>
      </c>
      <c r="B1575">
        <v>1960</v>
      </c>
      <c r="C1575">
        <v>1960</v>
      </c>
      <c r="D1575" s="3" t="s">
        <v>34</v>
      </c>
      <c r="E1575" s="3" t="s">
        <v>34</v>
      </c>
      <c r="F1575">
        <v>13</v>
      </c>
      <c r="G1575" s="7">
        <v>22141</v>
      </c>
      <c r="H1575">
        <v>0</v>
      </c>
      <c r="I1575" s="3" t="s">
        <v>9948</v>
      </c>
      <c r="J1575" s="3" t="s">
        <v>11</v>
      </c>
      <c r="K1575" s="3" t="s">
        <v>15</v>
      </c>
      <c r="L1575" s="3" t="s">
        <v>41</v>
      </c>
      <c r="M1575">
        <v>66</v>
      </c>
      <c r="N1575" s="3"/>
    </row>
    <row r="1576" spans="1:14" x14ac:dyDescent="0.25">
      <c r="A1576" s="3" t="s">
        <v>1606</v>
      </c>
      <c r="B1576">
        <v>1960</v>
      </c>
      <c r="C1576">
        <v>1960</v>
      </c>
      <c r="D1576" s="3" t="s">
        <v>9</v>
      </c>
      <c r="E1576" s="3" t="s">
        <v>9</v>
      </c>
      <c r="F1576">
        <v>11</v>
      </c>
      <c r="G1576" s="7">
        <v>22108</v>
      </c>
      <c r="H1576">
        <v>0</v>
      </c>
      <c r="I1576" s="3" t="s">
        <v>9949</v>
      </c>
      <c r="J1576" s="3" t="s">
        <v>11</v>
      </c>
      <c r="K1576" s="3" t="s">
        <v>15</v>
      </c>
      <c r="L1576" s="3" t="s">
        <v>12</v>
      </c>
      <c r="M1576">
        <v>66</v>
      </c>
      <c r="N1576" s="3"/>
    </row>
    <row r="1577" spans="1:14" x14ac:dyDescent="0.25">
      <c r="A1577" s="3" t="s">
        <v>1607</v>
      </c>
      <c r="B1577">
        <v>1960</v>
      </c>
      <c r="C1577">
        <v>1960</v>
      </c>
      <c r="D1577" s="3" t="s">
        <v>29</v>
      </c>
      <c r="E1577" s="3" t="s">
        <v>29</v>
      </c>
      <c r="F1577">
        <v>16</v>
      </c>
      <c r="G1577" s="7">
        <v>22266</v>
      </c>
      <c r="H1577">
        <v>0</v>
      </c>
      <c r="I1577" s="3" t="s">
        <v>9950</v>
      </c>
      <c r="J1577" s="3" t="s">
        <v>11</v>
      </c>
      <c r="K1577" s="3" t="s">
        <v>10</v>
      </c>
      <c r="L1577" s="3" t="s">
        <v>41</v>
      </c>
      <c r="M1577">
        <v>66</v>
      </c>
      <c r="N1577" s="3"/>
    </row>
    <row r="1578" spans="1:14" x14ac:dyDescent="0.25">
      <c r="A1578" s="3" t="s">
        <v>1608</v>
      </c>
      <c r="B1578">
        <v>1985</v>
      </c>
      <c r="C1578">
        <v>1985</v>
      </c>
      <c r="D1578" s="3" t="s">
        <v>34</v>
      </c>
      <c r="E1578" s="3" t="s">
        <v>34</v>
      </c>
      <c r="F1578">
        <v>19</v>
      </c>
      <c r="G1578" s="7">
        <v>31278</v>
      </c>
      <c r="H1578">
        <v>3</v>
      </c>
      <c r="I1578" s="3" t="s">
        <v>9951</v>
      </c>
      <c r="J1578" s="3" t="s">
        <v>11</v>
      </c>
      <c r="K1578" s="3" t="s">
        <v>15</v>
      </c>
      <c r="L1578" s="3" t="s">
        <v>22</v>
      </c>
      <c r="M1578">
        <v>41</v>
      </c>
      <c r="N1578" s="3"/>
    </row>
    <row r="1579" spans="1:14" x14ac:dyDescent="0.25">
      <c r="A1579" s="3" t="s">
        <v>1609</v>
      </c>
      <c r="B1579">
        <v>1960</v>
      </c>
      <c r="C1579">
        <v>1960</v>
      </c>
      <c r="D1579" s="3" t="s">
        <v>9</v>
      </c>
      <c r="E1579" s="3" t="s">
        <v>9</v>
      </c>
      <c r="F1579">
        <v>28</v>
      </c>
      <c r="G1579" s="7">
        <v>22125</v>
      </c>
      <c r="H1579">
        <v>0</v>
      </c>
      <c r="I1579" s="3" t="s">
        <v>9952</v>
      </c>
      <c r="J1579" s="3" t="s">
        <v>11</v>
      </c>
      <c r="K1579" s="3" t="s">
        <v>10</v>
      </c>
      <c r="L1579" s="3" t="s">
        <v>12</v>
      </c>
      <c r="M1579">
        <v>66</v>
      </c>
      <c r="N1579" s="3"/>
    </row>
    <row r="1580" spans="1:14" x14ac:dyDescent="0.25">
      <c r="A1580" s="3" t="s">
        <v>1610</v>
      </c>
      <c r="B1580">
        <v>1960</v>
      </c>
      <c r="C1580">
        <v>1960</v>
      </c>
      <c r="D1580" s="3" t="s">
        <v>9</v>
      </c>
      <c r="E1580" s="3" t="s">
        <v>9</v>
      </c>
      <c r="F1580">
        <v>24</v>
      </c>
      <c r="G1580" s="7">
        <v>22121</v>
      </c>
      <c r="H1580">
        <v>0</v>
      </c>
      <c r="I1580" s="3" t="s">
        <v>9953</v>
      </c>
      <c r="J1580" s="3" t="s">
        <v>11</v>
      </c>
      <c r="K1580" s="3" t="s">
        <v>11</v>
      </c>
      <c r="L1580" s="3" t="s">
        <v>41</v>
      </c>
      <c r="M1580">
        <v>66</v>
      </c>
      <c r="N1580" s="3"/>
    </row>
    <row r="1581" spans="1:14" x14ac:dyDescent="0.25">
      <c r="A1581" s="3" t="s">
        <v>1611</v>
      </c>
      <c r="B1581">
        <v>1975</v>
      </c>
      <c r="C1581">
        <v>1975</v>
      </c>
      <c r="D1581" s="3" t="s">
        <v>34</v>
      </c>
      <c r="E1581" s="3" t="s">
        <v>34</v>
      </c>
      <c r="F1581">
        <v>7</v>
      </c>
      <c r="G1581" s="7">
        <v>27613</v>
      </c>
      <c r="H1581">
        <v>1</v>
      </c>
      <c r="I1581" s="3" t="s">
        <v>9954</v>
      </c>
      <c r="J1581" s="3" t="s">
        <v>11</v>
      </c>
      <c r="K1581" s="3" t="s">
        <v>10</v>
      </c>
      <c r="L1581" s="3" t="s">
        <v>22</v>
      </c>
      <c r="M1581">
        <v>51</v>
      </c>
      <c r="N1581" s="3"/>
    </row>
    <row r="1582" spans="1:14" x14ac:dyDescent="0.25">
      <c r="A1582" s="3" t="s">
        <v>1612</v>
      </c>
      <c r="B1582">
        <v>1990</v>
      </c>
      <c r="C1582">
        <v>1990</v>
      </c>
      <c r="D1582" s="3" t="s">
        <v>34</v>
      </c>
      <c r="E1582" s="3" t="s">
        <v>34</v>
      </c>
      <c r="F1582">
        <v>30</v>
      </c>
      <c r="G1582" s="7">
        <v>33115</v>
      </c>
      <c r="H1582">
        <v>3</v>
      </c>
      <c r="I1582" s="3" t="s">
        <v>9955</v>
      </c>
      <c r="J1582" s="3" t="s">
        <v>11</v>
      </c>
      <c r="K1582" s="3" t="s">
        <v>10</v>
      </c>
      <c r="L1582" s="3" t="s">
        <v>248</v>
      </c>
      <c r="M1582">
        <v>36</v>
      </c>
      <c r="N1582" s="3"/>
    </row>
    <row r="1583" spans="1:14" x14ac:dyDescent="0.25">
      <c r="A1583" s="3" t="s">
        <v>1613</v>
      </c>
      <c r="B1583">
        <v>1963</v>
      </c>
      <c r="C1583">
        <v>1963</v>
      </c>
      <c r="D1583" s="3" t="s">
        <v>36</v>
      </c>
      <c r="E1583" s="3" t="s">
        <v>36</v>
      </c>
      <c r="F1583">
        <v>14</v>
      </c>
      <c r="G1583" s="7">
        <v>23298</v>
      </c>
      <c r="H1583">
        <v>0</v>
      </c>
      <c r="I1583" s="3" t="s">
        <v>9956</v>
      </c>
      <c r="J1583" s="3" t="s">
        <v>11</v>
      </c>
      <c r="K1583" s="3" t="s">
        <v>15</v>
      </c>
      <c r="L1583" s="3" t="s">
        <v>22</v>
      </c>
      <c r="M1583">
        <v>63</v>
      </c>
      <c r="N1583" s="3"/>
    </row>
    <row r="1584" spans="1:14" x14ac:dyDescent="0.25">
      <c r="A1584" s="3" t="s">
        <v>1614</v>
      </c>
      <c r="B1584">
        <v>1960</v>
      </c>
      <c r="C1584">
        <v>1960</v>
      </c>
      <c r="D1584" s="3" t="s">
        <v>9</v>
      </c>
      <c r="E1584" s="3" t="s">
        <v>9</v>
      </c>
      <c r="F1584">
        <v>11</v>
      </c>
      <c r="G1584" s="7">
        <v>22108</v>
      </c>
      <c r="H1584">
        <v>0</v>
      </c>
      <c r="I1584" s="3" t="s">
        <v>9957</v>
      </c>
      <c r="J1584" s="3" t="s">
        <v>11</v>
      </c>
      <c r="K1584" s="3" t="s">
        <v>11</v>
      </c>
      <c r="L1584" s="3" t="s">
        <v>355</v>
      </c>
      <c r="M1584">
        <v>66</v>
      </c>
      <c r="N1584" s="3"/>
    </row>
    <row r="1585" spans="1:14" x14ac:dyDescent="0.25">
      <c r="A1585" s="3" t="s">
        <v>1615</v>
      </c>
      <c r="B1585">
        <v>1968</v>
      </c>
      <c r="C1585">
        <v>1968</v>
      </c>
      <c r="D1585" s="3" t="s">
        <v>9</v>
      </c>
      <c r="E1585" s="3" t="s">
        <v>9</v>
      </c>
      <c r="F1585">
        <v>15</v>
      </c>
      <c r="G1585" s="7">
        <v>25034</v>
      </c>
      <c r="H1585">
        <v>0</v>
      </c>
      <c r="I1585" s="3" t="s">
        <v>9958</v>
      </c>
      <c r="J1585" s="3" t="s">
        <v>11</v>
      </c>
      <c r="K1585" s="3" t="s">
        <v>11</v>
      </c>
      <c r="L1585" s="3" t="s">
        <v>534</v>
      </c>
      <c r="M1585">
        <v>58</v>
      </c>
      <c r="N1585" s="3"/>
    </row>
    <row r="1586" spans="1:14" x14ac:dyDescent="0.25">
      <c r="A1586" s="3" t="s">
        <v>1616</v>
      </c>
      <c r="B1586">
        <v>1992</v>
      </c>
      <c r="C1586">
        <v>1992</v>
      </c>
      <c r="D1586" s="3" t="s">
        <v>34</v>
      </c>
      <c r="E1586" s="3" t="s">
        <v>34</v>
      </c>
      <c r="F1586">
        <v>14</v>
      </c>
      <c r="G1586" s="7">
        <v>33830</v>
      </c>
      <c r="H1586">
        <v>0</v>
      </c>
      <c r="I1586" s="3" t="s">
        <v>9959</v>
      </c>
      <c r="J1586" s="3" t="s">
        <v>11</v>
      </c>
      <c r="K1586" s="3" t="s">
        <v>15</v>
      </c>
      <c r="L1586" s="3" t="s">
        <v>22</v>
      </c>
      <c r="M1586">
        <v>34</v>
      </c>
      <c r="N1586" s="3"/>
    </row>
    <row r="1587" spans="1:14" x14ac:dyDescent="0.25">
      <c r="A1587" s="3" t="s">
        <v>1617</v>
      </c>
      <c r="B1587">
        <v>1964</v>
      </c>
      <c r="C1587">
        <v>1964</v>
      </c>
      <c r="D1587" s="3" t="s">
        <v>19</v>
      </c>
      <c r="E1587" s="3" t="s">
        <v>19</v>
      </c>
      <c r="F1587">
        <v>10</v>
      </c>
      <c r="G1587" s="7">
        <v>23630</v>
      </c>
      <c r="H1587">
        <v>2</v>
      </c>
      <c r="I1587" s="3" t="s">
        <v>9960</v>
      </c>
      <c r="J1587" s="3" t="s">
        <v>11</v>
      </c>
      <c r="K1587" s="3" t="s">
        <v>15</v>
      </c>
      <c r="L1587" s="3" t="s">
        <v>246</v>
      </c>
      <c r="M1587">
        <v>62</v>
      </c>
      <c r="N1587" s="3"/>
    </row>
    <row r="1588" spans="1:14" x14ac:dyDescent="0.25">
      <c r="A1588" s="3" t="s">
        <v>1618</v>
      </c>
      <c r="B1588">
        <v>1961</v>
      </c>
      <c r="C1588">
        <v>1961</v>
      </c>
      <c r="D1588" s="3" t="s">
        <v>14</v>
      </c>
      <c r="E1588" s="3" t="s">
        <v>14</v>
      </c>
      <c r="F1588">
        <v>18</v>
      </c>
      <c r="G1588" s="7">
        <v>22603</v>
      </c>
      <c r="H1588">
        <v>0</v>
      </c>
      <c r="I1588" s="3" t="s">
        <v>9961</v>
      </c>
      <c r="J1588" s="3" t="s">
        <v>11</v>
      </c>
      <c r="K1588" s="3" t="s">
        <v>11</v>
      </c>
      <c r="L1588" s="3" t="s">
        <v>246</v>
      </c>
      <c r="M1588">
        <v>65</v>
      </c>
      <c r="N1588" s="3"/>
    </row>
    <row r="1589" spans="1:14" x14ac:dyDescent="0.25">
      <c r="A1589" s="3" t="s">
        <v>1619</v>
      </c>
      <c r="B1589">
        <v>1969</v>
      </c>
      <c r="C1589">
        <v>1969</v>
      </c>
      <c r="D1589" s="3" t="s">
        <v>9</v>
      </c>
      <c r="E1589" s="3" t="s">
        <v>9</v>
      </c>
      <c r="F1589">
        <v>26</v>
      </c>
      <c r="G1589" s="7">
        <v>25410</v>
      </c>
      <c r="H1589">
        <v>0</v>
      </c>
      <c r="I1589" s="3" t="s">
        <v>9962</v>
      </c>
      <c r="J1589" s="3" t="s">
        <v>11</v>
      </c>
      <c r="K1589" s="3" t="s">
        <v>11</v>
      </c>
      <c r="L1589" s="3" t="s">
        <v>22</v>
      </c>
      <c r="M1589">
        <v>57</v>
      </c>
      <c r="N1589" s="3"/>
    </row>
    <row r="1590" spans="1:14" x14ac:dyDescent="0.25">
      <c r="A1590" s="3" t="s">
        <v>1620</v>
      </c>
      <c r="B1590">
        <v>1961</v>
      </c>
      <c r="C1590">
        <v>1961</v>
      </c>
      <c r="D1590" s="3" t="s">
        <v>29</v>
      </c>
      <c r="E1590" s="3" t="s">
        <v>29</v>
      </c>
      <c r="F1590">
        <v>24</v>
      </c>
      <c r="G1590" s="7">
        <v>22639</v>
      </c>
      <c r="H1590">
        <v>0</v>
      </c>
      <c r="I1590" s="3" t="s">
        <v>9963</v>
      </c>
      <c r="J1590" s="3" t="s">
        <v>11</v>
      </c>
      <c r="K1590" s="3" t="s">
        <v>11</v>
      </c>
      <c r="L1590" s="3" t="s">
        <v>246</v>
      </c>
      <c r="M1590">
        <v>65</v>
      </c>
      <c r="N1590" s="3"/>
    </row>
    <row r="1591" spans="1:14" x14ac:dyDescent="0.25">
      <c r="A1591" s="3" t="s">
        <v>1621</v>
      </c>
      <c r="B1591">
        <v>1984</v>
      </c>
      <c r="C1591">
        <v>1984</v>
      </c>
      <c r="D1591" s="3" t="s">
        <v>9</v>
      </c>
      <c r="E1591" s="3" t="s">
        <v>9</v>
      </c>
      <c r="F1591">
        <v>20</v>
      </c>
      <c r="G1591" s="7">
        <v>30883</v>
      </c>
      <c r="H1591">
        <v>3</v>
      </c>
      <c r="I1591" s="3" t="s">
        <v>9964</v>
      </c>
      <c r="J1591" s="3" t="s">
        <v>11</v>
      </c>
      <c r="K1591" s="3" t="s">
        <v>11</v>
      </c>
      <c r="L1591" s="3" t="s">
        <v>248</v>
      </c>
      <c r="M1591">
        <v>42</v>
      </c>
      <c r="N1591" s="3"/>
    </row>
    <row r="1592" spans="1:14" x14ac:dyDescent="0.25">
      <c r="A1592" s="3" t="s">
        <v>1622</v>
      </c>
      <c r="B1592">
        <v>1963</v>
      </c>
      <c r="C1592">
        <v>1963</v>
      </c>
      <c r="D1592" s="3" t="s">
        <v>34</v>
      </c>
      <c r="E1592" s="3" t="s">
        <v>34</v>
      </c>
      <c r="F1592">
        <v>4</v>
      </c>
      <c r="G1592" s="7">
        <v>23227</v>
      </c>
      <c r="H1592">
        <v>0</v>
      </c>
      <c r="I1592" s="3" t="s">
        <v>9965</v>
      </c>
      <c r="J1592" s="3" t="s">
        <v>11</v>
      </c>
      <c r="K1592" s="3" t="s">
        <v>10</v>
      </c>
      <c r="L1592" s="3" t="s">
        <v>299</v>
      </c>
      <c r="M1592">
        <v>63</v>
      </c>
      <c r="N1592" s="3"/>
    </row>
    <row r="1593" spans="1:14" x14ac:dyDescent="0.25">
      <c r="A1593" s="3" t="s">
        <v>1623</v>
      </c>
      <c r="B1593">
        <v>1985</v>
      </c>
      <c r="C1593">
        <v>1985</v>
      </c>
      <c r="D1593" s="3" t="s">
        <v>19</v>
      </c>
      <c r="E1593" s="3" t="s">
        <v>19</v>
      </c>
      <c r="F1593">
        <v>14</v>
      </c>
      <c r="G1593" s="7">
        <v>31304</v>
      </c>
      <c r="H1593">
        <v>3</v>
      </c>
      <c r="I1593" s="3" t="s">
        <v>9966</v>
      </c>
      <c r="J1593" s="3" t="s">
        <v>11</v>
      </c>
      <c r="K1593" s="3" t="s">
        <v>15</v>
      </c>
      <c r="L1593" s="3" t="s">
        <v>534</v>
      </c>
      <c r="M1593">
        <v>41</v>
      </c>
      <c r="N1593" s="3"/>
    </row>
    <row r="1594" spans="1:14" x14ac:dyDescent="0.25">
      <c r="A1594" s="3" t="s">
        <v>1624</v>
      </c>
      <c r="B1594">
        <v>1986</v>
      </c>
      <c r="C1594">
        <v>1986</v>
      </c>
      <c r="D1594" s="3" t="s">
        <v>14</v>
      </c>
      <c r="E1594" s="3" t="s">
        <v>14</v>
      </c>
      <c r="F1594">
        <v>24</v>
      </c>
      <c r="G1594" s="7">
        <v>31740</v>
      </c>
      <c r="H1594">
        <v>3</v>
      </c>
      <c r="I1594" s="3" t="s">
        <v>9967</v>
      </c>
      <c r="J1594" s="3" t="s">
        <v>11</v>
      </c>
      <c r="K1594" s="3" t="s">
        <v>10</v>
      </c>
      <c r="L1594" s="3" t="s">
        <v>248</v>
      </c>
      <c r="M1594">
        <v>40</v>
      </c>
      <c r="N1594" s="3"/>
    </row>
    <row r="1595" spans="1:14" x14ac:dyDescent="0.25">
      <c r="A1595" s="3" t="s">
        <v>1625</v>
      </c>
      <c r="B1595">
        <v>1981</v>
      </c>
      <c r="C1595">
        <v>1981</v>
      </c>
      <c r="D1595" s="3" t="s">
        <v>34</v>
      </c>
      <c r="E1595" s="3" t="s">
        <v>34</v>
      </c>
      <c r="F1595">
        <v>2</v>
      </c>
      <c r="G1595" s="7">
        <v>29800</v>
      </c>
      <c r="H1595">
        <v>1</v>
      </c>
      <c r="I1595" s="3" t="s">
        <v>9968</v>
      </c>
      <c r="J1595" s="3" t="s">
        <v>11</v>
      </c>
      <c r="K1595" s="3" t="s">
        <v>10</v>
      </c>
      <c r="L1595" s="3" t="s">
        <v>246</v>
      </c>
      <c r="M1595">
        <v>45</v>
      </c>
      <c r="N1595" s="3"/>
    </row>
    <row r="1596" spans="1:14" x14ac:dyDescent="0.25">
      <c r="A1596" s="3" t="s">
        <v>1626</v>
      </c>
      <c r="B1596">
        <v>1985</v>
      </c>
      <c r="C1596">
        <v>1985</v>
      </c>
      <c r="D1596" s="3" t="s">
        <v>34</v>
      </c>
      <c r="E1596" s="3" t="s">
        <v>34</v>
      </c>
      <c r="F1596">
        <v>29</v>
      </c>
      <c r="G1596" s="7">
        <v>31288</v>
      </c>
      <c r="H1596">
        <v>3</v>
      </c>
      <c r="I1596" s="3" t="s">
        <v>9969</v>
      </c>
      <c r="J1596" s="3" t="s">
        <v>11</v>
      </c>
      <c r="K1596" s="3" t="s">
        <v>11</v>
      </c>
      <c r="L1596" s="3" t="s">
        <v>534</v>
      </c>
      <c r="M1596">
        <v>41</v>
      </c>
      <c r="N1596" s="3"/>
    </row>
    <row r="1597" spans="1:14" x14ac:dyDescent="0.25">
      <c r="A1597" s="3" t="s">
        <v>1627</v>
      </c>
      <c r="B1597">
        <v>1969</v>
      </c>
      <c r="C1597">
        <v>1969</v>
      </c>
      <c r="D1597" s="3" t="s">
        <v>36</v>
      </c>
      <c r="E1597" s="3" t="s">
        <v>36</v>
      </c>
      <c r="F1597">
        <v>23</v>
      </c>
      <c r="G1597" s="7">
        <v>25499</v>
      </c>
      <c r="H1597">
        <v>0</v>
      </c>
      <c r="I1597" s="3" t="s">
        <v>9970</v>
      </c>
      <c r="J1597" s="3" t="s">
        <v>11</v>
      </c>
      <c r="K1597" s="3" t="s">
        <v>10</v>
      </c>
      <c r="L1597" s="3" t="s">
        <v>534</v>
      </c>
      <c r="M1597">
        <v>57</v>
      </c>
      <c r="N1597" s="3"/>
    </row>
    <row r="1598" spans="1:14" x14ac:dyDescent="0.25">
      <c r="A1598" s="3" t="s">
        <v>1628</v>
      </c>
      <c r="B1598">
        <v>2004</v>
      </c>
      <c r="C1598">
        <v>2004</v>
      </c>
      <c r="D1598" s="3" t="s">
        <v>9</v>
      </c>
      <c r="E1598" s="3" t="s">
        <v>9</v>
      </c>
      <c r="F1598">
        <v>16</v>
      </c>
      <c r="G1598" s="7">
        <v>38184</v>
      </c>
      <c r="H1598">
        <v>0</v>
      </c>
      <c r="I1598" s="3" t="s">
        <v>9971</v>
      </c>
      <c r="J1598" s="3" t="s">
        <v>11</v>
      </c>
      <c r="K1598" s="3" t="s">
        <v>10</v>
      </c>
      <c r="L1598" s="3" t="s">
        <v>169</v>
      </c>
      <c r="M1598">
        <v>22</v>
      </c>
      <c r="N1598" s="3"/>
    </row>
    <row r="1599" spans="1:14" x14ac:dyDescent="0.25">
      <c r="A1599" s="3" t="s">
        <v>1629</v>
      </c>
      <c r="B1599">
        <v>1959</v>
      </c>
      <c r="C1599">
        <v>1959</v>
      </c>
      <c r="D1599" s="3" t="s">
        <v>34</v>
      </c>
      <c r="E1599" s="3" t="s">
        <v>34</v>
      </c>
      <c r="F1599">
        <v>6</v>
      </c>
      <c r="G1599" s="7">
        <v>21768</v>
      </c>
      <c r="H1599">
        <v>0</v>
      </c>
      <c r="I1599" s="3" t="s">
        <v>9972</v>
      </c>
      <c r="J1599" s="3" t="s">
        <v>11</v>
      </c>
      <c r="K1599" s="3" t="s">
        <v>15</v>
      </c>
      <c r="L1599" s="3" t="s">
        <v>22</v>
      </c>
      <c r="M1599">
        <v>67</v>
      </c>
      <c r="N1599" s="3"/>
    </row>
    <row r="1600" spans="1:14" x14ac:dyDescent="0.25">
      <c r="A1600" s="3" t="s">
        <v>1630</v>
      </c>
      <c r="B1600">
        <v>1966</v>
      </c>
      <c r="C1600">
        <v>1966</v>
      </c>
      <c r="D1600" s="3" t="s">
        <v>14</v>
      </c>
      <c r="E1600" s="3" t="s">
        <v>14</v>
      </c>
      <c r="F1600">
        <v>10</v>
      </c>
      <c r="G1600" s="7">
        <v>24421</v>
      </c>
      <c r="H1600">
        <v>0</v>
      </c>
      <c r="I1600" s="3" t="s">
        <v>9973</v>
      </c>
      <c r="J1600" s="3" t="s">
        <v>11</v>
      </c>
      <c r="K1600" s="3" t="s">
        <v>11</v>
      </c>
      <c r="L1600" s="3" t="s">
        <v>534</v>
      </c>
      <c r="M1600">
        <v>60</v>
      </c>
      <c r="N1600" s="3"/>
    </row>
    <row r="1601" spans="1:14" x14ac:dyDescent="0.25">
      <c r="A1601" s="3" t="s">
        <v>1631</v>
      </c>
      <c r="B1601">
        <v>1986</v>
      </c>
      <c r="C1601">
        <v>1986</v>
      </c>
      <c r="D1601" s="3" t="s">
        <v>29</v>
      </c>
      <c r="E1601" s="3" t="s">
        <v>29</v>
      </c>
      <c r="F1601">
        <v>8</v>
      </c>
      <c r="G1601" s="7">
        <v>31754</v>
      </c>
      <c r="H1601">
        <v>3</v>
      </c>
      <c r="I1601" s="3" t="s">
        <v>9974</v>
      </c>
      <c r="J1601" s="3" t="s">
        <v>11</v>
      </c>
      <c r="K1601" s="3" t="s">
        <v>10</v>
      </c>
      <c r="L1601" s="3" t="s">
        <v>22</v>
      </c>
      <c r="M1601">
        <v>40</v>
      </c>
      <c r="N1601" s="3"/>
    </row>
    <row r="1602" spans="1:14" x14ac:dyDescent="0.25">
      <c r="A1602" s="3" t="s">
        <v>1632</v>
      </c>
      <c r="B1602">
        <v>1958</v>
      </c>
      <c r="C1602">
        <v>1958</v>
      </c>
      <c r="D1602" s="3" t="s">
        <v>14</v>
      </c>
      <c r="E1602" s="3" t="s">
        <v>14</v>
      </c>
      <c r="F1602">
        <v>25</v>
      </c>
      <c r="G1602" s="7">
        <v>21514</v>
      </c>
      <c r="H1602">
        <v>0</v>
      </c>
      <c r="I1602" s="3" t="s">
        <v>9975</v>
      </c>
      <c r="J1602" s="3" t="s">
        <v>11</v>
      </c>
      <c r="K1602" s="3" t="s">
        <v>11</v>
      </c>
      <c r="L1602" s="3" t="s">
        <v>41</v>
      </c>
      <c r="M1602">
        <v>68</v>
      </c>
      <c r="N1602" s="3"/>
    </row>
    <row r="1603" spans="1:14" x14ac:dyDescent="0.25">
      <c r="A1603" s="3" t="s">
        <v>1633</v>
      </c>
      <c r="B1603">
        <v>1958</v>
      </c>
      <c r="C1603">
        <v>1958</v>
      </c>
      <c r="D1603" s="3" t="s">
        <v>29</v>
      </c>
      <c r="E1603" s="3" t="s">
        <v>29</v>
      </c>
      <c r="F1603">
        <v>10</v>
      </c>
      <c r="G1603" s="7">
        <v>21529</v>
      </c>
      <c r="H1603">
        <v>0</v>
      </c>
      <c r="I1603" s="3" t="s">
        <v>9976</v>
      </c>
      <c r="J1603" s="3" t="s">
        <v>11</v>
      </c>
      <c r="K1603" s="3" t="s">
        <v>15</v>
      </c>
      <c r="L1603" s="3" t="s">
        <v>12</v>
      </c>
      <c r="M1603">
        <v>68</v>
      </c>
      <c r="N1603" s="3"/>
    </row>
    <row r="1604" spans="1:14" x14ac:dyDescent="0.25">
      <c r="A1604" s="3" t="s">
        <v>1634</v>
      </c>
      <c r="B1604">
        <v>2003</v>
      </c>
      <c r="C1604">
        <v>2003</v>
      </c>
      <c r="D1604" s="3" t="s">
        <v>17</v>
      </c>
      <c r="E1604" s="3" t="s">
        <v>17</v>
      </c>
      <c r="F1604">
        <v>7</v>
      </c>
      <c r="G1604" s="7">
        <v>37779</v>
      </c>
      <c r="H1604">
        <v>0</v>
      </c>
      <c r="I1604" s="3" t="s">
        <v>9977</v>
      </c>
      <c r="J1604" s="3" t="s">
        <v>10</v>
      </c>
      <c r="K1604" s="3" t="s">
        <v>15</v>
      </c>
      <c r="L1604" s="3" t="s">
        <v>41</v>
      </c>
      <c r="M1604">
        <v>23</v>
      </c>
      <c r="N1604" s="3"/>
    </row>
    <row r="1605" spans="1:14" x14ac:dyDescent="0.25">
      <c r="A1605" s="3" t="s">
        <v>1635</v>
      </c>
      <c r="B1605">
        <v>1960</v>
      </c>
      <c r="C1605">
        <v>1960</v>
      </c>
      <c r="D1605" s="3" t="s">
        <v>9</v>
      </c>
      <c r="E1605" s="3" t="s">
        <v>9</v>
      </c>
      <c r="F1605">
        <v>21</v>
      </c>
      <c r="G1605" s="7">
        <v>22118</v>
      </c>
      <c r="H1605">
        <v>0</v>
      </c>
      <c r="I1605" s="3" t="s">
        <v>9978</v>
      </c>
      <c r="J1605" s="3" t="s">
        <v>10</v>
      </c>
      <c r="K1605" s="3" t="s">
        <v>10</v>
      </c>
      <c r="L1605" s="3" t="s">
        <v>22</v>
      </c>
      <c r="M1605">
        <v>66</v>
      </c>
      <c r="N1605" s="3"/>
    </row>
    <row r="1606" spans="1:14" x14ac:dyDescent="0.25">
      <c r="A1606" s="3" t="s">
        <v>1636</v>
      </c>
      <c r="B1606">
        <v>1978</v>
      </c>
      <c r="C1606">
        <v>1978</v>
      </c>
      <c r="D1606" s="3" t="s">
        <v>29</v>
      </c>
      <c r="E1606" s="3" t="s">
        <v>29</v>
      </c>
      <c r="F1606">
        <v>19</v>
      </c>
      <c r="G1606" s="7">
        <v>28843</v>
      </c>
      <c r="H1606">
        <v>2</v>
      </c>
      <c r="I1606" s="3" t="s">
        <v>9979</v>
      </c>
      <c r="J1606" s="3" t="s">
        <v>10</v>
      </c>
      <c r="K1606" s="3" t="s">
        <v>15</v>
      </c>
      <c r="L1606" s="3" t="s">
        <v>22</v>
      </c>
      <c r="M1606">
        <v>48</v>
      </c>
      <c r="N1606" s="3"/>
    </row>
    <row r="1607" spans="1:14" x14ac:dyDescent="0.25">
      <c r="A1607" s="3" t="s">
        <v>1637</v>
      </c>
      <c r="B1607">
        <v>1959</v>
      </c>
      <c r="C1607">
        <v>1959</v>
      </c>
      <c r="D1607" s="3" t="s">
        <v>36</v>
      </c>
      <c r="E1607" s="3" t="s">
        <v>36</v>
      </c>
      <c r="F1607">
        <v>5</v>
      </c>
      <c r="G1607" s="7">
        <v>21828</v>
      </c>
      <c r="H1607">
        <v>0</v>
      </c>
      <c r="I1607" s="3" t="s">
        <v>9980</v>
      </c>
      <c r="J1607" s="3" t="s">
        <v>10</v>
      </c>
      <c r="K1607" s="3" t="s">
        <v>10</v>
      </c>
      <c r="L1607" s="3" t="s">
        <v>41</v>
      </c>
      <c r="M1607">
        <v>67</v>
      </c>
      <c r="N1607" s="3"/>
    </row>
    <row r="1608" spans="1:14" x14ac:dyDescent="0.25">
      <c r="A1608" s="3" t="s">
        <v>1638</v>
      </c>
      <c r="B1608">
        <v>1985</v>
      </c>
      <c r="C1608">
        <v>1985</v>
      </c>
      <c r="D1608" s="3" t="s">
        <v>19</v>
      </c>
      <c r="E1608" s="3" t="s">
        <v>19</v>
      </c>
      <c r="F1608">
        <v>25</v>
      </c>
      <c r="G1608" s="7">
        <v>31315</v>
      </c>
      <c r="H1608">
        <v>3</v>
      </c>
      <c r="I1608" s="3" t="s">
        <v>9981</v>
      </c>
      <c r="J1608" s="3" t="s">
        <v>10</v>
      </c>
      <c r="K1608" s="3" t="s">
        <v>10</v>
      </c>
      <c r="L1608" s="3" t="s">
        <v>22</v>
      </c>
      <c r="M1608">
        <v>41</v>
      </c>
      <c r="N1608" s="3"/>
    </row>
    <row r="1609" spans="1:14" x14ac:dyDescent="0.25">
      <c r="A1609" s="3" t="s">
        <v>1639</v>
      </c>
      <c r="B1609">
        <v>1959</v>
      </c>
      <c r="C1609">
        <v>1959</v>
      </c>
      <c r="D1609" s="3" t="s">
        <v>29</v>
      </c>
      <c r="E1609" s="3" t="s">
        <v>29</v>
      </c>
      <c r="F1609">
        <v>29</v>
      </c>
      <c r="G1609" s="7">
        <v>21913</v>
      </c>
      <c r="H1609">
        <v>0</v>
      </c>
      <c r="I1609" s="3" t="s">
        <v>9982</v>
      </c>
      <c r="J1609" s="3" t="s">
        <v>10</v>
      </c>
      <c r="K1609" s="3" t="s">
        <v>11</v>
      </c>
      <c r="L1609" s="3" t="s">
        <v>12</v>
      </c>
      <c r="M1609">
        <v>67</v>
      </c>
      <c r="N1609" s="3"/>
    </row>
    <row r="1610" spans="1:14" x14ac:dyDescent="0.25">
      <c r="A1610" s="3" t="s">
        <v>1640</v>
      </c>
      <c r="B1610">
        <v>1959</v>
      </c>
      <c r="C1610">
        <v>1959</v>
      </c>
      <c r="D1610" s="3" t="s">
        <v>9</v>
      </c>
      <c r="E1610" s="3" t="s">
        <v>9</v>
      </c>
      <c r="F1610">
        <v>7</v>
      </c>
      <c r="G1610" s="7">
        <v>21738</v>
      </c>
      <c r="H1610">
        <v>0</v>
      </c>
      <c r="I1610" s="3" t="s">
        <v>9983</v>
      </c>
      <c r="J1610" s="3" t="s">
        <v>10</v>
      </c>
      <c r="K1610" s="3" t="s">
        <v>10</v>
      </c>
      <c r="L1610" s="3" t="s">
        <v>12</v>
      </c>
      <c r="M1610">
        <v>67</v>
      </c>
      <c r="N1610" s="3"/>
    </row>
    <row r="1611" spans="1:14" x14ac:dyDescent="0.25">
      <c r="A1611" s="3" t="s">
        <v>1641</v>
      </c>
      <c r="B1611">
        <v>1962</v>
      </c>
      <c r="C1611">
        <v>1962</v>
      </c>
      <c r="D1611" s="3" t="s">
        <v>9</v>
      </c>
      <c r="E1611" s="3" t="s">
        <v>9</v>
      </c>
      <c r="F1611">
        <v>27</v>
      </c>
      <c r="G1611" s="7">
        <v>22854</v>
      </c>
      <c r="H1611">
        <v>3</v>
      </c>
      <c r="I1611" s="3" t="s">
        <v>9984</v>
      </c>
      <c r="J1611" s="3" t="s">
        <v>10</v>
      </c>
      <c r="K1611" s="3" t="s">
        <v>10</v>
      </c>
      <c r="L1611" s="3" t="s">
        <v>12</v>
      </c>
      <c r="M1611">
        <v>64</v>
      </c>
      <c r="N1611" s="3"/>
    </row>
    <row r="1612" spans="1:14" x14ac:dyDescent="0.25">
      <c r="A1612" s="3" t="s">
        <v>1642</v>
      </c>
      <c r="B1612">
        <v>1960</v>
      </c>
      <c r="C1612">
        <v>1960</v>
      </c>
      <c r="D1612" s="3" t="s">
        <v>17</v>
      </c>
      <c r="E1612" s="3" t="s">
        <v>17</v>
      </c>
      <c r="F1612">
        <v>18</v>
      </c>
      <c r="G1612" s="7">
        <v>22085</v>
      </c>
      <c r="H1612">
        <v>1</v>
      </c>
      <c r="I1612" s="3" t="s">
        <v>9985</v>
      </c>
      <c r="J1612" s="3" t="s">
        <v>10</v>
      </c>
      <c r="K1612" s="3" t="s">
        <v>15</v>
      </c>
      <c r="L1612" s="3" t="s">
        <v>22</v>
      </c>
      <c r="M1612">
        <v>66</v>
      </c>
      <c r="N1612" s="3"/>
    </row>
    <row r="1613" spans="1:14" x14ac:dyDescent="0.25">
      <c r="A1613" s="3" t="s">
        <v>1643</v>
      </c>
      <c r="B1613">
        <v>1959</v>
      </c>
      <c r="C1613">
        <v>1959</v>
      </c>
      <c r="D1613" s="3" t="s">
        <v>34</v>
      </c>
      <c r="E1613" s="3" t="s">
        <v>34</v>
      </c>
      <c r="F1613">
        <v>29</v>
      </c>
      <c r="G1613" s="7">
        <v>21791</v>
      </c>
      <c r="H1613">
        <v>0</v>
      </c>
      <c r="I1613" s="3" t="s">
        <v>9986</v>
      </c>
      <c r="J1613" s="3" t="s">
        <v>10</v>
      </c>
      <c r="K1613" s="3" t="s">
        <v>10</v>
      </c>
      <c r="L1613" s="3" t="s">
        <v>165</v>
      </c>
      <c r="M1613">
        <v>67</v>
      </c>
      <c r="N1613" s="3"/>
    </row>
    <row r="1614" spans="1:14" x14ac:dyDescent="0.25">
      <c r="A1614" s="3" t="s">
        <v>1644</v>
      </c>
      <c r="B1614">
        <v>1990</v>
      </c>
      <c r="C1614">
        <v>1990</v>
      </c>
      <c r="D1614" s="3" t="s">
        <v>9</v>
      </c>
      <c r="E1614" s="3" t="s">
        <v>9</v>
      </c>
      <c r="F1614">
        <v>13</v>
      </c>
      <c r="G1614" s="7">
        <v>33067</v>
      </c>
      <c r="H1614">
        <v>3</v>
      </c>
      <c r="I1614" s="3" t="s">
        <v>9987</v>
      </c>
      <c r="J1614" s="3" t="s">
        <v>10</v>
      </c>
      <c r="K1614" s="3" t="s">
        <v>15</v>
      </c>
      <c r="L1614" s="3" t="s">
        <v>248</v>
      </c>
      <c r="M1614">
        <v>36</v>
      </c>
      <c r="N1614" s="3"/>
    </row>
    <row r="1615" spans="1:14" x14ac:dyDescent="0.25">
      <c r="A1615" s="3" t="s">
        <v>1645</v>
      </c>
      <c r="B1615">
        <v>1959</v>
      </c>
      <c r="C1615">
        <v>1959</v>
      </c>
      <c r="D1615" s="3" t="s">
        <v>19</v>
      </c>
      <c r="E1615" s="3" t="s">
        <v>19</v>
      </c>
      <c r="F1615">
        <v>6</v>
      </c>
      <c r="G1615" s="7">
        <v>21799</v>
      </c>
      <c r="H1615">
        <v>0</v>
      </c>
      <c r="I1615" s="3" t="s">
        <v>9988</v>
      </c>
      <c r="J1615" s="3" t="s">
        <v>10</v>
      </c>
      <c r="K1615" s="3" t="s">
        <v>15</v>
      </c>
      <c r="L1615" s="3" t="s">
        <v>167</v>
      </c>
      <c r="M1615">
        <v>67</v>
      </c>
      <c r="N1615" s="3"/>
    </row>
    <row r="1616" spans="1:14" x14ac:dyDescent="0.25">
      <c r="A1616" s="3" t="s">
        <v>1646</v>
      </c>
      <c r="B1616">
        <v>1963</v>
      </c>
      <c r="C1616">
        <v>1963</v>
      </c>
      <c r="D1616" s="3" t="s">
        <v>29</v>
      </c>
      <c r="E1616" s="3" t="s">
        <v>29</v>
      </c>
      <c r="F1616">
        <v>23</v>
      </c>
      <c r="G1616" s="7">
        <v>23368</v>
      </c>
      <c r="H1616">
        <v>3</v>
      </c>
      <c r="I1616" s="3" t="s">
        <v>9989</v>
      </c>
      <c r="J1616" s="3" t="s">
        <v>10</v>
      </c>
      <c r="K1616" s="3" t="s">
        <v>15</v>
      </c>
      <c r="L1616" s="3" t="s">
        <v>12</v>
      </c>
      <c r="M1616">
        <v>63</v>
      </c>
      <c r="N1616" s="3"/>
    </row>
    <row r="1617" spans="1:14" x14ac:dyDescent="0.25">
      <c r="A1617" s="3" t="s">
        <v>1647</v>
      </c>
      <c r="B1617">
        <v>1963</v>
      </c>
      <c r="C1617">
        <v>1963</v>
      </c>
      <c r="D1617" s="3" t="s">
        <v>9</v>
      </c>
      <c r="E1617" s="3" t="s">
        <v>9</v>
      </c>
      <c r="F1617">
        <v>6</v>
      </c>
      <c r="G1617" s="7">
        <v>23198</v>
      </c>
      <c r="H1617">
        <v>3</v>
      </c>
      <c r="I1617" s="3" t="s">
        <v>9990</v>
      </c>
      <c r="J1617" s="3" t="s">
        <v>10</v>
      </c>
      <c r="K1617" s="3" t="s">
        <v>10</v>
      </c>
      <c r="L1617" s="3" t="s">
        <v>12</v>
      </c>
      <c r="M1617">
        <v>63</v>
      </c>
      <c r="N1617" s="3"/>
    </row>
    <row r="1618" spans="1:14" x14ac:dyDescent="0.25">
      <c r="A1618" s="3" t="s">
        <v>1648</v>
      </c>
      <c r="B1618">
        <v>1963</v>
      </c>
      <c r="C1618">
        <v>1963</v>
      </c>
      <c r="D1618" s="3" t="s">
        <v>9</v>
      </c>
      <c r="E1618" s="3" t="s">
        <v>9</v>
      </c>
      <c r="F1618">
        <v>8</v>
      </c>
      <c r="G1618" s="7">
        <v>23200</v>
      </c>
      <c r="H1618">
        <v>3</v>
      </c>
      <c r="I1618" s="3" t="s">
        <v>9991</v>
      </c>
      <c r="J1618" s="3" t="s">
        <v>10</v>
      </c>
      <c r="K1618" s="3" t="s">
        <v>11</v>
      </c>
      <c r="L1618" s="3" t="s">
        <v>41</v>
      </c>
      <c r="M1618">
        <v>63</v>
      </c>
      <c r="N1618" s="3"/>
    </row>
    <row r="1619" spans="1:14" x14ac:dyDescent="0.25">
      <c r="A1619" s="3" t="s">
        <v>1649</v>
      </c>
      <c r="B1619">
        <v>1960</v>
      </c>
      <c r="C1619">
        <v>1960</v>
      </c>
      <c r="D1619" s="3" t="s">
        <v>14</v>
      </c>
      <c r="E1619" s="3" t="s">
        <v>14</v>
      </c>
      <c r="F1619">
        <v>8</v>
      </c>
      <c r="G1619" s="7">
        <v>22228</v>
      </c>
      <c r="H1619">
        <v>0</v>
      </c>
      <c r="I1619" s="3" t="s">
        <v>9992</v>
      </c>
      <c r="J1619" s="3" t="s">
        <v>10</v>
      </c>
      <c r="K1619" s="3" t="s">
        <v>11</v>
      </c>
      <c r="L1619" s="3" t="s">
        <v>246</v>
      </c>
      <c r="M1619">
        <v>66</v>
      </c>
      <c r="N1619" s="3"/>
    </row>
    <row r="1620" spans="1:14" x14ac:dyDescent="0.25">
      <c r="A1620" s="3" t="s">
        <v>1650</v>
      </c>
      <c r="B1620">
        <v>1991</v>
      </c>
      <c r="C1620">
        <v>1991</v>
      </c>
      <c r="D1620" s="3" t="s">
        <v>19</v>
      </c>
      <c r="E1620" s="3" t="s">
        <v>19</v>
      </c>
      <c r="F1620">
        <v>12</v>
      </c>
      <c r="G1620" s="7">
        <v>33493</v>
      </c>
      <c r="H1620">
        <v>3</v>
      </c>
      <c r="I1620" s="3" t="s">
        <v>9993</v>
      </c>
      <c r="J1620" s="3" t="s">
        <v>10</v>
      </c>
      <c r="K1620" s="3" t="s">
        <v>11</v>
      </c>
      <c r="L1620" s="3" t="s">
        <v>22</v>
      </c>
      <c r="M1620">
        <v>35</v>
      </c>
      <c r="N1620" s="3"/>
    </row>
    <row r="1621" spans="1:14" x14ac:dyDescent="0.25">
      <c r="A1621" s="3" t="s">
        <v>1651</v>
      </c>
      <c r="B1621">
        <v>1976</v>
      </c>
      <c r="C1621">
        <v>1976</v>
      </c>
      <c r="D1621" s="3" t="s">
        <v>19</v>
      </c>
      <c r="E1621" s="3" t="s">
        <v>19</v>
      </c>
      <c r="F1621">
        <v>26</v>
      </c>
      <c r="G1621" s="7">
        <v>28029</v>
      </c>
      <c r="H1621">
        <v>2</v>
      </c>
      <c r="I1621" s="3" t="s">
        <v>9994</v>
      </c>
      <c r="J1621" s="3" t="s">
        <v>10</v>
      </c>
      <c r="K1621" s="3" t="s">
        <v>11</v>
      </c>
      <c r="L1621" s="3" t="s">
        <v>248</v>
      </c>
      <c r="M1621">
        <v>50</v>
      </c>
      <c r="N1621" s="3"/>
    </row>
    <row r="1622" spans="1:14" x14ac:dyDescent="0.25">
      <c r="A1622" s="3" t="s">
        <v>1652</v>
      </c>
      <c r="B1622">
        <v>1961</v>
      </c>
      <c r="C1622">
        <v>1961</v>
      </c>
      <c r="D1622" s="3" t="s">
        <v>17</v>
      </c>
      <c r="E1622" s="3" t="s">
        <v>17</v>
      </c>
      <c r="F1622">
        <v>14</v>
      </c>
      <c r="G1622" s="7">
        <v>22446</v>
      </c>
      <c r="H1622">
        <v>2</v>
      </c>
      <c r="I1622" s="3" t="s">
        <v>9995</v>
      </c>
      <c r="J1622" s="3" t="s">
        <v>10</v>
      </c>
      <c r="K1622" s="3" t="s">
        <v>15</v>
      </c>
      <c r="L1622" s="3" t="s">
        <v>22</v>
      </c>
      <c r="M1622">
        <v>65</v>
      </c>
      <c r="N1622" s="3"/>
    </row>
    <row r="1623" spans="1:14" x14ac:dyDescent="0.25">
      <c r="A1623" s="3" t="s">
        <v>1653</v>
      </c>
      <c r="B1623">
        <v>2004</v>
      </c>
      <c r="C1623">
        <v>2004</v>
      </c>
      <c r="D1623" s="3" t="s">
        <v>9</v>
      </c>
      <c r="E1623" s="3" t="s">
        <v>9</v>
      </c>
      <c r="F1623">
        <v>6</v>
      </c>
      <c r="G1623" s="7">
        <v>38174</v>
      </c>
      <c r="H1623">
        <v>0</v>
      </c>
      <c r="I1623" s="3" t="s">
        <v>9996</v>
      </c>
      <c r="J1623" s="3" t="s">
        <v>10</v>
      </c>
      <c r="K1623" s="3" t="s">
        <v>11</v>
      </c>
      <c r="L1623" s="3" t="s">
        <v>12</v>
      </c>
      <c r="M1623">
        <v>22</v>
      </c>
      <c r="N1623" s="3"/>
    </row>
    <row r="1624" spans="1:14" x14ac:dyDescent="0.25">
      <c r="A1624" s="3" t="s">
        <v>1654</v>
      </c>
      <c r="B1624">
        <v>1984</v>
      </c>
      <c r="C1624">
        <v>1984</v>
      </c>
      <c r="D1624" s="3" t="s">
        <v>9</v>
      </c>
      <c r="E1624" s="3" t="s">
        <v>9</v>
      </c>
      <c r="F1624">
        <v>7</v>
      </c>
      <c r="G1624" s="7">
        <v>30870</v>
      </c>
      <c r="H1624">
        <v>3</v>
      </c>
      <c r="I1624" s="3" t="s">
        <v>9997</v>
      </c>
      <c r="J1624" s="3" t="s">
        <v>10</v>
      </c>
      <c r="K1624" s="3" t="s">
        <v>15</v>
      </c>
      <c r="L1624" s="3" t="s">
        <v>22</v>
      </c>
      <c r="M1624">
        <v>42</v>
      </c>
      <c r="N1624" s="3"/>
    </row>
    <row r="1625" spans="1:14" x14ac:dyDescent="0.25">
      <c r="A1625" s="3" t="s">
        <v>1655</v>
      </c>
      <c r="B1625">
        <v>1968</v>
      </c>
      <c r="C1625">
        <v>1968</v>
      </c>
      <c r="D1625" s="3" t="s">
        <v>29</v>
      </c>
      <c r="E1625" s="3" t="s">
        <v>29</v>
      </c>
      <c r="F1625">
        <v>25</v>
      </c>
      <c r="G1625" s="7">
        <v>25197</v>
      </c>
      <c r="H1625">
        <v>0</v>
      </c>
      <c r="I1625" s="3" t="s">
        <v>9998</v>
      </c>
      <c r="J1625" s="3" t="s">
        <v>10</v>
      </c>
      <c r="K1625" s="3" t="s">
        <v>15</v>
      </c>
      <c r="L1625" s="3" t="s">
        <v>534</v>
      </c>
      <c r="M1625">
        <v>58</v>
      </c>
      <c r="N1625" s="3"/>
    </row>
    <row r="1626" spans="1:14" x14ac:dyDescent="0.25">
      <c r="A1626" s="3" t="s">
        <v>1656</v>
      </c>
      <c r="B1626">
        <v>1983</v>
      </c>
      <c r="C1626">
        <v>1983</v>
      </c>
      <c r="D1626" s="3" t="s">
        <v>14</v>
      </c>
      <c r="E1626" s="3" t="s">
        <v>14</v>
      </c>
      <c r="F1626">
        <v>17</v>
      </c>
      <c r="G1626" s="7">
        <v>30637</v>
      </c>
      <c r="H1626">
        <v>3</v>
      </c>
      <c r="I1626" s="3" t="s">
        <v>9999</v>
      </c>
      <c r="J1626" s="3" t="s">
        <v>10</v>
      </c>
      <c r="K1626" s="3" t="s">
        <v>15</v>
      </c>
      <c r="L1626" s="3" t="s">
        <v>534</v>
      </c>
      <c r="M1626">
        <v>43</v>
      </c>
      <c r="N1626" s="3"/>
    </row>
    <row r="1627" spans="1:14" x14ac:dyDescent="0.25">
      <c r="A1627" s="3" t="s">
        <v>1657</v>
      </c>
      <c r="B1627">
        <v>1958</v>
      </c>
      <c r="C1627">
        <v>1958</v>
      </c>
      <c r="D1627" s="3" t="s">
        <v>19</v>
      </c>
      <c r="E1627" s="3" t="s">
        <v>19</v>
      </c>
      <c r="F1627">
        <v>21</v>
      </c>
      <c r="G1627" s="7">
        <v>21449</v>
      </c>
      <c r="H1627">
        <v>0</v>
      </c>
      <c r="I1627" s="3" t="s">
        <v>10000</v>
      </c>
      <c r="J1627" s="3" t="s">
        <v>10</v>
      </c>
      <c r="K1627" s="3" t="s">
        <v>10</v>
      </c>
      <c r="L1627" s="3" t="s">
        <v>22</v>
      </c>
      <c r="M1627">
        <v>68</v>
      </c>
      <c r="N1627" s="3"/>
    </row>
    <row r="1628" spans="1:14" x14ac:dyDescent="0.25">
      <c r="A1628" s="3" t="s">
        <v>1658</v>
      </c>
      <c r="B1628">
        <v>1961</v>
      </c>
      <c r="C1628">
        <v>1961</v>
      </c>
      <c r="D1628" s="3" t="s">
        <v>19</v>
      </c>
      <c r="E1628" s="3" t="s">
        <v>19</v>
      </c>
      <c r="F1628">
        <v>25</v>
      </c>
      <c r="G1628" s="7">
        <v>22549</v>
      </c>
      <c r="H1628">
        <v>2</v>
      </c>
      <c r="I1628" s="3" t="s">
        <v>10001</v>
      </c>
      <c r="J1628" s="3" t="s">
        <v>10</v>
      </c>
      <c r="K1628" s="3" t="s">
        <v>15</v>
      </c>
      <c r="L1628" s="3" t="s">
        <v>41</v>
      </c>
      <c r="M1628">
        <v>65</v>
      </c>
      <c r="N1628" s="3"/>
    </row>
    <row r="1629" spans="1:14" x14ac:dyDescent="0.25">
      <c r="A1629" s="3" t="s">
        <v>1659</v>
      </c>
      <c r="B1629">
        <v>1959</v>
      </c>
      <c r="C1629">
        <v>1959</v>
      </c>
      <c r="D1629" s="3" t="s">
        <v>36</v>
      </c>
      <c r="E1629" s="3" t="s">
        <v>36</v>
      </c>
      <c r="F1629">
        <v>10</v>
      </c>
      <c r="G1629" s="7">
        <v>21833</v>
      </c>
      <c r="H1629">
        <v>0</v>
      </c>
      <c r="I1629" s="3" t="s">
        <v>10002</v>
      </c>
      <c r="J1629" s="3" t="s">
        <v>10</v>
      </c>
      <c r="K1629" s="3" t="s">
        <v>15</v>
      </c>
      <c r="L1629" s="3" t="s">
        <v>22</v>
      </c>
      <c r="M1629">
        <v>67</v>
      </c>
      <c r="N1629" s="3"/>
    </row>
    <row r="1630" spans="1:14" x14ac:dyDescent="0.25">
      <c r="A1630" s="3" t="s">
        <v>1660</v>
      </c>
      <c r="B1630">
        <v>1959</v>
      </c>
      <c r="C1630">
        <v>1959</v>
      </c>
      <c r="D1630" s="3" t="s">
        <v>14</v>
      </c>
      <c r="E1630" s="3" t="s">
        <v>14</v>
      </c>
      <c r="F1630">
        <v>8</v>
      </c>
      <c r="G1630" s="7">
        <v>21862</v>
      </c>
      <c r="H1630">
        <v>0</v>
      </c>
      <c r="I1630" s="3" t="s">
        <v>10003</v>
      </c>
      <c r="J1630" s="3" t="s">
        <v>10</v>
      </c>
      <c r="K1630" s="3" t="s">
        <v>11</v>
      </c>
      <c r="L1630" s="3" t="s">
        <v>22</v>
      </c>
      <c r="M1630">
        <v>67</v>
      </c>
      <c r="N1630" s="3"/>
    </row>
    <row r="1631" spans="1:14" x14ac:dyDescent="0.25">
      <c r="A1631" s="3" t="s">
        <v>1661</v>
      </c>
      <c r="B1631">
        <v>1974</v>
      </c>
      <c r="C1631">
        <v>1974</v>
      </c>
      <c r="D1631" s="3" t="s">
        <v>29</v>
      </c>
      <c r="E1631" s="3" t="s">
        <v>29</v>
      </c>
      <c r="F1631">
        <v>26</v>
      </c>
      <c r="G1631" s="7">
        <v>27389</v>
      </c>
      <c r="H1631">
        <v>0</v>
      </c>
      <c r="I1631" s="3" t="s">
        <v>10004</v>
      </c>
      <c r="J1631" s="3" t="s">
        <v>10</v>
      </c>
      <c r="K1631" s="3" t="s">
        <v>10</v>
      </c>
      <c r="L1631" s="3" t="s">
        <v>534</v>
      </c>
      <c r="M1631">
        <v>52</v>
      </c>
      <c r="N1631" s="3"/>
    </row>
    <row r="1632" spans="1:14" x14ac:dyDescent="0.25">
      <c r="A1632" s="3" t="s">
        <v>1662</v>
      </c>
      <c r="B1632">
        <v>1972</v>
      </c>
      <c r="C1632">
        <v>1972</v>
      </c>
      <c r="D1632" s="3" t="s">
        <v>9</v>
      </c>
      <c r="E1632" s="3" t="s">
        <v>9</v>
      </c>
      <c r="F1632">
        <v>13</v>
      </c>
      <c r="G1632" s="7">
        <v>26493</v>
      </c>
      <c r="H1632">
        <v>0</v>
      </c>
      <c r="I1632" s="3" t="s">
        <v>10005</v>
      </c>
      <c r="J1632" s="3" t="s">
        <v>10</v>
      </c>
      <c r="K1632" s="3" t="s">
        <v>10</v>
      </c>
      <c r="L1632" s="3" t="s">
        <v>534</v>
      </c>
      <c r="M1632">
        <v>54</v>
      </c>
      <c r="N1632" s="3"/>
    </row>
    <row r="1633" spans="1:14" x14ac:dyDescent="0.25">
      <c r="A1633" s="3" t="s">
        <v>1663</v>
      </c>
      <c r="B1633">
        <v>2004</v>
      </c>
      <c r="C1633">
        <v>2004</v>
      </c>
      <c r="D1633" s="3" t="s">
        <v>19</v>
      </c>
      <c r="E1633" s="3" t="s">
        <v>19</v>
      </c>
      <c r="F1633">
        <v>6</v>
      </c>
      <c r="G1633" s="7">
        <v>38236</v>
      </c>
      <c r="H1633">
        <v>0</v>
      </c>
      <c r="I1633" s="3" t="s">
        <v>10006</v>
      </c>
      <c r="J1633" s="3" t="s">
        <v>10</v>
      </c>
      <c r="K1633" s="3" t="s">
        <v>10</v>
      </c>
      <c r="L1633" s="3" t="s">
        <v>246</v>
      </c>
      <c r="M1633">
        <v>22</v>
      </c>
      <c r="N1633" s="3"/>
    </row>
    <row r="1634" spans="1:14" x14ac:dyDescent="0.25">
      <c r="A1634" s="3" t="s">
        <v>1664</v>
      </c>
      <c r="B1634">
        <v>1968</v>
      </c>
      <c r="C1634">
        <v>1968</v>
      </c>
      <c r="D1634" s="3" t="s">
        <v>29</v>
      </c>
      <c r="E1634" s="3" t="s">
        <v>29</v>
      </c>
      <c r="F1634">
        <v>15</v>
      </c>
      <c r="G1634" s="7">
        <v>25187</v>
      </c>
      <c r="H1634">
        <v>0</v>
      </c>
      <c r="I1634" s="3" t="s">
        <v>10007</v>
      </c>
      <c r="J1634" s="3" t="s">
        <v>10</v>
      </c>
      <c r="K1634" s="3" t="s">
        <v>11</v>
      </c>
      <c r="L1634" s="3" t="s">
        <v>22</v>
      </c>
      <c r="M1634">
        <v>58</v>
      </c>
      <c r="N1634" s="3"/>
    </row>
    <row r="1635" spans="1:14" x14ac:dyDescent="0.25">
      <c r="A1635" s="3" t="s">
        <v>1665</v>
      </c>
      <c r="B1635">
        <v>1958</v>
      </c>
      <c r="C1635">
        <v>1958</v>
      </c>
      <c r="D1635" s="3" t="s">
        <v>36</v>
      </c>
      <c r="E1635" s="3" t="s">
        <v>36</v>
      </c>
      <c r="F1635">
        <v>15</v>
      </c>
      <c r="G1635" s="7">
        <v>21473</v>
      </c>
      <c r="H1635">
        <v>0</v>
      </c>
      <c r="I1635" s="3" t="s">
        <v>10008</v>
      </c>
      <c r="J1635" s="3" t="s">
        <v>10</v>
      </c>
      <c r="K1635" s="3" t="s">
        <v>11</v>
      </c>
      <c r="L1635" s="3" t="s">
        <v>12</v>
      </c>
      <c r="M1635">
        <v>68</v>
      </c>
      <c r="N1635" s="3"/>
    </row>
    <row r="1636" spans="1:14" x14ac:dyDescent="0.25">
      <c r="A1636" s="3" t="s">
        <v>1666</v>
      </c>
      <c r="B1636">
        <v>1958</v>
      </c>
      <c r="C1636">
        <v>1958</v>
      </c>
      <c r="D1636" s="3" t="s">
        <v>9</v>
      </c>
      <c r="E1636" s="3" t="s">
        <v>9</v>
      </c>
      <c r="F1636">
        <v>10</v>
      </c>
      <c r="G1636" s="7">
        <v>21376</v>
      </c>
      <c r="H1636">
        <v>0</v>
      </c>
      <c r="I1636" s="3" t="s">
        <v>10009</v>
      </c>
      <c r="J1636" s="3" t="s">
        <v>10</v>
      </c>
      <c r="K1636" s="3" t="s">
        <v>10</v>
      </c>
      <c r="L1636" s="3" t="s">
        <v>41</v>
      </c>
      <c r="M1636">
        <v>68</v>
      </c>
      <c r="N1636" s="3"/>
    </row>
    <row r="1637" spans="1:14" x14ac:dyDescent="0.25">
      <c r="A1637" s="3" t="s">
        <v>1667</v>
      </c>
      <c r="B1637">
        <v>1969</v>
      </c>
      <c r="C1637">
        <v>1969</v>
      </c>
      <c r="D1637" s="3" t="s">
        <v>19</v>
      </c>
      <c r="E1637" s="3" t="s">
        <v>19</v>
      </c>
      <c r="F1637">
        <v>26</v>
      </c>
      <c r="G1637" s="7">
        <v>25472</v>
      </c>
      <c r="H1637">
        <v>0</v>
      </c>
      <c r="I1637" s="3" t="s">
        <v>10010</v>
      </c>
      <c r="J1637" s="3" t="s">
        <v>10</v>
      </c>
      <c r="K1637" s="3" t="s">
        <v>11</v>
      </c>
      <c r="L1637" s="3" t="s">
        <v>631</v>
      </c>
      <c r="M1637">
        <v>57</v>
      </c>
      <c r="N1637" s="3"/>
    </row>
    <row r="1638" spans="1:14" x14ac:dyDescent="0.25">
      <c r="A1638" s="3" t="s">
        <v>1668</v>
      </c>
      <c r="B1638">
        <v>1959</v>
      </c>
      <c r="C1638">
        <v>1959</v>
      </c>
      <c r="D1638" s="3" t="s">
        <v>29</v>
      </c>
      <c r="E1638" s="3" t="s">
        <v>29</v>
      </c>
      <c r="F1638">
        <v>24</v>
      </c>
      <c r="G1638" s="7">
        <v>21908</v>
      </c>
      <c r="H1638">
        <v>1</v>
      </c>
      <c r="I1638" s="3" t="s">
        <v>10011</v>
      </c>
      <c r="J1638" s="3" t="s">
        <v>10</v>
      </c>
      <c r="K1638" s="3" t="s">
        <v>10</v>
      </c>
      <c r="L1638" s="3" t="s">
        <v>22</v>
      </c>
      <c r="M1638">
        <v>67</v>
      </c>
      <c r="N1638" s="3"/>
    </row>
    <row r="1639" spans="1:14" x14ac:dyDescent="0.25">
      <c r="A1639" s="3" t="s">
        <v>1669</v>
      </c>
      <c r="B1639">
        <v>1967</v>
      </c>
      <c r="C1639">
        <v>1967</v>
      </c>
      <c r="D1639" s="3" t="s">
        <v>36</v>
      </c>
      <c r="E1639" s="3" t="s">
        <v>36</v>
      </c>
      <c r="F1639">
        <v>10</v>
      </c>
      <c r="G1639" s="7">
        <v>24755</v>
      </c>
      <c r="H1639">
        <v>0</v>
      </c>
      <c r="I1639" s="3" t="s">
        <v>10012</v>
      </c>
      <c r="J1639" s="3" t="s">
        <v>10</v>
      </c>
      <c r="K1639" s="3" t="s">
        <v>15</v>
      </c>
      <c r="L1639" s="3" t="s">
        <v>534</v>
      </c>
      <c r="M1639">
        <v>59</v>
      </c>
      <c r="N1639" s="3"/>
    </row>
    <row r="1640" spans="1:14" x14ac:dyDescent="0.25">
      <c r="A1640" s="3" t="s">
        <v>1670</v>
      </c>
      <c r="B1640">
        <v>1988</v>
      </c>
      <c r="C1640">
        <v>1988</v>
      </c>
      <c r="D1640" s="3" t="s">
        <v>14</v>
      </c>
      <c r="E1640" s="3" t="s">
        <v>14</v>
      </c>
      <c r="F1640">
        <v>16</v>
      </c>
      <c r="G1640" s="7">
        <v>32463</v>
      </c>
      <c r="H1640">
        <v>1</v>
      </c>
      <c r="I1640" s="3" t="s">
        <v>10013</v>
      </c>
      <c r="J1640" s="3" t="s">
        <v>10</v>
      </c>
      <c r="K1640" s="3" t="s">
        <v>10</v>
      </c>
      <c r="L1640" s="3" t="s">
        <v>41</v>
      </c>
      <c r="M1640">
        <v>38</v>
      </c>
      <c r="N1640" s="3"/>
    </row>
    <row r="1641" spans="1:14" x14ac:dyDescent="0.25">
      <c r="A1641" s="3" t="s">
        <v>1671</v>
      </c>
      <c r="B1641">
        <v>1963</v>
      </c>
      <c r="C1641">
        <v>1963</v>
      </c>
      <c r="D1641" s="3" t="s">
        <v>9</v>
      </c>
      <c r="E1641" s="3" t="s">
        <v>9</v>
      </c>
      <c r="F1641">
        <v>16</v>
      </c>
      <c r="G1641" s="7">
        <v>23208</v>
      </c>
      <c r="H1641">
        <v>3</v>
      </c>
      <c r="I1641" s="3" t="s">
        <v>10014</v>
      </c>
      <c r="J1641" s="3" t="s">
        <v>10</v>
      </c>
      <c r="K1641" s="3" t="s">
        <v>10</v>
      </c>
      <c r="L1641" s="3" t="s">
        <v>22</v>
      </c>
      <c r="M1641">
        <v>63</v>
      </c>
      <c r="N1641" s="3"/>
    </row>
    <row r="1642" spans="1:14" x14ac:dyDescent="0.25">
      <c r="A1642" s="3" t="s">
        <v>1672</v>
      </c>
      <c r="B1642">
        <v>1965</v>
      </c>
      <c r="C1642">
        <v>1965</v>
      </c>
      <c r="D1642" s="3" t="s">
        <v>17</v>
      </c>
      <c r="E1642" s="3" t="s">
        <v>17</v>
      </c>
      <c r="F1642">
        <v>22</v>
      </c>
      <c r="G1642" s="7">
        <v>23915</v>
      </c>
      <c r="H1642">
        <v>4</v>
      </c>
      <c r="I1642" s="3" t="s">
        <v>10015</v>
      </c>
      <c r="J1642" s="3" t="s">
        <v>10</v>
      </c>
      <c r="K1642" s="3" t="s">
        <v>11</v>
      </c>
      <c r="L1642" s="3" t="s">
        <v>246</v>
      </c>
      <c r="M1642">
        <v>61</v>
      </c>
      <c r="N1642" s="3"/>
    </row>
    <row r="1643" spans="1:14" x14ac:dyDescent="0.25">
      <c r="A1643" s="3" t="s">
        <v>1673</v>
      </c>
      <c r="B1643">
        <v>1958</v>
      </c>
      <c r="C1643">
        <v>1958</v>
      </c>
      <c r="D1643" s="3" t="s">
        <v>19</v>
      </c>
      <c r="E1643" s="3" t="s">
        <v>19</v>
      </c>
      <c r="F1643">
        <v>14</v>
      </c>
      <c r="G1643" s="7">
        <v>21442</v>
      </c>
      <c r="H1643">
        <v>0</v>
      </c>
      <c r="I1643" s="3" t="s">
        <v>10016</v>
      </c>
      <c r="J1643" s="3" t="s">
        <v>10</v>
      </c>
      <c r="K1643" s="3" t="s">
        <v>15</v>
      </c>
      <c r="L1643" s="3" t="s">
        <v>169</v>
      </c>
      <c r="M1643">
        <v>68</v>
      </c>
      <c r="N1643" s="3"/>
    </row>
    <row r="1644" spans="1:14" x14ac:dyDescent="0.25">
      <c r="A1644" s="3" t="s">
        <v>1674</v>
      </c>
      <c r="B1644">
        <v>1958</v>
      </c>
      <c r="C1644">
        <v>1958</v>
      </c>
      <c r="D1644" s="3" t="s">
        <v>9</v>
      </c>
      <c r="E1644" s="3" t="s">
        <v>9</v>
      </c>
      <c r="F1644">
        <v>29</v>
      </c>
      <c r="G1644" s="7">
        <v>21395</v>
      </c>
      <c r="H1644">
        <v>0</v>
      </c>
      <c r="I1644" s="3" t="s">
        <v>10017</v>
      </c>
      <c r="J1644" s="3" t="s">
        <v>10</v>
      </c>
      <c r="K1644" s="3" t="s">
        <v>10</v>
      </c>
      <c r="L1644" s="3" t="s">
        <v>167</v>
      </c>
      <c r="M1644">
        <v>68</v>
      </c>
      <c r="N1644" s="3"/>
    </row>
    <row r="1645" spans="1:14" x14ac:dyDescent="0.25">
      <c r="A1645" s="3" t="s">
        <v>1675</v>
      </c>
      <c r="B1645">
        <v>1958</v>
      </c>
      <c r="C1645">
        <v>1958</v>
      </c>
      <c r="D1645" s="3" t="s">
        <v>19</v>
      </c>
      <c r="E1645" s="3" t="s">
        <v>19</v>
      </c>
      <c r="F1645">
        <v>20</v>
      </c>
      <c r="G1645" s="7">
        <v>21448</v>
      </c>
      <c r="H1645">
        <v>1</v>
      </c>
      <c r="I1645" s="3" t="s">
        <v>10018</v>
      </c>
      <c r="J1645" s="3" t="s">
        <v>10</v>
      </c>
      <c r="K1645" s="3" t="s">
        <v>11</v>
      </c>
      <c r="L1645" s="3" t="s">
        <v>12</v>
      </c>
      <c r="M1645">
        <v>68</v>
      </c>
      <c r="N1645" s="3"/>
    </row>
    <row r="1646" spans="1:14" x14ac:dyDescent="0.25">
      <c r="A1646" s="3" t="s">
        <v>1676</v>
      </c>
      <c r="B1646">
        <v>1999</v>
      </c>
      <c r="C1646">
        <v>1999</v>
      </c>
      <c r="D1646" s="3" t="s">
        <v>34</v>
      </c>
      <c r="E1646" s="3" t="s">
        <v>34</v>
      </c>
      <c r="F1646">
        <v>10</v>
      </c>
      <c r="G1646" s="7">
        <v>36382</v>
      </c>
      <c r="H1646">
        <v>2</v>
      </c>
      <c r="I1646" s="3" t="s">
        <v>10019</v>
      </c>
      <c r="J1646" s="3" t="s">
        <v>10</v>
      </c>
      <c r="K1646" s="3" t="s">
        <v>15</v>
      </c>
      <c r="L1646" s="3" t="s">
        <v>22</v>
      </c>
      <c r="M1646">
        <v>27</v>
      </c>
      <c r="N1646" s="3"/>
    </row>
    <row r="1647" spans="1:14" x14ac:dyDescent="0.25">
      <c r="A1647" s="3" t="s">
        <v>1677</v>
      </c>
      <c r="B1647">
        <v>1967</v>
      </c>
      <c r="C1647">
        <v>1967</v>
      </c>
      <c r="D1647" s="3" t="s">
        <v>34</v>
      </c>
      <c r="E1647" s="3" t="s">
        <v>34</v>
      </c>
      <c r="F1647">
        <v>15</v>
      </c>
      <c r="G1647" s="7">
        <v>24699</v>
      </c>
      <c r="H1647">
        <v>0</v>
      </c>
      <c r="I1647" s="3" t="s">
        <v>10020</v>
      </c>
      <c r="J1647" s="3" t="s">
        <v>10</v>
      </c>
      <c r="K1647" s="3" t="s">
        <v>10</v>
      </c>
      <c r="L1647" s="3" t="s">
        <v>534</v>
      </c>
      <c r="M1647">
        <v>59</v>
      </c>
      <c r="N1647" s="3"/>
    </row>
    <row r="1648" spans="1:14" x14ac:dyDescent="0.25">
      <c r="A1648" s="3" t="s">
        <v>1678</v>
      </c>
      <c r="B1648">
        <v>1967</v>
      </c>
      <c r="C1648">
        <v>1967</v>
      </c>
      <c r="D1648" s="3" t="s">
        <v>14</v>
      </c>
      <c r="E1648" s="3" t="s">
        <v>14</v>
      </c>
      <c r="F1648">
        <v>4</v>
      </c>
      <c r="G1648" s="7">
        <v>24780</v>
      </c>
      <c r="H1648">
        <v>0</v>
      </c>
      <c r="I1648" s="3" t="s">
        <v>10021</v>
      </c>
      <c r="J1648" s="3" t="s">
        <v>10</v>
      </c>
      <c r="K1648" s="3" t="s">
        <v>10</v>
      </c>
      <c r="L1648" s="3" t="s">
        <v>299</v>
      </c>
      <c r="M1648">
        <v>59</v>
      </c>
      <c r="N1648" s="3"/>
    </row>
    <row r="1649" spans="1:14" x14ac:dyDescent="0.25">
      <c r="A1649" s="3" t="s">
        <v>1679</v>
      </c>
      <c r="B1649">
        <v>1959</v>
      </c>
      <c r="C1649">
        <v>1959</v>
      </c>
      <c r="D1649" s="3" t="s">
        <v>17</v>
      </c>
      <c r="E1649" s="3" t="s">
        <v>17</v>
      </c>
      <c r="F1649">
        <v>29</v>
      </c>
      <c r="G1649" s="7">
        <v>21730</v>
      </c>
      <c r="H1649">
        <v>0</v>
      </c>
      <c r="I1649" s="3" t="s">
        <v>10022</v>
      </c>
      <c r="J1649" s="3" t="s">
        <v>10</v>
      </c>
      <c r="K1649" s="3" t="s">
        <v>15</v>
      </c>
      <c r="L1649" s="3" t="s">
        <v>246</v>
      </c>
      <c r="M1649">
        <v>67</v>
      </c>
      <c r="N1649" s="3"/>
    </row>
    <row r="1650" spans="1:14" x14ac:dyDescent="0.25">
      <c r="A1650" s="3" t="s">
        <v>1680</v>
      </c>
      <c r="B1650">
        <v>1959</v>
      </c>
      <c r="C1650">
        <v>1959</v>
      </c>
      <c r="D1650" s="3" t="s">
        <v>34</v>
      </c>
      <c r="E1650" s="3" t="s">
        <v>34</v>
      </c>
      <c r="F1650">
        <v>3</v>
      </c>
      <c r="G1650" s="7">
        <v>21765</v>
      </c>
      <c r="H1650">
        <v>0</v>
      </c>
      <c r="I1650" s="3" t="s">
        <v>10023</v>
      </c>
      <c r="J1650" s="3" t="s">
        <v>10</v>
      </c>
      <c r="K1650" s="3" t="s">
        <v>11</v>
      </c>
      <c r="L1650" s="3" t="s">
        <v>248</v>
      </c>
      <c r="M1650">
        <v>67</v>
      </c>
      <c r="N1650" s="3"/>
    </row>
    <row r="1651" spans="1:14" x14ac:dyDescent="0.25">
      <c r="A1651" s="3" t="s">
        <v>1681</v>
      </c>
      <c r="B1651">
        <v>1996</v>
      </c>
      <c r="C1651">
        <v>1996</v>
      </c>
      <c r="D1651" s="3" t="s">
        <v>14</v>
      </c>
      <c r="E1651" s="3" t="s">
        <v>14</v>
      </c>
      <c r="F1651">
        <v>10</v>
      </c>
      <c r="G1651" s="7">
        <v>35379</v>
      </c>
      <c r="H1651">
        <v>2</v>
      </c>
      <c r="I1651" s="3" t="s">
        <v>10024</v>
      </c>
      <c r="J1651" s="3" t="s">
        <v>10</v>
      </c>
      <c r="K1651" s="3" t="s">
        <v>11</v>
      </c>
      <c r="L1651" s="3" t="s">
        <v>246</v>
      </c>
      <c r="M1651">
        <v>30</v>
      </c>
      <c r="N1651" s="3"/>
    </row>
    <row r="1652" spans="1:14" x14ac:dyDescent="0.25">
      <c r="A1652" s="3" t="s">
        <v>1682</v>
      </c>
      <c r="B1652">
        <v>1976</v>
      </c>
      <c r="C1652">
        <v>1976</v>
      </c>
      <c r="D1652" s="3" t="s">
        <v>14</v>
      </c>
      <c r="E1652" s="3" t="s">
        <v>14</v>
      </c>
      <c r="F1652">
        <v>27</v>
      </c>
      <c r="G1652" s="7">
        <v>28091</v>
      </c>
      <c r="H1652">
        <v>2</v>
      </c>
      <c r="I1652" s="3" t="s">
        <v>10025</v>
      </c>
      <c r="J1652" s="3" t="s">
        <v>10</v>
      </c>
      <c r="K1652" s="3" t="s">
        <v>11</v>
      </c>
      <c r="L1652" s="3" t="s">
        <v>22</v>
      </c>
      <c r="M1652">
        <v>50</v>
      </c>
      <c r="N1652" s="3"/>
    </row>
    <row r="1653" spans="1:14" x14ac:dyDescent="0.25">
      <c r="A1653" s="3" t="s">
        <v>1683</v>
      </c>
      <c r="B1653">
        <v>1959</v>
      </c>
      <c r="C1653">
        <v>1959</v>
      </c>
      <c r="D1653" s="3" t="s">
        <v>14</v>
      </c>
      <c r="E1653" s="3" t="s">
        <v>14</v>
      </c>
      <c r="F1653">
        <v>20</v>
      </c>
      <c r="G1653" s="7">
        <v>21874</v>
      </c>
      <c r="H1653">
        <v>1</v>
      </c>
      <c r="I1653" s="3" t="s">
        <v>10026</v>
      </c>
      <c r="J1653" s="3" t="s">
        <v>10</v>
      </c>
      <c r="K1653" s="3" t="s">
        <v>10</v>
      </c>
      <c r="L1653" s="3" t="s">
        <v>12</v>
      </c>
      <c r="M1653">
        <v>67</v>
      </c>
      <c r="N1653" s="3"/>
    </row>
    <row r="1654" spans="1:14" x14ac:dyDescent="0.25">
      <c r="A1654" s="3" t="s">
        <v>1684</v>
      </c>
      <c r="B1654">
        <v>1979</v>
      </c>
      <c r="C1654">
        <v>1979</v>
      </c>
      <c r="D1654" s="3" t="s">
        <v>36</v>
      </c>
      <c r="E1654" s="3" t="s">
        <v>36</v>
      </c>
      <c r="F1654">
        <v>20</v>
      </c>
      <c r="G1654" s="7">
        <v>29148</v>
      </c>
      <c r="H1654">
        <v>5</v>
      </c>
      <c r="I1654" s="3" t="s">
        <v>10027</v>
      </c>
      <c r="J1654" s="3" t="s">
        <v>10</v>
      </c>
      <c r="K1654" s="3" t="s">
        <v>10</v>
      </c>
      <c r="L1654" s="3" t="s">
        <v>12</v>
      </c>
      <c r="M1654">
        <v>47</v>
      </c>
      <c r="N1654" s="3"/>
    </row>
    <row r="1655" spans="1:14" x14ac:dyDescent="0.25">
      <c r="A1655" s="3" t="s">
        <v>1685</v>
      </c>
      <c r="B1655">
        <v>1989</v>
      </c>
      <c r="C1655">
        <v>1989</v>
      </c>
      <c r="D1655" s="3" t="s">
        <v>9</v>
      </c>
      <c r="E1655" s="3" t="s">
        <v>9</v>
      </c>
      <c r="F1655">
        <v>22</v>
      </c>
      <c r="G1655" s="7">
        <v>32711</v>
      </c>
      <c r="H1655">
        <v>3</v>
      </c>
      <c r="I1655" s="3" t="s">
        <v>10028</v>
      </c>
      <c r="J1655" s="3" t="s">
        <v>10</v>
      </c>
      <c r="K1655" s="3" t="s">
        <v>11</v>
      </c>
      <c r="L1655" s="3" t="s">
        <v>22</v>
      </c>
      <c r="M1655">
        <v>37</v>
      </c>
      <c r="N1655" s="3"/>
    </row>
    <row r="1656" spans="1:14" x14ac:dyDescent="0.25">
      <c r="A1656" s="3" t="s">
        <v>1686</v>
      </c>
      <c r="B1656">
        <v>1989</v>
      </c>
      <c r="C1656">
        <v>1989</v>
      </c>
      <c r="D1656" s="3" t="s">
        <v>9</v>
      </c>
      <c r="E1656" s="3" t="s">
        <v>9</v>
      </c>
      <c r="F1656">
        <v>14</v>
      </c>
      <c r="G1656" s="7">
        <v>32703</v>
      </c>
      <c r="H1656">
        <v>3</v>
      </c>
      <c r="I1656" s="3" t="s">
        <v>10029</v>
      </c>
      <c r="J1656" s="3" t="s">
        <v>10</v>
      </c>
      <c r="K1656" s="3" t="s">
        <v>11</v>
      </c>
      <c r="L1656" s="3" t="s">
        <v>41</v>
      </c>
      <c r="M1656">
        <v>37</v>
      </c>
      <c r="N1656" s="3"/>
    </row>
    <row r="1657" spans="1:14" x14ac:dyDescent="0.25">
      <c r="A1657" s="3" t="s">
        <v>1687</v>
      </c>
      <c r="B1657">
        <v>1998</v>
      </c>
      <c r="C1657">
        <v>1998</v>
      </c>
      <c r="D1657" s="3" t="s">
        <v>19</v>
      </c>
      <c r="E1657" s="3" t="s">
        <v>19</v>
      </c>
      <c r="F1657">
        <v>12</v>
      </c>
      <c r="G1657" s="7">
        <v>36050</v>
      </c>
      <c r="H1657">
        <v>0</v>
      </c>
      <c r="I1657" s="3" t="s">
        <v>10030</v>
      </c>
      <c r="J1657" s="3" t="s">
        <v>10</v>
      </c>
      <c r="K1657" s="3" t="s">
        <v>15</v>
      </c>
      <c r="L1657" s="3" t="s">
        <v>246</v>
      </c>
      <c r="M1657">
        <v>28</v>
      </c>
      <c r="N1657" s="3"/>
    </row>
    <row r="1658" spans="1:14" x14ac:dyDescent="0.25">
      <c r="A1658" s="3" t="s">
        <v>1688</v>
      </c>
      <c r="B1658">
        <v>1962</v>
      </c>
      <c r="C1658">
        <v>1962</v>
      </c>
      <c r="D1658" s="3" t="s">
        <v>29</v>
      </c>
      <c r="E1658" s="3" t="s">
        <v>29</v>
      </c>
      <c r="F1658">
        <v>3</v>
      </c>
      <c r="G1658" s="7">
        <v>22983</v>
      </c>
      <c r="H1658">
        <v>0</v>
      </c>
      <c r="I1658" s="3" t="s">
        <v>10031</v>
      </c>
      <c r="J1658" s="3" t="s">
        <v>10</v>
      </c>
      <c r="K1658" s="3" t="s">
        <v>15</v>
      </c>
      <c r="L1658" s="3" t="s">
        <v>199</v>
      </c>
      <c r="M1658">
        <v>64</v>
      </c>
      <c r="N1658" s="3"/>
    </row>
    <row r="1659" spans="1:14" x14ac:dyDescent="0.25">
      <c r="A1659" s="3" t="s">
        <v>1689</v>
      </c>
      <c r="B1659">
        <v>1963</v>
      </c>
      <c r="C1659">
        <v>1963</v>
      </c>
      <c r="D1659" s="3" t="s">
        <v>36</v>
      </c>
      <c r="E1659" s="3" t="s">
        <v>36</v>
      </c>
      <c r="F1659">
        <v>14</v>
      </c>
      <c r="G1659" s="7">
        <v>23298</v>
      </c>
      <c r="H1659">
        <v>3</v>
      </c>
      <c r="I1659" s="3" t="s">
        <v>10032</v>
      </c>
      <c r="J1659" s="3" t="s">
        <v>10</v>
      </c>
      <c r="K1659" s="3" t="s">
        <v>15</v>
      </c>
      <c r="L1659" s="3" t="s">
        <v>246</v>
      </c>
      <c r="M1659">
        <v>63</v>
      </c>
      <c r="N1659" s="3"/>
    </row>
    <row r="1660" spans="1:14" x14ac:dyDescent="0.25">
      <c r="A1660" s="3" t="s">
        <v>1690</v>
      </c>
      <c r="B1660">
        <v>1967</v>
      </c>
      <c r="C1660">
        <v>1967</v>
      </c>
      <c r="D1660" s="3" t="s">
        <v>9</v>
      </c>
      <c r="E1660" s="3" t="s">
        <v>9</v>
      </c>
      <c r="F1660">
        <v>18</v>
      </c>
      <c r="G1660" s="7">
        <v>24671</v>
      </c>
      <c r="H1660">
        <v>0</v>
      </c>
      <c r="I1660" s="3" t="s">
        <v>10033</v>
      </c>
      <c r="J1660" s="3" t="s">
        <v>10</v>
      </c>
      <c r="K1660" s="3" t="s">
        <v>11</v>
      </c>
      <c r="L1660" s="3" t="s">
        <v>631</v>
      </c>
      <c r="M1660">
        <v>59</v>
      </c>
      <c r="N1660" s="3"/>
    </row>
    <row r="1661" spans="1:14" x14ac:dyDescent="0.25">
      <c r="A1661" s="3" t="s">
        <v>1691</v>
      </c>
      <c r="B1661">
        <v>1965</v>
      </c>
      <c r="C1661">
        <v>1965</v>
      </c>
      <c r="D1661" s="3" t="s">
        <v>14</v>
      </c>
      <c r="E1661" s="3" t="s">
        <v>14</v>
      </c>
      <c r="F1661">
        <v>8</v>
      </c>
      <c r="G1661" s="7">
        <v>24054</v>
      </c>
      <c r="H1661">
        <v>0</v>
      </c>
      <c r="I1661" s="3" t="s">
        <v>10034</v>
      </c>
      <c r="J1661" s="3" t="s">
        <v>10</v>
      </c>
      <c r="K1661" s="3" t="s">
        <v>11</v>
      </c>
      <c r="L1661" s="3" t="s">
        <v>299</v>
      </c>
      <c r="M1661">
        <v>61</v>
      </c>
      <c r="N1661" s="3"/>
    </row>
    <row r="1662" spans="1:14" x14ac:dyDescent="0.25">
      <c r="A1662" s="3" t="s">
        <v>1692</v>
      </c>
      <c r="B1662">
        <v>1991</v>
      </c>
      <c r="C1662">
        <v>1991</v>
      </c>
      <c r="D1662" s="3" t="s">
        <v>34</v>
      </c>
      <c r="E1662" s="3" t="s">
        <v>34</v>
      </c>
      <c r="F1662">
        <v>21</v>
      </c>
      <c r="G1662" s="7">
        <v>33471</v>
      </c>
      <c r="H1662">
        <v>3</v>
      </c>
      <c r="I1662" s="3" t="s">
        <v>10035</v>
      </c>
      <c r="J1662" s="3" t="s">
        <v>10</v>
      </c>
      <c r="K1662" s="3" t="s">
        <v>11</v>
      </c>
      <c r="L1662" s="3" t="s">
        <v>41</v>
      </c>
      <c r="M1662">
        <v>35</v>
      </c>
      <c r="N1662" s="3"/>
    </row>
    <row r="1663" spans="1:14" x14ac:dyDescent="0.25">
      <c r="A1663" s="3" t="s">
        <v>1693</v>
      </c>
      <c r="B1663">
        <v>1967</v>
      </c>
      <c r="C1663">
        <v>1967</v>
      </c>
      <c r="D1663" s="3" t="s">
        <v>19</v>
      </c>
      <c r="E1663" s="3" t="s">
        <v>19</v>
      </c>
      <c r="F1663">
        <v>1</v>
      </c>
      <c r="G1663" s="7">
        <v>24716</v>
      </c>
      <c r="H1663">
        <v>0</v>
      </c>
      <c r="I1663" s="3" t="s">
        <v>10036</v>
      </c>
      <c r="J1663" s="3" t="s">
        <v>10</v>
      </c>
      <c r="K1663" s="3" t="s">
        <v>11</v>
      </c>
      <c r="L1663" s="3" t="s">
        <v>534</v>
      </c>
      <c r="M1663">
        <v>59</v>
      </c>
      <c r="N1663" s="3"/>
    </row>
    <row r="1664" spans="1:14" x14ac:dyDescent="0.25">
      <c r="A1664" s="3" t="s">
        <v>1694</v>
      </c>
      <c r="B1664">
        <v>1981</v>
      </c>
      <c r="C1664">
        <v>1981</v>
      </c>
      <c r="D1664" s="3" t="s">
        <v>14</v>
      </c>
      <c r="E1664" s="3" t="s">
        <v>14</v>
      </c>
      <c r="F1664">
        <v>13</v>
      </c>
      <c r="G1664" s="7">
        <v>29903</v>
      </c>
      <c r="H1664">
        <v>1</v>
      </c>
      <c r="I1664" s="3" t="s">
        <v>10037</v>
      </c>
      <c r="J1664" s="3" t="s">
        <v>10</v>
      </c>
      <c r="K1664" s="3" t="s">
        <v>15</v>
      </c>
      <c r="L1664" s="3" t="s">
        <v>22</v>
      </c>
      <c r="M1664">
        <v>45</v>
      </c>
      <c r="N1664" s="3"/>
    </row>
    <row r="1665" spans="1:14" x14ac:dyDescent="0.25">
      <c r="A1665" s="3" t="s">
        <v>1695</v>
      </c>
      <c r="B1665">
        <v>1969</v>
      </c>
      <c r="C1665">
        <v>1969</v>
      </c>
      <c r="D1665" s="3" t="s">
        <v>36</v>
      </c>
      <c r="E1665" s="3" t="s">
        <v>36</v>
      </c>
      <c r="F1665">
        <v>20</v>
      </c>
      <c r="G1665" s="7">
        <v>25496</v>
      </c>
      <c r="H1665">
        <v>0</v>
      </c>
      <c r="I1665" s="3" t="s">
        <v>10038</v>
      </c>
      <c r="J1665" s="3" t="s">
        <v>10</v>
      </c>
      <c r="K1665" s="3" t="s">
        <v>15</v>
      </c>
      <c r="L1665" s="3" t="s">
        <v>22</v>
      </c>
      <c r="M1665">
        <v>57</v>
      </c>
      <c r="N1665" s="3"/>
    </row>
    <row r="1666" spans="1:14" x14ac:dyDescent="0.25">
      <c r="A1666" s="3" t="s">
        <v>1696</v>
      </c>
      <c r="B1666">
        <v>1958</v>
      </c>
      <c r="C1666">
        <v>1958</v>
      </c>
      <c r="D1666" s="3" t="s">
        <v>9</v>
      </c>
      <c r="E1666" s="3" t="s">
        <v>9</v>
      </c>
      <c r="F1666">
        <v>23</v>
      </c>
      <c r="G1666" s="7">
        <v>21389</v>
      </c>
      <c r="H1666">
        <v>0</v>
      </c>
      <c r="I1666" s="3" t="s">
        <v>10039</v>
      </c>
      <c r="J1666" s="3" t="s">
        <v>10</v>
      </c>
      <c r="K1666" s="3" t="s">
        <v>15</v>
      </c>
      <c r="L1666" s="3" t="s">
        <v>22</v>
      </c>
      <c r="M1666">
        <v>68</v>
      </c>
      <c r="N1666" s="3"/>
    </row>
    <row r="1667" spans="1:14" x14ac:dyDescent="0.25">
      <c r="A1667" s="3" t="s">
        <v>1697</v>
      </c>
      <c r="B1667">
        <v>1982</v>
      </c>
      <c r="C1667">
        <v>1982</v>
      </c>
      <c r="D1667" s="3" t="s">
        <v>19</v>
      </c>
      <c r="E1667" s="3" t="s">
        <v>19</v>
      </c>
      <c r="F1667">
        <v>4</v>
      </c>
      <c r="G1667" s="7">
        <v>30198</v>
      </c>
      <c r="H1667">
        <v>3</v>
      </c>
      <c r="I1667" s="3" t="s">
        <v>10040</v>
      </c>
      <c r="J1667" s="3" t="s">
        <v>10</v>
      </c>
      <c r="K1667" s="3" t="s">
        <v>10</v>
      </c>
      <c r="L1667" s="3" t="s">
        <v>41</v>
      </c>
      <c r="M1667">
        <v>44</v>
      </c>
      <c r="N1667" s="3"/>
    </row>
    <row r="1668" spans="1:14" x14ac:dyDescent="0.25">
      <c r="A1668" s="3" t="s">
        <v>1698</v>
      </c>
      <c r="B1668">
        <v>2002</v>
      </c>
      <c r="C1668">
        <v>2002</v>
      </c>
      <c r="D1668" s="3" t="s">
        <v>19</v>
      </c>
      <c r="E1668" s="3" t="s">
        <v>19</v>
      </c>
      <c r="F1668">
        <v>24</v>
      </c>
      <c r="G1668" s="7">
        <v>37523</v>
      </c>
      <c r="H1668">
        <v>0</v>
      </c>
      <c r="I1668" s="3" t="s">
        <v>10041</v>
      </c>
      <c r="J1668" s="3" t="s">
        <v>10</v>
      </c>
      <c r="K1668" s="3" t="s">
        <v>10</v>
      </c>
      <c r="L1668" s="3" t="s">
        <v>22</v>
      </c>
      <c r="M1668">
        <v>24</v>
      </c>
      <c r="N1668" s="3"/>
    </row>
    <row r="1669" spans="1:14" x14ac:dyDescent="0.25">
      <c r="A1669" s="3" t="s">
        <v>1699</v>
      </c>
      <c r="B1669">
        <v>1962</v>
      </c>
      <c r="C1669">
        <v>1962</v>
      </c>
      <c r="D1669" s="3" t="s">
        <v>9</v>
      </c>
      <c r="E1669" s="3" t="s">
        <v>9</v>
      </c>
      <c r="F1669">
        <v>29</v>
      </c>
      <c r="G1669" s="7">
        <v>22856</v>
      </c>
      <c r="H1669">
        <v>0</v>
      </c>
      <c r="I1669" s="3" t="s">
        <v>10042</v>
      </c>
      <c r="J1669" s="3" t="s">
        <v>10</v>
      </c>
      <c r="K1669" s="3" t="s">
        <v>11</v>
      </c>
      <c r="L1669" s="3" t="s">
        <v>299</v>
      </c>
      <c r="M1669">
        <v>64</v>
      </c>
      <c r="N1669" s="3"/>
    </row>
    <row r="1670" spans="1:14" x14ac:dyDescent="0.25">
      <c r="A1670" s="3" t="s">
        <v>1700</v>
      </c>
      <c r="B1670">
        <v>1965</v>
      </c>
      <c r="C1670">
        <v>1965</v>
      </c>
      <c r="D1670" s="3" t="s">
        <v>9</v>
      </c>
      <c r="E1670" s="3" t="s">
        <v>9</v>
      </c>
      <c r="F1670">
        <v>27</v>
      </c>
      <c r="G1670" s="7">
        <v>23950</v>
      </c>
      <c r="H1670">
        <v>0</v>
      </c>
      <c r="I1670" s="3" t="s">
        <v>10043</v>
      </c>
      <c r="J1670" s="3" t="s">
        <v>10</v>
      </c>
      <c r="K1670" s="3" t="s">
        <v>10</v>
      </c>
      <c r="L1670" s="3" t="s">
        <v>534</v>
      </c>
      <c r="M1670">
        <v>61</v>
      </c>
      <c r="N1670" s="3"/>
    </row>
    <row r="1671" spans="1:14" x14ac:dyDescent="0.25">
      <c r="A1671" s="3" t="s">
        <v>1701</v>
      </c>
      <c r="B1671">
        <v>1975</v>
      </c>
      <c r="C1671">
        <v>1975</v>
      </c>
      <c r="D1671" s="3" t="s">
        <v>29</v>
      </c>
      <c r="E1671" s="3" t="s">
        <v>29</v>
      </c>
      <c r="F1671">
        <v>10</v>
      </c>
      <c r="G1671" s="7">
        <v>27738</v>
      </c>
      <c r="H1671">
        <v>1</v>
      </c>
      <c r="I1671" s="3" t="s">
        <v>10044</v>
      </c>
      <c r="J1671" s="3" t="s">
        <v>10</v>
      </c>
      <c r="K1671" s="3" t="s">
        <v>11</v>
      </c>
      <c r="L1671" s="3" t="s">
        <v>248</v>
      </c>
      <c r="M1671">
        <v>51</v>
      </c>
      <c r="N1671" s="3"/>
    </row>
    <row r="1672" spans="1:14" x14ac:dyDescent="0.25">
      <c r="A1672" s="3" t="s">
        <v>1702</v>
      </c>
      <c r="B1672">
        <v>1979</v>
      </c>
      <c r="C1672">
        <v>1979</v>
      </c>
      <c r="D1672" s="3" t="s">
        <v>36</v>
      </c>
      <c r="E1672" s="3" t="s">
        <v>36</v>
      </c>
      <c r="F1672">
        <v>18</v>
      </c>
      <c r="G1672" s="7">
        <v>29146</v>
      </c>
      <c r="H1672">
        <v>2</v>
      </c>
      <c r="I1672" s="3" t="s">
        <v>10045</v>
      </c>
      <c r="J1672" s="3" t="s">
        <v>10</v>
      </c>
      <c r="K1672" s="3" t="s">
        <v>11</v>
      </c>
      <c r="L1672" s="3" t="s">
        <v>534</v>
      </c>
      <c r="M1672">
        <v>47</v>
      </c>
      <c r="N1672" s="3"/>
    </row>
    <row r="1673" spans="1:14" x14ac:dyDescent="0.25">
      <c r="A1673" s="3" t="s">
        <v>1703</v>
      </c>
      <c r="B1673">
        <v>1981</v>
      </c>
      <c r="C1673">
        <v>1981</v>
      </c>
      <c r="D1673" s="3" t="s">
        <v>17</v>
      </c>
      <c r="E1673" s="3" t="s">
        <v>17</v>
      </c>
      <c r="F1673">
        <v>5</v>
      </c>
      <c r="G1673" s="7">
        <v>29742</v>
      </c>
      <c r="H1673">
        <v>1</v>
      </c>
      <c r="I1673" s="3" t="s">
        <v>10046</v>
      </c>
      <c r="J1673" s="3" t="s">
        <v>10</v>
      </c>
      <c r="K1673" s="3" t="s">
        <v>11</v>
      </c>
      <c r="L1673" s="3" t="s">
        <v>534</v>
      </c>
      <c r="M1673">
        <v>45</v>
      </c>
      <c r="N1673" s="3"/>
    </row>
    <row r="1674" spans="1:14" x14ac:dyDescent="0.25">
      <c r="A1674" s="3" t="s">
        <v>1704</v>
      </c>
      <c r="B1674">
        <v>1970</v>
      </c>
      <c r="C1674">
        <v>1970</v>
      </c>
      <c r="D1674" s="3" t="s">
        <v>14</v>
      </c>
      <c r="E1674" s="3" t="s">
        <v>14</v>
      </c>
      <c r="F1674">
        <v>11</v>
      </c>
      <c r="G1674" s="7">
        <v>25883</v>
      </c>
      <c r="H1674">
        <v>0</v>
      </c>
      <c r="I1674" s="3" t="s">
        <v>10047</v>
      </c>
      <c r="J1674" s="3" t="s">
        <v>10</v>
      </c>
      <c r="K1674" s="3" t="s">
        <v>10</v>
      </c>
      <c r="L1674" s="3" t="s">
        <v>248</v>
      </c>
      <c r="M1674">
        <v>56</v>
      </c>
      <c r="N1674" s="3"/>
    </row>
    <row r="1675" spans="1:14" x14ac:dyDescent="0.25">
      <c r="A1675" s="3" t="s">
        <v>1705</v>
      </c>
      <c r="B1675">
        <v>1958</v>
      </c>
      <c r="C1675">
        <v>1958</v>
      </c>
      <c r="D1675" s="3" t="s">
        <v>36</v>
      </c>
      <c r="E1675" s="3" t="s">
        <v>36</v>
      </c>
      <c r="F1675">
        <v>17</v>
      </c>
      <c r="G1675" s="7">
        <v>21475</v>
      </c>
      <c r="H1675">
        <v>0</v>
      </c>
      <c r="I1675" s="3" t="s">
        <v>10048</v>
      </c>
      <c r="J1675" s="3" t="s">
        <v>10</v>
      </c>
      <c r="K1675" s="3" t="s">
        <v>10</v>
      </c>
      <c r="L1675" s="3" t="s">
        <v>246</v>
      </c>
      <c r="M1675">
        <v>68</v>
      </c>
      <c r="N1675" s="3"/>
    </row>
    <row r="1676" spans="1:14" x14ac:dyDescent="0.25">
      <c r="A1676" s="3" t="s">
        <v>1706</v>
      </c>
      <c r="B1676">
        <v>1981</v>
      </c>
      <c r="C1676">
        <v>1981</v>
      </c>
      <c r="D1676" s="3" t="s">
        <v>9</v>
      </c>
      <c r="E1676" s="3" t="s">
        <v>9</v>
      </c>
      <c r="F1676">
        <v>4</v>
      </c>
      <c r="G1676" s="7">
        <v>29771</v>
      </c>
      <c r="H1676">
        <v>1</v>
      </c>
      <c r="I1676" s="3" t="s">
        <v>10049</v>
      </c>
      <c r="J1676" s="3" t="s">
        <v>10</v>
      </c>
      <c r="K1676" s="3" t="s">
        <v>15</v>
      </c>
      <c r="L1676" s="3" t="s">
        <v>41</v>
      </c>
      <c r="M1676">
        <v>45</v>
      </c>
      <c r="N1676" s="3"/>
    </row>
    <row r="1677" spans="1:14" x14ac:dyDescent="0.25">
      <c r="A1677" s="3" t="s">
        <v>1707</v>
      </c>
      <c r="B1677">
        <v>1968</v>
      </c>
      <c r="C1677">
        <v>1968</v>
      </c>
      <c r="D1677" s="3" t="s">
        <v>14</v>
      </c>
      <c r="E1677" s="3" t="s">
        <v>14</v>
      </c>
      <c r="F1677">
        <v>8</v>
      </c>
      <c r="G1677" s="7">
        <v>25150</v>
      </c>
      <c r="H1677">
        <v>0</v>
      </c>
      <c r="I1677" s="3" t="s">
        <v>10050</v>
      </c>
      <c r="J1677" s="3" t="s">
        <v>10</v>
      </c>
      <c r="K1677" s="3" t="s">
        <v>10</v>
      </c>
      <c r="L1677" s="3" t="s">
        <v>22</v>
      </c>
      <c r="M1677">
        <v>58</v>
      </c>
      <c r="N1677" s="3"/>
    </row>
    <row r="1678" spans="1:14" x14ac:dyDescent="0.25">
      <c r="A1678" s="3" t="s">
        <v>1708</v>
      </c>
      <c r="B1678">
        <v>1962</v>
      </c>
      <c r="C1678">
        <v>1962</v>
      </c>
      <c r="D1678" s="3" t="s">
        <v>14</v>
      </c>
      <c r="E1678" s="3" t="s">
        <v>14</v>
      </c>
      <c r="F1678">
        <v>29</v>
      </c>
      <c r="G1678" s="7">
        <v>22979</v>
      </c>
      <c r="H1678">
        <v>0</v>
      </c>
      <c r="I1678" s="3" t="s">
        <v>10051</v>
      </c>
      <c r="J1678" s="3" t="s">
        <v>10</v>
      </c>
      <c r="K1678" s="3" t="s">
        <v>15</v>
      </c>
      <c r="L1678" s="3" t="s">
        <v>299</v>
      </c>
      <c r="M1678">
        <v>64</v>
      </c>
      <c r="N1678" s="3"/>
    </row>
    <row r="1679" spans="1:14" x14ac:dyDescent="0.25">
      <c r="A1679" s="3" t="s">
        <v>1709</v>
      </c>
      <c r="B1679">
        <v>1958</v>
      </c>
      <c r="C1679">
        <v>1958</v>
      </c>
      <c r="D1679" s="3" t="s">
        <v>9</v>
      </c>
      <c r="E1679" s="3" t="s">
        <v>9</v>
      </c>
      <c r="F1679">
        <v>29</v>
      </c>
      <c r="G1679" s="7">
        <v>21395</v>
      </c>
      <c r="H1679">
        <v>2</v>
      </c>
      <c r="I1679" s="3" t="s">
        <v>10052</v>
      </c>
      <c r="J1679" s="3" t="s">
        <v>10</v>
      </c>
      <c r="K1679" s="3" t="s">
        <v>11</v>
      </c>
      <c r="L1679" s="3" t="s">
        <v>41</v>
      </c>
      <c r="M1679">
        <v>68</v>
      </c>
      <c r="N1679" s="3"/>
    </row>
    <row r="1680" spans="1:14" x14ac:dyDescent="0.25">
      <c r="A1680" s="3" t="s">
        <v>1710</v>
      </c>
      <c r="B1680">
        <v>1995</v>
      </c>
      <c r="C1680">
        <v>1995</v>
      </c>
      <c r="D1680" s="3" t="s">
        <v>34</v>
      </c>
      <c r="E1680" s="3" t="s">
        <v>34</v>
      </c>
      <c r="F1680">
        <v>2</v>
      </c>
      <c r="G1680" s="7">
        <v>34913</v>
      </c>
      <c r="H1680">
        <v>2</v>
      </c>
      <c r="I1680" s="3" t="s">
        <v>10053</v>
      </c>
      <c r="J1680" s="3" t="s">
        <v>10</v>
      </c>
      <c r="K1680" s="3" t="s">
        <v>10</v>
      </c>
      <c r="L1680" s="3" t="s">
        <v>246</v>
      </c>
      <c r="M1680">
        <v>31</v>
      </c>
      <c r="N1680" s="3"/>
    </row>
    <row r="1681" spans="1:14" x14ac:dyDescent="0.25">
      <c r="A1681" s="3" t="s">
        <v>1711</v>
      </c>
      <c r="B1681">
        <v>1960</v>
      </c>
      <c r="C1681">
        <v>1960</v>
      </c>
      <c r="D1681" s="3" t="s">
        <v>34</v>
      </c>
      <c r="E1681" s="3" t="s">
        <v>34</v>
      </c>
      <c r="F1681">
        <v>8</v>
      </c>
      <c r="G1681" s="7">
        <v>22136</v>
      </c>
      <c r="H1681">
        <v>2</v>
      </c>
      <c r="I1681" s="3" t="s">
        <v>10054</v>
      </c>
      <c r="J1681" s="3" t="s">
        <v>10</v>
      </c>
      <c r="K1681" s="3" t="s">
        <v>10</v>
      </c>
      <c r="L1681" s="3" t="s">
        <v>22</v>
      </c>
      <c r="M1681">
        <v>66</v>
      </c>
      <c r="N1681" s="3"/>
    </row>
    <row r="1682" spans="1:14" x14ac:dyDescent="0.25">
      <c r="A1682" s="3" t="s">
        <v>1712</v>
      </c>
      <c r="B1682">
        <v>1979</v>
      </c>
      <c r="C1682">
        <v>1979</v>
      </c>
      <c r="D1682" s="3" t="s">
        <v>14</v>
      </c>
      <c r="E1682" s="3" t="s">
        <v>14</v>
      </c>
      <c r="F1682">
        <v>25</v>
      </c>
      <c r="G1682" s="7">
        <v>29184</v>
      </c>
      <c r="H1682">
        <v>2</v>
      </c>
      <c r="I1682" s="3" t="s">
        <v>10055</v>
      </c>
      <c r="J1682" s="3" t="s">
        <v>10</v>
      </c>
      <c r="K1682" s="3" t="s">
        <v>15</v>
      </c>
      <c r="L1682" s="3" t="s">
        <v>41</v>
      </c>
      <c r="M1682">
        <v>47</v>
      </c>
      <c r="N1682" s="3"/>
    </row>
    <row r="1683" spans="1:14" x14ac:dyDescent="0.25">
      <c r="A1683" s="3" t="s">
        <v>1713</v>
      </c>
      <c r="B1683">
        <v>1970</v>
      </c>
      <c r="C1683">
        <v>1970</v>
      </c>
      <c r="D1683" s="3" t="s">
        <v>19</v>
      </c>
      <c r="E1683" s="3" t="s">
        <v>19</v>
      </c>
      <c r="F1683">
        <v>11</v>
      </c>
      <c r="G1683" s="7">
        <v>25822</v>
      </c>
      <c r="H1683">
        <v>0</v>
      </c>
      <c r="I1683" s="3" t="s">
        <v>10056</v>
      </c>
      <c r="J1683" s="3" t="s">
        <v>10</v>
      </c>
      <c r="K1683" s="3" t="s">
        <v>11</v>
      </c>
      <c r="L1683" s="3" t="s">
        <v>41</v>
      </c>
      <c r="M1683">
        <v>56</v>
      </c>
      <c r="N1683" s="3"/>
    </row>
    <row r="1684" spans="1:14" x14ac:dyDescent="0.25">
      <c r="A1684" s="3" t="s">
        <v>1714</v>
      </c>
      <c r="B1684">
        <v>1971</v>
      </c>
      <c r="C1684">
        <v>1971</v>
      </c>
      <c r="D1684" s="3" t="s">
        <v>34</v>
      </c>
      <c r="E1684" s="3" t="s">
        <v>34</v>
      </c>
      <c r="F1684">
        <v>15</v>
      </c>
      <c r="G1684" s="7">
        <v>26160</v>
      </c>
      <c r="H1684">
        <v>0</v>
      </c>
      <c r="I1684" s="3" t="s">
        <v>10057</v>
      </c>
      <c r="J1684" s="3" t="s">
        <v>10</v>
      </c>
      <c r="K1684" s="3" t="s">
        <v>11</v>
      </c>
      <c r="L1684" s="3" t="s">
        <v>248</v>
      </c>
      <c r="M1684">
        <v>55</v>
      </c>
      <c r="N1684" s="3"/>
    </row>
    <row r="1685" spans="1:14" x14ac:dyDescent="0.25">
      <c r="A1685" s="3" t="s">
        <v>1715</v>
      </c>
      <c r="B1685">
        <v>1968</v>
      </c>
      <c r="C1685">
        <v>1968</v>
      </c>
      <c r="D1685" s="3" t="s">
        <v>17</v>
      </c>
      <c r="E1685" s="3" t="s">
        <v>17</v>
      </c>
      <c r="F1685">
        <v>12</v>
      </c>
      <c r="G1685" s="7">
        <v>25001</v>
      </c>
      <c r="H1685">
        <v>0</v>
      </c>
      <c r="I1685" s="3" t="s">
        <v>10058</v>
      </c>
      <c r="J1685" s="3" t="s">
        <v>10</v>
      </c>
      <c r="K1685" s="3" t="s">
        <v>10</v>
      </c>
      <c r="L1685" s="3" t="s">
        <v>631</v>
      </c>
      <c r="M1685">
        <v>58</v>
      </c>
      <c r="N1685" s="3"/>
    </row>
    <row r="1686" spans="1:14" x14ac:dyDescent="0.25">
      <c r="A1686" s="3" t="s">
        <v>1716</v>
      </c>
      <c r="B1686">
        <v>1975</v>
      </c>
      <c r="C1686">
        <v>1975</v>
      </c>
      <c r="D1686" s="3" t="s">
        <v>36</v>
      </c>
      <c r="E1686" s="3" t="s">
        <v>36</v>
      </c>
      <c r="F1686">
        <v>26</v>
      </c>
      <c r="G1686" s="7">
        <v>27693</v>
      </c>
      <c r="H1686">
        <v>1</v>
      </c>
      <c r="I1686" s="3" t="s">
        <v>10059</v>
      </c>
      <c r="J1686" s="3" t="s">
        <v>10</v>
      </c>
      <c r="K1686" s="3" t="s">
        <v>15</v>
      </c>
      <c r="L1686" s="3" t="s">
        <v>248</v>
      </c>
      <c r="M1686">
        <v>51</v>
      </c>
      <c r="N1686" s="3"/>
    </row>
    <row r="1687" spans="1:14" x14ac:dyDescent="0.25">
      <c r="A1687" s="3" t="s">
        <v>1717</v>
      </c>
      <c r="B1687">
        <v>1972</v>
      </c>
      <c r="C1687">
        <v>1972</v>
      </c>
      <c r="D1687" s="3" t="s">
        <v>14</v>
      </c>
      <c r="E1687" s="3" t="s">
        <v>14</v>
      </c>
      <c r="F1687">
        <v>7</v>
      </c>
      <c r="G1687" s="7">
        <v>26610</v>
      </c>
      <c r="H1687">
        <v>0</v>
      </c>
      <c r="I1687" s="3" t="s">
        <v>10060</v>
      </c>
      <c r="J1687" s="3" t="s">
        <v>10</v>
      </c>
      <c r="K1687" s="3" t="s">
        <v>15</v>
      </c>
      <c r="L1687" s="3" t="s">
        <v>22</v>
      </c>
      <c r="M1687">
        <v>54</v>
      </c>
      <c r="N1687" s="3"/>
    </row>
    <row r="1688" spans="1:14" x14ac:dyDescent="0.25">
      <c r="A1688" s="3" t="s">
        <v>1718</v>
      </c>
      <c r="B1688">
        <v>1978</v>
      </c>
      <c r="C1688">
        <v>1978</v>
      </c>
      <c r="D1688" s="3" t="s">
        <v>19</v>
      </c>
      <c r="E1688" s="3" t="s">
        <v>19</v>
      </c>
      <c r="F1688">
        <v>5</v>
      </c>
      <c r="G1688" s="7">
        <v>28738</v>
      </c>
      <c r="H1688">
        <v>2</v>
      </c>
      <c r="I1688" s="3" t="s">
        <v>10061</v>
      </c>
      <c r="J1688" s="3" t="s">
        <v>10</v>
      </c>
      <c r="K1688" s="3" t="s">
        <v>15</v>
      </c>
      <c r="L1688" s="3" t="s">
        <v>41</v>
      </c>
      <c r="M1688">
        <v>48</v>
      </c>
      <c r="N1688" s="3"/>
    </row>
    <row r="1689" spans="1:14" x14ac:dyDescent="0.25">
      <c r="A1689" s="3" t="s">
        <v>1719</v>
      </c>
      <c r="B1689">
        <v>1971</v>
      </c>
      <c r="C1689">
        <v>1971</v>
      </c>
      <c r="D1689" s="3" t="s">
        <v>14</v>
      </c>
      <c r="E1689" s="3" t="s">
        <v>14</v>
      </c>
      <c r="F1689">
        <v>25</v>
      </c>
      <c r="G1689" s="7">
        <v>26262</v>
      </c>
      <c r="H1689">
        <v>0</v>
      </c>
      <c r="I1689" s="3" t="s">
        <v>10062</v>
      </c>
      <c r="J1689" s="3" t="s">
        <v>10</v>
      </c>
      <c r="K1689" s="3" t="s">
        <v>15</v>
      </c>
      <c r="L1689" s="3" t="s">
        <v>248</v>
      </c>
      <c r="M1689">
        <v>55</v>
      </c>
      <c r="N1689" s="3"/>
    </row>
    <row r="1690" spans="1:14" x14ac:dyDescent="0.25">
      <c r="A1690" s="3" t="s">
        <v>1720</v>
      </c>
      <c r="B1690">
        <v>1962</v>
      </c>
      <c r="C1690">
        <v>1962</v>
      </c>
      <c r="D1690" s="3" t="s">
        <v>36</v>
      </c>
      <c r="E1690" s="3" t="s">
        <v>36</v>
      </c>
      <c r="F1690">
        <v>25</v>
      </c>
      <c r="G1690" s="7">
        <v>22944</v>
      </c>
      <c r="H1690">
        <v>0</v>
      </c>
      <c r="I1690" s="3" t="s">
        <v>10063</v>
      </c>
      <c r="J1690" s="3" t="s">
        <v>10</v>
      </c>
      <c r="K1690" s="3" t="s">
        <v>10</v>
      </c>
      <c r="L1690" s="3" t="s">
        <v>22</v>
      </c>
      <c r="M1690">
        <v>64</v>
      </c>
      <c r="N1690" s="3"/>
    </row>
    <row r="1691" spans="1:14" x14ac:dyDescent="0.25">
      <c r="A1691" s="3" t="s">
        <v>1721</v>
      </c>
      <c r="B1691">
        <v>1959</v>
      </c>
      <c r="C1691">
        <v>1959</v>
      </c>
      <c r="D1691" s="3" t="s">
        <v>17</v>
      </c>
      <c r="E1691" s="3" t="s">
        <v>17</v>
      </c>
      <c r="F1691">
        <v>4</v>
      </c>
      <c r="G1691" s="7">
        <v>21705</v>
      </c>
      <c r="H1691">
        <v>3</v>
      </c>
      <c r="I1691" s="3" t="s">
        <v>10064</v>
      </c>
      <c r="J1691" s="3" t="s">
        <v>10</v>
      </c>
      <c r="K1691" s="3" t="s">
        <v>15</v>
      </c>
      <c r="L1691" s="3" t="s">
        <v>12</v>
      </c>
      <c r="M1691">
        <v>67</v>
      </c>
      <c r="N1691" s="3"/>
    </row>
    <row r="1692" spans="1:14" x14ac:dyDescent="0.25">
      <c r="A1692" s="3" t="s">
        <v>1722</v>
      </c>
      <c r="B1692">
        <v>1959</v>
      </c>
      <c r="C1692">
        <v>1959</v>
      </c>
      <c r="D1692" s="3" t="s">
        <v>29</v>
      </c>
      <c r="E1692" s="3" t="s">
        <v>29</v>
      </c>
      <c r="F1692">
        <v>3</v>
      </c>
      <c r="G1692" s="7">
        <v>21887</v>
      </c>
      <c r="H1692">
        <v>3</v>
      </c>
      <c r="I1692" s="3" t="s">
        <v>10065</v>
      </c>
      <c r="J1692" s="3" t="s">
        <v>10</v>
      </c>
      <c r="K1692" s="3" t="s">
        <v>11</v>
      </c>
      <c r="L1692" s="3" t="s">
        <v>41</v>
      </c>
      <c r="M1692">
        <v>67</v>
      </c>
      <c r="N1692" s="3"/>
    </row>
    <row r="1693" spans="1:14" x14ac:dyDescent="0.25">
      <c r="A1693" s="3" t="s">
        <v>1723</v>
      </c>
      <c r="B1693">
        <v>1962</v>
      </c>
      <c r="C1693">
        <v>1962</v>
      </c>
      <c r="D1693" s="3" t="s">
        <v>17</v>
      </c>
      <c r="E1693" s="3" t="s">
        <v>17</v>
      </c>
      <c r="F1693">
        <v>17</v>
      </c>
      <c r="G1693" s="7">
        <v>22814</v>
      </c>
      <c r="H1693">
        <v>0</v>
      </c>
      <c r="I1693" s="3" t="s">
        <v>10066</v>
      </c>
      <c r="J1693" s="3" t="s">
        <v>10</v>
      </c>
      <c r="K1693" s="3" t="s">
        <v>15</v>
      </c>
      <c r="L1693" s="3" t="s">
        <v>22</v>
      </c>
      <c r="M1693">
        <v>64</v>
      </c>
      <c r="N1693" s="3"/>
    </row>
    <row r="1694" spans="1:14" x14ac:dyDescent="0.25">
      <c r="A1694" s="3" t="s">
        <v>1724</v>
      </c>
      <c r="B1694">
        <v>1978</v>
      </c>
      <c r="C1694">
        <v>1978</v>
      </c>
      <c r="D1694" s="3" t="s">
        <v>14</v>
      </c>
      <c r="E1694" s="3" t="s">
        <v>14</v>
      </c>
      <c r="F1694">
        <v>23</v>
      </c>
      <c r="G1694" s="7">
        <v>28817</v>
      </c>
      <c r="H1694">
        <v>2</v>
      </c>
      <c r="I1694" s="3" t="s">
        <v>10067</v>
      </c>
      <c r="J1694" s="3" t="s">
        <v>10</v>
      </c>
      <c r="K1694" s="3" t="s">
        <v>15</v>
      </c>
      <c r="L1694" s="3" t="s">
        <v>22</v>
      </c>
      <c r="M1694">
        <v>48</v>
      </c>
      <c r="N1694" s="3"/>
    </row>
    <row r="1695" spans="1:14" x14ac:dyDescent="0.25">
      <c r="A1695" s="3" t="s">
        <v>1725</v>
      </c>
      <c r="B1695">
        <v>1960</v>
      </c>
      <c r="C1695">
        <v>1960</v>
      </c>
      <c r="D1695" s="3" t="s">
        <v>9</v>
      </c>
      <c r="E1695" s="3" t="s">
        <v>9</v>
      </c>
      <c r="F1695">
        <v>25</v>
      </c>
      <c r="G1695" s="7">
        <v>22122</v>
      </c>
      <c r="H1695">
        <v>2</v>
      </c>
      <c r="I1695" s="3" t="s">
        <v>10068</v>
      </c>
      <c r="J1695" s="3" t="s">
        <v>10</v>
      </c>
      <c r="K1695" s="3" t="s">
        <v>10</v>
      </c>
      <c r="L1695" s="3" t="s">
        <v>246</v>
      </c>
      <c r="M1695">
        <v>66</v>
      </c>
      <c r="N1695" s="3"/>
    </row>
    <row r="1696" spans="1:14" x14ac:dyDescent="0.25">
      <c r="A1696" s="3" t="s">
        <v>1726</v>
      </c>
      <c r="B1696">
        <v>1969</v>
      </c>
      <c r="C1696">
        <v>1969</v>
      </c>
      <c r="D1696" s="3" t="s">
        <v>19</v>
      </c>
      <c r="E1696" s="3" t="s">
        <v>19</v>
      </c>
      <c r="F1696">
        <v>16</v>
      </c>
      <c r="G1696" s="7">
        <v>25462</v>
      </c>
      <c r="H1696">
        <v>0</v>
      </c>
      <c r="I1696" s="3" t="s">
        <v>10069</v>
      </c>
      <c r="J1696" s="3" t="s">
        <v>10</v>
      </c>
      <c r="K1696" s="3" t="s">
        <v>10</v>
      </c>
      <c r="L1696" s="3" t="s">
        <v>248</v>
      </c>
      <c r="M1696">
        <v>57</v>
      </c>
      <c r="N1696" s="3"/>
    </row>
    <row r="1697" spans="1:14" x14ac:dyDescent="0.25">
      <c r="A1697" s="3" t="s">
        <v>1727</v>
      </c>
      <c r="B1697">
        <v>1963</v>
      </c>
      <c r="C1697">
        <v>1963</v>
      </c>
      <c r="D1697" s="3" t="s">
        <v>29</v>
      </c>
      <c r="E1697" s="3" t="s">
        <v>29</v>
      </c>
      <c r="F1697">
        <v>13</v>
      </c>
      <c r="G1697" s="7">
        <v>23358</v>
      </c>
      <c r="H1697">
        <v>0</v>
      </c>
      <c r="I1697" s="3" t="s">
        <v>10070</v>
      </c>
      <c r="J1697" s="3" t="s">
        <v>10</v>
      </c>
      <c r="K1697" s="3" t="s">
        <v>11</v>
      </c>
      <c r="L1697" s="3" t="s">
        <v>299</v>
      </c>
      <c r="M1697">
        <v>63</v>
      </c>
      <c r="N1697" s="3"/>
    </row>
    <row r="1698" spans="1:14" x14ac:dyDescent="0.25">
      <c r="A1698" s="3" t="s">
        <v>1728</v>
      </c>
      <c r="B1698">
        <v>2001</v>
      </c>
      <c r="C1698">
        <v>2001</v>
      </c>
      <c r="D1698" s="3" t="s">
        <v>9</v>
      </c>
      <c r="E1698" s="3" t="s">
        <v>9</v>
      </c>
      <c r="F1698">
        <v>14</v>
      </c>
      <c r="G1698" s="7">
        <v>37086</v>
      </c>
      <c r="H1698">
        <v>1</v>
      </c>
      <c r="I1698" s="3" t="s">
        <v>10071</v>
      </c>
      <c r="J1698" s="3" t="s">
        <v>10</v>
      </c>
      <c r="K1698" s="3" t="s">
        <v>11</v>
      </c>
      <c r="L1698" s="3" t="s">
        <v>246</v>
      </c>
      <c r="M1698">
        <v>25</v>
      </c>
      <c r="N1698" s="3"/>
    </row>
    <row r="1699" spans="1:14" x14ac:dyDescent="0.25">
      <c r="A1699" s="3" t="s">
        <v>1729</v>
      </c>
      <c r="B1699">
        <v>1988</v>
      </c>
      <c r="C1699">
        <v>1988</v>
      </c>
      <c r="D1699" s="3" t="s">
        <v>29</v>
      </c>
      <c r="E1699" s="3" t="s">
        <v>29</v>
      </c>
      <c r="F1699">
        <v>17</v>
      </c>
      <c r="G1699" s="7">
        <v>32494</v>
      </c>
      <c r="H1699">
        <v>3</v>
      </c>
      <c r="I1699" s="3" t="s">
        <v>10072</v>
      </c>
      <c r="J1699" s="3" t="s">
        <v>10</v>
      </c>
      <c r="K1699" s="3" t="s">
        <v>11</v>
      </c>
      <c r="L1699" s="3" t="s">
        <v>248</v>
      </c>
      <c r="M1699">
        <v>38</v>
      </c>
      <c r="N1699" s="3"/>
    </row>
    <row r="1700" spans="1:14" x14ac:dyDescent="0.25">
      <c r="A1700" s="3" t="s">
        <v>1730</v>
      </c>
      <c r="B1700">
        <v>1968</v>
      </c>
      <c r="C1700">
        <v>1968</v>
      </c>
      <c r="D1700" s="3" t="s">
        <v>9</v>
      </c>
      <c r="E1700" s="3" t="s">
        <v>9</v>
      </c>
      <c r="F1700">
        <v>18</v>
      </c>
      <c r="G1700" s="7">
        <v>25037</v>
      </c>
      <c r="H1700">
        <v>0</v>
      </c>
      <c r="I1700" s="3" t="s">
        <v>10073</v>
      </c>
      <c r="J1700" s="3" t="s">
        <v>10</v>
      </c>
      <c r="K1700" s="3" t="s">
        <v>15</v>
      </c>
      <c r="L1700" s="3" t="s">
        <v>534</v>
      </c>
      <c r="M1700">
        <v>58</v>
      </c>
      <c r="N1700" s="3"/>
    </row>
    <row r="1701" spans="1:14" x14ac:dyDescent="0.25">
      <c r="A1701" s="3" t="s">
        <v>1731</v>
      </c>
      <c r="B1701">
        <v>1962</v>
      </c>
      <c r="C1701">
        <v>1962</v>
      </c>
      <c r="D1701" s="3" t="s">
        <v>19</v>
      </c>
      <c r="E1701" s="3" t="s">
        <v>19</v>
      </c>
      <c r="F1701">
        <v>6</v>
      </c>
      <c r="G1701" s="7">
        <v>22895</v>
      </c>
      <c r="H1701">
        <v>0</v>
      </c>
      <c r="I1701" s="3" t="s">
        <v>10074</v>
      </c>
      <c r="J1701" s="3" t="s">
        <v>10</v>
      </c>
      <c r="K1701" s="3" t="s">
        <v>10</v>
      </c>
      <c r="L1701" s="3" t="s">
        <v>41</v>
      </c>
      <c r="M1701">
        <v>64</v>
      </c>
      <c r="N1701" s="3"/>
    </row>
    <row r="1702" spans="1:14" x14ac:dyDescent="0.25">
      <c r="A1702" s="3" t="s">
        <v>1732</v>
      </c>
      <c r="B1702">
        <v>1964</v>
      </c>
      <c r="C1702">
        <v>1964</v>
      </c>
      <c r="D1702" s="3" t="s">
        <v>19</v>
      </c>
      <c r="E1702" s="3" t="s">
        <v>19</v>
      </c>
      <c r="F1702">
        <v>4</v>
      </c>
      <c r="G1702" s="7">
        <v>23624</v>
      </c>
      <c r="H1702">
        <v>0</v>
      </c>
      <c r="I1702" s="3" t="s">
        <v>10075</v>
      </c>
      <c r="J1702" s="3" t="s">
        <v>10</v>
      </c>
      <c r="K1702" s="3" t="s">
        <v>10</v>
      </c>
      <c r="L1702" s="3" t="s">
        <v>22</v>
      </c>
      <c r="M1702">
        <v>62</v>
      </c>
      <c r="N1702" s="3"/>
    </row>
    <row r="1703" spans="1:14" x14ac:dyDescent="0.25">
      <c r="A1703" s="3" t="s">
        <v>1733</v>
      </c>
      <c r="B1703">
        <v>1990</v>
      </c>
      <c r="C1703">
        <v>1990</v>
      </c>
      <c r="D1703" s="3" t="s">
        <v>36</v>
      </c>
      <c r="E1703" s="3" t="s">
        <v>36</v>
      </c>
      <c r="F1703">
        <v>25</v>
      </c>
      <c r="G1703" s="7">
        <v>33171</v>
      </c>
      <c r="H1703">
        <v>3</v>
      </c>
      <c r="I1703" s="3" t="s">
        <v>10076</v>
      </c>
      <c r="J1703" s="3" t="s">
        <v>10</v>
      </c>
      <c r="K1703" s="3" t="s">
        <v>15</v>
      </c>
      <c r="L1703" s="3" t="s">
        <v>22</v>
      </c>
      <c r="M1703">
        <v>36</v>
      </c>
      <c r="N1703" s="3"/>
    </row>
    <row r="1704" spans="1:14" x14ac:dyDescent="0.25">
      <c r="A1704" s="3" t="s">
        <v>1734</v>
      </c>
      <c r="B1704">
        <v>1976</v>
      </c>
      <c r="C1704">
        <v>1976</v>
      </c>
      <c r="D1704" s="3" t="s">
        <v>9</v>
      </c>
      <c r="E1704" s="3" t="s">
        <v>9</v>
      </c>
      <c r="F1704">
        <v>20</v>
      </c>
      <c r="G1704" s="7">
        <v>27961</v>
      </c>
      <c r="H1704">
        <v>2</v>
      </c>
      <c r="I1704" s="3" t="s">
        <v>10077</v>
      </c>
      <c r="J1704" s="3" t="s">
        <v>10</v>
      </c>
      <c r="K1704" s="3" t="s">
        <v>15</v>
      </c>
      <c r="L1704" s="3" t="s">
        <v>534</v>
      </c>
      <c r="M1704">
        <v>50</v>
      </c>
      <c r="N1704" s="3"/>
    </row>
    <row r="1705" spans="1:14" x14ac:dyDescent="0.25">
      <c r="A1705" s="3" t="s">
        <v>1735</v>
      </c>
      <c r="B1705">
        <v>2004</v>
      </c>
      <c r="C1705">
        <v>2004</v>
      </c>
      <c r="D1705" s="3" t="s">
        <v>9</v>
      </c>
      <c r="E1705" s="3" t="s">
        <v>9</v>
      </c>
      <c r="F1705">
        <v>17</v>
      </c>
      <c r="G1705" s="7">
        <v>38185</v>
      </c>
      <c r="H1705">
        <v>0</v>
      </c>
      <c r="I1705" s="3" t="s">
        <v>10078</v>
      </c>
      <c r="J1705" s="3" t="s">
        <v>10</v>
      </c>
      <c r="K1705" s="3" t="s">
        <v>11</v>
      </c>
      <c r="L1705" s="3" t="s">
        <v>163</v>
      </c>
      <c r="M1705">
        <v>22</v>
      </c>
      <c r="N1705" s="3"/>
    </row>
    <row r="1706" spans="1:14" x14ac:dyDescent="0.25">
      <c r="A1706" s="3" t="s">
        <v>1736</v>
      </c>
      <c r="B1706">
        <v>1974</v>
      </c>
      <c r="C1706">
        <v>1974</v>
      </c>
      <c r="D1706" s="3" t="s">
        <v>17</v>
      </c>
      <c r="E1706" s="3" t="s">
        <v>17</v>
      </c>
      <c r="F1706">
        <v>28</v>
      </c>
      <c r="G1706" s="7">
        <v>27208</v>
      </c>
      <c r="H1706">
        <v>0</v>
      </c>
      <c r="I1706" s="3" t="s">
        <v>10079</v>
      </c>
      <c r="J1706" s="3" t="s">
        <v>10</v>
      </c>
      <c r="K1706" s="3" t="s">
        <v>10</v>
      </c>
      <c r="L1706" s="3" t="s">
        <v>534</v>
      </c>
      <c r="M1706">
        <v>52</v>
      </c>
      <c r="N1706" s="3"/>
    </row>
    <row r="1707" spans="1:14" x14ac:dyDescent="0.25">
      <c r="A1707" s="3" t="s">
        <v>1737</v>
      </c>
      <c r="B1707">
        <v>1959</v>
      </c>
      <c r="C1707">
        <v>1959</v>
      </c>
      <c r="D1707" s="3" t="s">
        <v>36</v>
      </c>
      <c r="E1707" s="3" t="s">
        <v>36</v>
      </c>
      <c r="F1707">
        <v>2</v>
      </c>
      <c r="G1707" s="7">
        <v>21825</v>
      </c>
      <c r="H1707">
        <v>3</v>
      </c>
      <c r="I1707" s="3" t="s">
        <v>10080</v>
      </c>
      <c r="J1707" s="3" t="s">
        <v>10</v>
      </c>
      <c r="K1707" s="3" t="s">
        <v>11</v>
      </c>
      <c r="L1707" s="3" t="s">
        <v>22</v>
      </c>
      <c r="M1707">
        <v>67</v>
      </c>
      <c r="N1707" s="3"/>
    </row>
    <row r="1708" spans="1:14" x14ac:dyDescent="0.25">
      <c r="A1708" s="3" t="s">
        <v>1738</v>
      </c>
      <c r="B1708">
        <v>1974</v>
      </c>
      <c r="C1708">
        <v>1974</v>
      </c>
      <c r="D1708" s="3" t="s">
        <v>9</v>
      </c>
      <c r="E1708" s="3" t="s">
        <v>9</v>
      </c>
      <c r="F1708">
        <v>30</v>
      </c>
      <c r="G1708" s="7">
        <v>27240</v>
      </c>
      <c r="H1708">
        <v>0</v>
      </c>
      <c r="I1708" s="3" t="s">
        <v>10081</v>
      </c>
      <c r="J1708" s="3" t="s">
        <v>10</v>
      </c>
      <c r="K1708" s="3" t="s">
        <v>10</v>
      </c>
      <c r="L1708" s="3" t="s">
        <v>22</v>
      </c>
      <c r="M1708">
        <v>52</v>
      </c>
      <c r="N1708" s="3"/>
    </row>
    <row r="1709" spans="1:14" x14ac:dyDescent="0.25">
      <c r="A1709" s="3" t="s">
        <v>1739</v>
      </c>
      <c r="B1709">
        <v>1965</v>
      </c>
      <c r="C1709">
        <v>1965</v>
      </c>
      <c r="D1709" s="3" t="s">
        <v>36</v>
      </c>
      <c r="E1709" s="3" t="s">
        <v>36</v>
      </c>
      <c r="F1709">
        <v>28</v>
      </c>
      <c r="G1709" s="7">
        <v>24043</v>
      </c>
      <c r="H1709">
        <v>0</v>
      </c>
      <c r="I1709" s="3" t="s">
        <v>10082</v>
      </c>
      <c r="J1709" s="3" t="s">
        <v>10</v>
      </c>
      <c r="K1709" s="3" t="s">
        <v>10</v>
      </c>
      <c r="L1709" s="3" t="s">
        <v>534</v>
      </c>
      <c r="M1709">
        <v>61</v>
      </c>
      <c r="N1709" s="3"/>
    </row>
    <row r="1710" spans="1:14" x14ac:dyDescent="0.25">
      <c r="A1710" s="3" t="s">
        <v>1740</v>
      </c>
      <c r="B1710">
        <v>1960</v>
      </c>
      <c r="C1710">
        <v>1960</v>
      </c>
      <c r="D1710" s="3" t="s">
        <v>17</v>
      </c>
      <c r="E1710" s="3" t="s">
        <v>17</v>
      </c>
      <c r="F1710">
        <v>6</v>
      </c>
      <c r="G1710" s="7">
        <v>22073</v>
      </c>
      <c r="H1710">
        <v>3</v>
      </c>
      <c r="I1710" s="3" t="s">
        <v>10083</v>
      </c>
      <c r="J1710" s="3" t="s">
        <v>10</v>
      </c>
      <c r="K1710" s="3" t="s">
        <v>10</v>
      </c>
      <c r="L1710" s="3" t="s">
        <v>22</v>
      </c>
      <c r="M1710">
        <v>66</v>
      </c>
      <c r="N1710" s="3"/>
    </row>
    <row r="1711" spans="1:14" x14ac:dyDescent="0.25">
      <c r="A1711" s="3" t="s">
        <v>1741</v>
      </c>
      <c r="B1711">
        <v>1988</v>
      </c>
      <c r="C1711">
        <v>1988</v>
      </c>
      <c r="D1711" s="3" t="s">
        <v>29</v>
      </c>
      <c r="E1711" s="3" t="s">
        <v>29</v>
      </c>
      <c r="F1711">
        <v>22</v>
      </c>
      <c r="G1711" s="7">
        <v>32499</v>
      </c>
      <c r="H1711">
        <v>3</v>
      </c>
      <c r="I1711" s="3" t="s">
        <v>10084</v>
      </c>
      <c r="J1711" s="3" t="s">
        <v>10</v>
      </c>
      <c r="K1711" s="3" t="s">
        <v>10</v>
      </c>
      <c r="L1711" s="3" t="s">
        <v>41</v>
      </c>
      <c r="M1711">
        <v>38</v>
      </c>
      <c r="N1711" s="3"/>
    </row>
    <row r="1712" spans="1:14" x14ac:dyDescent="0.25">
      <c r="A1712" s="3" t="s">
        <v>1742</v>
      </c>
      <c r="B1712">
        <v>1973</v>
      </c>
      <c r="C1712">
        <v>1973</v>
      </c>
      <c r="D1712" s="3" t="s">
        <v>17</v>
      </c>
      <c r="E1712" s="3" t="s">
        <v>17</v>
      </c>
      <c r="F1712">
        <v>26</v>
      </c>
      <c r="G1712" s="7">
        <v>26841</v>
      </c>
      <c r="H1712">
        <v>0</v>
      </c>
      <c r="I1712" s="3" t="s">
        <v>10085</v>
      </c>
      <c r="J1712" s="3" t="s">
        <v>10</v>
      </c>
      <c r="K1712" s="3" t="s">
        <v>10</v>
      </c>
      <c r="L1712" s="3" t="s">
        <v>534</v>
      </c>
      <c r="M1712">
        <v>53</v>
      </c>
      <c r="N1712" s="3"/>
    </row>
    <row r="1713" spans="1:14" x14ac:dyDescent="0.25">
      <c r="A1713" s="3" t="s">
        <v>1743</v>
      </c>
      <c r="B1713">
        <v>1976</v>
      </c>
      <c r="C1713">
        <v>1976</v>
      </c>
      <c r="D1713" s="3" t="s">
        <v>19</v>
      </c>
      <c r="E1713" s="3" t="s">
        <v>19</v>
      </c>
      <c r="F1713">
        <v>20</v>
      </c>
      <c r="G1713" s="7">
        <v>28023</v>
      </c>
      <c r="H1713">
        <v>2</v>
      </c>
      <c r="I1713" s="3" t="s">
        <v>10086</v>
      </c>
      <c r="J1713" s="3" t="s">
        <v>10</v>
      </c>
      <c r="K1713" s="3" t="s">
        <v>10</v>
      </c>
      <c r="L1713" s="3" t="s">
        <v>22</v>
      </c>
      <c r="M1713">
        <v>50</v>
      </c>
      <c r="N1713" s="3"/>
    </row>
    <row r="1714" spans="1:14" x14ac:dyDescent="0.25">
      <c r="A1714" s="3" t="s">
        <v>1744</v>
      </c>
      <c r="B1714">
        <v>1974</v>
      </c>
      <c r="C1714">
        <v>1974</v>
      </c>
      <c r="D1714" s="3" t="s">
        <v>34</v>
      </c>
      <c r="E1714" s="3" t="s">
        <v>34</v>
      </c>
      <c r="F1714">
        <v>29</v>
      </c>
      <c r="G1714" s="7">
        <v>27270</v>
      </c>
      <c r="H1714">
        <v>0</v>
      </c>
      <c r="I1714" s="3" t="s">
        <v>10087</v>
      </c>
      <c r="J1714" s="3" t="s">
        <v>10</v>
      </c>
      <c r="K1714" s="3" t="s">
        <v>15</v>
      </c>
      <c r="L1714" s="3" t="s">
        <v>22</v>
      </c>
      <c r="M1714">
        <v>52</v>
      </c>
      <c r="N1714" s="3"/>
    </row>
    <row r="1715" spans="1:14" x14ac:dyDescent="0.25">
      <c r="A1715" s="3" t="s">
        <v>1745</v>
      </c>
      <c r="B1715">
        <v>1997</v>
      </c>
      <c r="C1715">
        <v>1997</v>
      </c>
      <c r="D1715" s="3" t="s">
        <v>36</v>
      </c>
      <c r="E1715" s="3" t="s">
        <v>36</v>
      </c>
      <c r="F1715">
        <v>9</v>
      </c>
      <c r="G1715" s="7">
        <v>35712</v>
      </c>
      <c r="H1715">
        <v>0</v>
      </c>
      <c r="I1715" s="3" t="s">
        <v>10088</v>
      </c>
      <c r="J1715" s="3" t="s">
        <v>10</v>
      </c>
      <c r="K1715" s="3" t="s">
        <v>10</v>
      </c>
      <c r="L1715" s="3" t="s">
        <v>22</v>
      </c>
      <c r="M1715">
        <v>29</v>
      </c>
      <c r="N1715" s="3"/>
    </row>
    <row r="1716" spans="1:14" x14ac:dyDescent="0.25">
      <c r="A1716" s="3" t="s">
        <v>1746</v>
      </c>
      <c r="B1716">
        <v>1984</v>
      </c>
      <c r="C1716">
        <v>1984</v>
      </c>
      <c r="D1716" s="3" t="s">
        <v>17</v>
      </c>
      <c r="E1716" s="3" t="s">
        <v>17</v>
      </c>
      <c r="F1716">
        <v>26</v>
      </c>
      <c r="G1716" s="7">
        <v>30859</v>
      </c>
      <c r="H1716">
        <v>0</v>
      </c>
      <c r="I1716" s="3" t="s">
        <v>10089</v>
      </c>
      <c r="J1716" s="3" t="s">
        <v>10</v>
      </c>
      <c r="K1716" s="3" t="s">
        <v>11</v>
      </c>
      <c r="L1716" s="3" t="s">
        <v>41</v>
      </c>
      <c r="M1716">
        <v>42</v>
      </c>
      <c r="N1716" s="3"/>
    </row>
    <row r="1717" spans="1:14" x14ac:dyDescent="0.25">
      <c r="A1717" s="3" t="s">
        <v>1747</v>
      </c>
      <c r="B1717">
        <v>1982</v>
      </c>
      <c r="C1717">
        <v>1982</v>
      </c>
      <c r="D1717" s="3" t="s">
        <v>14</v>
      </c>
      <c r="E1717" s="3" t="s">
        <v>14</v>
      </c>
      <c r="F1717">
        <v>11</v>
      </c>
      <c r="G1717" s="7">
        <v>30266</v>
      </c>
      <c r="H1717">
        <v>4</v>
      </c>
      <c r="I1717" s="3" t="s">
        <v>10090</v>
      </c>
      <c r="J1717" s="3" t="s">
        <v>10</v>
      </c>
      <c r="K1717" s="3" t="s">
        <v>11</v>
      </c>
      <c r="L1717" s="3" t="s">
        <v>41</v>
      </c>
      <c r="M1717">
        <v>44</v>
      </c>
      <c r="N1717" s="3"/>
    </row>
    <row r="1718" spans="1:14" x14ac:dyDescent="0.25">
      <c r="A1718" s="3" t="s">
        <v>1748</v>
      </c>
      <c r="B1718">
        <v>1962</v>
      </c>
      <c r="C1718">
        <v>1962</v>
      </c>
      <c r="D1718" s="3" t="s">
        <v>29</v>
      </c>
      <c r="E1718" s="3" t="s">
        <v>29</v>
      </c>
      <c r="F1718">
        <v>25</v>
      </c>
      <c r="G1718" s="7">
        <v>23005</v>
      </c>
      <c r="H1718">
        <v>0</v>
      </c>
      <c r="I1718" s="3" t="s">
        <v>10091</v>
      </c>
      <c r="J1718" s="3" t="s">
        <v>10</v>
      </c>
      <c r="K1718" s="3" t="s">
        <v>15</v>
      </c>
      <c r="L1718" s="3" t="s">
        <v>631</v>
      </c>
      <c r="M1718">
        <v>64</v>
      </c>
      <c r="N1718" s="3"/>
    </row>
    <row r="1719" spans="1:14" x14ac:dyDescent="0.25">
      <c r="A1719" s="3" t="s">
        <v>1749</v>
      </c>
      <c r="B1719">
        <v>1980</v>
      </c>
      <c r="C1719">
        <v>1980</v>
      </c>
      <c r="D1719" s="3" t="s">
        <v>36</v>
      </c>
      <c r="E1719" s="3" t="s">
        <v>36</v>
      </c>
      <c r="F1719">
        <v>12</v>
      </c>
      <c r="G1719" s="7">
        <v>29506</v>
      </c>
      <c r="H1719">
        <v>2</v>
      </c>
      <c r="I1719" s="3" t="s">
        <v>10092</v>
      </c>
      <c r="J1719" s="3" t="s">
        <v>10</v>
      </c>
      <c r="K1719" s="3" t="s">
        <v>11</v>
      </c>
      <c r="L1719" s="3" t="s">
        <v>534</v>
      </c>
      <c r="M1719">
        <v>46</v>
      </c>
      <c r="N1719" s="3"/>
    </row>
    <row r="1720" spans="1:14" x14ac:dyDescent="0.25">
      <c r="A1720" s="3" t="s">
        <v>1750</v>
      </c>
      <c r="B1720">
        <v>1982</v>
      </c>
      <c r="C1720">
        <v>1982</v>
      </c>
      <c r="D1720" s="3" t="s">
        <v>9</v>
      </c>
      <c r="E1720" s="3" t="s">
        <v>9</v>
      </c>
      <c r="F1720">
        <v>24</v>
      </c>
      <c r="G1720" s="7">
        <v>30156</v>
      </c>
      <c r="H1720">
        <v>3</v>
      </c>
      <c r="I1720" s="3" t="s">
        <v>10093</v>
      </c>
      <c r="J1720" s="3" t="s">
        <v>10</v>
      </c>
      <c r="K1720" s="3" t="s">
        <v>15</v>
      </c>
      <c r="L1720" s="3" t="s">
        <v>22</v>
      </c>
      <c r="M1720">
        <v>44</v>
      </c>
      <c r="N1720" s="3"/>
    </row>
    <row r="1721" spans="1:14" x14ac:dyDescent="0.25">
      <c r="A1721" s="3" t="s">
        <v>1751</v>
      </c>
      <c r="B1721">
        <v>1980</v>
      </c>
      <c r="C1721">
        <v>1980</v>
      </c>
      <c r="D1721" s="3" t="s">
        <v>19</v>
      </c>
      <c r="E1721" s="3" t="s">
        <v>19</v>
      </c>
      <c r="F1721">
        <v>19</v>
      </c>
      <c r="G1721" s="7">
        <v>29483</v>
      </c>
      <c r="H1721">
        <v>2</v>
      </c>
      <c r="I1721" s="3" t="s">
        <v>10094</v>
      </c>
      <c r="J1721" s="3" t="s">
        <v>10</v>
      </c>
      <c r="K1721" s="3" t="s">
        <v>10</v>
      </c>
      <c r="L1721" s="3" t="s">
        <v>22</v>
      </c>
      <c r="M1721">
        <v>46</v>
      </c>
      <c r="N1721" s="3"/>
    </row>
    <row r="1722" spans="1:14" x14ac:dyDescent="0.25">
      <c r="A1722" s="3" t="s">
        <v>1752</v>
      </c>
      <c r="B1722">
        <v>1988</v>
      </c>
      <c r="C1722">
        <v>1988</v>
      </c>
      <c r="D1722" s="3" t="s">
        <v>29</v>
      </c>
      <c r="E1722" s="3" t="s">
        <v>29</v>
      </c>
      <c r="F1722">
        <v>5</v>
      </c>
      <c r="G1722" s="7">
        <v>32482</v>
      </c>
      <c r="H1722">
        <v>3</v>
      </c>
      <c r="I1722" s="3" t="s">
        <v>10095</v>
      </c>
      <c r="J1722" s="3" t="s">
        <v>10</v>
      </c>
      <c r="K1722" s="3" t="s">
        <v>11</v>
      </c>
      <c r="L1722" s="3" t="s">
        <v>22</v>
      </c>
      <c r="M1722">
        <v>38</v>
      </c>
      <c r="N1722" s="3"/>
    </row>
    <row r="1723" spans="1:14" x14ac:dyDescent="0.25">
      <c r="A1723" s="3" t="s">
        <v>1753</v>
      </c>
      <c r="B1723">
        <v>1978</v>
      </c>
      <c r="C1723">
        <v>1978</v>
      </c>
      <c r="D1723" s="3" t="s">
        <v>19</v>
      </c>
      <c r="E1723" s="3" t="s">
        <v>19</v>
      </c>
      <c r="F1723">
        <v>16</v>
      </c>
      <c r="G1723" s="7">
        <v>28749</v>
      </c>
      <c r="H1723">
        <v>2</v>
      </c>
      <c r="I1723" s="3" t="s">
        <v>10096</v>
      </c>
      <c r="J1723" s="3" t="s">
        <v>10</v>
      </c>
      <c r="K1723" s="3" t="s">
        <v>10</v>
      </c>
      <c r="L1723" s="3" t="s">
        <v>534</v>
      </c>
      <c r="M1723">
        <v>48</v>
      </c>
      <c r="N1723" s="3"/>
    </row>
    <row r="1724" spans="1:14" x14ac:dyDescent="0.25">
      <c r="A1724" s="3" t="s">
        <v>1754</v>
      </c>
      <c r="B1724">
        <v>1958</v>
      </c>
      <c r="C1724">
        <v>1958</v>
      </c>
      <c r="D1724" s="3" t="s">
        <v>36</v>
      </c>
      <c r="E1724" s="3" t="s">
        <v>36</v>
      </c>
      <c r="F1724">
        <v>22</v>
      </c>
      <c r="G1724" s="7">
        <v>21480</v>
      </c>
      <c r="H1724">
        <v>2</v>
      </c>
      <c r="I1724" s="3" t="s">
        <v>10097</v>
      </c>
      <c r="J1724" s="3" t="s">
        <v>10</v>
      </c>
      <c r="K1724" s="3" t="s">
        <v>10</v>
      </c>
      <c r="L1724" s="3" t="s">
        <v>246</v>
      </c>
      <c r="M1724">
        <v>68</v>
      </c>
      <c r="N1724" s="3"/>
    </row>
    <row r="1725" spans="1:14" x14ac:dyDescent="0.25">
      <c r="A1725" s="3" t="s">
        <v>1755</v>
      </c>
      <c r="B1725">
        <v>1958</v>
      </c>
      <c r="C1725">
        <v>1958</v>
      </c>
      <c r="D1725" s="3" t="s">
        <v>17</v>
      </c>
      <c r="E1725" s="3" t="s">
        <v>17</v>
      </c>
      <c r="F1725">
        <v>21</v>
      </c>
      <c r="G1725" s="7">
        <v>21357</v>
      </c>
      <c r="H1725">
        <v>3</v>
      </c>
      <c r="I1725" s="3" t="s">
        <v>10098</v>
      </c>
      <c r="J1725" s="3" t="s">
        <v>10</v>
      </c>
      <c r="K1725" s="3" t="s">
        <v>10</v>
      </c>
      <c r="L1725" s="3" t="s">
        <v>12</v>
      </c>
      <c r="M1725">
        <v>68</v>
      </c>
      <c r="N1725" s="3"/>
    </row>
    <row r="1726" spans="1:14" x14ac:dyDescent="0.25">
      <c r="A1726" s="3" t="s">
        <v>1756</v>
      </c>
      <c r="B1726">
        <v>1985</v>
      </c>
      <c r="C1726">
        <v>1985</v>
      </c>
      <c r="D1726" s="3" t="s">
        <v>34</v>
      </c>
      <c r="E1726" s="3" t="s">
        <v>34</v>
      </c>
      <c r="F1726">
        <v>27</v>
      </c>
      <c r="G1726" s="7">
        <v>31286</v>
      </c>
      <c r="H1726">
        <v>3</v>
      </c>
      <c r="I1726" s="3" t="s">
        <v>10099</v>
      </c>
      <c r="J1726" s="3" t="s">
        <v>10</v>
      </c>
      <c r="K1726" s="3" t="s">
        <v>11</v>
      </c>
      <c r="L1726" s="3" t="s">
        <v>22</v>
      </c>
      <c r="M1726">
        <v>41</v>
      </c>
      <c r="N1726" s="3"/>
    </row>
    <row r="1727" spans="1:14" x14ac:dyDescent="0.25">
      <c r="A1727" s="3" t="s">
        <v>1757</v>
      </c>
      <c r="B1727">
        <v>1993</v>
      </c>
      <c r="C1727">
        <v>1993</v>
      </c>
      <c r="D1727" s="3" t="s">
        <v>34</v>
      </c>
      <c r="E1727" s="3" t="s">
        <v>34</v>
      </c>
      <c r="F1727">
        <v>8</v>
      </c>
      <c r="G1727" s="7">
        <v>34189</v>
      </c>
      <c r="H1727">
        <v>0</v>
      </c>
      <c r="I1727" s="3" t="s">
        <v>10100</v>
      </c>
      <c r="J1727" s="3" t="s">
        <v>10</v>
      </c>
      <c r="K1727" s="3" t="s">
        <v>15</v>
      </c>
      <c r="L1727" s="3" t="s">
        <v>246</v>
      </c>
      <c r="M1727">
        <v>33</v>
      </c>
      <c r="N1727" s="3"/>
    </row>
    <row r="1728" spans="1:14" x14ac:dyDescent="0.25">
      <c r="A1728" s="3" t="s">
        <v>1758</v>
      </c>
      <c r="B1728">
        <v>1987</v>
      </c>
      <c r="C1728">
        <v>1987</v>
      </c>
      <c r="D1728" s="3" t="s">
        <v>36</v>
      </c>
      <c r="E1728" s="3" t="s">
        <v>36</v>
      </c>
      <c r="F1728">
        <v>6</v>
      </c>
      <c r="G1728" s="7">
        <v>32056</v>
      </c>
      <c r="H1728">
        <v>3</v>
      </c>
      <c r="I1728" s="3" t="s">
        <v>10101</v>
      </c>
      <c r="J1728" s="3" t="s">
        <v>10</v>
      </c>
      <c r="K1728" s="3" t="s">
        <v>15</v>
      </c>
      <c r="L1728" s="3" t="s">
        <v>41</v>
      </c>
      <c r="M1728">
        <v>39</v>
      </c>
      <c r="N1728" s="3"/>
    </row>
    <row r="1729" spans="1:14" x14ac:dyDescent="0.25">
      <c r="A1729" s="3" t="s">
        <v>1759</v>
      </c>
      <c r="B1729">
        <v>1993</v>
      </c>
      <c r="C1729">
        <v>1993</v>
      </c>
      <c r="D1729" s="3" t="s">
        <v>29</v>
      </c>
      <c r="E1729" s="3" t="s">
        <v>29</v>
      </c>
      <c r="F1729">
        <v>12</v>
      </c>
      <c r="G1729" s="7">
        <v>34315</v>
      </c>
      <c r="H1729">
        <v>0</v>
      </c>
      <c r="I1729" s="3" t="s">
        <v>10102</v>
      </c>
      <c r="J1729" s="3" t="s">
        <v>10</v>
      </c>
      <c r="K1729" s="3" t="s">
        <v>11</v>
      </c>
      <c r="L1729" s="3" t="s">
        <v>355</v>
      </c>
      <c r="M1729">
        <v>33</v>
      </c>
      <c r="N1729" s="3"/>
    </row>
    <row r="1730" spans="1:14" x14ac:dyDescent="0.25">
      <c r="A1730" s="3" t="s">
        <v>1760</v>
      </c>
      <c r="B1730">
        <v>1982</v>
      </c>
      <c r="C1730">
        <v>1982</v>
      </c>
      <c r="D1730" s="3" t="s">
        <v>9</v>
      </c>
      <c r="E1730" s="3" t="s">
        <v>9</v>
      </c>
      <c r="F1730">
        <v>6</v>
      </c>
      <c r="G1730" s="7">
        <v>30138</v>
      </c>
      <c r="H1730">
        <v>3</v>
      </c>
      <c r="I1730" s="3" t="s">
        <v>10103</v>
      </c>
      <c r="J1730" s="3" t="s">
        <v>10</v>
      </c>
      <c r="K1730" s="3" t="s">
        <v>15</v>
      </c>
      <c r="L1730" s="3" t="s">
        <v>534</v>
      </c>
      <c r="M1730">
        <v>44</v>
      </c>
      <c r="N1730" s="3"/>
    </row>
    <row r="1731" spans="1:14" x14ac:dyDescent="0.25">
      <c r="A1731" s="3" t="s">
        <v>1761</v>
      </c>
      <c r="B1731">
        <v>1974</v>
      </c>
      <c r="C1731">
        <v>1974</v>
      </c>
      <c r="D1731" s="3" t="s">
        <v>19</v>
      </c>
      <c r="E1731" s="3" t="s">
        <v>19</v>
      </c>
      <c r="F1731">
        <v>11</v>
      </c>
      <c r="G1731" s="7">
        <v>27283</v>
      </c>
      <c r="H1731">
        <v>0</v>
      </c>
      <c r="I1731" s="3" t="s">
        <v>10104</v>
      </c>
      <c r="J1731" s="3" t="s">
        <v>10</v>
      </c>
      <c r="K1731" s="3" t="s">
        <v>11</v>
      </c>
      <c r="L1731" s="3" t="s">
        <v>22</v>
      </c>
      <c r="M1731">
        <v>52</v>
      </c>
      <c r="N1731" s="3"/>
    </row>
    <row r="1732" spans="1:14" x14ac:dyDescent="0.25">
      <c r="A1732" s="3" t="s">
        <v>1762</v>
      </c>
      <c r="B1732">
        <v>1988</v>
      </c>
      <c r="C1732">
        <v>1988</v>
      </c>
      <c r="D1732" s="3" t="s">
        <v>34</v>
      </c>
      <c r="E1732" s="3" t="s">
        <v>34</v>
      </c>
      <c r="F1732">
        <v>6</v>
      </c>
      <c r="G1732" s="7">
        <v>32361</v>
      </c>
      <c r="H1732">
        <v>3</v>
      </c>
      <c r="I1732" s="3" t="s">
        <v>10105</v>
      </c>
      <c r="J1732" s="3" t="s">
        <v>10</v>
      </c>
      <c r="K1732" s="3" t="s">
        <v>10</v>
      </c>
      <c r="L1732" s="3" t="s">
        <v>22</v>
      </c>
      <c r="M1732">
        <v>38</v>
      </c>
      <c r="N1732" s="3"/>
    </row>
    <row r="1733" spans="1:14" x14ac:dyDescent="0.25">
      <c r="A1733" s="3" t="s">
        <v>1763</v>
      </c>
      <c r="B1733">
        <v>1988</v>
      </c>
      <c r="C1733">
        <v>1988</v>
      </c>
      <c r="D1733" s="3" t="s">
        <v>34</v>
      </c>
      <c r="E1733" s="3" t="s">
        <v>34</v>
      </c>
      <c r="F1733">
        <v>21</v>
      </c>
      <c r="G1733" s="7">
        <v>32376</v>
      </c>
      <c r="H1733">
        <v>3</v>
      </c>
      <c r="I1733" s="3" t="s">
        <v>10106</v>
      </c>
      <c r="J1733" s="3" t="s">
        <v>10</v>
      </c>
      <c r="K1733" s="3" t="s">
        <v>15</v>
      </c>
      <c r="L1733" s="3" t="s">
        <v>22</v>
      </c>
      <c r="M1733">
        <v>38</v>
      </c>
      <c r="N1733" s="3"/>
    </row>
    <row r="1734" spans="1:14" x14ac:dyDescent="0.25">
      <c r="A1734" s="3" t="s">
        <v>1764</v>
      </c>
      <c r="B1734">
        <v>2002</v>
      </c>
      <c r="C1734">
        <v>2002</v>
      </c>
      <c r="D1734" s="3" t="s">
        <v>19</v>
      </c>
      <c r="E1734" s="3" t="s">
        <v>19</v>
      </c>
      <c r="F1734">
        <v>8</v>
      </c>
      <c r="G1734" s="7">
        <v>37507</v>
      </c>
      <c r="H1734">
        <v>0</v>
      </c>
      <c r="I1734" s="3" t="s">
        <v>10107</v>
      </c>
      <c r="J1734" s="3" t="s">
        <v>10</v>
      </c>
      <c r="K1734" s="3" t="s">
        <v>15</v>
      </c>
      <c r="L1734" s="3" t="s">
        <v>41</v>
      </c>
      <c r="M1734">
        <v>24</v>
      </c>
      <c r="N1734" s="3"/>
    </row>
    <row r="1735" spans="1:14" x14ac:dyDescent="0.25">
      <c r="A1735" s="3" t="s">
        <v>1765</v>
      </c>
      <c r="B1735">
        <v>1972</v>
      </c>
      <c r="C1735">
        <v>1972</v>
      </c>
      <c r="D1735" s="3" t="s">
        <v>9</v>
      </c>
      <c r="E1735" s="3" t="s">
        <v>9</v>
      </c>
      <c r="F1735">
        <v>30</v>
      </c>
      <c r="G1735" s="7">
        <v>26510</v>
      </c>
      <c r="H1735">
        <v>0</v>
      </c>
      <c r="I1735" s="3" t="s">
        <v>10108</v>
      </c>
      <c r="J1735" s="3" t="s">
        <v>10</v>
      </c>
      <c r="K1735" s="3" t="s">
        <v>10</v>
      </c>
      <c r="L1735" s="3" t="s">
        <v>248</v>
      </c>
      <c r="M1735">
        <v>54</v>
      </c>
      <c r="N1735" s="3"/>
    </row>
    <row r="1736" spans="1:14" x14ac:dyDescent="0.25">
      <c r="A1736" s="3" t="s">
        <v>1766</v>
      </c>
      <c r="B1736">
        <v>2003</v>
      </c>
      <c r="C1736">
        <v>2003</v>
      </c>
      <c r="D1736" s="3" t="s">
        <v>34</v>
      </c>
      <c r="E1736" s="3" t="s">
        <v>34</v>
      </c>
      <c r="F1736">
        <v>24</v>
      </c>
      <c r="G1736" s="7">
        <v>37857</v>
      </c>
      <c r="H1736">
        <v>0</v>
      </c>
      <c r="I1736" s="3" t="s">
        <v>10109</v>
      </c>
      <c r="J1736" s="3" t="s">
        <v>10</v>
      </c>
      <c r="K1736" s="3" t="s">
        <v>11</v>
      </c>
      <c r="L1736" s="3" t="s">
        <v>41</v>
      </c>
      <c r="M1736">
        <v>23</v>
      </c>
      <c r="N1736" s="3"/>
    </row>
    <row r="1737" spans="1:14" x14ac:dyDescent="0.25">
      <c r="A1737" s="3" t="s">
        <v>1767</v>
      </c>
      <c r="B1737">
        <v>1969</v>
      </c>
      <c r="C1737">
        <v>1969</v>
      </c>
      <c r="D1737" s="3" t="s">
        <v>34</v>
      </c>
      <c r="E1737" s="3" t="s">
        <v>34</v>
      </c>
      <c r="F1737">
        <v>8</v>
      </c>
      <c r="G1737" s="7">
        <v>25423</v>
      </c>
      <c r="H1737">
        <v>0</v>
      </c>
      <c r="I1737" s="3" t="s">
        <v>10110</v>
      </c>
      <c r="J1737" s="3" t="s">
        <v>10</v>
      </c>
      <c r="K1737" s="3" t="s">
        <v>11</v>
      </c>
      <c r="L1737" s="3" t="s">
        <v>534</v>
      </c>
      <c r="M1737">
        <v>57</v>
      </c>
      <c r="N1737" s="3"/>
    </row>
    <row r="1738" spans="1:14" x14ac:dyDescent="0.25">
      <c r="A1738" s="3" t="s">
        <v>1768</v>
      </c>
      <c r="B1738">
        <v>1965</v>
      </c>
      <c r="C1738">
        <v>1965</v>
      </c>
      <c r="D1738" s="3" t="s">
        <v>29</v>
      </c>
      <c r="E1738" s="3" t="s">
        <v>29</v>
      </c>
      <c r="F1738">
        <v>5</v>
      </c>
      <c r="G1738" s="7">
        <v>24081</v>
      </c>
      <c r="H1738">
        <v>0</v>
      </c>
      <c r="I1738" s="3" t="s">
        <v>10111</v>
      </c>
      <c r="J1738" s="3" t="s">
        <v>10</v>
      </c>
      <c r="K1738" s="3" t="s">
        <v>11</v>
      </c>
      <c r="L1738" s="3" t="s">
        <v>534</v>
      </c>
      <c r="M1738">
        <v>61</v>
      </c>
      <c r="N1738" s="3"/>
    </row>
    <row r="1739" spans="1:14" x14ac:dyDescent="0.25">
      <c r="A1739" s="3" t="s">
        <v>1769</v>
      </c>
      <c r="B1739">
        <v>1995</v>
      </c>
      <c r="C1739">
        <v>1995</v>
      </c>
      <c r="D1739" s="3" t="s">
        <v>19</v>
      </c>
      <c r="E1739" s="3" t="s">
        <v>19</v>
      </c>
      <c r="F1739">
        <v>28</v>
      </c>
      <c r="G1739" s="7">
        <v>34970</v>
      </c>
      <c r="H1739">
        <v>3</v>
      </c>
      <c r="I1739" s="3" t="s">
        <v>10112</v>
      </c>
      <c r="J1739" s="3" t="s">
        <v>10</v>
      </c>
      <c r="K1739" s="3" t="s">
        <v>11</v>
      </c>
      <c r="L1739" s="3" t="s">
        <v>22</v>
      </c>
      <c r="M1739">
        <v>31</v>
      </c>
      <c r="N1739" s="3"/>
    </row>
    <row r="1740" spans="1:14" x14ac:dyDescent="0.25">
      <c r="A1740" s="3" t="s">
        <v>1770</v>
      </c>
      <c r="B1740">
        <v>2003</v>
      </c>
      <c r="C1740">
        <v>2003</v>
      </c>
      <c r="D1740" s="3" t="s">
        <v>29</v>
      </c>
      <c r="E1740" s="3" t="s">
        <v>29</v>
      </c>
      <c r="F1740">
        <v>20</v>
      </c>
      <c r="G1740" s="7">
        <v>37975</v>
      </c>
      <c r="H1740">
        <v>1</v>
      </c>
      <c r="I1740" s="3" t="s">
        <v>10113</v>
      </c>
      <c r="J1740" s="3" t="s">
        <v>10</v>
      </c>
      <c r="K1740" s="3" t="s">
        <v>15</v>
      </c>
      <c r="L1740" s="3" t="s">
        <v>22</v>
      </c>
      <c r="M1740">
        <v>23</v>
      </c>
      <c r="N1740" s="3"/>
    </row>
    <row r="1741" spans="1:14" x14ac:dyDescent="0.25">
      <c r="A1741" s="3" t="s">
        <v>1771</v>
      </c>
      <c r="B1741">
        <v>1958</v>
      </c>
      <c r="C1741">
        <v>1958</v>
      </c>
      <c r="D1741" s="3" t="s">
        <v>36</v>
      </c>
      <c r="E1741" s="3" t="s">
        <v>36</v>
      </c>
      <c r="F1741">
        <v>10</v>
      </c>
      <c r="G1741" s="7">
        <v>21468</v>
      </c>
      <c r="H1741">
        <v>3</v>
      </c>
      <c r="I1741" s="3" t="s">
        <v>10114</v>
      </c>
      <c r="J1741" s="3" t="s">
        <v>10</v>
      </c>
      <c r="K1741" s="3" t="s">
        <v>10</v>
      </c>
      <c r="L1741" s="3" t="s">
        <v>22</v>
      </c>
      <c r="M1741">
        <v>68</v>
      </c>
      <c r="N1741" s="3"/>
    </row>
    <row r="1742" spans="1:14" x14ac:dyDescent="0.25">
      <c r="A1742" s="3" t="s">
        <v>1772</v>
      </c>
      <c r="B1742">
        <v>1995</v>
      </c>
      <c r="C1742">
        <v>1995</v>
      </c>
      <c r="D1742" s="3" t="s">
        <v>29</v>
      </c>
      <c r="E1742" s="3" t="s">
        <v>29</v>
      </c>
      <c r="F1742">
        <v>23</v>
      </c>
      <c r="G1742" s="7">
        <v>35056</v>
      </c>
      <c r="H1742">
        <v>0</v>
      </c>
      <c r="I1742" s="3" t="s">
        <v>10115</v>
      </c>
      <c r="J1742" s="3" t="s">
        <v>10</v>
      </c>
      <c r="K1742" s="3" t="s">
        <v>15</v>
      </c>
      <c r="L1742" s="3" t="s">
        <v>12</v>
      </c>
      <c r="M1742">
        <v>31</v>
      </c>
      <c r="N1742" s="3"/>
    </row>
    <row r="1743" spans="1:14" x14ac:dyDescent="0.25">
      <c r="A1743" s="3" t="s">
        <v>1773</v>
      </c>
      <c r="B1743">
        <v>2001</v>
      </c>
      <c r="C1743">
        <v>2001</v>
      </c>
      <c r="D1743" s="3" t="s">
        <v>17</v>
      </c>
      <c r="E1743" s="3" t="s">
        <v>17</v>
      </c>
      <c r="F1743">
        <v>25</v>
      </c>
      <c r="G1743" s="7">
        <v>37067</v>
      </c>
      <c r="H1743">
        <v>0</v>
      </c>
      <c r="I1743" s="3" t="s">
        <v>10116</v>
      </c>
      <c r="J1743" s="3" t="s">
        <v>10</v>
      </c>
      <c r="K1743" s="3" t="s">
        <v>15</v>
      </c>
      <c r="L1743" s="3" t="s">
        <v>12</v>
      </c>
      <c r="M1743">
        <v>25</v>
      </c>
      <c r="N1743" s="3"/>
    </row>
    <row r="1744" spans="1:14" x14ac:dyDescent="0.25">
      <c r="A1744" s="3" t="s">
        <v>1774</v>
      </c>
      <c r="B1744">
        <v>1963</v>
      </c>
      <c r="C1744">
        <v>1963</v>
      </c>
      <c r="D1744" s="3" t="s">
        <v>17</v>
      </c>
      <c r="E1744" s="3" t="s">
        <v>17</v>
      </c>
      <c r="F1744">
        <v>25</v>
      </c>
      <c r="G1744" s="7">
        <v>23187</v>
      </c>
      <c r="H1744">
        <v>0</v>
      </c>
      <c r="I1744" s="3" t="s">
        <v>10117</v>
      </c>
      <c r="J1744" s="3" t="s">
        <v>10</v>
      </c>
      <c r="K1744" s="3" t="s">
        <v>10</v>
      </c>
      <c r="L1744" s="3" t="s">
        <v>248</v>
      </c>
      <c r="M1744">
        <v>63</v>
      </c>
      <c r="N1744" s="3"/>
    </row>
    <row r="1745" spans="1:14" x14ac:dyDescent="0.25">
      <c r="A1745" s="3" t="s">
        <v>1775</v>
      </c>
      <c r="B1745">
        <v>1970</v>
      </c>
      <c r="C1745">
        <v>1970</v>
      </c>
      <c r="D1745" s="3" t="s">
        <v>9</v>
      </c>
      <c r="E1745" s="3" t="s">
        <v>9</v>
      </c>
      <c r="F1745">
        <v>10</v>
      </c>
      <c r="G1745" s="7">
        <v>25759</v>
      </c>
      <c r="H1745">
        <v>0</v>
      </c>
      <c r="I1745" s="3" t="s">
        <v>10118</v>
      </c>
      <c r="J1745" s="3" t="s">
        <v>10</v>
      </c>
      <c r="K1745" s="3" t="s">
        <v>10</v>
      </c>
      <c r="L1745" s="3" t="s">
        <v>41</v>
      </c>
      <c r="M1745">
        <v>56</v>
      </c>
      <c r="N1745" s="3"/>
    </row>
    <row r="1746" spans="1:14" x14ac:dyDescent="0.25">
      <c r="A1746" s="3" t="s">
        <v>1776</v>
      </c>
      <c r="B1746">
        <v>1975</v>
      </c>
      <c r="C1746">
        <v>1975</v>
      </c>
      <c r="D1746" s="3" t="s">
        <v>9</v>
      </c>
      <c r="E1746" s="3" t="s">
        <v>9</v>
      </c>
      <c r="F1746">
        <v>24</v>
      </c>
      <c r="G1746" s="7">
        <v>27599</v>
      </c>
      <c r="H1746">
        <v>1</v>
      </c>
      <c r="I1746" s="3" t="s">
        <v>10119</v>
      </c>
      <c r="J1746" s="3" t="s">
        <v>10</v>
      </c>
      <c r="K1746" s="3" t="s">
        <v>15</v>
      </c>
      <c r="L1746" s="3" t="s">
        <v>534</v>
      </c>
      <c r="M1746">
        <v>51</v>
      </c>
      <c r="N1746" s="3"/>
    </row>
    <row r="1747" spans="1:14" x14ac:dyDescent="0.25">
      <c r="A1747" s="3" t="s">
        <v>1777</v>
      </c>
      <c r="B1747">
        <v>1977</v>
      </c>
      <c r="C1747">
        <v>1977</v>
      </c>
      <c r="D1747" s="3" t="s">
        <v>19</v>
      </c>
      <c r="E1747" s="3" t="s">
        <v>19</v>
      </c>
      <c r="F1747">
        <v>25</v>
      </c>
      <c r="G1747" s="7">
        <v>28393</v>
      </c>
      <c r="H1747">
        <v>2</v>
      </c>
      <c r="I1747" s="3" t="s">
        <v>10120</v>
      </c>
      <c r="J1747" s="3" t="s">
        <v>10</v>
      </c>
      <c r="K1747" s="3" t="s">
        <v>15</v>
      </c>
      <c r="L1747" s="3" t="s">
        <v>22</v>
      </c>
      <c r="M1747">
        <v>49</v>
      </c>
      <c r="N1747" s="3"/>
    </row>
    <row r="1748" spans="1:14" x14ac:dyDescent="0.25">
      <c r="A1748" s="3" t="s">
        <v>1778</v>
      </c>
      <c r="B1748">
        <v>1993</v>
      </c>
      <c r="C1748">
        <v>1993</v>
      </c>
      <c r="D1748" s="3" t="s">
        <v>14</v>
      </c>
      <c r="E1748" s="3" t="s">
        <v>14</v>
      </c>
      <c r="F1748">
        <v>5</v>
      </c>
      <c r="G1748" s="7">
        <v>34278</v>
      </c>
      <c r="H1748">
        <v>1</v>
      </c>
      <c r="I1748" s="3" t="s">
        <v>10121</v>
      </c>
      <c r="J1748" s="3" t="s">
        <v>10</v>
      </c>
      <c r="K1748" s="3" t="s">
        <v>15</v>
      </c>
      <c r="L1748" s="3" t="s">
        <v>246</v>
      </c>
      <c r="M1748">
        <v>33</v>
      </c>
      <c r="N1748" s="3"/>
    </row>
    <row r="1749" spans="1:14" x14ac:dyDescent="0.25">
      <c r="A1749" s="3" t="s">
        <v>1779</v>
      </c>
      <c r="B1749">
        <v>1974</v>
      </c>
      <c r="C1749">
        <v>1974</v>
      </c>
      <c r="D1749" s="3" t="s">
        <v>34</v>
      </c>
      <c r="E1749" s="3" t="s">
        <v>34</v>
      </c>
      <c r="F1749">
        <v>28</v>
      </c>
      <c r="G1749" s="7">
        <v>27269</v>
      </c>
      <c r="H1749">
        <v>0</v>
      </c>
      <c r="I1749" s="3" t="s">
        <v>10122</v>
      </c>
      <c r="J1749" s="3" t="s">
        <v>10</v>
      </c>
      <c r="K1749" s="3" t="s">
        <v>15</v>
      </c>
      <c r="L1749" s="3" t="s">
        <v>22</v>
      </c>
      <c r="M1749">
        <v>52</v>
      </c>
      <c r="N1749" s="3"/>
    </row>
    <row r="1750" spans="1:14" x14ac:dyDescent="0.25">
      <c r="A1750" s="3" t="s">
        <v>1780</v>
      </c>
      <c r="B1750">
        <v>1989</v>
      </c>
      <c r="C1750">
        <v>1989</v>
      </c>
      <c r="D1750" s="3" t="s">
        <v>19</v>
      </c>
      <c r="E1750" s="3" t="s">
        <v>19</v>
      </c>
      <c r="F1750">
        <v>23</v>
      </c>
      <c r="G1750" s="7">
        <v>32774</v>
      </c>
      <c r="H1750">
        <v>2</v>
      </c>
      <c r="I1750" s="3" t="s">
        <v>10123</v>
      </c>
      <c r="J1750" s="3" t="s">
        <v>10</v>
      </c>
      <c r="K1750" s="3" t="s">
        <v>10</v>
      </c>
      <c r="L1750" s="3" t="s">
        <v>246</v>
      </c>
      <c r="M1750">
        <v>37</v>
      </c>
      <c r="N1750" s="3"/>
    </row>
    <row r="1751" spans="1:14" x14ac:dyDescent="0.25">
      <c r="A1751" s="3" t="s">
        <v>1781</v>
      </c>
      <c r="B1751">
        <v>1962</v>
      </c>
      <c r="C1751">
        <v>1962</v>
      </c>
      <c r="D1751" s="3" t="s">
        <v>9</v>
      </c>
      <c r="E1751" s="3" t="s">
        <v>9</v>
      </c>
      <c r="F1751">
        <v>29</v>
      </c>
      <c r="G1751" s="7">
        <v>22856</v>
      </c>
      <c r="H1751">
        <v>0</v>
      </c>
      <c r="I1751" s="3" t="s">
        <v>10124</v>
      </c>
      <c r="J1751" s="3" t="s">
        <v>10</v>
      </c>
      <c r="K1751" s="3" t="s">
        <v>10</v>
      </c>
      <c r="L1751" s="3" t="s">
        <v>534</v>
      </c>
      <c r="M1751">
        <v>64</v>
      </c>
      <c r="N1751" s="3"/>
    </row>
    <row r="1752" spans="1:14" x14ac:dyDescent="0.25">
      <c r="A1752" s="3" t="s">
        <v>1782</v>
      </c>
      <c r="B1752">
        <v>1995</v>
      </c>
      <c r="C1752">
        <v>1995</v>
      </c>
      <c r="D1752" s="3" t="s">
        <v>36</v>
      </c>
      <c r="E1752" s="3" t="s">
        <v>36</v>
      </c>
      <c r="F1752">
        <v>19</v>
      </c>
      <c r="G1752" s="7">
        <v>34991</v>
      </c>
      <c r="H1752">
        <v>1</v>
      </c>
      <c r="I1752" s="3" t="s">
        <v>10125</v>
      </c>
      <c r="J1752" s="3" t="s">
        <v>10</v>
      </c>
      <c r="K1752" s="3" t="s">
        <v>11</v>
      </c>
      <c r="L1752" s="3" t="s">
        <v>246</v>
      </c>
      <c r="M1752">
        <v>31</v>
      </c>
      <c r="N1752" s="3"/>
    </row>
    <row r="1753" spans="1:14" x14ac:dyDescent="0.25">
      <c r="A1753" s="3" t="s">
        <v>1783</v>
      </c>
      <c r="B1753">
        <v>1974</v>
      </c>
      <c r="C1753">
        <v>1974</v>
      </c>
      <c r="D1753" s="3" t="s">
        <v>34</v>
      </c>
      <c r="E1753" s="3" t="s">
        <v>34</v>
      </c>
      <c r="F1753">
        <v>8</v>
      </c>
      <c r="G1753" s="7">
        <v>27249</v>
      </c>
      <c r="H1753">
        <v>0</v>
      </c>
      <c r="I1753" s="3" t="s">
        <v>10126</v>
      </c>
      <c r="J1753" s="3" t="s">
        <v>10</v>
      </c>
      <c r="K1753" s="3" t="s">
        <v>11</v>
      </c>
      <c r="L1753" s="3" t="s">
        <v>41</v>
      </c>
      <c r="M1753">
        <v>52</v>
      </c>
      <c r="N1753" s="3"/>
    </row>
    <row r="1754" spans="1:14" x14ac:dyDescent="0.25">
      <c r="A1754" s="3" t="s">
        <v>1784</v>
      </c>
      <c r="B1754">
        <v>2003</v>
      </c>
      <c r="C1754">
        <v>2003</v>
      </c>
      <c r="D1754" s="3" t="s">
        <v>19</v>
      </c>
      <c r="E1754" s="3" t="s">
        <v>19</v>
      </c>
      <c r="F1754">
        <v>10</v>
      </c>
      <c r="G1754" s="7">
        <v>37874</v>
      </c>
      <c r="H1754">
        <v>0</v>
      </c>
      <c r="I1754" s="3" t="s">
        <v>10127</v>
      </c>
      <c r="J1754" s="3" t="s">
        <v>10</v>
      </c>
      <c r="K1754" s="3" t="s">
        <v>10</v>
      </c>
      <c r="L1754" s="3" t="s">
        <v>41</v>
      </c>
      <c r="M1754">
        <v>23</v>
      </c>
      <c r="N1754" s="3"/>
    </row>
    <row r="1755" spans="1:14" x14ac:dyDescent="0.25">
      <c r="A1755" s="3" t="s">
        <v>1785</v>
      </c>
      <c r="B1755">
        <v>1968</v>
      </c>
      <c r="C1755">
        <v>1968</v>
      </c>
      <c r="D1755" s="3" t="s">
        <v>36</v>
      </c>
      <c r="E1755" s="3" t="s">
        <v>36</v>
      </c>
      <c r="F1755">
        <v>21</v>
      </c>
      <c r="G1755" s="7">
        <v>25132</v>
      </c>
      <c r="H1755">
        <v>0</v>
      </c>
      <c r="I1755" s="3" t="s">
        <v>10128</v>
      </c>
      <c r="J1755" s="3" t="s">
        <v>10</v>
      </c>
      <c r="K1755" s="3" t="s">
        <v>11</v>
      </c>
      <c r="L1755" s="3" t="s">
        <v>22</v>
      </c>
      <c r="M1755">
        <v>58</v>
      </c>
      <c r="N1755" s="3"/>
    </row>
    <row r="1756" spans="1:14" x14ac:dyDescent="0.25">
      <c r="A1756" s="3" t="s">
        <v>1786</v>
      </c>
      <c r="B1756">
        <v>1977</v>
      </c>
      <c r="C1756">
        <v>1977</v>
      </c>
      <c r="D1756" s="3" t="s">
        <v>34</v>
      </c>
      <c r="E1756" s="3" t="s">
        <v>34</v>
      </c>
      <c r="F1756">
        <v>25</v>
      </c>
      <c r="G1756" s="7">
        <v>28362</v>
      </c>
      <c r="H1756">
        <v>2</v>
      </c>
      <c r="I1756" s="3" t="s">
        <v>10129</v>
      </c>
      <c r="J1756" s="3" t="s">
        <v>10</v>
      </c>
      <c r="K1756" s="3" t="s">
        <v>11</v>
      </c>
      <c r="L1756" s="3" t="s">
        <v>248</v>
      </c>
      <c r="M1756">
        <v>49</v>
      </c>
      <c r="N1756" s="3"/>
    </row>
    <row r="1757" spans="1:14" x14ac:dyDescent="0.25">
      <c r="A1757" s="3" t="s">
        <v>1787</v>
      </c>
      <c r="B1757">
        <v>1980</v>
      </c>
      <c r="C1757">
        <v>1980</v>
      </c>
      <c r="D1757" s="3" t="s">
        <v>9</v>
      </c>
      <c r="E1757" s="3" t="s">
        <v>9</v>
      </c>
      <c r="F1757">
        <v>16</v>
      </c>
      <c r="G1757" s="7">
        <v>29418</v>
      </c>
      <c r="H1757">
        <v>2</v>
      </c>
      <c r="I1757" s="3" t="s">
        <v>10130</v>
      </c>
      <c r="J1757" s="3" t="s">
        <v>10</v>
      </c>
      <c r="K1757" s="3" t="s">
        <v>11</v>
      </c>
      <c r="L1757" s="3" t="s">
        <v>22</v>
      </c>
      <c r="M1757">
        <v>46</v>
      </c>
      <c r="N1757" s="3"/>
    </row>
    <row r="1758" spans="1:14" x14ac:dyDescent="0.25">
      <c r="A1758" s="3" t="s">
        <v>1788</v>
      </c>
      <c r="B1758">
        <v>1971</v>
      </c>
      <c r="C1758">
        <v>1971</v>
      </c>
      <c r="D1758" s="3" t="s">
        <v>34</v>
      </c>
      <c r="E1758" s="3" t="s">
        <v>34</v>
      </c>
      <c r="F1758">
        <v>22</v>
      </c>
      <c r="G1758" s="7">
        <v>26167</v>
      </c>
      <c r="H1758">
        <v>0</v>
      </c>
      <c r="I1758" s="3" t="s">
        <v>10131</v>
      </c>
      <c r="J1758" s="3" t="s">
        <v>10</v>
      </c>
      <c r="K1758" s="3" t="s">
        <v>10</v>
      </c>
      <c r="L1758" s="3" t="s">
        <v>248</v>
      </c>
      <c r="M1758">
        <v>55</v>
      </c>
      <c r="N1758" s="3"/>
    </row>
    <row r="1759" spans="1:14" x14ac:dyDescent="0.25">
      <c r="A1759" s="3" t="s">
        <v>1789</v>
      </c>
      <c r="B1759">
        <v>1996</v>
      </c>
      <c r="C1759">
        <v>1996</v>
      </c>
      <c r="D1759" s="3" t="s">
        <v>17</v>
      </c>
      <c r="E1759" s="3" t="s">
        <v>17</v>
      </c>
      <c r="F1759">
        <v>10</v>
      </c>
      <c r="G1759" s="7">
        <v>35226</v>
      </c>
      <c r="H1759">
        <v>0</v>
      </c>
      <c r="I1759" s="3" t="s">
        <v>10132</v>
      </c>
      <c r="J1759" s="3" t="s">
        <v>10</v>
      </c>
      <c r="K1759" s="3" t="s">
        <v>11</v>
      </c>
      <c r="L1759" s="3" t="s">
        <v>12</v>
      </c>
      <c r="M1759">
        <v>30</v>
      </c>
      <c r="N1759" s="3"/>
    </row>
    <row r="1760" spans="1:14" x14ac:dyDescent="0.25">
      <c r="A1760" s="3" t="s">
        <v>1790</v>
      </c>
      <c r="B1760">
        <v>2003</v>
      </c>
      <c r="C1760">
        <v>2003</v>
      </c>
      <c r="D1760" s="3" t="s">
        <v>29</v>
      </c>
      <c r="E1760" s="3" t="s">
        <v>29</v>
      </c>
      <c r="F1760">
        <v>26</v>
      </c>
      <c r="G1760" s="7">
        <v>37981</v>
      </c>
      <c r="H1760">
        <v>0</v>
      </c>
      <c r="I1760" s="3" t="s">
        <v>10133</v>
      </c>
      <c r="J1760" s="3" t="s">
        <v>10</v>
      </c>
      <c r="K1760" s="3" t="s">
        <v>10</v>
      </c>
      <c r="L1760" s="3" t="s">
        <v>41</v>
      </c>
      <c r="M1760">
        <v>23</v>
      </c>
      <c r="N1760" s="3"/>
    </row>
    <row r="1761" spans="1:14" x14ac:dyDescent="0.25">
      <c r="A1761" s="3" t="s">
        <v>1791</v>
      </c>
      <c r="B1761">
        <v>2002</v>
      </c>
      <c r="C1761">
        <v>2002</v>
      </c>
      <c r="D1761" s="3" t="s">
        <v>17</v>
      </c>
      <c r="E1761" s="3" t="s">
        <v>17</v>
      </c>
      <c r="F1761">
        <v>28</v>
      </c>
      <c r="G1761" s="7">
        <v>37435</v>
      </c>
      <c r="H1761">
        <v>1</v>
      </c>
      <c r="I1761" s="3" t="s">
        <v>10134</v>
      </c>
      <c r="J1761" s="3" t="s">
        <v>10</v>
      </c>
      <c r="K1761" s="3" t="s">
        <v>11</v>
      </c>
      <c r="L1761" s="3" t="s">
        <v>12</v>
      </c>
      <c r="M1761">
        <v>24</v>
      </c>
      <c r="N1761" s="3"/>
    </row>
    <row r="1762" spans="1:14" x14ac:dyDescent="0.25">
      <c r="A1762" s="3" t="s">
        <v>1792</v>
      </c>
      <c r="B1762">
        <v>1998</v>
      </c>
      <c r="C1762">
        <v>1998</v>
      </c>
      <c r="D1762" s="3" t="s">
        <v>17</v>
      </c>
      <c r="E1762" s="3" t="s">
        <v>17</v>
      </c>
      <c r="F1762">
        <v>3</v>
      </c>
      <c r="G1762" s="7">
        <v>35949</v>
      </c>
      <c r="H1762">
        <v>4</v>
      </c>
      <c r="I1762" s="3" t="s">
        <v>10135</v>
      </c>
      <c r="J1762" s="3" t="s">
        <v>10</v>
      </c>
      <c r="K1762" s="3" t="s">
        <v>11</v>
      </c>
      <c r="L1762" s="3" t="s">
        <v>167</v>
      </c>
      <c r="M1762">
        <v>28</v>
      </c>
      <c r="N1762" s="3"/>
    </row>
    <row r="1763" spans="1:14" x14ac:dyDescent="0.25">
      <c r="A1763" s="3" t="s">
        <v>1793</v>
      </c>
      <c r="B1763">
        <v>1965</v>
      </c>
      <c r="C1763">
        <v>1965</v>
      </c>
      <c r="D1763" s="3" t="s">
        <v>19</v>
      </c>
      <c r="E1763" s="3" t="s">
        <v>19</v>
      </c>
      <c r="F1763">
        <v>16</v>
      </c>
      <c r="G1763" s="7">
        <v>24001</v>
      </c>
      <c r="H1763">
        <v>0</v>
      </c>
      <c r="I1763" s="3" t="s">
        <v>10136</v>
      </c>
      <c r="J1763" s="3" t="s">
        <v>10</v>
      </c>
      <c r="K1763" s="3" t="s">
        <v>10</v>
      </c>
      <c r="L1763" s="3" t="s">
        <v>534</v>
      </c>
      <c r="M1763">
        <v>61</v>
      </c>
      <c r="N1763" s="3"/>
    </row>
    <row r="1764" spans="1:14" x14ac:dyDescent="0.25">
      <c r="A1764" s="3" t="s">
        <v>1794</v>
      </c>
      <c r="B1764">
        <v>1964</v>
      </c>
      <c r="C1764">
        <v>1964</v>
      </c>
      <c r="D1764" s="3" t="s">
        <v>17</v>
      </c>
      <c r="E1764" s="3" t="s">
        <v>17</v>
      </c>
      <c r="F1764">
        <v>7</v>
      </c>
      <c r="G1764" s="7">
        <v>23535</v>
      </c>
      <c r="H1764">
        <v>0</v>
      </c>
      <c r="I1764" s="3" t="s">
        <v>10137</v>
      </c>
      <c r="J1764" s="3" t="s">
        <v>10</v>
      </c>
      <c r="K1764" s="3" t="s">
        <v>10</v>
      </c>
      <c r="L1764" s="3" t="s">
        <v>22</v>
      </c>
      <c r="M1764">
        <v>62</v>
      </c>
      <c r="N1764" s="3"/>
    </row>
    <row r="1765" spans="1:14" x14ac:dyDescent="0.25">
      <c r="A1765" s="3" t="s">
        <v>1795</v>
      </c>
      <c r="B1765">
        <v>2004</v>
      </c>
      <c r="C1765">
        <v>2004</v>
      </c>
      <c r="D1765" s="3" t="s">
        <v>34</v>
      </c>
      <c r="E1765" s="3" t="s">
        <v>34</v>
      </c>
      <c r="F1765">
        <v>18</v>
      </c>
      <c r="G1765" s="7">
        <v>38217</v>
      </c>
      <c r="H1765">
        <v>1</v>
      </c>
      <c r="I1765" s="3" t="s">
        <v>10138</v>
      </c>
      <c r="J1765" s="3" t="s">
        <v>10</v>
      </c>
      <c r="K1765" s="3" t="s">
        <v>10</v>
      </c>
      <c r="L1765" s="3" t="s">
        <v>165</v>
      </c>
      <c r="M1765">
        <v>22</v>
      </c>
      <c r="N1765" s="3"/>
    </row>
    <row r="1766" spans="1:14" x14ac:dyDescent="0.25">
      <c r="A1766" s="3" t="s">
        <v>1796</v>
      </c>
      <c r="B1766">
        <v>1982</v>
      </c>
      <c r="C1766">
        <v>1982</v>
      </c>
      <c r="D1766" s="3" t="s">
        <v>36</v>
      </c>
      <c r="E1766" s="3" t="s">
        <v>36</v>
      </c>
      <c r="F1766">
        <v>22</v>
      </c>
      <c r="G1766" s="7">
        <v>30246</v>
      </c>
      <c r="H1766">
        <v>1</v>
      </c>
      <c r="I1766" s="3" t="s">
        <v>10139</v>
      </c>
      <c r="J1766" s="3" t="s">
        <v>10</v>
      </c>
      <c r="K1766" s="3" t="s">
        <v>15</v>
      </c>
      <c r="L1766" s="3" t="s">
        <v>12</v>
      </c>
      <c r="M1766">
        <v>44</v>
      </c>
      <c r="N1766" s="3"/>
    </row>
    <row r="1767" spans="1:14" x14ac:dyDescent="0.25">
      <c r="A1767" s="3" t="s">
        <v>1797</v>
      </c>
      <c r="B1767">
        <v>1975</v>
      </c>
      <c r="C1767">
        <v>1975</v>
      </c>
      <c r="D1767" s="3" t="s">
        <v>34</v>
      </c>
      <c r="E1767" s="3" t="s">
        <v>34</v>
      </c>
      <c r="F1767">
        <v>25</v>
      </c>
      <c r="G1767" s="7">
        <v>27631</v>
      </c>
      <c r="H1767">
        <v>1</v>
      </c>
      <c r="I1767" s="3" t="s">
        <v>10140</v>
      </c>
      <c r="J1767" s="3" t="s">
        <v>10</v>
      </c>
      <c r="K1767" s="3" t="s">
        <v>11</v>
      </c>
      <c r="L1767" s="3" t="s">
        <v>534</v>
      </c>
      <c r="M1767">
        <v>51</v>
      </c>
      <c r="N1767" s="3"/>
    </row>
    <row r="1768" spans="1:14" x14ac:dyDescent="0.25">
      <c r="A1768" s="3" t="s">
        <v>1798</v>
      </c>
      <c r="B1768">
        <v>1963</v>
      </c>
      <c r="C1768">
        <v>1963</v>
      </c>
      <c r="D1768" s="3" t="s">
        <v>9</v>
      </c>
      <c r="E1768" s="3" t="s">
        <v>9</v>
      </c>
      <c r="F1768">
        <v>12</v>
      </c>
      <c r="G1768" s="7">
        <v>23204</v>
      </c>
      <c r="H1768">
        <v>0</v>
      </c>
      <c r="I1768" s="3" t="s">
        <v>10141</v>
      </c>
      <c r="J1768" s="3" t="s">
        <v>10</v>
      </c>
      <c r="K1768" s="3" t="s">
        <v>11</v>
      </c>
      <c r="L1768" s="3" t="s">
        <v>248</v>
      </c>
      <c r="M1768">
        <v>63</v>
      </c>
      <c r="N1768" s="3"/>
    </row>
    <row r="1769" spans="1:14" x14ac:dyDescent="0.25">
      <c r="A1769" s="3" t="s">
        <v>1799</v>
      </c>
      <c r="B1769">
        <v>2003</v>
      </c>
      <c r="C1769">
        <v>2003</v>
      </c>
      <c r="D1769" s="3" t="s">
        <v>14</v>
      </c>
      <c r="E1769" s="3" t="s">
        <v>14</v>
      </c>
      <c r="F1769">
        <v>1</v>
      </c>
      <c r="G1769" s="7">
        <v>37926</v>
      </c>
      <c r="H1769">
        <v>0</v>
      </c>
      <c r="I1769" s="3" t="s">
        <v>10142</v>
      </c>
      <c r="J1769" s="3" t="s">
        <v>10</v>
      </c>
      <c r="K1769" s="3" t="s">
        <v>11</v>
      </c>
      <c r="L1769" s="3" t="s">
        <v>22</v>
      </c>
      <c r="M1769">
        <v>23</v>
      </c>
      <c r="N1769" s="3"/>
    </row>
    <row r="1770" spans="1:14" x14ac:dyDescent="0.25">
      <c r="A1770" s="3" t="s">
        <v>1800</v>
      </c>
      <c r="B1770">
        <v>1992</v>
      </c>
      <c r="C1770">
        <v>1992</v>
      </c>
      <c r="D1770" s="3" t="s">
        <v>36</v>
      </c>
      <c r="E1770" s="3" t="s">
        <v>36</v>
      </c>
      <c r="F1770">
        <v>18</v>
      </c>
      <c r="G1770" s="7">
        <v>33895</v>
      </c>
      <c r="H1770">
        <v>2</v>
      </c>
      <c r="I1770" s="3" t="s">
        <v>10143</v>
      </c>
      <c r="J1770" s="3" t="s">
        <v>10</v>
      </c>
      <c r="K1770" s="3" t="s">
        <v>15</v>
      </c>
      <c r="L1770" s="3" t="s">
        <v>22</v>
      </c>
      <c r="M1770">
        <v>34</v>
      </c>
      <c r="N1770" s="3"/>
    </row>
    <row r="1771" spans="1:14" x14ac:dyDescent="0.25">
      <c r="A1771" s="3" t="s">
        <v>1801</v>
      </c>
      <c r="B1771">
        <v>2003</v>
      </c>
      <c r="C1771">
        <v>2003</v>
      </c>
      <c r="D1771" s="3" t="s">
        <v>14</v>
      </c>
      <c r="E1771" s="3" t="s">
        <v>14</v>
      </c>
      <c r="F1771">
        <v>2</v>
      </c>
      <c r="G1771" s="7">
        <v>37927</v>
      </c>
      <c r="H1771">
        <v>0</v>
      </c>
      <c r="I1771" s="3" t="s">
        <v>10144</v>
      </c>
      <c r="J1771" s="3" t="s">
        <v>10</v>
      </c>
      <c r="K1771" s="3" t="s">
        <v>15</v>
      </c>
      <c r="L1771" s="3" t="s">
        <v>22</v>
      </c>
      <c r="M1771">
        <v>23</v>
      </c>
      <c r="N1771" s="3"/>
    </row>
    <row r="1772" spans="1:14" x14ac:dyDescent="0.25">
      <c r="A1772" s="3" t="s">
        <v>1802</v>
      </c>
      <c r="B1772">
        <v>1971</v>
      </c>
      <c r="C1772">
        <v>1971</v>
      </c>
      <c r="D1772" s="3" t="s">
        <v>17</v>
      </c>
      <c r="E1772" s="3" t="s">
        <v>17</v>
      </c>
      <c r="F1772">
        <v>8</v>
      </c>
      <c r="G1772" s="7">
        <v>26092</v>
      </c>
      <c r="H1772">
        <v>0</v>
      </c>
      <c r="I1772" s="3" t="s">
        <v>10145</v>
      </c>
      <c r="J1772" s="3" t="s">
        <v>15</v>
      </c>
      <c r="K1772" s="3" t="s">
        <v>15</v>
      </c>
      <c r="L1772" s="3" t="s">
        <v>22</v>
      </c>
      <c r="M1772">
        <v>55</v>
      </c>
      <c r="N1772" s="3"/>
    </row>
    <row r="1773" spans="1:14" x14ac:dyDescent="0.25">
      <c r="A1773" s="3" t="s">
        <v>1803</v>
      </c>
      <c r="B1773">
        <v>1990</v>
      </c>
      <c r="C1773">
        <v>1990</v>
      </c>
      <c r="D1773" s="3" t="s">
        <v>29</v>
      </c>
      <c r="E1773" s="3" t="s">
        <v>29</v>
      </c>
      <c r="F1773">
        <v>29</v>
      </c>
      <c r="G1773" s="7">
        <v>33236</v>
      </c>
      <c r="H1773">
        <v>0</v>
      </c>
      <c r="I1773" s="3" t="s">
        <v>10146</v>
      </c>
      <c r="J1773" s="3" t="s">
        <v>15</v>
      </c>
      <c r="K1773" s="3" t="s">
        <v>10</v>
      </c>
      <c r="L1773" s="3" t="s">
        <v>41</v>
      </c>
      <c r="M1773">
        <v>36</v>
      </c>
      <c r="N1773" s="3"/>
    </row>
    <row r="1774" spans="1:14" x14ac:dyDescent="0.25">
      <c r="A1774" s="3" t="s">
        <v>1804</v>
      </c>
      <c r="B1774">
        <v>1965</v>
      </c>
      <c r="C1774">
        <v>1965</v>
      </c>
      <c r="D1774" s="3" t="s">
        <v>17</v>
      </c>
      <c r="E1774" s="3" t="s">
        <v>17</v>
      </c>
      <c r="F1774">
        <v>16</v>
      </c>
      <c r="G1774" s="7">
        <v>23909</v>
      </c>
      <c r="H1774">
        <v>0</v>
      </c>
      <c r="I1774" s="3" t="s">
        <v>10147</v>
      </c>
      <c r="J1774" s="3" t="s">
        <v>15</v>
      </c>
      <c r="K1774" s="3" t="s">
        <v>10</v>
      </c>
      <c r="L1774" s="3" t="s">
        <v>248</v>
      </c>
      <c r="M1774">
        <v>61</v>
      </c>
      <c r="N1774" s="3"/>
    </row>
    <row r="1775" spans="1:14" x14ac:dyDescent="0.25">
      <c r="A1775" s="3" t="s">
        <v>1805</v>
      </c>
      <c r="B1775">
        <v>1968</v>
      </c>
      <c r="C1775">
        <v>1968</v>
      </c>
      <c r="D1775" s="3" t="s">
        <v>9</v>
      </c>
      <c r="E1775" s="3" t="s">
        <v>9</v>
      </c>
      <c r="F1775">
        <v>12</v>
      </c>
      <c r="G1775" s="7">
        <v>25031</v>
      </c>
      <c r="H1775">
        <v>0</v>
      </c>
      <c r="I1775" s="3" t="s">
        <v>10148</v>
      </c>
      <c r="J1775" s="3" t="s">
        <v>15</v>
      </c>
      <c r="K1775" s="3" t="s">
        <v>15</v>
      </c>
      <c r="L1775" s="3" t="s">
        <v>534</v>
      </c>
      <c r="M1775">
        <v>58</v>
      </c>
      <c r="N1775" s="3"/>
    </row>
    <row r="1776" spans="1:14" x14ac:dyDescent="0.25">
      <c r="A1776" s="3" t="s">
        <v>1806</v>
      </c>
      <c r="B1776">
        <v>1963</v>
      </c>
      <c r="C1776">
        <v>1963</v>
      </c>
      <c r="D1776" s="3" t="s">
        <v>14</v>
      </c>
      <c r="E1776" s="3" t="s">
        <v>14</v>
      </c>
      <c r="F1776">
        <v>16</v>
      </c>
      <c r="G1776" s="7">
        <v>23331</v>
      </c>
      <c r="H1776">
        <v>0</v>
      </c>
      <c r="I1776" s="3" t="s">
        <v>10149</v>
      </c>
      <c r="J1776" s="3" t="s">
        <v>15</v>
      </c>
      <c r="K1776" s="3" t="s">
        <v>10</v>
      </c>
      <c r="L1776" s="3" t="s">
        <v>22</v>
      </c>
      <c r="M1776">
        <v>63</v>
      </c>
      <c r="N1776" s="3"/>
    </row>
    <row r="1777" spans="1:14" x14ac:dyDescent="0.25">
      <c r="A1777" s="3" t="s">
        <v>1807</v>
      </c>
      <c r="B1777">
        <v>2002</v>
      </c>
      <c r="C1777">
        <v>2002</v>
      </c>
      <c r="D1777" s="3" t="s">
        <v>34</v>
      </c>
      <c r="E1777" s="3" t="s">
        <v>34</v>
      </c>
      <c r="F1777">
        <v>25</v>
      </c>
      <c r="G1777" s="7">
        <v>37493</v>
      </c>
      <c r="H1777">
        <v>1</v>
      </c>
      <c r="I1777" s="3" t="s">
        <v>10150</v>
      </c>
      <c r="J1777" s="3" t="s">
        <v>15</v>
      </c>
      <c r="K1777" s="3" t="s">
        <v>15</v>
      </c>
      <c r="L1777" s="3" t="s">
        <v>22</v>
      </c>
      <c r="M1777">
        <v>24</v>
      </c>
      <c r="N1777" s="3"/>
    </row>
    <row r="1778" spans="1:14" x14ac:dyDescent="0.25">
      <c r="A1778" s="3" t="s">
        <v>1808</v>
      </c>
      <c r="B1778">
        <v>1970</v>
      </c>
      <c r="C1778">
        <v>1970</v>
      </c>
      <c r="D1778" s="3" t="s">
        <v>9</v>
      </c>
      <c r="E1778" s="3" t="s">
        <v>9</v>
      </c>
      <c r="F1778">
        <v>26</v>
      </c>
      <c r="G1778" s="7">
        <v>25775</v>
      </c>
      <c r="H1778">
        <v>0</v>
      </c>
      <c r="I1778" s="3" t="s">
        <v>10151</v>
      </c>
      <c r="J1778" s="3" t="s">
        <v>15</v>
      </c>
      <c r="K1778" s="3" t="s">
        <v>11</v>
      </c>
      <c r="L1778" s="3" t="s">
        <v>22</v>
      </c>
      <c r="M1778">
        <v>56</v>
      </c>
      <c r="N1778" s="3"/>
    </row>
    <row r="1779" spans="1:14" x14ac:dyDescent="0.25">
      <c r="A1779" s="3" t="s">
        <v>1809</v>
      </c>
      <c r="B1779">
        <v>1990</v>
      </c>
      <c r="C1779">
        <v>1990</v>
      </c>
      <c r="D1779" s="3" t="s">
        <v>36</v>
      </c>
      <c r="E1779" s="3" t="s">
        <v>36</v>
      </c>
      <c r="F1779">
        <v>25</v>
      </c>
      <c r="G1779" s="7">
        <v>33171</v>
      </c>
      <c r="H1779">
        <v>1</v>
      </c>
      <c r="I1779" s="3" t="s">
        <v>10152</v>
      </c>
      <c r="J1779" s="3" t="s">
        <v>15</v>
      </c>
      <c r="K1779" s="3" t="s">
        <v>11</v>
      </c>
      <c r="L1779" s="3" t="s">
        <v>12</v>
      </c>
      <c r="M1779">
        <v>36</v>
      </c>
      <c r="N1779" s="3"/>
    </row>
    <row r="1780" spans="1:14" x14ac:dyDescent="0.25">
      <c r="A1780" s="3" t="s">
        <v>1810</v>
      </c>
      <c r="B1780">
        <v>1994</v>
      </c>
      <c r="C1780">
        <v>1994</v>
      </c>
      <c r="D1780" s="3" t="s">
        <v>9</v>
      </c>
      <c r="E1780" s="3" t="s">
        <v>9</v>
      </c>
      <c r="F1780">
        <v>1</v>
      </c>
      <c r="G1780" s="7">
        <v>34516</v>
      </c>
      <c r="H1780">
        <v>3</v>
      </c>
      <c r="I1780" s="3" t="s">
        <v>10153</v>
      </c>
      <c r="J1780" s="3" t="s">
        <v>15</v>
      </c>
      <c r="K1780" s="3" t="s">
        <v>11</v>
      </c>
      <c r="L1780" s="3" t="s">
        <v>12</v>
      </c>
      <c r="M1780">
        <v>32</v>
      </c>
      <c r="N1780" s="3"/>
    </row>
    <row r="1781" spans="1:14" x14ac:dyDescent="0.25">
      <c r="A1781" s="3" t="s">
        <v>1811</v>
      </c>
      <c r="B1781">
        <v>2003</v>
      </c>
      <c r="C1781">
        <v>2003</v>
      </c>
      <c r="D1781" s="3" t="s">
        <v>9</v>
      </c>
      <c r="E1781" s="3" t="s">
        <v>9</v>
      </c>
      <c r="F1781">
        <v>14</v>
      </c>
      <c r="G1781" s="7">
        <v>37816</v>
      </c>
      <c r="H1781">
        <v>0</v>
      </c>
      <c r="I1781" s="3" t="s">
        <v>10154</v>
      </c>
      <c r="J1781" s="3" t="s">
        <v>15</v>
      </c>
      <c r="K1781" s="3" t="s">
        <v>15</v>
      </c>
      <c r="L1781" s="3" t="s">
        <v>22</v>
      </c>
      <c r="M1781">
        <v>23</v>
      </c>
      <c r="N1781" s="3"/>
    </row>
    <row r="1782" spans="1:14" x14ac:dyDescent="0.25">
      <c r="A1782" s="3" t="s">
        <v>1812</v>
      </c>
      <c r="B1782">
        <v>1966</v>
      </c>
      <c r="C1782">
        <v>1966</v>
      </c>
      <c r="D1782" s="3" t="s">
        <v>17</v>
      </c>
      <c r="E1782" s="3" t="s">
        <v>17</v>
      </c>
      <c r="F1782">
        <v>21</v>
      </c>
      <c r="G1782" s="7">
        <v>24279</v>
      </c>
      <c r="H1782">
        <v>0</v>
      </c>
      <c r="I1782" s="3" t="s">
        <v>10155</v>
      </c>
      <c r="J1782" s="3" t="s">
        <v>15</v>
      </c>
      <c r="K1782" s="3" t="s">
        <v>11</v>
      </c>
      <c r="L1782" s="3" t="s">
        <v>22</v>
      </c>
      <c r="M1782">
        <v>60</v>
      </c>
      <c r="N1782" s="3"/>
    </row>
    <row r="1783" spans="1:14" x14ac:dyDescent="0.25">
      <c r="A1783" s="3" t="s">
        <v>1813</v>
      </c>
      <c r="B1783">
        <v>1979</v>
      </c>
      <c r="C1783">
        <v>1979</v>
      </c>
      <c r="D1783" s="3" t="s">
        <v>36</v>
      </c>
      <c r="E1783" s="3" t="s">
        <v>36</v>
      </c>
      <c r="F1783">
        <v>10</v>
      </c>
      <c r="G1783" s="7">
        <v>29138</v>
      </c>
      <c r="H1783">
        <v>2</v>
      </c>
      <c r="I1783" s="3" t="s">
        <v>10156</v>
      </c>
      <c r="J1783" s="3" t="s">
        <v>15</v>
      </c>
      <c r="K1783" s="3" t="s">
        <v>10</v>
      </c>
      <c r="L1783" s="3" t="s">
        <v>22</v>
      </c>
      <c r="M1783">
        <v>47</v>
      </c>
      <c r="N1783" s="3"/>
    </row>
    <row r="1784" spans="1:14" x14ac:dyDescent="0.25">
      <c r="A1784" s="3" t="s">
        <v>1814</v>
      </c>
      <c r="B1784">
        <v>1963</v>
      </c>
      <c r="C1784">
        <v>1963</v>
      </c>
      <c r="D1784" s="3" t="s">
        <v>29</v>
      </c>
      <c r="E1784" s="3" t="s">
        <v>29</v>
      </c>
      <c r="F1784">
        <v>8</v>
      </c>
      <c r="G1784" s="7">
        <v>23353</v>
      </c>
      <c r="H1784">
        <v>0</v>
      </c>
      <c r="I1784" s="3" t="s">
        <v>10157</v>
      </c>
      <c r="J1784" s="3" t="s">
        <v>15</v>
      </c>
      <c r="K1784" s="3" t="s">
        <v>10</v>
      </c>
      <c r="L1784" s="3" t="s">
        <v>22</v>
      </c>
      <c r="M1784">
        <v>63</v>
      </c>
      <c r="N1784" s="3"/>
    </row>
    <row r="1785" spans="1:14" x14ac:dyDescent="0.25">
      <c r="A1785" s="3" t="s">
        <v>1815</v>
      </c>
      <c r="B1785">
        <v>1976</v>
      </c>
      <c r="C1785">
        <v>1976</v>
      </c>
      <c r="D1785" s="3" t="s">
        <v>29</v>
      </c>
      <c r="E1785" s="3" t="s">
        <v>29</v>
      </c>
      <c r="F1785">
        <v>12</v>
      </c>
      <c r="G1785" s="7">
        <v>28106</v>
      </c>
      <c r="H1785">
        <v>2</v>
      </c>
      <c r="I1785" s="3" t="s">
        <v>10158</v>
      </c>
      <c r="J1785" s="3" t="s">
        <v>15</v>
      </c>
      <c r="K1785" s="3" t="s">
        <v>10</v>
      </c>
      <c r="L1785" s="3" t="s">
        <v>22</v>
      </c>
      <c r="M1785">
        <v>50</v>
      </c>
      <c r="N1785" s="3"/>
    </row>
    <row r="1786" spans="1:14" x14ac:dyDescent="0.25">
      <c r="A1786" s="3" t="s">
        <v>1816</v>
      </c>
      <c r="B1786">
        <v>1997</v>
      </c>
      <c r="C1786">
        <v>1997</v>
      </c>
      <c r="D1786" s="3" t="s">
        <v>34</v>
      </c>
      <c r="E1786" s="3" t="s">
        <v>34</v>
      </c>
      <c r="F1786">
        <v>26</v>
      </c>
      <c r="G1786" s="7">
        <v>35668</v>
      </c>
      <c r="H1786">
        <v>0</v>
      </c>
      <c r="I1786" s="3" t="s">
        <v>10159</v>
      </c>
      <c r="J1786" s="3" t="s">
        <v>15</v>
      </c>
      <c r="K1786" s="3" t="s">
        <v>10</v>
      </c>
      <c r="L1786" s="3" t="s">
        <v>246</v>
      </c>
      <c r="M1786">
        <v>29</v>
      </c>
      <c r="N1786" s="3"/>
    </row>
    <row r="1787" spans="1:14" x14ac:dyDescent="0.25">
      <c r="A1787" s="3" t="s">
        <v>1817</v>
      </c>
      <c r="B1787">
        <v>1979</v>
      </c>
      <c r="C1787">
        <v>1979</v>
      </c>
      <c r="D1787" s="3" t="s">
        <v>14</v>
      </c>
      <c r="E1787" s="3" t="s">
        <v>14</v>
      </c>
      <c r="F1787">
        <v>12</v>
      </c>
      <c r="G1787" s="7">
        <v>29171</v>
      </c>
      <c r="H1787">
        <v>2</v>
      </c>
      <c r="I1787" s="3" t="s">
        <v>10160</v>
      </c>
      <c r="J1787" s="3" t="s">
        <v>15</v>
      </c>
      <c r="K1787" s="3" t="s">
        <v>11</v>
      </c>
      <c r="L1787" s="3" t="s">
        <v>22</v>
      </c>
      <c r="M1787">
        <v>47</v>
      </c>
      <c r="N1787" s="3"/>
    </row>
    <row r="1788" spans="1:14" x14ac:dyDescent="0.25">
      <c r="A1788" s="3" t="s">
        <v>1818</v>
      </c>
      <c r="B1788">
        <v>1989</v>
      </c>
      <c r="C1788">
        <v>1989</v>
      </c>
      <c r="D1788" s="3" t="s">
        <v>29</v>
      </c>
      <c r="E1788" s="3" t="s">
        <v>29</v>
      </c>
      <c r="F1788">
        <v>4</v>
      </c>
      <c r="G1788" s="7">
        <v>32846</v>
      </c>
      <c r="H1788">
        <v>0</v>
      </c>
      <c r="I1788" s="3" t="s">
        <v>10161</v>
      </c>
      <c r="J1788" s="3" t="s">
        <v>15</v>
      </c>
      <c r="K1788" s="3" t="s">
        <v>10</v>
      </c>
      <c r="L1788" s="3" t="s">
        <v>355</v>
      </c>
      <c r="M1788">
        <v>37</v>
      </c>
      <c r="N1788" s="3"/>
    </row>
    <row r="1789" spans="1:14" x14ac:dyDescent="0.25">
      <c r="A1789" s="3" t="s">
        <v>1819</v>
      </c>
      <c r="B1789">
        <v>1977</v>
      </c>
      <c r="C1789">
        <v>1977</v>
      </c>
      <c r="D1789" s="3" t="s">
        <v>36</v>
      </c>
      <c r="E1789" s="3" t="s">
        <v>36</v>
      </c>
      <c r="F1789">
        <v>17</v>
      </c>
      <c r="G1789" s="7">
        <v>28415</v>
      </c>
      <c r="H1789">
        <v>0</v>
      </c>
      <c r="I1789" s="3" t="s">
        <v>10162</v>
      </c>
      <c r="J1789" s="3" t="s">
        <v>15</v>
      </c>
      <c r="K1789" s="3" t="s">
        <v>10</v>
      </c>
      <c r="L1789" s="3" t="s">
        <v>12</v>
      </c>
      <c r="M1789">
        <v>49</v>
      </c>
      <c r="N1789" s="3"/>
    </row>
    <row r="1790" spans="1:14" x14ac:dyDescent="0.25">
      <c r="A1790" s="3" t="s">
        <v>1820</v>
      </c>
      <c r="B1790">
        <v>2001</v>
      </c>
      <c r="C1790">
        <v>2001</v>
      </c>
      <c r="D1790" s="3" t="s">
        <v>19</v>
      </c>
      <c r="E1790" s="3" t="s">
        <v>19</v>
      </c>
      <c r="F1790">
        <v>28</v>
      </c>
      <c r="G1790" s="7">
        <v>37162</v>
      </c>
      <c r="H1790">
        <v>4</v>
      </c>
      <c r="I1790" s="3" t="s">
        <v>10163</v>
      </c>
      <c r="J1790" s="3" t="s">
        <v>15</v>
      </c>
      <c r="K1790" s="3" t="s">
        <v>10</v>
      </c>
      <c r="L1790" s="3" t="s">
        <v>41</v>
      </c>
      <c r="M1790">
        <v>25</v>
      </c>
      <c r="N1790" s="3"/>
    </row>
    <row r="1791" spans="1:14" x14ac:dyDescent="0.25">
      <c r="A1791" s="3" t="s">
        <v>1821</v>
      </c>
      <c r="B1791">
        <v>1975</v>
      </c>
      <c r="C1791">
        <v>1975</v>
      </c>
      <c r="D1791" s="3" t="s">
        <v>17</v>
      </c>
      <c r="E1791" s="3" t="s">
        <v>17</v>
      </c>
      <c r="F1791">
        <v>27</v>
      </c>
      <c r="G1791" s="7">
        <v>27572</v>
      </c>
      <c r="H1791">
        <v>1</v>
      </c>
      <c r="I1791" s="3" t="s">
        <v>10164</v>
      </c>
      <c r="J1791" s="3" t="s">
        <v>15</v>
      </c>
      <c r="K1791" s="3" t="s">
        <v>11</v>
      </c>
      <c r="L1791" s="3" t="s">
        <v>248</v>
      </c>
      <c r="M1791">
        <v>51</v>
      </c>
      <c r="N1791" s="3"/>
    </row>
    <row r="1792" spans="1:14" x14ac:dyDescent="0.25">
      <c r="A1792" s="3" t="s">
        <v>1822</v>
      </c>
      <c r="B1792">
        <v>1965</v>
      </c>
      <c r="C1792">
        <v>1965</v>
      </c>
      <c r="D1792" s="3" t="s">
        <v>36</v>
      </c>
      <c r="E1792" s="3" t="s">
        <v>36</v>
      </c>
      <c r="F1792">
        <v>17</v>
      </c>
      <c r="G1792" s="7">
        <v>24032</v>
      </c>
      <c r="H1792">
        <v>0</v>
      </c>
      <c r="I1792" s="3" t="s">
        <v>10165</v>
      </c>
      <c r="J1792" s="3" t="s">
        <v>15</v>
      </c>
      <c r="K1792" s="3" t="s">
        <v>10</v>
      </c>
      <c r="L1792" s="3" t="s">
        <v>22</v>
      </c>
      <c r="M1792">
        <v>61</v>
      </c>
      <c r="N1792" s="3"/>
    </row>
    <row r="1793" spans="1:14" x14ac:dyDescent="0.25">
      <c r="A1793" s="3" t="s">
        <v>1823</v>
      </c>
      <c r="B1793">
        <v>1999</v>
      </c>
      <c r="C1793">
        <v>1999</v>
      </c>
      <c r="D1793" s="3" t="s">
        <v>36</v>
      </c>
      <c r="E1793" s="3" t="s">
        <v>36</v>
      </c>
      <c r="F1793">
        <v>24</v>
      </c>
      <c r="G1793" s="7">
        <v>36457</v>
      </c>
      <c r="H1793">
        <v>0</v>
      </c>
      <c r="I1793" s="3" t="s">
        <v>10166</v>
      </c>
      <c r="J1793" s="3" t="s">
        <v>15</v>
      </c>
      <c r="K1793" s="3" t="s">
        <v>15</v>
      </c>
      <c r="L1793" s="3" t="s">
        <v>22</v>
      </c>
      <c r="M1793">
        <v>27</v>
      </c>
      <c r="N1793" s="3"/>
    </row>
    <row r="1794" spans="1:14" x14ac:dyDescent="0.25">
      <c r="A1794" s="3" t="s">
        <v>1824</v>
      </c>
      <c r="B1794">
        <v>1993</v>
      </c>
      <c r="C1794">
        <v>1993</v>
      </c>
      <c r="D1794" s="3" t="s">
        <v>9</v>
      </c>
      <c r="E1794" s="3" t="s">
        <v>9</v>
      </c>
      <c r="F1794">
        <v>12</v>
      </c>
      <c r="G1794" s="7">
        <v>34162</v>
      </c>
      <c r="H1794">
        <v>2</v>
      </c>
      <c r="I1794" s="3" t="s">
        <v>10167</v>
      </c>
      <c r="J1794" s="3" t="s">
        <v>15</v>
      </c>
      <c r="K1794" s="3" t="s">
        <v>15</v>
      </c>
      <c r="L1794" s="3" t="s">
        <v>22</v>
      </c>
      <c r="M1794">
        <v>33</v>
      </c>
      <c r="N1794" s="3"/>
    </row>
    <row r="1795" spans="1:14" x14ac:dyDescent="0.25">
      <c r="A1795" s="3" t="s">
        <v>1825</v>
      </c>
      <c r="B1795">
        <v>1963</v>
      </c>
      <c r="C1795">
        <v>1963</v>
      </c>
      <c r="D1795" s="3" t="s">
        <v>9</v>
      </c>
      <c r="E1795" s="3" t="s">
        <v>9</v>
      </c>
      <c r="F1795">
        <v>4</v>
      </c>
      <c r="G1795" s="7">
        <v>23196</v>
      </c>
      <c r="H1795">
        <v>0</v>
      </c>
      <c r="I1795" s="3" t="s">
        <v>10168</v>
      </c>
      <c r="J1795" s="3" t="s">
        <v>15</v>
      </c>
      <c r="K1795" s="3" t="s">
        <v>10</v>
      </c>
      <c r="L1795" s="3" t="s">
        <v>534</v>
      </c>
      <c r="M1795">
        <v>63</v>
      </c>
      <c r="N1795" s="3"/>
    </row>
    <row r="1796" spans="1:14" x14ac:dyDescent="0.25">
      <c r="A1796" s="3" t="s">
        <v>1826</v>
      </c>
      <c r="B1796">
        <v>1997</v>
      </c>
      <c r="C1796">
        <v>1997</v>
      </c>
      <c r="D1796" s="3" t="s">
        <v>17</v>
      </c>
      <c r="E1796" s="3" t="s">
        <v>17</v>
      </c>
      <c r="F1796">
        <v>15</v>
      </c>
      <c r="G1796" s="7">
        <v>35596</v>
      </c>
      <c r="H1796">
        <v>1</v>
      </c>
      <c r="I1796" s="3" t="s">
        <v>10169</v>
      </c>
      <c r="J1796" s="3" t="s">
        <v>15</v>
      </c>
      <c r="K1796" s="3" t="s">
        <v>15</v>
      </c>
      <c r="L1796" s="3" t="s">
        <v>12</v>
      </c>
      <c r="M1796">
        <v>29</v>
      </c>
      <c r="N1796" s="3"/>
    </row>
    <row r="1797" spans="1:14" x14ac:dyDescent="0.25">
      <c r="A1797" s="3" t="s">
        <v>1827</v>
      </c>
      <c r="B1797">
        <v>2004</v>
      </c>
      <c r="C1797">
        <v>2004</v>
      </c>
      <c r="D1797" s="3" t="s">
        <v>19</v>
      </c>
      <c r="E1797" s="3" t="s">
        <v>19</v>
      </c>
      <c r="F1797">
        <v>10</v>
      </c>
      <c r="G1797" s="7">
        <v>38240</v>
      </c>
      <c r="H1797">
        <v>3</v>
      </c>
      <c r="I1797" s="3" t="s">
        <v>10170</v>
      </c>
      <c r="J1797" s="3" t="s">
        <v>15</v>
      </c>
      <c r="K1797" s="3" t="s">
        <v>11</v>
      </c>
      <c r="L1797" s="3" t="s">
        <v>12</v>
      </c>
      <c r="M1797">
        <v>22</v>
      </c>
      <c r="N1797" s="3"/>
    </row>
    <row r="1798" spans="1:14" x14ac:dyDescent="0.25">
      <c r="A1798" s="3" t="s">
        <v>1828</v>
      </c>
      <c r="B1798">
        <v>1995</v>
      </c>
      <c r="C1798">
        <v>1995</v>
      </c>
      <c r="D1798" s="3" t="s">
        <v>34</v>
      </c>
      <c r="E1798" s="3" t="s">
        <v>34</v>
      </c>
      <c r="F1798">
        <v>3</v>
      </c>
      <c r="G1798" s="7">
        <v>34914</v>
      </c>
      <c r="H1798">
        <v>0</v>
      </c>
      <c r="I1798" s="3" t="s">
        <v>10171</v>
      </c>
      <c r="J1798" s="3" t="s">
        <v>15</v>
      </c>
      <c r="K1798" s="3" t="s">
        <v>15</v>
      </c>
      <c r="L1798" s="3" t="s">
        <v>12</v>
      </c>
      <c r="M1798">
        <v>31</v>
      </c>
      <c r="N1798" s="3"/>
    </row>
    <row r="1799" spans="1:14" x14ac:dyDescent="0.25">
      <c r="A1799" s="3" t="s">
        <v>1829</v>
      </c>
      <c r="B1799">
        <v>1992</v>
      </c>
      <c r="C1799">
        <v>1992</v>
      </c>
      <c r="D1799" s="3" t="s">
        <v>29</v>
      </c>
      <c r="E1799" s="3" t="s">
        <v>29</v>
      </c>
      <c r="F1799">
        <v>25</v>
      </c>
      <c r="G1799" s="7">
        <v>33963</v>
      </c>
      <c r="H1799">
        <v>3</v>
      </c>
      <c r="I1799" s="3" t="s">
        <v>10172</v>
      </c>
      <c r="J1799" s="3" t="s">
        <v>15</v>
      </c>
      <c r="K1799" s="3" t="s">
        <v>11</v>
      </c>
      <c r="L1799" s="3" t="s">
        <v>41</v>
      </c>
      <c r="M1799">
        <v>34</v>
      </c>
      <c r="N1799" s="3"/>
    </row>
    <row r="1800" spans="1:14" x14ac:dyDescent="0.25">
      <c r="A1800" s="3" t="s">
        <v>1830</v>
      </c>
      <c r="B1800">
        <v>1995</v>
      </c>
      <c r="C1800">
        <v>1995</v>
      </c>
      <c r="D1800" s="3" t="s">
        <v>9</v>
      </c>
      <c r="E1800" s="3" t="s">
        <v>9</v>
      </c>
      <c r="F1800">
        <v>4</v>
      </c>
      <c r="G1800" s="7">
        <v>34884</v>
      </c>
      <c r="H1800">
        <v>0</v>
      </c>
      <c r="I1800" s="3" t="s">
        <v>10173</v>
      </c>
      <c r="J1800" s="3" t="s">
        <v>15</v>
      </c>
      <c r="K1800" s="3" t="s">
        <v>11</v>
      </c>
      <c r="L1800" s="3" t="s">
        <v>22</v>
      </c>
      <c r="M1800">
        <v>31</v>
      </c>
      <c r="N1800" s="3"/>
    </row>
    <row r="1801" spans="1:14" x14ac:dyDescent="0.25">
      <c r="A1801" s="3" t="s">
        <v>1831</v>
      </c>
      <c r="B1801">
        <v>1999</v>
      </c>
      <c r="C1801">
        <v>1999</v>
      </c>
      <c r="D1801" s="3" t="s">
        <v>29</v>
      </c>
      <c r="E1801" s="3" t="s">
        <v>29</v>
      </c>
      <c r="F1801">
        <v>15</v>
      </c>
      <c r="G1801" s="7">
        <v>36509</v>
      </c>
      <c r="H1801">
        <v>1</v>
      </c>
      <c r="I1801" s="3" t="s">
        <v>10174</v>
      </c>
      <c r="J1801" s="3" t="s">
        <v>15</v>
      </c>
      <c r="K1801" s="3" t="s">
        <v>10</v>
      </c>
      <c r="L1801" s="3" t="s">
        <v>12</v>
      </c>
      <c r="M1801">
        <v>27</v>
      </c>
      <c r="N1801" s="3"/>
    </row>
    <row r="1802" spans="1:14" x14ac:dyDescent="0.25">
      <c r="A1802" s="3" t="s">
        <v>1832</v>
      </c>
      <c r="B1802">
        <v>1964</v>
      </c>
      <c r="C1802">
        <v>1964</v>
      </c>
      <c r="D1802" s="3" t="s">
        <v>19</v>
      </c>
      <c r="E1802" s="3" t="s">
        <v>19</v>
      </c>
      <c r="F1802">
        <v>26</v>
      </c>
      <c r="G1802" s="7">
        <v>23646</v>
      </c>
      <c r="H1802">
        <v>0</v>
      </c>
      <c r="I1802" s="3" t="s">
        <v>10175</v>
      </c>
      <c r="J1802" s="3" t="s">
        <v>15</v>
      </c>
      <c r="K1802" s="3" t="s">
        <v>10</v>
      </c>
      <c r="L1802" s="3" t="s">
        <v>22</v>
      </c>
      <c r="M1802">
        <v>62</v>
      </c>
      <c r="N1802" s="3"/>
    </row>
    <row r="1803" spans="1:14" x14ac:dyDescent="0.25">
      <c r="A1803" s="3" t="s">
        <v>1833</v>
      </c>
      <c r="B1803">
        <v>1986</v>
      </c>
      <c r="C1803">
        <v>1986</v>
      </c>
      <c r="D1803" s="3" t="s">
        <v>34</v>
      </c>
      <c r="E1803" s="3" t="s">
        <v>34</v>
      </c>
      <c r="F1803">
        <v>12</v>
      </c>
      <c r="G1803" s="7">
        <v>31636</v>
      </c>
      <c r="H1803">
        <v>2</v>
      </c>
      <c r="I1803" s="3" t="s">
        <v>10176</v>
      </c>
      <c r="J1803" s="3" t="s">
        <v>15</v>
      </c>
      <c r="K1803" s="3" t="s">
        <v>11</v>
      </c>
      <c r="L1803" s="3" t="s">
        <v>41</v>
      </c>
      <c r="M1803">
        <v>40</v>
      </c>
      <c r="N1803" s="3"/>
    </row>
    <row r="1804" spans="1:14" x14ac:dyDescent="0.25">
      <c r="A1804" s="3" t="s">
        <v>1834</v>
      </c>
      <c r="B1804">
        <v>1998</v>
      </c>
      <c r="C1804">
        <v>1998</v>
      </c>
      <c r="D1804" s="3" t="s">
        <v>19</v>
      </c>
      <c r="E1804" s="3" t="s">
        <v>19</v>
      </c>
      <c r="F1804">
        <v>23</v>
      </c>
      <c r="G1804" s="7">
        <v>36061</v>
      </c>
      <c r="H1804">
        <v>0</v>
      </c>
      <c r="I1804" s="3" t="s">
        <v>10177</v>
      </c>
      <c r="J1804" s="3" t="s">
        <v>15</v>
      </c>
      <c r="K1804" s="3" t="s">
        <v>15</v>
      </c>
      <c r="L1804" s="3" t="s">
        <v>165</v>
      </c>
      <c r="M1804">
        <v>28</v>
      </c>
      <c r="N1804" s="3"/>
    </row>
    <row r="1805" spans="1:14" x14ac:dyDescent="0.25">
      <c r="A1805" s="3" t="s">
        <v>1835</v>
      </c>
      <c r="B1805">
        <v>1970</v>
      </c>
      <c r="C1805">
        <v>1970</v>
      </c>
      <c r="D1805" s="3" t="s">
        <v>36</v>
      </c>
      <c r="E1805" s="3" t="s">
        <v>36</v>
      </c>
      <c r="F1805">
        <v>17</v>
      </c>
      <c r="G1805" s="7">
        <v>25858</v>
      </c>
      <c r="H1805">
        <v>0</v>
      </c>
      <c r="I1805" s="3" t="s">
        <v>10178</v>
      </c>
      <c r="J1805" s="3" t="s">
        <v>15</v>
      </c>
      <c r="K1805" s="3" t="s">
        <v>11</v>
      </c>
      <c r="L1805" s="3" t="s">
        <v>22</v>
      </c>
      <c r="M1805">
        <v>56</v>
      </c>
      <c r="N1805" s="3"/>
    </row>
    <row r="1806" spans="1:14" x14ac:dyDescent="0.25">
      <c r="A1806" s="3" t="s">
        <v>1836</v>
      </c>
      <c r="B1806">
        <v>1967</v>
      </c>
      <c r="C1806">
        <v>1967</v>
      </c>
      <c r="D1806" s="3" t="s">
        <v>34</v>
      </c>
      <c r="E1806" s="3" t="s">
        <v>34</v>
      </c>
      <c r="F1806">
        <v>30</v>
      </c>
      <c r="G1806" s="7">
        <v>24714</v>
      </c>
      <c r="H1806">
        <v>0</v>
      </c>
      <c r="I1806" s="3" t="s">
        <v>10179</v>
      </c>
      <c r="J1806" s="3" t="s">
        <v>15</v>
      </c>
      <c r="K1806" s="3" t="s">
        <v>15</v>
      </c>
      <c r="L1806" s="3" t="s">
        <v>248</v>
      </c>
      <c r="M1806">
        <v>59</v>
      </c>
      <c r="N1806" s="3"/>
    </row>
    <row r="1807" spans="1:14" x14ac:dyDescent="0.25">
      <c r="A1807" s="3" t="s">
        <v>1837</v>
      </c>
      <c r="B1807">
        <v>1992</v>
      </c>
      <c r="C1807">
        <v>1992</v>
      </c>
      <c r="D1807" s="3" t="s">
        <v>29</v>
      </c>
      <c r="E1807" s="3" t="s">
        <v>29</v>
      </c>
      <c r="F1807">
        <v>27</v>
      </c>
      <c r="G1807" s="7">
        <v>33965</v>
      </c>
      <c r="H1807">
        <v>3</v>
      </c>
      <c r="I1807" s="3" t="s">
        <v>10180</v>
      </c>
      <c r="J1807" s="3" t="s">
        <v>15</v>
      </c>
      <c r="K1807" s="3" t="s">
        <v>10</v>
      </c>
      <c r="L1807" s="3" t="s">
        <v>22</v>
      </c>
      <c r="M1807">
        <v>34</v>
      </c>
      <c r="N1807" s="3"/>
    </row>
    <row r="1808" spans="1:14" x14ac:dyDescent="0.25">
      <c r="A1808" s="3" t="s">
        <v>1838</v>
      </c>
      <c r="B1808">
        <v>1979</v>
      </c>
      <c r="C1808">
        <v>1979</v>
      </c>
      <c r="D1808" s="3" t="s">
        <v>14</v>
      </c>
      <c r="E1808" s="3" t="s">
        <v>14</v>
      </c>
      <c r="F1808">
        <v>19</v>
      </c>
      <c r="G1808" s="7">
        <v>29178</v>
      </c>
      <c r="H1808">
        <v>2</v>
      </c>
      <c r="I1808" s="3" t="s">
        <v>10181</v>
      </c>
      <c r="J1808" s="3" t="s">
        <v>15</v>
      </c>
      <c r="K1808" s="3" t="s">
        <v>15</v>
      </c>
      <c r="L1808" s="3" t="s">
        <v>12</v>
      </c>
      <c r="M1808">
        <v>47</v>
      </c>
      <c r="N1808" s="3"/>
    </row>
    <row r="1809" spans="1:14" x14ac:dyDescent="0.25">
      <c r="A1809" s="3" t="s">
        <v>1839</v>
      </c>
      <c r="B1809">
        <v>1995</v>
      </c>
      <c r="C1809">
        <v>1995</v>
      </c>
      <c r="D1809" s="3" t="s">
        <v>14</v>
      </c>
      <c r="E1809" s="3" t="s">
        <v>14</v>
      </c>
      <c r="F1809">
        <v>28</v>
      </c>
      <c r="G1809" s="7">
        <v>35031</v>
      </c>
      <c r="H1809">
        <v>3</v>
      </c>
      <c r="I1809" s="3" t="s">
        <v>10182</v>
      </c>
      <c r="J1809" s="3" t="s">
        <v>15</v>
      </c>
      <c r="K1809" s="3" t="s">
        <v>15</v>
      </c>
      <c r="L1809" s="3" t="s">
        <v>22</v>
      </c>
      <c r="M1809">
        <v>31</v>
      </c>
      <c r="N1809" s="3"/>
    </row>
    <row r="1810" spans="1:14" x14ac:dyDescent="0.25">
      <c r="A1810" s="3" t="s">
        <v>1840</v>
      </c>
      <c r="B1810">
        <v>1979</v>
      </c>
      <c r="C1810">
        <v>1979</v>
      </c>
      <c r="D1810" s="3" t="s">
        <v>36</v>
      </c>
      <c r="E1810" s="3" t="s">
        <v>36</v>
      </c>
      <c r="F1810">
        <v>15</v>
      </c>
      <c r="G1810" s="7">
        <v>29143</v>
      </c>
      <c r="H1810">
        <v>2</v>
      </c>
      <c r="I1810" s="3" t="s">
        <v>10183</v>
      </c>
      <c r="J1810" s="3" t="s">
        <v>15</v>
      </c>
      <c r="K1810" s="3" t="s">
        <v>10</v>
      </c>
      <c r="L1810" s="3" t="s">
        <v>12</v>
      </c>
      <c r="M1810">
        <v>47</v>
      </c>
      <c r="N1810" s="3"/>
    </row>
    <row r="1811" spans="1:14" x14ac:dyDescent="0.25">
      <c r="A1811" s="3" t="s">
        <v>1841</v>
      </c>
      <c r="B1811">
        <v>1962</v>
      </c>
      <c r="C1811">
        <v>1962</v>
      </c>
      <c r="D1811" s="3" t="s">
        <v>29</v>
      </c>
      <c r="E1811" s="3" t="s">
        <v>29</v>
      </c>
      <c r="F1811">
        <v>18</v>
      </c>
      <c r="G1811" s="7">
        <v>22998</v>
      </c>
      <c r="H1811">
        <v>0</v>
      </c>
      <c r="I1811" s="3" t="s">
        <v>10184</v>
      </c>
      <c r="J1811" s="3" t="s">
        <v>15</v>
      </c>
      <c r="K1811" s="3" t="s">
        <v>15</v>
      </c>
      <c r="L1811" s="3" t="s">
        <v>248</v>
      </c>
      <c r="M1811">
        <v>64</v>
      </c>
      <c r="N1811" s="3"/>
    </row>
    <row r="1812" spans="1:14" x14ac:dyDescent="0.25">
      <c r="A1812" s="3" t="s">
        <v>1842</v>
      </c>
      <c r="B1812">
        <v>2003</v>
      </c>
      <c r="C1812">
        <v>2003</v>
      </c>
      <c r="D1812" s="3" t="s">
        <v>9</v>
      </c>
      <c r="E1812" s="3" t="s">
        <v>9</v>
      </c>
      <c r="F1812">
        <v>24</v>
      </c>
      <c r="G1812" s="7">
        <v>37826</v>
      </c>
      <c r="H1812">
        <v>3</v>
      </c>
      <c r="I1812" s="3" t="s">
        <v>10185</v>
      </c>
      <c r="J1812" s="3" t="s">
        <v>15</v>
      </c>
      <c r="K1812" s="3" t="s">
        <v>11</v>
      </c>
      <c r="L1812" s="3" t="s">
        <v>22</v>
      </c>
      <c r="M1812">
        <v>23</v>
      </c>
      <c r="N1812" s="3"/>
    </row>
    <row r="1813" spans="1:14" x14ac:dyDescent="0.25">
      <c r="A1813" s="3" t="s">
        <v>1843</v>
      </c>
      <c r="B1813">
        <v>1963</v>
      </c>
      <c r="C1813">
        <v>1963</v>
      </c>
      <c r="D1813" s="3" t="s">
        <v>29</v>
      </c>
      <c r="E1813" s="3" t="s">
        <v>29</v>
      </c>
      <c r="F1813">
        <v>6</v>
      </c>
      <c r="G1813" s="7">
        <v>23351</v>
      </c>
      <c r="H1813">
        <v>0</v>
      </c>
      <c r="I1813" s="3" t="s">
        <v>10186</v>
      </c>
      <c r="J1813" s="3" t="s">
        <v>15</v>
      </c>
      <c r="K1813" s="3" t="s">
        <v>15</v>
      </c>
      <c r="L1813" s="3" t="s">
        <v>534</v>
      </c>
      <c r="M1813">
        <v>63</v>
      </c>
      <c r="N1813" s="3"/>
    </row>
    <row r="1814" spans="1:14" x14ac:dyDescent="0.25">
      <c r="A1814" s="3" t="s">
        <v>1844</v>
      </c>
      <c r="B1814">
        <v>1995</v>
      </c>
      <c r="C1814">
        <v>1995</v>
      </c>
      <c r="D1814" s="3" t="s">
        <v>19</v>
      </c>
      <c r="E1814" s="3" t="s">
        <v>19</v>
      </c>
      <c r="F1814">
        <v>27</v>
      </c>
      <c r="G1814" s="7">
        <v>34969</v>
      </c>
      <c r="H1814">
        <v>1</v>
      </c>
      <c r="I1814" s="3" t="s">
        <v>10187</v>
      </c>
      <c r="J1814" s="3" t="s">
        <v>15</v>
      </c>
      <c r="K1814" s="3" t="s">
        <v>10</v>
      </c>
      <c r="L1814" s="3" t="s">
        <v>246</v>
      </c>
      <c r="M1814">
        <v>31</v>
      </c>
      <c r="N1814" s="3"/>
    </row>
    <row r="1815" spans="1:14" x14ac:dyDescent="0.25">
      <c r="A1815" s="3" t="s">
        <v>1845</v>
      </c>
      <c r="B1815">
        <v>1969</v>
      </c>
      <c r="C1815">
        <v>1969</v>
      </c>
      <c r="D1815" s="3" t="s">
        <v>34</v>
      </c>
      <c r="E1815" s="3" t="s">
        <v>34</v>
      </c>
      <c r="F1815">
        <v>3</v>
      </c>
      <c r="G1815" s="7">
        <v>25418</v>
      </c>
      <c r="H1815">
        <v>0</v>
      </c>
      <c r="I1815" s="3" t="s">
        <v>10188</v>
      </c>
      <c r="J1815" s="3" t="s">
        <v>15</v>
      </c>
      <c r="K1815" s="3" t="s">
        <v>11</v>
      </c>
      <c r="L1815" s="3" t="s">
        <v>22</v>
      </c>
      <c r="M1815">
        <v>57</v>
      </c>
      <c r="N1815" s="3"/>
    </row>
    <row r="1816" spans="1:14" x14ac:dyDescent="0.25">
      <c r="A1816" s="3" t="s">
        <v>1846</v>
      </c>
      <c r="B1816">
        <v>1963</v>
      </c>
      <c r="C1816">
        <v>1963</v>
      </c>
      <c r="D1816" s="3" t="s">
        <v>36</v>
      </c>
      <c r="E1816" s="3" t="s">
        <v>36</v>
      </c>
      <c r="F1816">
        <v>20</v>
      </c>
      <c r="G1816" s="7">
        <v>23304</v>
      </c>
      <c r="H1816">
        <v>0</v>
      </c>
      <c r="I1816" s="3" t="s">
        <v>10189</v>
      </c>
      <c r="J1816" s="3" t="s">
        <v>15</v>
      </c>
      <c r="K1816" s="3" t="s">
        <v>15</v>
      </c>
      <c r="L1816" s="3" t="s">
        <v>534</v>
      </c>
      <c r="M1816">
        <v>63</v>
      </c>
      <c r="N1816" s="3"/>
    </row>
    <row r="1817" spans="1:14" x14ac:dyDescent="0.25">
      <c r="A1817" s="3" t="s">
        <v>1847</v>
      </c>
      <c r="B1817">
        <v>1998</v>
      </c>
      <c r="C1817">
        <v>1998</v>
      </c>
      <c r="D1817" s="3" t="s">
        <v>34</v>
      </c>
      <c r="E1817" s="3" t="s">
        <v>34</v>
      </c>
      <c r="F1817">
        <v>6</v>
      </c>
      <c r="G1817" s="7">
        <v>36013</v>
      </c>
      <c r="H1817">
        <v>0</v>
      </c>
      <c r="I1817" s="3" t="s">
        <v>10190</v>
      </c>
      <c r="J1817" s="3" t="s">
        <v>15</v>
      </c>
      <c r="K1817" s="3" t="s">
        <v>11</v>
      </c>
      <c r="L1817" s="3" t="s">
        <v>41</v>
      </c>
      <c r="M1817">
        <v>28</v>
      </c>
      <c r="N1817" s="3"/>
    </row>
    <row r="1818" spans="1:14" x14ac:dyDescent="0.25">
      <c r="A1818" s="3" t="s">
        <v>1848</v>
      </c>
      <c r="B1818">
        <v>1992</v>
      </c>
      <c r="C1818">
        <v>1992</v>
      </c>
      <c r="D1818" s="3" t="s">
        <v>14</v>
      </c>
      <c r="E1818" s="3" t="s">
        <v>14</v>
      </c>
      <c r="F1818">
        <v>30</v>
      </c>
      <c r="G1818" s="7">
        <v>33938</v>
      </c>
      <c r="H1818">
        <v>1</v>
      </c>
      <c r="I1818" s="3" t="s">
        <v>10191</v>
      </c>
      <c r="J1818" s="3" t="s">
        <v>15</v>
      </c>
      <c r="K1818" s="3" t="s">
        <v>15</v>
      </c>
      <c r="L1818" s="3" t="s">
        <v>12</v>
      </c>
      <c r="M1818">
        <v>34</v>
      </c>
      <c r="N1818" s="3"/>
    </row>
    <row r="1819" spans="1:14" x14ac:dyDescent="0.25">
      <c r="A1819" s="3" t="s">
        <v>1849</v>
      </c>
      <c r="B1819">
        <v>1988</v>
      </c>
      <c r="C1819">
        <v>1988</v>
      </c>
      <c r="D1819" s="3" t="s">
        <v>36</v>
      </c>
      <c r="E1819" s="3" t="s">
        <v>36</v>
      </c>
      <c r="F1819">
        <v>24</v>
      </c>
      <c r="G1819" s="7">
        <v>32440</v>
      </c>
      <c r="H1819">
        <v>2</v>
      </c>
      <c r="I1819" s="3" t="s">
        <v>10192</v>
      </c>
      <c r="J1819" s="3" t="s">
        <v>15</v>
      </c>
      <c r="K1819" s="3" t="s">
        <v>11</v>
      </c>
      <c r="L1819" s="3" t="s">
        <v>12</v>
      </c>
      <c r="M1819">
        <v>38</v>
      </c>
      <c r="N1819" s="3"/>
    </row>
    <row r="1820" spans="1:14" x14ac:dyDescent="0.25">
      <c r="A1820" s="3" t="s">
        <v>1850</v>
      </c>
      <c r="B1820">
        <v>1983</v>
      </c>
      <c r="C1820">
        <v>1983</v>
      </c>
      <c r="D1820" s="3" t="s">
        <v>29</v>
      </c>
      <c r="E1820" s="3" t="s">
        <v>29</v>
      </c>
      <c r="F1820">
        <v>19</v>
      </c>
      <c r="G1820" s="7">
        <v>30669</v>
      </c>
      <c r="H1820">
        <v>5</v>
      </c>
      <c r="I1820" s="3" t="s">
        <v>10193</v>
      </c>
      <c r="J1820" s="3" t="s">
        <v>15</v>
      </c>
      <c r="K1820" s="3" t="s">
        <v>11</v>
      </c>
      <c r="L1820" s="3" t="s">
        <v>41</v>
      </c>
      <c r="M1820">
        <v>43</v>
      </c>
      <c r="N1820" s="3"/>
    </row>
    <row r="1821" spans="1:14" x14ac:dyDescent="0.25">
      <c r="A1821" s="3" t="s">
        <v>1851</v>
      </c>
      <c r="B1821">
        <v>1989</v>
      </c>
      <c r="C1821">
        <v>1989</v>
      </c>
      <c r="D1821" s="3" t="s">
        <v>17</v>
      </c>
      <c r="E1821" s="3" t="s">
        <v>17</v>
      </c>
      <c r="F1821">
        <v>5</v>
      </c>
      <c r="G1821" s="7">
        <v>32664</v>
      </c>
      <c r="H1821">
        <v>1</v>
      </c>
      <c r="I1821" s="3" t="s">
        <v>10194</v>
      </c>
      <c r="J1821" s="3" t="s">
        <v>15</v>
      </c>
      <c r="K1821" s="3" t="s">
        <v>11</v>
      </c>
      <c r="L1821" s="3" t="s">
        <v>41</v>
      </c>
      <c r="M1821">
        <v>37</v>
      </c>
      <c r="N1821" s="3"/>
    </row>
    <row r="1822" spans="1:14" x14ac:dyDescent="0.25">
      <c r="A1822" s="3" t="s">
        <v>1852</v>
      </c>
      <c r="B1822">
        <v>1993</v>
      </c>
      <c r="C1822">
        <v>1993</v>
      </c>
      <c r="D1822" s="3" t="s">
        <v>19</v>
      </c>
      <c r="E1822" s="3" t="s">
        <v>19</v>
      </c>
      <c r="F1822">
        <v>28</v>
      </c>
      <c r="G1822" s="7">
        <v>34240</v>
      </c>
      <c r="H1822">
        <v>1</v>
      </c>
      <c r="I1822" s="3" t="s">
        <v>10195</v>
      </c>
      <c r="J1822" s="3" t="s">
        <v>15</v>
      </c>
      <c r="K1822" s="3" t="s">
        <v>10</v>
      </c>
      <c r="L1822" s="3" t="s">
        <v>12</v>
      </c>
      <c r="M1822">
        <v>33</v>
      </c>
      <c r="N1822" s="3"/>
    </row>
    <row r="1823" spans="1:14" x14ac:dyDescent="0.25">
      <c r="A1823" s="3" t="s">
        <v>1853</v>
      </c>
      <c r="B1823">
        <v>1979</v>
      </c>
      <c r="C1823">
        <v>1979</v>
      </c>
      <c r="D1823" s="3" t="s">
        <v>9</v>
      </c>
      <c r="E1823" s="3" t="s">
        <v>9</v>
      </c>
      <c r="F1823">
        <v>2</v>
      </c>
      <c r="G1823" s="7">
        <v>29038</v>
      </c>
      <c r="H1823">
        <v>2</v>
      </c>
      <c r="I1823" s="3" t="s">
        <v>10196</v>
      </c>
      <c r="J1823" s="3" t="s">
        <v>15</v>
      </c>
      <c r="K1823" s="3" t="s">
        <v>15</v>
      </c>
      <c r="L1823" s="3" t="s">
        <v>246</v>
      </c>
      <c r="M1823">
        <v>47</v>
      </c>
      <c r="N1823" s="3"/>
    </row>
    <row r="1824" spans="1:14" x14ac:dyDescent="0.25">
      <c r="A1824" s="3" t="s">
        <v>1854</v>
      </c>
      <c r="B1824">
        <v>1991</v>
      </c>
      <c r="C1824">
        <v>1991</v>
      </c>
      <c r="D1824" s="3" t="s">
        <v>19</v>
      </c>
      <c r="E1824" s="3" t="s">
        <v>19</v>
      </c>
      <c r="F1824">
        <v>16</v>
      </c>
      <c r="G1824" s="7">
        <v>33497</v>
      </c>
      <c r="H1824">
        <v>3</v>
      </c>
      <c r="I1824" s="3" t="s">
        <v>10197</v>
      </c>
      <c r="J1824" s="3" t="s">
        <v>15</v>
      </c>
      <c r="K1824" s="3" t="s">
        <v>11</v>
      </c>
      <c r="L1824" s="3" t="s">
        <v>41</v>
      </c>
      <c r="M1824">
        <v>35</v>
      </c>
      <c r="N1824" s="3"/>
    </row>
    <row r="1825" spans="1:14" x14ac:dyDescent="0.25">
      <c r="A1825" s="3" t="s">
        <v>1855</v>
      </c>
      <c r="B1825">
        <v>1985</v>
      </c>
      <c r="C1825">
        <v>1985</v>
      </c>
      <c r="D1825" s="3" t="s">
        <v>29</v>
      </c>
      <c r="E1825" s="3" t="s">
        <v>29</v>
      </c>
      <c r="F1825">
        <v>28</v>
      </c>
      <c r="G1825" s="7">
        <v>31409</v>
      </c>
      <c r="H1825">
        <v>0</v>
      </c>
      <c r="I1825" s="3" t="s">
        <v>10198</v>
      </c>
      <c r="J1825" s="3" t="s">
        <v>15</v>
      </c>
      <c r="K1825" s="3" t="s">
        <v>11</v>
      </c>
      <c r="L1825" s="3" t="s">
        <v>12</v>
      </c>
      <c r="M1825">
        <v>41</v>
      </c>
      <c r="N1825" s="3"/>
    </row>
    <row r="1826" spans="1:14" x14ac:dyDescent="0.25">
      <c r="A1826" s="3" t="s">
        <v>1856</v>
      </c>
      <c r="B1826">
        <v>1967</v>
      </c>
      <c r="C1826">
        <v>1967</v>
      </c>
      <c r="D1826" s="3" t="s">
        <v>9</v>
      </c>
      <c r="E1826" s="3" t="s">
        <v>9</v>
      </c>
      <c r="F1826">
        <v>29</v>
      </c>
      <c r="G1826" s="7">
        <v>24682</v>
      </c>
      <c r="H1826">
        <v>0</v>
      </c>
      <c r="I1826" s="3" t="s">
        <v>10199</v>
      </c>
      <c r="J1826" s="3" t="s">
        <v>15</v>
      </c>
      <c r="K1826" s="3" t="s">
        <v>15</v>
      </c>
      <c r="L1826" s="3" t="s">
        <v>22</v>
      </c>
      <c r="M1826">
        <v>59</v>
      </c>
      <c r="N1826" s="3"/>
    </row>
    <row r="1827" spans="1:14" x14ac:dyDescent="0.25">
      <c r="A1827" s="3" t="s">
        <v>1857</v>
      </c>
      <c r="B1827">
        <v>1966</v>
      </c>
      <c r="C1827">
        <v>1966</v>
      </c>
      <c r="D1827" s="3" t="s">
        <v>14</v>
      </c>
      <c r="E1827" s="3" t="s">
        <v>14</v>
      </c>
      <c r="F1827">
        <v>15</v>
      </c>
      <c r="G1827" s="7">
        <v>24426</v>
      </c>
      <c r="H1827">
        <v>0</v>
      </c>
      <c r="I1827" s="3" t="s">
        <v>10200</v>
      </c>
      <c r="J1827" s="3" t="s">
        <v>15</v>
      </c>
      <c r="K1827" s="3" t="s">
        <v>15</v>
      </c>
      <c r="L1827" s="3" t="s">
        <v>22</v>
      </c>
      <c r="M1827">
        <v>60</v>
      </c>
      <c r="N1827" s="3"/>
    </row>
    <row r="1828" spans="1:14" x14ac:dyDescent="0.25">
      <c r="A1828" s="3" t="s">
        <v>1858</v>
      </c>
      <c r="B1828">
        <v>1991</v>
      </c>
      <c r="C1828">
        <v>1991</v>
      </c>
      <c r="D1828" s="3" t="s">
        <v>34</v>
      </c>
      <c r="E1828" s="3" t="s">
        <v>34</v>
      </c>
      <c r="F1828">
        <v>24</v>
      </c>
      <c r="G1828" s="7">
        <v>33474</v>
      </c>
      <c r="H1828">
        <v>0</v>
      </c>
      <c r="I1828" s="3" t="s">
        <v>10201</v>
      </c>
      <c r="J1828" s="3" t="s">
        <v>15</v>
      </c>
      <c r="K1828" s="3" t="s">
        <v>11</v>
      </c>
      <c r="L1828" s="3" t="s">
        <v>12</v>
      </c>
      <c r="M1828">
        <v>35</v>
      </c>
      <c r="N1828" s="3"/>
    </row>
    <row r="1829" spans="1:14" x14ac:dyDescent="0.25">
      <c r="A1829" s="3" t="s">
        <v>1859</v>
      </c>
      <c r="B1829">
        <v>1987</v>
      </c>
      <c r="C1829">
        <v>1987</v>
      </c>
      <c r="D1829" s="3" t="s">
        <v>17</v>
      </c>
      <c r="E1829" s="3" t="s">
        <v>17</v>
      </c>
      <c r="F1829">
        <v>30</v>
      </c>
      <c r="G1829" s="7">
        <v>31958</v>
      </c>
      <c r="H1829">
        <v>3</v>
      </c>
      <c r="I1829" s="3" t="s">
        <v>10202</v>
      </c>
      <c r="J1829" s="3" t="s">
        <v>15</v>
      </c>
      <c r="K1829" s="3" t="s">
        <v>11</v>
      </c>
      <c r="L1829" s="3" t="s">
        <v>12</v>
      </c>
      <c r="M1829">
        <v>39</v>
      </c>
      <c r="N1829" s="3"/>
    </row>
    <row r="1830" spans="1:14" x14ac:dyDescent="0.25">
      <c r="A1830" s="3" t="s">
        <v>1860</v>
      </c>
      <c r="B1830">
        <v>1993</v>
      </c>
      <c r="C1830">
        <v>1993</v>
      </c>
      <c r="D1830" s="3" t="s">
        <v>19</v>
      </c>
      <c r="E1830" s="3" t="s">
        <v>19</v>
      </c>
      <c r="F1830">
        <v>6</v>
      </c>
      <c r="G1830" s="7">
        <v>34218</v>
      </c>
      <c r="H1830">
        <v>2</v>
      </c>
      <c r="I1830" s="3" t="s">
        <v>10203</v>
      </c>
      <c r="J1830" s="3" t="s">
        <v>15</v>
      </c>
      <c r="K1830" s="3" t="s">
        <v>11</v>
      </c>
      <c r="L1830" s="3" t="s">
        <v>22</v>
      </c>
      <c r="M1830">
        <v>33</v>
      </c>
      <c r="N1830" s="3"/>
    </row>
    <row r="1831" spans="1:14" x14ac:dyDescent="0.25">
      <c r="A1831" s="3" t="s">
        <v>1861</v>
      </c>
      <c r="B1831">
        <v>1982</v>
      </c>
      <c r="C1831">
        <v>1982</v>
      </c>
      <c r="D1831" s="3" t="s">
        <v>29</v>
      </c>
      <c r="E1831" s="3" t="s">
        <v>29</v>
      </c>
      <c r="F1831">
        <v>15</v>
      </c>
      <c r="G1831" s="7">
        <v>30300</v>
      </c>
      <c r="H1831">
        <v>2</v>
      </c>
      <c r="I1831" s="3" t="s">
        <v>10204</v>
      </c>
      <c r="J1831" s="3" t="s">
        <v>15</v>
      </c>
      <c r="K1831" s="3" t="s">
        <v>15</v>
      </c>
      <c r="L1831" s="3" t="s">
        <v>12</v>
      </c>
      <c r="M1831">
        <v>44</v>
      </c>
      <c r="N1831" s="3"/>
    </row>
    <row r="1832" spans="1:14" x14ac:dyDescent="0.25">
      <c r="A1832" s="3" t="s">
        <v>1862</v>
      </c>
      <c r="B1832">
        <v>1987</v>
      </c>
      <c r="C1832">
        <v>1987</v>
      </c>
      <c r="D1832" s="3" t="s">
        <v>14</v>
      </c>
      <c r="E1832" s="3" t="s">
        <v>14</v>
      </c>
      <c r="F1832">
        <v>30</v>
      </c>
      <c r="G1832" s="7">
        <v>32111</v>
      </c>
      <c r="H1832">
        <v>4</v>
      </c>
      <c r="I1832" s="3" t="s">
        <v>10205</v>
      </c>
      <c r="J1832" s="3" t="s">
        <v>15</v>
      </c>
      <c r="K1832" s="3" t="s">
        <v>11</v>
      </c>
      <c r="L1832" s="3" t="s">
        <v>165</v>
      </c>
      <c r="M1832">
        <v>39</v>
      </c>
      <c r="N1832" s="3"/>
    </row>
    <row r="1833" spans="1:14" x14ac:dyDescent="0.25">
      <c r="A1833" s="3" t="s">
        <v>1863</v>
      </c>
      <c r="B1833">
        <v>1980</v>
      </c>
      <c r="C1833">
        <v>1980</v>
      </c>
      <c r="D1833" s="3" t="s">
        <v>14</v>
      </c>
      <c r="E1833" s="3" t="s">
        <v>14</v>
      </c>
      <c r="F1833">
        <v>8</v>
      </c>
      <c r="G1833" s="7">
        <v>29533</v>
      </c>
      <c r="H1833">
        <v>0</v>
      </c>
      <c r="I1833" s="3" t="s">
        <v>10206</v>
      </c>
      <c r="J1833" s="3" t="s">
        <v>15</v>
      </c>
      <c r="K1833" s="3" t="s">
        <v>15</v>
      </c>
      <c r="L1833" s="3" t="s">
        <v>12</v>
      </c>
      <c r="M1833">
        <v>46</v>
      </c>
      <c r="N1833" s="3"/>
    </row>
    <row r="1834" spans="1:14" x14ac:dyDescent="0.25">
      <c r="A1834" s="3" t="s">
        <v>1864</v>
      </c>
      <c r="B1834">
        <v>1992</v>
      </c>
      <c r="C1834">
        <v>1992</v>
      </c>
      <c r="D1834" s="3" t="s">
        <v>34</v>
      </c>
      <c r="E1834" s="3" t="s">
        <v>34</v>
      </c>
      <c r="F1834">
        <v>19</v>
      </c>
      <c r="G1834" s="7">
        <v>33835</v>
      </c>
      <c r="H1834">
        <v>1</v>
      </c>
      <c r="I1834" s="3" t="s">
        <v>10207</v>
      </c>
      <c r="J1834" s="3" t="s">
        <v>15</v>
      </c>
      <c r="K1834" s="3" t="s">
        <v>10</v>
      </c>
      <c r="L1834" s="3" t="s">
        <v>12</v>
      </c>
      <c r="M1834">
        <v>34</v>
      </c>
      <c r="N1834" s="3"/>
    </row>
    <row r="1835" spans="1:14" x14ac:dyDescent="0.25">
      <c r="A1835" s="3" t="s">
        <v>1865</v>
      </c>
      <c r="B1835">
        <v>1985</v>
      </c>
      <c r="C1835">
        <v>1985</v>
      </c>
      <c r="D1835" s="3" t="s">
        <v>19</v>
      </c>
      <c r="E1835" s="3" t="s">
        <v>19</v>
      </c>
      <c r="F1835">
        <v>17</v>
      </c>
      <c r="G1835" s="7">
        <v>31307</v>
      </c>
      <c r="H1835">
        <v>0</v>
      </c>
      <c r="I1835" s="3" t="s">
        <v>10208</v>
      </c>
      <c r="J1835" s="3" t="s">
        <v>15</v>
      </c>
      <c r="K1835" s="3" t="s">
        <v>15</v>
      </c>
      <c r="L1835" s="3" t="s">
        <v>12</v>
      </c>
      <c r="M1835">
        <v>41</v>
      </c>
      <c r="N1835" s="3"/>
    </row>
    <row r="1836" spans="1:14" x14ac:dyDescent="0.25">
      <c r="A1836" s="3" t="s">
        <v>1866</v>
      </c>
      <c r="B1836">
        <v>1963</v>
      </c>
      <c r="C1836">
        <v>1963</v>
      </c>
      <c r="D1836" s="3" t="s">
        <v>9</v>
      </c>
      <c r="E1836" s="3" t="s">
        <v>9</v>
      </c>
      <c r="F1836">
        <v>14</v>
      </c>
      <c r="G1836" s="7">
        <v>23206</v>
      </c>
      <c r="H1836">
        <v>0</v>
      </c>
      <c r="I1836" s="3" t="s">
        <v>10209</v>
      </c>
      <c r="J1836" s="3" t="s">
        <v>15</v>
      </c>
      <c r="K1836" s="3" t="s">
        <v>11</v>
      </c>
      <c r="L1836" s="3" t="s">
        <v>22</v>
      </c>
      <c r="M1836">
        <v>63</v>
      </c>
      <c r="N1836" s="3"/>
    </row>
    <row r="1837" spans="1:14" x14ac:dyDescent="0.25">
      <c r="A1837" s="3" t="s">
        <v>1867</v>
      </c>
      <c r="B1837">
        <v>1978</v>
      </c>
      <c r="C1837">
        <v>1978</v>
      </c>
      <c r="D1837" s="3" t="s">
        <v>19</v>
      </c>
      <c r="E1837" s="3" t="s">
        <v>19</v>
      </c>
      <c r="F1837">
        <v>24</v>
      </c>
      <c r="G1837" s="7">
        <v>28757</v>
      </c>
      <c r="H1837">
        <v>1</v>
      </c>
      <c r="I1837" s="3" t="s">
        <v>10210</v>
      </c>
      <c r="J1837" s="3" t="s">
        <v>15</v>
      </c>
      <c r="K1837" s="3" t="s">
        <v>15</v>
      </c>
      <c r="L1837" s="3" t="s">
        <v>246</v>
      </c>
      <c r="M1837">
        <v>48</v>
      </c>
      <c r="N1837" s="3"/>
    </row>
    <row r="1838" spans="1:14" x14ac:dyDescent="0.25">
      <c r="A1838" s="3" t="s">
        <v>1868</v>
      </c>
      <c r="B1838">
        <v>1994</v>
      </c>
      <c r="C1838">
        <v>1994</v>
      </c>
      <c r="D1838" s="3" t="s">
        <v>34</v>
      </c>
      <c r="E1838" s="3" t="s">
        <v>34</v>
      </c>
      <c r="F1838">
        <v>27</v>
      </c>
      <c r="G1838" s="7">
        <v>34573</v>
      </c>
      <c r="H1838">
        <v>0</v>
      </c>
      <c r="I1838" s="3" t="s">
        <v>10211</v>
      </c>
      <c r="J1838" s="3" t="s">
        <v>15</v>
      </c>
      <c r="K1838" s="3" t="s">
        <v>10</v>
      </c>
      <c r="L1838" s="3" t="s">
        <v>22</v>
      </c>
      <c r="M1838">
        <v>32</v>
      </c>
      <c r="N1838" s="3"/>
    </row>
    <row r="1839" spans="1:14" x14ac:dyDescent="0.25">
      <c r="A1839" s="3" t="s">
        <v>1869</v>
      </c>
      <c r="B1839">
        <v>1990</v>
      </c>
      <c r="C1839">
        <v>1990</v>
      </c>
      <c r="D1839" s="3" t="s">
        <v>34</v>
      </c>
      <c r="E1839" s="3" t="s">
        <v>34</v>
      </c>
      <c r="F1839">
        <v>8</v>
      </c>
      <c r="G1839" s="7">
        <v>33093</v>
      </c>
      <c r="H1839">
        <v>1</v>
      </c>
      <c r="I1839" s="3" t="s">
        <v>10212</v>
      </c>
      <c r="J1839" s="3" t="s">
        <v>15</v>
      </c>
      <c r="K1839" s="3" t="s">
        <v>10</v>
      </c>
      <c r="L1839" s="3" t="s">
        <v>12</v>
      </c>
      <c r="M1839">
        <v>36</v>
      </c>
      <c r="N1839" s="3"/>
    </row>
    <row r="1840" spans="1:14" x14ac:dyDescent="0.25">
      <c r="A1840" s="3" t="s">
        <v>1870</v>
      </c>
      <c r="B1840">
        <v>1972</v>
      </c>
      <c r="C1840">
        <v>1972</v>
      </c>
      <c r="D1840" s="3" t="s">
        <v>17</v>
      </c>
      <c r="E1840" s="3" t="s">
        <v>17</v>
      </c>
      <c r="F1840">
        <v>14</v>
      </c>
      <c r="G1840" s="7">
        <v>26464</v>
      </c>
      <c r="H1840">
        <v>3</v>
      </c>
      <c r="I1840" s="3" t="s">
        <v>10213</v>
      </c>
      <c r="J1840" s="3" t="s">
        <v>15</v>
      </c>
      <c r="K1840" s="3" t="s">
        <v>11</v>
      </c>
      <c r="L1840" s="3" t="s">
        <v>12</v>
      </c>
      <c r="M1840">
        <v>54</v>
      </c>
      <c r="N1840" s="3"/>
    </row>
    <row r="1841" spans="1:14" x14ac:dyDescent="0.25">
      <c r="A1841" s="3" t="s">
        <v>1871</v>
      </c>
      <c r="B1841">
        <v>1979</v>
      </c>
      <c r="C1841">
        <v>1979</v>
      </c>
      <c r="D1841" s="3" t="s">
        <v>36</v>
      </c>
      <c r="E1841" s="3" t="s">
        <v>36</v>
      </c>
      <c r="F1841">
        <v>30</v>
      </c>
      <c r="G1841" s="7">
        <v>29158</v>
      </c>
      <c r="H1841">
        <v>2</v>
      </c>
      <c r="I1841" s="3" t="s">
        <v>10214</v>
      </c>
      <c r="J1841" s="3" t="s">
        <v>15</v>
      </c>
      <c r="K1841" s="3" t="s">
        <v>15</v>
      </c>
      <c r="L1841" s="3" t="s">
        <v>246</v>
      </c>
      <c r="M1841">
        <v>47</v>
      </c>
      <c r="N1841" s="3"/>
    </row>
    <row r="1842" spans="1:14" x14ac:dyDescent="0.25">
      <c r="A1842" s="3" t="s">
        <v>1872</v>
      </c>
      <c r="B1842">
        <v>1997</v>
      </c>
      <c r="C1842">
        <v>1997</v>
      </c>
      <c r="D1842" s="3" t="s">
        <v>36</v>
      </c>
      <c r="E1842" s="3" t="s">
        <v>36</v>
      </c>
      <c r="F1842">
        <v>18</v>
      </c>
      <c r="G1842" s="7">
        <v>35721</v>
      </c>
      <c r="H1842">
        <v>3</v>
      </c>
      <c r="I1842" s="3" t="s">
        <v>10215</v>
      </c>
      <c r="J1842" s="3" t="s">
        <v>15</v>
      </c>
      <c r="K1842" s="3" t="s">
        <v>11</v>
      </c>
      <c r="L1842" s="3" t="s">
        <v>41</v>
      </c>
      <c r="M1842">
        <v>29</v>
      </c>
      <c r="N1842" s="3"/>
    </row>
    <row r="1843" spans="1:14" x14ac:dyDescent="0.25">
      <c r="A1843" s="3" t="s">
        <v>1873</v>
      </c>
      <c r="B1843">
        <v>1980</v>
      </c>
      <c r="C1843">
        <v>1980</v>
      </c>
      <c r="D1843" s="3" t="s">
        <v>36</v>
      </c>
      <c r="E1843" s="3" t="s">
        <v>36</v>
      </c>
      <c r="F1843">
        <v>9</v>
      </c>
      <c r="G1843" s="7">
        <v>29503</v>
      </c>
      <c r="H1843">
        <v>0</v>
      </c>
      <c r="I1843" s="3" t="s">
        <v>10216</v>
      </c>
      <c r="J1843" s="3" t="s">
        <v>15</v>
      </c>
      <c r="K1843" s="3" t="s">
        <v>10</v>
      </c>
      <c r="L1843" s="3" t="s">
        <v>246</v>
      </c>
      <c r="M1843">
        <v>46</v>
      </c>
      <c r="N1843" s="3"/>
    </row>
    <row r="1844" spans="1:14" x14ac:dyDescent="0.25">
      <c r="A1844" s="3" t="s">
        <v>1874</v>
      </c>
      <c r="B1844">
        <v>1966</v>
      </c>
      <c r="C1844">
        <v>1966</v>
      </c>
      <c r="D1844" s="3" t="s">
        <v>34</v>
      </c>
      <c r="E1844" s="3" t="s">
        <v>34</v>
      </c>
      <c r="F1844">
        <v>10</v>
      </c>
      <c r="G1844" s="7">
        <v>24329</v>
      </c>
      <c r="H1844">
        <v>0</v>
      </c>
      <c r="I1844" s="3" t="s">
        <v>10217</v>
      </c>
      <c r="J1844" s="3" t="s">
        <v>15</v>
      </c>
      <c r="K1844" s="3" t="s">
        <v>11</v>
      </c>
      <c r="L1844" s="3" t="s">
        <v>534</v>
      </c>
      <c r="M1844">
        <v>60</v>
      </c>
      <c r="N1844" s="3"/>
    </row>
    <row r="1845" spans="1:14" x14ac:dyDescent="0.25">
      <c r="A1845" s="3" t="s">
        <v>1875</v>
      </c>
      <c r="B1845">
        <v>1988</v>
      </c>
      <c r="C1845">
        <v>1988</v>
      </c>
      <c r="D1845" s="3" t="s">
        <v>9</v>
      </c>
      <c r="E1845" s="3" t="s">
        <v>9</v>
      </c>
      <c r="F1845">
        <v>25</v>
      </c>
      <c r="G1845" s="7">
        <v>32349</v>
      </c>
      <c r="H1845">
        <v>1</v>
      </c>
      <c r="I1845" s="3" t="s">
        <v>10218</v>
      </c>
      <c r="J1845" s="3" t="s">
        <v>10</v>
      </c>
      <c r="K1845" s="3" t="s">
        <v>15</v>
      </c>
      <c r="L1845" s="3" t="s">
        <v>22</v>
      </c>
      <c r="M1845">
        <v>38</v>
      </c>
      <c r="N1845" s="3"/>
    </row>
    <row r="1846" spans="1:14" x14ac:dyDescent="0.25">
      <c r="A1846" s="3" t="s">
        <v>1876</v>
      </c>
      <c r="B1846">
        <v>1983</v>
      </c>
      <c r="C1846">
        <v>1983</v>
      </c>
      <c r="D1846" s="3" t="s">
        <v>36</v>
      </c>
      <c r="E1846" s="3" t="s">
        <v>36</v>
      </c>
      <c r="F1846">
        <v>6</v>
      </c>
      <c r="G1846" s="7">
        <v>30595</v>
      </c>
      <c r="H1846">
        <v>0</v>
      </c>
      <c r="I1846" s="3" t="s">
        <v>10219</v>
      </c>
      <c r="J1846" s="3" t="s">
        <v>10</v>
      </c>
      <c r="K1846" s="3" t="s">
        <v>15</v>
      </c>
      <c r="L1846" s="3" t="s">
        <v>167</v>
      </c>
      <c r="M1846">
        <v>43</v>
      </c>
      <c r="N1846" s="3"/>
    </row>
    <row r="1847" spans="1:14" x14ac:dyDescent="0.25">
      <c r="A1847" s="3" t="s">
        <v>1877</v>
      </c>
      <c r="B1847">
        <v>2002</v>
      </c>
      <c r="C1847">
        <v>2002</v>
      </c>
      <c r="D1847" s="3" t="s">
        <v>9</v>
      </c>
      <c r="E1847" s="3" t="s">
        <v>9</v>
      </c>
      <c r="F1847">
        <v>9</v>
      </c>
      <c r="G1847" s="7">
        <v>37446</v>
      </c>
      <c r="H1847">
        <v>0</v>
      </c>
      <c r="I1847" s="3" t="s">
        <v>10220</v>
      </c>
      <c r="J1847" s="3" t="s">
        <v>11</v>
      </c>
      <c r="K1847" s="3" t="s">
        <v>11</v>
      </c>
      <c r="L1847" s="3" t="s">
        <v>41</v>
      </c>
      <c r="M1847">
        <v>24</v>
      </c>
      <c r="N1847" s="3"/>
    </row>
    <row r="1848" spans="1:14" x14ac:dyDescent="0.25">
      <c r="A1848" s="3" t="s">
        <v>1878</v>
      </c>
      <c r="B1848">
        <v>1994</v>
      </c>
      <c r="C1848">
        <v>1994</v>
      </c>
      <c r="D1848" s="3" t="s">
        <v>17</v>
      </c>
      <c r="E1848" s="3" t="s">
        <v>17</v>
      </c>
      <c r="F1848">
        <v>8</v>
      </c>
      <c r="G1848" s="7">
        <v>34493</v>
      </c>
      <c r="H1848">
        <v>2</v>
      </c>
      <c r="I1848" s="3" t="s">
        <v>10221</v>
      </c>
      <c r="J1848" s="3" t="s">
        <v>10</v>
      </c>
      <c r="K1848" s="3" t="s">
        <v>15</v>
      </c>
      <c r="L1848" s="3" t="s">
        <v>41</v>
      </c>
      <c r="M1848">
        <v>32</v>
      </c>
      <c r="N1848" s="3"/>
    </row>
    <row r="1849" spans="1:14" x14ac:dyDescent="0.25">
      <c r="A1849" s="3" t="s">
        <v>1879</v>
      </c>
      <c r="B1849">
        <v>1987</v>
      </c>
      <c r="C1849">
        <v>1987</v>
      </c>
      <c r="D1849" s="3" t="s">
        <v>36</v>
      </c>
      <c r="E1849" s="3" t="s">
        <v>36</v>
      </c>
      <c r="F1849">
        <v>17</v>
      </c>
      <c r="G1849" s="7">
        <v>32067</v>
      </c>
      <c r="H1849">
        <v>0</v>
      </c>
      <c r="I1849" s="3" t="s">
        <v>10222</v>
      </c>
      <c r="J1849" s="3" t="s">
        <v>10</v>
      </c>
      <c r="K1849" s="3" t="s">
        <v>11</v>
      </c>
      <c r="L1849" s="3" t="s">
        <v>22</v>
      </c>
      <c r="M1849">
        <v>39</v>
      </c>
      <c r="N1849" s="3"/>
    </row>
    <row r="1850" spans="1:14" x14ac:dyDescent="0.25">
      <c r="A1850" s="3" t="s">
        <v>1880</v>
      </c>
      <c r="B1850">
        <v>1966</v>
      </c>
      <c r="C1850">
        <v>1966</v>
      </c>
      <c r="D1850" s="3" t="s">
        <v>34</v>
      </c>
      <c r="E1850" s="3" t="s">
        <v>34</v>
      </c>
      <c r="F1850">
        <v>22</v>
      </c>
      <c r="G1850" s="7">
        <v>24341</v>
      </c>
      <c r="H1850">
        <v>0</v>
      </c>
      <c r="I1850" s="3" t="s">
        <v>10223</v>
      </c>
      <c r="J1850" s="3" t="s">
        <v>10</v>
      </c>
      <c r="K1850" s="3" t="s">
        <v>11</v>
      </c>
      <c r="L1850" s="3" t="s">
        <v>22</v>
      </c>
      <c r="M1850">
        <v>60</v>
      </c>
      <c r="N1850" s="3"/>
    </row>
    <row r="1851" spans="1:14" x14ac:dyDescent="0.25">
      <c r="A1851" s="3" t="s">
        <v>1881</v>
      </c>
      <c r="B1851">
        <v>1993</v>
      </c>
      <c r="C1851">
        <v>1993</v>
      </c>
      <c r="D1851" s="3" t="s">
        <v>19</v>
      </c>
      <c r="E1851" s="3" t="s">
        <v>19</v>
      </c>
      <c r="F1851">
        <v>7</v>
      </c>
      <c r="G1851" s="7">
        <v>34219</v>
      </c>
      <c r="H1851">
        <v>1</v>
      </c>
      <c r="I1851" s="3" t="s">
        <v>10224</v>
      </c>
      <c r="J1851" s="3" t="s">
        <v>11</v>
      </c>
      <c r="K1851" s="3" t="s">
        <v>11</v>
      </c>
      <c r="L1851" s="3" t="s">
        <v>167</v>
      </c>
      <c r="M1851">
        <v>33</v>
      </c>
      <c r="N1851" s="3"/>
    </row>
    <row r="1852" spans="1:14" x14ac:dyDescent="0.25">
      <c r="A1852" s="3" t="s">
        <v>1882</v>
      </c>
      <c r="B1852">
        <v>1985</v>
      </c>
      <c r="C1852">
        <v>1985</v>
      </c>
      <c r="D1852" s="3" t="s">
        <v>19</v>
      </c>
      <c r="E1852" s="3" t="s">
        <v>19</v>
      </c>
      <c r="F1852">
        <v>17</v>
      </c>
      <c r="G1852" s="7">
        <v>31307</v>
      </c>
      <c r="H1852">
        <v>1</v>
      </c>
      <c r="I1852" s="3" t="s">
        <v>10225</v>
      </c>
      <c r="J1852" s="3" t="s">
        <v>11</v>
      </c>
      <c r="K1852" s="3" t="s">
        <v>15</v>
      </c>
      <c r="L1852" s="3" t="s">
        <v>246</v>
      </c>
      <c r="M1852">
        <v>41</v>
      </c>
      <c r="N1852" s="3"/>
    </row>
    <row r="1853" spans="1:14" x14ac:dyDescent="0.25">
      <c r="A1853" s="3" t="s">
        <v>1883</v>
      </c>
      <c r="B1853">
        <v>1962</v>
      </c>
      <c r="C1853">
        <v>1962</v>
      </c>
      <c r="D1853" s="3" t="s">
        <v>9</v>
      </c>
      <c r="E1853" s="3" t="s">
        <v>9</v>
      </c>
      <c r="F1853">
        <v>2</v>
      </c>
      <c r="G1853" s="7">
        <v>22829</v>
      </c>
      <c r="H1853">
        <v>0</v>
      </c>
      <c r="I1853" s="3" t="s">
        <v>10226</v>
      </c>
      <c r="J1853" s="3" t="s">
        <v>11</v>
      </c>
      <c r="K1853" s="3" t="s">
        <v>10</v>
      </c>
      <c r="L1853" s="3" t="s">
        <v>534</v>
      </c>
      <c r="M1853">
        <v>64</v>
      </c>
      <c r="N1853" s="3"/>
    </row>
    <row r="1854" spans="1:14" x14ac:dyDescent="0.25">
      <c r="A1854" s="3" t="s">
        <v>1884</v>
      </c>
      <c r="B1854">
        <v>1985</v>
      </c>
      <c r="C1854">
        <v>1985</v>
      </c>
      <c r="D1854" s="3" t="s">
        <v>9</v>
      </c>
      <c r="E1854" s="3" t="s">
        <v>9</v>
      </c>
      <c r="F1854">
        <v>12</v>
      </c>
      <c r="G1854" s="7">
        <v>31240</v>
      </c>
      <c r="H1854">
        <v>0</v>
      </c>
      <c r="I1854" s="3" t="s">
        <v>10227</v>
      </c>
      <c r="J1854" s="3" t="s">
        <v>11</v>
      </c>
      <c r="K1854" s="3" t="s">
        <v>10</v>
      </c>
      <c r="L1854" s="3" t="s">
        <v>41</v>
      </c>
      <c r="M1854">
        <v>41</v>
      </c>
      <c r="N1854" s="3"/>
    </row>
    <row r="1855" spans="1:14" x14ac:dyDescent="0.25">
      <c r="A1855" s="3" t="s">
        <v>1885</v>
      </c>
      <c r="B1855">
        <v>1962</v>
      </c>
      <c r="C1855">
        <v>1962</v>
      </c>
      <c r="D1855" s="3" t="s">
        <v>36</v>
      </c>
      <c r="E1855" s="3" t="s">
        <v>36</v>
      </c>
      <c r="F1855">
        <v>18</v>
      </c>
      <c r="G1855" s="7">
        <v>22937</v>
      </c>
      <c r="H1855">
        <v>0</v>
      </c>
      <c r="I1855" s="3" t="s">
        <v>10228</v>
      </c>
      <c r="J1855" s="3" t="s">
        <v>10</v>
      </c>
      <c r="K1855" s="3" t="s">
        <v>15</v>
      </c>
      <c r="L1855" s="3" t="s">
        <v>22</v>
      </c>
      <c r="M1855">
        <v>64</v>
      </c>
      <c r="N1855" s="3"/>
    </row>
    <row r="1856" spans="1:14" x14ac:dyDescent="0.25">
      <c r="A1856" s="3" t="s">
        <v>1886</v>
      </c>
      <c r="B1856">
        <v>1969</v>
      </c>
      <c r="C1856">
        <v>1969</v>
      </c>
      <c r="D1856" s="3" t="s">
        <v>36</v>
      </c>
      <c r="E1856" s="3" t="s">
        <v>36</v>
      </c>
      <c r="F1856">
        <v>13</v>
      </c>
      <c r="G1856" s="7">
        <v>25489</v>
      </c>
      <c r="H1856">
        <v>3</v>
      </c>
      <c r="I1856" s="3" t="s">
        <v>10229</v>
      </c>
      <c r="J1856" s="3" t="s">
        <v>10</v>
      </c>
      <c r="K1856" s="3" t="s">
        <v>10</v>
      </c>
      <c r="L1856" s="3" t="s">
        <v>12</v>
      </c>
      <c r="M1856">
        <v>57</v>
      </c>
      <c r="N1856" s="3"/>
    </row>
    <row r="1857" spans="1:14" x14ac:dyDescent="0.25">
      <c r="A1857" s="3" t="s">
        <v>1887</v>
      </c>
      <c r="B1857">
        <v>1966</v>
      </c>
      <c r="C1857">
        <v>1966</v>
      </c>
      <c r="D1857" s="3" t="s">
        <v>9</v>
      </c>
      <c r="E1857" s="3" t="s">
        <v>9</v>
      </c>
      <c r="F1857">
        <v>9</v>
      </c>
      <c r="G1857" s="7">
        <v>24297</v>
      </c>
      <c r="H1857">
        <v>0</v>
      </c>
      <c r="I1857" s="3" t="s">
        <v>10230</v>
      </c>
      <c r="J1857" s="3" t="s">
        <v>11</v>
      </c>
      <c r="K1857" s="3" t="s">
        <v>10</v>
      </c>
      <c r="L1857" s="3" t="s">
        <v>22</v>
      </c>
      <c r="M1857">
        <v>60</v>
      </c>
      <c r="N1857" s="3"/>
    </row>
    <row r="1858" spans="1:14" x14ac:dyDescent="0.25">
      <c r="A1858" s="3" t="s">
        <v>1888</v>
      </c>
      <c r="B1858">
        <v>1967</v>
      </c>
      <c r="C1858">
        <v>1967</v>
      </c>
      <c r="D1858" s="3" t="s">
        <v>29</v>
      </c>
      <c r="E1858" s="3" t="s">
        <v>29</v>
      </c>
      <c r="F1858">
        <v>17</v>
      </c>
      <c r="G1858" s="7">
        <v>24823</v>
      </c>
      <c r="H1858">
        <v>0</v>
      </c>
      <c r="I1858" s="3" t="s">
        <v>10231</v>
      </c>
      <c r="J1858" s="3" t="s">
        <v>10</v>
      </c>
      <c r="K1858" s="3" t="s">
        <v>11</v>
      </c>
      <c r="L1858" s="3" t="s">
        <v>41</v>
      </c>
      <c r="M1858">
        <v>59</v>
      </c>
      <c r="N1858" s="3"/>
    </row>
    <row r="1859" spans="1:14" x14ac:dyDescent="0.25">
      <c r="A1859" s="3" t="s">
        <v>1889</v>
      </c>
      <c r="B1859">
        <v>1965</v>
      </c>
      <c r="C1859">
        <v>1965</v>
      </c>
      <c r="D1859" s="3" t="s">
        <v>34</v>
      </c>
      <c r="E1859" s="3" t="s">
        <v>34</v>
      </c>
      <c r="F1859">
        <v>1</v>
      </c>
      <c r="G1859" s="7">
        <v>23955</v>
      </c>
      <c r="H1859">
        <v>0</v>
      </c>
      <c r="I1859" s="3" t="s">
        <v>10232</v>
      </c>
      <c r="J1859" s="3" t="s">
        <v>11</v>
      </c>
      <c r="K1859" s="3" t="s">
        <v>10</v>
      </c>
      <c r="L1859" s="3" t="s">
        <v>165</v>
      </c>
      <c r="M1859">
        <v>61</v>
      </c>
      <c r="N1859" s="3"/>
    </row>
    <row r="1860" spans="1:14" x14ac:dyDescent="0.25">
      <c r="A1860" s="3" t="s">
        <v>1890</v>
      </c>
      <c r="B1860">
        <v>1992</v>
      </c>
      <c r="C1860">
        <v>1992</v>
      </c>
      <c r="D1860" s="3" t="s">
        <v>19</v>
      </c>
      <c r="E1860" s="3" t="s">
        <v>19</v>
      </c>
      <c r="F1860">
        <v>14</v>
      </c>
      <c r="G1860" s="7">
        <v>33861</v>
      </c>
      <c r="H1860">
        <v>3</v>
      </c>
      <c r="I1860" s="3" t="s">
        <v>10233</v>
      </c>
      <c r="J1860" s="3" t="s">
        <v>11</v>
      </c>
      <c r="K1860" s="3" t="s">
        <v>15</v>
      </c>
      <c r="L1860" s="3" t="s">
        <v>22</v>
      </c>
      <c r="M1860">
        <v>34</v>
      </c>
      <c r="N1860" s="3"/>
    </row>
    <row r="1861" spans="1:14" x14ac:dyDescent="0.25">
      <c r="A1861" s="3" t="s">
        <v>1891</v>
      </c>
      <c r="B1861">
        <v>1986</v>
      </c>
      <c r="C1861">
        <v>1986</v>
      </c>
      <c r="D1861" s="3" t="s">
        <v>34</v>
      </c>
      <c r="E1861" s="3" t="s">
        <v>34</v>
      </c>
      <c r="F1861">
        <v>4</v>
      </c>
      <c r="G1861" s="7">
        <v>31628</v>
      </c>
      <c r="H1861">
        <v>1</v>
      </c>
      <c r="I1861" s="3" t="s">
        <v>10234</v>
      </c>
      <c r="J1861" s="3" t="s">
        <v>10</v>
      </c>
      <c r="K1861" s="3" t="s">
        <v>11</v>
      </c>
      <c r="L1861" s="3" t="s">
        <v>355</v>
      </c>
      <c r="M1861">
        <v>40</v>
      </c>
      <c r="N1861" s="3"/>
    </row>
    <row r="1862" spans="1:14" x14ac:dyDescent="0.25">
      <c r="A1862" s="3" t="s">
        <v>1892</v>
      </c>
      <c r="B1862">
        <v>1967</v>
      </c>
      <c r="C1862">
        <v>1967</v>
      </c>
      <c r="D1862" s="3" t="s">
        <v>19</v>
      </c>
      <c r="E1862" s="3" t="s">
        <v>19</v>
      </c>
      <c r="F1862">
        <v>8</v>
      </c>
      <c r="G1862" s="7">
        <v>24723</v>
      </c>
      <c r="H1862">
        <v>0</v>
      </c>
      <c r="I1862" s="3" t="s">
        <v>10235</v>
      </c>
      <c r="J1862" s="3" t="s">
        <v>10</v>
      </c>
      <c r="K1862" s="3" t="s">
        <v>11</v>
      </c>
      <c r="L1862" s="3" t="s">
        <v>12</v>
      </c>
      <c r="M1862">
        <v>59</v>
      </c>
      <c r="N1862" s="3"/>
    </row>
    <row r="1863" spans="1:14" x14ac:dyDescent="0.25">
      <c r="A1863" s="3" t="s">
        <v>1893</v>
      </c>
      <c r="B1863">
        <v>1975</v>
      </c>
      <c r="C1863">
        <v>1975</v>
      </c>
      <c r="D1863" s="3" t="s">
        <v>29</v>
      </c>
      <c r="E1863" s="3" t="s">
        <v>29</v>
      </c>
      <c r="F1863">
        <v>8</v>
      </c>
      <c r="G1863" s="7">
        <v>27736</v>
      </c>
      <c r="H1863">
        <v>0</v>
      </c>
      <c r="I1863" s="3" t="s">
        <v>10236</v>
      </c>
      <c r="J1863" s="3" t="s">
        <v>10</v>
      </c>
      <c r="K1863" s="3" t="s">
        <v>15</v>
      </c>
      <c r="L1863" s="3" t="s">
        <v>246</v>
      </c>
      <c r="M1863">
        <v>51</v>
      </c>
      <c r="N1863" s="3"/>
    </row>
    <row r="1864" spans="1:14" x14ac:dyDescent="0.25">
      <c r="A1864" s="3" t="s">
        <v>1894</v>
      </c>
      <c r="B1864">
        <v>1964</v>
      </c>
      <c r="C1864">
        <v>1964</v>
      </c>
      <c r="D1864" s="3" t="s">
        <v>14</v>
      </c>
      <c r="E1864" s="3" t="s">
        <v>14</v>
      </c>
      <c r="F1864">
        <v>19</v>
      </c>
      <c r="G1864" s="7">
        <v>23700</v>
      </c>
      <c r="H1864">
        <v>0</v>
      </c>
      <c r="I1864" s="3" t="s">
        <v>10237</v>
      </c>
      <c r="J1864" s="3" t="s">
        <v>10</v>
      </c>
      <c r="K1864" s="3" t="s">
        <v>11</v>
      </c>
      <c r="L1864" s="3" t="s">
        <v>22</v>
      </c>
      <c r="M1864">
        <v>62</v>
      </c>
      <c r="N1864" s="3"/>
    </row>
    <row r="1865" spans="1:14" x14ac:dyDescent="0.25">
      <c r="A1865" s="3" t="s">
        <v>1895</v>
      </c>
      <c r="B1865">
        <v>1987</v>
      </c>
      <c r="C1865">
        <v>1987</v>
      </c>
      <c r="D1865" s="3" t="s">
        <v>14</v>
      </c>
      <c r="E1865" s="3" t="s">
        <v>14</v>
      </c>
      <c r="F1865">
        <v>27</v>
      </c>
      <c r="G1865" s="7">
        <v>32108</v>
      </c>
      <c r="H1865">
        <v>2</v>
      </c>
      <c r="I1865" s="3" t="s">
        <v>10238</v>
      </c>
      <c r="J1865" s="3" t="s">
        <v>10</v>
      </c>
      <c r="K1865" s="3" t="s">
        <v>10</v>
      </c>
      <c r="L1865" s="3" t="s">
        <v>163</v>
      </c>
      <c r="M1865">
        <v>39</v>
      </c>
      <c r="N1865" s="3"/>
    </row>
    <row r="1866" spans="1:14" x14ac:dyDescent="0.25">
      <c r="A1866" s="3" t="s">
        <v>1896</v>
      </c>
      <c r="B1866">
        <v>1983</v>
      </c>
      <c r="C1866">
        <v>1983</v>
      </c>
      <c r="D1866" s="3" t="s">
        <v>9</v>
      </c>
      <c r="E1866" s="3" t="s">
        <v>9</v>
      </c>
      <c r="F1866">
        <v>2</v>
      </c>
      <c r="G1866" s="7">
        <v>30499</v>
      </c>
      <c r="H1866">
        <v>1</v>
      </c>
      <c r="I1866" s="3" t="s">
        <v>10239</v>
      </c>
      <c r="J1866" s="3" t="s">
        <v>11</v>
      </c>
      <c r="K1866" s="3" t="s">
        <v>10</v>
      </c>
      <c r="L1866" s="3" t="s">
        <v>41</v>
      </c>
      <c r="M1866">
        <v>43</v>
      </c>
      <c r="N1866" s="3"/>
    </row>
    <row r="1867" spans="1:14" x14ac:dyDescent="0.25">
      <c r="A1867" s="3" t="s">
        <v>1897</v>
      </c>
      <c r="B1867">
        <v>1977</v>
      </c>
      <c r="C1867">
        <v>1977</v>
      </c>
      <c r="D1867" s="3" t="s">
        <v>14</v>
      </c>
      <c r="E1867" s="3" t="s">
        <v>14</v>
      </c>
      <c r="F1867">
        <v>23</v>
      </c>
      <c r="G1867" s="7">
        <v>28452</v>
      </c>
      <c r="H1867">
        <v>2</v>
      </c>
      <c r="I1867" s="3" t="s">
        <v>10240</v>
      </c>
      <c r="J1867" s="3" t="s">
        <v>11</v>
      </c>
      <c r="K1867" s="3" t="s">
        <v>11</v>
      </c>
      <c r="L1867" s="3" t="s">
        <v>22</v>
      </c>
      <c r="M1867">
        <v>49</v>
      </c>
      <c r="N1867" s="3"/>
    </row>
    <row r="1868" spans="1:14" x14ac:dyDescent="0.25">
      <c r="A1868" s="3" t="s">
        <v>1898</v>
      </c>
      <c r="B1868">
        <v>1969</v>
      </c>
      <c r="C1868">
        <v>1969</v>
      </c>
      <c r="D1868" s="3" t="s">
        <v>34</v>
      </c>
      <c r="E1868" s="3" t="s">
        <v>34</v>
      </c>
      <c r="F1868">
        <v>26</v>
      </c>
      <c r="G1868" s="7">
        <v>25441</v>
      </c>
      <c r="H1868">
        <v>0</v>
      </c>
      <c r="I1868" s="3" t="s">
        <v>10241</v>
      </c>
      <c r="J1868" s="3" t="s">
        <v>11</v>
      </c>
      <c r="K1868" s="3" t="s">
        <v>15</v>
      </c>
      <c r="L1868" s="3" t="s">
        <v>12</v>
      </c>
      <c r="M1868">
        <v>57</v>
      </c>
      <c r="N1868" s="3"/>
    </row>
    <row r="1869" spans="1:14" x14ac:dyDescent="0.25">
      <c r="A1869" s="3" t="s">
        <v>1899</v>
      </c>
      <c r="B1869">
        <v>1974</v>
      </c>
      <c r="C1869">
        <v>1974</v>
      </c>
      <c r="D1869" s="3" t="s">
        <v>36</v>
      </c>
      <c r="E1869" s="3" t="s">
        <v>36</v>
      </c>
      <c r="F1869">
        <v>14</v>
      </c>
      <c r="G1869" s="7">
        <v>27316</v>
      </c>
      <c r="H1869">
        <v>0</v>
      </c>
      <c r="I1869" s="3" t="s">
        <v>10242</v>
      </c>
      <c r="J1869" s="3" t="s">
        <v>11</v>
      </c>
      <c r="K1869" s="3" t="s">
        <v>10</v>
      </c>
      <c r="L1869" s="3" t="s">
        <v>12</v>
      </c>
      <c r="M1869">
        <v>52</v>
      </c>
      <c r="N1869" s="3"/>
    </row>
    <row r="1870" spans="1:14" x14ac:dyDescent="0.25">
      <c r="A1870" s="3" t="s">
        <v>1900</v>
      </c>
      <c r="B1870">
        <v>1974</v>
      </c>
      <c r="C1870">
        <v>1974</v>
      </c>
      <c r="D1870" s="3" t="s">
        <v>19</v>
      </c>
      <c r="E1870" s="3" t="s">
        <v>19</v>
      </c>
      <c r="F1870">
        <v>3</v>
      </c>
      <c r="G1870" s="7">
        <v>27275</v>
      </c>
      <c r="H1870">
        <v>0</v>
      </c>
      <c r="I1870" s="3" t="s">
        <v>10243</v>
      </c>
      <c r="J1870" s="3" t="s">
        <v>11</v>
      </c>
      <c r="K1870" s="3" t="s">
        <v>10</v>
      </c>
      <c r="L1870" s="3" t="s">
        <v>41</v>
      </c>
      <c r="M1870">
        <v>52</v>
      </c>
      <c r="N1870" s="3"/>
    </row>
    <row r="1871" spans="1:14" x14ac:dyDescent="0.25">
      <c r="A1871" s="3" t="s">
        <v>1901</v>
      </c>
      <c r="B1871">
        <v>1980</v>
      </c>
      <c r="C1871">
        <v>1980</v>
      </c>
      <c r="D1871" s="3" t="s">
        <v>29</v>
      </c>
      <c r="E1871" s="3" t="s">
        <v>29</v>
      </c>
      <c r="F1871">
        <v>10</v>
      </c>
      <c r="G1871" s="7">
        <v>29565</v>
      </c>
      <c r="H1871">
        <v>2</v>
      </c>
      <c r="I1871" s="3" t="s">
        <v>10244</v>
      </c>
      <c r="J1871" s="3" t="s">
        <v>11</v>
      </c>
      <c r="K1871" s="3" t="s">
        <v>11</v>
      </c>
      <c r="L1871" s="3" t="s">
        <v>165</v>
      </c>
      <c r="M1871">
        <v>46</v>
      </c>
      <c r="N1871" s="3"/>
    </row>
    <row r="1872" spans="1:14" x14ac:dyDescent="0.25">
      <c r="A1872" s="3" t="s">
        <v>1902</v>
      </c>
      <c r="B1872">
        <v>2004</v>
      </c>
      <c r="C1872">
        <v>2004</v>
      </c>
      <c r="D1872" s="3" t="s">
        <v>34</v>
      </c>
      <c r="E1872" s="3" t="s">
        <v>34</v>
      </c>
      <c r="F1872">
        <v>4</v>
      </c>
      <c r="G1872" s="7">
        <v>38203</v>
      </c>
      <c r="H1872">
        <v>0</v>
      </c>
      <c r="I1872" s="3" t="s">
        <v>10245</v>
      </c>
      <c r="J1872" s="3" t="s">
        <v>11</v>
      </c>
      <c r="K1872" s="3" t="s">
        <v>15</v>
      </c>
      <c r="L1872" s="3" t="s">
        <v>246</v>
      </c>
      <c r="M1872">
        <v>22</v>
      </c>
      <c r="N1872" s="3"/>
    </row>
    <row r="1873" spans="1:14" x14ac:dyDescent="0.25">
      <c r="A1873" s="3" t="s">
        <v>1903</v>
      </c>
      <c r="B1873">
        <v>1980</v>
      </c>
      <c r="C1873">
        <v>1980</v>
      </c>
      <c r="D1873" s="3" t="s">
        <v>19</v>
      </c>
      <c r="E1873" s="3" t="s">
        <v>19</v>
      </c>
      <c r="F1873">
        <v>4</v>
      </c>
      <c r="G1873" s="7">
        <v>29468</v>
      </c>
      <c r="H1873">
        <v>0</v>
      </c>
      <c r="I1873" s="3" t="s">
        <v>10246</v>
      </c>
      <c r="J1873" s="3" t="s">
        <v>10</v>
      </c>
      <c r="K1873" s="3" t="s">
        <v>15</v>
      </c>
      <c r="L1873" s="3" t="s">
        <v>22</v>
      </c>
      <c r="M1873">
        <v>46</v>
      </c>
      <c r="N1873" s="3"/>
    </row>
    <row r="1874" spans="1:14" x14ac:dyDescent="0.25">
      <c r="A1874" s="3" t="s">
        <v>1904</v>
      </c>
      <c r="B1874">
        <v>1990</v>
      </c>
      <c r="C1874">
        <v>1990</v>
      </c>
      <c r="D1874" s="3" t="s">
        <v>14</v>
      </c>
      <c r="E1874" s="3" t="s">
        <v>14</v>
      </c>
      <c r="F1874">
        <v>21</v>
      </c>
      <c r="G1874" s="7">
        <v>33198</v>
      </c>
      <c r="H1874">
        <v>4</v>
      </c>
      <c r="I1874" s="3" t="s">
        <v>10247</v>
      </c>
      <c r="J1874" s="3" t="s">
        <v>10</v>
      </c>
      <c r="K1874" s="3" t="s">
        <v>10</v>
      </c>
      <c r="L1874" s="3" t="s">
        <v>22</v>
      </c>
      <c r="M1874">
        <v>36</v>
      </c>
      <c r="N1874" s="3"/>
    </row>
    <row r="1875" spans="1:14" x14ac:dyDescent="0.25">
      <c r="A1875" s="3" t="s">
        <v>1905</v>
      </c>
      <c r="B1875">
        <v>1999</v>
      </c>
      <c r="C1875">
        <v>1999</v>
      </c>
      <c r="D1875" s="3" t="s">
        <v>17</v>
      </c>
      <c r="E1875" s="3" t="s">
        <v>17</v>
      </c>
      <c r="F1875">
        <v>12</v>
      </c>
      <c r="G1875" s="7">
        <v>36323</v>
      </c>
      <c r="H1875">
        <v>0</v>
      </c>
      <c r="I1875" s="3" t="s">
        <v>10248</v>
      </c>
      <c r="J1875" s="3" t="s">
        <v>10</v>
      </c>
      <c r="K1875" s="3" t="s">
        <v>11</v>
      </c>
      <c r="L1875" s="3" t="s">
        <v>22</v>
      </c>
      <c r="M1875">
        <v>27</v>
      </c>
      <c r="N1875" s="3"/>
    </row>
    <row r="1876" spans="1:14" x14ac:dyDescent="0.25">
      <c r="A1876" s="3" t="s">
        <v>1906</v>
      </c>
      <c r="B1876">
        <v>1983</v>
      </c>
      <c r="C1876">
        <v>1983</v>
      </c>
      <c r="D1876" s="3" t="s">
        <v>29</v>
      </c>
      <c r="E1876" s="3" t="s">
        <v>29</v>
      </c>
      <c r="F1876">
        <v>25</v>
      </c>
      <c r="G1876" s="7">
        <v>30675</v>
      </c>
      <c r="H1876">
        <v>3</v>
      </c>
      <c r="I1876" s="3" t="s">
        <v>10249</v>
      </c>
      <c r="J1876" s="3" t="s">
        <v>11</v>
      </c>
      <c r="K1876" s="3" t="s">
        <v>11</v>
      </c>
      <c r="L1876" s="3" t="s">
        <v>246</v>
      </c>
      <c r="M1876">
        <v>43</v>
      </c>
      <c r="N1876" s="3"/>
    </row>
    <row r="1877" spans="1:14" x14ac:dyDescent="0.25">
      <c r="A1877" s="3" t="s">
        <v>1907</v>
      </c>
      <c r="B1877">
        <v>1962</v>
      </c>
      <c r="C1877">
        <v>1962</v>
      </c>
      <c r="D1877" s="3" t="s">
        <v>14</v>
      </c>
      <c r="E1877" s="3" t="s">
        <v>14</v>
      </c>
      <c r="F1877">
        <v>16</v>
      </c>
      <c r="G1877" s="7">
        <v>22966</v>
      </c>
      <c r="H1877">
        <v>0</v>
      </c>
      <c r="I1877" s="3" t="s">
        <v>10250</v>
      </c>
      <c r="J1877" s="3" t="s">
        <v>10</v>
      </c>
      <c r="K1877" s="3" t="s">
        <v>10</v>
      </c>
      <c r="L1877" s="3" t="s">
        <v>22</v>
      </c>
      <c r="M1877">
        <v>64</v>
      </c>
      <c r="N1877" s="3"/>
    </row>
    <row r="1878" spans="1:14" x14ac:dyDescent="0.25">
      <c r="A1878" s="3" t="s">
        <v>1908</v>
      </c>
      <c r="B1878">
        <v>1976</v>
      </c>
      <c r="C1878">
        <v>1976</v>
      </c>
      <c r="D1878" s="3" t="s">
        <v>9</v>
      </c>
      <c r="E1878" s="3" t="s">
        <v>9</v>
      </c>
      <c r="F1878">
        <v>18</v>
      </c>
      <c r="G1878" s="7">
        <v>27959</v>
      </c>
      <c r="H1878">
        <v>1</v>
      </c>
      <c r="I1878" s="3" t="s">
        <v>10251</v>
      </c>
      <c r="J1878" s="3" t="s">
        <v>11</v>
      </c>
      <c r="K1878" s="3" t="s">
        <v>15</v>
      </c>
      <c r="L1878" s="3" t="s">
        <v>22</v>
      </c>
      <c r="M1878">
        <v>50</v>
      </c>
      <c r="N1878" s="3"/>
    </row>
    <row r="1879" spans="1:14" x14ac:dyDescent="0.25">
      <c r="A1879" s="3" t="s">
        <v>1909</v>
      </c>
      <c r="B1879">
        <v>1979</v>
      </c>
      <c r="C1879">
        <v>1979</v>
      </c>
      <c r="D1879" s="3" t="s">
        <v>19</v>
      </c>
      <c r="E1879" s="3" t="s">
        <v>19</v>
      </c>
      <c r="F1879">
        <v>20</v>
      </c>
      <c r="G1879" s="7">
        <v>29118</v>
      </c>
      <c r="H1879">
        <v>1</v>
      </c>
      <c r="I1879" s="3" t="s">
        <v>10252</v>
      </c>
      <c r="J1879" s="3" t="s">
        <v>11</v>
      </c>
      <c r="K1879" s="3" t="s">
        <v>15</v>
      </c>
      <c r="L1879" s="3" t="s">
        <v>246</v>
      </c>
      <c r="M1879">
        <v>47</v>
      </c>
      <c r="N1879" s="3"/>
    </row>
    <row r="1880" spans="1:14" x14ac:dyDescent="0.25">
      <c r="A1880" s="3" t="s">
        <v>1910</v>
      </c>
      <c r="B1880">
        <v>1979</v>
      </c>
      <c r="C1880">
        <v>1979</v>
      </c>
      <c r="D1880" s="3" t="s">
        <v>19</v>
      </c>
      <c r="E1880" s="3" t="s">
        <v>19</v>
      </c>
      <c r="F1880">
        <v>28</v>
      </c>
      <c r="G1880" s="7">
        <v>29126</v>
      </c>
      <c r="H1880">
        <v>0</v>
      </c>
      <c r="I1880" s="3" t="s">
        <v>10253</v>
      </c>
      <c r="J1880" s="3" t="s">
        <v>11</v>
      </c>
      <c r="K1880" s="3" t="s">
        <v>10</v>
      </c>
      <c r="L1880" s="3" t="s">
        <v>22</v>
      </c>
      <c r="M1880">
        <v>47</v>
      </c>
      <c r="N1880" s="3"/>
    </row>
    <row r="1881" spans="1:14" x14ac:dyDescent="0.25">
      <c r="A1881" s="3" t="s">
        <v>1911</v>
      </c>
      <c r="B1881">
        <v>1963</v>
      </c>
      <c r="C1881">
        <v>1963</v>
      </c>
      <c r="D1881" s="3" t="s">
        <v>34</v>
      </c>
      <c r="E1881" s="3" t="s">
        <v>34</v>
      </c>
      <c r="F1881">
        <v>27</v>
      </c>
      <c r="G1881" s="7">
        <v>23250</v>
      </c>
      <c r="H1881">
        <v>0</v>
      </c>
      <c r="I1881" s="3" t="s">
        <v>10254</v>
      </c>
      <c r="J1881" s="3" t="s">
        <v>11</v>
      </c>
      <c r="K1881" s="3" t="s">
        <v>15</v>
      </c>
      <c r="L1881" s="3" t="s">
        <v>41</v>
      </c>
      <c r="M1881">
        <v>63</v>
      </c>
      <c r="N1881" s="3"/>
    </row>
    <row r="1882" spans="1:14" x14ac:dyDescent="0.25">
      <c r="A1882" s="3" t="s">
        <v>1912</v>
      </c>
      <c r="B1882">
        <v>1979</v>
      </c>
      <c r="C1882">
        <v>1979</v>
      </c>
      <c r="D1882" s="3" t="s">
        <v>34</v>
      </c>
      <c r="E1882" s="3" t="s">
        <v>34</v>
      </c>
      <c r="F1882">
        <v>17</v>
      </c>
      <c r="G1882" s="7">
        <v>29084</v>
      </c>
      <c r="H1882">
        <v>2</v>
      </c>
      <c r="I1882" s="3" t="s">
        <v>10255</v>
      </c>
      <c r="J1882" s="3" t="s">
        <v>11</v>
      </c>
      <c r="K1882" s="3" t="s">
        <v>15</v>
      </c>
      <c r="L1882" s="3" t="s">
        <v>22</v>
      </c>
      <c r="M1882">
        <v>47</v>
      </c>
      <c r="N1882" s="3"/>
    </row>
    <row r="1883" spans="1:14" x14ac:dyDescent="0.25">
      <c r="A1883" s="3" t="s">
        <v>1913</v>
      </c>
      <c r="B1883">
        <v>2003</v>
      </c>
      <c r="C1883">
        <v>2003</v>
      </c>
      <c r="D1883" s="3" t="s">
        <v>19</v>
      </c>
      <c r="E1883" s="3" t="s">
        <v>19</v>
      </c>
      <c r="F1883">
        <v>28</v>
      </c>
      <c r="G1883" s="7">
        <v>37892</v>
      </c>
      <c r="H1883">
        <v>0</v>
      </c>
      <c r="I1883" s="3" t="s">
        <v>10256</v>
      </c>
      <c r="J1883" s="3" t="s">
        <v>10</v>
      </c>
      <c r="K1883" s="3" t="s">
        <v>15</v>
      </c>
      <c r="L1883" s="3" t="s">
        <v>41</v>
      </c>
      <c r="M1883">
        <v>23</v>
      </c>
      <c r="N1883" s="3"/>
    </row>
    <row r="1884" spans="1:14" x14ac:dyDescent="0.25">
      <c r="A1884" s="3" t="s">
        <v>1914</v>
      </c>
      <c r="B1884">
        <v>1975</v>
      </c>
      <c r="C1884">
        <v>1975</v>
      </c>
      <c r="D1884" s="3" t="s">
        <v>29</v>
      </c>
      <c r="E1884" s="3" t="s">
        <v>29</v>
      </c>
      <c r="F1884">
        <v>19</v>
      </c>
      <c r="G1884" s="7">
        <v>27747</v>
      </c>
      <c r="H1884">
        <v>1</v>
      </c>
      <c r="I1884" s="3" t="s">
        <v>10257</v>
      </c>
      <c r="J1884" s="3" t="s">
        <v>11</v>
      </c>
      <c r="K1884" s="3" t="s">
        <v>11</v>
      </c>
      <c r="L1884" s="3" t="s">
        <v>12</v>
      </c>
      <c r="M1884">
        <v>51</v>
      </c>
      <c r="N1884" s="3"/>
    </row>
    <row r="1885" spans="1:14" x14ac:dyDescent="0.25">
      <c r="A1885" s="3" t="s">
        <v>1915</v>
      </c>
      <c r="B1885">
        <v>1989</v>
      </c>
      <c r="C1885">
        <v>1989</v>
      </c>
      <c r="D1885" s="3" t="s">
        <v>36</v>
      </c>
      <c r="E1885" s="3" t="s">
        <v>36</v>
      </c>
      <c r="F1885">
        <v>14</v>
      </c>
      <c r="G1885" s="7">
        <v>32795</v>
      </c>
      <c r="H1885">
        <v>0</v>
      </c>
      <c r="I1885" s="3" t="s">
        <v>10258</v>
      </c>
      <c r="J1885" s="3" t="s">
        <v>11</v>
      </c>
      <c r="K1885" s="3" t="s">
        <v>15</v>
      </c>
      <c r="L1885" s="3" t="s">
        <v>22</v>
      </c>
      <c r="M1885">
        <v>37</v>
      </c>
      <c r="N1885" s="3"/>
    </row>
    <row r="1886" spans="1:14" x14ac:dyDescent="0.25">
      <c r="A1886" s="3" t="s">
        <v>1916</v>
      </c>
      <c r="B1886">
        <v>2001</v>
      </c>
      <c r="C1886">
        <v>2001</v>
      </c>
      <c r="D1886" s="3" t="s">
        <v>34</v>
      </c>
      <c r="E1886" s="3" t="s">
        <v>34</v>
      </c>
      <c r="F1886">
        <v>28</v>
      </c>
      <c r="G1886" s="7">
        <v>37131</v>
      </c>
      <c r="H1886">
        <v>0</v>
      </c>
      <c r="I1886" s="3" t="s">
        <v>10259</v>
      </c>
      <c r="J1886" s="3" t="s">
        <v>11</v>
      </c>
      <c r="K1886" s="3" t="s">
        <v>15</v>
      </c>
      <c r="L1886" s="3" t="s">
        <v>41</v>
      </c>
      <c r="M1886">
        <v>25</v>
      </c>
      <c r="N1886" s="3"/>
    </row>
    <row r="1887" spans="1:14" x14ac:dyDescent="0.25">
      <c r="A1887" s="3" t="s">
        <v>1917</v>
      </c>
      <c r="B1887">
        <v>1980</v>
      </c>
      <c r="C1887">
        <v>1980</v>
      </c>
      <c r="D1887" s="3" t="s">
        <v>19</v>
      </c>
      <c r="E1887" s="3" t="s">
        <v>19</v>
      </c>
      <c r="F1887">
        <v>12</v>
      </c>
      <c r="G1887" s="7">
        <v>29476</v>
      </c>
      <c r="H1887">
        <v>0</v>
      </c>
      <c r="I1887" s="3" t="s">
        <v>10260</v>
      </c>
      <c r="J1887" s="3" t="s">
        <v>10</v>
      </c>
      <c r="K1887" s="3" t="s">
        <v>10</v>
      </c>
      <c r="L1887" s="3" t="s">
        <v>41</v>
      </c>
      <c r="M1887">
        <v>46</v>
      </c>
      <c r="N1887" s="3"/>
    </row>
    <row r="1888" spans="1:14" x14ac:dyDescent="0.25">
      <c r="A1888" s="3" t="s">
        <v>1918</v>
      </c>
      <c r="B1888">
        <v>1965</v>
      </c>
      <c r="C1888">
        <v>1965</v>
      </c>
      <c r="D1888" s="3" t="s">
        <v>34</v>
      </c>
      <c r="E1888" s="3" t="s">
        <v>34</v>
      </c>
      <c r="F1888">
        <v>24</v>
      </c>
      <c r="G1888" s="7">
        <v>23978</v>
      </c>
      <c r="H1888">
        <v>1</v>
      </c>
      <c r="I1888" s="3" t="s">
        <v>10261</v>
      </c>
      <c r="J1888" s="3" t="s">
        <v>11</v>
      </c>
      <c r="K1888" s="3" t="s">
        <v>15</v>
      </c>
      <c r="L1888" s="3" t="s">
        <v>12</v>
      </c>
      <c r="M1888">
        <v>61</v>
      </c>
      <c r="N1888" s="3"/>
    </row>
    <row r="1889" spans="1:14" x14ac:dyDescent="0.25">
      <c r="A1889" s="3" t="s">
        <v>1919</v>
      </c>
      <c r="B1889">
        <v>1971</v>
      </c>
      <c r="C1889">
        <v>1971</v>
      </c>
      <c r="D1889" s="3" t="s">
        <v>17</v>
      </c>
      <c r="E1889" s="3" t="s">
        <v>17</v>
      </c>
      <c r="F1889">
        <v>16</v>
      </c>
      <c r="G1889" s="7">
        <v>26100</v>
      </c>
      <c r="H1889">
        <v>1</v>
      </c>
      <c r="I1889" s="3" t="s">
        <v>10262</v>
      </c>
      <c r="J1889" s="3" t="s">
        <v>10</v>
      </c>
      <c r="K1889" s="3" t="s">
        <v>11</v>
      </c>
      <c r="L1889" s="3" t="s">
        <v>12</v>
      </c>
      <c r="M1889">
        <v>55</v>
      </c>
      <c r="N1889" s="3"/>
    </row>
    <row r="1890" spans="1:14" x14ac:dyDescent="0.25">
      <c r="A1890" s="3" t="s">
        <v>1920</v>
      </c>
      <c r="B1890">
        <v>1982</v>
      </c>
      <c r="C1890">
        <v>1982</v>
      </c>
      <c r="D1890" s="3" t="s">
        <v>29</v>
      </c>
      <c r="E1890" s="3" t="s">
        <v>29</v>
      </c>
      <c r="F1890">
        <v>27</v>
      </c>
      <c r="G1890" s="7">
        <v>30312</v>
      </c>
      <c r="H1890">
        <v>1</v>
      </c>
      <c r="I1890" s="3" t="s">
        <v>10263</v>
      </c>
      <c r="J1890" s="3" t="s">
        <v>10</v>
      </c>
      <c r="K1890" s="3" t="s">
        <v>11</v>
      </c>
      <c r="L1890" s="3" t="s">
        <v>246</v>
      </c>
      <c r="M1890">
        <v>44</v>
      </c>
      <c r="N1890" s="3"/>
    </row>
    <row r="1891" spans="1:14" x14ac:dyDescent="0.25">
      <c r="A1891" s="3" t="s">
        <v>1921</v>
      </c>
      <c r="B1891">
        <v>1999</v>
      </c>
      <c r="C1891">
        <v>1999</v>
      </c>
      <c r="D1891" s="3" t="s">
        <v>34</v>
      </c>
      <c r="E1891" s="3" t="s">
        <v>34</v>
      </c>
      <c r="F1891">
        <v>26</v>
      </c>
      <c r="G1891" s="7">
        <v>36398</v>
      </c>
      <c r="H1891">
        <v>2</v>
      </c>
      <c r="I1891" s="3" t="s">
        <v>10264</v>
      </c>
      <c r="J1891" s="3" t="s">
        <v>11</v>
      </c>
      <c r="K1891" s="3" t="s">
        <v>10</v>
      </c>
      <c r="L1891" s="3" t="s">
        <v>246</v>
      </c>
      <c r="M1891">
        <v>27</v>
      </c>
      <c r="N1891" s="3"/>
    </row>
    <row r="1892" spans="1:14" x14ac:dyDescent="0.25">
      <c r="A1892" s="3" t="s">
        <v>1922</v>
      </c>
      <c r="B1892">
        <v>1966</v>
      </c>
      <c r="C1892">
        <v>1966</v>
      </c>
      <c r="D1892" s="3" t="s">
        <v>34</v>
      </c>
      <c r="E1892" s="3" t="s">
        <v>34</v>
      </c>
      <c r="F1892">
        <v>18</v>
      </c>
      <c r="G1892" s="7">
        <v>24337</v>
      </c>
      <c r="H1892">
        <v>0</v>
      </c>
      <c r="I1892" s="3" t="s">
        <v>10265</v>
      </c>
      <c r="J1892" s="3" t="s">
        <v>11</v>
      </c>
      <c r="K1892" s="3" t="s">
        <v>11</v>
      </c>
      <c r="L1892" s="3" t="s">
        <v>275</v>
      </c>
      <c r="M1892">
        <v>60</v>
      </c>
      <c r="N1892" s="3"/>
    </row>
    <row r="1893" spans="1:14" x14ac:dyDescent="0.25">
      <c r="A1893" s="3" t="s">
        <v>1923</v>
      </c>
      <c r="B1893">
        <v>1983</v>
      </c>
      <c r="C1893">
        <v>1983</v>
      </c>
      <c r="D1893" s="3" t="s">
        <v>29</v>
      </c>
      <c r="E1893" s="3" t="s">
        <v>29</v>
      </c>
      <c r="F1893">
        <v>21</v>
      </c>
      <c r="G1893" s="7">
        <v>30671</v>
      </c>
      <c r="H1893">
        <v>1</v>
      </c>
      <c r="I1893" s="3" t="s">
        <v>10266</v>
      </c>
      <c r="J1893" s="3" t="s">
        <v>11</v>
      </c>
      <c r="K1893" s="3" t="s">
        <v>15</v>
      </c>
      <c r="L1893" s="3" t="s">
        <v>165</v>
      </c>
      <c r="M1893">
        <v>43</v>
      </c>
      <c r="N1893" s="3"/>
    </row>
    <row r="1894" spans="1:14" x14ac:dyDescent="0.25">
      <c r="A1894" s="3" t="s">
        <v>1924</v>
      </c>
      <c r="B1894">
        <v>1979</v>
      </c>
      <c r="C1894">
        <v>1979</v>
      </c>
      <c r="D1894" s="3" t="s">
        <v>14</v>
      </c>
      <c r="E1894" s="3" t="s">
        <v>14</v>
      </c>
      <c r="F1894">
        <v>14</v>
      </c>
      <c r="G1894" s="7">
        <v>29173</v>
      </c>
      <c r="H1894">
        <v>2</v>
      </c>
      <c r="I1894" s="3" t="s">
        <v>10267</v>
      </c>
      <c r="J1894" s="3" t="s">
        <v>11</v>
      </c>
      <c r="K1894" s="3" t="s">
        <v>10</v>
      </c>
      <c r="L1894" s="3" t="s">
        <v>41</v>
      </c>
      <c r="M1894">
        <v>47</v>
      </c>
      <c r="N1894" s="3"/>
    </row>
    <row r="1895" spans="1:14" x14ac:dyDescent="0.25">
      <c r="A1895" s="3" t="s">
        <v>1925</v>
      </c>
      <c r="B1895">
        <v>2003</v>
      </c>
      <c r="C1895">
        <v>2003</v>
      </c>
      <c r="D1895" s="3" t="s">
        <v>9</v>
      </c>
      <c r="E1895" s="3" t="s">
        <v>9</v>
      </c>
      <c r="F1895">
        <v>25</v>
      </c>
      <c r="G1895" s="7">
        <v>37827</v>
      </c>
      <c r="H1895">
        <v>2</v>
      </c>
      <c r="I1895" s="3" t="s">
        <v>10268</v>
      </c>
      <c r="J1895" s="3" t="s">
        <v>10</v>
      </c>
      <c r="K1895" s="3" t="s">
        <v>15</v>
      </c>
      <c r="L1895" s="3" t="s">
        <v>22</v>
      </c>
      <c r="M1895">
        <v>23</v>
      </c>
      <c r="N1895" s="3"/>
    </row>
    <row r="1896" spans="1:14" x14ac:dyDescent="0.25">
      <c r="A1896" s="3" t="s">
        <v>1926</v>
      </c>
      <c r="B1896">
        <v>1970</v>
      </c>
      <c r="C1896">
        <v>1970</v>
      </c>
      <c r="D1896" s="3" t="s">
        <v>14</v>
      </c>
      <c r="E1896" s="3" t="s">
        <v>14</v>
      </c>
      <c r="F1896">
        <v>9</v>
      </c>
      <c r="G1896" s="7">
        <v>25881</v>
      </c>
      <c r="H1896">
        <v>0</v>
      </c>
      <c r="I1896" s="3" t="s">
        <v>10269</v>
      </c>
      <c r="J1896" s="3" t="s">
        <v>10</v>
      </c>
      <c r="K1896" s="3" t="s">
        <v>10</v>
      </c>
      <c r="L1896" s="3" t="s">
        <v>246</v>
      </c>
      <c r="M1896">
        <v>56</v>
      </c>
      <c r="N1896" s="3"/>
    </row>
    <row r="1897" spans="1:14" x14ac:dyDescent="0.25">
      <c r="A1897" s="3" t="s">
        <v>1927</v>
      </c>
      <c r="B1897">
        <v>1975</v>
      </c>
      <c r="C1897">
        <v>1975</v>
      </c>
      <c r="D1897" s="3" t="s">
        <v>19</v>
      </c>
      <c r="E1897" s="3" t="s">
        <v>19</v>
      </c>
      <c r="F1897">
        <v>9</v>
      </c>
      <c r="G1897" s="7">
        <v>27646</v>
      </c>
      <c r="H1897">
        <v>0</v>
      </c>
      <c r="I1897" s="3" t="s">
        <v>10270</v>
      </c>
      <c r="J1897" s="3" t="s">
        <v>10</v>
      </c>
      <c r="K1897" s="3" t="s">
        <v>10</v>
      </c>
      <c r="L1897" s="3" t="s">
        <v>12</v>
      </c>
      <c r="M1897">
        <v>51</v>
      </c>
      <c r="N1897" s="3"/>
    </row>
    <row r="1898" spans="1:14" x14ac:dyDescent="0.25">
      <c r="A1898" s="3" t="s">
        <v>1928</v>
      </c>
      <c r="B1898">
        <v>2003</v>
      </c>
      <c r="C1898">
        <v>2003</v>
      </c>
      <c r="D1898" s="3" t="s">
        <v>29</v>
      </c>
      <c r="E1898" s="3" t="s">
        <v>29</v>
      </c>
      <c r="F1898">
        <v>14</v>
      </c>
      <c r="G1898" s="7">
        <v>37969</v>
      </c>
      <c r="H1898">
        <v>0</v>
      </c>
      <c r="I1898" s="3" t="s">
        <v>10271</v>
      </c>
      <c r="J1898" s="3" t="s">
        <v>10</v>
      </c>
      <c r="K1898" s="3" t="s">
        <v>10</v>
      </c>
      <c r="L1898" s="3" t="s">
        <v>41</v>
      </c>
      <c r="M1898">
        <v>23</v>
      </c>
      <c r="N1898" s="3"/>
    </row>
    <row r="1899" spans="1:14" x14ac:dyDescent="0.25">
      <c r="A1899" s="3" t="s">
        <v>1929</v>
      </c>
      <c r="B1899">
        <v>1997</v>
      </c>
      <c r="C1899">
        <v>1997</v>
      </c>
      <c r="D1899" s="3" t="s">
        <v>34</v>
      </c>
      <c r="E1899" s="3" t="s">
        <v>34</v>
      </c>
      <c r="F1899">
        <v>7</v>
      </c>
      <c r="G1899" s="7">
        <v>35649</v>
      </c>
      <c r="H1899">
        <v>2</v>
      </c>
      <c r="I1899" s="3" t="s">
        <v>10272</v>
      </c>
      <c r="J1899" s="3" t="s">
        <v>10</v>
      </c>
      <c r="K1899" s="3" t="s">
        <v>11</v>
      </c>
      <c r="L1899" s="3" t="s">
        <v>169</v>
      </c>
      <c r="M1899">
        <v>29</v>
      </c>
      <c r="N1899" s="3"/>
    </row>
    <row r="1900" spans="1:14" x14ac:dyDescent="0.25">
      <c r="A1900" s="3" t="s">
        <v>1930</v>
      </c>
      <c r="B1900">
        <v>1969</v>
      </c>
      <c r="C1900">
        <v>1969</v>
      </c>
      <c r="D1900" s="3" t="s">
        <v>14</v>
      </c>
      <c r="E1900" s="3" t="s">
        <v>14</v>
      </c>
      <c r="F1900">
        <v>14</v>
      </c>
      <c r="G1900" s="7">
        <v>25521</v>
      </c>
      <c r="H1900">
        <v>1</v>
      </c>
      <c r="I1900" s="3" t="s">
        <v>10273</v>
      </c>
      <c r="J1900" s="3" t="s">
        <v>10</v>
      </c>
      <c r="K1900" s="3" t="s">
        <v>11</v>
      </c>
      <c r="L1900" s="3" t="s">
        <v>12</v>
      </c>
      <c r="M1900">
        <v>57</v>
      </c>
      <c r="N1900" s="3"/>
    </row>
    <row r="1901" spans="1:14" x14ac:dyDescent="0.25">
      <c r="A1901" s="3" t="s">
        <v>1931</v>
      </c>
      <c r="B1901">
        <v>1994</v>
      </c>
      <c r="C1901">
        <v>1994</v>
      </c>
      <c r="D1901" s="3" t="s">
        <v>36</v>
      </c>
      <c r="E1901" s="3" t="s">
        <v>36</v>
      </c>
      <c r="F1901">
        <v>3</v>
      </c>
      <c r="G1901" s="7">
        <v>34610</v>
      </c>
      <c r="H1901">
        <v>1</v>
      </c>
      <c r="I1901" s="3" t="s">
        <v>10274</v>
      </c>
      <c r="J1901" s="3" t="s">
        <v>10</v>
      </c>
      <c r="K1901" s="3" t="s">
        <v>11</v>
      </c>
      <c r="L1901" s="3" t="s">
        <v>246</v>
      </c>
      <c r="M1901">
        <v>32</v>
      </c>
      <c r="N1901" s="3"/>
    </row>
    <row r="1902" spans="1:14" x14ac:dyDescent="0.25">
      <c r="A1902" s="3" t="s">
        <v>1932</v>
      </c>
      <c r="B1902">
        <v>1973</v>
      </c>
      <c r="C1902">
        <v>1973</v>
      </c>
      <c r="D1902" s="3" t="s">
        <v>36</v>
      </c>
      <c r="E1902" s="3" t="s">
        <v>36</v>
      </c>
      <c r="F1902">
        <v>22</v>
      </c>
      <c r="G1902" s="7">
        <v>26959</v>
      </c>
      <c r="H1902">
        <v>2</v>
      </c>
      <c r="I1902" s="3" t="s">
        <v>10275</v>
      </c>
      <c r="J1902" s="3" t="s">
        <v>10</v>
      </c>
      <c r="K1902" s="3" t="s">
        <v>10</v>
      </c>
      <c r="L1902" s="3" t="s">
        <v>41</v>
      </c>
      <c r="M1902">
        <v>53</v>
      </c>
      <c r="N1902" s="3"/>
    </row>
    <row r="1903" spans="1:14" x14ac:dyDescent="0.25">
      <c r="A1903" s="3" t="s">
        <v>1933</v>
      </c>
      <c r="B1903">
        <v>1975</v>
      </c>
      <c r="C1903">
        <v>1975</v>
      </c>
      <c r="D1903" s="3" t="s">
        <v>14</v>
      </c>
      <c r="E1903" s="3" t="s">
        <v>14</v>
      </c>
      <c r="F1903">
        <v>13</v>
      </c>
      <c r="G1903" s="7">
        <v>27711</v>
      </c>
      <c r="H1903">
        <v>1</v>
      </c>
      <c r="I1903" s="3" t="s">
        <v>10276</v>
      </c>
      <c r="J1903" s="3" t="s">
        <v>10</v>
      </c>
      <c r="K1903" s="3" t="s">
        <v>11</v>
      </c>
      <c r="L1903" s="3" t="s">
        <v>246</v>
      </c>
      <c r="M1903">
        <v>51</v>
      </c>
      <c r="N1903" s="3"/>
    </row>
    <row r="1904" spans="1:14" x14ac:dyDescent="0.25">
      <c r="A1904" s="3" t="s">
        <v>1934</v>
      </c>
      <c r="B1904">
        <v>1983</v>
      </c>
      <c r="C1904">
        <v>1983</v>
      </c>
      <c r="D1904" s="3" t="s">
        <v>34</v>
      </c>
      <c r="E1904" s="3" t="s">
        <v>34</v>
      </c>
      <c r="F1904">
        <v>26</v>
      </c>
      <c r="G1904" s="7">
        <v>30554</v>
      </c>
      <c r="H1904">
        <v>2</v>
      </c>
      <c r="I1904" s="3" t="s">
        <v>10277</v>
      </c>
      <c r="J1904" s="3" t="s">
        <v>10</v>
      </c>
      <c r="K1904" s="3" t="s">
        <v>10</v>
      </c>
      <c r="L1904" s="3" t="s">
        <v>12</v>
      </c>
      <c r="M1904">
        <v>43</v>
      </c>
      <c r="N1904" s="3"/>
    </row>
    <row r="1905" spans="1:14" x14ac:dyDescent="0.25">
      <c r="A1905" s="3" t="s">
        <v>1935</v>
      </c>
      <c r="B1905">
        <v>1974</v>
      </c>
      <c r="C1905">
        <v>1974</v>
      </c>
      <c r="D1905" s="3" t="s">
        <v>17</v>
      </c>
      <c r="E1905" s="3" t="s">
        <v>17</v>
      </c>
      <c r="F1905">
        <v>2</v>
      </c>
      <c r="G1905" s="7">
        <v>27182</v>
      </c>
      <c r="H1905">
        <v>1</v>
      </c>
      <c r="I1905" s="3" t="s">
        <v>10278</v>
      </c>
      <c r="J1905" s="3" t="s">
        <v>10</v>
      </c>
      <c r="K1905" s="3" t="s">
        <v>10</v>
      </c>
      <c r="L1905" s="3" t="s">
        <v>41</v>
      </c>
      <c r="M1905">
        <v>52</v>
      </c>
      <c r="N1905" s="3"/>
    </row>
    <row r="1906" spans="1:14" x14ac:dyDescent="0.25">
      <c r="A1906" s="3" t="s">
        <v>1936</v>
      </c>
      <c r="B1906">
        <v>1973</v>
      </c>
      <c r="C1906">
        <v>1973</v>
      </c>
      <c r="D1906" s="3" t="s">
        <v>17</v>
      </c>
      <c r="E1906" s="3" t="s">
        <v>17</v>
      </c>
      <c r="F1906">
        <v>27</v>
      </c>
      <c r="G1906" s="7">
        <v>26842</v>
      </c>
      <c r="H1906">
        <v>2</v>
      </c>
      <c r="I1906" s="3" t="s">
        <v>10279</v>
      </c>
      <c r="J1906" s="3" t="s">
        <v>10</v>
      </c>
      <c r="K1906" s="3" t="s">
        <v>11</v>
      </c>
      <c r="L1906" s="3" t="s">
        <v>22</v>
      </c>
      <c r="M1906">
        <v>53</v>
      </c>
      <c r="N1906" s="3"/>
    </row>
    <row r="1907" spans="1:14" x14ac:dyDescent="0.25">
      <c r="A1907" s="3" t="s">
        <v>1937</v>
      </c>
      <c r="B1907">
        <v>1970</v>
      </c>
      <c r="C1907">
        <v>1970</v>
      </c>
      <c r="D1907" s="3" t="s">
        <v>34</v>
      </c>
      <c r="E1907" s="3" t="s">
        <v>34</v>
      </c>
      <c r="F1907">
        <v>8</v>
      </c>
      <c r="G1907" s="7">
        <v>25788</v>
      </c>
      <c r="H1907">
        <v>1</v>
      </c>
      <c r="I1907" s="3" t="s">
        <v>10280</v>
      </c>
      <c r="J1907" s="3" t="s">
        <v>10</v>
      </c>
      <c r="K1907" s="3" t="s">
        <v>11</v>
      </c>
      <c r="L1907" s="3" t="s">
        <v>22</v>
      </c>
      <c r="M1907">
        <v>56</v>
      </c>
      <c r="N1907" s="3"/>
    </row>
    <row r="1908" spans="1:14" x14ac:dyDescent="0.25">
      <c r="A1908" s="3" t="s">
        <v>1938</v>
      </c>
      <c r="B1908">
        <v>1971</v>
      </c>
      <c r="C1908">
        <v>1971</v>
      </c>
      <c r="D1908" s="3" t="s">
        <v>9</v>
      </c>
      <c r="E1908" s="3" t="s">
        <v>9</v>
      </c>
      <c r="F1908">
        <v>10</v>
      </c>
      <c r="G1908" s="7">
        <v>26124</v>
      </c>
      <c r="H1908">
        <v>2</v>
      </c>
      <c r="I1908" s="3" t="s">
        <v>10281</v>
      </c>
      <c r="J1908" s="3" t="s">
        <v>10</v>
      </c>
      <c r="K1908" s="3" t="s">
        <v>10</v>
      </c>
      <c r="L1908" s="3" t="s">
        <v>22</v>
      </c>
      <c r="M1908">
        <v>55</v>
      </c>
      <c r="N1908" s="3"/>
    </row>
    <row r="1909" spans="1:14" x14ac:dyDescent="0.25">
      <c r="A1909" s="3" t="s">
        <v>1939</v>
      </c>
      <c r="B1909">
        <v>2003</v>
      </c>
      <c r="C1909">
        <v>2003</v>
      </c>
      <c r="D1909" s="3" t="s">
        <v>29</v>
      </c>
      <c r="E1909" s="3" t="s">
        <v>29</v>
      </c>
      <c r="F1909">
        <v>30</v>
      </c>
      <c r="G1909" s="7">
        <v>37985</v>
      </c>
      <c r="H1909">
        <v>2</v>
      </c>
      <c r="I1909" s="3" t="s">
        <v>10282</v>
      </c>
      <c r="J1909" s="3" t="s">
        <v>10</v>
      </c>
      <c r="K1909" s="3" t="s">
        <v>10</v>
      </c>
      <c r="L1909" s="3" t="s">
        <v>22</v>
      </c>
      <c r="M1909">
        <v>23</v>
      </c>
      <c r="N1909" s="3"/>
    </row>
    <row r="1910" spans="1:14" x14ac:dyDescent="0.25">
      <c r="A1910" s="3" t="s">
        <v>1940</v>
      </c>
      <c r="B1910">
        <v>1973</v>
      </c>
      <c r="C1910">
        <v>1973</v>
      </c>
      <c r="D1910" s="3" t="s">
        <v>17</v>
      </c>
      <c r="E1910" s="3" t="s">
        <v>17</v>
      </c>
      <c r="F1910">
        <v>13</v>
      </c>
      <c r="G1910" s="7">
        <v>26828</v>
      </c>
      <c r="H1910">
        <v>3</v>
      </c>
      <c r="I1910" s="3" t="s">
        <v>10283</v>
      </c>
      <c r="J1910" s="3" t="s">
        <v>10</v>
      </c>
      <c r="K1910" s="3" t="s">
        <v>10</v>
      </c>
      <c r="L1910" s="3" t="s">
        <v>246</v>
      </c>
      <c r="M1910">
        <v>53</v>
      </c>
      <c r="N1910" s="3"/>
    </row>
    <row r="1911" spans="1:14" x14ac:dyDescent="0.25">
      <c r="A1911" s="3" t="s">
        <v>1941</v>
      </c>
      <c r="B1911">
        <v>1974</v>
      </c>
      <c r="C1911">
        <v>1974</v>
      </c>
      <c r="D1911" s="3" t="s">
        <v>19</v>
      </c>
      <c r="E1911" s="3" t="s">
        <v>19</v>
      </c>
      <c r="F1911">
        <v>10</v>
      </c>
      <c r="G1911" s="7">
        <v>27282</v>
      </c>
      <c r="H1911">
        <v>3</v>
      </c>
      <c r="I1911" s="3" t="s">
        <v>10284</v>
      </c>
      <c r="J1911" s="3" t="s">
        <v>10</v>
      </c>
      <c r="K1911" s="3" t="s">
        <v>15</v>
      </c>
      <c r="L1911" s="3" t="s">
        <v>12</v>
      </c>
      <c r="M1911">
        <v>52</v>
      </c>
      <c r="N1911" s="3"/>
    </row>
    <row r="1912" spans="1:14" x14ac:dyDescent="0.25">
      <c r="A1912" s="3" t="s">
        <v>1942</v>
      </c>
      <c r="B1912">
        <v>1964</v>
      </c>
      <c r="C1912">
        <v>1964</v>
      </c>
      <c r="D1912" s="3" t="s">
        <v>29</v>
      </c>
      <c r="E1912" s="3" t="s">
        <v>29</v>
      </c>
      <c r="F1912">
        <v>16</v>
      </c>
      <c r="G1912" s="7">
        <v>23727</v>
      </c>
      <c r="H1912">
        <v>0</v>
      </c>
      <c r="I1912" s="3" t="s">
        <v>10285</v>
      </c>
      <c r="J1912" s="3" t="s">
        <v>10</v>
      </c>
      <c r="K1912" s="3" t="s">
        <v>15</v>
      </c>
      <c r="L1912" s="3" t="s">
        <v>12</v>
      </c>
      <c r="M1912">
        <v>62</v>
      </c>
      <c r="N1912" s="3"/>
    </row>
    <row r="1913" spans="1:14" x14ac:dyDescent="0.25">
      <c r="A1913" s="3" t="s">
        <v>1943</v>
      </c>
      <c r="B1913">
        <v>2004</v>
      </c>
      <c r="C1913">
        <v>2004</v>
      </c>
      <c r="D1913" s="3" t="s">
        <v>34</v>
      </c>
      <c r="E1913" s="3" t="s">
        <v>34</v>
      </c>
      <c r="F1913">
        <v>3</v>
      </c>
      <c r="G1913" s="7">
        <v>38202</v>
      </c>
      <c r="H1913">
        <v>0</v>
      </c>
      <c r="I1913" s="3" t="s">
        <v>10286</v>
      </c>
      <c r="J1913" s="3" t="s">
        <v>10</v>
      </c>
      <c r="K1913" s="3" t="s">
        <v>15</v>
      </c>
      <c r="L1913" s="3" t="s">
        <v>41</v>
      </c>
      <c r="M1913">
        <v>22</v>
      </c>
      <c r="N1913" s="3"/>
    </row>
    <row r="1914" spans="1:14" x14ac:dyDescent="0.25">
      <c r="A1914" s="3" t="s">
        <v>1944</v>
      </c>
      <c r="B1914">
        <v>1999</v>
      </c>
      <c r="C1914">
        <v>1999</v>
      </c>
      <c r="D1914" s="3" t="s">
        <v>36</v>
      </c>
      <c r="E1914" s="3" t="s">
        <v>36</v>
      </c>
      <c r="F1914">
        <v>7</v>
      </c>
      <c r="G1914" s="7">
        <v>36440</v>
      </c>
      <c r="H1914">
        <v>0</v>
      </c>
      <c r="I1914" s="3" t="s">
        <v>10287</v>
      </c>
      <c r="J1914" s="3" t="s">
        <v>10</v>
      </c>
      <c r="K1914" s="3" t="s">
        <v>15</v>
      </c>
      <c r="L1914" s="3" t="s">
        <v>41</v>
      </c>
      <c r="M1914">
        <v>27</v>
      </c>
      <c r="N1914" s="3"/>
    </row>
    <row r="1915" spans="1:14" x14ac:dyDescent="0.25">
      <c r="A1915" s="3" t="s">
        <v>1945</v>
      </c>
      <c r="B1915">
        <v>1970</v>
      </c>
      <c r="C1915">
        <v>1970</v>
      </c>
      <c r="D1915" s="3" t="s">
        <v>14</v>
      </c>
      <c r="E1915" s="3" t="s">
        <v>14</v>
      </c>
      <c r="F1915">
        <v>30</v>
      </c>
      <c r="G1915" s="7">
        <v>25902</v>
      </c>
      <c r="H1915">
        <v>0</v>
      </c>
      <c r="I1915" s="3" t="s">
        <v>10288</v>
      </c>
      <c r="J1915" s="3" t="s">
        <v>10</v>
      </c>
      <c r="K1915" s="3" t="s">
        <v>11</v>
      </c>
      <c r="L1915" s="3" t="s">
        <v>22</v>
      </c>
      <c r="M1915">
        <v>56</v>
      </c>
      <c r="N1915" s="3"/>
    </row>
    <row r="1916" spans="1:14" x14ac:dyDescent="0.25">
      <c r="A1916" s="3" t="s">
        <v>1946</v>
      </c>
      <c r="B1916">
        <v>1968</v>
      </c>
      <c r="C1916">
        <v>1968</v>
      </c>
      <c r="D1916" s="3" t="s">
        <v>9</v>
      </c>
      <c r="E1916" s="3" t="s">
        <v>9</v>
      </c>
      <c r="F1916">
        <v>6</v>
      </c>
      <c r="G1916" s="7">
        <v>25025</v>
      </c>
      <c r="H1916">
        <v>0</v>
      </c>
      <c r="I1916" s="3" t="s">
        <v>10289</v>
      </c>
      <c r="J1916" s="3" t="s">
        <v>10</v>
      </c>
      <c r="K1916" s="3" t="s">
        <v>10</v>
      </c>
      <c r="L1916" s="3" t="s">
        <v>22</v>
      </c>
      <c r="M1916">
        <v>58</v>
      </c>
      <c r="N1916" s="3"/>
    </row>
    <row r="1917" spans="1:14" x14ac:dyDescent="0.25">
      <c r="A1917" s="3" t="s">
        <v>1947</v>
      </c>
      <c r="B1917">
        <v>1961</v>
      </c>
      <c r="C1917">
        <v>1961</v>
      </c>
      <c r="D1917" s="3" t="s">
        <v>36</v>
      </c>
      <c r="E1917" s="3" t="s">
        <v>36</v>
      </c>
      <c r="F1917">
        <v>21</v>
      </c>
      <c r="G1917" s="7">
        <v>22575</v>
      </c>
      <c r="H1917">
        <v>0</v>
      </c>
      <c r="I1917" s="3" t="s">
        <v>10290</v>
      </c>
      <c r="J1917" s="3" t="s">
        <v>10</v>
      </c>
      <c r="K1917" s="3" t="s">
        <v>10</v>
      </c>
      <c r="L1917" s="3" t="s">
        <v>12</v>
      </c>
      <c r="M1917">
        <v>65</v>
      </c>
      <c r="N1917" s="3"/>
    </row>
    <row r="1918" spans="1:14" x14ac:dyDescent="0.25">
      <c r="A1918" s="3" t="s">
        <v>1948</v>
      </c>
      <c r="B1918">
        <v>1972</v>
      </c>
      <c r="C1918">
        <v>1972</v>
      </c>
      <c r="D1918" s="3" t="s">
        <v>19</v>
      </c>
      <c r="E1918" s="3" t="s">
        <v>19</v>
      </c>
      <c r="F1918">
        <v>14</v>
      </c>
      <c r="G1918" s="7">
        <v>26556</v>
      </c>
      <c r="H1918">
        <v>1</v>
      </c>
      <c r="I1918" s="3" t="s">
        <v>10291</v>
      </c>
      <c r="J1918" s="3" t="s">
        <v>10</v>
      </c>
      <c r="K1918" s="3" t="s">
        <v>11</v>
      </c>
      <c r="L1918" s="3" t="s">
        <v>41</v>
      </c>
      <c r="M1918">
        <v>54</v>
      </c>
      <c r="N1918" s="3"/>
    </row>
    <row r="1919" spans="1:14" x14ac:dyDescent="0.25">
      <c r="A1919" s="3" t="s">
        <v>1949</v>
      </c>
      <c r="B1919">
        <v>1975</v>
      </c>
      <c r="C1919">
        <v>1975</v>
      </c>
      <c r="D1919" s="3" t="s">
        <v>17</v>
      </c>
      <c r="E1919" s="3" t="s">
        <v>17</v>
      </c>
      <c r="F1919">
        <v>13</v>
      </c>
      <c r="G1919" s="7">
        <v>27558</v>
      </c>
      <c r="H1919">
        <v>2</v>
      </c>
      <c r="I1919" s="3" t="s">
        <v>10292</v>
      </c>
      <c r="J1919" s="3" t="s">
        <v>10</v>
      </c>
      <c r="K1919" s="3" t="s">
        <v>10</v>
      </c>
      <c r="L1919" s="3" t="s">
        <v>22</v>
      </c>
      <c r="M1919">
        <v>51</v>
      </c>
      <c r="N1919" s="3"/>
    </row>
    <row r="1920" spans="1:14" x14ac:dyDescent="0.25">
      <c r="A1920" s="3" t="s">
        <v>1950</v>
      </c>
      <c r="B1920">
        <v>1976</v>
      </c>
      <c r="C1920">
        <v>1976</v>
      </c>
      <c r="D1920" s="3" t="s">
        <v>36</v>
      </c>
      <c r="E1920" s="3" t="s">
        <v>36</v>
      </c>
      <c r="F1920">
        <v>12</v>
      </c>
      <c r="G1920" s="7">
        <v>28045</v>
      </c>
      <c r="H1920">
        <v>0</v>
      </c>
      <c r="I1920" s="3" t="s">
        <v>10293</v>
      </c>
      <c r="J1920" s="3" t="s">
        <v>10</v>
      </c>
      <c r="K1920" s="3" t="s">
        <v>10</v>
      </c>
      <c r="L1920" s="3" t="s">
        <v>41</v>
      </c>
      <c r="M1920">
        <v>50</v>
      </c>
      <c r="N1920" s="3"/>
    </row>
    <row r="1921" spans="1:14" x14ac:dyDescent="0.25">
      <c r="A1921" s="3" t="s">
        <v>1951</v>
      </c>
      <c r="B1921">
        <v>1970</v>
      </c>
      <c r="C1921">
        <v>1970</v>
      </c>
      <c r="D1921" s="3" t="s">
        <v>17</v>
      </c>
      <c r="E1921" s="3" t="s">
        <v>17</v>
      </c>
      <c r="F1921">
        <v>12</v>
      </c>
      <c r="G1921" s="7">
        <v>25731</v>
      </c>
      <c r="H1921">
        <v>2</v>
      </c>
      <c r="I1921" s="3" t="s">
        <v>10294</v>
      </c>
      <c r="J1921" s="3" t="s">
        <v>10</v>
      </c>
      <c r="K1921" s="3" t="s">
        <v>11</v>
      </c>
      <c r="L1921" s="3" t="s">
        <v>12</v>
      </c>
      <c r="M1921">
        <v>56</v>
      </c>
      <c r="N1921" s="3"/>
    </row>
    <row r="1922" spans="1:14" x14ac:dyDescent="0.25">
      <c r="A1922" s="3" t="s">
        <v>1952</v>
      </c>
      <c r="B1922">
        <v>1996</v>
      </c>
      <c r="C1922">
        <v>1996</v>
      </c>
      <c r="D1922" s="3" t="s">
        <v>34</v>
      </c>
      <c r="E1922" s="3" t="s">
        <v>34</v>
      </c>
      <c r="F1922">
        <v>28</v>
      </c>
      <c r="G1922" s="7">
        <v>35305</v>
      </c>
      <c r="H1922">
        <v>4</v>
      </c>
      <c r="I1922" s="3" t="s">
        <v>10295</v>
      </c>
      <c r="J1922" s="3" t="s">
        <v>10</v>
      </c>
      <c r="K1922" s="3" t="s">
        <v>15</v>
      </c>
      <c r="L1922" s="3" t="s">
        <v>246</v>
      </c>
      <c r="M1922">
        <v>30</v>
      </c>
      <c r="N1922" s="3"/>
    </row>
    <row r="1923" spans="1:14" x14ac:dyDescent="0.25">
      <c r="A1923" s="3" t="s">
        <v>1953</v>
      </c>
      <c r="B1923">
        <v>1992</v>
      </c>
      <c r="C1923">
        <v>1992</v>
      </c>
      <c r="D1923" s="3" t="s">
        <v>36</v>
      </c>
      <c r="E1923" s="3" t="s">
        <v>36</v>
      </c>
      <c r="F1923">
        <v>11</v>
      </c>
      <c r="G1923" s="7">
        <v>33888</v>
      </c>
      <c r="H1923">
        <v>0</v>
      </c>
      <c r="I1923" s="3" t="s">
        <v>10296</v>
      </c>
      <c r="J1923" s="3" t="s">
        <v>10</v>
      </c>
      <c r="K1923" s="3" t="s">
        <v>11</v>
      </c>
      <c r="L1923" s="3" t="s">
        <v>41</v>
      </c>
      <c r="M1923">
        <v>34</v>
      </c>
      <c r="N1923" s="3"/>
    </row>
    <row r="1924" spans="1:14" x14ac:dyDescent="0.25">
      <c r="A1924" s="3" t="s">
        <v>1954</v>
      </c>
      <c r="B1924">
        <v>1994</v>
      </c>
      <c r="C1924">
        <v>1994</v>
      </c>
      <c r="D1924" s="3" t="s">
        <v>19</v>
      </c>
      <c r="E1924" s="3" t="s">
        <v>19</v>
      </c>
      <c r="F1924">
        <v>9</v>
      </c>
      <c r="G1924" s="7">
        <v>34586</v>
      </c>
      <c r="H1924">
        <v>0</v>
      </c>
      <c r="I1924" s="3" t="s">
        <v>10297</v>
      </c>
      <c r="J1924" s="3" t="s">
        <v>10</v>
      </c>
      <c r="K1924" s="3" t="s">
        <v>10</v>
      </c>
      <c r="L1924" s="3" t="s">
        <v>41</v>
      </c>
      <c r="M1924">
        <v>32</v>
      </c>
      <c r="N1924" s="3"/>
    </row>
    <row r="1925" spans="1:14" x14ac:dyDescent="0.25">
      <c r="A1925" s="3" t="s">
        <v>1955</v>
      </c>
      <c r="B1925">
        <v>1995</v>
      </c>
      <c r="C1925">
        <v>1995</v>
      </c>
      <c r="D1925" s="3" t="s">
        <v>17</v>
      </c>
      <c r="E1925" s="3" t="s">
        <v>17</v>
      </c>
      <c r="F1925">
        <v>10</v>
      </c>
      <c r="G1925" s="7">
        <v>34860</v>
      </c>
      <c r="H1925">
        <v>0</v>
      </c>
      <c r="I1925" s="3" t="s">
        <v>10298</v>
      </c>
      <c r="J1925" s="3" t="s">
        <v>10</v>
      </c>
      <c r="K1925" s="3" t="s">
        <v>11</v>
      </c>
      <c r="L1925" s="3" t="s">
        <v>41</v>
      </c>
      <c r="M1925">
        <v>31</v>
      </c>
      <c r="N1925" s="3"/>
    </row>
    <row r="1926" spans="1:14" x14ac:dyDescent="0.25">
      <c r="A1926" s="3" t="s">
        <v>1956</v>
      </c>
      <c r="B1926">
        <v>1970</v>
      </c>
      <c r="C1926">
        <v>1970</v>
      </c>
      <c r="D1926" s="3" t="s">
        <v>14</v>
      </c>
      <c r="E1926" s="3" t="s">
        <v>14</v>
      </c>
      <c r="F1926">
        <v>26</v>
      </c>
      <c r="G1926" s="7">
        <v>25898</v>
      </c>
      <c r="H1926">
        <v>3</v>
      </c>
      <c r="I1926" s="3" t="s">
        <v>10299</v>
      </c>
      <c r="J1926" s="3" t="s">
        <v>10</v>
      </c>
      <c r="K1926" s="3" t="s">
        <v>10</v>
      </c>
      <c r="L1926" s="3" t="s">
        <v>167</v>
      </c>
      <c r="M1926">
        <v>56</v>
      </c>
      <c r="N1926" s="3"/>
    </row>
    <row r="1927" spans="1:14" x14ac:dyDescent="0.25">
      <c r="A1927" s="3" t="s">
        <v>1957</v>
      </c>
      <c r="B1927">
        <v>1969</v>
      </c>
      <c r="C1927">
        <v>1969</v>
      </c>
      <c r="D1927" s="3" t="s">
        <v>9</v>
      </c>
      <c r="E1927" s="3" t="s">
        <v>9</v>
      </c>
      <c r="F1927">
        <v>23</v>
      </c>
      <c r="G1927" s="7">
        <v>25407</v>
      </c>
      <c r="H1927">
        <v>3</v>
      </c>
      <c r="I1927" s="3" t="s">
        <v>10300</v>
      </c>
      <c r="J1927" s="3" t="s">
        <v>10</v>
      </c>
      <c r="K1927" s="3" t="s">
        <v>15</v>
      </c>
      <c r="L1927" s="3" t="s">
        <v>246</v>
      </c>
      <c r="M1927">
        <v>57</v>
      </c>
      <c r="N1927" s="3"/>
    </row>
    <row r="1928" spans="1:14" x14ac:dyDescent="0.25">
      <c r="A1928" s="3" t="s">
        <v>1958</v>
      </c>
      <c r="B1928">
        <v>1987</v>
      </c>
      <c r="C1928">
        <v>1987</v>
      </c>
      <c r="D1928" s="3" t="s">
        <v>17</v>
      </c>
      <c r="E1928" s="3" t="s">
        <v>17</v>
      </c>
      <c r="F1928">
        <v>14</v>
      </c>
      <c r="G1928" s="7">
        <v>31942</v>
      </c>
      <c r="H1928">
        <v>2</v>
      </c>
      <c r="I1928" s="3" t="s">
        <v>10301</v>
      </c>
      <c r="J1928" s="3" t="s">
        <v>10</v>
      </c>
      <c r="K1928" s="3" t="s">
        <v>15</v>
      </c>
      <c r="L1928" s="3" t="s">
        <v>246</v>
      </c>
      <c r="M1928">
        <v>39</v>
      </c>
      <c r="N1928" s="3"/>
    </row>
    <row r="1929" spans="1:14" x14ac:dyDescent="0.25">
      <c r="A1929" s="3" t="s">
        <v>1959</v>
      </c>
      <c r="B1929">
        <v>1975</v>
      </c>
      <c r="C1929">
        <v>1975</v>
      </c>
      <c r="D1929" s="3" t="s">
        <v>14</v>
      </c>
      <c r="E1929" s="3" t="s">
        <v>14</v>
      </c>
      <c r="F1929">
        <v>14</v>
      </c>
      <c r="G1929" s="7">
        <v>27712</v>
      </c>
      <c r="H1929">
        <v>3</v>
      </c>
      <c r="I1929" s="3" t="s">
        <v>10302</v>
      </c>
      <c r="J1929" s="3" t="s">
        <v>10</v>
      </c>
      <c r="K1929" s="3" t="s">
        <v>11</v>
      </c>
      <c r="L1929" s="3" t="s">
        <v>22</v>
      </c>
      <c r="M1929">
        <v>51</v>
      </c>
      <c r="N1929" s="3"/>
    </row>
    <row r="1930" spans="1:14" x14ac:dyDescent="0.25">
      <c r="A1930" s="3" t="s">
        <v>1960</v>
      </c>
      <c r="B1930">
        <v>1995</v>
      </c>
      <c r="C1930">
        <v>1995</v>
      </c>
      <c r="D1930" s="3" t="s">
        <v>29</v>
      </c>
      <c r="E1930" s="3" t="s">
        <v>29</v>
      </c>
      <c r="F1930">
        <v>4</v>
      </c>
      <c r="G1930" s="7">
        <v>35037</v>
      </c>
      <c r="H1930">
        <v>0</v>
      </c>
      <c r="I1930" s="3" t="s">
        <v>10303</v>
      </c>
      <c r="J1930" s="3" t="s">
        <v>10</v>
      </c>
      <c r="K1930" s="3" t="s">
        <v>10</v>
      </c>
      <c r="L1930" s="3" t="s">
        <v>41</v>
      </c>
      <c r="M1930">
        <v>31</v>
      </c>
      <c r="N1930" s="3"/>
    </row>
    <row r="1931" spans="1:14" x14ac:dyDescent="0.25">
      <c r="A1931" s="3" t="s">
        <v>1961</v>
      </c>
      <c r="B1931">
        <v>1998</v>
      </c>
      <c r="C1931">
        <v>1998</v>
      </c>
      <c r="D1931" s="3" t="s">
        <v>17</v>
      </c>
      <c r="E1931" s="3" t="s">
        <v>17</v>
      </c>
      <c r="F1931">
        <v>14</v>
      </c>
      <c r="G1931" s="7">
        <v>35960</v>
      </c>
      <c r="H1931">
        <v>0</v>
      </c>
      <c r="I1931" s="3" t="s">
        <v>10304</v>
      </c>
      <c r="J1931" s="3" t="s">
        <v>10</v>
      </c>
      <c r="K1931" s="3" t="s">
        <v>10</v>
      </c>
      <c r="L1931" s="3" t="s">
        <v>12</v>
      </c>
      <c r="M1931">
        <v>28</v>
      </c>
      <c r="N1931" s="3"/>
    </row>
    <row r="1932" spans="1:14" x14ac:dyDescent="0.25">
      <c r="A1932" s="3" t="s">
        <v>1962</v>
      </c>
      <c r="B1932">
        <v>1998</v>
      </c>
      <c r="C1932">
        <v>1998</v>
      </c>
      <c r="D1932" s="3" t="s">
        <v>14</v>
      </c>
      <c r="E1932" s="3" t="s">
        <v>14</v>
      </c>
      <c r="F1932">
        <v>24</v>
      </c>
      <c r="G1932" s="7">
        <v>36123</v>
      </c>
      <c r="H1932">
        <v>0</v>
      </c>
      <c r="I1932" s="3" t="s">
        <v>10305</v>
      </c>
      <c r="J1932" s="3" t="s">
        <v>10</v>
      </c>
      <c r="K1932" s="3" t="s">
        <v>11</v>
      </c>
      <c r="L1932" s="3" t="s">
        <v>41</v>
      </c>
      <c r="M1932">
        <v>28</v>
      </c>
      <c r="N1932" s="3"/>
    </row>
    <row r="1933" spans="1:14" x14ac:dyDescent="0.25">
      <c r="A1933" s="3" t="s">
        <v>1963</v>
      </c>
      <c r="B1933">
        <v>1975</v>
      </c>
      <c r="C1933">
        <v>1975</v>
      </c>
      <c r="D1933" s="3" t="s">
        <v>29</v>
      </c>
      <c r="E1933" s="3" t="s">
        <v>29</v>
      </c>
      <c r="F1933">
        <v>14</v>
      </c>
      <c r="G1933" s="7">
        <v>27742</v>
      </c>
      <c r="H1933">
        <v>3</v>
      </c>
      <c r="I1933" s="3" t="s">
        <v>10306</v>
      </c>
      <c r="J1933" s="3" t="s">
        <v>10</v>
      </c>
      <c r="K1933" s="3" t="s">
        <v>15</v>
      </c>
      <c r="L1933" s="3" t="s">
        <v>41</v>
      </c>
      <c r="M1933">
        <v>51</v>
      </c>
      <c r="N1933" s="3"/>
    </row>
    <row r="1934" spans="1:14" x14ac:dyDescent="0.25">
      <c r="A1934" s="3" t="s">
        <v>1964</v>
      </c>
      <c r="B1934">
        <v>1972</v>
      </c>
      <c r="C1934">
        <v>1972</v>
      </c>
      <c r="D1934" s="3" t="s">
        <v>19</v>
      </c>
      <c r="E1934" s="3" t="s">
        <v>19</v>
      </c>
      <c r="F1934">
        <v>26</v>
      </c>
      <c r="G1934" s="7">
        <v>26568</v>
      </c>
      <c r="H1934">
        <v>2</v>
      </c>
      <c r="I1934" s="3" t="s">
        <v>10307</v>
      </c>
      <c r="J1934" s="3" t="s">
        <v>10</v>
      </c>
      <c r="K1934" s="3" t="s">
        <v>10</v>
      </c>
      <c r="L1934" s="3" t="s">
        <v>355</v>
      </c>
      <c r="M1934">
        <v>54</v>
      </c>
      <c r="N1934" s="3"/>
    </row>
    <row r="1935" spans="1:14" x14ac:dyDescent="0.25">
      <c r="A1935" s="3" t="s">
        <v>1965</v>
      </c>
      <c r="B1935">
        <v>1968</v>
      </c>
      <c r="C1935">
        <v>1968</v>
      </c>
      <c r="D1935" s="3" t="s">
        <v>34</v>
      </c>
      <c r="E1935" s="3" t="s">
        <v>34</v>
      </c>
      <c r="F1935">
        <v>22</v>
      </c>
      <c r="G1935" s="7">
        <v>25072</v>
      </c>
      <c r="H1935">
        <v>3</v>
      </c>
      <c r="I1935" s="3" t="s">
        <v>10308</v>
      </c>
      <c r="J1935" s="3" t="s">
        <v>10</v>
      </c>
      <c r="K1935" s="3" t="s">
        <v>10</v>
      </c>
      <c r="L1935" s="3" t="s">
        <v>41</v>
      </c>
      <c r="M1935">
        <v>58</v>
      </c>
      <c r="N1935" s="3"/>
    </row>
    <row r="1936" spans="1:14" x14ac:dyDescent="0.25">
      <c r="A1936" s="3" t="s">
        <v>1966</v>
      </c>
      <c r="B1936">
        <v>1968</v>
      </c>
      <c r="C1936">
        <v>1968</v>
      </c>
      <c r="D1936" s="3" t="s">
        <v>29</v>
      </c>
      <c r="E1936" s="3" t="s">
        <v>29</v>
      </c>
      <c r="F1936">
        <v>11</v>
      </c>
      <c r="G1936" s="7">
        <v>25183</v>
      </c>
      <c r="H1936">
        <v>1</v>
      </c>
      <c r="I1936" s="3" t="s">
        <v>10309</v>
      </c>
      <c r="J1936" s="3" t="s">
        <v>10</v>
      </c>
      <c r="K1936" s="3" t="s">
        <v>11</v>
      </c>
      <c r="L1936" s="3" t="s">
        <v>355</v>
      </c>
      <c r="M1936">
        <v>58</v>
      </c>
      <c r="N1936" s="3"/>
    </row>
    <row r="1937" spans="1:14" x14ac:dyDescent="0.25">
      <c r="A1937" s="3" t="s">
        <v>1967</v>
      </c>
      <c r="B1937">
        <v>2001</v>
      </c>
      <c r="C1937">
        <v>2001</v>
      </c>
      <c r="D1937" s="3" t="s">
        <v>34</v>
      </c>
      <c r="E1937" s="3" t="s">
        <v>34</v>
      </c>
      <c r="F1937">
        <v>2</v>
      </c>
      <c r="G1937" s="7">
        <v>37105</v>
      </c>
      <c r="H1937">
        <v>0</v>
      </c>
      <c r="I1937" s="3" t="s">
        <v>10310</v>
      </c>
      <c r="J1937" s="3" t="s">
        <v>10</v>
      </c>
      <c r="K1937" s="3" t="s">
        <v>15</v>
      </c>
      <c r="L1937" s="3" t="s">
        <v>41</v>
      </c>
      <c r="M1937">
        <v>25</v>
      </c>
      <c r="N1937" s="3"/>
    </row>
    <row r="1938" spans="1:14" x14ac:dyDescent="0.25">
      <c r="A1938" s="3" t="s">
        <v>1968</v>
      </c>
      <c r="B1938">
        <v>1972</v>
      </c>
      <c r="C1938">
        <v>1972</v>
      </c>
      <c r="D1938" s="3" t="s">
        <v>9</v>
      </c>
      <c r="E1938" s="3" t="s">
        <v>9</v>
      </c>
      <c r="F1938">
        <v>17</v>
      </c>
      <c r="G1938" s="7">
        <v>26497</v>
      </c>
      <c r="H1938">
        <v>0</v>
      </c>
      <c r="I1938" s="3" t="s">
        <v>10311</v>
      </c>
      <c r="J1938" s="3" t="s">
        <v>10</v>
      </c>
      <c r="K1938" s="3" t="s">
        <v>11</v>
      </c>
      <c r="L1938" s="3" t="s">
        <v>246</v>
      </c>
      <c r="M1938">
        <v>54</v>
      </c>
      <c r="N1938" s="3"/>
    </row>
    <row r="1939" spans="1:14" x14ac:dyDescent="0.25">
      <c r="A1939" s="3" t="s">
        <v>1969</v>
      </c>
      <c r="B1939">
        <v>1963</v>
      </c>
      <c r="C1939">
        <v>1963</v>
      </c>
      <c r="D1939" s="3" t="s">
        <v>34</v>
      </c>
      <c r="E1939" s="3" t="s">
        <v>34</v>
      </c>
      <c r="F1939">
        <v>21</v>
      </c>
      <c r="G1939" s="7">
        <v>23244</v>
      </c>
      <c r="H1939">
        <v>0</v>
      </c>
      <c r="I1939" s="3" t="s">
        <v>10312</v>
      </c>
      <c r="J1939" s="3" t="s">
        <v>10</v>
      </c>
      <c r="K1939" s="3" t="s">
        <v>11</v>
      </c>
      <c r="L1939" s="3" t="s">
        <v>22</v>
      </c>
      <c r="M1939">
        <v>63</v>
      </c>
      <c r="N1939" s="3"/>
    </row>
    <row r="1940" spans="1:14" x14ac:dyDescent="0.25">
      <c r="A1940" s="3" t="s">
        <v>1970</v>
      </c>
      <c r="B1940">
        <v>1970</v>
      </c>
      <c r="C1940">
        <v>1970</v>
      </c>
      <c r="D1940" s="3" t="s">
        <v>29</v>
      </c>
      <c r="E1940" s="3" t="s">
        <v>29</v>
      </c>
      <c r="F1940">
        <v>3</v>
      </c>
      <c r="G1940" s="7">
        <v>25905</v>
      </c>
      <c r="H1940">
        <v>3</v>
      </c>
      <c r="I1940" s="3" t="s">
        <v>10313</v>
      </c>
      <c r="J1940" s="3" t="s">
        <v>10</v>
      </c>
      <c r="K1940" s="3" t="s">
        <v>10</v>
      </c>
      <c r="L1940" s="3" t="s">
        <v>12</v>
      </c>
      <c r="M1940">
        <v>56</v>
      </c>
      <c r="N1940" s="3"/>
    </row>
    <row r="1941" spans="1:14" x14ac:dyDescent="0.25">
      <c r="A1941" s="3" t="s">
        <v>1971</v>
      </c>
      <c r="B1941">
        <v>2001</v>
      </c>
      <c r="C1941">
        <v>2001</v>
      </c>
      <c r="D1941" s="3" t="s">
        <v>17</v>
      </c>
      <c r="E1941" s="3" t="s">
        <v>17</v>
      </c>
      <c r="F1941">
        <v>5</v>
      </c>
      <c r="G1941" s="7">
        <v>37047</v>
      </c>
      <c r="H1941">
        <v>2</v>
      </c>
      <c r="I1941" s="3" t="s">
        <v>10314</v>
      </c>
      <c r="J1941" s="3" t="s">
        <v>10</v>
      </c>
      <c r="K1941" s="3" t="s">
        <v>10</v>
      </c>
      <c r="L1941" s="3" t="s">
        <v>22</v>
      </c>
      <c r="M1941">
        <v>25</v>
      </c>
      <c r="N1941" s="3"/>
    </row>
    <row r="1942" spans="1:14" x14ac:dyDescent="0.25">
      <c r="A1942" s="3" t="s">
        <v>1972</v>
      </c>
      <c r="B1942">
        <v>2000</v>
      </c>
      <c r="C1942">
        <v>2000</v>
      </c>
      <c r="D1942" s="3" t="s">
        <v>29</v>
      </c>
      <c r="E1942" s="3" t="s">
        <v>29</v>
      </c>
      <c r="F1942">
        <v>26</v>
      </c>
      <c r="G1942" s="7">
        <v>36886</v>
      </c>
      <c r="H1942">
        <v>0</v>
      </c>
      <c r="I1942" s="3" t="s">
        <v>10315</v>
      </c>
      <c r="J1942" s="3" t="s">
        <v>10</v>
      </c>
      <c r="K1942" s="3" t="s">
        <v>11</v>
      </c>
      <c r="L1942" s="3" t="s">
        <v>41</v>
      </c>
      <c r="M1942">
        <v>26</v>
      </c>
      <c r="N1942" s="3"/>
    </row>
    <row r="1943" spans="1:14" x14ac:dyDescent="0.25">
      <c r="A1943" s="3" t="s">
        <v>1973</v>
      </c>
      <c r="B1943">
        <v>1966</v>
      </c>
      <c r="C1943">
        <v>1966</v>
      </c>
      <c r="D1943" s="3" t="s">
        <v>9</v>
      </c>
      <c r="E1943" s="3" t="s">
        <v>9</v>
      </c>
      <c r="F1943">
        <v>9</v>
      </c>
      <c r="G1943" s="7">
        <v>24297</v>
      </c>
      <c r="H1943">
        <v>1</v>
      </c>
      <c r="I1943" s="3" t="s">
        <v>10316</v>
      </c>
      <c r="J1943" s="3" t="s">
        <v>10</v>
      </c>
      <c r="K1943" s="3" t="s">
        <v>11</v>
      </c>
      <c r="L1943" s="3" t="s">
        <v>22</v>
      </c>
      <c r="M1943">
        <v>60</v>
      </c>
      <c r="N1943" s="3"/>
    </row>
    <row r="1944" spans="1:14" x14ac:dyDescent="0.25">
      <c r="A1944" s="3" t="s">
        <v>1974</v>
      </c>
      <c r="B1944">
        <v>2002</v>
      </c>
      <c r="C1944">
        <v>2002</v>
      </c>
      <c r="D1944" s="3" t="s">
        <v>36</v>
      </c>
      <c r="E1944" s="3" t="s">
        <v>36</v>
      </c>
      <c r="F1944">
        <v>11</v>
      </c>
      <c r="G1944" s="7">
        <v>37540</v>
      </c>
      <c r="H1944">
        <v>0</v>
      </c>
      <c r="I1944" s="3" t="s">
        <v>10317</v>
      </c>
      <c r="J1944" s="3" t="s">
        <v>10</v>
      </c>
      <c r="K1944" s="3" t="s">
        <v>15</v>
      </c>
      <c r="L1944" s="3" t="s">
        <v>12</v>
      </c>
      <c r="M1944">
        <v>24</v>
      </c>
      <c r="N1944" s="3"/>
    </row>
    <row r="1945" spans="1:14" x14ac:dyDescent="0.25">
      <c r="A1945" s="3" t="s">
        <v>1975</v>
      </c>
      <c r="B1945">
        <v>1973</v>
      </c>
      <c r="C1945">
        <v>1973</v>
      </c>
      <c r="D1945" s="3" t="s">
        <v>9</v>
      </c>
      <c r="E1945" s="3" t="s">
        <v>9</v>
      </c>
      <c r="F1945">
        <v>7</v>
      </c>
      <c r="G1945" s="7">
        <v>26852</v>
      </c>
      <c r="H1945">
        <v>1</v>
      </c>
      <c r="I1945" s="3" t="s">
        <v>10318</v>
      </c>
      <c r="J1945" s="3" t="s">
        <v>10</v>
      </c>
      <c r="K1945" s="3" t="s">
        <v>11</v>
      </c>
      <c r="L1945" s="3" t="s">
        <v>41</v>
      </c>
      <c r="M1945">
        <v>53</v>
      </c>
      <c r="N1945" s="3"/>
    </row>
    <row r="1946" spans="1:14" x14ac:dyDescent="0.25">
      <c r="A1946" s="3" t="s">
        <v>1976</v>
      </c>
      <c r="B1946">
        <v>1975</v>
      </c>
      <c r="C1946">
        <v>1975</v>
      </c>
      <c r="D1946" s="3" t="s">
        <v>17</v>
      </c>
      <c r="E1946" s="3" t="s">
        <v>17</v>
      </c>
      <c r="F1946">
        <v>4</v>
      </c>
      <c r="G1946" s="7">
        <v>27549</v>
      </c>
      <c r="H1946">
        <v>1</v>
      </c>
      <c r="I1946" s="3" t="s">
        <v>10319</v>
      </c>
      <c r="J1946" s="3" t="s">
        <v>10</v>
      </c>
      <c r="K1946" s="3" t="s">
        <v>15</v>
      </c>
      <c r="L1946" s="3" t="s">
        <v>41</v>
      </c>
      <c r="M1946">
        <v>51</v>
      </c>
      <c r="N1946" s="3"/>
    </row>
    <row r="1947" spans="1:14" x14ac:dyDescent="0.25">
      <c r="A1947" s="3" t="s">
        <v>1977</v>
      </c>
      <c r="B1947">
        <v>2004</v>
      </c>
      <c r="C1947">
        <v>2004</v>
      </c>
      <c r="D1947" s="3" t="s">
        <v>29</v>
      </c>
      <c r="E1947" s="3" t="s">
        <v>29</v>
      </c>
      <c r="F1947">
        <v>5</v>
      </c>
      <c r="G1947" s="7">
        <v>38326</v>
      </c>
      <c r="H1947">
        <v>0</v>
      </c>
      <c r="I1947" s="3" t="s">
        <v>10320</v>
      </c>
      <c r="J1947" s="3" t="s">
        <v>10</v>
      </c>
      <c r="K1947" s="3" t="s">
        <v>11</v>
      </c>
      <c r="L1947" s="3" t="s">
        <v>41</v>
      </c>
      <c r="M1947">
        <v>22</v>
      </c>
      <c r="N1947" s="3"/>
    </row>
    <row r="1948" spans="1:14" x14ac:dyDescent="0.25">
      <c r="A1948" s="3" t="s">
        <v>1978</v>
      </c>
      <c r="B1948">
        <v>1974</v>
      </c>
      <c r="C1948">
        <v>1974</v>
      </c>
      <c r="D1948" s="3" t="s">
        <v>19</v>
      </c>
      <c r="E1948" s="3" t="s">
        <v>19</v>
      </c>
      <c r="F1948">
        <v>21</v>
      </c>
      <c r="G1948" s="7">
        <v>27293</v>
      </c>
      <c r="H1948">
        <v>1</v>
      </c>
      <c r="I1948" s="3" t="s">
        <v>10321</v>
      </c>
      <c r="J1948" s="3" t="s">
        <v>10</v>
      </c>
      <c r="K1948" s="3" t="s">
        <v>10</v>
      </c>
      <c r="L1948" s="3" t="s">
        <v>246</v>
      </c>
      <c r="M1948">
        <v>52</v>
      </c>
      <c r="N1948" s="3"/>
    </row>
    <row r="1949" spans="1:14" x14ac:dyDescent="0.25">
      <c r="A1949" s="3" t="s">
        <v>1979</v>
      </c>
      <c r="B1949">
        <v>1970</v>
      </c>
      <c r="C1949">
        <v>1970</v>
      </c>
      <c r="D1949" s="3" t="s">
        <v>34</v>
      </c>
      <c r="E1949" s="3" t="s">
        <v>34</v>
      </c>
      <c r="F1949">
        <v>27</v>
      </c>
      <c r="G1949" s="7">
        <v>25807</v>
      </c>
      <c r="H1949">
        <v>2</v>
      </c>
      <c r="I1949" s="3" t="s">
        <v>10322</v>
      </c>
      <c r="J1949" s="3" t="s">
        <v>10</v>
      </c>
      <c r="K1949" s="3" t="s">
        <v>11</v>
      </c>
      <c r="L1949" s="3" t="s">
        <v>22</v>
      </c>
      <c r="M1949">
        <v>56</v>
      </c>
      <c r="N1949" s="3"/>
    </row>
    <row r="1950" spans="1:14" x14ac:dyDescent="0.25">
      <c r="A1950" s="3" t="s">
        <v>1980</v>
      </c>
      <c r="B1950">
        <v>2004</v>
      </c>
      <c r="C1950">
        <v>2004</v>
      </c>
      <c r="D1950" s="3" t="s">
        <v>19</v>
      </c>
      <c r="E1950" s="3" t="s">
        <v>19</v>
      </c>
      <c r="F1950">
        <v>5</v>
      </c>
      <c r="G1950" s="7">
        <v>38235</v>
      </c>
      <c r="H1950">
        <v>0</v>
      </c>
      <c r="I1950" s="3" t="s">
        <v>10323</v>
      </c>
      <c r="J1950" s="3" t="s">
        <v>10</v>
      </c>
      <c r="K1950" s="3" t="s">
        <v>10</v>
      </c>
      <c r="L1950" s="3" t="s">
        <v>41</v>
      </c>
      <c r="M1950">
        <v>22</v>
      </c>
      <c r="N1950" s="3"/>
    </row>
    <row r="1951" spans="1:14" x14ac:dyDescent="0.25">
      <c r="A1951" s="3" t="s">
        <v>1981</v>
      </c>
      <c r="B1951">
        <v>1988</v>
      </c>
      <c r="C1951">
        <v>1988</v>
      </c>
      <c r="D1951" s="3" t="s">
        <v>9</v>
      </c>
      <c r="E1951" s="3" t="s">
        <v>9</v>
      </c>
      <c r="F1951">
        <v>22</v>
      </c>
      <c r="G1951" s="7">
        <v>32346</v>
      </c>
      <c r="H1951">
        <v>3</v>
      </c>
      <c r="I1951" s="3" t="s">
        <v>10324</v>
      </c>
      <c r="J1951" s="3" t="s">
        <v>10</v>
      </c>
      <c r="K1951" s="3" t="s">
        <v>15</v>
      </c>
      <c r="L1951" s="3" t="s">
        <v>41</v>
      </c>
      <c r="M1951">
        <v>38</v>
      </c>
      <c r="N1951" s="3"/>
    </row>
    <row r="1952" spans="1:14" x14ac:dyDescent="0.25">
      <c r="A1952" s="3" t="s">
        <v>1982</v>
      </c>
      <c r="B1952">
        <v>1991</v>
      </c>
      <c r="C1952">
        <v>1991</v>
      </c>
      <c r="D1952" s="3" t="s">
        <v>34</v>
      </c>
      <c r="E1952" s="3" t="s">
        <v>34</v>
      </c>
      <c r="F1952">
        <v>22</v>
      </c>
      <c r="G1952" s="7">
        <v>33472</v>
      </c>
      <c r="H1952">
        <v>3</v>
      </c>
      <c r="I1952" s="3" t="s">
        <v>10325</v>
      </c>
      <c r="J1952" s="3" t="s">
        <v>10</v>
      </c>
      <c r="K1952" s="3" t="s">
        <v>10</v>
      </c>
      <c r="L1952" s="3" t="s">
        <v>41</v>
      </c>
      <c r="M1952">
        <v>35</v>
      </c>
      <c r="N1952" s="3"/>
    </row>
    <row r="1953" spans="1:14" x14ac:dyDescent="0.25">
      <c r="A1953" s="3" t="s">
        <v>1983</v>
      </c>
      <c r="B1953">
        <v>1958</v>
      </c>
      <c r="C1953">
        <v>1958</v>
      </c>
      <c r="D1953" s="3" t="s">
        <v>29</v>
      </c>
      <c r="E1953" s="3" t="s">
        <v>29</v>
      </c>
      <c r="F1953">
        <v>25</v>
      </c>
      <c r="G1953" s="7">
        <v>21544</v>
      </c>
      <c r="H1953">
        <v>0</v>
      </c>
      <c r="I1953" s="3" t="s">
        <v>10326</v>
      </c>
      <c r="J1953" s="3" t="s">
        <v>10</v>
      </c>
      <c r="K1953" s="3" t="s">
        <v>15</v>
      </c>
      <c r="L1953" s="3" t="s">
        <v>12</v>
      </c>
      <c r="M1953">
        <v>68</v>
      </c>
      <c r="N1953" s="3"/>
    </row>
    <row r="1954" spans="1:14" x14ac:dyDescent="0.25">
      <c r="A1954" s="3" t="s">
        <v>1984</v>
      </c>
      <c r="B1954">
        <v>2002</v>
      </c>
      <c r="C1954">
        <v>2002</v>
      </c>
      <c r="D1954" s="3" t="s">
        <v>17</v>
      </c>
      <c r="E1954" s="3" t="s">
        <v>17</v>
      </c>
      <c r="F1954">
        <v>17</v>
      </c>
      <c r="G1954" s="7">
        <v>37424</v>
      </c>
      <c r="H1954">
        <v>0</v>
      </c>
      <c r="I1954" s="3" t="s">
        <v>10327</v>
      </c>
      <c r="J1954" s="3" t="s">
        <v>10</v>
      </c>
      <c r="K1954" s="3" t="s">
        <v>10</v>
      </c>
      <c r="L1954" s="3" t="s">
        <v>41</v>
      </c>
      <c r="M1954">
        <v>24</v>
      </c>
      <c r="N1954" s="3"/>
    </row>
    <row r="1955" spans="1:14" x14ac:dyDescent="0.25">
      <c r="A1955" s="3" t="s">
        <v>1985</v>
      </c>
      <c r="B1955">
        <v>2000</v>
      </c>
      <c r="C1955">
        <v>2000</v>
      </c>
      <c r="D1955" s="3" t="s">
        <v>14</v>
      </c>
      <c r="E1955" s="3" t="s">
        <v>14</v>
      </c>
      <c r="F1955">
        <v>9</v>
      </c>
      <c r="G1955" s="7">
        <v>36839</v>
      </c>
      <c r="H1955">
        <v>0</v>
      </c>
      <c r="I1955" s="3" t="s">
        <v>10328</v>
      </c>
      <c r="J1955" s="3" t="s">
        <v>10</v>
      </c>
      <c r="K1955" s="3" t="s">
        <v>11</v>
      </c>
      <c r="L1955" s="3" t="s">
        <v>41</v>
      </c>
      <c r="M1955">
        <v>26</v>
      </c>
      <c r="N1955" s="3"/>
    </row>
    <row r="1956" spans="1:14" x14ac:dyDescent="0.25">
      <c r="A1956" s="3" t="s">
        <v>1986</v>
      </c>
      <c r="B1956">
        <v>1960</v>
      </c>
      <c r="C1956">
        <v>1960</v>
      </c>
      <c r="D1956" s="3" t="s">
        <v>9</v>
      </c>
      <c r="E1956" s="3" t="s">
        <v>9</v>
      </c>
      <c r="F1956">
        <v>9</v>
      </c>
      <c r="G1956" s="7">
        <v>22106</v>
      </c>
      <c r="H1956">
        <v>1</v>
      </c>
      <c r="I1956" s="3" t="s">
        <v>10329</v>
      </c>
      <c r="J1956" s="3" t="s">
        <v>10</v>
      </c>
      <c r="K1956" s="3" t="s">
        <v>10</v>
      </c>
      <c r="L1956" s="3" t="s">
        <v>12</v>
      </c>
      <c r="M1956">
        <v>66</v>
      </c>
      <c r="N1956" s="3"/>
    </row>
    <row r="1957" spans="1:14" x14ac:dyDescent="0.25">
      <c r="A1957" s="3" t="s">
        <v>1987</v>
      </c>
      <c r="B1957">
        <v>1958</v>
      </c>
      <c r="C1957">
        <v>1958</v>
      </c>
      <c r="D1957" s="3" t="s">
        <v>17</v>
      </c>
      <c r="E1957" s="3" t="s">
        <v>17</v>
      </c>
      <c r="F1957">
        <v>30</v>
      </c>
      <c r="G1957" s="7">
        <v>21366</v>
      </c>
      <c r="H1957">
        <v>0</v>
      </c>
      <c r="I1957" s="3" t="s">
        <v>10330</v>
      </c>
      <c r="J1957" s="3" t="s">
        <v>10</v>
      </c>
      <c r="K1957" s="3" t="s">
        <v>10</v>
      </c>
      <c r="L1957" s="3" t="s">
        <v>12</v>
      </c>
      <c r="M1957">
        <v>68</v>
      </c>
      <c r="N1957" s="3"/>
    </row>
    <row r="1958" spans="1:14" x14ac:dyDescent="0.25">
      <c r="A1958" s="3" t="s">
        <v>1988</v>
      </c>
      <c r="B1958">
        <v>1994</v>
      </c>
      <c r="C1958">
        <v>1994</v>
      </c>
      <c r="D1958" s="3" t="s">
        <v>9</v>
      </c>
      <c r="E1958" s="3" t="s">
        <v>9</v>
      </c>
      <c r="F1958">
        <v>2</v>
      </c>
      <c r="G1958" s="7">
        <v>34517</v>
      </c>
      <c r="H1958">
        <v>0</v>
      </c>
      <c r="I1958" s="3" t="s">
        <v>10331</v>
      </c>
      <c r="J1958" s="3" t="s">
        <v>10</v>
      </c>
      <c r="K1958" s="3" t="s">
        <v>10</v>
      </c>
      <c r="L1958" s="3" t="s">
        <v>41</v>
      </c>
      <c r="M1958">
        <v>32</v>
      </c>
      <c r="N1958" s="3"/>
    </row>
    <row r="1959" spans="1:14" x14ac:dyDescent="0.25">
      <c r="A1959" s="3" t="s">
        <v>1989</v>
      </c>
      <c r="B1959">
        <v>1990</v>
      </c>
      <c r="C1959">
        <v>1990</v>
      </c>
      <c r="D1959" s="3" t="s">
        <v>29</v>
      </c>
      <c r="E1959" s="3" t="s">
        <v>29</v>
      </c>
      <c r="F1959">
        <v>13</v>
      </c>
      <c r="G1959" s="7">
        <v>33220</v>
      </c>
      <c r="H1959">
        <v>3</v>
      </c>
      <c r="I1959" s="3" t="s">
        <v>10332</v>
      </c>
      <c r="J1959" s="3" t="s">
        <v>10</v>
      </c>
      <c r="K1959" s="3" t="s">
        <v>11</v>
      </c>
      <c r="L1959" s="3" t="s">
        <v>41</v>
      </c>
      <c r="M1959">
        <v>36</v>
      </c>
      <c r="N1959" s="3"/>
    </row>
    <row r="1960" spans="1:14" x14ac:dyDescent="0.25">
      <c r="A1960" s="3" t="s">
        <v>1990</v>
      </c>
      <c r="B1960">
        <v>1970</v>
      </c>
      <c r="C1960">
        <v>1970</v>
      </c>
      <c r="D1960" s="3" t="s">
        <v>36</v>
      </c>
      <c r="E1960" s="3" t="s">
        <v>36</v>
      </c>
      <c r="F1960">
        <v>2</v>
      </c>
      <c r="G1960" s="7">
        <v>25843</v>
      </c>
      <c r="H1960">
        <v>0</v>
      </c>
      <c r="I1960" s="3" t="s">
        <v>10333</v>
      </c>
      <c r="J1960" s="3" t="s">
        <v>10</v>
      </c>
      <c r="K1960" s="3" t="s">
        <v>10</v>
      </c>
      <c r="L1960" s="3" t="s">
        <v>12</v>
      </c>
      <c r="M1960">
        <v>56</v>
      </c>
      <c r="N1960" s="3"/>
    </row>
    <row r="1961" spans="1:14" x14ac:dyDescent="0.25">
      <c r="A1961" s="3" t="s">
        <v>1991</v>
      </c>
      <c r="B1961">
        <v>1965</v>
      </c>
      <c r="C1961">
        <v>1965</v>
      </c>
      <c r="D1961" s="3" t="s">
        <v>29</v>
      </c>
      <c r="E1961" s="3" t="s">
        <v>29</v>
      </c>
      <c r="F1961">
        <v>21</v>
      </c>
      <c r="G1961" s="7">
        <v>24097</v>
      </c>
      <c r="H1961">
        <v>0</v>
      </c>
      <c r="I1961" s="3" t="s">
        <v>10334</v>
      </c>
      <c r="J1961" s="3" t="s">
        <v>10</v>
      </c>
      <c r="K1961" s="3" t="s">
        <v>15</v>
      </c>
      <c r="L1961" s="3" t="s">
        <v>355</v>
      </c>
      <c r="M1961">
        <v>61</v>
      </c>
      <c r="N1961" s="3"/>
    </row>
    <row r="1962" spans="1:14" x14ac:dyDescent="0.25">
      <c r="A1962" s="3" t="s">
        <v>1992</v>
      </c>
      <c r="B1962">
        <v>1999</v>
      </c>
      <c r="C1962">
        <v>1999</v>
      </c>
      <c r="D1962" s="3" t="s">
        <v>29</v>
      </c>
      <c r="E1962" s="3" t="s">
        <v>29</v>
      </c>
      <c r="F1962">
        <v>2</v>
      </c>
      <c r="G1962" s="7">
        <v>36496</v>
      </c>
      <c r="H1962">
        <v>0</v>
      </c>
      <c r="I1962" s="3" t="s">
        <v>10335</v>
      </c>
      <c r="J1962" s="3" t="s">
        <v>10</v>
      </c>
      <c r="K1962" s="3" t="s">
        <v>15</v>
      </c>
      <c r="L1962" s="3" t="s">
        <v>41</v>
      </c>
      <c r="M1962">
        <v>27</v>
      </c>
      <c r="N1962" s="3"/>
    </row>
    <row r="1963" spans="1:14" x14ac:dyDescent="0.25">
      <c r="A1963" s="3" t="s">
        <v>1993</v>
      </c>
      <c r="B1963">
        <v>1968</v>
      </c>
      <c r="C1963">
        <v>1968</v>
      </c>
      <c r="D1963" s="3" t="s">
        <v>17</v>
      </c>
      <c r="E1963" s="3" t="s">
        <v>17</v>
      </c>
      <c r="F1963">
        <v>6</v>
      </c>
      <c r="G1963" s="7">
        <v>24995</v>
      </c>
      <c r="H1963">
        <v>3</v>
      </c>
      <c r="I1963" s="3" t="s">
        <v>10336</v>
      </c>
      <c r="J1963" s="3" t="s">
        <v>10</v>
      </c>
      <c r="K1963" s="3" t="s">
        <v>10</v>
      </c>
      <c r="L1963" s="3" t="s">
        <v>12</v>
      </c>
      <c r="M1963">
        <v>58</v>
      </c>
      <c r="N1963" s="3"/>
    </row>
    <row r="1964" spans="1:14" x14ac:dyDescent="0.25">
      <c r="A1964" s="3" t="s">
        <v>1994</v>
      </c>
      <c r="B1964">
        <v>1969</v>
      </c>
      <c r="C1964">
        <v>1969</v>
      </c>
      <c r="D1964" s="3" t="s">
        <v>36</v>
      </c>
      <c r="E1964" s="3" t="s">
        <v>36</v>
      </c>
      <c r="F1964">
        <v>16</v>
      </c>
      <c r="G1964" s="7">
        <v>25492</v>
      </c>
      <c r="H1964">
        <v>0</v>
      </c>
      <c r="I1964" s="3" t="s">
        <v>10337</v>
      </c>
      <c r="J1964" s="3" t="s">
        <v>10</v>
      </c>
      <c r="K1964" s="3" t="s">
        <v>10</v>
      </c>
      <c r="L1964" s="3" t="s">
        <v>12</v>
      </c>
      <c r="M1964">
        <v>57</v>
      </c>
      <c r="N1964" s="3"/>
    </row>
    <row r="1965" spans="1:14" x14ac:dyDescent="0.25">
      <c r="A1965" s="3" t="s">
        <v>1995</v>
      </c>
      <c r="B1965">
        <v>1988</v>
      </c>
      <c r="C1965">
        <v>1988</v>
      </c>
      <c r="D1965" s="3" t="s">
        <v>19</v>
      </c>
      <c r="E1965" s="3" t="s">
        <v>19</v>
      </c>
      <c r="F1965">
        <v>15</v>
      </c>
      <c r="G1965" s="7">
        <v>32401</v>
      </c>
      <c r="H1965">
        <v>2</v>
      </c>
      <c r="I1965" s="3" t="s">
        <v>10338</v>
      </c>
      <c r="J1965" s="3" t="s">
        <v>10</v>
      </c>
      <c r="K1965" s="3" t="s">
        <v>11</v>
      </c>
      <c r="L1965" s="3" t="s">
        <v>163</v>
      </c>
      <c r="M1965">
        <v>38</v>
      </c>
      <c r="N1965" s="3"/>
    </row>
    <row r="1966" spans="1:14" x14ac:dyDescent="0.25">
      <c r="A1966" s="3" t="s">
        <v>1996</v>
      </c>
      <c r="B1966">
        <v>1985</v>
      </c>
      <c r="C1966">
        <v>1985</v>
      </c>
      <c r="D1966" s="3" t="s">
        <v>29</v>
      </c>
      <c r="E1966" s="3" t="s">
        <v>29</v>
      </c>
      <c r="F1966">
        <v>5</v>
      </c>
      <c r="G1966" s="7">
        <v>31386</v>
      </c>
      <c r="H1966">
        <v>3</v>
      </c>
      <c r="I1966" s="3" t="s">
        <v>10339</v>
      </c>
      <c r="J1966" s="3" t="s">
        <v>10</v>
      </c>
      <c r="K1966" s="3" t="s">
        <v>15</v>
      </c>
      <c r="L1966" s="3" t="s">
        <v>41</v>
      </c>
      <c r="M1966">
        <v>41</v>
      </c>
      <c r="N1966" s="3"/>
    </row>
    <row r="1967" spans="1:14" x14ac:dyDescent="0.25">
      <c r="A1967" s="3" t="s">
        <v>1997</v>
      </c>
      <c r="B1967">
        <v>1981</v>
      </c>
      <c r="C1967">
        <v>1981</v>
      </c>
      <c r="D1967" s="3" t="s">
        <v>36</v>
      </c>
      <c r="E1967" s="3" t="s">
        <v>36</v>
      </c>
      <c r="F1967">
        <v>3</v>
      </c>
      <c r="G1967" s="7">
        <v>29862</v>
      </c>
      <c r="H1967">
        <v>1</v>
      </c>
      <c r="I1967" s="3" t="s">
        <v>10340</v>
      </c>
      <c r="J1967" s="3" t="s">
        <v>10</v>
      </c>
      <c r="K1967" s="3" t="s">
        <v>15</v>
      </c>
      <c r="L1967" s="3" t="s">
        <v>41</v>
      </c>
      <c r="M1967">
        <v>45</v>
      </c>
      <c r="N1967" s="3"/>
    </row>
    <row r="1968" spans="1:14" x14ac:dyDescent="0.25">
      <c r="A1968" s="3" t="s">
        <v>1998</v>
      </c>
      <c r="B1968">
        <v>1965</v>
      </c>
      <c r="C1968">
        <v>1965</v>
      </c>
      <c r="D1968" s="3" t="s">
        <v>36</v>
      </c>
      <c r="E1968" s="3" t="s">
        <v>36</v>
      </c>
      <c r="F1968">
        <v>19</v>
      </c>
      <c r="G1968" s="7">
        <v>24034</v>
      </c>
      <c r="H1968">
        <v>0</v>
      </c>
      <c r="I1968" s="3" t="s">
        <v>10341</v>
      </c>
      <c r="J1968" s="3" t="s">
        <v>10</v>
      </c>
      <c r="K1968" s="3" t="s">
        <v>11</v>
      </c>
      <c r="L1968" s="3" t="s">
        <v>12</v>
      </c>
      <c r="M1968">
        <v>61</v>
      </c>
      <c r="N1968" s="3"/>
    </row>
    <row r="1969" spans="1:14" x14ac:dyDescent="0.25">
      <c r="A1969" s="3" t="s">
        <v>1999</v>
      </c>
      <c r="B1969">
        <v>1984</v>
      </c>
      <c r="C1969">
        <v>1984</v>
      </c>
      <c r="D1969" s="3" t="s">
        <v>9</v>
      </c>
      <c r="E1969" s="3" t="s">
        <v>9</v>
      </c>
      <c r="F1969">
        <v>22</v>
      </c>
      <c r="G1969" s="7">
        <v>30885</v>
      </c>
      <c r="H1969">
        <v>3</v>
      </c>
      <c r="I1969" s="3" t="s">
        <v>10342</v>
      </c>
      <c r="J1969" s="3" t="s">
        <v>10</v>
      </c>
      <c r="K1969" s="3" t="s">
        <v>10</v>
      </c>
      <c r="L1969" s="3" t="s">
        <v>41</v>
      </c>
      <c r="M1969">
        <v>42</v>
      </c>
      <c r="N1969" s="3"/>
    </row>
    <row r="1970" spans="1:14" x14ac:dyDescent="0.25">
      <c r="A1970" s="3" t="s">
        <v>2000</v>
      </c>
      <c r="B1970">
        <v>1985</v>
      </c>
      <c r="C1970">
        <v>1985</v>
      </c>
      <c r="D1970" s="3" t="s">
        <v>14</v>
      </c>
      <c r="E1970" s="3" t="s">
        <v>14</v>
      </c>
      <c r="F1970">
        <v>6</v>
      </c>
      <c r="G1970" s="7">
        <v>31357</v>
      </c>
      <c r="H1970">
        <v>3</v>
      </c>
      <c r="I1970" s="3" t="s">
        <v>10343</v>
      </c>
      <c r="J1970" s="3" t="s">
        <v>10</v>
      </c>
      <c r="K1970" s="3" t="s">
        <v>15</v>
      </c>
      <c r="L1970" s="3" t="s">
        <v>41</v>
      </c>
      <c r="M1970">
        <v>41</v>
      </c>
      <c r="N1970" s="3"/>
    </row>
    <row r="1971" spans="1:14" x14ac:dyDescent="0.25">
      <c r="A1971" s="3" t="s">
        <v>2001</v>
      </c>
      <c r="B1971">
        <v>1992</v>
      </c>
      <c r="C1971">
        <v>1992</v>
      </c>
      <c r="D1971" s="3" t="s">
        <v>17</v>
      </c>
      <c r="E1971" s="3" t="s">
        <v>17</v>
      </c>
      <c r="F1971">
        <v>11</v>
      </c>
      <c r="G1971" s="7">
        <v>33766</v>
      </c>
      <c r="H1971">
        <v>0</v>
      </c>
      <c r="I1971" s="3" t="s">
        <v>10344</v>
      </c>
      <c r="J1971" s="3" t="s">
        <v>10</v>
      </c>
      <c r="K1971" s="3" t="s">
        <v>11</v>
      </c>
      <c r="L1971" s="3" t="s">
        <v>41</v>
      </c>
      <c r="M1971">
        <v>34</v>
      </c>
      <c r="N1971" s="3"/>
    </row>
    <row r="1972" spans="1:14" x14ac:dyDescent="0.25">
      <c r="A1972" s="3" t="s">
        <v>2002</v>
      </c>
      <c r="B1972">
        <v>1997</v>
      </c>
      <c r="C1972">
        <v>1997</v>
      </c>
      <c r="D1972" s="3" t="s">
        <v>19</v>
      </c>
      <c r="E1972" s="3" t="s">
        <v>19</v>
      </c>
      <c r="F1972">
        <v>9</v>
      </c>
      <c r="G1972" s="7">
        <v>35682</v>
      </c>
      <c r="H1972">
        <v>0</v>
      </c>
      <c r="I1972" s="3" t="s">
        <v>10345</v>
      </c>
      <c r="J1972" s="3" t="s">
        <v>10</v>
      </c>
      <c r="K1972" s="3" t="s">
        <v>11</v>
      </c>
      <c r="L1972" s="3" t="s">
        <v>41</v>
      </c>
      <c r="M1972">
        <v>29</v>
      </c>
      <c r="N1972" s="3"/>
    </row>
    <row r="1973" spans="1:14" x14ac:dyDescent="0.25">
      <c r="A1973" s="3" t="s">
        <v>2003</v>
      </c>
      <c r="B1973">
        <v>1997</v>
      </c>
      <c r="C1973">
        <v>1997</v>
      </c>
      <c r="D1973" s="3" t="s">
        <v>36</v>
      </c>
      <c r="E1973" s="3" t="s">
        <v>36</v>
      </c>
      <c r="F1973">
        <v>7</v>
      </c>
      <c r="G1973" s="7">
        <v>35710</v>
      </c>
      <c r="H1973">
        <v>0</v>
      </c>
      <c r="I1973" s="3" t="s">
        <v>10346</v>
      </c>
      <c r="J1973" s="3" t="s">
        <v>15</v>
      </c>
      <c r="K1973" s="3" t="s">
        <v>15</v>
      </c>
      <c r="L1973" s="3" t="s">
        <v>41</v>
      </c>
      <c r="M1973">
        <v>29</v>
      </c>
      <c r="N1973" s="3"/>
    </row>
    <row r="1974" spans="1:14" x14ac:dyDescent="0.25">
      <c r="A1974" s="3" t="s">
        <v>2004</v>
      </c>
      <c r="B1974">
        <v>1992</v>
      </c>
      <c r="C1974">
        <v>1992</v>
      </c>
      <c r="D1974" s="3" t="s">
        <v>9</v>
      </c>
      <c r="E1974" s="3" t="s">
        <v>9</v>
      </c>
      <c r="F1974">
        <v>3</v>
      </c>
      <c r="G1974" s="7">
        <v>33788</v>
      </c>
      <c r="H1974">
        <v>0</v>
      </c>
      <c r="I1974" s="3" t="s">
        <v>10347</v>
      </c>
      <c r="J1974" s="3" t="s">
        <v>15</v>
      </c>
      <c r="K1974" s="3" t="s">
        <v>10</v>
      </c>
      <c r="L1974" s="3" t="s">
        <v>41</v>
      </c>
      <c r="M1974">
        <v>34</v>
      </c>
      <c r="N1974" s="3"/>
    </row>
    <row r="1975" spans="1:14" x14ac:dyDescent="0.25">
      <c r="A1975" s="3" t="s">
        <v>2005</v>
      </c>
      <c r="B1975">
        <v>2002</v>
      </c>
      <c r="C1975">
        <v>2002</v>
      </c>
      <c r="D1975" s="3" t="s">
        <v>29</v>
      </c>
      <c r="E1975" s="3" t="s">
        <v>29</v>
      </c>
      <c r="F1975">
        <v>6</v>
      </c>
      <c r="G1975" s="7">
        <v>37596</v>
      </c>
      <c r="H1975">
        <v>1</v>
      </c>
      <c r="I1975" s="3" t="s">
        <v>10348</v>
      </c>
      <c r="J1975" s="3" t="s">
        <v>15</v>
      </c>
      <c r="K1975" s="3" t="s">
        <v>11</v>
      </c>
      <c r="L1975" s="3" t="s">
        <v>12</v>
      </c>
      <c r="M1975">
        <v>24</v>
      </c>
      <c r="N1975" s="3"/>
    </row>
    <row r="1976" spans="1:14" x14ac:dyDescent="0.25">
      <c r="A1976" s="3" t="s">
        <v>2006</v>
      </c>
      <c r="B1976">
        <v>1960</v>
      </c>
      <c r="C1976">
        <v>1960</v>
      </c>
      <c r="D1976" s="3" t="s">
        <v>9</v>
      </c>
      <c r="E1976" s="3" t="s">
        <v>9</v>
      </c>
      <c r="F1976">
        <v>6</v>
      </c>
      <c r="G1976" s="7">
        <v>22103</v>
      </c>
      <c r="H1976">
        <v>0</v>
      </c>
      <c r="I1976" s="3" t="s">
        <v>10349</v>
      </c>
      <c r="J1976" s="3" t="s">
        <v>15</v>
      </c>
      <c r="K1976" s="3" t="s">
        <v>15</v>
      </c>
      <c r="L1976" s="3" t="s">
        <v>12</v>
      </c>
      <c r="M1976">
        <v>66</v>
      </c>
      <c r="N1976" s="3"/>
    </row>
    <row r="1977" spans="1:14" x14ac:dyDescent="0.25">
      <c r="A1977" s="3" t="s">
        <v>2007</v>
      </c>
      <c r="B1977">
        <v>1985</v>
      </c>
      <c r="C1977">
        <v>1985</v>
      </c>
      <c r="D1977" s="3" t="s">
        <v>29</v>
      </c>
      <c r="E1977" s="3" t="s">
        <v>29</v>
      </c>
      <c r="F1977">
        <v>4</v>
      </c>
      <c r="G1977" s="7">
        <v>31385</v>
      </c>
      <c r="H1977">
        <v>3</v>
      </c>
      <c r="I1977" s="3" t="s">
        <v>10350</v>
      </c>
      <c r="J1977" s="3" t="s">
        <v>15</v>
      </c>
      <c r="K1977" s="3" t="s">
        <v>15</v>
      </c>
      <c r="L1977" s="3" t="s">
        <v>41</v>
      </c>
      <c r="M1977">
        <v>41</v>
      </c>
      <c r="N1977" s="3"/>
    </row>
    <row r="1978" spans="1:14" x14ac:dyDescent="0.25">
      <c r="A1978" s="3" t="s">
        <v>2008</v>
      </c>
      <c r="B1978">
        <v>1989</v>
      </c>
      <c r="C1978">
        <v>1989</v>
      </c>
      <c r="D1978" s="3" t="s">
        <v>14</v>
      </c>
      <c r="E1978" s="3" t="s">
        <v>14</v>
      </c>
      <c r="F1978">
        <v>21</v>
      </c>
      <c r="G1978" s="7">
        <v>32833</v>
      </c>
      <c r="H1978">
        <v>3</v>
      </c>
      <c r="I1978" s="3" t="s">
        <v>10351</v>
      </c>
      <c r="J1978" s="3" t="s">
        <v>15</v>
      </c>
      <c r="K1978" s="3" t="s">
        <v>10</v>
      </c>
      <c r="L1978" s="3" t="s">
        <v>41</v>
      </c>
      <c r="M1978">
        <v>37</v>
      </c>
      <c r="N1978" s="3"/>
    </row>
    <row r="1979" spans="1:14" x14ac:dyDescent="0.25">
      <c r="A1979" s="3" t="s">
        <v>2009</v>
      </c>
      <c r="B1979">
        <v>1991</v>
      </c>
      <c r="C1979">
        <v>1991</v>
      </c>
      <c r="D1979" s="3" t="s">
        <v>17</v>
      </c>
      <c r="E1979" s="3" t="s">
        <v>17</v>
      </c>
      <c r="F1979">
        <v>4</v>
      </c>
      <c r="G1979" s="7">
        <v>33393</v>
      </c>
      <c r="H1979">
        <v>3</v>
      </c>
      <c r="I1979" s="3" t="s">
        <v>10352</v>
      </c>
      <c r="J1979" s="3" t="s">
        <v>15</v>
      </c>
      <c r="K1979" s="3" t="s">
        <v>11</v>
      </c>
      <c r="L1979" s="3" t="s">
        <v>41</v>
      </c>
      <c r="M1979">
        <v>35</v>
      </c>
      <c r="N1979" s="3"/>
    </row>
    <row r="1980" spans="1:14" x14ac:dyDescent="0.25">
      <c r="A1980" s="3" t="s">
        <v>2010</v>
      </c>
      <c r="B1980">
        <v>1961</v>
      </c>
      <c r="C1980">
        <v>1961</v>
      </c>
      <c r="D1980" s="3" t="s">
        <v>9</v>
      </c>
      <c r="E1980" s="3" t="s">
        <v>9</v>
      </c>
      <c r="F1980">
        <v>28</v>
      </c>
      <c r="G1980" s="7">
        <v>22490</v>
      </c>
      <c r="H1980">
        <v>3</v>
      </c>
      <c r="I1980" s="3" t="s">
        <v>10353</v>
      </c>
      <c r="J1980" s="3" t="s">
        <v>15</v>
      </c>
      <c r="K1980" s="3" t="s">
        <v>11</v>
      </c>
      <c r="L1980" s="3" t="s">
        <v>41</v>
      </c>
      <c r="M1980">
        <v>65</v>
      </c>
      <c r="N1980" s="3"/>
    </row>
    <row r="1981" spans="1:14" x14ac:dyDescent="0.25">
      <c r="A1981" s="3" t="s">
        <v>2011</v>
      </c>
      <c r="B1981">
        <v>1999</v>
      </c>
      <c r="C1981">
        <v>1999</v>
      </c>
      <c r="D1981" s="3" t="s">
        <v>29</v>
      </c>
      <c r="E1981" s="3" t="s">
        <v>29</v>
      </c>
      <c r="F1981">
        <v>21</v>
      </c>
      <c r="G1981" s="7">
        <v>36515</v>
      </c>
      <c r="H1981">
        <v>0</v>
      </c>
      <c r="I1981" s="3" t="s">
        <v>10354</v>
      </c>
      <c r="J1981" s="3" t="s">
        <v>15</v>
      </c>
      <c r="K1981" s="3" t="s">
        <v>15</v>
      </c>
      <c r="L1981" s="3" t="s">
        <v>41</v>
      </c>
      <c r="M1981">
        <v>27</v>
      </c>
      <c r="N1981" s="3"/>
    </row>
    <row r="1982" spans="1:14" x14ac:dyDescent="0.25">
      <c r="A1982" s="3" t="s">
        <v>2012</v>
      </c>
      <c r="B1982">
        <v>1985</v>
      </c>
      <c r="C1982">
        <v>1985</v>
      </c>
      <c r="D1982" s="3" t="s">
        <v>14</v>
      </c>
      <c r="E1982" s="3" t="s">
        <v>14</v>
      </c>
      <c r="F1982">
        <v>29</v>
      </c>
      <c r="G1982" s="7">
        <v>31380</v>
      </c>
      <c r="H1982">
        <v>3</v>
      </c>
      <c r="I1982" s="3" t="s">
        <v>10355</v>
      </c>
      <c r="J1982" s="3" t="s">
        <v>15</v>
      </c>
      <c r="K1982" s="3" t="s">
        <v>10</v>
      </c>
      <c r="L1982" s="3" t="s">
        <v>41</v>
      </c>
      <c r="M1982">
        <v>41</v>
      </c>
      <c r="N1982" s="3"/>
    </row>
    <row r="1983" spans="1:14" x14ac:dyDescent="0.25">
      <c r="A1983" s="3" t="s">
        <v>2013</v>
      </c>
      <c r="B1983">
        <v>1960</v>
      </c>
      <c r="C1983">
        <v>1960</v>
      </c>
      <c r="D1983" s="3" t="s">
        <v>14</v>
      </c>
      <c r="E1983" s="3" t="s">
        <v>14</v>
      </c>
      <c r="F1983">
        <v>22</v>
      </c>
      <c r="G1983" s="7">
        <v>22242</v>
      </c>
      <c r="H1983">
        <v>0</v>
      </c>
      <c r="I1983" s="3" t="s">
        <v>10356</v>
      </c>
      <c r="J1983" s="3" t="s">
        <v>15</v>
      </c>
      <c r="K1983" s="3" t="s">
        <v>10</v>
      </c>
      <c r="L1983" s="3" t="s">
        <v>165</v>
      </c>
      <c r="M1983">
        <v>66</v>
      </c>
      <c r="N1983" s="3"/>
    </row>
    <row r="1984" spans="1:14" x14ac:dyDescent="0.25">
      <c r="A1984" s="3" t="s">
        <v>2014</v>
      </c>
      <c r="B1984">
        <v>1999</v>
      </c>
      <c r="C1984">
        <v>1999</v>
      </c>
      <c r="D1984" s="3" t="s">
        <v>19</v>
      </c>
      <c r="E1984" s="3" t="s">
        <v>19</v>
      </c>
      <c r="F1984">
        <v>6</v>
      </c>
      <c r="G1984" s="7">
        <v>36409</v>
      </c>
      <c r="H1984">
        <v>0</v>
      </c>
      <c r="I1984" s="3" t="s">
        <v>10357</v>
      </c>
      <c r="J1984" s="3" t="s">
        <v>15</v>
      </c>
      <c r="K1984" s="3" t="s">
        <v>11</v>
      </c>
      <c r="L1984" s="3" t="s">
        <v>41</v>
      </c>
      <c r="M1984">
        <v>27</v>
      </c>
      <c r="N1984" s="3"/>
    </row>
    <row r="1985" spans="1:14" x14ac:dyDescent="0.25">
      <c r="A1985" s="3" t="s">
        <v>2015</v>
      </c>
      <c r="B1985">
        <v>1963</v>
      </c>
      <c r="C1985">
        <v>1963</v>
      </c>
      <c r="D1985" s="3" t="s">
        <v>14</v>
      </c>
      <c r="E1985" s="3" t="s">
        <v>14</v>
      </c>
      <c r="F1985">
        <v>25</v>
      </c>
      <c r="G1985" s="7">
        <v>23340</v>
      </c>
      <c r="H1985">
        <v>1</v>
      </c>
      <c r="I1985" s="3" t="s">
        <v>10358</v>
      </c>
      <c r="J1985" s="3" t="s">
        <v>15</v>
      </c>
      <c r="K1985" s="3" t="s">
        <v>15</v>
      </c>
      <c r="L1985" s="3" t="s">
        <v>12</v>
      </c>
      <c r="M1985">
        <v>63</v>
      </c>
      <c r="N1985" s="3"/>
    </row>
    <row r="1986" spans="1:14" x14ac:dyDescent="0.25">
      <c r="A1986" s="3" t="s">
        <v>2016</v>
      </c>
      <c r="B1986">
        <v>1990</v>
      </c>
      <c r="C1986">
        <v>1990</v>
      </c>
      <c r="D1986" s="3" t="s">
        <v>29</v>
      </c>
      <c r="E1986" s="3" t="s">
        <v>29</v>
      </c>
      <c r="F1986">
        <v>24</v>
      </c>
      <c r="G1986" s="7">
        <v>33231</v>
      </c>
      <c r="H1986">
        <v>3</v>
      </c>
      <c r="I1986" s="3" t="s">
        <v>10359</v>
      </c>
      <c r="J1986" s="3" t="s">
        <v>15</v>
      </c>
      <c r="K1986" s="3" t="s">
        <v>10</v>
      </c>
      <c r="L1986" s="3" t="s">
        <v>41</v>
      </c>
      <c r="M1986">
        <v>36</v>
      </c>
      <c r="N1986" s="3"/>
    </row>
    <row r="1987" spans="1:14" x14ac:dyDescent="0.25">
      <c r="A1987" s="3" t="s">
        <v>2017</v>
      </c>
      <c r="B1987">
        <v>1977</v>
      </c>
      <c r="C1987">
        <v>1977</v>
      </c>
      <c r="D1987" s="3" t="s">
        <v>29</v>
      </c>
      <c r="E1987" s="3" t="s">
        <v>29</v>
      </c>
      <c r="F1987">
        <v>2</v>
      </c>
      <c r="G1987" s="7">
        <v>28461</v>
      </c>
      <c r="H1987">
        <v>1</v>
      </c>
      <c r="I1987" s="3" t="s">
        <v>10360</v>
      </c>
      <c r="J1987" s="3" t="s">
        <v>15</v>
      </c>
      <c r="K1987" s="3" t="s">
        <v>10</v>
      </c>
      <c r="L1987" s="3" t="s">
        <v>22</v>
      </c>
      <c r="M1987">
        <v>49</v>
      </c>
      <c r="N1987" s="3"/>
    </row>
    <row r="1988" spans="1:14" x14ac:dyDescent="0.25">
      <c r="A1988" s="3" t="s">
        <v>2018</v>
      </c>
      <c r="B1988">
        <v>1974</v>
      </c>
      <c r="C1988">
        <v>1974</v>
      </c>
      <c r="D1988" s="3" t="s">
        <v>19</v>
      </c>
      <c r="E1988" s="3" t="s">
        <v>19</v>
      </c>
      <c r="F1988">
        <v>16</v>
      </c>
      <c r="G1988" s="7">
        <v>27288</v>
      </c>
      <c r="H1988">
        <v>1</v>
      </c>
      <c r="I1988" s="3" t="s">
        <v>10361</v>
      </c>
      <c r="J1988" s="3" t="s">
        <v>15</v>
      </c>
      <c r="K1988" s="3" t="s">
        <v>15</v>
      </c>
      <c r="L1988" s="3" t="s">
        <v>22</v>
      </c>
      <c r="M1988">
        <v>52</v>
      </c>
      <c r="N1988" s="3"/>
    </row>
    <row r="1989" spans="1:14" x14ac:dyDescent="0.25">
      <c r="A1989" s="3" t="s">
        <v>2019</v>
      </c>
      <c r="B1989">
        <v>1982</v>
      </c>
      <c r="C1989">
        <v>1982</v>
      </c>
      <c r="D1989" s="3" t="s">
        <v>29</v>
      </c>
      <c r="E1989" s="3" t="s">
        <v>29</v>
      </c>
      <c r="F1989">
        <v>11</v>
      </c>
      <c r="G1989" s="7">
        <v>30296</v>
      </c>
      <c r="H1989">
        <v>1</v>
      </c>
      <c r="I1989" s="3" t="s">
        <v>10362</v>
      </c>
      <c r="J1989" s="3" t="s">
        <v>15</v>
      </c>
      <c r="K1989" s="3" t="s">
        <v>10</v>
      </c>
      <c r="L1989" s="3" t="s">
        <v>22</v>
      </c>
      <c r="M1989">
        <v>44</v>
      </c>
      <c r="N1989" s="3"/>
    </row>
    <row r="1990" spans="1:14" x14ac:dyDescent="0.25">
      <c r="A1990" s="3" t="s">
        <v>2020</v>
      </c>
      <c r="B1990">
        <v>1985</v>
      </c>
      <c r="C1990">
        <v>1985</v>
      </c>
      <c r="D1990" s="3" t="s">
        <v>19</v>
      </c>
      <c r="E1990" s="3" t="s">
        <v>19</v>
      </c>
      <c r="F1990">
        <v>27</v>
      </c>
      <c r="G1990" s="7">
        <v>31317</v>
      </c>
      <c r="H1990">
        <v>3</v>
      </c>
      <c r="I1990" s="3" t="s">
        <v>10363</v>
      </c>
      <c r="J1990" s="3" t="s">
        <v>15</v>
      </c>
      <c r="K1990" s="3" t="s">
        <v>11</v>
      </c>
      <c r="L1990" s="3" t="s">
        <v>41</v>
      </c>
      <c r="M1990">
        <v>41</v>
      </c>
      <c r="N1990" s="3"/>
    </row>
    <row r="1991" spans="1:14" x14ac:dyDescent="0.25">
      <c r="A1991" s="3" t="s">
        <v>2021</v>
      </c>
      <c r="B1991">
        <v>1990</v>
      </c>
      <c r="C1991">
        <v>1990</v>
      </c>
      <c r="D1991" s="3" t="s">
        <v>29</v>
      </c>
      <c r="E1991" s="3" t="s">
        <v>29</v>
      </c>
      <c r="F1991">
        <v>5</v>
      </c>
      <c r="G1991" s="7">
        <v>33212</v>
      </c>
      <c r="H1991">
        <v>3</v>
      </c>
      <c r="I1991" s="3" t="s">
        <v>10364</v>
      </c>
      <c r="J1991" s="3" t="s">
        <v>15</v>
      </c>
      <c r="K1991" s="3" t="s">
        <v>11</v>
      </c>
      <c r="L1991" s="3" t="s">
        <v>41</v>
      </c>
      <c r="M1991">
        <v>36</v>
      </c>
      <c r="N1991" s="3"/>
    </row>
    <row r="1992" spans="1:14" x14ac:dyDescent="0.25">
      <c r="A1992" s="3" t="s">
        <v>2022</v>
      </c>
      <c r="B1992">
        <v>1961</v>
      </c>
      <c r="C1992">
        <v>1961</v>
      </c>
      <c r="D1992" s="3" t="s">
        <v>34</v>
      </c>
      <c r="E1992" s="3" t="s">
        <v>34</v>
      </c>
      <c r="F1992">
        <v>3</v>
      </c>
      <c r="G1992" s="7">
        <v>22496</v>
      </c>
      <c r="H1992">
        <v>1</v>
      </c>
      <c r="I1992" s="3" t="s">
        <v>10365</v>
      </c>
      <c r="J1992" s="3" t="s">
        <v>15</v>
      </c>
      <c r="K1992" s="3" t="s">
        <v>10</v>
      </c>
      <c r="L1992" s="3" t="s">
        <v>22</v>
      </c>
      <c r="M1992">
        <v>65</v>
      </c>
      <c r="N1992" s="3"/>
    </row>
    <row r="1993" spans="1:14" x14ac:dyDescent="0.25">
      <c r="A1993" s="3" t="s">
        <v>2023</v>
      </c>
      <c r="B1993">
        <v>1962</v>
      </c>
      <c r="C1993">
        <v>1962</v>
      </c>
      <c r="D1993" s="3" t="s">
        <v>9</v>
      </c>
      <c r="E1993" s="3" t="s">
        <v>9</v>
      </c>
      <c r="F1993">
        <v>25</v>
      </c>
      <c r="G1993" s="7">
        <v>22852</v>
      </c>
      <c r="H1993">
        <v>0</v>
      </c>
      <c r="I1993" s="3" t="s">
        <v>10366</v>
      </c>
      <c r="J1993" s="3" t="s">
        <v>15</v>
      </c>
      <c r="K1993" s="3" t="s">
        <v>15</v>
      </c>
      <c r="L1993" s="3" t="s">
        <v>22</v>
      </c>
      <c r="M1993">
        <v>64</v>
      </c>
      <c r="N1993" s="3"/>
    </row>
    <row r="1994" spans="1:14" x14ac:dyDescent="0.25">
      <c r="A1994" s="3" t="s">
        <v>2024</v>
      </c>
      <c r="B1994">
        <v>1959</v>
      </c>
      <c r="C1994">
        <v>1959</v>
      </c>
      <c r="D1994" s="3" t="s">
        <v>29</v>
      </c>
      <c r="E1994" s="3" t="s">
        <v>29</v>
      </c>
      <c r="F1994">
        <v>5</v>
      </c>
      <c r="G1994" s="7">
        <v>21889</v>
      </c>
      <c r="H1994">
        <v>0</v>
      </c>
      <c r="I1994" s="3" t="s">
        <v>10367</v>
      </c>
      <c r="J1994" s="3" t="s">
        <v>15</v>
      </c>
      <c r="K1994" s="3" t="s">
        <v>15</v>
      </c>
      <c r="L1994" s="3" t="s">
        <v>22</v>
      </c>
      <c r="M1994">
        <v>67</v>
      </c>
      <c r="N1994" s="3"/>
    </row>
    <row r="1995" spans="1:14" x14ac:dyDescent="0.25">
      <c r="A1995" s="3" t="s">
        <v>2025</v>
      </c>
      <c r="B1995">
        <v>2003</v>
      </c>
      <c r="C1995">
        <v>2003</v>
      </c>
      <c r="D1995" s="3" t="s">
        <v>19</v>
      </c>
      <c r="E1995" s="3" t="s">
        <v>19</v>
      </c>
      <c r="F1995">
        <v>1</v>
      </c>
      <c r="G1995" s="7">
        <v>37865</v>
      </c>
      <c r="H1995">
        <v>0</v>
      </c>
      <c r="I1995" s="3" t="s">
        <v>10368</v>
      </c>
      <c r="J1995" s="3" t="s">
        <v>15</v>
      </c>
      <c r="K1995" s="3" t="s">
        <v>11</v>
      </c>
      <c r="L1995" s="3" t="s">
        <v>41</v>
      </c>
      <c r="M1995">
        <v>23</v>
      </c>
      <c r="N1995" s="3"/>
    </row>
    <row r="1996" spans="1:14" x14ac:dyDescent="0.25">
      <c r="A1996" s="3" t="s">
        <v>2026</v>
      </c>
      <c r="B1996">
        <v>1992</v>
      </c>
      <c r="C1996">
        <v>1992</v>
      </c>
      <c r="D1996" s="3" t="s">
        <v>9</v>
      </c>
      <c r="E1996" s="3" t="s">
        <v>9</v>
      </c>
      <c r="F1996">
        <v>7</v>
      </c>
      <c r="G1996" s="7">
        <v>33792</v>
      </c>
      <c r="H1996">
        <v>0</v>
      </c>
      <c r="I1996" s="3" t="s">
        <v>10369</v>
      </c>
      <c r="J1996" s="3" t="s">
        <v>15</v>
      </c>
      <c r="K1996" s="3" t="s">
        <v>11</v>
      </c>
      <c r="L1996" s="3" t="s">
        <v>41</v>
      </c>
      <c r="M1996">
        <v>34</v>
      </c>
      <c r="N1996" s="3"/>
    </row>
    <row r="1997" spans="1:14" x14ac:dyDescent="0.25">
      <c r="A1997" s="3" t="s">
        <v>2027</v>
      </c>
      <c r="B1997">
        <v>1980</v>
      </c>
      <c r="C1997">
        <v>1980</v>
      </c>
      <c r="D1997" s="3" t="s">
        <v>9</v>
      </c>
      <c r="E1997" s="3" t="s">
        <v>9</v>
      </c>
      <c r="F1997">
        <v>14</v>
      </c>
      <c r="G1997" s="7">
        <v>29416</v>
      </c>
      <c r="H1997">
        <v>2</v>
      </c>
      <c r="I1997" s="3" t="s">
        <v>10370</v>
      </c>
      <c r="J1997" s="3" t="s">
        <v>15</v>
      </c>
      <c r="K1997" s="3" t="s">
        <v>11</v>
      </c>
      <c r="L1997" s="3" t="s">
        <v>41</v>
      </c>
      <c r="M1997">
        <v>46</v>
      </c>
      <c r="N1997" s="3"/>
    </row>
    <row r="1998" spans="1:14" x14ac:dyDescent="0.25">
      <c r="A1998" s="3" t="s">
        <v>2028</v>
      </c>
      <c r="B1998">
        <v>1978</v>
      </c>
      <c r="C1998">
        <v>1978</v>
      </c>
      <c r="D1998" s="3" t="s">
        <v>14</v>
      </c>
      <c r="E1998" s="3" t="s">
        <v>14</v>
      </c>
      <c r="F1998">
        <v>29</v>
      </c>
      <c r="G1998" s="7">
        <v>28823</v>
      </c>
      <c r="H1998">
        <v>2</v>
      </c>
      <c r="I1998" s="3" t="s">
        <v>10371</v>
      </c>
      <c r="J1998" s="3" t="s">
        <v>15</v>
      </c>
      <c r="K1998" s="3" t="s">
        <v>15</v>
      </c>
      <c r="L1998" s="3" t="s">
        <v>41</v>
      </c>
      <c r="M1998">
        <v>48</v>
      </c>
      <c r="N1998" s="3"/>
    </row>
    <row r="1999" spans="1:14" x14ac:dyDescent="0.25">
      <c r="A1999" s="3" t="s">
        <v>2029</v>
      </c>
      <c r="B1999">
        <v>1961</v>
      </c>
      <c r="C1999">
        <v>1961</v>
      </c>
      <c r="D1999" s="3" t="s">
        <v>29</v>
      </c>
      <c r="E1999" s="3" t="s">
        <v>29</v>
      </c>
      <c r="F1999">
        <v>24</v>
      </c>
      <c r="G1999" s="7">
        <v>22639</v>
      </c>
      <c r="H1999">
        <v>0</v>
      </c>
      <c r="I1999" s="3" t="s">
        <v>10372</v>
      </c>
      <c r="J1999" s="3" t="s">
        <v>15</v>
      </c>
      <c r="K1999" s="3" t="s">
        <v>11</v>
      </c>
      <c r="L1999" s="3" t="s">
        <v>22</v>
      </c>
      <c r="M1999">
        <v>65</v>
      </c>
      <c r="N1999" s="3"/>
    </row>
    <row r="2000" spans="1:14" x14ac:dyDescent="0.25">
      <c r="A2000" s="3" t="s">
        <v>2030</v>
      </c>
      <c r="B2000">
        <v>1976</v>
      </c>
      <c r="C2000">
        <v>1976</v>
      </c>
      <c r="D2000" s="3" t="s">
        <v>14</v>
      </c>
      <c r="E2000" s="3" t="s">
        <v>14</v>
      </c>
      <c r="F2000">
        <v>8</v>
      </c>
      <c r="G2000" s="7">
        <v>28072</v>
      </c>
      <c r="H2000">
        <v>2</v>
      </c>
      <c r="I2000" s="3" t="s">
        <v>10373</v>
      </c>
      <c r="J2000" s="3" t="s">
        <v>15</v>
      </c>
      <c r="K2000" s="3" t="s">
        <v>10</v>
      </c>
      <c r="L2000" s="3" t="s">
        <v>41</v>
      </c>
      <c r="M2000">
        <v>50</v>
      </c>
      <c r="N2000" s="3"/>
    </row>
    <row r="2001" spans="1:14" x14ac:dyDescent="0.25">
      <c r="A2001" s="3" t="s">
        <v>2031</v>
      </c>
      <c r="B2001">
        <v>1969</v>
      </c>
      <c r="C2001">
        <v>1969</v>
      </c>
      <c r="D2001" s="3" t="s">
        <v>9</v>
      </c>
      <c r="E2001" s="3" t="s">
        <v>9</v>
      </c>
      <c r="F2001">
        <v>9</v>
      </c>
      <c r="G2001" s="7">
        <v>25393</v>
      </c>
      <c r="H2001">
        <v>2</v>
      </c>
      <c r="I2001" s="3" t="s">
        <v>10374</v>
      </c>
      <c r="J2001" s="3" t="s">
        <v>15</v>
      </c>
      <c r="K2001" s="3" t="s">
        <v>11</v>
      </c>
      <c r="L2001" s="3" t="s">
        <v>246</v>
      </c>
      <c r="M2001">
        <v>57</v>
      </c>
      <c r="N2001" s="3"/>
    </row>
    <row r="2002" spans="1:14" x14ac:dyDescent="0.25">
      <c r="A2002" s="3" t="s">
        <v>2032</v>
      </c>
      <c r="B2002">
        <v>1978</v>
      </c>
      <c r="C2002">
        <v>1978</v>
      </c>
      <c r="D2002" s="3" t="s">
        <v>9</v>
      </c>
      <c r="E2002" s="3" t="s">
        <v>9</v>
      </c>
      <c r="F2002">
        <v>21</v>
      </c>
      <c r="G2002" s="7">
        <v>28692</v>
      </c>
      <c r="H2002">
        <v>2</v>
      </c>
      <c r="I2002" s="3" t="s">
        <v>10375</v>
      </c>
      <c r="J2002" s="3" t="s">
        <v>15</v>
      </c>
      <c r="K2002" s="3" t="s">
        <v>11</v>
      </c>
      <c r="L2002" s="3" t="s">
        <v>22</v>
      </c>
      <c r="M2002">
        <v>48</v>
      </c>
      <c r="N2002" s="3"/>
    </row>
    <row r="2003" spans="1:14" x14ac:dyDescent="0.25">
      <c r="A2003" s="3" t="s">
        <v>2033</v>
      </c>
      <c r="B2003">
        <v>1958</v>
      </c>
      <c r="C2003">
        <v>1958</v>
      </c>
      <c r="D2003" s="3" t="s">
        <v>17</v>
      </c>
      <c r="E2003" s="3" t="s">
        <v>17</v>
      </c>
      <c r="F2003">
        <v>5</v>
      </c>
      <c r="G2003" s="7">
        <v>21341</v>
      </c>
      <c r="H2003">
        <v>0</v>
      </c>
      <c r="I2003" s="3" t="s">
        <v>10376</v>
      </c>
      <c r="J2003" s="3" t="s">
        <v>15</v>
      </c>
      <c r="K2003" s="3" t="s">
        <v>10</v>
      </c>
      <c r="L2003" s="3" t="s">
        <v>22</v>
      </c>
      <c r="M2003">
        <v>68</v>
      </c>
      <c r="N2003" s="3"/>
    </row>
    <row r="2004" spans="1:14" x14ac:dyDescent="0.25">
      <c r="A2004" s="3" t="s">
        <v>2034</v>
      </c>
      <c r="B2004">
        <v>1985</v>
      </c>
      <c r="C2004">
        <v>1985</v>
      </c>
      <c r="D2004" s="3" t="s">
        <v>14</v>
      </c>
      <c r="E2004" s="3" t="s">
        <v>14</v>
      </c>
      <c r="F2004">
        <v>7</v>
      </c>
      <c r="G2004" s="7">
        <v>31358</v>
      </c>
      <c r="H2004">
        <v>3</v>
      </c>
      <c r="I2004" s="3" t="s">
        <v>10377</v>
      </c>
      <c r="J2004" s="3" t="s">
        <v>15</v>
      </c>
      <c r="K2004" s="3" t="s">
        <v>15</v>
      </c>
      <c r="L2004" s="3" t="s">
        <v>41</v>
      </c>
      <c r="M2004">
        <v>41</v>
      </c>
      <c r="N2004" s="3"/>
    </row>
    <row r="2005" spans="1:14" x14ac:dyDescent="0.25">
      <c r="A2005" s="3" t="s">
        <v>2035</v>
      </c>
      <c r="B2005">
        <v>1987</v>
      </c>
      <c r="C2005">
        <v>1987</v>
      </c>
      <c r="D2005" s="3" t="s">
        <v>9</v>
      </c>
      <c r="E2005" s="3" t="s">
        <v>9</v>
      </c>
      <c r="F2005">
        <v>16</v>
      </c>
      <c r="G2005" s="7">
        <v>31974</v>
      </c>
      <c r="H2005">
        <v>3</v>
      </c>
      <c r="I2005" s="3" t="s">
        <v>10378</v>
      </c>
      <c r="J2005" s="3" t="s">
        <v>15</v>
      </c>
      <c r="K2005" s="3" t="s">
        <v>15</v>
      </c>
      <c r="L2005" s="3" t="s">
        <v>41</v>
      </c>
      <c r="M2005">
        <v>39</v>
      </c>
      <c r="N2005" s="3"/>
    </row>
    <row r="2006" spans="1:14" x14ac:dyDescent="0.25">
      <c r="A2006" s="3" t="s">
        <v>2036</v>
      </c>
      <c r="B2006">
        <v>1959</v>
      </c>
      <c r="C2006">
        <v>1959</v>
      </c>
      <c r="D2006" s="3" t="s">
        <v>36</v>
      </c>
      <c r="E2006" s="3" t="s">
        <v>36</v>
      </c>
      <c r="F2006">
        <v>20</v>
      </c>
      <c r="G2006" s="7">
        <v>21843</v>
      </c>
      <c r="H2006">
        <v>0</v>
      </c>
      <c r="I2006" s="3" t="s">
        <v>10379</v>
      </c>
      <c r="J2006" s="3" t="s">
        <v>15</v>
      </c>
      <c r="K2006" s="3" t="s">
        <v>10</v>
      </c>
      <c r="L2006" s="3" t="s">
        <v>246</v>
      </c>
      <c r="M2006">
        <v>67</v>
      </c>
      <c r="N2006" s="3"/>
    </row>
    <row r="2007" spans="1:14" x14ac:dyDescent="0.25">
      <c r="A2007" s="3" t="s">
        <v>2037</v>
      </c>
      <c r="B2007">
        <v>1975</v>
      </c>
      <c r="C2007">
        <v>1975</v>
      </c>
      <c r="D2007" s="3" t="s">
        <v>14</v>
      </c>
      <c r="E2007" s="3" t="s">
        <v>14</v>
      </c>
      <c r="F2007">
        <v>3</v>
      </c>
      <c r="G2007" s="7">
        <v>27701</v>
      </c>
      <c r="H2007">
        <v>1</v>
      </c>
      <c r="I2007" s="3" t="s">
        <v>10380</v>
      </c>
      <c r="J2007" s="3" t="s">
        <v>15</v>
      </c>
      <c r="K2007" s="3" t="s">
        <v>15</v>
      </c>
      <c r="L2007" s="3" t="s">
        <v>41</v>
      </c>
      <c r="M2007">
        <v>51</v>
      </c>
      <c r="N2007" s="3"/>
    </row>
    <row r="2008" spans="1:14" x14ac:dyDescent="0.25">
      <c r="A2008" s="3" t="s">
        <v>2038</v>
      </c>
      <c r="B2008">
        <v>1993</v>
      </c>
      <c r="C2008">
        <v>1993</v>
      </c>
      <c r="D2008" s="3" t="s">
        <v>9</v>
      </c>
      <c r="E2008" s="3" t="s">
        <v>9</v>
      </c>
      <c r="F2008">
        <v>27</v>
      </c>
      <c r="G2008" s="7">
        <v>34177</v>
      </c>
      <c r="H2008">
        <v>0</v>
      </c>
      <c r="I2008" s="3" t="s">
        <v>10381</v>
      </c>
      <c r="J2008" s="3" t="s">
        <v>15</v>
      </c>
      <c r="K2008" s="3" t="s">
        <v>15</v>
      </c>
      <c r="L2008" s="3" t="s">
        <v>41</v>
      </c>
      <c r="M2008">
        <v>33</v>
      </c>
      <c r="N2008" s="3"/>
    </row>
    <row r="2009" spans="1:14" x14ac:dyDescent="0.25">
      <c r="A2009" s="3" t="s">
        <v>2039</v>
      </c>
      <c r="B2009">
        <v>1973</v>
      </c>
      <c r="C2009">
        <v>1973</v>
      </c>
      <c r="D2009" s="3" t="s">
        <v>34</v>
      </c>
      <c r="E2009" s="3" t="s">
        <v>34</v>
      </c>
      <c r="F2009">
        <v>23</v>
      </c>
      <c r="G2009" s="7">
        <v>26899</v>
      </c>
      <c r="H2009">
        <v>0</v>
      </c>
      <c r="I2009" s="3" t="s">
        <v>10382</v>
      </c>
      <c r="J2009" s="3" t="s">
        <v>15</v>
      </c>
      <c r="K2009" s="3" t="s">
        <v>11</v>
      </c>
      <c r="L2009" s="3" t="s">
        <v>41</v>
      </c>
      <c r="M2009">
        <v>53</v>
      </c>
      <c r="N2009" s="3"/>
    </row>
    <row r="2010" spans="1:14" x14ac:dyDescent="0.25">
      <c r="A2010" s="3" t="s">
        <v>2040</v>
      </c>
      <c r="B2010">
        <v>1998</v>
      </c>
      <c r="C2010">
        <v>1998</v>
      </c>
      <c r="D2010" s="3" t="s">
        <v>17</v>
      </c>
      <c r="E2010" s="3" t="s">
        <v>17</v>
      </c>
      <c r="F2010">
        <v>20</v>
      </c>
      <c r="G2010" s="7">
        <v>35966</v>
      </c>
      <c r="H2010">
        <v>0</v>
      </c>
      <c r="I2010" s="3" t="s">
        <v>10383</v>
      </c>
      <c r="J2010" s="3" t="s">
        <v>15</v>
      </c>
      <c r="K2010" s="3" t="s">
        <v>10</v>
      </c>
      <c r="L2010" s="3" t="s">
        <v>41</v>
      </c>
      <c r="M2010">
        <v>28</v>
      </c>
      <c r="N2010" s="3"/>
    </row>
    <row r="2011" spans="1:14" x14ac:dyDescent="0.25">
      <c r="A2011" s="3" t="s">
        <v>2041</v>
      </c>
      <c r="B2011">
        <v>1981</v>
      </c>
      <c r="C2011">
        <v>1981</v>
      </c>
      <c r="D2011" s="3" t="s">
        <v>34</v>
      </c>
      <c r="E2011" s="3" t="s">
        <v>34</v>
      </c>
      <c r="F2011">
        <v>13</v>
      </c>
      <c r="G2011" s="7">
        <v>29811</v>
      </c>
      <c r="H2011">
        <v>1</v>
      </c>
      <c r="I2011" s="3" t="s">
        <v>10384</v>
      </c>
      <c r="J2011" s="3" t="s">
        <v>15</v>
      </c>
      <c r="K2011" s="3" t="s">
        <v>10</v>
      </c>
      <c r="L2011" s="3" t="s">
        <v>41</v>
      </c>
      <c r="M2011">
        <v>45</v>
      </c>
      <c r="N2011" s="3"/>
    </row>
    <row r="2012" spans="1:14" x14ac:dyDescent="0.25">
      <c r="A2012" s="3" t="s">
        <v>2042</v>
      </c>
      <c r="B2012">
        <v>1982</v>
      </c>
      <c r="C2012">
        <v>1982</v>
      </c>
      <c r="D2012" s="3" t="s">
        <v>36</v>
      </c>
      <c r="E2012" s="3" t="s">
        <v>36</v>
      </c>
      <c r="F2012">
        <v>29</v>
      </c>
      <c r="G2012" s="7">
        <v>30253</v>
      </c>
      <c r="H2012">
        <v>3</v>
      </c>
      <c r="I2012" s="3" t="s">
        <v>10385</v>
      </c>
      <c r="J2012" s="3" t="s">
        <v>15</v>
      </c>
      <c r="K2012" s="3" t="s">
        <v>15</v>
      </c>
      <c r="L2012" s="3" t="s">
        <v>22</v>
      </c>
      <c r="M2012">
        <v>44</v>
      </c>
      <c r="N2012" s="3"/>
    </row>
    <row r="2013" spans="1:14" x14ac:dyDescent="0.25">
      <c r="A2013" s="3" t="s">
        <v>2043</v>
      </c>
      <c r="B2013">
        <v>1989</v>
      </c>
      <c r="C2013">
        <v>1989</v>
      </c>
      <c r="D2013" s="3" t="s">
        <v>29</v>
      </c>
      <c r="E2013" s="3" t="s">
        <v>29</v>
      </c>
      <c r="F2013">
        <v>30</v>
      </c>
      <c r="G2013" s="7">
        <v>32872</v>
      </c>
      <c r="H2013">
        <v>3</v>
      </c>
      <c r="I2013" s="3" t="s">
        <v>10386</v>
      </c>
      <c r="J2013" s="3" t="s">
        <v>15</v>
      </c>
      <c r="K2013" s="3" t="s">
        <v>11</v>
      </c>
      <c r="L2013" s="3" t="s">
        <v>41</v>
      </c>
      <c r="M2013">
        <v>37</v>
      </c>
      <c r="N2013" s="3"/>
    </row>
    <row r="2014" spans="1:14" x14ac:dyDescent="0.25">
      <c r="A2014" s="3" t="s">
        <v>2044</v>
      </c>
      <c r="B2014">
        <v>1975</v>
      </c>
      <c r="C2014">
        <v>1975</v>
      </c>
      <c r="D2014" s="3" t="s">
        <v>34</v>
      </c>
      <c r="E2014" s="3" t="s">
        <v>34</v>
      </c>
      <c r="F2014">
        <v>19</v>
      </c>
      <c r="G2014" s="7">
        <v>27625</v>
      </c>
      <c r="H2014">
        <v>1</v>
      </c>
      <c r="I2014" s="3" t="s">
        <v>10387</v>
      </c>
      <c r="J2014" s="3" t="s">
        <v>15</v>
      </c>
      <c r="K2014" s="3" t="s">
        <v>11</v>
      </c>
      <c r="L2014" s="3" t="s">
        <v>41</v>
      </c>
      <c r="M2014">
        <v>51</v>
      </c>
      <c r="N2014" s="3"/>
    </row>
    <row r="2015" spans="1:14" x14ac:dyDescent="0.25">
      <c r="A2015" s="3" t="s">
        <v>2045</v>
      </c>
      <c r="B2015">
        <v>1988</v>
      </c>
      <c r="C2015">
        <v>1988</v>
      </c>
      <c r="D2015" s="3" t="s">
        <v>29</v>
      </c>
      <c r="E2015" s="3" t="s">
        <v>29</v>
      </c>
      <c r="F2015">
        <v>30</v>
      </c>
      <c r="G2015" s="7">
        <v>32507</v>
      </c>
      <c r="H2015">
        <v>3</v>
      </c>
      <c r="I2015" s="3" t="s">
        <v>10388</v>
      </c>
      <c r="J2015" s="3" t="s">
        <v>15</v>
      </c>
      <c r="K2015" s="3" t="s">
        <v>15</v>
      </c>
      <c r="L2015" s="3" t="s">
        <v>41</v>
      </c>
      <c r="M2015">
        <v>38</v>
      </c>
      <c r="N2015" s="3"/>
    </row>
    <row r="2016" spans="1:14" x14ac:dyDescent="0.25">
      <c r="A2016" s="3" t="s">
        <v>2046</v>
      </c>
      <c r="B2016">
        <v>1976</v>
      </c>
      <c r="C2016">
        <v>1976</v>
      </c>
      <c r="D2016" s="3" t="s">
        <v>17</v>
      </c>
      <c r="E2016" s="3" t="s">
        <v>17</v>
      </c>
      <c r="F2016">
        <v>12</v>
      </c>
      <c r="G2016" s="7">
        <v>27923</v>
      </c>
      <c r="H2016">
        <v>2</v>
      </c>
      <c r="I2016" s="3" t="s">
        <v>10389</v>
      </c>
      <c r="J2016" s="3" t="s">
        <v>15</v>
      </c>
      <c r="K2016" s="3" t="s">
        <v>15</v>
      </c>
      <c r="L2016" s="3" t="s">
        <v>41</v>
      </c>
      <c r="M2016">
        <v>50</v>
      </c>
      <c r="N2016" s="3"/>
    </row>
    <row r="2017" spans="1:14" x14ac:dyDescent="0.25">
      <c r="A2017" s="3" t="s">
        <v>2047</v>
      </c>
      <c r="B2017">
        <v>1991</v>
      </c>
      <c r="C2017">
        <v>1991</v>
      </c>
      <c r="D2017" s="3" t="s">
        <v>36</v>
      </c>
      <c r="E2017" s="3" t="s">
        <v>36</v>
      </c>
      <c r="F2017">
        <v>5</v>
      </c>
      <c r="G2017" s="7">
        <v>33516</v>
      </c>
      <c r="H2017">
        <v>3</v>
      </c>
      <c r="I2017" s="3" t="s">
        <v>10390</v>
      </c>
      <c r="J2017" s="3" t="s">
        <v>15</v>
      </c>
      <c r="K2017" s="3" t="s">
        <v>15</v>
      </c>
      <c r="L2017" s="3" t="s">
        <v>41</v>
      </c>
      <c r="M2017">
        <v>35</v>
      </c>
      <c r="N2017" s="3"/>
    </row>
    <row r="2018" spans="1:14" x14ac:dyDescent="0.25">
      <c r="A2018" s="3" t="s">
        <v>2048</v>
      </c>
      <c r="B2018">
        <v>1981</v>
      </c>
      <c r="C2018">
        <v>1981</v>
      </c>
      <c r="D2018" s="3" t="s">
        <v>34</v>
      </c>
      <c r="E2018" s="3" t="s">
        <v>34</v>
      </c>
      <c r="F2018">
        <v>4</v>
      </c>
      <c r="G2018" s="7">
        <v>29802</v>
      </c>
      <c r="H2018">
        <v>1</v>
      </c>
      <c r="I2018" s="3" t="s">
        <v>10391</v>
      </c>
      <c r="J2018" s="3" t="s">
        <v>10</v>
      </c>
      <c r="K2018" s="3" t="s">
        <v>11</v>
      </c>
      <c r="L2018" s="3" t="s">
        <v>22</v>
      </c>
      <c r="M2018">
        <v>45</v>
      </c>
      <c r="N2018" s="3"/>
    </row>
    <row r="2019" spans="1:14" x14ac:dyDescent="0.25">
      <c r="A2019" s="3" t="s">
        <v>2049</v>
      </c>
      <c r="B2019">
        <v>1967</v>
      </c>
      <c r="C2019">
        <v>1967</v>
      </c>
      <c r="D2019" s="3" t="s">
        <v>17</v>
      </c>
      <c r="E2019" s="3" t="s">
        <v>17</v>
      </c>
      <c r="F2019">
        <v>16</v>
      </c>
      <c r="G2019" s="7">
        <v>24639</v>
      </c>
      <c r="H2019">
        <v>3</v>
      </c>
      <c r="I2019" s="3" t="s">
        <v>10392</v>
      </c>
      <c r="J2019" s="3" t="s">
        <v>15</v>
      </c>
      <c r="K2019" s="3" t="s">
        <v>15</v>
      </c>
      <c r="L2019" s="3" t="s">
        <v>22</v>
      </c>
      <c r="M2019">
        <v>59</v>
      </c>
      <c r="N2019" s="3"/>
    </row>
    <row r="2020" spans="1:14" x14ac:dyDescent="0.25">
      <c r="A2020" s="3" t="s">
        <v>2050</v>
      </c>
      <c r="B2020">
        <v>1979</v>
      </c>
      <c r="C2020">
        <v>1979</v>
      </c>
      <c r="D2020" s="3" t="s">
        <v>19</v>
      </c>
      <c r="E2020" s="3" t="s">
        <v>19</v>
      </c>
      <c r="F2020">
        <v>2</v>
      </c>
      <c r="G2020" s="7">
        <v>29100</v>
      </c>
      <c r="H2020">
        <v>2</v>
      </c>
      <c r="I2020" s="3" t="s">
        <v>10393</v>
      </c>
      <c r="J2020" s="3" t="s">
        <v>10</v>
      </c>
      <c r="K2020" s="3" t="s">
        <v>11</v>
      </c>
      <c r="L2020" s="3" t="s">
        <v>41</v>
      </c>
      <c r="M2020">
        <v>47</v>
      </c>
      <c r="N2020" s="3"/>
    </row>
    <row r="2021" spans="1:14" x14ac:dyDescent="0.25">
      <c r="A2021" s="3" t="s">
        <v>2051</v>
      </c>
      <c r="B2021">
        <v>1971</v>
      </c>
      <c r="C2021">
        <v>1971</v>
      </c>
      <c r="D2021" s="3" t="s">
        <v>29</v>
      </c>
      <c r="E2021" s="3" t="s">
        <v>29</v>
      </c>
      <c r="F2021">
        <v>25</v>
      </c>
      <c r="G2021" s="7">
        <v>26292</v>
      </c>
      <c r="H2021">
        <v>0</v>
      </c>
      <c r="I2021" s="3" t="s">
        <v>10394</v>
      </c>
      <c r="J2021" s="3" t="s">
        <v>10</v>
      </c>
      <c r="K2021" s="3" t="s">
        <v>11</v>
      </c>
      <c r="L2021" s="3" t="s">
        <v>41</v>
      </c>
      <c r="M2021">
        <v>55</v>
      </c>
      <c r="N2021" s="3"/>
    </row>
    <row r="2022" spans="1:14" x14ac:dyDescent="0.25">
      <c r="A2022" s="3" t="s">
        <v>2052</v>
      </c>
      <c r="B2022">
        <v>1958</v>
      </c>
      <c r="C2022">
        <v>1958</v>
      </c>
      <c r="D2022" s="3" t="s">
        <v>34</v>
      </c>
      <c r="E2022" s="3" t="s">
        <v>34</v>
      </c>
      <c r="F2022">
        <v>11</v>
      </c>
      <c r="G2022" s="7">
        <v>21408</v>
      </c>
      <c r="H2022">
        <v>1</v>
      </c>
      <c r="I2022" s="3" t="s">
        <v>10395</v>
      </c>
      <c r="J2022" s="3" t="s">
        <v>15</v>
      </c>
      <c r="K2022" s="3" t="s">
        <v>11</v>
      </c>
      <c r="L2022" s="3" t="s">
        <v>22</v>
      </c>
      <c r="M2022">
        <v>68</v>
      </c>
      <c r="N2022" s="3"/>
    </row>
    <row r="2023" spans="1:14" x14ac:dyDescent="0.25">
      <c r="A2023" s="3" t="s">
        <v>2053</v>
      </c>
      <c r="B2023">
        <v>1963</v>
      </c>
      <c r="C2023">
        <v>1963</v>
      </c>
      <c r="D2023" s="3" t="s">
        <v>19</v>
      </c>
      <c r="E2023" s="3" t="s">
        <v>19</v>
      </c>
      <c r="F2023">
        <v>13</v>
      </c>
      <c r="G2023" s="7">
        <v>23267</v>
      </c>
      <c r="H2023">
        <v>3</v>
      </c>
      <c r="I2023" s="3" t="s">
        <v>10396</v>
      </c>
      <c r="J2023" s="3" t="s">
        <v>15</v>
      </c>
      <c r="K2023" s="3" t="s">
        <v>15</v>
      </c>
      <c r="L2023" s="3" t="s">
        <v>275</v>
      </c>
      <c r="M2023">
        <v>63</v>
      </c>
      <c r="N2023" s="3"/>
    </row>
    <row r="2024" spans="1:14" x14ac:dyDescent="0.25">
      <c r="A2024" s="3" t="s">
        <v>2054</v>
      </c>
      <c r="B2024">
        <v>1962</v>
      </c>
      <c r="C2024">
        <v>1962</v>
      </c>
      <c r="D2024" s="3" t="s">
        <v>19</v>
      </c>
      <c r="E2024" s="3" t="s">
        <v>19</v>
      </c>
      <c r="F2024">
        <v>15</v>
      </c>
      <c r="G2024" s="7">
        <v>22904</v>
      </c>
      <c r="H2024">
        <v>0</v>
      </c>
      <c r="I2024" s="3" t="s">
        <v>10397</v>
      </c>
      <c r="J2024" s="3" t="s">
        <v>15</v>
      </c>
      <c r="K2024" s="3" t="s">
        <v>15</v>
      </c>
      <c r="L2024" s="3" t="s">
        <v>275</v>
      </c>
      <c r="M2024">
        <v>64</v>
      </c>
      <c r="N2024" s="3"/>
    </row>
    <row r="2025" spans="1:14" x14ac:dyDescent="0.25">
      <c r="A2025" s="3" t="s">
        <v>2055</v>
      </c>
      <c r="B2025">
        <v>1972</v>
      </c>
      <c r="C2025">
        <v>1972</v>
      </c>
      <c r="D2025" s="3" t="s">
        <v>9</v>
      </c>
      <c r="E2025" s="3" t="s">
        <v>9</v>
      </c>
      <c r="F2025">
        <v>24</v>
      </c>
      <c r="G2025" s="7">
        <v>26504</v>
      </c>
      <c r="H2025">
        <v>2</v>
      </c>
      <c r="I2025" s="3" t="s">
        <v>10398</v>
      </c>
      <c r="J2025" s="3" t="s">
        <v>15</v>
      </c>
      <c r="K2025" s="3" t="s">
        <v>15</v>
      </c>
      <c r="L2025" s="3" t="s">
        <v>22</v>
      </c>
      <c r="M2025">
        <v>54</v>
      </c>
      <c r="N2025" s="3"/>
    </row>
    <row r="2026" spans="1:14" x14ac:dyDescent="0.25">
      <c r="A2026" s="3" t="s">
        <v>2056</v>
      </c>
      <c r="B2026">
        <v>2004</v>
      </c>
      <c r="C2026">
        <v>2004</v>
      </c>
      <c r="D2026" s="3" t="s">
        <v>17</v>
      </c>
      <c r="E2026" s="3" t="s">
        <v>17</v>
      </c>
      <c r="F2026">
        <v>1</v>
      </c>
      <c r="G2026" s="7">
        <v>38139</v>
      </c>
      <c r="H2026">
        <v>0</v>
      </c>
      <c r="I2026" s="3" t="s">
        <v>10399</v>
      </c>
      <c r="J2026" s="3" t="s">
        <v>10</v>
      </c>
      <c r="K2026" s="3" t="s">
        <v>10</v>
      </c>
      <c r="L2026" s="3" t="s">
        <v>41</v>
      </c>
      <c r="M2026">
        <v>22</v>
      </c>
      <c r="N2026" s="3"/>
    </row>
    <row r="2027" spans="1:14" x14ac:dyDescent="0.25">
      <c r="A2027" s="3" t="s">
        <v>2057</v>
      </c>
      <c r="B2027">
        <v>1969</v>
      </c>
      <c r="C2027">
        <v>1969</v>
      </c>
      <c r="D2027" s="3" t="s">
        <v>9</v>
      </c>
      <c r="E2027" s="3" t="s">
        <v>9</v>
      </c>
      <c r="F2027">
        <v>30</v>
      </c>
      <c r="G2027" s="7">
        <v>25414</v>
      </c>
      <c r="H2027">
        <v>0</v>
      </c>
      <c r="I2027" s="3" t="s">
        <v>10400</v>
      </c>
      <c r="J2027" s="3" t="s">
        <v>10</v>
      </c>
      <c r="K2027" s="3" t="s">
        <v>10</v>
      </c>
      <c r="L2027" s="3" t="s">
        <v>41</v>
      </c>
      <c r="M2027">
        <v>57</v>
      </c>
      <c r="N2027" s="3"/>
    </row>
    <row r="2028" spans="1:14" x14ac:dyDescent="0.25">
      <c r="A2028" s="3" t="s">
        <v>2058</v>
      </c>
      <c r="B2028">
        <v>1976</v>
      </c>
      <c r="C2028">
        <v>1976</v>
      </c>
      <c r="D2028" s="3" t="s">
        <v>19</v>
      </c>
      <c r="E2028" s="3" t="s">
        <v>19</v>
      </c>
      <c r="F2028">
        <v>3</v>
      </c>
      <c r="G2028" s="7">
        <v>28006</v>
      </c>
      <c r="H2028">
        <v>2</v>
      </c>
      <c r="I2028" s="3" t="s">
        <v>10401</v>
      </c>
      <c r="J2028" s="3" t="s">
        <v>10</v>
      </c>
      <c r="K2028" s="3" t="s">
        <v>11</v>
      </c>
      <c r="L2028" s="3" t="s">
        <v>22</v>
      </c>
      <c r="M2028">
        <v>50</v>
      </c>
      <c r="N2028" s="3"/>
    </row>
    <row r="2029" spans="1:14" x14ac:dyDescent="0.25">
      <c r="A2029" s="3" t="s">
        <v>2059</v>
      </c>
      <c r="B2029">
        <v>1998</v>
      </c>
      <c r="C2029">
        <v>1998</v>
      </c>
      <c r="D2029" s="3" t="s">
        <v>36</v>
      </c>
      <c r="E2029" s="3" t="s">
        <v>36</v>
      </c>
      <c r="F2029">
        <v>28</v>
      </c>
      <c r="G2029" s="7">
        <v>36096</v>
      </c>
      <c r="H2029">
        <v>0</v>
      </c>
      <c r="I2029" s="3" t="s">
        <v>10402</v>
      </c>
      <c r="J2029" s="3" t="s">
        <v>10</v>
      </c>
      <c r="K2029" s="3" t="s">
        <v>11</v>
      </c>
      <c r="L2029" s="3" t="s">
        <v>41</v>
      </c>
      <c r="M2029">
        <v>28</v>
      </c>
      <c r="N2029" s="3"/>
    </row>
    <row r="2030" spans="1:14" x14ac:dyDescent="0.25">
      <c r="A2030" s="3" t="s">
        <v>2060</v>
      </c>
      <c r="B2030">
        <v>1983</v>
      </c>
      <c r="C2030">
        <v>1983</v>
      </c>
      <c r="D2030" s="3" t="s">
        <v>19</v>
      </c>
      <c r="E2030" s="3" t="s">
        <v>19</v>
      </c>
      <c r="F2030">
        <v>3</v>
      </c>
      <c r="G2030" s="7">
        <v>30562</v>
      </c>
      <c r="H2030">
        <v>3</v>
      </c>
      <c r="I2030" s="3" t="s">
        <v>10403</v>
      </c>
      <c r="J2030" s="3" t="s">
        <v>10</v>
      </c>
      <c r="K2030" s="3" t="s">
        <v>15</v>
      </c>
      <c r="L2030" s="3" t="s">
        <v>22</v>
      </c>
      <c r="M2030">
        <v>43</v>
      </c>
      <c r="N2030" s="3"/>
    </row>
    <row r="2031" spans="1:14" x14ac:dyDescent="0.25">
      <c r="A2031" s="3" t="s">
        <v>2061</v>
      </c>
      <c r="B2031">
        <v>1986</v>
      </c>
      <c r="C2031">
        <v>1986</v>
      </c>
      <c r="D2031" s="3" t="s">
        <v>34</v>
      </c>
      <c r="E2031" s="3" t="s">
        <v>34</v>
      </c>
      <c r="F2031">
        <v>10</v>
      </c>
      <c r="G2031" s="7">
        <v>31634</v>
      </c>
      <c r="H2031">
        <v>3</v>
      </c>
      <c r="I2031" s="3" t="s">
        <v>10404</v>
      </c>
      <c r="J2031" s="3" t="s">
        <v>10</v>
      </c>
      <c r="K2031" s="3" t="s">
        <v>15</v>
      </c>
      <c r="L2031" s="3" t="s">
        <v>41</v>
      </c>
      <c r="M2031">
        <v>40</v>
      </c>
      <c r="N2031" s="3"/>
    </row>
    <row r="2032" spans="1:14" x14ac:dyDescent="0.25">
      <c r="A2032" s="3" t="s">
        <v>2062</v>
      </c>
      <c r="B2032">
        <v>1970</v>
      </c>
      <c r="C2032">
        <v>1970</v>
      </c>
      <c r="D2032" s="3" t="s">
        <v>14</v>
      </c>
      <c r="E2032" s="3" t="s">
        <v>14</v>
      </c>
      <c r="F2032">
        <v>11</v>
      </c>
      <c r="G2032" s="7">
        <v>25883</v>
      </c>
      <c r="H2032">
        <v>0</v>
      </c>
      <c r="I2032" s="3" t="s">
        <v>10405</v>
      </c>
      <c r="J2032" s="3" t="s">
        <v>10</v>
      </c>
      <c r="K2032" s="3" t="s">
        <v>11</v>
      </c>
      <c r="L2032" s="3" t="s">
        <v>41</v>
      </c>
      <c r="M2032">
        <v>56</v>
      </c>
      <c r="N2032" s="3"/>
    </row>
    <row r="2033" spans="1:14" x14ac:dyDescent="0.25">
      <c r="A2033" s="3" t="s">
        <v>2063</v>
      </c>
      <c r="B2033">
        <v>1999</v>
      </c>
      <c r="C2033">
        <v>1999</v>
      </c>
      <c r="D2033" s="3" t="s">
        <v>19</v>
      </c>
      <c r="E2033" s="3" t="s">
        <v>19</v>
      </c>
      <c r="F2033">
        <v>21</v>
      </c>
      <c r="G2033" s="7">
        <v>36424</v>
      </c>
      <c r="H2033">
        <v>0</v>
      </c>
      <c r="I2033" s="3" t="s">
        <v>10406</v>
      </c>
      <c r="J2033" s="3" t="s">
        <v>15</v>
      </c>
      <c r="K2033" s="3" t="s">
        <v>10</v>
      </c>
      <c r="L2033" s="3" t="s">
        <v>41</v>
      </c>
      <c r="M2033">
        <v>27</v>
      </c>
      <c r="N2033" s="3"/>
    </row>
    <row r="2034" spans="1:14" x14ac:dyDescent="0.25">
      <c r="A2034" s="3" t="s">
        <v>2064</v>
      </c>
      <c r="B2034">
        <v>1983</v>
      </c>
      <c r="C2034">
        <v>1983</v>
      </c>
      <c r="D2034" s="3" t="s">
        <v>29</v>
      </c>
      <c r="E2034" s="3" t="s">
        <v>29</v>
      </c>
      <c r="F2034">
        <v>21</v>
      </c>
      <c r="G2034" s="7">
        <v>30671</v>
      </c>
      <c r="H2034">
        <v>3</v>
      </c>
      <c r="I2034" s="3" t="s">
        <v>10407</v>
      </c>
      <c r="J2034" s="3" t="s">
        <v>10</v>
      </c>
      <c r="K2034" s="3" t="s">
        <v>11</v>
      </c>
      <c r="L2034" s="3" t="s">
        <v>41</v>
      </c>
      <c r="M2034">
        <v>43</v>
      </c>
      <c r="N2034" s="3"/>
    </row>
    <row r="2035" spans="1:14" x14ac:dyDescent="0.25">
      <c r="A2035" s="3" t="s">
        <v>2065</v>
      </c>
      <c r="B2035">
        <v>1988</v>
      </c>
      <c r="C2035">
        <v>1988</v>
      </c>
      <c r="D2035" s="3" t="s">
        <v>19</v>
      </c>
      <c r="E2035" s="3" t="s">
        <v>19</v>
      </c>
      <c r="F2035">
        <v>5</v>
      </c>
      <c r="G2035" s="7">
        <v>32391</v>
      </c>
      <c r="H2035">
        <v>3</v>
      </c>
      <c r="I2035" s="3" t="s">
        <v>10408</v>
      </c>
      <c r="J2035" s="3" t="s">
        <v>10</v>
      </c>
      <c r="K2035" s="3" t="s">
        <v>15</v>
      </c>
      <c r="L2035" s="3" t="s">
        <v>41</v>
      </c>
      <c r="M2035">
        <v>38</v>
      </c>
      <c r="N2035" s="3"/>
    </row>
    <row r="2036" spans="1:14" x14ac:dyDescent="0.25">
      <c r="A2036" s="3" t="s">
        <v>2066</v>
      </c>
      <c r="B2036">
        <v>1961</v>
      </c>
      <c r="C2036">
        <v>1961</v>
      </c>
      <c r="D2036" s="3" t="s">
        <v>19</v>
      </c>
      <c r="E2036" s="3" t="s">
        <v>19</v>
      </c>
      <c r="F2036">
        <v>9</v>
      </c>
      <c r="G2036" s="7">
        <v>22533</v>
      </c>
      <c r="H2036">
        <v>3</v>
      </c>
      <c r="I2036" s="3" t="s">
        <v>10409</v>
      </c>
      <c r="J2036" s="3" t="s">
        <v>10</v>
      </c>
      <c r="K2036" s="3" t="s">
        <v>10</v>
      </c>
      <c r="L2036" s="3" t="s">
        <v>12</v>
      </c>
      <c r="M2036">
        <v>65</v>
      </c>
      <c r="N2036" s="3"/>
    </row>
    <row r="2037" spans="1:14" x14ac:dyDescent="0.25">
      <c r="A2037" s="3" t="s">
        <v>2067</v>
      </c>
      <c r="B2037">
        <v>2004</v>
      </c>
      <c r="C2037">
        <v>2004</v>
      </c>
      <c r="D2037" s="3" t="s">
        <v>14</v>
      </c>
      <c r="E2037" s="3" t="s">
        <v>14</v>
      </c>
      <c r="F2037">
        <v>9</v>
      </c>
      <c r="G2037" s="7">
        <v>38300</v>
      </c>
      <c r="H2037">
        <v>0</v>
      </c>
      <c r="I2037" s="3" t="s">
        <v>10410</v>
      </c>
      <c r="J2037" s="3" t="s">
        <v>10</v>
      </c>
      <c r="K2037" s="3" t="s">
        <v>15</v>
      </c>
      <c r="L2037" s="3" t="s">
        <v>41</v>
      </c>
      <c r="M2037">
        <v>22</v>
      </c>
      <c r="N2037" s="3"/>
    </row>
    <row r="2038" spans="1:14" x14ac:dyDescent="0.25">
      <c r="A2038" s="3" t="s">
        <v>2068</v>
      </c>
      <c r="B2038">
        <v>2000</v>
      </c>
      <c r="C2038">
        <v>2000</v>
      </c>
      <c r="D2038" s="3" t="s">
        <v>9</v>
      </c>
      <c r="E2038" s="3" t="s">
        <v>9</v>
      </c>
      <c r="F2038">
        <v>22</v>
      </c>
      <c r="G2038" s="7">
        <v>36729</v>
      </c>
      <c r="H2038">
        <v>0</v>
      </c>
      <c r="I2038" s="3" t="s">
        <v>10411</v>
      </c>
      <c r="J2038" s="3" t="s">
        <v>15</v>
      </c>
      <c r="K2038" s="3" t="s">
        <v>15</v>
      </c>
      <c r="L2038" s="3" t="s">
        <v>41</v>
      </c>
      <c r="M2038">
        <v>26</v>
      </c>
      <c r="N2038" s="3"/>
    </row>
    <row r="2039" spans="1:14" x14ac:dyDescent="0.25">
      <c r="A2039" s="3" t="s">
        <v>2069</v>
      </c>
      <c r="B2039">
        <v>1968</v>
      </c>
      <c r="C2039">
        <v>1968</v>
      </c>
      <c r="D2039" s="3" t="s">
        <v>9</v>
      </c>
      <c r="E2039" s="3" t="s">
        <v>9</v>
      </c>
      <c r="F2039">
        <v>9</v>
      </c>
      <c r="G2039" s="7">
        <v>25028</v>
      </c>
      <c r="H2039">
        <v>0</v>
      </c>
      <c r="I2039" s="3" t="s">
        <v>10412</v>
      </c>
      <c r="J2039" s="3" t="s">
        <v>10</v>
      </c>
      <c r="K2039" s="3" t="s">
        <v>15</v>
      </c>
      <c r="L2039" s="3" t="s">
        <v>41</v>
      </c>
      <c r="M2039">
        <v>58</v>
      </c>
      <c r="N2039" s="3"/>
    </row>
    <row r="2040" spans="1:14" x14ac:dyDescent="0.25">
      <c r="A2040" s="3" t="s">
        <v>2070</v>
      </c>
      <c r="B2040">
        <v>1995</v>
      </c>
      <c r="C2040">
        <v>1995</v>
      </c>
      <c r="D2040" s="3" t="s">
        <v>19</v>
      </c>
      <c r="E2040" s="3" t="s">
        <v>19</v>
      </c>
      <c r="F2040">
        <v>27</v>
      </c>
      <c r="G2040" s="7">
        <v>34969</v>
      </c>
      <c r="H2040">
        <v>0</v>
      </c>
      <c r="I2040" s="3" t="s">
        <v>10413</v>
      </c>
      <c r="J2040" s="3" t="s">
        <v>10</v>
      </c>
      <c r="K2040" s="3" t="s">
        <v>10</v>
      </c>
      <c r="L2040" s="3" t="s">
        <v>41</v>
      </c>
      <c r="M2040">
        <v>31</v>
      </c>
      <c r="N2040" s="3"/>
    </row>
    <row r="2041" spans="1:14" x14ac:dyDescent="0.25">
      <c r="A2041" s="3" t="s">
        <v>2071</v>
      </c>
      <c r="B2041">
        <v>1974</v>
      </c>
      <c r="C2041">
        <v>1974</v>
      </c>
      <c r="D2041" s="3" t="s">
        <v>36</v>
      </c>
      <c r="E2041" s="3" t="s">
        <v>36</v>
      </c>
      <c r="F2041">
        <v>8</v>
      </c>
      <c r="G2041" s="7">
        <v>27310</v>
      </c>
      <c r="H2041">
        <v>0</v>
      </c>
      <c r="I2041" s="3" t="s">
        <v>10414</v>
      </c>
      <c r="J2041" s="3" t="s">
        <v>10</v>
      </c>
      <c r="K2041" s="3" t="s">
        <v>11</v>
      </c>
      <c r="L2041" s="3" t="s">
        <v>41</v>
      </c>
      <c r="M2041">
        <v>52</v>
      </c>
      <c r="N2041" s="3"/>
    </row>
    <row r="2042" spans="1:14" x14ac:dyDescent="0.25">
      <c r="A2042" s="3" t="s">
        <v>2072</v>
      </c>
      <c r="B2042">
        <v>1975</v>
      </c>
      <c r="C2042">
        <v>1975</v>
      </c>
      <c r="D2042" s="3" t="s">
        <v>36</v>
      </c>
      <c r="E2042" s="3" t="s">
        <v>36</v>
      </c>
      <c r="F2042">
        <v>29</v>
      </c>
      <c r="G2042" s="7">
        <v>27696</v>
      </c>
      <c r="H2042">
        <v>1</v>
      </c>
      <c r="I2042" s="3" t="s">
        <v>10415</v>
      </c>
      <c r="J2042" s="3" t="s">
        <v>10</v>
      </c>
      <c r="K2042" s="3" t="s">
        <v>15</v>
      </c>
      <c r="L2042" s="3" t="s">
        <v>41</v>
      </c>
      <c r="M2042">
        <v>51</v>
      </c>
      <c r="N2042" s="3"/>
    </row>
    <row r="2043" spans="1:14" x14ac:dyDescent="0.25">
      <c r="A2043" s="3" t="s">
        <v>2073</v>
      </c>
      <c r="B2043">
        <v>1960</v>
      </c>
      <c r="C2043">
        <v>1960</v>
      </c>
      <c r="D2043" s="3" t="s">
        <v>29</v>
      </c>
      <c r="E2043" s="3" t="s">
        <v>29</v>
      </c>
      <c r="F2043">
        <v>13</v>
      </c>
      <c r="G2043" s="7">
        <v>22263</v>
      </c>
      <c r="H2043">
        <v>1</v>
      </c>
      <c r="I2043" s="3" t="s">
        <v>10416</v>
      </c>
      <c r="J2043" s="3" t="s">
        <v>10</v>
      </c>
      <c r="K2043" s="3" t="s">
        <v>15</v>
      </c>
      <c r="L2043" s="3" t="s">
        <v>246</v>
      </c>
      <c r="M2043">
        <v>66</v>
      </c>
      <c r="N2043" s="3"/>
    </row>
    <row r="2044" spans="1:14" x14ac:dyDescent="0.25">
      <c r="A2044" s="3" t="s">
        <v>2074</v>
      </c>
      <c r="B2044">
        <v>1977</v>
      </c>
      <c r="C2044">
        <v>1977</v>
      </c>
      <c r="D2044" s="3" t="s">
        <v>36</v>
      </c>
      <c r="E2044" s="3" t="s">
        <v>36</v>
      </c>
      <c r="F2044">
        <v>14</v>
      </c>
      <c r="G2044" s="7">
        <v>28412</v>
      </c>
      <c r="H2044">
        <v>2</v>
      </c>
      <c r="I2044" s="3" t="s">
        <v>10417</v>
      </c>
      <c r="J2044" s="3" t="s">
        <v>10</v>
      </c>
      <c r="K2044" s="3" t="s">
        <v>10</v>
      </c>
      <c r="L2044" s="3" t="s">
        <v>22</v>
      </c>
      <c r="M2044">
        <v>49</v>
      </c>
      <c r="N2044" s="3"/>
    </row>
    <row r="2045" spans="1:14" x14ac:dyDescent="0.25">
      <c r="A2045" s="3" t="s">
        <v>2075</v>
      </c>
      <c r="B2045">
        <v>1984</v>
      </c>
      <c r="C2045">
        <v>1984</v>
      </c>
      <c r="D2045" s="3" t="s">
        <v>19</v>
      </c>
      <c r="E2045" s="3" t="s">
        <v>19</v>
      </c>
      <c r="F2045">
        <v>10</v>
      </c>
      <c r="G2045" s="7">
        <v>30935</v>
      </c>
      <c r="H2045">
        <v>3</v>
      </c>
      <c r="I2045" s="3" t="s">
        <v>10418</v>
      </c>
      <c r="J2045" s="3" t="s">
        <v>10</v>
      </c>
      <c r="K2045" s="3" t="s">
        <v>15</v>
      </c>
      <c r="L2045" s="3" t="s">
        <v>41</v>
      </c>
      <c r="M2045">
        <v>42</v>
      </c>
      <c r="N2045" s="3"/>
    </row>
    <row r="2046" spans="1:14" x14ac:dyDescent="0.25">
      <c r="A2046" s="3" t="s">
        <v>2076</v>
      </c>
      <c r="B2046">
        <v>1975</v>
      </c>
      <c r="C2046">
        <v>1975</v>
      </c>
      <c r="D2046" s="3" t="s">
        <v>19</v>
      </c>
      <c r="E2046" s="3" t="s">
        <v>19</v>
      </c>
      <c r="F2046">
        <v>25</v>
      </c>
      <c r="G2046" s="7">
        <v>27662</v>
      </c>
      <c r="H2046">
        <v>1</v>
      </c>
      <c r="I2046" s="3" t="s">
        <v>10419</v>
      </c>
      <c r="J2046" s="3" t="s">
        <v>10</v>
      </c>
      <c r="K2046" s="3" t="s">
        <v>11</v>
      </c>
      <c r="L2046" s="3" t="s">
        <v>41</v>
      </c>
      <c r="M2046">
        <v>51</v>
      </c>
      <c r="N2046" s="3"/>
    </row>
    <row r="2047" spans="1:14" x14ac:dyDescent="0.25">
      <c r="A2047" s="3" t="s">
        <v>2077</v>
      </c>
      <c r="B2047">
        <v>1972</v>
      </c>
      <c r="C2047">
        <v>1972</v>
      </c>
      <c r="D2047" s="3" t="s">
        <v>19</v>
      </c>
      <c r="E2047" s="3" t="s">
        <v>19</v>
      </c>
      <c r="F2047">
        <v>21</v>
      </c>
      <c r="G2047" s="7">
        <v>26563</v>
      </c>
      <c r="H2047">
        <v>0</v>
      </c>
      <c r="I2047" s="3" t="s">
        <v>10420</v>
      </c>
      <c r="J2047" s="3" t="s">
        <v>10</v>
      </c>
      <c r="K2047" s="3" t="s">
        <v>15</v>
      </c>
      <c r="L2047" s="3" t="s">
        <v>41</v>
      </c>
      <c r="M2047">
        <v>54</v>
      </c>
      <c r="N2047" s="3"/>
    </row>
    <row r="2048" spans="1:14" x14ac:dyDescent="0.25">
      <c r="A2048" s="3" t="s">
        <v>2078</v>
      </c>
      <c r="B2048">
        <v>1993</v>
      </c>
      <c r="C2048">
        <v>1993</v>
      </c>
      <c r="D2048" s="3" t="s">
        <v>19</v>
      </c>
      <c r="E2048" s="3" t="s">
        <v>19</v>
      </c>
      <c r="F2048">
        <v>13</v>
      </c>
      <c r="G2048" s="7">
        <v>34225</v>
      </c>
      <c r="H2048">
        <v>0</v>
      </c>
      <c r="I2048" s="3" t="s">
        <v>10421</v>
      </c>
      <c r="J2048" s="3" t="s">
        <v>15</v>
      </c>
      <c r="K2048" s="3" t="s">
        <v>11</v>
      </c>
      <c r="L2048" s="3" t="s">
        <v>41</v>
      </c>
      <c r="M2048">
        <v>33</v>
      </c>
      <c r="N2048" s="3"/>
    </row>
    <row r="2049" spans="1:14" x14ac:dyDescent="0.25">
      <c r="A2049" s="3" t="s">
        <v>2079</v>
      </c>
      <c r="B2049">
        <v>1978</v>
      </c>
      <c r="C2049">
        <v>1978</v>
      </c>
      <c r="D2049" s="3" t="s">
        <v>14</v>
      </c>
      <c r="E2049" s="3" t="s">
        <v>14</v>
      </c>
      <c r="F2049">
        <v>10</v>
      </c>
      <c r="G2049" s="7">
        <v>28804</v>
      </c>
      <c r="H2049">
        <v>2</v>
      </c>
      <c r="I2049" s="3" t="s">
        <v>10422</v>
      </c>
      <c r="J2049" s="3" t="s">
        <v>15</v>
      </c>
      <c r="K2049" s="3" t="s">
        <v>11</v>
      </c>
      <c r="L2049" s="3" t="s">
        <v>355</v>
      </c>
      <c r="M2049">
        <v>48</v>
      </c>
      <c r="N2049" s="3"/>
    </row>
    <row r="2050" spans="1:14" x14ac:dyDescent="0.25">
      <c r="A2050" s="3" t="s">
        <v>2080</v>
      </c>
      <c r="B2050">
        <v>1969</v>
      </c>
      <c r="C2050">
        <v>1969</v>
      </c>
      <c r="D2050" s="3" t="s">
        <v>19</v>
      </c>
      <c r="E2050" s="3" t="s">
        <v>19</v>
      </c>
      <c r="F2050">
        <v>11</v>
      </c>
      <c r="G2050" s="7">
        <v>25457</v>
      </c>
      <c r="H2050">
        <v>0</v>
      </c>
      <c r="I2050" s="3" t="s">
        <v>10423</v>
      </c>
      <c r="J2050" s="3" t="s">
        <v>15</v>
      </c>
      <c r="K2050" s="3" t="s">
        <v>10</v>
      </c>
      <c r="L2050" s="3" t="s">
        <v>41</v>
      </c>
      <c r="M2050">
        <v>57</v>
      </c>
      <c r="N2050" s="3"/>
    </row>
    <row r="2051" spans="1:14" x14ac:dyDescent="0.25">
      <c r="A2051" s="3" t="s">
        <v>2081</v>
      </c>
      <c r="B2051">
        <v>1994</v>
      </c>
      <c r="C2051">
        <v>1994</v>
      </c>
      <c r="D2051" s="3" t="s">
        <v>19</v>
      </c>
      <c r="E2051" s="3" t="s">
        <v>19</v>
      </c>
      <c r="F2051">
        <v>8</v>
      </c>
      <c r="G2051" s="7">
        <v>34585</v>
      </c>
      <c r="H2051">
        <v>0</v>
      </c>
      <c r="I2051" s="3" t="s">
        <v>10424</v>
      </c>
      <c r="J2051" s="3" t="s">
        <v>10</v>
      </c>
      <c r="K2051" s="3" t="s">
        <v>15</v>
      </c>
      <c r="L2051" s="3" t="s">
        <v>41</v>
      </c>
      <c r="M2051">
        <v>32</v>
      </c>
      <c r="N2051" s="3"/>
    </row>
    <row r="2052" spans="1:14" x14ac:dyDescent="0.25">
      <c r="A2052" s="3" t="s">
        <v>2082</v>
      </c>
      <c r="B2052">
        <v>1975</v>
      </c>
      <c r="C2052">
        <v>1975</v>
      </c>
      <c r="D2052" s="3" t="s">
        <v>29</v>
      </c>
      <c r="E2052" s="3" t="s">
        <v>29</v>
      </c>
      <c r="F2052">
        <v>17</v>
      </c>
      <c r="G2052" s="7">
        <v>27745</v>
      </c>
      <c r="H2052">
        <v>1</v>
      </c>
      <c r="I2052" s="3" t="s">
        <v>10425</v>
      </c>
      <c r="J2052" s="3" t="s">
        <v>10</v>
      </c>
      <c r="K2052" s="3" t="s">
        <v>11</v>
      </c>
      <c r="L2052" s="3" t="s">
        <v>22</v>
      </c>
      <c r="M2052">
        <v>51</v>
      </c>
      <c r="N2052" s="3"/>
    </row>
    <row r="2053" spans="1:14" x14ac:dyDescent="0.25">
      <c r="A2053" s="3" t="s">
        <v>2083</v>
      </c>
      <c r="B2053">
        <v>1986</v>
      </c>
      <c r="C2053">
        <v>1986</v>
      </c>
      <c r="D2053" s="3" t="s">
        <v>29</v>
      </c>
      <c r="E2053" s="3" t="s">
        <v>29</v>
      </c>
      <c r="F2053">
        <v>2</v>
      </c>
      <c r="G2053" s="7">
        <v>31748</v>
      </c>
      <c r="H2053">
        <v>3</v>
      </c>
      <c r="I2053" s="3" t="s">
        <v>10426</v>
      </c>
      <c r="J2053" s="3" t="s">
        <v>10</v>
      </c>
      <c r="K2053" s="3" t="s">
        <v>10</v>
      </c>
      <c r="L2053" s="3" t="s">
        <v>41</v>
      </c>
      <c r="M2053">
        <v>40</v>
      </c>
      <c r="N2053" s="3"/>
    </row>
    <row r="2054" spans="1:14" x14ac:dyDescent="0.25">
      <c r="A2054" s="3" t="s">
        <v>2084</v>
      </c>
      <c r="B2054">
        <v>1972</v>
      </c>
      <c r="C2054">
        <v>1972</v>
      </c>
      <c r="D2054" s="3" t="s">
        <v>36</v>
      </c>
      <c r="E2054" s="3" t="s">
        <v>36</v>
      </c>
      <c r="F2054">
        <v>19</v>
      </c>
      <c r="G2054" s="7">
        <v>26591</v>
      </c>
      <c r="H2054">
        <v>0</v>
      </c>
      <c r="I2054" s="3" t="s">
        <v>10427</v>
      </c>
      <c r="J2054" s="3" t="s">
        <v>10</v>
      </c>
      <c r="K2054" s="3" t="s">
        <v>10</v>
      </c>
      <c r="L2054" s="3" t="s">
        <v>41</v>
      </c>
      <c r="M2054">
        <v>54</v>
      </c>
      <c r="N2054" s="3"/>
    </row>
    <row r="2055" spans="1:14" x14ac:dyDescent="0.25">
      <c r="A2055" s="3" t="s">
        <v>2085</v>
      </c>
      <c r="B2055">
        <v>1976</v>
      </c>
      <c r="C2055">
        <v>1976</v>
      </c>
      <c r="D2055" s="3" t="s">
        <v>34</v>
      </c>
      <c r="E2055" s="3" t="s">
        <v>34</v>
      </c>
      <c r="F2055">
        <v>9</v>
      </c>
      <c r="G2055" s="7">
        <v>27981</v>
      </c>
      <c r="H2055">
        <v>2</v>
      </c>
      <c r="I2055" s="3" t="s">
        <v>10428</v>
      </c>
      <c r="J2055" s="3" t="s">
        <v>10</v>
      </c>
      <c r="K2055" s="3" t="s">
        <v>11</v>
      </c>
      <c r="L2055" s="3" t="s">
        <v>41</v>
      </c>
      <c r="M2055">
        <v>50</v>
      </c>
      <c r="N2055" s="3"/>
    </row>
    <row r="2056" spans="1:14" x14ac:dyDescent="0.25">
      <c r="A2056" s="3" t="s">
        <v>2086</v>
      </c>
      <c r="B2056">
        <v>1981</v>
      </c>
      <c r="C2056">
        <v>1981</v>
      </c>
      <c r="D2056" s="3" t="s">
        <v>19</v>
      </c>
      <c r="E2056" s="3" t="s">
        <v>19</v>
      </c>
      <c r="F2056">
        <v>27</v>
      </c>
      <c r="G2056" s="7">
        <v>29856</v>
      </c>
      <c r="H2056">
        <v>1</v>
      </c>
      <c r="I2056" s="3" t="s">
        <v>10429</v>
      </c>
      <c r="J2056" s="3" t="s">
        <v>10</v>
      </c>
      <c r="K2056" s="3" t="s">
        <v>10</v>
      </c>
      <c r="L2056" s="3" t="s">
        <v>41</v>
      </c>
      <c r="M2056">
        <v>45</v>
      </c>
      <c r="N2056" s="3"/>
    </row>
    <row r="2057" spans="1:14" x14ac:dyDescent="0.25">
      <c r="A2057" s="3" t="s">
        <v>2087</v>
      </c>
      <c r="B2057">
        <v>1976</v>
      </c>
      <c r="C2057">
        <v>1976</v>
      </c>
      <c r="D2057" s="3" t="s">
        <v>19</v>
      </c>
      <c r="E2057" s="3" t="s">
        <v>19</v>
      </c>
      <c r="F2057">
        <v>19</v>
      </c>
      <c r="G2057" s="7">
        <v>28022</v>
      </c>
      <c r="H2057">
        <v>2</v>
      </c>
      <c r="I2057" s="3" t="s">
        <v>10430</v>
      </c>
      <c r="J2057" s="3" t="s">
        <v>10</v>
      </c>
      <c r="K2057" s="3" t="s">
        <v>15</v>
      </c>
      <c r="L2057" s="3" t="s">
        <v>41</v>
      </c>
      <c r="M2057">
        <v>50</v>
      </c>
      <c r="N2057" s="3"/>
    </row>
    <row r="2058" spans="1:14" x14ac:dyDescent="0.25">
      <c r="A2058" s="3" t="s">
        <v>2088</v>
      </c>
      <c r="B2058">
        <v>2003</v>
      </c>
      <c r="C2058">
        <v>2003</v>
      </c>
      <c r="D2058" s="3" t="s">
        <v>36</v>
      </c>
      <c r="E2058" s="3" t="s">
        <v>36</v>
      </c>
      <c r="F2058">
        <v>8</v>
      </c>
      <c r="G2058" s="7">
        <v>37902</v>
      </c>
      <c r="H2058">
        <v>0</v>
      </c>
      <c r="I2058" s="3" t="s">
        <v>10431</v>
      </c>
      <c r="J2058" s="3" t="s">
        <v>15</v>
      </c>
      <c r="K2058" s="3" t="s">
        <v>10</v>
      </c>
      <c r="L2058" s="3" t="s">
        <v>12</v>
      </c>
      <c r="M2058">
        <v>23</v>
      </c>
      <c r="N2058" s="3"/>
    </row>
    <row r="2059" spans="1:14" x14ac:dyDescent="0.25">
      <c r="A2059" s="3" t="s">
        <v>2089</v>
      </c>
      <c r="B2059">
        <v>1990</v>
      </c>
      <c r="C2059">
        <v>1990</v>
      </c>
      <c r="D2059" s="3" t="s">
        <v>9</v>
      </c>
      <c r="E2059" s="3" t="s">
        <v>9</v>
      </c>
      <c r="F2059">
        <v>13</v>
      </c>
      <c r="G2059" s="7">
        <v>33067</v>
      </c>
      <c r="H2059">
        <v>3</v>
      </c>
      <c r="I2059" s="3" t="s">
        <v>10432</v>
      </c>
      <c r="J2059" s="3" t="s">
        <v>15</v>
      </c>
      <c r="K2059" s="3" t="s">
        <v>15</v>
      </c>
      <c r="L2059" s="3" t="s">
        <v>41</v>
      </c>
      <c r="M2059">
        <v>36</v>
      </c>
      <c r="N2059" s="3"/>
    </row>
    <row r="2060" spans="1:14" x14ac:dyDescent="0.25">
      <c r="A2060" s="3" t="s">
        <v>2090</v>
      </c>
      <c r="B2060">
        <v>1968</v>
      </c>
      <c r="C2060">
        <v>1968</v>
      </c>
      <c r="D2060" s="3" t="s">
        <v>14</v>
      </c>
      <c r="E2060" s="3" t="s">
        <v>14</v>
      </c>
      <c r="F2060">
        <v>1</v>
      </c>
      <c r="G2060" s="7">
        <v>25143</v>
      </c>
      <c r="H2060">
        <v>0</v>
      </c>
      <c r="I2060" s="3" t="s">
        <v>10433</v>
      </c>
      <c r="J2060" s="3" t="s">
        <v>10</v>
      </c>
      <c r="K2060" s="3" t="s">
        <v>11</v>
      </c>
      <c r="L2060" s="3" t="s">
        <v>41</v>
      </c>
      <c r="M2060">
        <v>58</v>
      </c>
      <c r="N2060" s="3"/>
    </row>
    <row r="2061" spans="1:14" x14ac:dyDescent="0.25">
      <c r="A2061" s="3" t="s">
        <v>2091</v>
      </c>
      <c r="B2061">
        <v>1990</v>
      </c>
      <c r="C2061">
        <v>1990</v>
      </c>
      <c r="D2061" s="3" t="s">
        <v>19</v>
      </c>
      <c r="E2061" s="3" t="s">
        <v>19</v>
      </c>
      <c r="F2061">
        <v>30</v>
      </c>
      <c r="G2061" s="7">
        <v>33146</v>
      </c>
      <c r="H2061">
        <v>3</v>
      </c>
      <c r="I2061" s="3" t="s">
        <v>10434</v>
      </c>
      <c r="J2061" s="3" t="s">
        <v>15</v>
      </c>
      <c r="K2061" s="3" t="s">
        <v>10</v>
      </c>
      <c r="L2061" s="3" t="s">
        <v>41</v>
      </c>
      <c r="M2061">
        <v>36</v>
      </c>
      <c r="N2061" s="3"/>
    </row>
    <row r="2062" spans="1:14" x14ac:dyDescent="0.25">
      <c r="A2062" s="3" t="s">
        <v>2092</v>
      </c>
      <c r="B2062">
        <v>1990</v>
      </c>
      <c r="C2062">
        <v>1990</v>
      </c>
      <c r="D2062" s="3" t="s">
        <v>9</v>
      </c>
      <c r="E2062" s="3" t="s">
        <v>9</v>
      </c>
      <c r="F2062">
        <v>9</v>
      </c>
      <c r="G2062" s="7">
        <v>33063</v>
      </c>
      <c r="H2062">
        <v>2</v>
      </c>
      <c r="I2062" s="3" t="s">
        <v>10435</v>
      </c>
      <c r="J2062" s="3" t="s">
        <v>10</v>
      </c>
      <c r="K2062" s="3" t="s">
        <v>15</v>
      </c>
      <c r="L2062" s="3" t="s">
        <v>22</v>
      </c>
      <c r="M2062">
        <v>36</v>
      </c>
      <c r="N2062" s="3"/>
    </row>
    <row r="2063" spans="1:14" x14ac:dyDescent="0.25">
      <c r="A2063" s="3" t="s">
        <v>2093</v>
      </c>
      <c r="B2063">
        <v>1974</v>
      </c>
      <c r="C2063">
        <v>1974</v>
      </c>
      <c r="D2063" s="3" t="s">
        <v>29</v>
      </c>
      <c r="E2063" s="3" t="s">
        <v>29</v>
      </c>
      <c r="F2063">
        <v>6</v>
      </c>
      <c r="G2063" s="7">
        <v>27369</v>
      </c>
      <c r="H2063">
        <v>0</v>
      </c>
      <c r="I2063" s="3" t="s">
        <v>10436</v>
      </c>
      <c r="J2063" s="3" t="s">
        <v>15</v>
      </c>
      <c r="K2063" s="3" t="s">
        <v>15</v>
      </c>
      <c r="L2063" s="3" t="s">
        <v>41</v>
      </c>
      <c r="M2063">
        <v>52</v>
      </c>
      <c r="N2063" s="3"/>
    </row>
    <row r="2064" spans="1:14" x14ac:dyDescent="0.25">
      <c r="A2064" s="3" t="s">
        <v>2094</v>
      </c>
      <c r="B2064">
        <v>1972</v>
      </c>
      <c r="C2064">
        <v>1972</v>
      </c>
      <c r="D2064" s="3" t="s">
        <v>14</v>
      </c>
      <c r="E2064" s="3" t="s">
        <v>14</v>
      </c>
      <c r="F2064">
        <v>7</v>
      </c>
      <c r="G2064" s="7">
        <v>26610</v>
      </c>
      <c r="H2064">
        <v>0</v>
      </c>
      <c r="I2064" s="3" t="s">
        <v>10437</v>
      </c>
      <c r="J2064" s="3" t="s">
        <v>10</v>
      </c>
      <c r="K2064" s="3" t="s">
        <v>10</v>
      </c>
      <c r="L2064" s="3" t="s">
        <v>22</v>
      </c>
      <c r="M2064">
        <v>54</v>
      </c>
      <c r="N2064" s="3"/>
    </row>
    <row r="2065" spans="1:14" x14ac:dyDescent="0.25">
      <c r="A2065" s="3" t="s">
        <v>2095</v>
      </c>
      <c r="B2065">
        <v>1980</v>
      </c>
      <c r="C2065">
        <v>1980</v>
      </c>
      <c r="D2065" s="3" t="s">
        <v>29</v>
      </c>
      <c r="E2065" s="3" t="s">
        <v>29</v>
      </c>
      <c r="F2065">
        <v>12</v>
      </c>
      <c r="G2065" s="7">
        <v>29567</v>
      </c>
      <c r="H2065">
        <v>3</v>
      </c>
      <c r="I2065" s="3" t="s">
        <v>10438</v>
      </c>
      <c r="J2065" s="3" t="s">
        <v>15</v>
      </c>
      <c r="K2065" s="3" t="s">
        <v>11</v>
      </c>
      <c r="L2065" s="3" t="s">
        <v>22</v>
      </c>
      <c r="M2065">
        <v>46</v>
      </c>
      <c r="N2065" s="3"/>
    </row>
    <row r="2066" spans="1:14" x14ac:dyDescent="0.25">
      <c r="A2066" s="3" t="s">
        <v>2096</v>
      </c>
      <c r="B2066">
        <v>1995</v>
      </c>
      <c r="C2066">
        <v>1995</v>
      </c>
      <c r="D2066" s="3" t="s">
        <v>29</v>
      </c>
      <c r="E2066" s="3" t="s">
        <v>29</v>
      </c>
      <c r="F2066">
        <v>4</v>
      </c>
      <c r="G2066" s="7">
        <v>35037</v>
      </c>
      <c r="H2066">
        <v>0</v>
      </c>
      <c r="I2066" s="3" t="s">
        <v>10439</v>
      </c>
      <c r="J2066" s="3" t="s">
        <v>15</v>
      </c>
      <c r="K2066" s="3" t="s">
        <v>10</v>
      </c>
      <c r="L2066" s="3" t="s">
        <v>41</v>
      </c>
      <c r="M2066">
        <v>31</v>
      </c>
      <c r="N2066" s="3"/>
    </row>
    <row r="2067" spans="1:14" x14ac:dyDescent="0.25">
      <c r="A2067" s="3" t="s">
        <v>2097</v>
      </c>
      <c r="B2067">
        <v>1981</v>
      </c>
      <c r="C2067">
        <v>1981</v>
      </c>
      <c r="D2067" s="3" t="s">
        <v>14</v>
      </c>
      <c r="E2067" s="3" t="s">
        <v>14</v>
      </c>
      <c r="F2067">
        <v>17</v>
      </c>
      <c r="G2067" s="7">
        <v>29907</v>
      </c>
      <c r="H2067">
        <v>1</v>
      </c>
      <c r="I2067" s="3" t="s">
        <v>10440</v>
      </c>
      <c r="J2067" s="3" t="s">
        <v>10</v>
      </c>
      <c r="K2067" s="3" t="s">
        <v>11</v>
      </c>
      <c r="L2067" s="3" t="s">
        <v>41</v>
      </c>
      <c r="M2067">
        <v>45</v>
      </c>
      <c r="N2067" s="3"/>
    </row>
    <row r="2068" spans="1:14" x14ac:dyDescent="0.25">
      <c r="A2068" s="3" t="s">
        <v>2098</v>
      </c>
      <c r="B2068">
        <v>1971</v>
      </c>
      <c r="C2068">
        <v>1971</v>
      </c>
      <c r="D2068" s="3" t="s">
        <v>34</v>
      </c>
      <c r="E2068" s="3" t="s">
        <v>34</v>
      </c>
      <c r="F2068">
        <v>24</v>
      </c>
      <c r="G2068" s="7">
        <v>26169</v>
      </c>
      <c r="H2068">
        <v>0</v>
      </c>
      <c r="I2068" s="3" t="s">
        <v>10441</v>
      </c>
      <c r="J2068" s="3" t="s">
        <v>10</v>
      </c>
      <c r="K2068" s="3" t="s">
        <v>15</v>
      </c>
      <c r="L2068" s="3" t="s">
        <v>41</v>
      </c>
      <c r="M2068">
        <v>55</v>
      </c>
      <c r="N2068" s="3"/>
    </row>
    <row r="2069" spans="1:14" x14ac:dyDescent="0.25">
      <c r="A2069" s="3" t="s">
        <v>2099</v>
      </c>
      <c r="B2069">
        <v>1995</v>
      </c>
      <c r="C2069">
        <v>1995</v>
      </c>
      <c r="D2069" s="3" t="s">
        <v>9</v>
      </c>
      <c r="E2069" s="3" t="s">
        <v>9</v>
      </c>
      <c r="F2069">
        <v>8</v>
      </c>
      <c r="G2069" s="7">
        <v>34888</v>
      </c>
      <c r="H2069">
        <v>0</v>
      </c>
      <c r="I2069" s="3" t="s">
        <v>10442</v>
      </c>
      <c r="J2069" s="3" t="s">
        <v>15</v>
      </c>
      <c r="K2069" s="3" t="s">
        <v>15</v>
      </c>
      <c r="L2069" s="3" t="s">
        <v>41</v>
      </c>
      <c r="M2069">
        <v>31</v>
      </c>
      <c r="N2069" s="3"/>
    </row>
    <row r="2070" spans="1:14" x14ac:dyDescent="0.25">
      <c r="A2070" s="3" t="s">
        <v>2100</v>
      </c>
      <c r="B2070">
        <v>1967</v>
      </c>
      <c r="C2070">
        <v>1967</v>
      </c>
      <c r="D2070" s="3" t="s">
        <v>9</v>
      </c>
      <c r="E2070" s="3" t="s">
        <v>9</v>
      </c>
      <c r="F2070">
        <v>10</v>
      </c>
      <c r="G2070" s="7">
        <v>24663</v>
      </c>
      <c r="H2070">
        <v>0</v>
      </c>
      <c r="I2070" s="3" t="s">
        <v>10443</v>
      </c>
      <c r="J2070" s="3" t="s">
        <v>10</v>
      </c>
      <c r="K2070" s="3" t="s">
        <v>11</v>
      </c>
      <c r="L2070" s="3" t="s">
        <v>41</v>
      </c>
      <c r="M2070">
        <v>59</v>
      </c>
      <c r="N2070" s="3"/>
    </row>
    <row r="2071" spans="1:14" x14ac:dyDescent="0.25">
      <c r="A2071" s="3" t="s">
        <v>2101</v>
      </c>
      <c r="B2071">
        <v>1994</v>
      </c>
      <c r="C2071">
        <v>1994</v>
      </c>
      <c r="D2071" s="3" t="s">
        <v>9</v>
      </c>
      <c r="E2071" s="3" t="s">
        <v>9</v>
      </c>
      <c r="F2071">
        <v>28</v>
      </c>
      <c r="G2071" s="7">
        <v>34543</v>
      </c>
      <c r="H2071">
        <v>0</v>
      </c>
      <c r="I2071" s="3" t="s">
        <v>10444</v>
      </c>
      <c r="J2071" s="3" t="s">
        <v>15</v>
      </c>
      <c r="K2071" s="3" t="s">
        <v>10</v>
      </c>
      <c r="L2071" s="3" t="s">
        <v>41</v>
      </c>
      <c r="M2071">
        <v>32</v>
      </c>
      <c r="N2071" s="3"/>
    </row>
    <row r="2072" spans="1:14" x14ac:dyDescent="0.25">
      <c r="A2072" s="3" t="s">
        <v>2102</v>
      </c>
      <c r="B2072">
        <v>1962</v>
      </c>
      <c r="C2072">
        <v>1962</v>
      </c>
      <c r="D2072" s="3" t="s">
        <v>9</v>
      </c>
      <c r="E2072" s="3" t="s">
        <v>9</v>
      </c>
      <c r="F2072">
        <v>1</v>
      </c>
      <c r="G2072" s="7">
        <v>22828</v>
      </c>
      <c r="H2072">
        <v>0</v>
      </c>
      <c r="I2072" s="3" t="s">
        <v>10445</v>
      </c>
      <c r="J2072" s="3" t="s">
        <v>15</v>
      </c>
      <c r="K2072" s="3" t="s">
        <v>10</v>
      </c>
      <c r="L2072" s="3" t="s">
        <v>41</v>
      </c>
      <c r="M2072">
        <v>64</v>
      </c>
      <c r="N2072" s="3"/>
    </row>
    <row r="2073" spans="1:14" x14ac:dyDescent="0.25">
      <c r="A2073" s="3" t="s">
        <v>2103</v>
      </c>
      <c r="B2073">
        <v>1969</v>
      </c>
      <c r="C2073">
        <v>1969</v>
      </c>
      <c r="D2073" s="3" t="s">
        <v>36</v>
      </c>
      <c r="E2073" s="3" t="s">
        <v>36</v>
      </c>
      <c r="F2073">
        <v>30</v>
      </c>
      <c r="G2073" s="7">
        <v>25506</v>
      </c>
      <c r="H2073">
        <v>0</v>
      </c>
      <c r="I2073" s="3" t="s">
        <v>10446</v>
      </c>
      <c r="J2073" s="3" t="s">
        <v>10</v>
      </c>
      <c r="K2073" s="3" t="s">
        <v>10</v>
      </c>
      <c r="L2073" s="3" t="s">
        <v>41</v>
      </c>
      <c r="M2073">
        <v>57</v>
      </c>
      <c r="N2073" s="3"/>
    </row>
    <row r="2074" spans="1:14" x14ac:dyDescent="0.25">
      <c r="A2074" s="3" t="s">
        <v>2104</v>
      </c>
      <c r="B2074">
        <v>1985</v>
      </c>
      <c r="C2074">
        <v>1985</v>
      </c>
      <c r="D2074" s="3" t="s">
        <v>9</v>
      </c>
      <c r="E2074" s="3" t="s">
        <v>9</v>
      </c>
      <c r="F2074">
        <v>15</v>
      </c>
      <c r="G2074" s="7">
        <v>31243</v>
      </c>
      <c r="H2074">
        <v>3</v>
      </c>
      <c r="I2074" s="3" t="s">
        <v>10447</v>
      </c>
      <c r="J2074" s="3" t="s">
        <v>10</v>
      </c>
      <c r="K2074" s="3" t="s">
        <v>15</v>
      </c>
      <c r="L2074" s="3" t="s">
        <v>41</v>
      </c>
      <c r="M2074">
        <v>41</v>
      </c>
      <c r="N2074" s="3"/>
    </row>
    <row r="2075" spans="1:14" x14ac:dyDescent="0.25">
      <c r="A2075" s="3" t="s">
        <v>2105</v>
      </c>
      <c r="B2075">
        <v>1990</v>
      </c>
      <c r="C2075">
        <v>1990</v>
      </c>
      <c r="D2075" s="3" t="s">
        <v>36</v>
      </c>
      <c r="E2075" s="3" t="s">
        <v>36</v>
      </c>
      <c r="F2075">
        <v>12</v>
      </c>
      <c r="G2075" s="7">
        <v>33158</v>
      </c>
      <c r="H2075">
        <v>3</v>
      </c>
      <c r="I2075" s="3" t="s">
        <v>10448</v>
      </c>
      <c r="J2075" s="3" t="s">
        <v>10</v>
      </c>
      <c r="K2075" s="3" t="s">
        <v>15</v>
      </c>
      <c r="L2075" s="3" t="s">
        <v>41</v>
      </c>
      <c r="M2075">
        <v>36</v>
      </c>
      <c r="N2075" s="3"/>
    </row>
    <row r="2076" spans="1:14" x14ac:dyDescent="0.25">
      <c r="A2076" s="3" t="s">
        <v>2106</v>
      </c>
      <c r="B2076">
        <v>2003</v>
      </c>
      <c r="C2076">
        <v>2003</v>
      </c>
      <c r="D2076" s="3" t="s">
        <v>14</v>
      </c>
      <c r="E2076" s="3" t="s">
        <v>14</v>
      </c>
      <c r="F2076">
        <v>28</v>
      </c>
      <c r="G2076" s="7">
        <v>37953</v>
      </c>
      <c r="H2076">
        <v>0</v>
      </c>
      <c r="I2076" s="3" t="s">
        <v>10449</v>
      </c>
      <c r="J2076" s="3" t="s">
        <v>10</v>
      </c>
      <c r="K2076" s="3" t="s">
        <v>11</v>
      </c>
      <c r="L2076" s="3" t="s">
        <v>22</v>
      </c>
      <c r="M2076">
        <v>23</v>
      </c>
      <c r="N2076" s="3"/>
    </row>
    <row r="2077" spans="1:14" x14ac:dyDescent="0.25">
      <c r="A2077" s="3" t="s">
        <v>2107</v>
      </c>
      <c r="B2077">
        <v>1972</v>
      </c>
      <c r="C2077">
        <v>1972</v>
      </c>
      <c r="D2077" s="3" t="s">
        <v>19</v>
      </c>
      <c r="E2077" s="3" t="s">
        <v>19</v>
      </c>
      <c r="F2077">
        <v>5</v>
      </c>
      <c r="G2077" s="7">
        <v>26547</v>
      </c>
      <c r="H2077">
        <v>0</v>
      </c>
      <c r="I2077" s="3" t="s">
        <v>10450</v>
      </c>
      <c r="J2077" s="3" t="s">
        <v>10</v>
      </c>
      <c r="K2077" s="3" t="s">
        <v>11</v>
      </c>
      <c r="L2077" s="3" t="s">
        <v>41</v>
      </c>
      <c r="M2077">
        <v>54</v>
      </c>
      <c r="N2077" s="3"/>
    </row>
    <row r="2078" spans="1:14" x14ac:dyDescent="0.25">
      <c r="A2078" s="3" t="s">
        <v>2108</v>
      </c>
      <c r="B2078">
        <v>1985</v>
      </c>
      <c r="C2078">
        <v>1985</v>
      </c>
      <c r="D2078" s="3" t="s">
        <v>29</v>
      </c>
      <c r="E2078" s="3" t="s">
        <v>29</v>
      </c>
      <c r="F2078">
        <v>7</v>
      </c>
      <c r="G2078" s="7">
        <v>31388</v>
      </c>
      <c r="H2078">
        <v>3</v>
      </c>
      <c r="I2078" s="3" t="s">
        <v>10451</v>
      </c>
      <c r="J2078" s="3" t="s">
        <v>10</v>
      </c>
      <c r="K2078" s="3" t="s">
        <v>10</v>
      </c>
      <c r="L2078" s="3" t="s">
        <v>41</v>
      </c>
      <c r="M2078">
        <v>41</v>
      </c>
      <c r="N2078" s="3"/>
    </row>
    <row r="2079" spans="1:14" x14ac:dyDescent="0.25">
      <c r="A2079" s="3" t="s">
        <v>2109</v>
      </c>
      <c r="B2079">
        <v>1970</v>
      </c>
      <c r="C2079">
        <v>1970</v>
      </c>
      <c r="D2079" s="3" t="s">
        <v>17</v>
      </c>
      <c r="E2079" s="3" t="s">
        <v>17</v>
      </c>
      <c r="F2079">
        <v>18</v>
      </c>
      <c r="G2079" s="7">
        <v>25737</v>
      </c>
      <c r="H2079">
        <v>2</v>
      </c>
      <c r="I2079" s="3" t="s">
        <v>10452</v>
      </c>
      <c r="J2079" s="3" t="s">
        <v>10</v>
      </c>
      <c r="K2079" s="3" t="s">
        <v>10</v>
      </c>
      <c r="L2079" s="3" t="s">
        <v>22</v>
      </c>
      <c r="M2079">
        <v>56</v>
      </c>
      <c r="N2079" s="3"/>
    </row>
    <row r="2080" spans="1:14" x14ac:dyDescent="0.25">
      <c r="A2080" s="3" t="s">
        <v>2110</v>
      </c>
      <c r="B2080">
        <v>2002</v>
      </c>
      <c r="C2080">
        <v>2002</v>
      </c>
      <c r="D2080" s="3" t="s">
        <v>34</v>
      </c>
      <c r="E2080" s="3" t="s">
        <v>34</v>
      </c>
      <c r="F2080">
        <v>25</v>
      </c>
      <c r="G2080" s="7">
        <v>37493</v>
      </c>
      <c r="H2080">
        <v>0</v>
      </c>
      <c r="I2080" s="3" t="s">
        <v>10453</v>
      </c>
      <c r="J2080" s="3" t="s">
        <v>15</v>
      </c>
      <c r="K2080" s="3" t="s">
        <v>15</v>
      </c>
      <c r="L2080" s="3" t="s">
        <v>169</v>
      </c>
      <c r="M2080">
        <v>24</v>
      </c>
      <c r="N2080" s="3"/>
    </row>
    <row r="2081" spans="1:14" x14ac:dyDescent="0.25">
      <c r="A2081" s="3" t="s">
        <v>2111</v>
      </c>
      <c r="B2081">
        <v>1984</v>
      </c>
      <c r="C2081">
        <v>1984</v>
      </c>
      <c r="D2081" s="3" t="s">
        <v>9</v>
      </c>
      <c r="E2081" s="3" t="s">
        <v>9</v>
      </c>
      <c r="F2081">
        <v>22</v>
      </c>
      <c r="G2081" s="7">
        <v>30885</v>
      </c>
      <c r="H2081">
        <v>3</v>
      </c>
      <c r="I2081" s="3" t="s">
        <v>10454</v>
      </c>
      <c r="J2081" s="3" t="s">
        <v>10</v>
      </c>
      <c r="K2081" s="3" t="s">
        <v>11</v>
      </c>
      <c r="L2081" s="3" t="s">
        <v>41</v>
      </c>
      <c r="M2081">
        <v>42</v>
      </c>
      <c r="N2081" s="3"/>
    </row>
    <row r="2082" spans="1:14" x14ac:dyDescent="0.25">
      <c r="A2082" s="3" t="s">
        <v>2112</v>
      </c>
      <c r="B2082">
        <v>2003</v>
      </c>
      <c r="C2082">
        <v>2003</v>
      </c>
      <c r="D2082" s="3" t="s">
        <v>19</v>
      </c>
      <c r="E2082" s="3" t="s">
        <v>19</v>
      </c>
      <c r="F2082">
        <v>9</v>
      </c>
      <c r="G2082" s="7">
        <v>37873</v>
      </c>
      <c r="H2082">
        <v>0</v>
      </c>
      <c r="I2082" s="3" t="s">
        <v>10455</v>
      </c>
      <c r="J2082" s="3" t="s">
        <v>15</v>
      </c>
      <c r="K2082" s="3" t="s">
        <v>10</v>
      </c>
      <c r="L2082" s="3" t="s">
        <v>41</v>
      </c>
      <c r="M2082">
        <v>23</v>
      </c>
      <c r="N2082" s="3"/>
    </row>
    <row r="2083" spans="1:14" x14ac:dyDescent="0.25">
      <c r="A2083" s="3" t="s">
        <v>2113</v>
      </c>
      <c r="B2083">
        <v>1993</v>
      </c>
      <c r="C2083">
        <v>1993</v>
      </c>
      <c r="D2083" s="3" t="s">
        <v>14</v>
      </c>
      <c r="E2083" s="3" t="s">
        <v>14</v>
      </c>
      <c r="F2083">
        <v>28</v>
      </c>
      <c r="G2083" s="7">
        <v>34301</v>
      </c>
      <c r="H2083">
        <v>0</v>
      </c>
      <c r="I2083" s="3" t="s">
        <v>10456</v>
      </c>
      <c r="J2083" s="3" t="s">
        <v>10</v>
      </c>
      <c r="K2083" s="3" t="s">
        <v>10</v>
      </c>
      <c r="L2083" s="3" t="s">
        <v>41</v>
      </c>
      <c r="M2083">
        <v>33</v>
      </c>
      <c r="N2083" s="3"/>
    </row>
    <row r="2084" spans="1:14" x14ac:dyDescent="0.25">
      <c r="A2084" s="3" t="s">
        <v>2114</v>
      </c>
      <c r="B2084">
        <v>2004</v>
      </c>
      <c r="C2084">
        <v>2004</v>
      </c>
      <c r="D2084" s="3" t="s">
        <v>14</v>
      </c>
      <c r="E2084" s="3" t="s">
        <v>14</v>
      </c>
      <c r="F2084">
        <v>1</v>
      </c>
      <c r="G2084" s="7">
        <v>38292</v>
      </c>
      <c r="H2084">
        <v>0</v>
      </c>
      <c r="I2084" s="3" t="s">
        <v>10457</v>
      </c>
      <c r="J2084" s="3" t="s">
        <v>15</v>
      </c>
      <c r="K2084" s="3" t="s">
        <v>15</v>
      </c>
      <c r="L2084" s="3" t="s">
        <v>355</v>
      </c>
      <c r="M2084">
        <v>22</v>
      </c>
      <c r="N2084" s="3"/>
    </row>
    <row r="2085" spans="1:14" x14ac:dyDescent="0.25">
      <c r="A2085" s="3" t="s">
        <v>2115</v>
      </c>
      <c r="B2085">
        <v>2003</v>
      </c>
      <c r="C2085">
        <v>2003</v>
      </c>
      <c r="D2085" s="3" t="s">
        <v>19</v>
      </c>
      <c r="E2085" s="3" t="s">
        <v>19</v>
      </c>
      <c r="F2085">
        <v>12</v>
      </c>
      <c r="G2085" s="7">
        <v>37876</v>
      </c>
      <c r="H2085">
        <v>0</v>
      </c>
      <c r="I2085" s="3" t="s">
        <v>10458</v>
      </c>
      <c r="J2085" s="3" t="s">
        <v>15</v>
      </c>
      <c r="K2085" s="3" t="s">
        <v>11</v>
      </c>
      <c r="L2085" s="3" t="s">
        <v>22</v>
      </c>
      <c r="M2085">
        <v>23</v>
      </c>
      <c r="N2085" s="3"/>
    </row>
    <row r="2086" spans="1:14" x14ac:dyDescent="0.25">
      <c r="A2086" s="3" t="s">
        <v>2116</v>
      </c>
      <c r="B2086">
        <v>1962</v>
      </c>
      <c r="C2086">
        <v>1962</v>
      </c>
      <c r="D2086" s="3" t="s">
        <v>29</v>
      </c>
      <c r="E2086" s="3" t="s">
        <v>29</v>
      </c>
      <c r="F2086">
        <v>11</v>
      </c>
      <c r="G2086" s="7">
        <v>22991</v>
      </c>
      <c r="H2086">
        <v>0</v>
      </c>
      <c r="I2086" s="3" t="s">
        <v>10459</v>
      </c>
      <c r="J2086" s="3" t="s">
        <v>15</v>
      </c>
      <c r="K2086" s="3" t="s">
        <v>11</v>
      </c>
      <c r="L2086" s="3" t="s">
        <v>41</v>
      </c>
      <c r="M2086">
        <v>64</v>
      </c>
      <c r="N2086" s="3"/>
    </row>
    <row r="2087" spans="1:14" x14ac:dyDescent="0.25">
      <c r="A2087" s="3" t="s">
        <v>2117</v>
      </c>
      <c r="B2087">
        <v>2000</v>
      </c>
      <c r="C2087">
        <v>2000</v>
      </c>
      <c r="D2087" s="3" t="s">
        <v>36</v>
      </c>
      <c r="E2087" s="3" t="s">
        <v>36</v>
      </c>
      <c r="F2087">
        <v>26</v>
      </c>
      <c r="G2087" s="7">
        <v>36825</v>
      </c>
      <c r="H2087">
        <v>0</v>
      </c>
      <c r="I2087" s="3" t="s">
        <v>10460</v>
      </c>
      <c r="J2087" s="3" t="s">
        <v>10</v>
      </c>
      <c r="K2087" s="3" t="s">
        <v>11</v>
      </c>
      <c r="L2087" s="3" t="s">
        <v>41</v>
      </c>
      <c r="M2087">
        <v>26</v>
      </c>
      <c r="N2087" s="3"/>
    </row>
    <row r="2088" spans="1:14" x14ac:dyDescent="0.25">
      <c r="A2088" s="3" t="s">
        <v>2118</v>
      </c>
      <c r="B2088">
        <v>1997</v>
      </c>
      <c r="C2088">
        <v>1997</v>
      </c>
      <c r="D2088" s="3" t="s">
        <v>34</v>
      </c>
      <c r="E2088" s="3" t="s">
        <v>34</v>
      </c>
      <c r="F2088">
        <v>9</v>
      </c>
      <c r="G2088" s="7">
        <v>35651</v>
      </c>
      <c r="H2088">
        <v>0</v>
      </c>
      <c r="I2088" s="3" t="s">
        <v>10461</v>
      </c>
      <c r="J2088" s="3" t="s">
        <v>10</v>
      </c>
      <c r="K2088" s="3" t="s">
        <v>11</v>
      </c>
      <c r="L2088" s="3" t="s">
        <v>41</v>
      </c>
      <c r="M2088">
        <v>29</v>
      </c>
      <c r="N2088" s="3"/>
    </row>
    <row r="2089" spans="1:14" x14ac:dyDescent="0.25">
      <c r="A2089" s="3" t="s">
        <v>2119</v>
      </c>
      <c r="B2089">
        <v>2000</v>
      </c>
      <c r="C2089">
        <v>2000</v>
      </c>
      <c r="D2089" s="3" t="s">
        <v>29</v>
      </c>
      <c r="E2089" s="3" t="s">
        <v>29</v>
      </c>
      <c r="F2089">
        <v>27</v>
      </c>
      <c r="G2089" s="7">
        <v>36887</v>
      </c>
      <c r="H2089">
        <v>0</v>
      </c>
      <c r="I2089" s="3" t="s">
        <v>10462</v>
      </c>
      <c r="J2089" s="3" t="s">
        <v>10</v>
      </c>
      <c r="K2089" s="3" t="s">
        <v>10</v>
      </c>
      <c r="L2089" s="3" t="s">
        <v>22</v>
      </c>
      <c r="M2089">
        <v>26</v>
      </c>
      <c r="N2089" s="3"/>
    </row>
    <row r="2090" spans="1:14" x14ac:dyDescent="0.25">
      <c r="A2090" s="3" t="s">
        <v>2120</v>
      </c>
      <c r="B2090">
        <v>1994</v>
      </c>
      <c r="C2090">
        <v>1994</v>
      </c>
      <c r="D2090" s="3" t="s">
        <v>19</v>
      </c>
      <c r="E2090" s="3" t="s">
        <v>19</v>
      </c>
      <c r="F2090">
        <v>25</v>
      </c>
      <c r="G2090" s="7">
        <v>34602</v>
      </c>
      <c r="H2090">
        <v>0</v>
      </c>
      <c r="I2090" s="3" t="s">
        <v>10463</v>
      </c>
      <c r="J2090" s="3" t="s">
        <v>10</v>
      </c>
      <c r="K2090" s="3" t="s">
        <v>10</v>
      </c>
      <c r="L2090" s="3" t="s">
        <v>41</v>
      </c>
      <c r="M2090">
        <v>32</v>
      </c>
      <c r="N2090" s="3"/>
    </row>
    <row r="2091" spans="1:14" x14ac:dyDescent="0.25">
      <c r="A2091" s="3" t="s">
        <v>2121</v>
      </c>
      <c r="B2091">
        <v>1972</v>
      </c>
      <c r="C2091">
        <v>1972</v>
      </c>
      <c r="D2091" s="3" t="s">
        <v>9</v>
      </c>
      <c r="E2091" s="3" t="s">
        <v>9</v>
      </c>
      <c r="F2091">
        <v>26</v>
      </c>
      <c r="G2091" s="7">
        <v>26506</v>
      </c>
      <c r="H2091">
        <v>0</v>
      </c>
      <c r="I2091" s="3" t="s">
        <v>10464</v>
      </c>
      <c r="J2091" s="3" t="s">
        <v>10</v>
      </c>
      <c r="K2091" s="3" t="s">
        <v>10</v>
      </c>
      <c r="L2091" s="3" t="s">
        <v>41</v>
      </c>
      <c r="M2091">
        <v>54</v>
      </c>
      <c r="N2091" s="3"/>
    </row>
    <row r="2092" spans="1:14" x14ac:dyDescent="0.25">
      <c r="A2092" s="3" t="s">
        <v>2122</v>
      </c>
      <c r="B2092">
        <v>2002</v>
      </c>
      <c r="C2092">
        <v>2002</v>
      </c>
      <c r="D2092" s="3" t="s">
        <v>29</v>
      </c>
      <c r="E2092" s="3" t="s">
        <v>29</v>
      </c>
      <c r="F2092">
        <v>26</v>
      </c>
      <c r="G2092" s="7">
        <v>37616</v>
      </c>
      <c r="H2092">
        <v>0</v>
      </c>
      <c r="I2092" s="3" t="s">
        <v>10465</v>
      </c>
      <c r="J2092" s="3" t="s">
        <v>10</v>
      </c>
      <c r="K2092" s="3" t="s">
        <v>11</v>
      </c>
      <c r="L2092" s="3" t="s">
        <v>41</v>
      </c>
      <c r="M2092">
        <v>24</v>
      </c>
      <c r="N2092" s="3"/>
    </row>
    <row r="2093" spans="1:14" x14ac:dyDescent="0.25">
      <c r="A2093" s="3" t="s">
        <v>2123</v>
      </c>
      <c r="B2093">
        <v>1999</v>
      </c>
      <c r="C2093">
        <v>1999</v>
      </c>
      <c r="D2093" s="3" t="s">
        <v>14</v>
      </c>
      <c r="E2093" s="3" t="s">
        <v>14</v>
      </c>
      <c r="F2093">
        <v>6</v>
      </c>
      <c r="G2093" s="7">
        <v>36470</v>
      </c>
      <c r="H2093">
        <v>0</v>
      </c>
      <c r="I2093" s="3" t="s">
        <v>10466</v>
      </c>
      <c r="J2093" s="3" t="s">
        <v>10</v>
      </c>
      <c r="K2093" s="3" t="s">
        <v>11</v>
      </c>
      <c r="L2093" s="3" t="s">
        <v>41</v>
      </c>
      <c r="M2093">
        <v>27</v>
      </c>
      <c r="N2093" s="3"/>
    </row>
    <row r="2094" spans="1:14" x14ac:dyDescent="0.25">
      <c r="A2094" s="3" t="s">
        <v>2124</v>
      </c>
      <c r="B2094">
        <v>1971</v>
      </c>
      <c r="C2094">
        <v>1971</v>
      </c>
      <c r="D2094" s="3" t="s">
        <v>34</v>
      </c>
      <c r="E2094" s="3" t="s">
        <v>34</v>
      </c>
      <c r="F2094">
        <v>25</v>
      </c>
      <c r="G2094" s="7">
        <v>26170</v>
      </c>
      <c r="H2094">
        <v>0</v>
      </c>
      <c r="I2094" s="3" t="s">
        <v>10467</v>
      </c>
      <c r="J2094" s="3" t="s">
        <v>10</v>
      </c>
      <c r="K2094" s="3" t="s">
        <v>10</v>
      </c>
      <c r="L2094" s="3" t="s">
        <v>41</v>
      </c>
      <c r="M2094">
        <v>55</v>
      </c>
      <c r="N2094" s="3"/>
    </row>
    <row r="2095" spans="1:14" x14ac:dyDescent="0.25">
      <c r="A2095" s="3" t="s">
        <v>2125</v>
      </c>
      <c r="B2095">
        <v>1975</v>
      </c>
      <c r="C2095">
        <v>1975</v>
      </c>
      <c r="D2095" s="3" t="s">
        <v>9</v>
      </c>
      <c r="E2095" s="3" t="s">
        <v>9</v>
      </c>
      <c r="F2095">
        <v>21</v>
      </c>
      <c r="G2095" s="7">
        <v>27596</v>
      </c>
      <c r="H2095">
        <v>1</v>
      </c>
      <c r="I2095" s="3" t="s">
        <v>10468</v>
      </c>
      <c r="J2095" s="3" t="s">
        <v>10</v>
      </c>
      <c r="K2095" s="3" t="s">
        <v>15</v>
      </c>
      <c r="L2095" s="3" t="s">
        <v>22</v>
      </c>
      <c r="M2095">
        <v>51</v>
      </c>
      <c r="N2095" s="3"/>
    </row>
    <row r="2096" spans="1:14" x14ac:dyDescent="0.25">
      <c r="A2096" s="3" t="s">
        <v>2126</v>
      </c>
      <c r="B2096">
        <v>1962</v>
      </c>
      <c r="C2096">
        <v>1962</v>
      </c>
      <c r="D2096" s="3" t="s">
        <v>9</v>
      </c>
      <c r="E2096" s="3" t="s">
        <v>9</v>
      </c>
      <c r="F2096">
        <v>5</v>
      </c>
      <c r="G2096" s="7">
        <v>22832</v>
      </c>
      <c r="H2096">
        <v>0</v>
      </c>
      <c r="I2096" s="3" t="s">
        <v>10469</v>
      </c>
      <c r="J2096" s="3" t="s">
        <v>15</v>
      </c>
      <c r="K2096" s="3" t="s">
        <v>15</v>
      </c>
      <c r="L2096" s="3" t="s">
        <v>41</v>
      </c>
      <c r="M2096">
        <v>64</v>
      </c>
      <c r="N2096" s="3"/>
    </row>
    <row r="2097" spans="1:14" x14ac:dyDescent="0.25">
      <c r="A2097" s="3" t="s">
        <v>2127</v>
      </c>
      <c r="B2097">
        <v>1998</v>
      </c>
      <c r="C2097">
        <v>1998</v>
      </c>
      <c r="D2097" s="3" t="s">
        <v>17</v>
      </c>
      <c r="E2097" s="3" t="s">
        <v>17</v>
      </c>
      <c r="F2097">
        <v>11</v>
      </c>
      <c r="G2097" s="7">
        <v>35957</v>
      </c>
      <c r="H2097">
        <v>0</v>
      </c>
      <c r="I2097" s="3" t="s">
        <v>10470</v>
      </c>
      <c r="J2097" s="3" t="s">
        <v>15</v>
      </c>
      <c r="K2097" s="3" t="s">
        <v>11</v>
      </c>
      <c r="L2097" s="3" t="s">
        <v>165</v>
      </c>
      <c r="M2097">
        <v>28</v>
      </c>
      <c r="N2097" s="3"/>
    </row>
    <row r="2098" spans="1:14" x14ac:dyDescent="0.25">
      <c r="A2098" s="3" t="s">
        <v>2128</v>
      </c>
      <c r="B2098">
        <v>1995</v>
      </c>
      <c r="C2098">
        <v>1995</v>
      </c>
      <c r="D2098" s="3" t="s">
        <v>36</v>
      </c>
      <c r="E2098" s="3" t="s">
        <v>36</v>
      </c>
      <c r="F2098">
        <v>30</v>
      </c>
      <c r="G2098" s="7">
        <v>35002</v>
      </c>
      <c r="H2098">
        <v>0</v>
      </c>
      <c r="I2098" s="3" t="s">
        <v>10471</v>
      </c>
      <c r="J2098" s="3" t="s">
        <v>15</v>
      </c>
      <c r="K2098" s="3" t="s">
        <v>15</v>
      </c>
      <c r="L2098" s="3" t="s">
        <v>41</v>
      </c>
      <c r="M2098">
        <v>31</v>
      </c>
      <c r="N2098" s="3"/>
    </row>
    <row r="2099" spans="1:14" x14ac:dyDescent="0.25">
      <c r="A2099" s="3" t="s">
        <v>2129</v>
      </c>
      <c r="B2099">
        <v>1986</v>
      </c>
      <c r="C2099">
        <v>1986</v>
      </c>
      <c r="D2099" s="3" t="s">
        <v>36</v>
      </c>
      <c r="E2099" s="3" t="s">
        <v>36</v>
      </c>
      <c r="F2099">
        <v>11</v>
      </c>
      <c r="G2099" s="7">
        <v>31696</v>
      </c>
      <c r="H2099">
        <v>3</v>
      </c>
      <c r="I2099" s="3" t="s">
        <v>10472</v>
      </c>
      <c r="J2099" s="3" t="s">
        <v>15</v>
      </c>
      <c r="K2099" s="3" t="s">
        <v>10</v>
      </c>
      <c r="L2099" s="3" t="s">
        <v>41</v>
      </c>
      <c r="M2099">
        <v>40</v>
      </c>
      <c r="N2099" s="3"/>
    </row>
    <row r="2100" spans="1:14" x14ac:dyDescent="0.25">
      <c r="A2100" s="3" t="s">
        <v>2130</v>
      </c>
      <c r="B2100">
        <v>2004</v>
      </c>
      <c r="C2100">
        <v>2004</v>
      </c>
      <c r="D2100" s="3" t="s">
        <v>14</v>
      </c>
      <c r="E2100" s="3" t="s">
        <v>14</v>
      </c>
      <c r="F2100">
        <v>1</v>
      </c>
      <c r="G2100" s="7">
        <v>38292</v>
      </c>
      <c r="H2100">
        <v>2</v>
      </c>
      <c r="I2100" s="3" t="s">
        <v>10473</v>
      </c>
      <c r="J2100" s="3" t="s">
        <v>15</v>
      </c>
      <c r="K2100" s="3" t="s">
        <v>11</v>
      </c>
      <c r="L2100" s="3" t="s">
        <v>12</v>
      </c>
      <c r="M2100">
        <v>22</v>
      </c>
      <c r="N2100" s="3"/>
    </row>
    <row r="2101" spans="1:14" x14ac:dyDescent="0.25">
      <c r="A2101" s="3" t="s">
        <v>2131</v>
      </c>
      <c r="B2101">
        <v>1983</v>
      </c>
      <c r="C2101">
        <v>1983</v>
      </c>
      <c r="D2101" s="3" t="s">
        <v>36</v>
      </c>
      <c r="E2101" s="3" t="s">
        <v>36</v>
      </c>
      <c r="F2101">
        <v>2</v>
      </c>
      <c r="G2101" s="7">
        <v>30591</v>
      </c>
      <c r="H2101">
        <v>3</v>
      </c>
      <c r="I2101" s="3" t="s">
        <v>10474</v>
      </c>
      <c r="J2101" s="3" t="s">
        <v>10</v>
      </c>
      <c r="K2101" s="3" t="s">
        <v>10</v>
      </c>
      <c r="L2101" s="3" t="s">
        <v>22</v>
      </c>
      <c r="M2101">
        <v>43</v>
      </c>
      <c r="N2101" s="3"/>
    </row>
    <row r="2102" spans="1:14" x14ac:dyDescent="0.25">
      <c r="A2102" s="3" t="s">
        <v>2132</v>
      </c>
      <c r="B2102">
        <v>1984</v>
      </c>
      <c r="C2102">
        <v>1984</v>
      </c>
      <c r="D2102" s="3" t="s">
        <v>36</v>
      </c>
      <c r="E2102" s="3" t="s">
        <v>36</v>
      </c>
      <c r="F2102">
        <v>1</v>
      </c>
      <c r="G2102" s="7">
        <v>30956</v>
      </c>
      <c r="H2102">
        <v>3</v>
      </c>
      <c r="I2102" s="3" t="s">
        <v>10475</v>
      </c>
      <c r="J2102" s="3" t="s">
        <v>10</v>
      </c>
      <c r="K2102" s="3" t="s">
        <v>11</v>
      </c>
      <c r="L2102" s="3" t="s">
        <v>41</v>
      </c>
      <c r="M2102">
        <v>42</v>
      </c>
      <c r="N2102" s="3"/>
    </row>
    <row r="2103" spans="1:14" x14ac:dyDescent="0.25">
      <c r="A2103" s="3" t="s">
        <v>2133</v>
      </c>
      <c r="B2103">
        <v>2003</v>
      </c>
      <c r="C2103">
        <v>2003</v>
      </c>
      <c r="D2103" s="3" t="s">
        <v>36</v>
      </c>
      <c r="E2103" s="3" t="s">
        <v>36</v>
      </c>
      <c r="F2103">
        <v>5</v>
      </c>
      <c r="G2103" s="7">
        <v>37899</v>
      </c>
      <c r="H2103">
        <v>0</v>
      </c>
      <c r="I2103" s="3" t="s">
        <v>10476</v>
      </c>
      <c r="J2103" s="3" t="s">
        <v>10</v>
      </c>
      <c r="K2103" s="3" t="s">
        <v>15</v>
      </c>
      <c r="L2103" s="3" t="s">
        <v>12</v>
      </c>
      <c r="M2103">
        <v>23</v>
      </c>
      <c r="N2103" s="3"/>
    </row>
    <row r="2104" spans="1:14" x14ac:dyDescent="0.25">
      <c r="A2104" s="3" t="s">
        <v>2134</v>
      </c>
      <c r="B2104">
        <v>1990</v>
      </c>
      <c r="C2104">
        <v>1990</v>
      </c>
      <c r="D2104" s="3" t="s">
        <v>19</v>
      </c>
      <c r="E2104" s="3" t="s">
        <v>19</v>
      </c>
      <c r="F2104">
        <v>24</v>
      </c>
      <c r="G2104" s="7">
        <v>33140</v>
      </c>
      <c r="H2104">
        <v>3</v>
      </c>
      <c r="I2104" s="3" t="s">
        <v>10477</v>
      </c>
      <c r="J2104" s="3" t="s">
        <v>15</v>
      </c>
      <c r="K2104" s="3" t="s">
        <v>10</v>
      </c>
      <c r="L2104" s="3" t="s">
        <v>41</v>
      </c>
      <c r="M2104">
        <v>36</v>
      </c>
      <c r="N2104" s="3"/>
    </row>
    <row r="2105" spans="1:14" x14ac:dyDescent="0.25">
      <c r="A2105" s="3" t="s">
        <v>2135</v>
      </c>
      <c r="B2105">
        <v>1998</v>
      </c>
      <c r="C2105">
        <v>1998</v>
      </c>
      <c r="D2105" s="3" t="s">
        <v>17</v>
      </c>
      <c r="E2105" s="3" t="s">
        <v>17</v>
      </c>
      <c r="F2105">
        <v>24</v>
      </c>
      <c r="G2105" s="7">
        <v>35970</v>
      </c>
      <c r="H2105">
        <v>0</v>
      </c>
      <c r="I2105" s="3" t="s">
        <v>10478</v>
      </c>
      <c r="J2105" s="3" t="s">
        <v>15</v>
      </c>
      <c r="K2105" s="3" t="s">
        <v>11</v>
      </c>
      <c r="L2105" s="3" t="s">
        <v>41</v>
      </c>
      <c r="M2105">
        <v>28</v>
      </c>
      <c r="N2105" s="3"/>
    </row>
    <row r="2106" spans="1:14" x14ac:dyDescent="0.25">
      <c r="A2106" s="3" t="s">
        <v>2136</v>
      </c>
      <c r="B2106">
        <v>1976</v>
      </c>
      <c r="C2106">
        <v>1976</v>
      </c>
      <c r="D2106" s="3" t="s">
        <v>14</v>
      </c>
      <c r="E2106" s="3" t="s">
        <v>14</v>
      </c>
      <c r="F2106">
        <v>25</v>
      </c>
      <c r="G2106" s="7">
        <v>28089</v>
      </c>
      <c r="H2106">
        <v>2</v>
      </c>
      <c r="I2106" s="3" t="s">
        <v>10479</v>
      </c>
      <c r="J2106" s="3" t="s">
        <v>10</v>
      </c>
      <c r="K2106" s="3" t="s">
        <v>11</v>
      </c>
      <c r="L2106" s="3" t="s">
        <v>41</v>
      </c>
      <c r="M2106">
        <v>50</v>
      </c>
      <c r="N2106" s="3"/>
    </row>
    <row r="2107" spans="1:14" x14ac:dyDescent="0.25">
      <c r="A2107" s="3" t="s">
        <v>2137</v>
      </c>
      <c r="B2107">
        <v>2004</v>
      </c>
      <c r="C2107">
        <v>2004</v>
      </c>
      <c r="D2107" s="3" t="s">
        <v>36</v>
      </c>
      <c r="E2107" s="3" t="s">
        <v>36</v>
      </c>
      <c r="F2107">
        <v>9</v>
      </c>
      <c r="G2107" s="7">
        <v>38269</v>
      </c>
      <c r="H2107">
        <v>0</v>
      </c>
      <c r="I2107" s="3" t="s">
        <v>10480</v>
      </c>
      <c r="J2107" s="3" t="s">
        <v>15</v>
      </c>
      <c r="K2107" s="3" t="s">
        <v>11</v>
      </c>
      <c r="L2107" s="3" t="s">
        <v>167</v>
      </c>
      <c r="M2107">
        <v>22</v>
      </c>
      <c r="N2107" s="3"/>
    </row>
    <row r="2108" spans="1:14" x14ac:dyDescent="0.25">
      <c r="A2108" s="3" t="s">
        <v>2138</v>
      </c>
      <c r="B2108">
        <v>1994</v>
      </c>
      <c r="C2108">
        <v>1994</v>
      </c>
      <c r="D2108" s="3" t="s">
        <v>9</v>
      </c>
      <c r="E2108" s="3" t="s">
        <v>9</v>
      </c>
      <c r="F2108">
        <v>7</v>
      </c>
      <c r="G2108" s="7">
        <v>34522</v>
      </c>
      <c r="H2108">
        <v>0</v>
      </c>
      <c r="I2108" s="3" t="s">
        <v>10481</v>
      </c>
      <c r="J2108" s="3" t="s">
        <v>15</v>
      </c>
      <c r="K2108" s="3" t="s">
        <v>11</v>
      </c>
      <c r="L2108" s="3" t="s">
        <v>12</v>
      </c>
      <c r="M2108">
        <v>32</v>
      </c>
      <c r="N2108" s="3"/>
    </row>
    <row r="2109" spans="1:14" x14ac:dyDescent="0.25">
      <c r="A2109" s="3" t="s">
        <v>2139</v>
      </c>
      <c r="B2109">
        <v>2003</v>
      </c>
      <c r="C2109">
        <v>2003</v>
      </c>
      <c r="D2109" s="3" t="s">
        <v>9</v>
      </c>
      <c r="E2109" s="3" t="s">
        <v>9</v>
      </c>
      <c r="F2109">
        <v>3</v>
      </c>
      <c r="G2109" s="7">
        <v>37805</v>
      </c>
      <c r="H2109">
        <v>0</v>
      </c>
      <c r="I2109" s="3" t="s">
        <v>10482</v>
      </c>
      <c r="J2109" s="3" t="s">
        <v>15</v>
      </c>
      <c r="K2109" s="3" t="s">
        <v>10</v>
      </c>
      <c r="L2109" s="3" t="s">
        <v>41</v>
      </c>
      <c r="M2109">
        <v>23</v>
      </c>
      <c r="N2109" s="3"/>
    </row>
    <row r="2110" spans="1:14" x14ac:dyDescent="0.25">
      <c r="A2110" s="3" t="s">
        <v>2140</v>
      </c>
      <c r="B2110">
        <v>1995</v>
      </c>
      <c r="C2110">
        <v>1995</v>
      </c>
      <c r="D2110" s="3" t="s">
        <v>29</v>
      </c>
      <c r="E2110" s="3" t="s">
        <v>29</v>
      </c>
      <c r="F2110">
        <v>27</v>
      </c>
      <c r="G2110" s="7">
        <v>35060</v>
      </c>
      <c r="H2110">
        <v>1</v>
      </c>
      <c r="I2110" s="3" t="s">
        <v>10483</v>
      </c>
      <c r="J2110" s="3" t="s">
        <v>15</v>
      </c>
      <c r="K2110" s="3" t="s">
        <v>10</v>
      </c>
      <c r="L2110" s="3" t="s">
        <v>12</v>
      </c>
      <c r="M2110">
        <v>31</v>
      </c>
      <c r="N2110" s="3"/>
    </row>
    <row r="2111" spans="1:14" x14ac:dyDescent="0.25">
      <c r="A2111" s="3" t="s">
        <v>2141</v>
      </c>
      <c r="B2111">
        <v>2003</v>
      </c>
      <c r="C2111">
        <v>2003</v>
      </c>
      <c r="D2111" s="3" t="s">
        <v>19</v>
      </c>
      <c r="E2111" s="3" t="s">
        <v>19</v>
      </c>
      <c r="F2111">
        <v>17</v>
      </c>
      <c r="G2111" s="7">
        <v>37881</v>
      </c>
      <c r="H2111">
        <v>0</v>
      </c>
      <c r="I2111" s="3" t="s">
        <v>10484</v>
      </c>
      <c r="J2111" s="3" t="s">
        <v>15</v>
      </c>
      <c r="K2111" s="3" t="s">
        <v>11</v>
      </c>
      <c r="L2111" s="3" t="s">
        <v>41</v>
      </c>
      <c r="M2111">
        <v>23</v>
      </c>
      <c r="N2111" s="3"/>
    </row>
    <row r="2112" spans="1:14" x14ac:dyDescent="0.25">
      <c r="A2112" s="3" t="s">
        <v>2142</v>
      </c>
      <c r="B2112">
        <v>1995</v>
      </c>
      <c r="C2112">
        <v>1995</v>
      </c>
      <c r="D2112" s="3" t="s">
        <v>36</v>
      </c>
      <c r="E2112" s="3" t="s">
        <v>36</v>
      </c>
      <c r="F2112">
        <v>17</v>
      </c>
      <c r="G2112" s="7">
        <v>34989</v>
      </c>
      <c r="H2112">
        <v>0</v>
      </c>
      <c r="I2112" s="3" t="s">
        <v>10485</v>
      </c>
      <c r="J2112" s="3" t="s">
        <v>10</v>
      </c>
      <c r="K2112" s="3" t="s">
        <v>11</v>
      </c>
      <c r="L2112" s="3" t="s">
        <v>41</v>
      </c>
      <c r="M2112">
        <v>31</v>
      </c>
      <c r="N2112" s="3"/>
    </row>
    <row r="2113" spans="1:14" x14ac:dyDescent="0.25">
      <c r="A2113" s="3" t="s">
        <v>2143</v>
      </c>
      <c r="B2113">
        <v>1983</v>
      </c>
      <c r="C2113">
        <v>1983</v>
      </c>
      <c r="D2113" s="3" t="s">
        <v>9</v>
      </c>
      <c r="E2113" s="3" t="s">
        <v>9</v>
      </c>
      <c r="F2113">
        <v>29</v>
      </c>
      <c r="G2113" s="7">
        <v>30526</v>
      </c>
      <c r="H2113">
        <v>3</v>
      </c>
      <c r="I2113" s="3" t="s">
        <v>10486</v>
      </c>
      <c r="J2113" s="3" t="s">
        <v>10</v>
      </c>
      <c r="K2113" s="3" t="s">
        <v>11</v>
      </c>
      <c r="L2113" s="3" t="s">
        <v>41</v>
      </c>
      <c r="M2113">
        <v>43</v>
      </c>
      <c r="N2113" s="3"/>
    </row>
    <row r="2114" spans="1:14" x14ac:dyDescent="0.25">
      <c r="A2114" s="3" t="s">
        <v>2144</v>
      </c>
      <c r="B2114">
        <v>1967</v>
      </c>
      <c r="C2114">
        <v>1967</v>
      </c>
      <c r="D2114" s="3" t="s">
        <v>36</v>
      </c>
      <c r="E2114" s="3" t="s">
        <v>36</v>
      </c>
      <c r="F2114">
        <v>7</v>
      </c>
      <c r="G2114" s="7">
        <v>24752</v>
      </c>
      <c r="H2114">
        <v>0</v>
      </c>
      <c r="I2114" s="3" t="s">
        <v>10487</v>
      </c>
      <c r="J2114" s="3" t="s">
        <v>10</v>
      </c>
      <c r="K2114" s="3" t="s">
        <v>10</v>
      </c>
      <c r="L2114" s="3" t="s">
        <v>41</v>
      </c>
      <c r="M2114">
        <v>59</v>
      </c>
      <c r="N2114" s="3"/>
    </row>
    <row r="2115" spans="1:14" x14ac:dyDescent="0.25">
      <c r="A2115" s="3" t="s">
        <v>2145</v>
      </c>
      <c r="B2115">
        <v>1998</v>
      </c>
      <c r="C2115">
        <v>1998</v>
      </c>
      <c r="D2115" s="3" t="s">
        <v>34</v>
      </c>
      <c r="E2115" s="3" t="s">
        <v>34</v>
      </c>
      <c r="F2115">
        <v>22</v>
      </c>
      <c r="G2115" s="7">
        <v>36029</v>
      </c>
      <c r="H2115">
        <v>0</v>
      </c>
      <c r="I2115" s="3" t="s">
        <v>10488</v>
      </c>
      <c r="J2115" s="3" t="s">
        <v>10</v>
      </c>
      <c r="K2115" s="3" t="s">
        <v>15</v>
      </c>
      <c r="L2115" s="3" t="s">
        <v>41</v>
      </c>
      <c r="M2115">
        <v>28</v>
      </c>
      <c r="N2115" s="3"/>
    </row>
    <row r="2116" spans="1:14" x14ac:dyDescent="0.25">
      <c r="A2116" s="3" t="s">
        <v>2146</v>
      </c>
      <c r="B2116">
        <v>1997</v>
      </c>
      <c r="C2116">
        <v>1997</v>
      </c>
      <c r="D2116" s="3" t="s">
        <v>34</v>
      </c>
      <c r="E2116" s="3" t="s">
        <v>34</v>
      </c>
      <c r="F2116">
        <v>22</v>
      </c>
      <c r="G2116" s="7">
        <v>35664</v>
      </c>
      <c r="H2116">
        <v>0</v>
      </c>
      <c r="I2116" s="3" t="s">
        <v>10489</v>
      </c>
      <c r="J2116" s="3" t="s">
        <v>10</v>
      </c>
      <c r="K2116" s="3" t="s">
        <v>10</v>
      </c>
      <c r="L2116" s="3" t="s">
        <v>41</v>
      </c>
      <c r="M2116">
        <v>29</v>
      </c>
      <c r="N2116" s="3"/>
    </row>
    <row r="2117" spans="1:14" x14ac:dyDescent="0.25">
      <c r="A2117" s="3" t="s">
        <v>2147</v>
      </c>
      <c r="B2117">
        <v>1982</v>
      </c>
      <c r="C2117">
        <v>1982</v>
      </c>
      <c r="D2117" s="3" t="s">
        <v>9</v>
      </c>
      <c r="E2117" s="3" t="s">
        <v>9</v>
      </c>
      <c r="F2117">
        <v>5</v>
      </c>
      <c r="G2117" s="7">
        <v>30137</v>
      </c>
      <c r="H2117">
        <v>3</v>
      </c>
      <c r="I2117" s="3" t="s">
        <v>10490</v>
      </c>
      <c r="J2117" s="3" t="s">
        <v>10</v>
      </c>
      <c r="K2117" s="3" t="s">
        <v>11</v>
      </c>
      <c r="L2117" s="3" t="s">
        <v>41</v>
      </c>
      <c r="M2117">
        <v>44</v>
      </c>
      <c r="N2117" s="3"/>
    </row>
    <row r="2118" spans="1:14" x14ac:dyDescent="0.25">
      <c r="A2118" s="3" t="s">
        <v>2148</v>
      </c>
      <c r="B2118">
        <v>1975</v>
      </c>
      <c r="C2118">
        <v>1975</v>
      </c>
      <c r="D2118" s="3" t="s">
        <v>34</v>
      </c>
      <c r="E2118" s="3" t="s">
        <v>34</v>
      </c>
      <c r="F2118">
        <v>29</v>
      </c>
      <c r="G2118" s="7">
        <v>27635</v>
      </c>
      <c r="H2118">
        <v>1</v>
      </c>
      <c r="I2118" s="3" t="s">
        <v>10491</v>
      </c>
      <c r="J2118" s="3" t="s">
        <v>10</v>
      </c>
      <c r="K2118" s="3" t="s">
        <v>15</v>
      </c>
      <c r="L2118" s="3" t="s">
        <v>41</v>
      </c>
      <c r="M2118">
        <v>51</v>
      </c>
      <c r="N2118" s="3"/>
    </row>
    <row r="2119" spans="1:14" x14ac:dyDescent="0.25">
      <c r="A2119" s="3" t="s">
        <v>2149</v>
      </c>
      <c r="B2119">
        <v>1977</v>
      </c>
      <c r="C2119">
        <v>1977</v>
      </c>
      <c r="D2119" s="3" t="s">
        <v>17</v>
      </c>
      <c r="E2119" s="3" t="s">
        <v>17</v>
      </c>
      <c r="F2119">
        <v>29</v>
      </c>
      <c r="G2119" s="7">
        <v>28305</v>
      </c>
      <c r="H2119">
        <v>0</v>
      </c>
      <c r="I2119" s="3" t="s">
        <v>10492</v>
      </c>
      <c r="J2119" s="3" t="s">
        <v>15</v>
      </c>
      <c r="K2119" s="3" t="s">
        <v>15</v>
      </c>
      <c r="L2119" s="3" t="s">
        <v>355</v>
      </c>
      <c r="M2119">
        <v>49</v>
      </c>
      <c r="N2119" s="3"/>
    </row>
    <row r="2120" spans="1:14" x14ac:dyDescent="0.25">
      <c r="A2120" s="3" t="s">
        <v>2150</v>
      </c>
      <c r="B2120">
        <v>1998</v>
      </c>
      <c r="C2120">
        <v>1998</v>
      </c>
      <c r="D2120" s="3" t="s">
        <v>29</v>
      </c>
      <c r="E2120" s="3" t="s">
        <v>29</v>
      </c>
      <c r="F2120">
        <v>22</v>
      </c>
      <c r="G2120" s="7">
        <v>36151</v>
      </c>
      <c r="H2120">
        <v>0</v>
      </c>
      <c r="I2120" s="3" t="s">
        <v>10493</v>
      </c>
      <c r="J2120" s="3" t="s">
        <v>15</v>
      </c>
      <c r="K2120" s="3" t="s">
        <v>15</v>
      </c>
      <c r="L2120" s="3" t="s">
        <v>167</v>
      </c>
      <c r="M2120">
        <v>28</v>
      </c>
      <c r="N2120" s="3"/>
    </row>
    <row r="2121" spans="1:14" x14ac:dyDescent="0.25">
      <c r="A2121" s="3" t="s">
        <v>2151</v>
      </c>
      <c r="B2121">
        <v>1967</v>
      </c>
      <c r="C2121">
        <v>1967</v>
      </c>
      <c r="D2121" s="3" t="s">
        <v>29</v>
      </c>
      <c r="E2121" s="3" t="s">
        <v>29</v>
      </c>
      <c r="F2121">
        <v>30</v>
      </c>
      <c r="G2121" s="7">
        <v>24836</v>
      </c>
      <c r="H2121">
        <v>1</v>
      </c>
      <c r="I2121" s="3" t="s">
        <v>10494</v>
      </c>
      <c r="J2121" s="3" t="s">
        <v>10</v>
      </c>
      <c r="K2121" s="3" t="s">
        <v>10</v>
      </c>
      <c r="L2121" s="3" t="s">
        <v>41</v>
      </c>
      <c r="M2121">
        <v>59</v>
      </c>
      <c r="N2121" s="3"/>
    </row>
    <row r="2122" spans="1:14" x14ac:dyDescent="0.25">
      <c r="A2122" s="3" t="s">
        <v>2152</v>
      </c>
      <c r="B2122">
        <v>1997</v>
      </c>
      <c r="C2122">
        <v>1997</v>
      </c>
      <c r="D2122" s="3" t="s">
        <v>9</v>
      </c>
      <c r="E2122" s="3" t="s">
        <v>9</v>
      </c>
      <c r="F2122">
        <v>9</v>
      </c>
      <c r="G2122" s="7">
        <v>35620</v>
      </c>
      <c r="H2122">
        <v>0</v>
      </c>
      <c r="I2122" s="3" t="s">
        <v>10495</v>
      </c>
      <c r="J2122" s="3" t="s">
        <v>15</v>
      </c>
      <c r="K2122" s="3" t="s">
        <v>10</v>
      </c>
      <c r="L2122" s="3" t="s">
        <v>41</v>
      </c>
      <c r="M2122">
        <v>29</v>
      </c>
      <c r="N2122" s="3"/>
    </row>
    <row r="2123" spans="1:14" x14ac:dyDescent="0.25">
      <c r="A2123" s="3" t="s">
        <v>2153</v>
      </c>
      <c r="B2123">
        <v>1988</v>
      </c>
      <c r="C2123">
        <v>1988</v>
      </c>
      <c r="D2123" s="3" t="s">
        <v>19</v>
      </c>
      <c r="E2123" s="3" t="s">
        <v>19</v>
      </c>
      <c r="F2123">
        <v>19</v>
      </c>
      <c r="G2123" s="7">
        <v>32405</v>
      </c>
      <c r="H2123">
        <v>3</v>
      </c>
      <c r="I2123" s="3" t="s">
        <v>10496</v>
      </c>
      <c r="J2123" s="3" t="s">
        <v>10</v>
      </c>
      <c r="K2123" s="3" t="s">
        <v>15</v>
      </c>
      <c r="L2123" s="3" t="s">
        <v>41</v>
      </c>
      <c r="M2123">
        <v>38</v>
      </c>
      <c r="N2123" s="3"/>
    </row>
    <row r="2124" spans="1:14" x14ac:dyDescent="0.25">
      <c r="A2124" s="3" t="s">
        <v>2154</v>
      </c>
      <c r="B2124">
        <v>1971</v>
      </c>
      <c r="C2124">
        <v>1971</v>
      </c>
      <c r="D2124" s="3" t="s">
        <v>19</v>
      </c>
      <c r="E2124" s="3" t="s">
        <v>19</v>
      </c>
      <c r="F2124">
        <v>22</v>
      </c>
      <c r="G2124" s="7">
        <v>26198</v>
      </c>
      <c r="H2124">
        <v>0</v>
      </c>
      <c r="I2124" s="3" t="s">
        <v>10497</v>
      </c>
      <c r="J2124" s="3" t="s">
        <v>10</v>
      </c>
      <c r="K2124" s="3" t="s">
        <v>11</v>
      </c>
      <c r="L2124" s="3" t="s">
        <v>41</v>
      </c>
      <c r="M2124">
        <v>55</v>
      </c>
      <c r="N2124" s="3"/>
    </row>
    <row r="2125" spans="1:14" x14ac:dyDescent="0.25">
      <c r="A2125" s="3" t="s">
        <v>2155</v>
      </c>
      <c r="B2125">
        <v>1988</v>
      </c>
      <c r="C2125">
        <v>1988</v>
      </c>
      <c r="D2125" s="3" t="s">
        <v>14</v>
      </c>
      <c r="E2125" s="3" t="s">
        <v>14</v>
      </c>
      <c r="F2125">
        <v>20</v>
      </c>
      <c r="G2125" s="7">
        <v>32467</v>
      </c>
      <c r="H2125">
        <v>0</v>
      </c>
      <c r="I2125" s="3" t="s">
        <v>10498</v>
      </c>
      <c r="J2125" s="3" t="s">
        <v>15</v>
      </c>
      <c r="K2125" s="3" t="s">
        <v>10</v>
      </c>
      <c r="L2125" s="3" t="s">
        <v>41</v>
      </c>
      <c r="M2125">
        <v>38</v>
      </c>
      <c r="N2125" s="3"/>
    </row>
    <row r="2126" spans="1:14" x14ac:dyDescent="0.25">
      <c r="A2126" s="3" t="s">
        <v>2156</v>
      </c>
      <c r="B2126">
        <v>1973</v>
      </c>
      <c r="C2126">
        <v>1973</v>
      </c>
      <c r="D2126" s="3" t="s">
        <v>29</v>
      </c>
      <c r="E2126" s="3" t="s">
        <v>29</v>
      </c>
      <c r="F2126">
        <v>16</v>
      </c>
      <c r="G2126" s="7">
        <v>27014</v>
      </c>
      <c r="H2126">
        <v>0</v>
      </c>
      <c r="I2126" s="3" t="s">
        <v>10499</v>
      </c>
      <c r="J2126" s="3" t="s">
        <v>10</v>
      </c>
      <c r="K2126" s="3" t="s">
        <v>10</v>
      </c>
      <c r="L2126" s="3" t="s">
        <v>41</v>
      </c>
      <c r="M2126">
        <v>53</v>
      </c>
      <c r="N2126" s="3"/>
    </row>
    <row r="2127" spans="1:14" x14ac:dyDescent="0.25">
      <c r="A2127" s="3" t="s">
        <v>2157</v>
      </c>
      <c r="B2127">
        <v>1992</v>
      </c>
      <c r="C2127">
        <v>1992</v>
      </c>
      <c r="D2127" s="3" t="s">
        <v>19</v>
      </c>
      <c r="E2127" s="3" t="s">
        <v>19</v>
      </c>
      <c r="F2127">
        <v>13</v>
      </c>
      <c r="G2127" s="7">
        <v>33860</v>
      </c>
      <c r="H2127">
        <v>0</v>
      </c>
      <c r="I2127" s="3" t="s">
        <v>10500</v>
      </c>
      <c r="J2127" s="3" t="s">
        <v>10</v>
      </c>
      <c r="K2127" s="3" t="s">
        <v>11</v>
      </c>
      <c r="L2127" s="3" t="s">
        <v>41</v>
      </c>
      <c r="M2127">
        <v>34</v>
      </c>
      <c r="N2127" s="3"/>
    </row>
    <row r="2128" spans="1:14" x14ac:dyDescent="0.25">
      <c r="A2128" s="3" t="s">
        <v>2158</v>
      </c>
      <c r="B2128">
        <v>1973</v>
      </c>
      <c r="C2128">
        <v>1973</v>
      </c>
      <c r="D2128" s="3" t="s">
        <v>36</v>
      </c>
      <c r="E2128" s="3" t="s">
        <v>36</v>
      </c>
      <c r="F2128">
        <v>27</v>
      </c>
      <c r="G2128" s="7">
        <v>26964</v>
      </c>
      <c r="H2128">
        <v>0</v>
      </c>
      <c r="I2128" s="3" t="s">
        <v>10501</v>
      </c>
      <c r="J2128" s="3" t="s">
        <v>15</v>
      </c>
      <c r="K2128" s="3" t="s">
        <v>15</v>
      </c>
      <c r="L2128" s="3" t="s">
        <v>41</v>
      </c>
      <c r="M2128">
        <v>53</v>
      </c>
      <c r="N2128" s="3"/>
    </row>
    <row r="2129" spans="1:14" x14ac:dyDescent="0.25">
      <c r="A2129" s="3" t="s">
        <v>2159</v>
      </c>
      <c r="B2129">
        <v>1964</v>
      </c>
      <c r="C2129">
        <v>1964</v>
      </c>
      <c r="D2129" s="3" t="s">
        <v>34</v>
      </c>
      <c r="E2129" s="3" t="s">
        <v>34</v>
      </c>
      <c r="F2129">
        <v>29</v>
      </c>
      <c r="G2129" s="7">
        <v>23618</v>
      </c>
      <c r="H2129">
        <v>0</v>
      </c>
      <c r="I2129" s="3" t="s">
        <v>10502</v>
      </c>
      <c r="J2129" s="3" t="s">
        <v>10</v>
      </c>
      <c r="K2129" s="3" t="s">
        <v>15</v>
      </c>
      <c r="L2129" s="3" t="s">
        <v>41</v>
      </c>
      <c r="M2129">
        <v>62</v>
      </c>
      <c r="N2129" s="3"/>
    </row>
    <row r="2130" spans="1:14" x14ac:dyDescent="0.25">
      <c r="A2130" s="3" t="s">
        <v>2160</v>
      </c>
      <c r="B2130">
        <v>1971</v>
      </c>
      <c r="C2130">
        <v>1971</v>
      </c>
      <c r="D2130" s="3" t="s">
        <v>34</v>
      </c>
      <c r="E2130" s="3" t="s">
        <v>34</v>
      </c>
      <c r="F2130">
        <v>10</v>
      </c>
      <c r="G2130" s="7">
        <v>26155</v>
      </c>
      <c r="H2130">
        <v>0</v>
      </c>
      <c r="I2130" s="3" t="s">
        <v>10503</v>
      </c>
      <c r="J2130" s="3" t="s">
        <v>15</v>
      </c>
      <c r="K2130" s="3" t="s">
        <v>11</v>
      </c>
      <c r="L2130" s="3" t="s">
        <v>41</v>
      </c>
      <c r="M2130">
        <v>55</v>
      </c>
      <c r="N2130" s="3"/>
    </row>
    <row r="2131" spans="1:14" x14ac:dyDescent="0.25">
      <c r="A2131" s="3" t="s">
        <v>30</v>
      </c>
      <c r="B2131">
        <v>2000</v>
      </c>
      <c r="C2131">
        <v>2000</v>
      </c>
      <c r="D2131" s="3" t="s">
        <v>36</v>
      </c>
      <c r="E2131" s="3" t="s">
        <v>36</v>
      </c>
      <c r="F2131">
        <v>13</v>
      </c>
      <c r="G2131" s="7">
        <v>36812</v>
      </c>
      <c r="H2131">
        <v>0</v>
      </c>
      <c r="I2131" s="3" t="s">
        <v>10504</v>
      </c>
      <c r="J2131" s="3" t="s">
        <v>15</v>
      </c>
      <c r="K2131" s="3" t="s">
        <v>10</v>
      </c>
      <c r="L2131" s="3" t="s">
        <v>41</v>
      </c>
      <c r="M2131">
        <v>26</v>
      </c>
      <c r="N2131" s="3"/>
    </row>
    <row r="2132" spans="1:14" x14ac:dyDescent="0.25">
      <c r="A2132" s="3" t="s">
        <v>2161</v>
      </c>
      <c r="B2132">
        <v>2000</v>
      </c>
      <c r="C2132">
        <v>2000</v>
      </c>
      <c r="D2132" s="3" t="s">
        <v>14</v>
      </c>
      <c r="E2132" s="3" t="s">
        <v>14</v>
      </c>
      <c r="F2132">
        <v>19</v>
      </c>
      <c r="G2132" s="7">
        <v>36849</v>
      </c>
      <c r="H2132">
        <v>0</v>
      </c>
      <c r="I2132" s="3" t="s">
        <v>10504</v>
      </c>
      <c r="J2132" s="3" t="s">
        <v>10</v>
      </c>
      <c r="K2132" s="3" t="s">
        <v>11</v>
      </c>
      <c r="L2132" s="3" t="s">
        <v>41</v>
      </c>
      <c r="M2132">
        <v>26</v>
      </c>
      <c r="N2132" s="3"/>
    </row>
    <row r="2133" spans="1:14" x14ac:dyDescent="0.25">
      <c r="A2133" s="3" t="s">
        <v>2162</v>
      </c>
      <c r="B2133">
        <v>2000</v>
      </c>
      <c r="C2133">
        <v>2000</v>
      </c>
      <c r="D2133" s="3" t="s">
        <v>29</v>
      </c>
      <c r="E2133" s="3" t="s">
        <v>29</v>
      </c>
      <c r="F2133">
        <v>17</v>
      </c>
      <c r="G2133" s="7">
        <v>36877</v>
      </c>
      <c r="H2133">
        <v>3</v>
      </c>
      <c r="I2133" s="3" t="s">
        <v>10505</v>
      </c>
      <c r="J2133" s="3" t="s">
        <v>10</v>
      </c>
      <c r="K2133" s="3" t="s">
        <v>11</v>
      </c>
      <c r="L2133" s="3" t="s">
        <v>12</v>
      </c>
      <c r="M2133">
        <v>26</v>
      </c>
      <c r="N2133" s="3"/>
    </row>
    <row r="2134" spans="1:14" x14ac:dyDescent="0.25">
      <c r="A2134" s="3" t="s">
        <v>2163</v>
      </c>
      <c r="B2134">
        <v>1978</v>
      </c>
      <c r="C2134">
        <v>1978</v>
      </c>
      <c r="D2134" s="3" t="s">
        <v>29</v>
      </c>
      <c r="E2134" s="3" t="s">
        <v>29</v>
      </c>
      <c r="F2134">
        <v>19</v>
      </c>
      <c r="G2134" s="7">
        <v>28843</v>
      </c>
      <c r="H2134">
        <v>2</v>
      </c>
      <c r="I2134" s="3" t="s">
        <v>10506</v>
      </c>
      <c r="J2134" s="3" t="s">
        <v>10</v>
      </c>
      <c r="K2134" s="3" t="s">
        <v>15</v>
      </c>
      <c r="L2134" s="3" t="s">
        <v>41</v>
      </c>
      <c r="M2134">
        <v>48</v>
      </c>
      <c r="N2134" s="3"/>
    </row>
    <row r="2135" spans="1:14" x14ac:dyDescent="0.25">
      <c r="A2135" s="3" t="s">
        <v>2164</v>
      </c>
      <c r="B2135">
        <v>1974</v>
      </c>
      <c r="C2135">
        <v>1974</v>
      </c>
      <c r="D2135" s="3" t="s">
        <v>9</v>
      </c>
      <c r="E2135" s="3" t="s">
        <v>9</v>
      </c>
      <c r="F2135">
        <v>15</v>
      </c>
      <c r="G2135" s="7">
        <v>27225</v>
      </c>
      <c r="H2135">
        <v>0</v>
      </c>
      <c r="I2135" s="3" t="s">
        <v>10507</v>
      </c>
      <c r="J2135" s="3" t="s">
        <v>10</v>
      </c>
      <c r="K2135" s="3" t="s">
        <v>11</v>
      </c>
      <c r="L2135" s="3" t="s">
        <v>22</v>
      </c>
      <c r="M2135">
        <v>52</v>
      </c>
      <c r="N2135" s="3"/>
    </row>
    <row r="2136" spans="1:14" x14ac:dyDescent="0.25">
      <c r="A2136" s="3" t="s">
        <v>2165</v>
      </c>
      <c r="B2136">
        <v>1976</v>
      </c>
      <c r="C2136">
        <v>1976</v>
      </c>
      <c r="D2136" s="3" t="s">
        <v>36</v>
      </c>
      <c r="E2136" s="3" t="s">
        <v>36</v>
      </c>
      <c r="F2136">
        <v>4</v>
      </c>
      <c r="G2136" s="7">
        <v>28037</v>
      </c>
      <c r="H2136">
        <v>2</v>
      </c>
      <c r="I2136" s="3" t="s">
        <v>10508</v>
      </c>
      <c r="J2136" s="3" t="s">
        <v>10</v>
      </c>
      <c r="K2136" s="3" t="s">
        <v>10</v>
      </c>
      <c r="L2136" s="3" t="s">
        <v>41</v>
      </c>
      <c r="M2136">
        <v>50</v>
      </c>
      <c r="N2136" s="3"/>
    </row>
    <row r="2137" spans="1:14" x14ac:dyDescent="0.25">
      <c r="A2137" s="3" t="s">
        <v>2166</v>
      </c>
      <c r="B2137">
        <v>1992</v>
      </c>
      <c r="C2137">
        <v>1992</v>
      </c>
      <c r="D2137" s="3" t="s">
        <v>17</v>
      </c>
      <c r="E2137" s="3" t="s">
        <v>17</v>
      </c>
      <c r="F2137">
        <v>18</v>
      </c>
      <c r="G2137" s="7">
        <v>33773</v>
      </c>
      <c r="H2137">
        <v>0</v>
      </c>
      <c r="I2137" s="3" t="s">
        <v>10509</v>
      </c>
      <c r="J2137" s="3" t="s">
        <v>10</v>
      </c>
      <c r="K2137" s="3" t="s">
        <v>15</v>
      </c>
      <c r="L2137" s="3" t="s">
        <v>41</v>
      </c>
      <c r="M2137">
        <v>34</v>
      </c>
      <c r="N2137" s="3"/>
    </row>
    <row r="2138" spans="1:14" x14ac:dyDescent="0.25">
      <c r="A2138" s="3" t="s">
        <v>2167</v>
      </c>
      <c r="B2138">
        <v>1981</v>
      </c>
      <c r="C2138">
        <v>1981</v>
      </c>
      <c r="D2138" s="3" t="s">
        <v>14</v>
      </c>
      <c r="E2138" s="3" t="s">
        <v>14</v>
      </c>
      <c r="F2138">
        <v>22</v>
      </c>
      <c r="G2138" s="7">
        <v>29912</v>
      </c>
      <c r="H2138">
        <v>1</v>
      </c>
      <c r="I2138" s="3" t="s">
        <v>10510</v>
      </c>
      <c r="J2138" s="3" t="s">
        <v>15</v>
      </c>
      <c r="K2138" s="3" t="s">
        <v>11</v>
      </c>
      <c r="L2138" s="3" t="s">
        <v>41</v>
      </c>
      <c r="M2138">
        <v>45</v>
      </c>
      <c r="N2138" s="3"/>
    </row>
    <row r="2139" spans="1:14" x14ac:dyDescent="0.25">
      <c r="A2139" s="3" t="s">
        <v>2168</v>
      </c>
      <c r="B2139">
        <v>1999</v>
      </c>
      <c r="C2139">
        <v>1999</v>
      </c>
      <c r="D2139" s="3" t="s">
        <v>19</v>
      </c>
      <c r="E2139" s="3" t="s">
        <v>19</v>
      </c>
      <c r="F2139">
        <v>4</v>
      </c>
      <c r="G2139" s="7">
        <v>36407</v>
      </c>
      <c r="H2139">
        <v>2</v>
      </c>
      <c r="I2139" s="3" t="s">
        <v>10511</v>
      </c>
      <c r="J2139" s="3" t="s">
        <v>10</v>
      </c>
      <c r="K2139" s="3" t="s">
        <v>11</v>
      </c>
      <c r="L2139" s="3" t="s">
        <v>12</v>
      </c>
      <c r="M2139">
        <v>27</v>
      </c>
      <c r="N2139" s="3"/>
    </row>
    <row r="2140" spans="1:14" x14ac:dyDescent="0.25">
      <c r="A2140" s="3" t="s">
        <v>2169</v>
      </c>
      <c r="B2140">
        <v>1963</v>
      </c>
      <c r="C2140">
        <v>1963</v>
      </c>
      <c r="D2140" s="3" t="s">
        <v>9</v>
      </c>
      <c r="E2140" s="3" t="s">
        <v>9</v>
      </c>
      <c r="F2140">
        <v>22</v>
      </c>
      <c r="G2140" s="7">
        <v>23214</v>
      </c>
      <c r="H2140">
        <v>0</v>
      </c>
      <c r="I2140" s="3" t="s">
        <v>10512</v>
      </c>
      <c r="J2140" s="3" t="s">
        <v>10</v>
      </c>
      <c r="K2140" s="3" t="s">
        <v>15</v>
      </c>
      <c r="L2140" s="3" t="s">
        <v>41</v>
      </c>
      <c r="M2140">
        <v>63</v>
      </c>
      <c r="N2140" s="3"/>
    </row>
    <row r="2141" spans="1:14" x14ac:dyDescent="0.25">
      <c r="A2141" s="3" t="s">
        <v>2170</v>
      </c>
      <c r="B2141">
        <v>1996</v>
      </c>
      <c r="C2141">
        <v>1996</v>
      </c>
      <c r="D2141" s="3" t="s">
        <v>34</v>
      </c>
      <c r="E2141" s="3" t="s">
        <v>34</v>
      </c>
      <c r="F2141">
        <v>20</v>
      </c>
      <c r="G2141" s="7">
        <v>35297</v>
      </c>
      <c r="H2141">
        <v>2</v>
      </c>
      <c r="I2141" s="3" t="s">
        <v>10513</v>
      </c>
      <c r="J2141" s="3" t="s">
        <v>15</v>
      </c>
      <c r="K2141" s="3" t="s">
        <v>15</v>
      </c>
      <c r="L2141" s="3" t="s">
        <v>41</v>
      </c>
      <c r="M2141">
        <v>30</v>
      </c>
      <c r="N2141" s="3"/>
    </row>
    <row r="2142" spans="1:14" x14ac:dyDescent="0.25">
      <c r="A2142" s="3" t="s">
        <v>2171</v>
      </c>
      <c r="B2142">
        <v>1979</v>
      </c>
      <c r="C2142">
        <v>1979</v>
      </c>
      <c r="D2142" s="3" t="s">
        <v>14</v>
      </c>
      <c r="E2142" s="3" t="s">
        <v>14</v>
      </c>
      <c r="F2142">
        <v>4</v>
      </c>
      <c r="G2142" s="7">
        <v>29163</v>
      </c>
      <c r="H2142">
        <v>2</v>
      </c>
      <c r="I2142" s="3" t="s">
        <v>10514</v>
      </c>
      <c r="J2142" s="3" t="s">
        <v>10</v>
      </c>
      <c r="K2142" s="3" t="s">
        <v>10</v>
      </c>
      <c r="L2142" s="3" t="s">
        <v>41</v>
      </c>
      <c r="M2142">
        <v>47</v>
      </c>
      <c r="N2142" s="3"/>
    </row>
    <row r="2143" spans="1:14" x14ac:dyDescent="0.25">
      <c r="A2143" s="3" t="s">
        <v>2172</v>
      </c>
      <c r="B2143">
        <v>1997</v>
      </c>
      <c r="C2143">
        <v>1997</v>
      </c>
      <c r="D2143" s="3" t="s">
        <v>17</v>
      </c>
      <c r="E2143" s="3" t="s">
        <v>17</v>
      </c>
      <c r="F2143">
        <v>12</v>
      </c>
      <c r="G2143" s="7">
        <v>35593</v>
      </c>
      <c r="H2143">
        <v>2</v>
      </c>
      <c r="I2143" s="3" t="s">
        <v>10515</v>
      </c>
      <c r="J2143" s="3" t="s">
        <v>15</v>
      </c>
      <c r="K2143" s="3" t="s">
        <v>11</v>
      </c>
      <c r="L2143" s="3" t="s">
        <v>12</v>
      </c>
      <c r="M2143">
        <v>29</v>
      </c>
      <c r="N2143" s="3"/>
    </row>
    <row r="2144" spans="1:14" x14ac:dyDescent="0.25">
      <c r="A2144" s="3" t="s">
        <v>2173</v>
      </c>
      <c r="B2144">
        <v>2004</v>
      </c>
      <c r="C2144">
        <v>2004</v>
      </c>
      <c r="D2144" s="3" t="s">
        <v>34</v>
      </c>
      <c r="E2144" s="3" t="s">
        <v>34</v>
      </c>
      <c r="F2144">
        <v>30</v>
      </c>
      <c r="G2144" s="7">
        <v>38229</v>
      </c>
      <c r="H2144">
        <v>0</v>
      </c>
      <c r="I2144" s="3" t="s">
        <v>10516</v>
      </c>
      <c r="J2144" s="3" t="s">
        <v>10</v>
      </c>
      <c r="K2144" s="3" t="s">
        <v>10</v>
      </c>
      <c r="L2144" s="3" t="s">
        <v>12</v>
      </c>
      <c r="M2144">
        <v>22</v>
      </c>
      <c r="N2144" s="3"/>
    </row>
    <row r="2145" spans="1:14" x14ac:dyDescent="0.25">
      <c r="A2145" s="3" t="s">
        <v>2174</v>
      </c>
      <c r="B2145">
        <v>1974</v>
      </c>
      <c r="C2145">
        <v>1974</v>
      </c>
      <c r="D2145" s="3" t="s">
        <v>29</v>
      </c>
      <c r="E2145" s="3" t="s">
        <v>29</v>
      </c>
      <c r="F2145">
        <v>6</v>
      </c>
      <c r="G2145" s="7">
        <v>27369</v>
      </c>
      <c r="H2145">
        <v>0</v>
      </c>
      <c r="I2145" s="3" t="s">
        <v>10517</v>
      </c>
      <c r="J2145" s="3" t="s">
        <v>10</v>
      </c>
      <c r="K2145" s="3" t="s">
        <v>11</v>
      </c>
      <c r="L2145" s="3" t="s">
        <v>22</v>
      </c>
      <c r="M2145">
        <v>52</v>
      </c>
      <c r="N2145" s="3"/>
    </row>
    <row r="2146" spans="1:14" x14ac:dyDescent="0.25">
      <c r="A2146" s="3" t="s">
        <v>2175</v>
      </c>
      <c r="B2146">
        <v>1999</v>
      </c>
      <c r="C2146">
        <v>1999</v>
      </c>
      <c r="D2146" s="3" t="s">
        <v>36</v>
      </c>
      <c r="E2146" s="3" t="s">
        <v>36</v>
      </c>
      <c r="F2146">
        <v>1</v>
      </c>
      <c r="G2146" s="7">
        <v>36434</v>
      </c>
      <c r="H2146">
        <v>3</v>
      </c>
      <c r="I2146" s="3" t="s">
        <v>10518</v>
      </c>
      <c r="J2146" s="3" t="s">
        <v>15</v>
      </c>
      <c r="K2146" s="3" t="s">
        <v>11</v>
      </c>
      <c r="L2146" s="3" t="s">
        <v>167</v>
      </c>
      <c r="M2146">
        <v>27</v>
      </c>
      <c r="N2146" s="3"/>
    </row>
    <row r="2147" spans="1:14" x14ac:dyDescent="0.25">
      <c r="A2147" s="3" t="s">
        <v>2176</v>
      </c>
      <c r="B2147">
        <v>1993</v>
      </c>
      <c r="C2147">
        <v>1993</v>
      </c>
      <c r="D2147" s="3" t="s">
        <v>29</v>
      </c>
      <c r="E2147" s="3" t="s">
        <v>29</v>
      </c>
      <c r="F2147">
        <v>28</v>
      </c>
      <c r="G2147" s="7">
        <v>34331</v>
      </c>
      <c r="H2147">
        <v>0</v>
      </c>
      <c r="I2147" s="3" t="s">
        <v>10519</v>
      </c>
      <c r="J2147" s="3" t="s">
        <v>15</v>
      </c>
      <c r="K2147" s="3" t="s">
        <v>11</v>
      </c>
      <c r="L2147" s="3" t="s">
        <v>41</v>
      </c>
      <c r="M2147">
        <v>33</v>
      </c>
      <c r="N2147" s="3"/>
    </row>
    <row r="2148" spans="1:14" x14ac:dyDescent="0.25">
      <c r="A2148" s="3" t="s">
        <v>2177</v>
      </c>
      <c r="B2148">
        <v>2003</v>
      </c>
      <c r="C2148">
        <v>2003</v>
      </c>
      <c r="D2148" s="3" t="s">
        <v>19</v>
      </c>
      <c r="E2148" s="3" t="s">
        <v>19</v>
      </c>
      <c r="F2148">
        <v>5</v>
      </c>
      <c r="G2148" s="7">
        <v>37869</v>
      </c>
      <c r="H2148">
        <v>0</v>
      </c>
      <c r="I2148" s="3" t="s">
        <v>10520</v>
      </c>
      <c r="J2148" s="3" t="s">
        <v>15</v>
      </c>
      <c r="K2148" s="3" t="s">
        <v>15</v>
      </c>
      <c r="L2148" s="3" t="s">
        <v>22</v>
      </c>
      <c r="M2148">
        <v>23</v>
      </c>
      <c r="N2148" s="3"/>
    </row>
    <row r="2149" spans="1:14" x14ac:dyDescent="0.25">
      <c r="A2149" s="3" t="s">
        <v>2178</v>
      </c>
      <c r="B2149">
        <v>2004</v>
      </c>
      <c r="C2149">
        <v>2004</v>
      </c>
      <c r="D2149" s="3" t="s">
        <v>29</v>
      </c>
      <c r="E2149" s="3" t="s">
        <v>29</v>
      </c>
      <c r="F2149">
        <v>25</v>
      </c>
      <c r="G2149" s="7">
        <v>38346</v>
      </c>
      <c r="H2149">
        <v>0</v>
      </c>
      <c r="I2149" s="3" t="s">
        <v>10521</v>
      </c>
      <c r="J2149" s="3" t="s">
        <v>15</v>
      </c>
      <c r="K2149" s="3" t="s">
        <v>10</v>
      </c>
      <c r="L2149" s="3" t="s">
        <v>12</v>
      </c>
      <c r="M2149">
        <v>22</v>
      </c>
      <c r="N2149" s="3"/>
    </row>
    <row r="2150" spans="1:14" x14ac:dyDescent="0.25">
      <c r="A2150" s="3" t="s">
        <v>2179</v>
      </c>
      <c r="B2150">
        <v>1992</v>
      </c>
      <c r="C2150">
        <v>1992</v>
      </c>
      <c r="D2150" s="3" t="s">
        <v>17</v>
      </c>
      <c r="E2150" s="3" t="s">
        <v>17</v>
      </c>
      <c r="F2150">
        <v>16</v>
      </c>
      <c r="G2150" s="7">
        <v>33771</v>
      </c>
      <c r="H2150">
        <v>0</v>
      </c>
      <c r="I2150" s="3" t="s">
        <v>10522</v>
      </c>
      <c r="J2150" s="3" t="s">
        <v>10</v>
      </c>
      <c r="K2150" s="3" t="s">
        <v>10</v>
      </c>
      <c r="L2150" s="3" t="s">
        <v>41</v>
      </c>
      <c r="M2150">
        <v>34</v>
      </c>
      <c r="N2150" s="3"/>
    </row>
    <row r="2151" spans="1:14" x14ac:dyDescent="0.25">
      <c r="A2151" s="3" t="s">
        <v>2180</v>
      </c>
      <c r="B2151">
        <v>1967</v>
      </c>
      <c r="C2151">
        <v>1967</v>
      </c>
      <c r="D2151" s="3" t="s">
        <v>36</v>
      </c>
      <c r="E2151" s="3" t="s">
        <v>36</v>
      </c>
      <c r="F2151">
        <v>18</v>
      </c>
      <c r="G2151" s="7">
        <v>24763</v>
      </c>
      <c r="H2151">
        <v>0</v>
      </c>
      <c r="I2151" s="3" t="s">
        <v>10523</v>
      </c>
      <c r="J2151" s="3" t="s">
        <v>15</v>
      </c>
      <c r="K2151" s="3" t="s">
        <v>11</v>
      </c>
      <c r="L2151" s="3" t="s">
        <v>41</v>
      </c>
      <c r="M2151">
        <v>59</v>
      </c>
      <c r="N2151" s="3"/>
    </row>
    <row r="2152" spans="1:14" x14ac:dyDescent="0.25">
      <c r="A2152" s="3" t="s">
        <v>2181</v>
      </c>
      <c r="B2152">
        <v>1975</v>
      </c>
      <c r="C2152">
        <v>1975</v>
      </c>
      <c r="D2152" s="3" t="s">
        <v>17</v>
      </c>
      <c r="E2152" s="3" t="s">
        <v>17</v>
      </c>
      <c r="F2152">
        <v>5</v>
      </c>
      <c r="G2152" s="7">
        <v>27550</v>
      </c>
      <c r="H2152">
        <v>1</v>
      </c>
      <c r="I2152" s="3" t="s">
        <v>10524</v>
      </c>
      <c r="J2152" s="3" t="s">
        <v>15</v>
      </c>
      <c r="K2152" s="3" t="s">
        <v>10</v>
      </c>
      <c r="L2152" s="3" t="s">
        <v>41</v>
      </c>
      <c r="M2152">
        <v>51</v>
      </c>
      <c r="N2152" s="3"/>
    </row>
    <row r="2153" spans="1:14" x14ac:dyDescent="0.25">
      <c r="A2153" s="3" t="s">
        <v>2182</v>
      </c>
      <c r="B2153">
        <v>2003</v>
      </c>
      <c r="C2153">
        <v>2003</v>
      </c>
      <c r="D2153" s="3" t="s">
        <v>29</v>
      </c>
      <c r="E2153" s="3" t="s">
        <v>29</v>
      </c>
      <c r="F2153">
        <v>9</v>
      </c>
      <c r="G2153" s="7">
        <v>37964</v>
      </c>
      <c r="H2153">
        <v>2</v>
      </c>
      <c r="I2153" s="3" t="s">
        <v>10525</v>
      </c>
      <c r="J2153" s="3" t="s">
        <v>10</v>
      </c>
      <c r="K2153" s="3" t="s">
        <v>11</v>
      </c>
      <c r="L2153" s="3" t="s">
        <v>41</v>
      </c>
      <c r="M2153">
        <v>23</v>
      </c>
      <c r="N2153" s="3"/>
    </row>
    <row r="2154" spans="1:14" x14ac:dyDescent="0.25">
      <c r="A2154" s="3" t="s">
        <v>2183</v>
      </c>
      <c r="B2154">
        <v>1962</v>
      </c>
      <c r="C2154">
        <v>1962</v>
      </c>
      <c r="D2154" s="3" t="s">
        <v>14</v>
      </c>
      <c r="E2154" s="3" t="s">
        <v>14</v>
      </c>
      <c r="F2154">
        <v>19</v>
      </c>
      <c r="G2154" s="7">
        <v>22969</v>
      </c>
      <c r="H2154">
        <v>0</v>
      </c>
      <c r="I2154" s="3" t="s">
        <v>10526</v>
      </c>
      <c r="J2154" s="3" t="s">
        <v>10</v>
      </c>
      <c r="K2154" s="3" t="s">
        <v>10</v>
      </c>
      <c r="L2154" s="3" t="s">
        <v>41</v>
      </c>
      <c r="M2154">
        <v>64</v>
      </c>
      <c r="N2154" s="3"/>
    </row>
    <row r="2155" spans="1:14" x14ac:dyDescent="0.25">
      <c r="A2155" s="3" t="s">
        <v>2184</v>
      </c>
      <c r="B2155">
        <v>1973</v>
      </c>
      <c r="C2155">
        <v>1973</v>
      </c>
      <c r="D2155" s="3" t="s">
        <v>34</v>
      </c>
      <c r="E2155" s="3" t="s">
        <v>34</v>
      </c>
      <c r="F2155">
        <v>9</v>
      </c>
      <c r="G2155" s="7">
        <v>26885</v>
      </c>
      <c r="H2155">
        <v>0</v>
      </c>
      <c r="I2155" s="3" t="s">
        <v>10527</v>
      </c>
      <c r="J2155" s="3" t="s">
        <v>10</v>
      </c>
      <c r="K2155" s="3" t="s">
        <v>11</v>
      </c>
      <c r="L2155" s="3" t="s">
        <v>41</v>
      </c>
      <c r="M2155">
        <v>53</v>
      </c>
      <c r="N2155" s="3"/>
    </row>
    <row r="2156" spans="1:14" x14ac:dyDescent="0.25">
      <c r="A2156" s="3" t="s">
        <v>2185</v>
      </c>
      <c r="B2156">
        <v>1992</v>
      </c>
      <c r="C2156">
        <v>1992</v>
      </c>
      <c r="D2156" s="3" t="s">
        <v>36</v>
      </c>
      <c r="E2156" s="3" t="s">
        <v>36</v>
      </c>
      <c r="F2156">
        <v>9</v>
      </c>
      <c r="G2156" s="7">
        <v>33886</v>
      </c>
      <c r="H2156">
        <v>0</v>
      </c>
      <c r="I2156" s="3" t="s">
        <v>10528</v>
      </c>
      <c r="J2156" s="3" t="s">
        <v>15</v>
      </c>
      <c r="K2156" s="3" t="s">
        <v>10</v>
      </c>
      <c r="L2156" s="3" t="s">
        <v>41</v>
      </c>
      <c r="M2156">
        <v>34</v>
      </c>
      <c r="N2156" s="3"/>
    </row>
    <row r="2157" spans="1:14" x14ac:dyDescent="0.25">
      <c r="A2157" s="3" t="s">
        <v>2186</v>
      </c>
      <c r="B2157">
        <v>1961</v>
      </c>
      <c r="C2157">
        <v>1961</v>
      </c>
      <c r="D2157" s="3" t="s">
        <v>9</v>
      </c>
      <c r="E2157" s="3" t="s">
        <v>9</v>
      </c>
      <c r="F2157">
        <v>29</v>
      </c>
      <c r="G2157" s="7">
        <v>22491</v>
      </c>
      <c r="H2157">
        <v>4</v>
      </c>
      <c r="I2157" s="3" t="s">
        <v>10529</v>
      </c>
      <c r="J2157" s="3" t="s">
        <v>10</v>
      </c>
      <c r="K2157" s="3" t="s">
        <v>10</v>
      </c>
      <c r="L2157" s="3" t="s">
        <v>12</v>
      </c>
      <c r="M2157">
        <v>65</v>
      </c>
      <c r="N2157" s="3"/>
    </row>
    <row r="2158" spans="1:14" x14ac:dyDescent="0.25">
      <c r="A2158" s="3" t="s">
        <v>2187</v>
      </c>
      <c r="B2158">
        <v>1970</v>
      </c>
      <c r="C2158">
        <v>1970</v>
      </c>
      <c r="D2158" s="3" t="s">
        <v>9</v>
      </c>
      <c r="E2158" s="3" t="s">
        <v>9</v>
      </c>
      <c r="F2158">
        <v>14</v>
      </c>
      <c r="G2158" s="7">
        <v>25763</v>
      </c>
      <c r="H2158">
        <v>0</v>
      </c>
      <c r="I2158" s="3" t="s">
        <v>10530</v>
      </c>
      <c r="J2158" s="3" t="s">
        <v>15</v>
      </c>
      <c r="K2158" s="3" t="s">
        <v>15</v>
      </c>
      <c r="L2158" s="3" t="s">
        <v>41</v>
      </c>
      <c r="M2158">
        <v>56</v>
      </c>
      <c r="N2158" s="3"/>
    </row>
    <row r="2159" spans="1:14" x14ac:dyDescent="0.25">
      <c r="A2159" s="3" t="s">
        <v>2188</v>
      </c>
      <c r="B2159">
        <v>1965</v>
      </c>
      <c r="C2159">
        <v>1965</v>
      </c>
      <c r="D2159" s="3" t="s">
        <v>29</v>
      </c>
      <c r="E2159" s="3" t="s">
        <v>29</v>
      </c>
      <c r="F2159">
        <v>28</v>
      </c>
      <c r="G2159" s="7">
        <v>24104</v>
      </c>
      <c r="H2159">
        <v>0</v>
      </c>
      <c r="I2159" s="3" t="s">
        <v>10531</v>
      </c>
      <c r="J2159" s="3" t="s">
        <v>10</v>
      </c>
      <c r="K2159" s="3" t="s">
        <v>15</v>
      </c>
      <c r="L2159" s="3" t="s">
        <v>41</v>
      </c>
      <c r="M2159">
        <v>61</v>
      </c>
      <c r="N2159" s="3"/>
    </row>
    <row r="2160" spans="1:14" x14ac:dyDescent="0.25">
      <c r="A2160" s="3" t="s">
        <v>30</v>
      </c>
      <c r="B2160">
        <v>1992</v>
      </c>
      <c r="C2160">
        <v>1992</v>
      </c>
      <c r="D2160" s="3" t="s">
        <v>36</v>
      </c>
      <c r="E2160" s="3" t="s">
        <v>36</v>
      </c>
      <c r="F2160">
        <v>6</v>
      </c>
      <c r="G2160" s="7">
        <v>33883</v>
      </c>
      <c r="H2160">
        <v>0</v>
      </c>
      <c r="I2160" s="3" t="s">
        <v>10532</v>
      </c>
      <c r="J2160" s="3" t="s">
        <v>15</v>
      </c>
      <c r="K2160" s="3" t="s">
        <v>10</v>
      </c>
      <c r="L2160" s="3" t="s">
        <v>41</v>
      </c>
      <c r="M2160">
        <v>34</v>
      </c>
      <c r="N2160" s="3"/>
    </row>
    <row r="2161" spans="1:14" x14ac:dyDescent="0.25">
      <c r="A2161" s="3" t="s">
        <v>2189</v>
      </c>
      <c r="B2161">
        <v>1992</v>
      </c>
      <c r="C2161">
        <v>1992</v>
      </c>
      <c r="D2161" s="3" t="s">
        <v>9</v>
      </c>
      <c r="E2161" s="3" t="s">
        <v>9</v>
      </c>
      <c r="F2161">
        <v>4</v>
      </c>
      <c r="G2161" s="7">
        <v>33789</v>
      </c>
      <c r="H2161">
        <v>0</v>
      </c>
      <c r="I2161" s="3" t="s">
        <v>10532</v>
      </c>
      <c r="J2161" s="3" t="s">
        <v>10</v>
      </c>
      <c r="K2161" s="3" t="s">
        <v>11</v>
      </c>
      <c r="L2161" s="3" t="s">
        <v>41</v>
      </c>
      <c r="M2161">
        <v>34</v>
      </c>
      <c r="N2161" s="3"/>
    </row>
    <row r="2162" spans="1:14" x14ac:dyDescent="0.25">
      <c r="A2162" s="3" t="s">
        <v>2190</v>
      </c>
      <c r="B2162">
        <v>1972</v>
      </c>
      <c r="C2162">
        <v>1972</v>
      </c>
      <c r="D2162" s="3" t="s">
        <v>29</v>
      </c>
      <c r="E2162" s="3" t="s">
        <v>29</v>
      </c>
      <c r="F2162">
        <v>5</v>
      </c>
      <c r="G2162" s="7">
        <v>26638</v>
      </c>
      <c r="H2162">
        <v>0</v>
      </c>
      <c r="I2162" s="3" t="s">
        <v>10533</v>
      </c>
      <c r="J2162" s="3" t="s">
        <v>15</v>
      </c>
      <c r="K2162" s="3" t="s">
        <v>11</v>
      </c>
      <c r="L2162" s="3" t="s">
        <v>41</v>
      </c>
      <c r="M2162">
        <v>54</v>
      </c>
      <c r="N2162" s="3"/>
    </row>
    <row r="2163" spans="1:14" x14ac:dyDescent="0.25">
      <c r="A2163" s="3" t="s">
        <v>2191</v>
      </c>
      <c r="B2163">
        <v>2003</v>
      </c>
      <c r="C2163">
        <v>2003</v>
      </c>
      <c r="D2163" s="3" t="s">
        <v>17</v>
      </c>
      <c r="E2163" s="3" t="s">
        <v>17</v>
      </c>
      <c r="F2163">
        <v>21</v>
      </c>
      <c r="G2163" s="7">
        <v>37793</v>
      </c>
      <c r="H2163">
        <v>0</v>
      </c>
      <c r="I2163" s="3" t="s">
        <v>10534</v>
      </c>
      <c r="J2163" s="3" t="s">
        <v>10</v>
      </c>
      <c r="K2163" s="3" t="s">
        <v>15</v>
      </c>
      <c r="L2163" s="3" t="s">
        <v>22</v>
      </c>
      <c r="M2163">
        <v>23</v>
      </c>
      <c r="N2163" s="3"/>
    </row>
    <row r="2164" spans="1:14" x14ac:dyDescent="0.25">
      <c r="A2164" s="3" t="s">
        <v>2192</v>
      </c>
      <c r="B2164">
        <v>1963</v>
      </c>
      <c r="C2164">
        <v>1963</v>
      </c>
      <c r="D2164" s="3" t="s">
        <v>9</v>
      </c>
      <c r="E2164" s="3" t="s">
        <v>9</v>
      </c>
      <c r="F2164">
        <v>24</v>
      </c>
      <c r="G2164" s="7">
        <v>23216</v>
      </c>
      <c r="H2164">
        <v>2</v>
      </c>
      <c r="I2164" s="3" t="s">
        <v>10535</v>
      </c>
      <c r="J2164" s="3" t="s">
        <v>10</v>
      </c>
      <c r="K2164" s="3" t="s">
        <v>10</v>
      </c>
      <c r="L2164" s="3" t="s">
        <v>41</v>
      </c>
      <c r="M2164">
        <v>63</v>
      </c>
      <c r="N2164" s="3"/>
    </row>
    <row r="2165" spans="1:14" x14ac:dyDescent="0.25">
      <c r="A2165" s="3" t="s">
        <v>2193</v>
      </c>
      <c r="B2165">
        <v>1991</v>
      </c>
      <c r="C2165">
        <v>1991</v>
      </c>
      <c r="D2165" s="3" t="s">
        <v>17</v>
      </c>
      <c r="E2165" s="3" t="s">
        <v>17</v>
      </c>
      <c r="F2165">
        <v>10</v>
      </c>
      <c r="G2165" s="7">
        <v>33399</v>
      </c>
      <c r="H2165">
        <v>3</v>
      </c>
      <c r="I2165" s="3" t="s">
        <v>10536</v>
      </c>
      <c r="J2165" s="3" t="s">
        <v>10</v>
      </c>
      <c r="K2165" s="3" t="s">
        <v>10</v>
      </c>
      <c r="L2165" s="3" t="s">
        <v>41</v>
      </c>
      <c r="M2165">
        <v>35</v>
      </c>
      <c r="N2165" s="3"/>
    </row>
    <row r="2166" spans="1:14" x14ac:dyDescent="0.25">
      <c r="A2166" s="3" t="s">
        <v>2194</v>
      </c>
      <c r="B2166">
        <v>1968</v>
      </c>
      <c r="C2166">
        <v>1968</v>
      </c>
      <c r="D2166" s="3" t="s">
        <v>36</v>
      </c>
      <c r="E2166" s="3" t="s">
        <v>36</v>
      </c>
      <c r="F2166">
        <v>22</v>
      </c>
      <c r="G2166" s="7">
        <v>25133</v>
      </c>
      <c r="H2166">
        <v>0</v>
      </c>
      <c r="I2166" s="3" t="s">
        <v>10537</v>
      </c>
      <c r="J2166" s="3" t="s">
        <v>10</v>
      </c>
      <c r="K2166" s="3" t="s">
        <v>15</v>
      </c>
      <c r="L2166" s="3" t="s">
        <v>41</v>
      </c>
      <c r="M2166">
        <v>58</v>
      </c>
      <c r="N2166" s="3"/>
    </row>
    <row r="2167" spans="1:14" x14ac:dyDescent="0.25">
      <c r="A2167" s="3" t="s">
        <v>2195</v>
      </c>
      <c r="B2167">
        <v>1977</v>
      </c>
      <c r="C2167">
        <v>1977</v>
      </c>
      <c r="D2167" s="3" t="s">
        <v>34</v>
      </c>
      <c r="E2167" s="3" t="s">
        <v>34</v>
      </c>
      <c r="F2167">
        <v>13</v>
      </c>
      <c r="G2167" s="7">
        <v>28350</v>
      </c>
      <c r="H2167">
        <v>2</v>
      </c>
      <c r="I2167" s="3" t="s">
        <v>10538</v>
      </c>
      <c r="J2167" s="3" t="s">
        <v>10</v>
      </c>
      <c r="K2167" s="3" t="s">
        <v>15</v>
      </c>
      <c r="L2167" s="3" t="s">
        <v>41</v>
      </c>
      <c r="M2167">
        <v>49</v>
      </c>
      <c r="N2167" s="3"/>
    </row>
    <row r="2168" spans="1:14" x14ac:dyDescent="0.25">
      <c r="A2168" s="3" t="s">
        <v>2196</v>
      </c>
      <c r="B2168">
        <v>1992</v>
      </c>
      <c r="C2168">
        <v>1992</v>
      </c>
      <c r="D2168" s="3" t="s">
        <v>34</v>
      </c>
      <c r="E2168" s="3" t="s">
        <v>34</v>
      </c>
      <c r="F2168">
        <v>25</v>
      </c>
      <c r="G2168" s="7">
        <v>33841</v>
      </c>
      <c r="H2168">
        <v>0</v>
      </c>
      <c r="I2168" s="3" t="s">
        <v>10539</v>
      </c>
      <c r="J2168" s="3" t="s">
        <v>15</v>
      </c>
      <c r="K2168" s="3" t="s">
        <v>15</v>
      </c>
      <c r="L2168" s="3" t="s">
        <v>12</v>
      </c>
      <c r="M2168">
        <v>34</v>
      </c>
      <c r="N2168" s="3"/>
    </row>
    <row r="2169" spans="1:14" x14ac:dyDescent="0.25">
      <c r="A2169" s="3" t="s">
        <v>2197</v>
      </c>
      <c r="B2169">
        <v>1992</v>
      </c>
      <c r="C2169">
        <v>1992</v>
      </c>
      <c r="D2169" s="3" t="s">
        <v>19</v>
      </c>
      <c r="E2169" s="3" t="s">
        <v>19</v>
      </c>
      <c r="F2169">
        <v>13</v>
      </c>
      <c r="G2169" s="7">
        <v>33860</v>
      </c>
      <c r="H2169">
        <v>0</v>
      </c>
      <c r="I2169" s="3" t="s">
        <v>10540</v>
      </c>
      <c r="J2169" s="3" t="s">
        <v>10</v>
      </c>
      <c r="K2169" s="3" t="s">
        <v>11</v>
      </c>
      <c r="L2169" s="3" t="s">
        <v>41</v>
      </c>
      <c r="M2169">
        <v>34</v>
      </c>
      <c r="N2169" s="3"/>
    </row>
    <row r="2170" spans="1:14" x14ac:dyDescent="0.25">
      <c r="A2170" s="3" t="s">
        <v>2198</v>
      </c>
      <c r="B2170">
        <v>1991</v>
      </c>
      <c r="C2170">
        <v>1991</v>
      </c>
      <c r="D2170" s="3" t="s">
        <v>14</v>
      </c>
      <c r="E2170" s="3" t="s">
        <v>14</v>
      </c>
      <c r="F2170">
        <v>1</v>
      </c>
      <c r="G2170" s="7">
        <v>33543</v>
      </c>
      <c r="H2170">
        <v>3</v>
      </c>
      <c r="I2170" s="3" t="s">
        <v>10541</v>
      </c>
      <c r="J2170" s="3" t="s">
        <v>10</v>
      </c>
      <c r="K2170" s="3" t="s">
        <v>10</v>
      </c>
      <c r="L2170" s="3" t="s">
        <v>41</v>
      </c>
      <c r="M2170">
        <v>35</v>
      </c>
      <c r="N2170" s="3"/>
    </row>
    <row r="2171" spans="1:14" x14ac:dyDescent="0.25">
      <c r="A2171" s="3" t="s">
        <v>2199</v>
      </c>
      <c r="B2171">
        <v>1988</v>
      </c>
      <c r="C2171">
        <v>1988</v>
      </c>
      <c r="D2171" s="3" t="s">
        <v>29</v>
      </c>
      <c r="E2171" s="3" t="s">
        <v>29</v>
      </c>
      <c r="F2171">
        <v>17</v>
      </c>
      <c r="G2171" s="7">
        <v>32494</v>
      </c>
      <c r="H2171">
        <v>3</v>
      </c>
      <c r="I2171" s="3" t="s">
        <v>10542</v>
      </c>
      <c r="J2171" s="3" t="s">
        <v>10</v>
      </c>
      <c r="K2171" s="3" t="s">
        <v>15</v>
      </c>
      <c r="L2171" s="3" t="s">
        <v>41</v>
      </c>
      <c r="M2171">
        <v>38</v>
      </c>
      <c r="N2171" s="3"/>
    </row>
    <row r="2172" spans="1:14" x14ac:dyDescent="0.25">
      <c r="A2172" s="3" t="s">
        <v>2200</v>
      </c>
      <c r="B2172">
        <v>1989</v>
      </c>
      <c r="C2172">
        <v>1989</v>
      </c>
      <c r="D2172" s="3" t="s">
        <v>17</v>
      </c>
      <c r="E2172" s="3" t="s">
        <v>17</v>
      </c>
      <c r="F2172">
        <v>10</v>
      </c>
      <c r="G2172" s="7">
        <v>32669</v>
      </c>
      <c r="H2172">
        <v>0</v>
      </c>
      <c r="I2172" s="3" t="s">
        <v>10543</v>
      </c>
      <c r="J2172" s="3" t="s">
        <v>10</v>
      </c>
      <c r="K2172" s="3" t="s">
        <v>11</v>
      </c>
      <c r="L2172" s="3" t="s">
        <v>41</v>
      </c>
      <c r="M2172">
        <v>37</v>
      </c>
      <c r="N2172" s="3"/>
    </row>
    <row r="2173" spans="1:14" x14ac:dyDescent="0.25">
      <c r="A2173" s="3" t="s">
        <v>2201</v>
      </c>
      <c r="B2173">
        <v>1995</v>
      </c>
      <c r="C2173">
        <v>1995</v>
      </c>
      <c r="D2173" s="3" t="s">
        <v>36</v>
      </c>
      <c r="E2173" s="3" t="s">
        <v>36</v>
      </c>
      <c r="F2173">
        <v>30</v>
      </c>
      <c r="G2173" s="7">
        <v>35002</v>
      </c>
      <c r="H2173">
        <v>0</v>
      </c>
      <c r="I2173" s="3" t="s">
        <v>10544</v>
      </c>
      <c r="J2173" s="3" t="s">
        <v>10</v>
      </c>
      <c r="K2173" s="3" t="s">
        <v>10</v>
      </c>
      <c r="L2173" s="3" t="s">
        <v>12</v>
      </c>
      <c r="M2173">
        <v>31</v>
      </c>
      <c r="N2173" s="3"/>
    </row>
    <row r="2174" spans="1:14" x14ac:dyDescent="0.25">
      <c r="A2174" s="3" t="s">
        <v>2202</v>
      </c>
      <c r="B2174">
        <v>2000</v>
      </c>
      <c r="C2174">
        <v>2000</v>
      </c>
      <c r="D2174" s="3" t="s">
        <v>19</v>
      </c>
      <c r="E2174" s="3" t="s">
        <v>19</v>
      </c>
      <c r="F2174">
        <v>5</v>
      </c>
      <c r="G2174" s="7">
        <v>36774</v>
      </c>
      <c r="H2174">
        <v>1</v>
      </c>
      <c r="I2174" s="3" t="s">
        <v>10545</v>
      </c>
      <c r="J2174" s="3" t="s">
        <v>15</v>
      </c>
      <c r="K2174" s="3" t="s">
        <v>11</v>
      </c>
      <c r="L2174" s="3" t="s">
        <v>4742</v>
      </c>
      <c r="M2174">
        <v>26</v>
      </c>
      <c r="N2174" s="3"/>
    </row>
    <row r="2175" spans="1:14" x14ac:dyDescent="0.25">
      <c r="A2175" s="3" t="s">
        <v>2203</v>
      </c>
      <c r="B2175">
        <v>1990</v>
      </c>
      <c r="C2175">
        <v>1990</v>
      </c>
      <c r="D2175" s="3" t="s">
        <v>36</v>
      </c>
      <c r="E2175" s="3" t="s">
        <v>36</v>
      </c>
      <c r="F2175">
        <v>17</v>
      </c>
      <c r="G2175" s="7">
        <v>33163</v>
      </c>
      <c r="H2175">
        <v>3</v>
      </c>
      <c r="I2175" s="3" t="s">
        <v>10546</v>
      </c>
      <c r="J2175" s="3" t="s">
        <v>10</v>
      </c>
      <c r="K2175" s="3" t="s">
        <v>10</v>
      </c>
      <c r="L2175" s="3" t="s">
        <v>41</v>
      </c>
      <c r="M2175">
        <v>36</v>
      </c>
      <c r="N2175" s="3"/>
    </row>
    <row r="2176" spans="1:14" x14ac:dyDescent="0.25">
      <c r="A2176" s="3" t="s">
        <v>2204</v>
      </c>
      <c r="B2176">
        <v>1985</v>
      </c>
      <c r="C2176">
        <v>1985</v>
      </c>
      <c r="D2176" s="3" t="s">
        <v>14</v>
      </c>
      <c r="E2176" s="3" t="s">
        <v>14</v>
      </c>
      <c r="F2176">
        <v>17</v>
      </c>
      <c r="G2176" s="7">
        <v>31368</v>
      </c>
      <c r="H2176">
        <v>0</v>
      </c>
      <c r="I2176" s="3" t="s">
        <v>10547</v>
      </c>
      <c r="J2176" s="3" t="s">
        <v>10</v>
      </c>
      <c r="K2176" s="3" t="s">
        <v>15</v>
      </c>
      <c r="L2176" s="3" t="s">
        <v>246</v>
      </c>
      <c r="M2176">
        <v>41</v>
      </c>
      <c r="N2176" s="3"/>
    </row>
    <row r="2177" spans="1:14" x14ac:dyDescent="0.25">
      <c r="A2177" s="3" t="s">
        <v>2205</v>
      </c>
      <c r="B2177">
        <v>1975</v>
      </c>
      <c r="C2177">
        <v>1975</v>
      </c>
      <c r="D2177" s="3" t="s">
        <v>14</v>
      </c>
      <c r="E2177" s="3" t="s">
        <v>14</v>
      </c>
      <c r="F2177">
        <v>9</v>
      </c>
      <c r="G2177" s="7">
        <v>27707</v>
      </c>
      <c r="H2177">
        <v>1</v>
      </c>
      <c r="I2177" s="3" t="s">
        <v>10548</v>
      </c>
      <c r="J2177" s="3" t="s">
        <v>10</v>
      </c>
      <c r="K2177" s="3" t="s">
        <v>11</v>
      </c>
      <c r="L2177" s="3" t="s">
        <v>41</v>
      </c>
      <c r="M2177">
        <v>51</v>
      </c>
      <c r="N2177" s="3"/>
    </row>
    <row r="2178" spans="1:14" x14ac:dyDescent="0.25">
      <c r="A2178" s="3" t="s">
        <v>2206</v>
      </c>
      <c r="B2178">
        <v>1969</v>
      </c>
      <c r="C2178">
        <v>1969</v>
      </c>
      <c r="D2178" s="3" t="s">
        <v>36</v>
      </c>
      <c r="E2178" s="3" t="s">
        <v>36</v>
      </c>
      <c r="F2178">
        <v>30</v>
      </c>
      <c r="G2178" s="7">
        <v>25506</v>
      </c>
      <c r="H2178">
        <v>0</v>
      </c>
      <c r="I2178" s="3" t="s">
        <v>10549</v>
      </c>
      <c r="J2178" s="3" t="s">
        <v>15</v>
      </c>
      <c r="K2178" s="3" t="s">
        <v>11</v>
      </c>
      <c r="L2178" s="3" t="s">
        <v>41</v>
      </c>
      <c r="M2178">
        <v>57</v>
      </c>
      <c r="N2178" s="3"/>
    </row>
    <row r="2179" spans="1:14" x14ac:dyDescent="0.25">
      <c r="A2179" s="3" t="s">
        <v>2207</v>
      </c>
      <c r="B2179">
        <v>1979</v>
      </c>
      <c r="C2179">
        <v>1979</v>
      </c>
      <c r="D2179" s="3" t="s">
        <v>34</v>
      </c>
      <c r="E2179" s="3" t="s">
        <v>34</v>
      </c>
      <c r="F2179">
        <v>3</v>
      </c>
      <c r="G2179" s="7">
        <v>29070</v>
      </c>
      <c r="H2179">
        <v>2</v>
      </c>
      <c r="I2179" s="3" t="s">
        <v>10550</v>
      </c>
      <c r="J2179" s="3" t="s">
        <v>10</v>
      </c>
      <c r="K2179" s="3" t="s">
        <v>15</v>
      </c>
      <c r="L2179" s="3" t="s">
        <v>41</v>
      </c>
      <c r="M2179">
        <v>47</v>
      </c>
      <c r="N2179" s="3"/>
    </row>
    <row r="2180" spans="1:14" x14ac:dyDescent="0.25">
      <c r="A2180" s="3" t="s">
        <v>2208</v>
      </c>
      <c r="B2180">
        <v>2002</v>
      </c>
      <c r="C2180">
        <v>2002</v>
      </c>
      <c r="D2180" s="3" t="s">
        <v>19</v>
      </c>
      <c r="E2180" s="3" t="s">
        <v>19</v>
      </c>
      <c r="F2180">
        <v>27</v>
      </c>
      <c r="G2180" s="7">
        <v>37526</v>
      </c>
      <c r="H2180">
        <v>3</v>
      </c>
      <c r="I2180" s="3" t="s">
        <v>10551</v>
      </c>
      <c r="J2180" s="3" t="s">
        <v>15</v>
      </c>
      <c r="K2180" s="3" t="s">
        <v>10</v>
      </c>
      <c r="L2180" s="3" t="s">
        <v>22</v>
      </c>
      <c r="M2180">
        <v>24</v>
      </c>
      <c r="N2180" s="3"/>
    </row>
    <row r="2181" spans="1:14" x14ac:dyDescent="0.25">
      <c r="A2181" s="3" t="s">
        <v>2209</v>
      </c>
      <c r="B2181">
        <v>2000</v>
      </c>
      <c r="C2181">
        <v>2000</v>
      </c>
      <c r="D2181" s="3" t="s">
        <v>36</v>
      </c>
      <c r="E2181" s="3" t="s">
        <v>36</v>
      </c>
      <c r="F2181">
        <v>12</v>
      </c>
      <c r="G2181" s="7">
        <v>36811</v>
      </c>
      <c r="H2181">
        <v>2</v>
      </c>
      <c r="I2181" s="3" t="s">
        <v>10552</v>
      </c>
      <c r="J2181" s="3" t="s">
        <v>15</v>
      </c>
      <c r="K2181" s="3" t="s">
        <v>15</v>
      </c>
      <c r="L2181" s="3" t="s">
        <v>12</v>
      </c>
      <c r="M2181">
        <v>26</v>
      </c>
      <c r="N2181" s="3"/>
    </row>
    <row r="2182" spans="1:14" x14ac:dyDescent="0.25">
      <c r="A2182" s="3" t="s">
        <v>2210</v>
      </c>
      <c r="B2182">
        <v>1990</v>
      </c>
      <c r="C2182">
        <v>1990</v>
      </c>
      <c r="D2182" s="3" t="s">
        <v>14</v>
      </c>
      <c r="E2182" s="3" t="s">
        <v>14</v>
      </c>
      <c r="F2182">
        <v>16</v>
      </c>
      <c r="G2182" s="7">
        <v>33193</v>
      </c>
      <c r="H2182">
        <v>1</v>
      </c>
      <c r="I2182" s="3" t="s">
        <v>10553</v>
      </c>
      <c r="J2182" s="3" t="s">
        <v>15</v>
      </c>
      <c r="K2182" s="3" t="s">
        <v>10</v>
      </c>
      <c r="L2182" s="3" t="s">
        <v>165</v>
      </c>
      <c r="M2182">
        <v>36</v>
      </c>
      <c r="N2182" s="3"/>
    </row>
    <row r="2183" spans="1:14" x14ac:dyDescent="0.25">
      <c r="A2183" s="3" t="s">
        <v>2211</v>
      </c>
      <c r="B2183">
        <v>1982</v>
      </c>
      <c r="C2183">
        <v>1982</v>
      </c>
      <c r="D2183" s="3" t="s">
        <v>17</v>
      </c>
      <c r="E2183" s="3" t="s">
        <v>17</v>
      </c>
      <c r="F2183">
        <v>20</v>
      </c>
      <c r="G2183" s="7">
        <v>30122</v>
      </c>
      <c r="H2183">
        <v>3</v>
      </c>
      <c r="I2183" s="3" t="s">
        <v>10554</v>
      </c>
      <c r="J2183" s="3" t="s">
        <v>10</v>
      </c>
      <c r="K2183" s="3" t="s">
        <v>10</v>
      </c>
      <c r="L2183" s="3" t="s">
        <v>22</v>
      </c>
      <c r="M2183">
        <v>44</v>
      </c>
      <c r="N2183" s="3"/>
    </row>
    <row r="2184" spans="1:14" x14ac:dyDescent="0.25">
      <c r="A2184" s="3" t="s">
        <v>2212</v>
      </c>
      <c r="B2184">
        <v>1970</v>
      </c>
      <c r="C2184">
        <v>1970</v>
      </c>
      <c r="D2184" s="3" t="s">
        <v>36</v>
      </c>
      <c r="E2184" s="3" t="s">
        <v>36</v>
      </c>
      <c r="F2184">
        <v>28</v>
      </c>
      <c r="G2184" s="7">
        <v>25869</v>
      </c>
      <c r="H2184">
        <v>0</v>
      </c>
      <c r="I2184" s="3" t="s">
        <v>10555</v>
      </c>
      <c r="J2184" s="3" t="s">
        <v>10</v>
      </c>
      <c r="K2184" s="3" t="s">
        <v>11</v>
      </c>
      <c r="L2184" s="3" t="s">
        <v>41</v>
      </c>
      <c r="M2184">
        <v>56</v>
      </c>
      <c r="N2184" s="3"/>
    </row>
    <row r="2185" spans="1:14" x14ac:dyDescent="0.25">
      <c r="A2185" s="3" t="s">
        <v>2213</v>
      </c>
      <c r="B2185">
        <v>1988</v>
      </c>
      <c r="C2185">
        <v>1988</v>
      </c>
      <c r="D2185" s="3" t="s">
        <v>36</v>
      </c>
      <c r="E2185" s="3" t="s">
        <v>36</v>
      </c>
      <c r="F2185">
        <v>10</v>
      </c>
      <c r="G2185" s="7">
        <v>32426</v>
      </c>
      <c r="H2185">
        <v>1</v>
      </c>
      <c r="I2185" s="3" t="s">
        <v>10556</v>
      </c>
      <c r="J2185" s="3" t="s">
        <v>10</v>
      </c>
      <c r="K2185" s="3" t="s">
        <v>11</v>
      </c>
      <c r="L2185" s="3" t="s">
        <v>248</v>
      </c>
      <c r="M2185">
        <v>38</v>
      </c>
      <c r="N2185" s="3"/>
    </row>
    <row r="2186" spans="1:14" x14ac:dyDescent="0.25">
      <c r="A2186" s="3" t="s">
        <v>2214</v>
      </c>
      <c r="B2186">
        <v>1976</v>
      </c>
      <c r="C2186">
        <v>1976</v>
      </c>
      <c r="D2186" s="3" t="s">
        <v>19</v>
      </c>
      <c r="E2186" s="3" t="s">
        <v>19</v>
      </c>
      <c r="F2186">
        <v>18</v>
      </c>
      <c r="G2186" s="7">
        <v>28021</v>
      </c>
      <c r="H2186">
        <v>2</v>
      </c>
      <c r="I2186" s="3" t="s">
        <v>10557</v>
      </c>
      <c r="J2186" s="3" t="s">
        <v>10</v>
      </c>
      <c r="K2186" s="3" t="s">
        <v>10</v>
      </c>
      <c r="L2186" s="3" t="s">
        <v>41</v>
      </c>
      <c r="M2186">
        <v>50</v>
      </c>
      <c r="N2186" s="3"/>
    </row>
    <row r="2187" spans="1:14" x14ac:dyDescent="0.25">
      <c r="A2187" s="3" t="s">
        <v>2215</v>
      </c>
      <c r="B2187">
        <v>1986</v>
      </c>
      <c r="C2187">
        <v>1986</v>
      </c>
      <c r="D2187" s="3" t="s">
        <v>34</v>
      </c>
      <c r="E2187" s="3" t="s">
        <v>34</v>
      </c>
      <c r="F2187">
        <v>15</v>
      </c>
      <c r="G2187" s="7">
        <v>31639</v>
      </c>
      <c r="H2187">
        <v>0</v>
      </c>
      <c r="I2187" s="3" t="s">
        <v>10558</v>
      </c>
      <c r="J2187" s="3" t="s">
        <v>15</v>
      </c>
      <c r="K2187" s="3" t="s">
        <v>15</v>
      </c>
      <c r="L2187" s="3" t="s">
        <v>12</v>
      </c>
      <c r="M2187">
        <v>40</v>
      </c>
      <c r="N2187" s="3"/>
    </row>
    <row r="2188" spans="1:14" x14ac:dyDescent="0.25">
      <c r="A2188" s="3" t="s">
        <v>2216</v>
      </c>
      <c r="B2188">
        <v>1983</v>
      </c>
      <c r="C2188">
        <v>1983</v>
      </c>
      <c r="D2188" s="3" t="s">
        <v>9</v>
      </c>
      <c r="E2188" s="3" t="s">
        <v>9</v>
      </c>
      <c r="F2188">
        <v>26</v>
      </c>
      <c r="G2188" s="7">
        <v>30523</v>
      </c>
      <c r="H2188">
        <v>3</v>
      </c>
      <c r="I2188" s="3" t="s">
        <v>10559</v>
      </c>
      <c r="J2188" s="3" t="s">
        <v>10</v>
      </c>
      <c r="K2188" s="3" t="s">
        <v>10</v>
      </c>
      <c r="L2188" s="3" t="s">
        <v>41</v>
      </c>
      <c r="M2188">
        <v>43</v>
      </c>
      <c r="N2188" s="3"/>
    </row>
    <row r="2189" spans="1:14" x14ac:dyDescent="0.25">
      <c r="A2189" s="3" t="s">
        <v>2217</v>
      </c>
      <c r="B2189">
        <v>1979</v>
      </c>
      <c r="C2189">
        <v>1979</v>
      </c>
      <c r="D2189" s="3" t="s">
        <v>19</v>
      </c>
      <c r="E2189" s="3" t="s">
        <v>19</v>
      </c>
      <c r="F2189">
        <v>9</v>
      </c>
      <c r="G2189" s="7">
        <v>29107</v>
      </c>
      <c r="H2189">
        <v>0</v>
      </c>
      <c r="I2189" s="3" t="s">
        <v>10560</v>
      </c>
      <c r="J2189" s="3" t="s">
        <v>15</v>
      </c>
      <c r="K2189" s="3" t="s">
        <v>10</v>
      </c>
      <c r="L2189" s="3" t="s">
        <v>41</v>
      </c>
      <c r="M2189">
        <v>47</v>
      </c>
      <c r="N2189" s="3"/>
    </row>
    <row r="2190" spans="1:14" x14ac:dyDescent="0.25">
      <c r="A2190" s="3" t="s">
        <v>2218</v>
      </c>
      <c r="B2190">
        <v>1998</v>
      </c>
      <c r="C2190">
        <v>1998</v>
      </c>
      <c r="D2190" s="3" t="s">
        <v>9</v>
      </c>
      <c r="E2190" s="3" t="s">
        <v>9</v>
      </c>
      <c r="F2190">
        <v>29</v>
      </c>
      <c r="G2190" s="7">
        <v>36005</v>
      </c>
      <c r="H2190">
        <v>0</v>
      </c>
      <c r="I2190" s="3" t="s">
        <v>10561</v>
      </c>
      <c r="J2190" s="3" t="s">
        <v>15</v>
      </c>
      <c r="K2190" s="3" t="s">
        <v>11</v>
      </c>
      <c r="L2190" s="3" t="s">
        <v>12</v>
      </c>
      <c r="M2190">
        <v>28</v>
      </c>
      <c r="N2190" s="3"/>
    </row>
    <row r="2191" spans="1:14" x14ac:dyDescent="0.25">
      <c r="A2191" s="3" t="s">
        <v>2219</v>
      </c>
      <c r="B2191">
        <v>1972</v>
      </c>
      <c r="C2191">
        <v>1972</v>
      </c>
      <c r="D2191" s="3" t="s">
        <v>14</v>
      </c>
      <c r="E2191" s="3" t="s">
        <v>14</v>
      </c>
      <c r="F2191">
        <v>19</v>
      </c>
      <c r="G2191" s="7">
        <v>26622</v>
      </c>
      <c r="H2191">
        <v>0</v>
      </c>
      <c r="I2191" s="3" t="s">
        <v>10562</v>
      </c>
      <c r="J2191" s="3" t="s">
        <v>10</v>
      </c>
      <c r="K2191" s="3" t="s">
        <v>10</v>
      </c>
      <c r="L2191" s="3" t="s">
        <v>41</v>
      </c>
      <c r="M2191">
        <v>54</v>
      </c>
      <c r="N2191" s="3"/>
    </row>
    <row r="2192" spans="1:14" x14ac:dyDescent="0.25">
      <c r="A2192" s="3" t="s">
        <v>2220</v>
      </c>
      <c r="B2192">
        <v>1989</v>
      </c>
      <c r="C2192">
        <v>1989</v>
      </c>
      <c r="D2192" s="3" t="s">
        <v>19</v>
      </c>
      <c r="E2192" s="3" t="s">
        <v>19</v>
      </c>
      <c r="F2192">
        <v>8</v>
      </c>
      <c r="G2192" s="7">
        <v>32759</v>
      </c>
      <c r="H2192">
        <v>3</v>
      </c>
      <c r="I2192" s="3" t="s">
        <v>10563</v>
      </c>
      <c r="J2192" s="3" t="s">
        <v>10</v>
      </c>
      <c r="K2192" s="3" t="s">
        <v>11</v>
      </c>
      <c r="L2192" s="3" t="s">
        <v>41</v>
      </c>
      <c r="M2192">
        <v>37</v>
      </c>
      <c r="N2192" s="3"/>
    </row>
    <row r="2193" spans="1:14" x14ac:dyDescent="0.25">
      <c r="A2193" s="3" t="s">
        <v>2221</v>
      </c>
      <c r="B2193">
        <v>1964</v>
      </c>
      <c r="C2193">
        <v>1964</v>
      </c>
      <c r="D2193" s="3" t="s">
        <v>17</v>
      </c>
      <c r="E2193" s="3" t="s">
        <v>17</v>
      </c>
      <c r="F2193">
        <v>16</v>
      </c>
      <c r="G2193" s="7">
        <v>23544</v>
      </c>
      <c r="H2193">
        <v>0</v>
      </c>
      <c r="I2193" s="3" t="s">
        <v>10564</v>
      </c>
      <c r="J2193" s="3" t="s">
        <v>10</v>
      </c>
      <c r="K2193" s="3" t="s">
        <v>11</v>
      </c>
      <c r="L2193" s="3" t="s">
        <v>41</v>
      </c>
      <c r="M2193">
        <v>62</v>
      </c>
      <c r="N2193" s="3"/>
    </row>
    <row r="2194" spans="1:14" x14ac:dyDescent="0.25">
      <c r="A2194" s="3" t="s">
        <v>2222</v>
      </c>
      <c r="B2194">
        <v>1980</v>
      </c>
      <c r="C2194">
        <v>1980</v>
      </c>
      <c r="D2194" s="3" t="s">
        <v>34</v>
      </c>
      <c r="E2194" s="3" t="s">
        <v>34</v>
      </c>
      <c r="F2194">
        <v>16</v>
      </c>
      <c r="G2194" s="7">
        <v>29449</v>
      </c>
      <c r="H2194">
        <v>1</v>
      </c>
      <c r="I2194" s="3" t="s">
        <v>10565</v>
      </c>
      <c r="J2194" s="3" t="s">
        <v>15</v>
      </c>
      <c r="K2194" s="3" t="s">
        <v>10</v>
      </c>
      <c r="L2194" s="3" t="s">
        <v>12</v>
      </c>
      <c r="M2194">
        <v>46</v>
      </c>
      <c r="N2194" s="3"/>
    </row>
    <row r="2195" spans="1:14" x14ac:dyDescent="0.25">
      <c r="A2195" s="3" t="s">
        <v>2223</v>
      </c>
      <c r="B2195">
        <v>1989</v>
      </c>
      <c r="C2195">
        <v>1989</v>
      </c>
      <c r="D2195" s="3" t="s">
        <v>36</v>
      </c>
      <c r="E2195" s="3" t="s">
        <v>36</v>
      </c>
      <c r="F2195">
        <v>30</v>
      </c>
      <c r="G2195" s="7">
        <v>32811</v>
      </c>
      <c r="H2195">
        <v>1</v>
      </c>
      <c r="I2195" s="3" t="s">
        <v>10566</v>
      </c>
      <c r="J2195" s="3" t="s">
        <v>15</v>
      </c>
      <c r="K2195" s="3" t="s">
        <v>10</v>
      </c>
      <c r="L2195" s="3" t="s">
        <v>12</v>
      </c>
      <c r="M2195">
        <v>37</v>
      </c>
      <c r="N2195" s="3"/>
    </row>
    <row r="2196" spans="1:14" x14ac:dyDescent="0.25">
      <c r="A2196" s="3" t="s">
        <v>2224</v>
      </c>
      <c r="B2196">
        <v>1980</v>
      </c>
      <c r="C2196">
        <v>1980</v>
      </c>
      <c r="D2196" s="3" t="s">
        <v>17</v>
      </c>
      <c r="E2196" s="3" t="s">
        <v>17</v>
      </c>
      <c r="F2196">
        <v>12</v>
      </c>
      <c r="G2196" s="7">
        <v>29384</v>
      </c>
      <c r="H2196">
        <v>2</v>
      </c>
      <c r="I2196" s="3" t="s">
        <v>10567</v>
      </c>
      <c r="J2196" s="3" t="s">
        <v>15</v>
      </c>
      <c r="K2196" s="3" t="s">
        <v>11</v>
      </c>
      <c r="L2196" s="3" t="s">
        <v>41</v>
      </c>
      <c r="M2196">
        <v>46</v>
      </c>
      <c r="N2196" s="3"/>
    </row>
    <row r="2197" spans="1:14" x14ac:dyDescent="0.25">
      <c r="A2197" s="3" t="s">
        <v>2225</v>
      </c>
      <c r="B2197">
        <v>2002</v>
      </c>
      <c r="C2197">
        <v>2002</v>
      </c>
      <c r="D2197" s="3" t="s">
        <v>19</v>
      </c>
      <c r="E2197" s="3" t="s">
        <v>19</v>
      </c>
      <c r="F2197">
        <v>17</v>
      </c>
      <c r="G2197" s="7">
        <v>37516</v>
      </c>
      <c r="H2197">
        <v>2</v>
      </c>
      <c r="I2197" s="3" t="s">
        <v>10568</v>
      </c>
      <c r="J2197" s="3" t="s">
        <v>15</v>
      </c>
      <c r="K2197" s="3" t="s">
        <v>11</v>
      </c>
      <c r="L2197" s="3" t="s">
        <v>41</v>
      </c>
      <c r="M2197">
        <v>24</v>
      </c>
      <c r="N2197" s="3"/>
    </row>
    <row r="2198" spans="1:14" x14ac:dyDescent="0.25">
      <c r="A2198" s="3" t="s">
        <v>2226</v>
      </c>
      <c r="B2198">
        <v>1970</v>
      </c>
      <c r="C2198">
        <v>1970</v>
      </c>
      <c r="D2198" s="3" t="s">
        <v>34</v>
      </c>
      <c r="E2198" s="3" t="s">
        <v>34</v>
      </c>
      <c r="F2198">
        <v>22</v>
      </c>
      <c r="G2198" s="7">
        <v>25802</v>
      </c>
      <c r="H2198">
        <v>0</v>
      </c>
      <c r="I2198" s="3" t="s">
        <v>10569</v>
      </c>
      <c r="J2198" s="3" t="s">
        <v>10</v>
      </c>
      <c r="K2198" s="3" t="s">
        <v>11</v>
      </c>
      <c r="L2198" s="3" t="s">
        <v>41</v>
      </c>
      <c r="M2198">
        <v>56</v>
      </c>
      <c r="N2198" s="3"/>
    </row>
    <row r="2199" spans="1:14" x14ac:dyDescent="0.25">
      <c r="A2199" s="3" t="s">
        <v>2227</v>
      </c>
      <c r="B2199">
        <v>1971</v>
      </c>
      <c r="C2199">
        <v>1971</v>
      </c>
      <c r="D2199" s="3" t="s">
        <v>29</v>
      </c>
      <c r="E2199" s="3" t="s">
        <v>29</v>
      </c>
      <c r="F2199">
        <v>23</v>
      </c>
      <c r="G2199" s="7">
        <v>26290</v>
      </c>
      <c r="H2199">
        <v>0</v>
      </c>
      <c r="I2199" s="3" t="s">
        <v>10570</v>
      </c>
      <c r="J2199" s="3" t="s">
        <v>10</v>
      </c>
      <c r="K2199" s="3" t="s">
        <v>15</v>
      </c>
      <c r="L2199" s="3" t="s">
        <v>41</v>
      </c>
      <c r="M2199">
        <v>55</v>
      </c>
      <c r="N2199" s="3"/>
    </row>
    <row r="2200" spans="1:14" x14ac:dyDescent="0.25">
      <c r="A2200" s="3" t="s">
        <v>2228</v>
      </c>
      <c r="B2200">
        <v>1986</v>
      </c>
      <c r="C2200">
        <v>1986</v>
      </c>
      <c r="D2200" s="3" t="s">
        <v>17</v>
      </c>
      <c r="E2200" s="3" t="s">
        <v>17</v>
      </c>
      <c r="F2200">
        <v>21</v>
      </c>
      <c r="G2200" s="7">
        <v>31584</v>
      </c>
      <c r="H2200">
        <v>2</v>
      </c>
      <c r="I2200" s="3" t="s">
        <v>10571</v>
      </c>
      <c r="J2200" s="3" t="s">
        <v>15</v>
      </c>
      <c r="K2200" s="3" t="s">
        <v>10</v>
      </c>
      <c r="L2200" s="3" t="s">
        <v>41</v>
      </c>
      <c r="M2200">
        <v>40</v>
      </c>
      <c r="N2200" s="3"/>
    </row>
    <row r="2201" spans="1:14" x14ac:dyDescent="0.25">
      <c r="A2201" s="3" t="s">
        <v>2229</v>
      </c>
      <c r="B2201">
        <v>1999</v>
      </c>
      <c r="C2201">
        <v>1999</v>
      </c>
      <c r="D2201" s="3" t="s">
        <v>14</v>
      </c>
      <c r="E2201" s="3" t="s">
        <v>14</v>
      </c>
      <c r="F2201">
        <v>12</v>
      </c>
      <c r="G2201" s="7">
        <v>36476</v>
      </c>
      <c r="H2201">
        <v>2</v>
      </c>
      <c r="I2201" s="3" t="s">
        <v>10572</v>
      </c>
      <c r="J2201" s="3" t="s">
        <v>10</v>
      </c>
      <c r="K2201" s="3" t="s">
        <v>10</v>
      </c>
      <c r="L2201" s="3" t="s">
        <v>246</v>
      </c>
      <c r="M2201">
        <v>27</v>
      </c>
      <c r="N2201" s="3"/>
    </row>
    <row r="2202" spans="1:14" x14ac:dyDescent="0.25">
      <c r="A2202" s="3" t="s">
        <v>2230</v>
      </c>
      <c r="B2202">
        <v>1990</v>
      </c>
      <c r="C2202">
        <v>1990</v>
      </c>
      <c r="D2202" s="3" t="s">
        <v>9</v>
      </c>
      <c r="E2202" s="3" t="s">
        <v>9</v>
      </c>
      <c r="F2202">
        <v>13</v>
      </c>
      <c r="G2202" s="7">
        <v>33067</v>
      </c>
      <c r="H2202">
        <v>3</v>
      </c>
      <c r="I2202" s="3" t="s">
        <v>10573</v>
      </c>
      <c r="J2202" s="3" t="s">
        <v>10</v>
      </c>
      <c r="K2202" s="3" t="s">
        <v>10</v>
      </c>
      <c r="L2202" s="3" t="s">
        <v>41</v>
      </c>
      <c r="M2202">
        <v>36</v>
      </c>
      <c r="N2202" s="3"/>
    </row>
    <row r="2203" spans="1:14" x14ac:dyDescent="0.25">
      <c r="A2203" s="3" t="s">
        <v>2231</v>
      </c>
      <c r="B2203">
        <v>1986</v>
      </c>
      <c r="C2203">
        <v>1986</v>
      </c>
      <c r="D2203" s="3" t="s">
        <v>9</v>
      </c>
      <c r="E2203" s="3" t="s">
        <v>9</v>
      </c>
      <c r="F2203">
        <v>20</v>
      </c>
      <c r="G2203" s="7">
        <v>31613</v>
      </c>
      <c r="H2203">
        <v>1</v>
      </c>
      <c r="I2203" s="3" t="s">
        <v>10574</v>
      </c>
      <c r="J2203" s="3" t="s">
        <v>15</v>
      </c>
      <c r="K2203" s="3" t="s">
        <v>11</v>
      </c>
      <c r="L2203" s="3" t="s">
        <v>12</v>
      </c>
      <c r="M2203">
        <v>40</v>
      </c>
      <c r="N2203" s="3"/>
    </row>
    <row r="2204" spans="1:14" x14ac:dyDescent="0.25">
      <c r="A2204" s="3" t="s">
        <v>30</v>
      </c>
      <c r="B2204">
        <v>1991</v>
      </c>
      <c r="C2204">
        <v>1991</v>
      </c>
      <c r="D2204" s="3" t="s">
        <v>14</v>
      </c>
      <c r="E2204" s="3" t="s">
        <v>14</v>
      </c>
      <c r="F2204">
        <v>22</v>
      </c>
      <c r="G2204" s="7">
        <v>33564</v>
      </c>
      <c r="H2204">
        <v>2</v>
      </c>
      <c r="I2204" s="3" t="s">
        <v>10575</v>
      </c>
      <c r="J2204" s="3" t="s">
        <v>15</v>
      </c>
      <c r="K2204" s="3" t="s">
        <v>11</v>
      </c>
      <c r="L2204" s="3" t="s">
        <v>41</v>
      </c>
      <c r="M2204">
        <v>35</v>
      </c>
      <c r="N2204" s="3"/>
    </row>
    <row r="2205" spans="1:14" x14ac:dyDescent="0.25">
      <c r="A2205" s="3" t="s">
        <v>2232</v>
      </c>
      <c r="B2205">
        <v>1991</v>
      </c>
      <c r="C2205">
        <v>1991</v>
      </c>
      <c r="D2205" s="3" t="s">
        <v>14</v>
      </c>
      <c r="E2205" s="3" t="s">
        <v>14</v>
      </c>
      <c r="F2205">
        <v>2</v>
      </c>
      <c r="G2205" s="7">
        <v>33544</v>
      </c>
      <c r="H2205">
        <v>2</v>
      </c>
      <c r="I2205" s="3" t="s">
        <v>10575</v>
      </c>
      <c r="J2205" s="3" t="s">
        <v>10</v>
      </c>
      <c r="K2205" s="3" t="s">
        <v>10</v>
      </c>
      <c r="L2205" s="3" t="s">
        <v>41</v>
      </c>
      <c r="M2205">
        <v>35</v>
      </c>
      <c r="N2205" s="3"/>
    </row>
    <row r="2206" spans="1:14" x14ac:dyDescent="0.25">
      <c r="A2206" s="3" t="s">
        <v>2233</v>
      </c>
      <c r="B2206">
        <v>1976</v>
      </c>
      <c r="C2206">
        <v>1976</v>
      </c>
      <c r="D2206" s="3" t="s">
        <v>17</v>
      </c>
      <c r="E2206" s="3" t="s">
        <v>17</v>
      </c>
      <c r="F2206">
        <v>15</v>
      </c>
      <c r="G2206" s="7">
        <v>27926</v>
      </c>
      <c r="H2206">
        <v>2</v>
      </c>
      <c r="I2206" s="3" t="s">
        <v>10576</v>
      </c>
      <c r="J2206" s="3" t="s">
        <v>10</v>
      </c>
      <c r="K2206" s="3" t="s">
        <v>10</v>
      </c>
      <c r="L2206" s="3" t="s">
        <v>22</v>
      </c>
      <c r="M2206">
        <v>50</v>
      </c>
      <c r="N2206" s="3"/>
    </row>
    <row r="2207" spans="1:14" x14ac:dyDescent="0.25">
      <c r="A2207" s="3" t="s">
        <v>2234</v>
      </c>
      <c r="B2207">
        <v>1991</v>
      </c>
      <c r="C2207">
        <v>1991</v>
      </c>
      <c r="D2207" s="3" t="s">
        <v>14</v>
      </c>
      <c r="E2207" s="3" t="s">
        <v>14</v>
      </c>
      <c r="F2207">
        <v>8</v>
      </c>
      <c r="G2207" s="7">
        <v>33550</v>
      </c>
      <c r="H2207">
        <v>3</v>
      </c>
      <c r="I2207" s="3" t="s">
        <v>10577</v>
      </c>
      <c r="J2207" s="3" t="s">
        <v>15</v>
      </c>
      <c r="K2207" s="3" t="s">
        <v>10</v>
      </c>
      <c r="L2207" s="3" t="s">
        <v>22</v>
      </c>
      <c r="M2207">
        <v>35</v>
      </c>
      <c r="N2207" s="3"/>
    </row>
    <row r="2208" spans="1:14" x14ac:dyDescent="0.25">
      <c r="A2208" s="3" t="s">
        <v>2235</v>
      </c>
      <c r="B2208">
        <v>2004</v>
      </c>
      <c r="C2208">
        <v>2004</v>
      </c>
      <c r="D2208" s="3" t="s">
        <v>29</v>
      </c>
      <c r="E2208" s="3" t="s">
        <v>29</v>
      </c>
      <c r="F2208">
        <v>5</v>
      </c>
      <c r="G2208" s="7">
        <v>38326</v>
      </c>
      <c r="H2208">
        <v>0</v>
      </c>
      <c r="I2208" s="3" t="s">
        <v>10578</v>
      </c>
      <c r="J2208" s="3" t="s">
        <v>10</v>
      </c>
      <c r="K2208" s="3" t="s">
        <v>10</v>
      </c>
      <c r="L2208" s="3" t="s">
        <v>12</v>
      </c>
      <c r="M2208">
        <v>22</v>
      </c>
      <c r="N2208" s="3"/>
    </row>
    <row r="2209" spans="1:14" x14ac:dyDescent="0.25">
      <c r="A2209" s="3" t="s">
        <v>2236</v>
      </c>
      <c r="B2209">
        <v>1979</v>
      </c>
      <c r="C2209">
        <v>1979</v>
      </c>
      <c r="D2209" s="3" t="s">
        <v>29</v>
      </c>
      <c r="E2209" s="3" t="s">
        <v>29</v>
      </c>
      <c r="F2209">
        <v>3</v>
      </c>
      <c r="G2209" s="7">
        <v>29192</v>
      </c>
      <c r="H2209">
        <v>2</v>
      </c>
      <c r="I2209" s="3" t="s">
        <v>10579</v>
      </c>
      <c r="J2209" s="3" t="s">
        <v>10</v>
      </c>
      <c r="K2209" s="3" t="s">
        <v>15</v>
      </c>
      <c r="L2209" s="3" t="s">
        <v>41</v>
      </c>
      <c r="M2209">
        <v>47</v>
      </c>
      <c r="N2209" s="3"/>
    </row>
    <row r="2210" spans="1:14" x14ac:dyDescent="0.25">
      <c r="A2210" s="3" t="s">
        <v>2237</v>
      </c>
      <c r="B2210">
        <v>1964</v>
      </c>
      <c r="C2210">
        <v>1964</v>
      </c>
      <c r="D2210" s="3" t="s">
        <v>17</v>
      </c>
      <c r="E2210" s="3" t="s">
        <v>17</v>
      </c>
      <c r="F2210">
        <v>6</v>
      </c>
      <c r="G2210" s="7">
        <v>23534</v>
      </c>
      <c r="H2210">
        <v>0</v>
      </c>
      <c r="I2210" s="3" t="s">
        <v>10580</v>
      </c>
      <c r="J2210" s="3" t="s">
        <v>10</v>
      </c>
      <c r="K2210" s="3" t="s">
        <v>10</v>
      </c>
      <c r="L2210" s="3" t="s">
        <v>41</v>
      </c>
      <c r="M2210">
        <v>62</v>
      </c>
      <c r="N2210" s="3"/>
    </row>
    <row r="2211" spans="1:14" x14ac:dyDescent="0.25">
      <c r="A2211" s="3" t="s">
        <v>2238</v>
      </c>
      <c r="B2211">
        <v>1967</v>
      </c>
      <c r="C2211">
        <v>1967</v>
      </c>
      <c r="D2211" s="3" t="s">
        <v>9</v>
      </c>
      <c r="E2211" s="3" t="s">
        <v>9</v>
      </c>
      <c r="F2211">
        <v>30</v>
      </c>
      <c r="G2211" s="7">
        <v>24683</v>
      </c>
      <c r="H2211">
        <v>0</v>
      </c>
      <c r="I2211" s="3" t="s">
        <v>10581</v>
      </c>
      <c r="J2211" s="3" t="s">
        <v>15</v>
      </c>
      <c r="K2211" s="3" t="s">
        <v>10</v>
      </c>
      <c r="L2211" s="3" t="s">
        <v>41</v>
      </c>
      <c r="M2211">
        <v>59</v>
      </c>
      <c r="N2211" s="3"/>
    </row>
    <row r="2212" spans="1:14" x14ac:dyDescent="0.25">
      <c r="A2212" s="3" t="s">
        <v>2239</v>
      </c>
      <c r="B2212">
        <v>1987</v>
      </c>
      <c r="C2212">
        <v>1987</v>
      </c>
      <c r="D2212" s="3" t="s">
        <v>17</v>
      </c>
      <c r="E2212" s="3" t="s">
        <v>17</v>
      </c>
      <c r="F2212">
        <v>16</v>
      </c>
      <c r="G2212" s="7">
        <v>31944</v>
      </c>
      <c r="H2212">
        <v>3</v>
      </c>
      <c r="I2212" s="3" t="s">
        <v>10582</v>
      </c>
      <c r="J2212" s="3" t="s">
        <v>10</v>
      </c>
      <c r="K2212" s="3" t="s">
        <v>10</v>
      </c>
      <c r="L2212" s="3" t="s">
        <v>41</v>
      </c>
      <c r="M2212">
        <v>39</v>
      </c>
      <c r="N2212" s="3"/>
    </row>
    <row r="2213" spans="1:14" x14ac:dyDescent="0.25">
      <c r="A2213" s="3" t="s">
        <v>2240</v>
      </c>
      <c r="B2213">
        <v>1976</v>
      </c>
      <c r="C2213">
        <v>1976</v>
      </c>
      <c r="D2213" s="3" t="s">
        <v>29</v>
      </c>
      <c r="E2213" s="3" t="s">
        <v>29</v>
      </c>
      <c r="F2213">
        <v>15</v>
      </c>
      <c r="G2213" s="7">
        <v>28109</v>
      </c>
      <c r="H2213">
        <v>2</v>
      </c>
      <c r="I2213" s="3" t="s">
        <v>10583</v>
      </c>
      <c r="J2213" s="3" t="s">
        <v>10</v>
      </c>
      <c r="K2213" s="3" t="s">
        <v>11</v>
      </c>
      <c r="L2213" s="3" t="s">
        <v>41</v>
      </c>
      <c r="M2213">
        <v>50</v>
      </c>
      <c r="N2213" s="3"/>
    </row>
    <row r="2214" spans="1:14" x14ac:dyDescent="0.25">
      <c r="A2214" s="3" t="s">
        <v>2241</v>
      </c>
      <c r="B2214">
        <v>1980</v>
      </c>
      <c r="C2214">
        <v>1980</v>
      </c>
      <c r="D2214" s="3" t="s">
        <v>19</v>
      </c>
      <c r="E2214" s="3" t="s">
        <v>19</v>
      </c>
      <c r="F2214">
        <v>24</v>
      </c>
      <c r="G2214" s="7">
        <v>29488</v>
      </c>
      <c r="H2214">
        <v>2</v>
      </c>
      <c r="I2214" s="3" t="s">
        <v>10584</v>
      </c>
      <c r="J2214" s="3" t="s">
        <v>10</v>
      </c>
      <c r="K2214" s="3" t="s">
        <v>11</v>
      </c>
      <c r="L2214" s="3" t="s">
        <v>41</v>
      </c>
      <c r="M2214">
        <v>46</v>
      </c>
      <c r="N2214" s="3"/>
    </row>
    <row r="2215" spans="1:14" x14ac:dyDescent="0.25">
      <c r="A2215" s="3" t="s">
        <v>2242</v>
      </c>
      <c r="B2215">
        <v>1978</v>
      </c>
      <c r="C2215">
        <v>1978</v>
      </c>
      <c r="D2215" s="3" t="s">
        <v>36</v>
      </c>
      <c r="E2215" s="3" t="s">
        <v>36</v>
      </c>
      <c r="F2215">
        <v>12</v>
      </c>
      <c r="G2215" s="7">
        <v>28775</v>
      </c>
      <c r="H2215">
        <v>2</v>
      </c>
      <c r="I2215" s="3" t="s">
        <v>10585</v>
      </c>
      <c r="J2215" s="3" t="s">
        <v>15</v>
      </c>
      <c r="K2215" s="3" t="s">
        <v>15</v>
      </c>
      <c r="L2215" s="3" t="s">
        <v>41</v>
      </c>
      <c r="M2215">
        <v>48</v>
      </c>
      <c r="N2215" s="3"/>
    </row>
    <row r="2216" spans="1:14" x14ac:dyDescent="0.25">
      <c r="A2216" s="3" t="s">
        <v>2243</v>
      </c>
      <c r="B2216">
        <v>1985</v>
      </c>
      <c r="C2216">
        <v>1985</v>
      </c>
      <c r="D2216" s="3" t="s">
        <v>19</v>
      </c>
      <c r="E2216" s="3" t="s">
        <v>19</v>
      </c>
      <c r="F2216">
        <v>20</v>
      </c>
      <c r="G2216" s="7">
        <v>31310</v>
      </c>
      <c r="H2216">
        <v>1</v>
      </c>
      <c r="I2216" s="3" t="s">
        <v>10586</v>
      </c>
      <c r="J2216" s="3" t="s">
        <v>15</v>
      </c>
      <c r="K2216" s="3" t="s">
        <v>11</v>
      </c>
      <c r="L2216" s="3" t="s">
        <v>355</v>
      </c>
      <c r="M2216">
        <v>41</v>
      </c>
      <c r="N2216" s="3"/>
    </row>
    <row r="2217" spans="1:14" x14ac:dyDescent="0.25">
      <c r="A2217" s="3" t="s">
        <v>2244</v>
      </c>
      <c r="B2217">
        <v>1982</v>
      </c>
      <c r="C2217">
        <v>1982</v>
      </c>
      <c r="D2217" s="3" t="s">
        <v>34</v>
      </c>
      <c r="E2217" s="3" t="s">
        <v>34</v>
      </c>
      <c r="F2217">
        <v>4</v>
      </c>
      <c r="G2217" s="7">
        <v>30167</v>
      </c>
      <c r="H2217">
        <v>1</v>
      </c>
      <c r="I2217" s="3" t="s">
        <v>10587</v>
      </c>
      <c r="J2217" s="3" t="s">
        <v>15</v>
      </c>
      <c r="K2217" s="3" t="s">
        <v>15</v>
      </c>
      <c r="L2217" s="3" t="s">
        <v>167</v>
      </c>
      <c r="M2217">
        <v>44</v>
      </c>
      <c r="N2217" s="3"/>
    </row>
    <row r="2218" spans="1:14" x14ac:dyDescent="0.25">
      <c r="A2218" s="3" t="s">
        <v>2245</v>
      </c>
      <c r="B2218">
        <v>1962</v>
      </c>
      <c r="C2218">
        <v>1962</v>
      </c>
      <c r="D2218" s="3" t="s">
        <v>9</v>
      </c>
      <c r="E2218" s="3" t="s">
        <v>9</v>
      </c>
      <c r="F2218">
        <v>7</v>
      </c>
      <c r="G2218" s="7">
        <v>22834</v>
      </c>
      <c r="H2218">
        <v>0</v>
      </c>
      <c r="I2218" s="3" t="s">
        <v>10588</v>
      </c>
      <c r="J2218" s="3" t="s">
        <v>10</v>
      </c>
      <c r="K2218" s="3" t="s">
        <v>15</v>
      </c>
      <c r="L2218" s="3" t="s">
        <v>41</v>
      </c>
      <c r="M2218">
        <v>64</v>
      </c>
      <c r="N2218" s="3"/>
    </row>
    <row r="2219" spans="1:14" x14ac:dyDescent="0.25">
      <c r="A2219" s="3" t="s">
        <v>2246</v>
      </c>
      <c r="B2219">
        <v>1992</v>
      </c>
      <c r="C2219">
        <v>1992</v>
      </c>
      <c r="D2219" s="3" t="s">
        <v>14</v>
      </c>
      <c r="E2219" s="3" t="s">
        <v>14</v>
      </c>
      <c r="F2219">
        <v>30</v>
      </c>
      <c r="G2219" s="7">
        <v>33938</v>
      </c>
      <c r="H2219">
        <v>2</v>
      </c>
      <c r="I2219" s="3" t="s">
        <v>10589</v>
      </c>
      <c r="J2219" s="3" t="s">
        <v>15</v>
      </c>
      <c r="K2219" s="3" t="s">
        <v>11</v>
      </c>
      <c r="L2219" s="3" t="s">
        <v>41</v>
      </c>
      <c r="M2219">
        <v>34</v>
      </c>
      <c r="N2219" s="3"/>
    </row>
    <row r="2220" spans="1:14" x14ac:dyDescent="0.25">
      <c r="A2220" s="3" t="s">
        <v>2247</v>
      </c>
      <c r="B2220">
        <v>1982</v>
      </c>
      <c r="C2220">
        <v>1982</v>
      </c>
      <c r="D2220" s="3" t="s">
        <v>34</v>
      </c>
      <c r="E2220" s="3" t="s">
        <v>34</v>
      </c>
      <c r="F2220">
        <v>16</v>
      </c>
      <c r="G2220" s="7">
        <v>30179</v>
      </c>
      <c r="H2220">
        <v>3</v>
      </c>
      <c r="I2220" s="3" t="s">
        <v>10590</v>
      </c>
      <c r="J2220" s="3" t="s">
        <v>10</v>
      </c>
      <c r="K2220" s="3" t="s">
        <v>11</v>
      </c>
      <c r="L2220" s="3" t="s">
        <v>41</v>
      </c>
      <c r="M2220">
        <v>44</v>
      </c>
      <c r="N2220" s="3"/>
    </row>
    <row r="2221" spans="1:14" x14ac:dyDescent="0.25">
      <c r="A2221" s="3" t="s">
        <v>2248</v>
      </c>
      <c r="B2221">
        <v>1978</v>
      </c>
      <c r="C2221">
        <v>1978</v>
      </c>
      <c r="D2221" s="3" t="s">
        <v>34</v>
      </c>
      <c r="E2221" s="3" t="s">
        <v>34</v>
      </c>
      <c r="F2221">
        <v>5</v>
      </c>
      <c r="G2221" s="7">
        <v>28707</v>
      </c>
      <c r="H2221">
        <v>2</v>
      </c>
      <c r="I2221" s="3" t="s">
        <v>10591</v>
      </c>
      <c r="J2221" s="3" t="s">
        <v>10</v>
      </c>
      <c r="K2221" s="3" t="s">
        <v>11</v>
      </c>
      <c r="L2221" s="3" t="s">
        <v>41</v>
      </c>
      <c r="M2221">
        <v>48</v>
      </c>
      <c r="N2221" s="3"/>
    </row>
    <row r="2222" spans="1:14" x14ac:dyDescent="0.25">
      <c r="A2222" s="3" t="s">
        <v>2249</v>
      </c>
      <c r="B2222">
        <v>1966</v>
      </c>
      <c r="C2222">
        <v>1966</v>
      </c>
      <c r="D2222" s="3" t="s">
        <v>17</v>
      </c>
      <c r="E2222" s="3" t="s">
        <v>17</v>
      </c>
      <c r="F2222">
        <v>24</v>
      </c>
      <c r="G2222" s="7">
        <v>24282</v>
      </c>
      <c r="H2222">
        <v>0</v>
      </c>
      <c r="I2222" s="3" t="s">
        <v>10592</v>
      </c>
      <c r="J2222" s="3" t="s">
        <v>10</v>
      </c>
      <c r="K2222" s="3" t="s">
        <v>10</v>
      </c>
      <c r="L2222" s="3" t="s">
        <v>41</v>
      </c>
      <c r="M2222">
        <v>60</v>
      </c>
      <c r="N2222" s="3"/>
    </row>
    <row r="2223" spans="1:14" x14ac:dyDescent="0.25">
      <c r="A2223" s="3" t="s">
        <v>2250</v>
      </c>
      <c r="B2223">
        <v>1978</v>
      </c>
      <c r="C2223">
        <v>1978</v>
      </c>
      <c r="D2223" s="3" t="s">
        <v>9</v>
      </c>
      <c r="E2223" s="3" t="s">
        <v>9</v>
      </c>
      <c r="F2223">
        <v>12</v>
      </c>
      <c r="G2223" s="7">
        <v>28683</v>
      </c>
      <c r="H2223">
        <v>1</v>
      </c>
      <c r="I2223" s="3" t="s">
        <v>10593</v>
      </c>
      <c r="J2223" s="3" t="s">
        <v>15</v>
      </c>
      <c r="K2223" s="3" t="s">
        <v>10</v>
      </c>
      <c r="L2223" s="3" t="s">
        <v>163</v>
      </c>
      <c r="M2223">
        <v>48</v>
      </c>
      <c r="N2223" s="3"/>
    </row>
    <row r="2224" spans="1:14" x14ac:dyDescent="0.25">
      <c r="A2224" s="3" t="s">
        <v>2251</v>
      </c>
      <c r="B2224">
        <v>1981</v>
      </c>
      <c r="C2224">
        <v>1981</v>
      </c>
      <c r="D2224" s="3" t="s">
        <v>9</v>
      </c>
      <c r="E2224" s="3" t="s">
        <v>9</v>
      </c>
      <c r="F2224">
        <v>5</v>
      </c>
      <c r="G2224" s="7">
        <v>29772</v>
      </c>
      <c r="H2224">
        <v>3</v>
      </c>
      <c r="I2224" s="3" t="s">
        <v>10594</v>
      </c>
      <c r="J2224" s="3" t="s">
        <v>15</v>
      </c>
      <c r="K2224" s="3" t="s">
        <v>10</v>
      </c>
      <c r="L2224" s="3" t="s">
        <v>355</v>
      </c>
      <c r="M2224">
        <v>45</v>
      </c>
      <c r="N2224" s="3"/>
    </row>
    <row r="2225" spans="1:14" x14ac:dyDescent="0.25">
      <c r="A2225" s="3" t="s">
        <v>2252</v>
      </c>
      <c r="B2225">
        <v>1995</v>
      </c>
      <c r="C2225">
        <v>1995</v>
      </c>
      <c r="D2225" s="3" t="s">
        <v>34</v>
      </c>
      <c r="E2225" s="3" t="s">
        <v>34</v>
      </c>
      <c r="F2225">
        <v>7</v>
      </c>
      <c r="G2225" s="7">
        <v>34918</v>
      </c>
      <c r="H2225">
        <v>0</v>
      </c>
      <c r="I2225" s="3" t="s">
        <v>10595</v>
      </c>
      <c r="J2225" s="3" t="s">
        <v>15</v>
      </c>
      <c r="K2225" s="3" t="s">
        <v>11</v>
      </c>
      <c r="L2225" s="3" t="s">
        <v>12</v>
      </c>
      <c r="M2225">
        <v>31</v>
      </c>
      <c r="N2225" s="3"/>
    </row>
    <row r="2226" spans="1:14" x14ac:dyDescent="0.25">
      <c r="A2226" s="3" t="s">
        <v>2253</v>
      </c>
      <c r="B2226">
        <v>1977</v>
      </c>
      <c r="C2226">
        <v>1977</v>
      </c>
      <c r="D2226" s="3" t="s">
        <v>29</v>
      </c>
      <c r="E2226" s="3" t="s">
        <v>29</v>
      </c>
      <c r="F2226">
        <v>17</v>
      </c>
      <c r="G2226" s="7">
        <v>28476</v>
      </c>
      <c r="H2226">
        <v>2</v>
      </c>
      <c r="I2226" s="3" t="s">
        <v>10596</v>
      </c>
      <c r="J2226" s="3" t="s">
        <v>10</v>
      </c>
      <c r="K2226" s="3" t="s">
        <v>15</v>
      </c>
      <c r="L2226" s="3" t="s">
        <v>22</v>
      </c>
      <c r="M2226">
        <v>49</v>
      </c>
      <c r="N2226" s="3"/>
    </row>
    <row r="2227" spans="1:14" x14ac:dyDescent="0.25">
      <c r="A2227" s="3" t="s">
        <v>2254</v>
      </c>
      <c r="B2227">
        <v>1968</v>
      </c>
      <c r="C2227">
        <v>1968</v>
      </c>
      <c r="D2227" s="3" t="s">
        <v>19</v>
      </c>
      <c r="E2227" s="3" t="s">
        <v>19</v>
      </c>
      <c r="F2227">
        <v>29</v>
      </c>
      <c r="G2227" s="7">
        <v>25110</v>
      </c>
      <c r="H2227">
        <v>0</v>
      </c>
      <c r="I2227" s="3" t="s">
        <v>10597</v>
      </c>
      <c r="J2227" s="3" t="s">
        <v>10</v>
      </c>
      <c r="K2227" s="3" t="s">
        <v>10</v>
      </c>
      <c r="L2227" s="3" t="s">
        <v>41</v>
      </c>
      <c r="M2227">
        <v>58</v>
      </c>
      <c r="N2227" s="3"/>
    </row>
    <row r="2228" spans="1:14" x14ac:dyDescent="0.25">
      <c r="A2228" s="3" t="s">
        <v>2255</v>
      </c>
      <c r="B2228">
        <v>2003</v>
      </c>
      <c r="C2228">
        <v>2003</v>
      </c>
      <c r="D2228" s="3" t="s">
        <v>9</v>
      </c>
      <c r="E2228" s="3" t="s">
        <v>9</v>
      </c>
      <c r="F2228">
        <v>16</v>
      </c>
      <c r="G2228" s="7">
        <v>37818</v>
      </c>
      <c r="H2228">
        <v>0</v>
      </c>
      <c r="I2228" s="3" t="s">
        <v>10598</v>
      </c>
      <c r="J2228" s="3" t="s">
        <v>15</v>
      </c>
      <c r="K2228" s="3" t="s">
        <v>15</v>
      </c>
      <c r="L2228" s="3" t="s">
        <v>12</v>
      </c>
      <c r="M2228">
        <v>23</v>
      </c>
      <c r="N2228" s="3"/>
    </row>
    <row r="2229" spans="1:14" x14ac:dyDescent="0.25">
      <c r="A2229" s="3" t="s">
        <v>2256</v>
      </c>
      <c r="B2229">
        <v>1977</v>
      </c>
      <c r="C2229">
        <v>1977</v>
      </c>
      <c r="D2229" s="3" t="s">
        <v>34</v>
      </c>
      <c r="E2229" s="3" t="s">
        <v>34</v>
      </c>
      <c r="F2229">
        <v>12</v>
      </c>
      <c r="G2229" s="7">
        <v>28349</v>
      </c>
      <c r="H2229">
        <v>1</v>
      </c>
      <c r="I2229" s="3" t="s">
        <v>10599</v>
      </c>
      <c r="J2229" s="3" t="s">
        <v>10</v>
      </c>
      <c r="K2229" s="3" t="s">
        <v>15</v>
      </c>
      <c r="L2229" s="3" t="s">
        <v>22</v>
      </c>
      <c r="M2229">
        <v>49</v>
      </c>
      <c r="N2229" s="3"/>
    </row>
    <row r="2230" spans="1:14" x14ac:dyDescent="0.25">
      <c r="A2230" s="3" t="s">
        <v>2257</v>
      </c>
      <c r="B2230">
        <v>1973</v>
      </c>
      <c r="C2230">
        <v>1973</v>
      </c>
      <c r="D2230" s="3" t="s">
        <v>29</v>
      </c>
      <c r="E2230" s="3" t="s">
        <v>29</v>
      </c>
      <c r="F2230">
        <v>17</v>
      </c>
      <c r="G2230" s="7">
        <v>27015</v>
      </c>
      <c r="H2230">
        <v>0</v>
      </c>
      <c r="I2230" s="3" t="s">
        <v>10600</v>
      </c>
      <c r="J2230" s="3" t="s">
        <v>15</v>
      </c>
      <c r="K2230" s="3" t="s">
        <v>10</v>
      </c>
      <c r="L2230" s="3" t="s">
        <v>41</v>
      </c>
      <c r="M2230">
        <v>53</v>
      </c>
      <c r="N2230" s="3"/>
    </row>
    <row r="2231" spans="1:14" x14ac:dyDescent="0.25">
      <c r="A2231" s="3" t="s">
        <v>2258</v>
      </c>
      <c r="B2231">
        <v>1987</v>
      </c>
      <c r="C2231">
        <v>1987</v>
      </c>
      <c r="D2231" s="3" t="s">
        <v>9</v>
      </c>
      <c r="E2231" s="3" t="s">
        <v>9</v>
      </c>
      <c r="F2231">
        <v>24</v>
      </c>
      <c r="G2231" s="7">
        <v>31982</v>
      </c>
      <c r="H2231">
        <v>1</v>
      </c>
      <c r="I2231" s="3" t="s">
        <v>10601</v>
      </c>
      <c r="J2231" s="3" t="s">
        <v>15</v>
      </c>
      <c r="K2231" s="3" t="s">
        <v>15</v>
      </c>
      <c r="L2231" s="3" t="s">
        <v>275</v>
      </c>
      <c r="M2231">
        <v>39</v>
      </c>
      <c r="N2231" s="3"/>
    </row>
    <row r="2232" spans="1:14" x14ac:dyDescent="0.25">
      <c r="A2232" s="3" t="s">
        <v>2259</v>
      </c>
      <c r="B2232">
        <v>1985</v>
      </c>
      <c r="C2232">
        <v>1985</v>
      </c>
      <c r="D2232" s="3" t="s">
        <v>9</v>
      </c>
      <c r="E2232" s="3" t="s">
        <v>9</v>
      </c>
      <c r="F2232">
        <v>17</v>
      </c>
      <c r="G2232" s="7">
        <v>31245</v>
      </c>
      <c r="H2232">
        <v>2</v>
      </c>
      <c r="I2232" s="3" t="s">
        <v>10602</v>
      </c>
      <c r="J2232" s="3" t="s">
        <v>10</v>
      </c>
      <c r="K2232" s="3" t="s">
        <v>15</v>
      </c>
      <c r="L2232" s="3" t="s">
        <v>41</v>
      </c>
      <c r="M2232">
        <v>41</v>
      </c>
      <c r="N2232" s="3"/>
    </row>
    <row r="2233" spans="1:14" x14ac:dyDescent="0.25">
      <c r="A2233" s="3" t="s">
        <v>2260</v>
      </c>
      <c r="B2233">
        <v>1983</v>
      </c>
      <c r="C2233">
        <v>1983</v>
      </c>
      <c r="D2233" s="3" t="s">
        <v>17</v>
      </c>
      <c r="E2233" s="3" t="s">
        <v>17</v>
      </c>
      <c r="F2233">
        <v>1</v>
      </c>
      <c r="G2233" s="7">
        <v>30468</v>
      </c>
      <c r="H2233">
        <v>3</v>
      </c>
      <c r="I2233" s="3" t="s">
        <v>10603</v>
      </c>
      <c r="J2233" s="3" t="s">
        <v>10</v>
      </c>
      <c r="K2233" s="3" t="s">
        <v>10</v>
      </c>
      <c r="L2233" s="3" t="s">
        <v>41</v>
      </c>
      <c r="M2233">
        <v>43</v>
      </c>
      <c r="N2233" s="3"/>
    </row>
    <row r="2234" spans="1:14" x14ac:dyDescent="0.25">
      <c r="A2234" s="3" t="s">
        <v>2261</v>
      </c>
      <c r="B2234">
        <v>1985</v>
      </c>
      <c r="C2234">
        <v>1985</v>
      </c>
      <c r="D2234" s="3" t="s">
        <v>34</v>
      </c>
      <c r="E2234" s="3" t="s">
        <v>34</v>
      </c>
      <c r="F2234">
        <v>22</v>
      </c>
      <c r="G2234" s="7">
        <v>31281</v>
      </c>
      <c r="H2234">
        <v>1</v>
      </c>
      <c r="I2234" s="3" t="s">
        <v>10604</v>
      </c>
      <c r="J2234" s="3" t="s">
        <v>15</v>
      </c>
      <c r="K2234" s="3" t="s">
        <v>10</v>
      </c>
      <c r="L2234" s="3" t="s">
        <v>12</v>
      </c>
      <c r="M2234">
        <v>41</v>
      </c>
      <c r="N2234" s="3"/>
    </row>
    <row r="2235" spans="1:14" x14ac:dyDescent="0.25">
      <c r="A2235" s="3" t="s">
        <v>2262</v>
      </c>
      <c r="B2235">
        <v>1975</v>
      </c>
      <c r="C2235">
        <v>1975</v>
      </c>
      <c r="D2235" s="3" t="s">
        <v>29</v>
      </c>
      <c r="E2235" s="3" t="s">
        <v>29</v>
      </c>
      <c r="F2235">
        <v>2</v>
      </c>
      <c r="G2235" s="7">
        <v>27730</v>
      </c>
      <c r="H2235">
        <v>1</v>
      </c>
      <c r="I2235" s="3" t="s">
        <v>10605</v>
      </c>
      <c r="J2235" s="3" t="s">
        <v>10</v>
      </c>
      <c r="K2235" s="3" t="s">
        <v>10</v>
      </c>
      <c r="L2235" s="3" t="s">
        <v>41</v>
      </c>
      <c r="M2235">
        <v>51</v>
      </c>
      <c r="N2235" s="3"/>
    </row>
    <row r="2236" spans="1:14" x14ac:dyDescent="0.25">
      <c r="A2236" s="3" t="s">
        <v>2263</v>
      </c>
      <c r="B2236">
        <v>1987</v>
      </c>
      <c r="C2236">
        <v>1987</v>
      </c>
      <c r="D2236" s="3" t="s">
        <v>34</v>
      </c>
      <c r="E2236" s="3" t="s">
        <v>34</v>
      </c>
      <c r="F2236">
        <v>8</v>
      </c>
      <c r="G2236" s="7">
        <v>31997</v>
      </c>
      <c r="H2236">
        <v>3</v>
      </c>
      <c r="I2236" s="3" t="s">
        <v>10606</v>
      </c>
      <c r="J2236" s="3" t="s">
        <v>10</v>
      </c>
      <c r="K2236" s="3" t="s">
        <v>11</v>
      </c>
      <c r="L2236" s="3" t="s">
        <v>22</v>
      </c>
      <c r="M2236">
        <v>39</v>
      </c>
      <c r="N2236" s="3"/>
    </row>
    <row r="2237" spans="1:14" x14ac:dyDescent="0.25">
      <c r="A2237" s="3" t="s">
        <v>2264</v>
      </c>
      <c r="B2237">
        <v>1982</v>
      </c>
      <c r="C2237">
        <v>1982</v>
      </c>
      <c r="D2237" s="3" t="s">
        <v>29</v>
      </c>
      <c r="E2237" s="3" t="s">
        <v>29</v>
      </c>
      <c r="F2237">
        <v>25</v>
      </c>
      <c r="G2237" s="7">
        <v>30310</v>
      </c>
      <c r="H2237">
        <v>2</v>
      </c>
      <c r="I2237" s="3" t="s">
        <v>10607</v>
      </c>
      <c r="J2237" s="3" t="s">
        <v>15</v>
      </c>
      <c r="K2237" s="3" t="s">
        <v>15</v>
      </c>
      <c r="L2237" s="3" t="s">
        <v>22</v>
      </c>
      <c r="M2237">
        <v>44</v>
      </c>
      <c r="N2237" s="3"/>
    </row>
    <row r="2238" spans="1:14" x14ac:dyDescent="0.25">
      <c r="A2238" s="3" t="s">
        <v>2265</v>
      </c>
      <c r="B2238">
        <v>1978</v>
      </c>
      <c r="C2238">
        <v>1978</v>
      </c>
      <c r="D2238" s="3" t="s">
        <v>29</v>
      </c>
      <c r="E2238" s="3" t="s">
        <v>29</v>
      </c>
      <c r="F2238">
        <v>20</v>
      </c>
      <c r="G2238" s="7">
        <v>28844</v>
      </c>
      <c r="H2238">
        <v>2</v>
      </c>
      <c r="I2238" s="3" t="s">
        <v>10608</v>
      </c>
      <c r="J2238" s="3" t="s">
        <v>15</v>
      </c>
      <c r="K2238" s="3" t="s">
        <v>11</v>
      </c>
      <c r="L2238" s="3" t="s">
        <v>41</v>
      </c>
      <c r="M2238">
        <v>48</v>
      </c>
      <c r="N2238" s="3"/>
    </row>
    <row r="2239" spans="1:14" x14ac:dyDescent="0.25">
      <c r="A2239" s="3" t="s">
        <v>2266</v>
      </c>
      <c r="B2239">
        <v>1966</v>
      </c>
      <c r="C2239">
        <v>1966</v>
      </c>
      <c r="D2239" s="3" t="s">
        <v>34</v>
      </c>
      <c r="E2239" s="3" t="s">
        <v>34</v>
      </c>
      <c r="F2239">
        <v>12</v>
      </c>
      <c r="G2239" s="7">
        <v>24331</v>
      </c>
      <c r="H2239">
        <v>0</v>
      </c>
      <c r="I2239" s="3" t="s">
        <v>10609</v>
      </c>
      <c r="J2239" s="3" t="s">
        <v>15</v>
      </c>
      <c r="K2239" s="3" t="s">
        <v>11</v>
      </c>
      <c r="L2239" s="3" t="s">
        <v>41</v>
      </c>
      <c r="M2239">
        <v>60</v>
      </c>
      <c r="N2239" s="3"/>
    </row>
    <row r="2240" spans="1:14" x14ac:dyDescent="0.25">
      <c r="A2240" s="3" t="s">
        <v>2267</v>
      </c>
      <c r="B2240">
        <v>1983</v>
      </c>
      <c r="C2240">
        <v>1983</v>
      </c>
      <c r="D2240" s="3" t="s">
        <v>36</v>
      </c>
      <c r="E2240" s="3" t="s">
        <v>36</v>
      </c>
      <c r="F2240">
        <v>14</v>
      </c>
      <c r="G2240" s="7">
        <v>30603</v>
      </c>
      <c r="H2240">
        <v>2</v>
      </c>
      <c r="I2240" s="3" t="s">
        <v>10610</v>
      </c>
      <c r="J2240" s="3" t="s">
        <v>15</v>
      </c>
      <c r="K2240" s="3" t="s">
        <v>10</v>
      </c>
      <c r="L2240" s="3" t="s">
        <v>41</v>
      </c>
      <c r="M2240">
        <v>43</v>
      </c>
      <c r="N2240" s="3"/>
    </row>
    <row r="2241" spans="1:14" x14ac:dyDescent="0.25">
      <c r="A2241" s="3" t="s">
        <v>2268</v>
      </c>
      <c r="B2241">
        <v>1985</v>
      </c>
      <c r="C2241">
        <v>1985</v>
      </c>
      <c r="D2241" s="3" t="s">
        <v>36</v>
      </c>
      <c r="E2241" s="3" t="s">
        <v>36</v>
      </c>
      <c r="F2241">
        <v>21</v>
      </c>
      <c r="G2241" s="7">
        <v>31341</v>
      </c>
      <c r="H2241">
        <v>4</v>
      </c>
      <c r="I2241" s="3" t="s">
        <v>10611</v>
      </c>
      <c r="J2241" s="3" t="s">
        <v>15</v>
      </c>
      <c r="K2241" s="3" t="s">
        <v>10</v>
      </c>
      <c r="L2241" s="3" t="s">
        <v>41</v>
      </c>
      <c r="M2241">
        <v>41</v>
      </c>
      <c r="N2241" s="3"/>
    </row>
    <row r="2242" spans="1:14" x14ac:dyDescent="0.25">
      <c r="A2242" s="3" t="s">
        <v>2269</v>
      </c>
      <c r="B2242">
        <v>1979</v>
      </c>
      <c r="C2242">
        <v>1979</v>
      </c>
      <c r="D2242" s="3" t="s">
        <v>34</v>
      </c>
      <c r="E2242" s="3" t="s">
        <v>34</v>
      </c>
      <c r="F2242">
        <v>18</v>
      </c>
      <c r="G2242" s="7">
        <v>29085</v>
      </c>
      <c r="H2242">
        <v>2</v>
      </c>
      <c r="I2242" s="3" t="s">
        <v>10612</v>
      </c>
      <c r="J2242" s="3" t="s">
        <v>15</v>
      </c>
      <c r="K2242" s="3" t="s">
        <v>11</v>
      </c>
      <c r="L2242" s="3" t="s">
        <v>22</v>
      </c>
      <c r="M2242">
        <v>47</v>
      </c>
      <c r="N2242" s="3"/>
    </row>
    <row r="2243" spans="1:14" x14ac:dyDescent="0.25">
      <c r="A2243" s="3" t="s">
        <v>2270</v>
      </c>
      <c r="B2243">
        <v>1981</v>
      </c>
      <c r="C2243">
        <v>1981</v>
      </c>
      <c r="D2243" s="3" t="s">
        <v>9</v>
      </c>
      <c r="E2243" s="3" t="s">
        <v>9</v>
      </c>
      <c r="F2243">
        <v>28</v>
      </c>
      <c r="G2243" s="7">
        <v>29795</v>
      </c>
      <c r="H2243">
        <v>1</v>
      </c>
      <c r="I2243" s="3" t="s">
        <v>10613</v>
      </c>
      <c r="J2243" s="3" t="s">
        <v>15</v>
      </c>
      <c r="K2243" s="3" t="s">
        <v>10</v>
      </c>
      <c r="L2243" s="3" t="s">
        <v>41</v>
      </c>
      <c r="M2243">
        <v>45</v>
      </c>
      <c r="N2243" s="3"/>
    </row>
    <row r="2244" spans="1:14" x14ac:dyDescent="0.25">
      <c r="A2244" s="3" t="s">
        <v>2271</v>
      </c>
      <c r="B2244">
        <v>1981</v>
      </c>
      <c r="C2244">
        <v>1981</v>
      </c>
      <c r="D2244" s="3" t="s">
        <v>36</v>
      </c>
      <c r="E2244" s="3" t="s">
        <v>36</v>
      </c>
      <c r="F2244">
        <v>4</v>
      </c>
      <c r="G2244" s="7">
        <v>29863</v>
      </c>
      <c r="H2244">
        <v>1</v>
      </c>
      <c r="I2244" s="3" t="s">
        <v>10614</v>
      </c>
      <c r="J2244" s="3" t="s">
        <v>15</v>
      </c>
      <c r="K2244" s="3" t="s">
        <v>11</v>
      </c>
      <c r="L2244" s="3" t="s">
        <v>12</v>
      </c>
      <c r="M2244">
        <v>45</v>
      </c>
      <c r="N2244" s="3"/>
    </row>
    <row r="2245" spans="1:14" x14ac:dyDescent="0.25">
      <c r="A2245" s="3" t="s">
        <v>2272</v>
      </c>
      <c r="B2245">
        <v>1977</v>
      </c>
      <c r="C2245">
        <v>1977</v>
      </c>
      <c r="D2245" s="3" t="s">
        <v>17</v>
      </c>
      <c r="E2245" s="3" t="s">
        <v>17</v>
      </c>
      <c r="F2245">
        <v>27</v>
      </c>
      <c r="G2245" s="7">
        <v>28303</v>
      </c>
      <c r="H2245">
        <v>2</v>
      </c>
      <c r="I2245" s="3" t="s">
        <v>10615</v>
      </c>
      <c r="J2245" s="3" t="s">
        <v>15</v>
      </c>
      <c r="K2245" s="3" t="s">
        <v>11</v>
      </c>
      <c r="L2245" s="3" t="s">
        <v>22</v>
      </c>
      <c r="M2245">
        <v>49</v>
      </c>
      <c r="N2245" s="3"/>
    </row>
    <row r="2246" spans="1:14" x14ac:dyDescent="0.25">
      <c r="A2246" s="3" t="s">
        <v>2273</v>
      </c>
      <c r="B2246">
        <v>1962</v>
      </c>
      <c r="C2246">
        <v>1962</v>
      </c>
      <c r="D2246" s="3" t="s">
        <v>19</v>
      </c>
      <c r="E2246" s="3" t="s">
        <v>19</v>
      </c>
      <c r="F2246">
        <v>4</v>
      </c>
      <c r="G2246" s="7">
        <v>22893</v>
      </c>
      <c r="H2246">
        <v>0</v>
      </c>
      <c r="I2246" s="3" t="s">
        <v>10616</v>
      </c>
      <c r="J2246" s="3" t="s">
        <v>15</v>
      </c>
      <c r="K2246" s="3" t="s">
        <v>11</v>
      </c>
      <c r="L2246" s="3" t="s">
        <v>41</v>
      </c>
      <c r="M2246">
        <v>64</v>
      </c>
      <c r="N2246" s="3"/>
    </row>
    <row r="2247" spans="1:14" x14ac:dyDescent="0.25">
      <c r="A2247" s="3" t="s">
        <v>2274</v>
      </c>
      <c r="B2247">
        <v>1966</v>
      </c>
      <c r="C2247">
        <v>1966</v>
      </c>
      <c r="D2247" s="3" t="s">
        <v>34</v>
      </c>
      <c r="E2247" s="3" t="s">
        <v>34</v>
      </c>
      <c r="F2247">
        <v>12</v>
      </c>
      <c r="G2247" s="7">
        <v>24331</v>
      </c>
      <c r="H2247">
        <v>0</v>
      </c>
      <c r="I2247" s="3" t="s">
        <v>10617</v>
      </c>
      <c r="J2247" s="3" t="s">
        <v>15</v>
      </c>
      <c r="K2247" s="3" t="s">
        <v>11</v>
      </c>
      <c r="L2247" s="3" t="s">
        <v>41</v>
      </c>
      <c r="M2247">
        <v>60</v>
      </c>
      <c r="N2247" s="3"/>
    </row>
    <row r="2248" spans="1:14" x14ac:dyDescent="0.25">
      <c r="A2248" s="3" t="s">
        <v>2275</v>
      </c>
      <c r="B2248">
        <v>1985</v>
      </c>
      <c r="C2248">
        <v>1985</v>
      </c>
      <c r="D2248" s="3" t="s">
        <v>14</v>
      </c>
      <c r="E2248" s="3" t="s">
        <v>14</v>
      </c>
      <c r="F2248">
        <v>3</v>
      </c>
      <c r="G2248" s="7">
        <v>31354</v>
      </c>
      <c r="H2248">
        <v>0</v>
      </c>
      <c r="I2248" s="3" t="s">
        <v>10618</v>
      </c>
      <c r="J2248" s="3" t="s">
        <v>15</v>
      </c>
      <c r="K2248" s="3" t="s">
        <v>10</v>
      </c>
      <c r="L2248" s="3" t="s">
        <v>12</v>
      </c>
      <c r="M2248">
        <v>41</v>
      </c>
      <c r="N2248" s="3"/>
    </row>
    <row r="2249" spans="1:14" x14ac:dyDescent="0.25">
      <c r="A2249" s="3" t="s">
        <v>2276</v>
      </c>
      <c r="B2249">
        <v>1975</v>
      </c>
      <c r="C2249">
        <v>1975</v>
      </c>
      <c r="D2249" s="3" t="s">
        <v>9</v>
      </c>
      <c r="E2249" s="3" t="s">
        <v>9</v>
      </c>
      <c r="F2249">
        <v>10</v>
      </c>
      <c r="G2249" s="7">
        <v>27585</v>
      </c>
      <c r="H2249">
        <v>1</v>
      </c>
      <c r="I2249" s="3" t="s">
        <v>10619</v>
      </c>
      <c r="J2249" s="3" t="s">
        <v>15</v>
      </c>
      <c r="K2249" s="3" t="s">
        <v>11</v>
      </c>
      <c r="L2249" s="3" t="s">
        <v>22</v>
      </c>
      <c r="M2249">
        <v>51</v>
      </c>
      <c r="N2249" s="3"/>
    </row>
    <row r="2250" spans="1:14" x14ac:dyDescent="0.25">
      <c r="A2250" s="3" t="s">
        <v>2277</v>
      </c>
      <c r="B2250">
        <v>1970</v>
      </c>
      <c r="C2250">
        <v>1970</v>
      </c>
      <c r="D2250" s="3" t="s">
        <v>19</v>
      </c>
      <c r="E2250" s="3" t="s">
        <v>19</v>
      </c>
      <c r="F2250">
        <v>25</v>
      </c>
      <c r="G2250" s="7">
        <v>25836</v>
      </c>
      <c r="H2250">
        <v>0</v>
      </c>
      <c r="I2250" s="3" t="s">
        <v>10620</v>
      </c>
      <c r="J2250" s="3" t="s">
        <v>15</v>
      </c>
      <c r="K2250" s="3" t="s">
        <v>15</v>
      </c>
      <c r="L2250" s="3" t="s">
        <v>41</v>
      </c>
      <c r="M2250">
        <v>56</v>
      </c>
      <c r="N2250" s="3"/>
    </row>
    <row r="2251" spans="1:14" x14ac:dyDescent="0.25">
      <c r="A2251" s="3" t="s">
        <v>2278</v>
      </c>
      <c r="B2251">
        <v>1976</v>
      </c>
      <c r="C2251">
        <v>1976</v>
      </c>
      <c r="D2251" s="3" t="s">
        <v>29</v>
      </c>
      <c r="E2251" s="3" t="s">
        <v>29</v>
      </c>
      <c r="F2251">
        <v>26</v>
      </c>
      <c r="G2251" s="7">
        <v>28120</v>
      </c>
      <c r="H2251">
        <v>3</v>
      </c>
      <c r="I2251" s="3" t="s">
        <v>10621</v>
      </c>
      <c r="J2251" s="3" t="s">
        <v>15</v>
      </c>
      <c r="K2251" s="3" t="s">
        <v>11</v>
      </c>
      <c r="L2251" s="3" t="s">
        <v>22</v>
      </c>
      <c r="M2251">
        <v>50</v>
      </c>
      <c r="N2251" s="3"/>
    </row>
    <row r="2252" spans="1:14" x14ac:dyDescent="0.25">
      <c r="A2252" s="3" t="s">
        <v>2279</v>
      </c>
      <c r="B2252">
        <v>1972</v>
      </c>
      <c r="C2252">
        <v>1972</v>
      </c>
      <c r="D2252" s="3" t="s">
        <v>17</v>
      </c>
      <c r="E2252" s="3" t="s">
        <v>17</v>
      </c>
      <c r="F2252">
        <v>10</v>
      </c>
      <c r="G2252" s="7">
        <v>26460</v>
      </c>
      <c r="H2252">
        <v>0</v>
      </c>
      <c r="I2252" s="3" t="s">
        <v>10622</v>
      </c>
      <c r="J2252" s="3" t="s">
        <v>15</v>
      </c>
      <c r="K2252" s="3" t="s">
        <v>11</v>
      </c>
      <c r="L2252" s="3" t="s">
        <v>41</v>
      </c>
      <c r="M2252">
        <v>54</v>
      </c>
      <c r="N2252" s="3"/>
    </row>
    <row r="2253" spans="1:14" x14ac:dyDescent="0.25">
      <c r="A2253" s="3" t="s">
        <v>2280</v>
      </c>
      <c r="B2253">
        <v>1999</v>
      </c>
      <c r="C2253">
        <v>1999</v>
      </c>
      <c r="D2253" s="3" t="s">
        <v>9</v>
      </c>
      <c r="E2253" s="3" t="s">
        <v>9</v>
      </c>
      <c r="F2253">
        <v>2</v>
      </c>
      <c r="G2253" s="7">
        <v>36343</v>
      </c>
      <c r="H2253">
        <v>1</v>
      </c>
      <c r="I2253" s="3" t="s">
        <v>10623</v>
      </c>
      <c r="J2253" s="3" t="s">
        <v>15</v>
      </c>
      <c r="K2253" s="3" t="s">
        <v>15</v>
      </c>
      <c r="L2253" s="3" t="s">
        <v>246</v>
      </c>
      <c r="M2253">
        <v>27</v>
      </c>
      <c r="N2253" s="3"/>
    </row>
    <row r="2254" spans="1:14" x14ac:dyDescent="0.25">
      <c r="A2254" s="3" t="s">
        <v>2281</v>
      </c>
      <c r="B2254">
        <v>1992</v>
      </c>
      <c r="C2254">
        <v>1992</v>
      </c>
      <c r="D2254" s="3" t="s">
        <v>34</v>
      </c>
      <c r="E2254" s="3" t="s">
        <v>34</v>
      </c>
      <c r="F2254">
        <v>4</v>
      </c>
      <c r="G2254" s="7">
        <v>33820</v>
      </c>
      <c r="H2254">
        <v>3</v>
      </c>
      <c r="I2254" s="3" t="s">
        <v>10624</v>
      </c>
      <c r="J2254" s="3" t="s">
        <v>15</v>
      </c>
      <c r="K2254" s="3" t="s">
        <v>10</v>
      </c>
      <c r="L2254" s="3" t="s">
        <v>12</v>
      </c>
      <c r="M2254">
        <v>34</v>
      </c>
      <c r="N2254" s="3"/>
    </row>
    <row r="2255" spans="1:14" x14ac:dyDescent="0.25">
      <c r="A2255" s="3" t="s">
        <v>2282</v>
      </c>
      <c r="B2255">
        <v>1979</v>
      </c>
      <c r="C2255">
        <v>1979</v>
      </c>
      <c r="D2255" s="3" t="s">
        <v>19</v>
      </c>
      <c r="E2255" s="3" t="s">
        <v>19</v>
      </c>
      <c r="F2255">
        <v>16</v>
      </c>
      <c r="G2255" s="7">
        <v>29114</v>
      </c>
      <c r="H2255">
        <v>3</v>
      </c>
      <c r="I2255" s="3" t="s">
        <v>10625</v>
      </c>
      <c r="J2255" s="3" t="s">
        <v>15</v>
      </c>
      <c r="K2255" s="3" t="s">
        <v>10</v>
      </c>
      <c r="L2255" s="3" t="s">
        <v>12</v>
      </c>
      <c r="M2255">
        <v>47</v>
      </c>
      <c r="N2255" s="3"/>
    </row>
    <row r="2256" spans="1:14" x14ac:dyDescent="0.25">
      <c r="A2256" s="3" t="s">
        <v>2283</v>
      </c>
      <c r="B2256">
        <v>1983</v>
      </c>
      <c r="C2256">
        <v>1983</v>
      </c>
      <c r="D2256" s="3" t="s">
        <v>19</v>
      </c>
      <c r="E2256" s="3" t="s">
        <v>19</v>
      </c>
      <c r="F2256">
        <v>8</v>
      </c>
      <c r="G2256" s="7">
        <v>30567</v>
      </c>
      <c r="H2256">
        <v>3</v>
      </c>
      <c r="I2256" s="3" t="s">
        <v>10626</v>
      </c>
      <c r="J2256" s="3" t="s">
        <v>15</v>
      </c>
      <c r="K2256" s="3" t="s">
        <v>10</v>
      </c>
      <c r="L2256" s="3" t="s">
        <v>41</v>
      </c>
      <c r="M2256">
        <v>43</v>
      </c>
      <c r="N2256" s="3"/>
    </row>
    <row r="2257" spans="1:14" x14ac:dyDescent="0.25">
      <c r="A2257" s="3" t="s">
        <v>2284</v>
      </c>
      <c r="B2257">
        <v>1974</v>
      </c>
      <c r="C2257">
        <v>1974</v>
      </c>
      <c r="D2257" s="3" t="s">
        <v>17</v>
      </c>
      <c r="E2257" s="3" t="s">
        <v>17</v>
      </c>
      <c r="F2257">
        <v>5</v>
      </c>
      <c r="G2257" s="7">
        <v>27185</v>
      </c>
      <c r="H2257">
        <v>0</v>
      </c>
      <c r="I2257" s="3" t="s">
        <v>10627</v>
      </c>
      <c r="J2257" s="3" t="s">
        <v>15</v>
      </c>
      <c r="K2257" s="3" t="s">
        <v>10</v>
      </c>
      <c r="L2257" s="3" t="s">
        <v>12</v>
      </c>
      <c r="M2257">
        <v>52</v>
      </c>
      <c r="N2257" s="3"/>
    </row>
    <row r="2258" spans="1:14" x14ac:dyDescent="0.25">
      <c r="A2258" s="3" t="s">
        <v>2285</v>
      </c>
      <c r="B2258">
        <v>1979</v>
      </c>
      <c r="C2258">
        <v>1979</v>
      </c>
      <c r="D2258" s="3" t="s">
        <v>36</v>
      </c>
      <c r="E2258" s="3" t="s">
        <v>36</v>
      </c>
      <c r="F2258">
        <v>11</v>
      </c>
      <c r="G2258" s="7">
        <v>29139</v>
      </c>
      <c r="H2258">
        <v>1</v>
      </c>
      <c r="I2258" s="3" t="s">
        <v>10628</v>
      </c>
      <c r="J2258" s="3" t="s">
        <v>15</v>
      </c>
      <c r="K2258" s="3" t="s">
        <v>11</v>
      </c>
      <c r="L2258" s="3" t="s">
        <v>355</v>
      </c>
      <c r="M2258">
        <v>47</v>
      </c>
      <c r="N2258" s="3"/>
    </row>
    <row r="2259" spans="1:14" x14ac:dyDescent="0.25">
      <c r="A2259" s="3" t="s">
        <v>2286</v>
      </c>
      <c r="B2259">
        <v>1972</v>
      </c>
      <c r="C2259">
        <v>1972</v>
      </c>
      <c r="D2259" s="3" t="s">
        <v>34</v>
      </c>
      <c r="E2259" s="3" t="s">
        <v>34</v>
      </c>
      <c r="F2259">
        <v>12</v>
      </c>
      <c r="G2259" s="7">
        <v>26523</v>
      </c>
      <c r="H2259">
        <v>0</v>
      </c>
      <c r="I2259" s="3" t="s">
        <v>10629</v>
      </c>
      <c r="J2259" s="3" t="s">
        <v>15</v>
      </c>
      <c r="K2259" s="3" t="s">
        <v>10</v>
      </c>
      <c r="L2259" s="3" t="s">
        <v>41</v>
      </c>
      <c r="M2259">
        <v>54</v>
      </c>
      <c r="N2259" s="3"/>
    </row>
    <row r="2260" spans="1:14" x14ac:dyDescent="0.25">
      <c r="A2260" s="3" t="s">
        <v>2287</v>
      </c>
      <c r="B2260">
        <v>1972</v>
      </c>
      <c r="C2260">
        <v>1972</v>
      </c>
      <c r="D2260" s="3" t="s">
        <v>19</v>
      </c>
      <c r="E2260" s="3" t="s">
        <v>19</v>
      </c>
      <c r="F2260">
        <v>6</v>
      </c>
      <c r="G2260" s="7">
        <v>26548</v>
      </c>
      <c r="H2260">
        <v>0</v>
      </c>
      <c r="I2260" s="3" t="s">
        <v>10630</v>
      </c>
      <c r="J2260" s="3" t="s">
        <v>15</v>
      </c>
      <c r="K2260" s="3" t="s">
        <v>11</v>
      </c>
      <c r="L2260" s="3" t="s">
        <v>167</v>
      </c>
      <c r="M2260">
        <v>54</v>
      </c>
      <c r="N2260" s="3"/>
    </row>
    <row r="2261" spans="1:14" x14ac:dyDescent="0.25">
      <c r="A2261" s="3" t="s">
        <v>2288</v>
      </c>
      <c r="B2261">
        <v>1969</v>
      </c>
      <c r="C2261">
        <v>1969</v>
      </c>
      <c r="D2261" s="3" t="s">
        <v>34</v>
      </c>
      <c r="E2261" s="3" t="s">
        <v>34</v>
      </c>
      <c r="F2261">
        <v>8</v>
      </c>
      <c r="G2261" s="7">
        <v>25423</v>
      </c>
      <c r="H2261">
        <v>0</v>
      </c>
      <c r="I2261" s="3" t="s">
        <v>10631</v>
      </c>
      <c r="J2261" s="3" t="s">
        <v>15</v>
      </c>
      <c r="K2261" s="3" t="s">
        <v>10</v>
      </c>
      <c r="L2261" s="3" t="s">
        <v>41</v>
      </c>
      <c r="M2261">
        <v>57</v>
      </c>
      <c r="N2261" s="3"/>
    </row>
    <row r="2262" spans="1:14" x14ac:dyDescent="0.25">
      <c r="A2262" s="3" t="s">
        <v>2289</v>
      </c>
      <c r="B2262">
        <v>1964</v>
      </c>
      <c r="C2262">
        <v>1964</v>
      </c>
      <c r="D2262" s="3" t="s">
        <v>17</v>
      </c>
      <c r="E2262" s="3" t="s">
        <v>17</v>
      </c>
      <c r="F2262">
        <v>6</v>
      </c>
      <c r="G2262" s="7">
        <v>23534</v>
      </c>
      <c r="H2262">
        <v>0</v>
      </c>
      <c r="I2262" s="3" t="s">
        <v>10632</v>
      </c>
      <c r="J2262" s="3" t="s">
        <v>15</v>
      </c>
      <c r="K2262" s="3" t="s">
        <v>11</v>
      </c>
      <c r="L2262" s="3" t="s">
        <v>41</v>
      </c>
      <c r="M2262">
        <v>62</v>
      </c>
      <c r="N2262" s="3"/>
    </row>
    <row r="2263" spans="1:14" x14ac:dyDescent="0.25">
      <c r="A2263" s="3" t="s">
        <v>2290</v>
      </c>
      <c r="B2263">
        <v>1977</v>
      </c>
      <c r="C2263">
        <v>1977</v>
      </c>
      <c r="D2263" s="3" t="s">
        <v>34</v>
      </c>
      <c r="E2263" s="3" t="s">
        <v>34</v>
      </c>
      <c r="F2263">
        <v>27</v>
      </c>
      <c r="G2263" s="7">
        <v>28364</v>
      </c>
      <c r="H2263">
        <v>2</v>
      </c>
      <c r="I2263" s="3" t="s">
        <v>10633</v>
      </c>
      <c r="J2263" s="3" t="s">
        <v>15</v>
      </c>
      <c r="K2263" s="3" t="s">
        <v>10</v>
      </c>
      <c r="L2263" s="3" t="s">
        <v>41</v>
      </c>
      <c r="M2263">
        <v>49</v>
      </c>
      <c r="N2263" s="3"/>
    </row>
    <row r="2264" spans="1:14" x14ac:dyDescent="0.25">
      <c r="A2264" s="3" t="s">
        <v>2291</v>
      </c>
      <c r="B2264">
        <v>1964</v>
      </c>
      <c r="C2264">
        <v>1964</v>
      </c>
      <c r="D2264" s="3" t="s">
        <v>36</v>
      </c>
      <c r="E2264" s="3" t="s">
        <v>36</v>
      </c>
      <c r="F2264">
        <v>7</v>
      </c>
      <c r="G2264" s="7">
        <v>23657</v>
      </c>
      <c r="H2264">
        <v>0</v>
      </c>
      <c r="I2264" s="3" t="s">
        <v>10634</v>
      </c>
      <c r="J2264" s="3" t="s">
        <v>15</v>
      </c>
      <c r="K2264" s="3" t="s">
        <v>10</v>
      </c>
      <c r="L2264" s="3" t="s">
        <v>41</v>
      </c>
      <c r="M2264">
        <v>62</v>
      </c>
      <c r="N2264" s="3"/>
    </row>
    <row r="2265" spans="1:14" x14ac:dyDescent="0.25">
      <c r="A2265" s="3" t="s">
        <v>2292</v>
      </c>
      <c r="B2265">
        <v>1971</v>
      </c>
      <c r="C2265">
        <v>1971</v>
      </c>
      <c r="D2265" s="3" t="s">
        <v>36</v>
      </c>
      <c r="E2265" s="3" t="s">
        <v>36</v>
      </c>
      <c r="F2265">
        <v>16</v>
      </c>
      <c r="G2265" s="7">
        <v>26222</v>
      </c>
      <c r="H2265">
        <v>0</v>
      </c>
      <c r="I2265" s="3" t="s">
        <v>10635</v>
      </c>
      <c r="J2265" s="3" t="s">
        <v>15</v>
      </c>
      <c r="K2265" s="3" t="s">
        <v>10</v>
      </c>
      <c r="L2265" s="3" t="s">
        <v>41</v>
      </c>
      <c r="M2265">
        <v>55</v>
      </c>
      <c r="N2265" s="3"/>
    </row>
    <row r="2266" spans="1:14" x14ac:dyDescent="0.25">
      <c r="A2266" s="3" t="s">
        <v>2293</v>
      </c>
      <c r="B2266">
        <v>1967</v>
      </c>
      <c r="C2266">
        <v>1967</v>
      </c>
      <c r="D2266" s="3" t="s">
        <v>29</v>
      </c>
      <c r="E2266" s="3" t="s">
        <v>29</v>
      </c>
      <c r="F2266">
        <v>22</v>
      </c>
      <c r="G2266" s="7">
        <v>24828</v>
      </c>
      <c r="H2266">
        <v>0</v>
      </c>
      <c r="I2266" s="3" t="s">
        <v>10636</v>
      </c>
      <c r="J2266" s="3" t="s">
        <v>15</v>
      </c>
      <c r="K2266" s="3" t="s">
        <v>10</v>
      </c>
      <c r="L2266" s="3" t="s">
        <v>41</v>
      </c>
      <c r="M2266">
        <v>59</v>
      </c>
      <c r="N2266" s="3"/>
    </row>
    <row r="2267" spans="1:14" x14ac:dyDescent="0.25">
      <c r="A2267" s="3" t="s">
        <v>2294</v>
      </c>
      <c r="B2267">
        <v>1974</v>
      </c>
      <c r="C2267">
        <v>1974</v>
      </c>
      <c r="D2267" s="3" t="s">
        <v>14</v>
      </c>
      <c r="E2267" s="3" t="s">
        <v>14</v>
      </c>
      <c r="F2267">
        <v>24</v>
      </c>
      <c r="G2267" s="7">
        <v>27357</v>
      </c>
      <c r="H2267">
        <v>0</v>
      </c>
      <c r="I2267" s="3" t="s">
        <v>10637</v>
      </c>
      <c r="J2267" s="3" t="s">
        <v>15</v>
      </c>
      <c r="K2267" s="3" t="s">
        <v>15</v>
      </c>
      <c r="L2267" s="3" t="s">
        <v>41</v>
      </c>
      <c r="M2267">
        <v>52</v>
      </c>
      <c r="N2267" s="3"/>
    </row>
    <row r="2268" spans="1:14" x14ac:dyDescent="0.25">
      <c r="A2268" s="3" t="s">
        <v>2295</v>
      </c>
      <c r="B2268">
        <v>1976</v>
      </c>
      <c r="C2268">
        <v>1976</v>
      </c>
      <c r="D2268" s="3" t="s">
        <v>36</v>
      </c>
      <c r="E2268" s="3" t="s">
        <v>36</v>
      </c>
      <c r="F2268">
        <v>29</v>
      </c>
      <c r="G2268" s="7">
        <v>28062</v>
      </c>
      <c r="H2268">
        <v>1</v>
      </c>
      <c r="I2268" s="3" t="s">
        <v>10638</v>
      </c>
      <c r="J2268" s="3" t="s">
        <v>15</v>
      </c>
      <c r="K2268" s="3" t="s">
        <v>11</v>
      </c>
      <c r="L2268" s="3" t="s">
        <v>41</v>
      </c>
      <c r="M2268">
        <v>50</v>
      </c>
      <c r="N2268" s="3"/>
    </row>
    <row r="2269" spans="1:14" x14ac:dyDescent="0.25">
      <c r="A2269" s="3" t="s">
        <v>2296</v>
      </c>
      <c r="B2269">
        <v>1975</v>
      </c>
      <c r="C2269">
        <v>1975</v>
      </c>
      <c r="D2269" s="3" t="s">
        <v>14</v>
      </c>
      <c r="E2269" s="3" t="s">
        <v>14</v>
      </c>
      <c r="F2269">
        <v>14</v>
      </c>
      <c r="G2269" s="7">
        <v>27712</v>
      </c>
      <c r="H2269">
        <v>0</v>
      </c>
      <c r="I2269" s="3" t="s">
        <v>10639</v>
      </c>
      <c r="J2269" s="3" t="s">
        <v>15</v>
      </c>
      <c r="K2269" s="3" t="s">
        <v>10</v>
      </c>
      <c r="L2269" s="3" t="s">
        <v>12</v>
      </c>
      <c r="M2269">
        <v>51</v>
      </c>
      <c r="N2269" s="3"/>
    </row>
    <row r="2270" spans="1:14" x14ac:dyDescent="0.25">
      <c r="A2270" s="3" t="s">
        <v>2297</v>
      </c>
      <c r="B2270">
        <v>1975</v>
      </c>
      <c r="C2270">
        <v>1975</v>
      </c>
      <c r="D2270" s="3" t="s">
        <v>19</v>
      </c>
      <c r="E2270" s="3" t="s">
        <v>19</v>
      </c>
      <c r="F2270">
        <v>29</v>
      </c>
      <c r="G2270" s="7">
        <v>27666</v>
      </c>
      <c r="H2270">
        <v>1</v>
      </c>
      <c r="I2270" s="3" t="s">
        <v>10640</v>
      </c>
      <c r="J2270" s="3" t="s">
        <v>15</v>
      </c>
      <c r="K2270" s="3" t="s">
        <v>15</v>
      </c>
      <c r="L2270" s="3" t="s">
        <v>41</v>
      </c>
      <c r="M2270">
        <v>51</v>
      </c>
      <c r="N2270" s="3"/>
    </row>
    <row r="2271" spans="1:14" x14ac:dyDescent="0.25">
      <c r="A2271" s="3" t="s">
        <v>2298</v>
      </c>
      <c r="B2271">
        <v>1962</v>
      </c>
      <c r="C2271">
        <v>1962</v>
      </c>
      <c r="D2271" s="3" t="s">
        <v>19</v>
      </c>
      <c r="E2271" s="3" t="s">
        <v>19</v>
      </c>
      <c r="F2271">
        <v>22</v>
      </c>
      <c r="G2271" s="7">
        <v>22911</v>
      </c>
      <c r="H2271">
        <v>0</v>
      </c>
      <c r="I2271" s="3" t="s">
        <v>10641</v>
      </c>
      <c r="J2271" s="3" t="s">
        <v>15</v>
      </c>
      <c r="K2271" s="3" t="s">
        <v>11</v>
      </c>
      <c r="L2271" s="3" t="s">
        <v>41</v>
      </c>
      <c r="M2271">
        <v>64</v>
      </c>
      <c r="N2271" s="3"/>
    </row>
    <row r="2272" spans="1:14" x14ac:dyDescent="0.25">
      <c r="A2272" s="3" t="s">
        <v>2299</v>
      </c>
      <c r="B2272">
        <v>1966</v>
      </c>
      <c r="C2272">
        <v>1966</v>
      </c>
      <c r="D2272" s="3" t="s">
        <v>19</v>
      </c>
      <c r="E2272" s="3" t="s">
        <v>19</v>
      </c>
      <c r="F2272">
        <v>21</v>
      </c>
      <c r="G2272" s="7">
        <v>24371</v>
      </c>
      <c r="H2272">
        <v>0</v>
      </c>
      <c r="I2272" s="3" t="s">
        <v>10642</v>
      </c>
      <c r="J2272" s="3" t="s">
        <v>15</v>
      </c>
      <c r="K2272" s="3" t="s">
        <v>11</v>
      </c>
      <c r="L2272" s="3" t="s">
        <v>41</v>
      </c>
      <c r="M2272">
        <v>60</v>
      </c>
      <c r="N2272" s="3"/>
    </row>
    <row r="2273" spans="1:14" x14ac:dyDescent="0.25">
      <c r="A2273" s="3" t="s">
        <v>2300</v>
      </c>
      <c r="B2273">
        <v>1972</v>
      </c>
      <c r="C2273">
        <v>1972</v>
      </c>
      <c r="D2273" s="3" t="s">
        <v>17</v>
      </c>
      <c r="E2273" s="3" t="s">
        <v>17</v>
      </c>
      <c r="F2273">
        <v>8</v>
      </c>
      <c r="G2273" s="7">
        <v>26458</v>
      </c>
      <c r="H2273">
        <v>1</v>
      </c>
      <c r="I2273" s="3" t="s">
        <v>10643</v>
      </c>
      <c r="J2273" s="3" t="s">
        <v>15</v>
      </c>
      <c r="K2273" s="3" t="s">
        <v>15</v>
      </c>
      <c r="L2273" s="3" t="s">
        <v>167</v>
      </c>
      <c r="M2273">
        <v>54</v>
      </c>
      <c r="N2273" s="3"/>
    </row>
    <row r="2274" spans="1:14" x14ac:dyDescent="0.25">
      <c r="A2274" s="3" t="s">
        <v>2301</v>
      </c>
      <c r="B2274">
        <v>1984</v>
      </c>
      <c r="C2274">
        <v>1984</v>
      </c>
      <c r="D2274" s="3" t="s">
        <v>14</v>
      </c>
      <c r="E2274" s="3" t="s">
        <v>14</v>
      </c>
      <c r="F2274">
        <v>10</v>
      </c>
      <c r="G2274" s="7">
        <v>30996</v>
      </c>
      <c r="H2274">
        <v>3</v>
      </c>
      <c r="I2274" s="3" t="s">
        <v>10644</v>
      </c>
      <c r="J2274" s="3" t="s">
        <v>15</v>
      </c>
      <c r="K2274" s="3" t="s">
        <v>15</v>
      </c>
      <c r="L2274" s="3" t="s">
        <v>12</v>
      </c>
      <c r="M2274">
        <v>42</v>
      </c>
      <c r="N2274" s="3"/>
    </row>
    <row r="2275" spans="1:14" x14ac:dyDescent="0.25">
      <c r="A2275" s="3" t="s">
        <v>2302</v>
      </c>
      <c r="B2275">
        <v>1968</v>
      </c>
      <c r="C2275">
        <v>1968</v>
      </c>
      <c r="D2275" s="3" t="s">
        <v>29</v>
      </c>
      <c r="E2275" s="3" t="s">
        <v>29</v>
      </c>
      <c r="F2275">
        <v>19</v>
      </c>
      <c r="G2275" s="7">
        <v>25191</v>
      </c>
      <c r="H2275">
        <v>1</v>
      </c>
      <c r="I2275" s="3" t="s">
        <v>10645</v>
      </c>
      <c r="J2275" s="3" t="s">
        <v>15</v>
      </c>
      <c r="K2275" s="3" t="s">
        <v>11</v>
      </c>
      <c r="L2275" s="3" t="s">
        <v>12</v>
      </c>
      <c r="M2275">
        <v>58</v>
      </c>
      <c r="N2275" s="3"/>
    </row>
    <row r="2276" spans="1:14" x14ac:dyDescent="0.25">
      <c r="A2276" s="3" t="s">
        <v>2303</v>
      </c>
      <c r="B2276">
        <v>1976</v>
      </c>
      <c r="C2276">
        <v>1976</v>
      </c>
      <c r="D2276" s="3" t="s">
        <v>14</v>
      </c>
      <c r="E2276" s="3" t="s">
        <v>14</v>
      </c>
      <c r="F2276">
        <v>28</v>
      </c>
      <c r="G2276" s="7">
        <v>28092</v>
      </c>
      <c r="H2276">
        <v>0</v>
      </c>
      <c r="I2276" s="3" t="s">
        <v>10646</v>
      </c>
      <c r="J2276" s="3" t="s">
        <v>15</v>
      </c>
      <c r="K2276" s="3" t="s">
        <v>15</v>
      </c>
      <c r="L2276" s="3" t="s">
        <v>246</v>
      </c>
      <c r="M2276">
        <v>50</v>
      </c>
      <c r="N2276" s="3"/>
    </row>
    <row r="2277" spans="1:14" x14ac:dyDescent="0.25">
      <c r="A2277" s="3" t="s">
        <v>2304</v>
      </c>
      <c r="B2277">
        <v>1997</v>
      </c>
      <c r="C2277">
        <v>1997</v>
      </c>
      <c r="D2277" s="3" t="s">
        <v>29</v>
      </c>
      <c r="E2277" s="3" t="s">
        <v>29</v>
      </c>
      <c r="F2277">
        <v>9</v>
      </c>
      <c r="G2277" s="7">
        <v>35773</v>
      </c>
      <c r="H2277">
        <v>2</v>
      </c>
      <c r="I2277" s="3" t="s">
        <v>10647</v>
      </c>
      <c r="J2277" s="3" t="s">
        <v>15</v>
      </c>
      <c r="K2277" s="3" t="s">
        <v>11</v>
      </c>
      <c r="L2277" s="3" t="s">
        <v>12</v>
      </c>
      <c r="M2277">
        <v>29</v>
      </c>
      <c r="N2277" s="3"/>
    </row>
    <row r="2278" spans="1:14" x14ac:dyDescent="0.25">
      <c r="A2278" s="3" t="s">
        <v>2305</v>
      </c>
      <c r="B2278">
        <v>1979</v>
      </c>
      <c r="C2278">
        <v>1979</v>
      </c>
      <c r="D2278" s="3" t="s">
        <v>9</v>
      </c>
      <c r="E2278" s="3" t="s">
        <v>9</v>
      </c>
      <c r="F2278">
        <v>3</v>
      </c>
      <c r="G2278" s="7">
        <v>29039</v>
      </c>
      <c r="H2278">
        <v>3</v>
      </c>
      <c r="I2278" s="3" t="s">
        <v>10648</v>
      </c>
      <c r="J2278" s="3" t="s">
        <v>15</v>
      </c>
      <c r="K2278" s="3" t="s">
        <v>15</v>
      </c>
      <c r="L2278" s="3" t="s">
        <v>12</v>
      </c>
      <c r="M2278">
        <v>47</v>
      </c>
      <c r="N2278" s="3"/>
    </row>
    <row r="2279" spans="1:14" x14ac:dyDescent="0.25">
      <c r="A2279" s="3" t="s">
        <v>2306</v>
      </c>
      <c r="B2279">
        <v>1973</v>
      </c>
      <c r="C2279">
        <v>1973</v>
      </c>
      <c r="D2279" s="3" t="s">
        <v>19</v>
      </c>
      <c r="E2279" s="3" t="s">
        <v>19</v>
      </c>
      <c r="F2279">
        <v>18</v>
      </c>
      <c r="G2279" s="7">
        <v>26925</v>
      </c>
      <c r="H2279">
        <v>0</v>
      </c>
      <c r="I2279" s="3" t="s">
        <v>10649</v>
      </c>
      <c r="J2279" s="3" t="s">
        <v>15</v>
      </c>
      <c r="K2279" s="3" t="s">
        <v>15</v>
      </c>
      <c r="L2279" s="3" t="s">
        <v>41</v>
      </c>
      <c r="M2279">
        <v>53</v>
      </c>
      <c r="N2279" s="3"/>
    </row>
    <row r="2280" spans="1:14" x14ac:dyDescent="0.25">
      <c r="A2280" s="3" t="s">
        <v>2307</v>
      </c>
      <c r="B2280">
        <v>1975</v>
      </c>
      <c r="C2280">
        <v>1975</v>
      </c>
      <c r="D2280" s="3" t="s">
        <v>34</v>
      </c>
      <c r="E2280" s="3" t="s">
        <v>34</v>
      </c>
      <c r="F2280">
        <v>15</v>
      </c>
      <c r="G2280" s="7">
        <v>27621</v>
      </c>
      <c r="H2280">
        <v>1</v>
      </c>
      <c r="I2280" s="3" t="s">
        <v>10650</v>
      </c>
      <c r="J2280" s="3" t="s">
        <v>15</v>
      </c>
      <c r="K2280" s="3" t="s">
        <v>11</v>
      </c>
      <c r="L2280" s="3" t="s">
        <v>12</v>
      </c>
      <c r="M2280">
        <v>51</v>
      </c>
      <c r="N2280" s="3"/>
    </row>
    <row r="2281" spans="1:14" x14ac:dyDescent="0.25">
      <c r="A2281" s="3" t="s">
        <v>2308</v>
      </c>
      <c r="B2281">
        <v>1967</v>
      </c>
      <c r="C2281">
        <v>1967</v>
      </c>
      <c r="D2281" s="3" t="s">
        <v>17</v>
      </c>
      <c r="E2281" s="3" t="s">
        <v>17</v>
      </c>
      <c r="F2281">
        <v>28</v>
      </c>
      <c r="G2281" s="7">
        <v>24651</v>
      </c>
      <c r="H2281">
        <v>0</v>
      </c>
      <c r="I2281" s="3" t="s">
        <v>10651</v>
      </c>
      <c r="J2281" s="3" t="s">
        <v>15</v>
      </c>
      <c r="K2281" s="3" t="s">
        <v>10</v>
      </c>
      <c r="L2281" s="3" t="s">
        <v>167</v>
      </c>
      <c r="M2281">
        <v>59</v>
      </c>
      <c r="N2281" s="3"/>
    </row>
    <row r="2282" spans="1:14" x14ac:dyDescent="0.25">
      <c r="A2282" s="3" t="s">
        <v>2309</v>
      </c>
      <c r="B2282">
        <v>1968</v>
      </c>
      <c r="C2282">
        <v>1968</v>
      </c>
      <c r="D2282" s="3" t="s">
        <v>34</v>
      </c>
      <c r="E2282" s="3" t="s">
        <v>34</v>
      </c>
      <c r="F2282">
        <v>3</v>
      </c>
      <c r="G2282" s="7">
        <v>25053</v>
      </c>
      <c r="H2282">
        <v>0</v>
      </c>
      <c r="I2282" s="3" t="s">
        <v>10652</v>
      </c>
      <c r="J2282" s="3" t="s">
        <v>15</v>
      </c>
      <c r="K2282" s="3" t="s">
        <v>10</v>
      </c>
      <c r="L2282" s="3" t="s">
        <v>41</v>
      </c>
      <c r="M2282">
        <v>58</v>
      </c>
      <c r="N2282" s="3"/>
    </row>
    <row r="2283" spans="1:14" x14ac:dyDescent="0.25">
      <c r="A2283" s="3" t="s">
        <v>2310</v>
      </c>
      <c r="B2283">
        <v>1967</v>
      </c>
      <c r="C2283">
        <v>1967</v>
      </c>
      <c r="D2283" s="3" t="s">
        <v>17</v>
      </c>
      <c r="E2283" s="3" t="s">
        <v>17</v>
      </c>
      <c r="F2283">
        <v>27</v>
      </c>
      <c r="G2283" s="7">
        <v>24650</v>
      </c>
      <c r="H2283">
        <v>0</v>
      </c>
      <c r="I2283" s="3" t="s">
        <v>10653</v>
      </c>
      <c r="J2283" s="3" t="s">
        <v>15</v>
      </c>
      <c r="K2283" s="3" t="s">
        <v>11</v>
      </c>
      <c r="L2283" s="3" t="s">
        <v>41</v>
      </c>
      <c r="M2283">
        <v>59</v>
      </c>
      <c r="N2283" s="3"/>
    </row>
    <row r="2284" spans="1:14" x14ac:dyDescent="0.25">
      <c r="A2284" s="3" t="s">
        <v>2311</v>
      </c>
      <c r="B2284">
        <v>1979</v>
      </c>
      <c r="C2284">
        <v>1979</v>
      </c>
      <c r="D2284" s="3" t="s">
        <v>29</v>
      </c>
      <c r="E2284" s="3" t="s">
        <v>29</v>
      </c>
      <c r="F2284">
        <v>27</v>
      </c>
      <c r="G2284" s="7">
        <v>29216</v>
      </c>
      <c r="H2284">
        <v>2</v>
      </c>
      <c r="I2284" s="3" t="s">
        <v>10654</v>
      </c>
      <c r="J2284" s="3" t="s">
        <v>15</v>
      </c>
      <c r="K2284" s="3" t="s">
        <v>11</v>
      </c>
      <c r="L2284" s="3" t="s">
        <v>12</v>
      </c>
      <c r="M2284">
        <v>47</v>
      </c>
      <c r="N2284" s="3"/>
    </row>
    <row r="2285" spans="1:14" x14ac:dyDescent="0.25">
      <c r="A2285" s="3" t="s">
        <v>2312</v>
      </c>
      <c r="B2285">
        <v>1971</v>
      </c>
      <c r="C2285">
        <v>1971</v>
      </c>
      <c r="D2285" s="3" t="s">
        <v>14</v>
      </c>
      <c r="E2285" s="3" t="s">
        <v>14</v>
      </c>
      <c r="F2285">
        <v>3</v>
      </c>
      <c r="G2285" s="7">
        <v>26240</v>
      </c>
      <c r="H2285">
        <v>0</v>
      </c>
      <c r="I2285" s="3" t="s">
        <v>10655</v>
      </c>
      <c r="J2285" s="3" t="s">
        <v>15</v>
      </c>
      <c r="K2285" s="3" t="s">
        <v>11</v>
      </c>
      <c r="L2285" s="3" t="s">
        <v>41</v>
      </c>
      <c r="M2285">
        <v>55</v>
      </c>
      <c r="N2285" s="3"/>
    </row>
    <row r="2286" spans="1:14" x14ac:dyDescent="0.25">
      <c r="A2286" s="3" t="s">
        <v>2313</v>
      </c>
      <c r="B2286">
        <v>1977</v>
      </c>
      <c r="C2286">
        <v>1977</v>
      </c>
      <c r="D2286" s="3" t="s">
        <v>36</v>
      </c>
      <c r="E2286" s="3" t="s">
        <v>36</v>
      </c>
      <c r="F2286">
        <v>21</v>
      </c>
      <c r="G2286" s="7">
        <v>28419</v>
      </c>
      <c r="H2286">
        <v>2</v>
      </c>
      <c r="I2286" s="3" t="s">
        <v>10656</v>
      </c>
      <c r="J2286" s="3" t="s">
        <v>15</v>
      </c>
      <c r="K2286" s="3" t="s">
        <v>10</v>
      </c>
      <c r="L2286" s="3" t="s">
        <v>22</v>
      </c>
      <c r="M2286">
        <v>49</v>
      </c>
      <c r="N2286" s="3"/>
    </row>
    <row r="2287" spans="1:14" x14ac:dyDescent="0.25">
      <c r="A2287" s="3" t="s">
        <v>2314</v>
      </c>
      <c r="B2287">
        <v>1965</v>
      </c>
      <c r="C2287">
        <v>1965</v>
      </c>
      <c r="D2287" s="3" t="s">
        <v>36</v>
      </c>
      <c r="E2287" s="3" t="s">
        <v>36</v>
      </c>
      <c r="F2287">
        <v>29</v>
      </c>
      <c r="G2287" s="7">
        <v>24044</v>
      </c>
      <c r="H2287">
        <v>0</v>
      </c>
      <c r="I2287" s="3" t="s">
        <v>10657</v>
      </c>
      <c r="J2287" s="3" t="s">
        <v>15</v>
      </c>
      <c r="K2287" s="3" t="s">
        <v>10</v>
      </c>
      <c r="L2287" s="3" t="s">
        <v>41</v>
      </c>
      <c r="M2287">
        <v>61</v>
      </c>
      <c r="N2287" s="3"/>
    </row>
    <row r="2288" spans="1:14" x14ac:dyDescent="0.25">
      <c r="A2288" s="3" t="s">
        <v>2315</v>
      </c>
      <c r="B2288">
        <v>1972</v>
      </c>
      <c r="C2288">
        <v>1972</v>
      </c>
      <c r="D2288" s="3" t="s">
        <v>19</v>
      </c>
      <c r="E2288" s="3" t="s">
        <v>19</v>
      </c>
      <c r="F2288">
        <v>10</v>
      </c>
      <c r="G2288" s="7">
        <v>26552</v>
      </c>
      <c r="H2288">
        <v>2</v>
      </c>
      <c r="I2288" s="3" t="s">
        <v>10658</v>
      </c>
      <c r="J2288" s="3" t="s">
        <v>15</v>
      </c>
      <c r="K2288" s="3" t="s">
        <v>15</v>
      </c>
      <c r="L2288" s="3" t="s">
        <v>41</v>
      </c>
      <c r="M2288">
        <v>54</v>
      </c>
      <c r="N2288" s="3"/>
    </row>
    <row r="2289" spans="1:14" x14ac:dyDescent="0.25">
      <c r="A2289" s="3" t="s">
        <v>2316</v>
      </c>
      <c r="B2289">
        <v>1975</v>
      </c>
      <c r="C2289">
        <v>1975</v>
      </c>
      <c r="D2289" s="3" t="s">
        <v>36</v>
      </c>
      <c r="E2289" s="3" t="s">
        <v>36</v>
      </c>
      <c r="F2289">
        <v>23</v>
      </c>
      <c r="G2289" s="7">
        <v>27690</v>
      </c>
      <c r="H2289">
        <v>1</v>
      </c>
      <c r="I2289" s="3" t="s">
        <v>10659</v>
      </c>
      <c r="J2289" s="3" t="s">
        <v>15</v>
      </c>
      <c r="K2289" s="3" t="s">
        <v>11</v>
      </c>
      <c r="L2289" s="3" t="s">
        <v>12</v>
      </c>
      <c r="M2289">
        <v>51</v>
      </c>
      <c r="N2289" s="3"/>
    </row>
    <row r="2290" spans="1:14" x14ac:dyDescent="0.25">
      <c r="A2290" s="3" t="s">
        <v>2317</v>
      </c>
      <c r="B2290">
        <v>1978</v>
      </c>
      <c r="C2290">
        <v>1978</v>
      </c>
      <c r="D2290" s="3" t="s">
        <v>14</v>
      </c>
      <c r="E2290" s="3" t="s">
        <v>14</v>
      </c>
      <c r="F2290">
        <v>4</v>
      </c>
      <c r="G2290" s="7">
        <v>28798</v>
      </c>
      <c r="H2290">
        <v>0</v>
      </c>
      <c r="I2290" s="3" t="s">
        <v>10660</v>
      </c>
      <c r="J2290" s="3" t="s">
        <v>15</v>
      </c>
      <c r="K2290" s="3" t="s">
        <v>10</v>
      </c>
      <c r="L2290" s="3" t="s">
        <v>22</v>
      </c>
      <c r="M2290">
        <v>48</v>
      </c>
      <c r="N2290" s="3"/>
    </row>
    <row r="2291" spans="1:14" x14ac:dyDescent="0.25">
      <c r="A2291" s="3" t="s">
        <v>2318</v>
      </c>
      <c r="B2291">
        <v>1965</v>
      </c>
      <c r="C2291">
        <v>1965</v>
      </c>
      <c r="D2291" s="3" t="s">
        <v>14</v>
      </c>
      <c r="E2291" s="3" t="s">
        <v>14</v>
      </c>
      <c r="F2291">
        <v>29</v>
      </c>
      <c r="G2291" s="7">
        <v>24075</v>
      </c>
      <c r="H2291">
        <v>0</v>
      </c>
      <c r="I2291" s="3" t="s">
        <v>10661</v>
      </c>
      <c r="J2291" s="3" t="s">
        <v>10</v>
      </c>
      <c r="K2291" s="3" t="s">
        <v>10</v>
      </c>
      <c r="L2291" s="3" t="s">
        <v>41</v>
      </c>
      <c r="M2291">
        <v>61</v>
      </c>
      <c r="N2291" s="3"/>
    </row>
    <row r="2292" spans="1:14" x14ac:dyDescent="0.25">
      <c r="A2292" s="3" t="s">
        <v>2319</v>
      </c>
      <c r="B2292">
        <v>1969</v>
      </c>
      <c r="C2292">
        <v>1969</v>
      </c>
      <c r="D2292" s="3" t="s">
        <v>29</v>
      </c>
      <c r="E2292" s="3" t="s">
        <v>29</v>
      </c>
      <c r="F2292">
        <v>3</v>
      </c>
      <c r="G2292" s="7">
        <v>25540</v>
      </c>
      <c r="H2292">
        <v>0</v>
      </c>
      <c r="I2292" s="3" t="s">
        <v>10662</v>
      </c>
      <c r="J2292" s="3" t="s">
        <v>10</v>
      </c>
      <c r="K2292" s="3" t="s">
        <v>10</v>
      </c>
      <c r="L2292" s="3" t="s">
        <v>167</v>
      </c>
      <c r="M2292">
        <v>57</v>
      </c>
      <c r="N2292" s="3"/>
    </row>
    <row r="2293" spans="1:14" x14ac:dyDescent="0.25">
      <c r="A2293" s="3" t="s">
        <v>2320</v>
      </c>
      <c r="B2293">
        <v>1965</v>
      </c>
      <c r="C2293">
        <v>1965</v>
      </c>
      <c r="D2293" s="3" t="s">
        <v>34</v>
      </c>
      <c r="E2293" s="3" t="s">
        <v>34</v>
      </c>
      <c r="F2293">
        <v>22</v>
      </c>
      <c r="G2293" s="7">
        <v>23976</v>
      </c>
      <c r="H2293">
        <v>0</v>
      </c>
      <c r="I2293" s="3" t="s">
        <v>10663</v>
      </c>
      <c r="J2293" s="3" t="s">
        <v>10</v>
      </c>
      <c r="K2293" s="3" t="s">
        <v>10</v>
      </c>
      <c r="L2293" s="3" t="s">
        <v>22</v>
      </c>
      <c r="M2293">
        <v>61</v>
      </c>
      <c r="N2293" s="3"/>
    </row>
    <row r="2294" spans="1:14" x14ac:dyDescent="0.25">
      <c r="A2294" s="3" t="s">
        <v>2321</v>
      </c>
      <c r="B2294">
        <v>1986</v>
      </c>
      <c r="C2294">
        <v>1986</v>
      </c>
      <c r="D2294" s="3" t="s">
        <v>29</v>
      </c>
      <c r="E2294" s="3" t="s">
        <v>29</v>
      </c>
      <c r="F2294">
        <v>29</v>
      </c>
      <c r="G2294" s="7">
        <v>31775</v>
      </c>
      <c r="H2294">
        <v>3</v>
      </c>
      <c r="I2294" s="3" t="s">
        <v>10664</v>
      </c>
      <c r="J2294" s="3" t="s">
        <v>10</v>
      </c>
      <c r="K2294" s="3" t="s">
        <v>15</v>
      </c>
      <c r="L2294" s="3" t="s">
        <v>163</v>
      </c>
      <c r="M2294">
        <v>40</v>
      </c>
      <c r="N2294" s="3"/>
    </row>
    <row r="2295" spans="1:14" x14ac:dyDescent="0.25">
      <c r="A2295" s="3" t="s">
        <v>2322</v>
      </c>
      <c r="B2295">
        <v>1966</v>
      </c>
      <c r="C2295">
        <v>1966</v>
      </c>
      <c r="D2295" s="3" t="s">
        <v>36</v>
      </c>
      <c r="E2295" s="3" t="s">
        <v>36</v>
      </c>
      <c r="F2295">
        <v>25</v>
      </c>
      <c r="G2295" s="7">
        <v>24405</v>
      </c>
      <c r="H2295">
        <v>2</v>
      </c>
      <c r="I2295" s="3" t="s">
        <v>10665</v>
      </c>
      <c r="J2295" s="3" t="s">
        <v>10</v>
      </c>
      <c r="K2295" s="3" t="s">
        <v>10</v>
      </c>
      <c r="L2295" s="3" t="s">
        <v>12</v>
      </c>
      <c r="M2295">
        <v>60</v>
      </c>
      <c r="N2295" s="3"/>
    </row>
    <row r="2296" spans="1:14" x14ac:dyDescent="0.25">
      <c r="A2296" s="3" t="s">
        <v>2323</v>
      </c>
      <c r="B2296">
        <v>1966</v>
      </c>
      <c r="C2296">
        <v>1966</v>
      </c>
      <c r="D2296" s="3" t="s">
        <v>9</v>
      </c>
      <c r="E2296" s="3" t="s">
        <v>9</v>
      </c>
      <c r="F2296">
        <v>2</v>
      </c>
      <c r="G2296" s="7">
        <v>24290</v>
      </c>
      <c r="H2296">
        <v>0</v>
      </c>
      <c r="I2296" s="3" t="s">
        <v>10666</v>
      </c>
      <c r="J2296" s="3" t="s">
        <v>10</v>
      </c>
      <c r="K2296" s="3" t="s">
        <v>11</v>
      </c>
      <c r="L2296" s="3" t="s">
        <v>22</v>
      </c>
      <c r="M2296">
        <v>60</v>
      </c>
      <c r="N2296" s="3"/>
    </row>
    <row r="2297" spans="1:14" x14ac:dyDescent="0.25">
      <c r="A2297" s="3" t="s">
        <v>2324</v>
      </c>
      <c r="B2297">
        <v>1980</v>
      </c>
      <c r="C2297">
        <v>1980</v>
      </c>
      <c r="D2297" s="3" t="s">
        <v>14</v>
      </c>
      <c r="E2297" s="3" t="s">
        <v>14</v>
      </c>
      <c r="F2297">
        <v>10</v>
      </c>
      <c r="G2297" s="7">
        <v>29535</v>
      </c>
      <c r="H2297">
        <v>2</v>
      </c>
      <c r="I2297" s="3" t="s">
        <v>10667</v>
      </c>
      <c r="J2297" s="3" t="s">
        <v>10</v>
      </c>
      <c r="K2297" s="3" t="s">
        <v>15</v>
      </c>
      <c r="L2297" s="3" t="s">
        <v>12</v>
      </c>
      <c r="M2297">
        <v>46</v>
      </c>
      <c r="N2297" s="3"/>
    </row>
    <row r="2298" spans="1:14" x14ac:dyDescent="0.25">
      <c r="A2298" s="3" t="s">
        <v>2325</v>
      </c>
      <c r="B2298">
        <v>1966</v>
      </c>
      <c r="C2298">
        <v>1966</v>
      </c>
      <c r="D2298" s="3" t="s">
        <v>36</v>
      </c>
      <c r="E2298" s="3" t="s">
        <v>36</v>
      </c>
      <c r="F2298">
        <v>5</v>
      </c>
      <c r="G2298" s="7">
        <v>24385</v>
      </c>
      <c r="H2298">
        <v>0</v>
      </c>
      <c r="I2298" s="3" t="s">
        <v>10668</v>
      </c>
      <c r="J2298" s="3" t="s">
        <v>10</v>
      </c>
      <c r="K2298" s="3" t="s">
        <v>10</v>
      </c>
      <c r="L2298" s="3" t="s">
        <v>22</v>
      </c>
      <c r="M2298">
        <v>60</v>
      </c>
      <c r="N2298" s="3"/>
    </row>
    <row r="2299" spans="1:14" x14ac:dyDescent="0.25">
      <c r="A2299" s="3" t="s">
        <v>2326</v>
      </c>
      <c r="B2299">
        <v>1988</v>
      </c>
      <c r="C2299">
        <v>1988</v>
      </c>
      <c r="D2299" s="3" t="s">
        <v>9</v>
      </c>
      <c r="E2299" s="3" t="s">
        <v>9</v>
      </c>
      <c r="F2299">
        <v>16</v>
      </c>
      <c r="G2299" s="7">
        <v>32340</v>
      </c>
      <c r="H2299">
        <v>1</v>
      </c>
      <c r="I2299" s="3" t="s">
        <v>10669</v>
      </c>
      <c r="J2299" s="3" t="s">
        <v>10</v>
      </c>
      <c r="K2299" s="3" t="s">
        <v>15</v>
      </c>
      <c r="L2299" s="3" t="s">
        <v>22</v>
      </c>
      <c r="M2299">
        <v>38</v>
      </c>
      <c r="N2299" s="3"/>
    </row>
    <row r="2300" spans="1:14" x14ac:dyDescent="0.25">
      <c r="A2300" s="3" t="s">
        <v>2327</v>
      </c>
      <c r="B2300">
        <v>1975</v>
      </c>
      <c r="C2300">
        <v>1975</v>
      </c>
      <c r="D2300" s="3" t="s">
        <v>17</v>
      </c>
      <c r="E2300" s="3" t="s">
        <v>17</v>
      </c>
      <c r="F2300">
        <v>1</v>
      </c>
      <c r="G2300" s="7">
        <v>27546</v>
      </c>
      <c r="H2300">
        <v>2</v>
      </c>
      <c r="I2300" s="3" t="s">
        <v>10670</v>
      </c>
      <c r="J2300" s="3" t="s">
        <v>10</v>
      </c>
      <c r="K2300" s="3" t="s">
        <v>10</v>
      </c>
      <c r="L2300" s="3" t="s">
        <v>12</v>
      </c>
      <c r="M2300">
        <v>51</v>
      </c>
      <c r="N2300" s="3"/>
    </row>
    <row r="2301" spans="1:14" x14ac:dyDescent="0.25">
      <c r="A2301" s="3" t="s">
        <v>2328</v>
      </c>
      <c r="B2301">
        <v>1968</v>
      </c>
      <c r="C2301">
        <v>1968</v>
      </c>
      <c r="D2301" s="3" t="s">
        <v>14</v>
      </c>
      <c r="E2301" s="3" t="s">
        <v>14</v>
      </c>
      <c r="F2301">
        <v>24</v>
      </c>
      <c r="G2301" s="7">
        <v>25166</v>
      </c>
      <c r="H2301">
        <v>2</v>
      </c>
      <c r="I2301" s="3" t="s">
        <v>10671</v>
      </c>
      <c r="J2301" s="3" t="s">
        <v>10</v>
      </c>
      <c r="K2301" s="3" t="s">
        <v>15</v>
      </c>
      <c r="L2301" s="3" t="s">
        <v>12</v>
      </c>
      <c r="M2301">
        <v>58</v>
      </c>
      <c r="N2301" s="3"/>
    </row>
    <row r="2302" spans="1:14" x14ac:dyDescent="0.25">
      <c r="A2302" s="3" t="s">
        <v>2329</v>
      </c>
      <c r="B2302">
        <v>1971</v>
      </c>
      <c r="C2302">
        <v>1971</v>
      </c>
      <c r="D2302" s="3" t="s">
        <v>36</v>
      </c>
      <c r="E2302" s="3" t="s">
        <v>36</v>
      </c>
      <c r="F2302">
        <v>29</v>
      </c>
      <c r="G2302" s="7">
        <v>26235</v>
      </c>
      <c r="H2302">
        <v>0</v>
      </c>
      <c r="I2302" s="3" t="s">
        <v>10672</v>
      </c>
      <c r="J2302" s="3" t="s">
        <v>10</v>
      </c>
      <c r="K2302" s="3" t="s">
        <v>10</v>
      </c>
      <c r="L2302" s="3" t="s">
        <v>12</v>
      </c>
      <c r="M2302">
        <v>55</v>
      </c>
      <c r="N2302" s="3"/>
    </row>
    <row r="2303" spans="1:14" x14ac:dyDescent="0.25">
      <c r="A2303" s="3" t="s">
        <v>2330</v>
      </c>
      <c r="B2303">
        <v>1967</v>
      </c>
      <c r="C2303">
        <v>1967</v>
      </c>
      <c r="D2303" s="3" t="s">
        <v>19</v>
      </c>
      <c r="E2303" s="3" t="s">
        <v>19</v>
      </c>
      <c r="F2303">
        <v>14</v>
      </c>
      <c r="G2303" s="7">
        <v>24729</v>
      </c>
      <c r="H2303">
        <v>0</v>
      </c>
      <c r="I2303" s="3" t="s">
        <v>10673</v>
      </c>
      <c r="J2303" s="3" t="s">
        <v>10</v>
      </c>
      <c r="K2303" s="3" t="s">
        <v>11</v>
      </c>
      <c r="L2303" s="3" t="s">
        <v>12</v>
      </c>
      <c r="M2303">
        <v>59</v>
      </c>
      <c r="N2303" s="3"/>
    </row>
    <row r="2304" spans="1:14" x14ac:dyDescent="0.25">
      <c r="A2304" s="3" t="s">
        <v>2331</v>
      </c>
      <c r="B2304">
        <v>2000</v>
      </c>
      <c r="C2304">
        <v>2000</v>
      </c>
      <c r="D2304" s="3" t="s">
        <v>34</v>
      </c>
      <c r="E2304" s="3" t="s">
        <v>34</v>
      </c>
      <c r="F2304">
        <v>2</v>
      </c>
      <c r="G2304" s="7">
        <v>36740</v>
      </c>
      <c r="H2304">
        <v>1</v>
      </c>
      <c r="I2304" s="3" t="s">
        <v>10674</v>
      </c>
      <c r="J2304" s="3" t="s">
        <v>10</v>
      </c>
      <c r="K2304" s="3" t="s">
        <v>11</v>
      </c>
      <c r="L2304" s="3" t="s">
        <v>12</v>
      </c>
      <c r="M2304">
        <v>26</v>
      </c>
      <c r="N2304" s="3"/>
    </row>
    <row r="2305" spans="1:14" x14ac:dyDescent="0.25">
      <c r="A2305" s="3" t="s">
        <v>2332</v>
      </c>
      <c r="B2305">
        <v>1993</v>
      </c>
      <c r="C2305">
        <v>1993</v>
      </c>
      <c r="D2305" s="3" t="s">
        <v>36</v>
      </c>
      <c r="E2305" s="3" t="s">
        <v>36</v>
      </c>
      <c r="F2305">
        <v>11</v>
      </c>
      <c r="G2305" s="7">
        <v>34253</v>
      </c>
      <c r="H2305">
        <v>2</v>
      </c>
      <c r="I2305" s="3" t="s">
        <v>10675</v>
      </c>
      <c r="J2305" s="3" t="s">
        <v>10</v>
      </c>
      <c r="K2305" s="3" t="s">
        <v>10</v>
      </c>
      <c r="L2305" s="3" t="s">
        <v>41</v>
      </c>
      <c r="M2305">
        <v>33</v>
      </c>
      <c r="N2305" s="3"/>
    </row>
    <row r="2306" spans="1:14" x14ac:dyDescent="0.25">
      <c r="A2306" s="3" t="s">
        <v>2333</v>
      </c>
      <c r="B2306">
        <v>1971</v>
      </c>
      <c r="C2306">
        <v>1971</v>
      </c>
      <c r="D2306" s="3" t="s">
        <v>34</v>
      </c>
      <c r="E2306" s="3" t="s">
        <v>34</v>
      </c>
      <c r="F2306">
        <v>13</v>
      </c>
      <c r="G2306" s="7">
        <v>26158</v>
      </c>
      <c r="H2306">
        <v>2</v>
      </c>
      <c r="I2306" s="3" t="s">
        <v>10676</v>
      </c>
      <c r="J2306" s="3" t="s">
        <v>10</v>
      </c>
      <c r="K2306" s="3" t="s">
        <v>11</v>
      </c>
      <c r="L2306" s="3" t="s">
        <v>246</v>
      </c>
      <c r="M2306">
        <v>55</v>
      </c>
      <c r="N2306" s="3"/>
    </row>
    <row r="2307" spans="1:14" x14ac:dyDescent="0.25">
      <c r="A2307" s="3" t="s">
        <v>2334</v>
      </c>
      <c r="B2307">
        <v>1962</v>
      </c>
      <c r="C2307">
        <v>1962</v>
      </c>
      <c r="D2307" s="3" t="s">
        <v>29</v>
      </c>
      <c r="E2307" s="3" t="s">
        <v>29</v>
      </c>
      <c r="F2307">
        <v>17</v>
      </c>
      <c r="G2307" s="7">
        <v>22997</v>
      </c>
      <c r="H2307">
        <v>0</v>
      </c>
      <c r="I2307" s="3" t="s">
        <v>10677</v>
      </c>
      <c r="J2307" s="3" t="s">
        <v>10</v>
      </c>
      <c r="K2307" s="3" t="s">
        <v>10</v>
      </c>
      <c r="L2307" s="3" t="s">
        <v>12</v>
      </c>
      <c r="M2307">
        <v>64</v>
      </c>
      <c r="N2307" s="3"/>
    </row>
    <row r="2308" spans="1:14" x14ac:dyDescent="0.25">
      <c r="A2308" s="3" t="s">
        <v>2335</v>
      </c>
      <c r="B2308">
        <v>1974</v>
      </c>
      <c r="C2308">
        <v>1974</v>
      </c>
      <c r="D2308" s="3" t="s">
        <v>34</v>
      </c>
      <c r="E2308" s="3" t="s">
        <v>34</v>
      </c>
      <c r="F2308">
        <v>9</v>
      </c>
      <c r="G2308" s="7">
        <v>27250</v>
      </c>
      <c r="H2308">
        <v>2</v>
      </c>
      <c r="I2308" s="3" t="s">
        <v>10678</v>
      </c>
      <c r="J2308" s="3" t="s">
        <v>10</v>
      </c>
      <c r="K2308" s="3" t="s">
        <v>10</v>
      </c>
      <c r="L2308" s="3" t="s">
        <v>22</v>
      </c>
      <c r="M2308">
        <v>52</v>
      </c>
      <c r="N2308" s="3"/>
    </row>
    <row r="2309" spans="1:14" x14ac:dyDescent="0.25">
      <c r="A2309" s="3" t="s">
        <v>2336</v>
      </c>
      <c r="B2309">
        <v>1960</v>
      </c>
      <c r="C2309">
        <v>1960</v>
      </c>
      <c r="D2309" s="3" t="s">
        <v>29</v>
      </c>
      <c r="E2309" s="3" t="s">
        <v>29</v>
      </c>
      <c r="F2309">
        <v>21</v>
      </c>
      <c r="G2309" s="7">
        <v>22271</v>
      </c>
      <c r="H2309">
        <v>0</v>
      </c>
      <c r="I2309" s="3" t="s">
        <v>10679</v>
      </c>
      <c r="J2309" s="3" t="s">
        <v>10</v>
      </c>
      <c r="K2309" s="3" t="s">
        <v>10</v>
      </c>
      <c r="L2309" s="3" t="s">
        <v>167</v>
      </c>
      <c r="M2309">
        <v>66</v>
      </c>
      <c r="N2309" s="3"/>
    </row>
    <row r="2310" spans="1:14" x14ac:dyDescent="0.25">
      <c r="A2310" s="3" t="s">
        <v>2337</v>
      </c>
      <c r="B2310">
        <v>1979</v>
      </c>
      <c r="C2310">
        <v>1979</v>
      </c>
      <c r="D2310" s="3" t="s">
        <v>34</v>
      </c>
      <c r="E2310" s="3" t="s">
        <v>34</v>
      </c>
      <c r="F2310">
        <v>12</v>
      </c>
      <c r="G2310" s="7">
        <v>29079</v>
      </c>
      <c r="H2310">
        <v>0</v>
      </c>
      <c r="I2310" s="3" t="s">
        <v>10680</v>
      </c>
      <c r="J2310" s="3" t="s">
        <v>10</v>
      </c>
      <c r="K2310" s="3" t="s">
        <v>15</v>
      </c>
      <c r="L2310" s="3" t="s">
        <v>12</v>
      </c>
      <c r="M2310">
        <v>47</v>
      </c>
      <c r="N2310" s="3"/>
    </row>
    <row r="2311" spans="1:14" x14ac:dyDescent="0.25">
      <c r="A2311" s="3" t="s">
        <v>2338</v>
      </c>
      <c r="B2311">
        <v>1985</v>
      </c>
      <c r="C2311">
        <v>1985</v>
      </c>
      <c r="D2311" s="3" t="s">
        <v>19</v>
      </c>
      <c r="E2311" s="3" t="s">
        <v>19</v>
      </c>
      <c r="F2311">
        <v>30</v>
      </c>
      <c r="G2311" s="7">
        <v>31320</v>
      </c>
      <c r="H2311">
        <v>2</v>
      </c>
      <c r="I2311" s="3" t="s">
        <v>10681</v>
      </c>
      <c r="J2311" s="3" t="s">
        <v>10</v>
      </c>
      <c r="K2311" s="3" t="s">
        <v>11</v>
      </c>
      <c r="L2311" s="3" t="s">
        <v>41</v>
      </c>
      <c r="M2311">
        <v>41</v>
      </c>
      <c r="N2311" s="3"/>
    </row>
    <row r="2312" spans="1:14" x14ac:dyDescent="0.25">
      <c r="A2312" s="3" t="s">
        <v>2339</v>
      </c>
      <c r="B2312">
        <v>1962</v>
      </c>
      <c r="C2312">
        <v>1962</v>
      </c>
      <c r="D2312" s="3" t="s">
        <v>29</v>
      </c>
      <c r="E2312" s="3" t="s">
        <v>29</v>
      </c>
      <c r="F2312">
        <v>4</v>
      </c>
      <c r="G2312" s="7">
        <v>22984</v>
      </c>
      <c r="H2312">
        <v>3</v>
      </c>
      <c r="I2312" s="3" t="s">
        <v>10682</v>
      </c>
      <c r="J2312" s="3" t="s">
        <v>15</v>
      </c>
      <c r="K2312" s="3" t="s">
        <v>15</v>
      </c>
      <c r="L2312" s="3" t="s">
        <v>22</v>
      </c>
      <c r="M2312">
        <v>64</v>
      </c>
      <c r="N2312" s="3"/>
    </row>
    <row r="2313" spans="1:14" x14ac:dyDescent="0.25">
      <c r="A2313" s="3" t="s">
        <v>2340</v>
      </c>
      <c r="B2313">
        <v>1976</v>
      </c>
      <c r="C2313">
        <v>1976</v>
      </c>
      <c r="D2313" s="3" t="s">
        <v>29</v>
      </c>
      <c r="E2313" s="3" t="s">
        <v>29</v>
      </c>
      <c r="F2313">
        <v>2</v>
      </c>
      <c r="G2313" s="7">
        <v>28096</v>
      </c>
      <c r="H2313">
        <v>3</v>
      </c>
      <c r="I2313" s="3" t="s">
        <v>10683</v>
      </c>
      <c r="J2313" s="3" t="s">
        <v>15</v>
      </c>
      <c r="K2313" s="3" t="s">
        <v>11</v>
      </c>
      <c r="L2313" s="3" t="s">
        <v>12</v>
      </c>
      <c r="M2313">
        <v>50</v>
      </c>
      <c r="N2313" s="3"/>
    </row>
    <row r="2314" spans="1:14" x14ac:dyDescent="0.25">
      <c r="A2314" s="3" t="s">
        <v>2341</v>
      </c>
      <c r="B2314">
        <v>1978</v>
      </c>
      <c r="C2314">
        <v>1978</v>
      </c>
      <c r="D2314" s="3" t="s">
        <v>34</v>
      </c>
      <c r="E2314" s="3" t="s">
        <v>34</v>
      </c>
      <c r="F2314">
        <v>17</v>
      </c>
      <c r="G2314" s="7">
        <v>28719</v>
      </c>
      <c r="H2314">
        <v>2</v>
      </c>
      <c r="I2314" s="3" t="s">
        <v>10684</v>
      </c>
      <c r="J2314" s="3" t="s">
        <v>15</v>
      </c>
      <c r="K2314" s="3" t="s">
        <v>15</v>
      </c>
      <c r="L2314" s="3" t="s">
        <v>12</v>
      </c>
      <c r="M2314">
        <v>48</v>
      </c>
      <c r="N2314" s="3"/>
    </row>
    <row r="2315" spans="1:14" x14ac:dyDescent="0.25">
      <c r="A2315" s="3" t="s">
        <v>2342</v>
      </c>
      <c r="B2315">
        <v>1971</v>
      </c>
      <c r="C2315">
        <v>1971</v>
      </c>
      <c r="D2315" s="3" t="s">
        <v>29</v>
      </c>
      <c r="E2315" s="3" t="s">
        <v>29</v>
      </c>
      <c r="F2315">
        <v>6</v>
      </c>
      <c r="G2315" s="7">
        <v>26273</v>
      </c>
      <c r="H2315">
        <v>3</v>
      </c>
      <c r="I2315" s="3" t="s">
        <v>10685</v>
      </c>
      <c r="J2315" s="3" t="s">
        <v>15</v>
      </c>
      <c r="K2315" s="3" t="s">
        <v>11</v>
      </c>
      <c r="L2315" s="3" t="s">
        <v>246</v>
      </c>
      <c r="M2315">
        <v>55</v>
      </c>
      <c r="N2315" s="3"/>
    </row>
    <row r="2316" spans="1:14" x14ac:dyDescent="0.25">
      <c r="A2316" s="3" t="s">
        <v>2343</v>
      </c>
      <c r="B2316">
        <v>1961</v>
      </c>
      <c r="C2316">
        <v>1961</v>
      </c>
      <c r="D2316" s="3" t="s">
        <v>34</v>
      </c>
      <c r="E2316" s="3" t="s">
        <v>34</v>
      </c>
      <c r="F2316">
        <v>8</v>
      </c>
      <c r="G2316" s="7">
        <v>22501</v>
      </c>
      <c r="H2316">
        <v>0</v>
      </c>
      <c r="I2316" s="3" t="s">
        <v>10686</v>
      </c>
      <c r="J2316" s="3" t="s">
        <v>15</v>
      </c>
      <c r="K2316" s="3" t="s">
        <v>15</v>
      </c>
      <c r="L2316" s="3" t="s">
        <v>12</v>
      </c>
      <c r="M2316">
        <v>65</v>
      </c>
      <c r="N2316" s="3"/>
    </row>
    <row r="2317" spans="1:14" x14ac:dyDescent="0.25">
      <c r="A2317" s="3" t="s">
        <v>2344</v>
      </c>
      <c r="B2317">
        <v>1969</v>
      </c>
      <c r="C2317">
        <v>1969</v>
      </c>
      <c r="D2317" s="3" t="s">
        <v>17</v>
      </c>
      <c r="E2317" s="3" t="s">
        <v>17</v>
      </c>
      <c r="F2317">
        <v>23</v>
      </c>
      <c r="G2317" s="7">
        <v>25377</v>
      </c>
      <c r="H2317">
        <v>3</v>
      </c>
      <c r="I2317" s="3" t="s">
        <v>10687</v>
      </c>
      <c r="J2317" s="3" t="s">
        <v>15</v>
      </c>
      <c r="K2317" s="3" t="s">
        <v>11</v>
      </c>
      <c r="L2317" s="3" t="s">
        <v>22</v>
      </c>
      <c r="M2317">
        <v>57</v>
      </c>
      <c r="N2317" s="3"/>
    </row>
    <row r="2318" spans="1:14" x14ac:dyDescent="0.25">
      <c r="A2318" s="3" t="s">
        <v>2345</v>
      </c>
      <c r="B2318">
        <v>1960</v>
      </c>
      <c r="C2318">
        <v>1960</v>
      </c>
      <c r="D2318" s="3" t="s">
        <v>14</v>
      </c>
      <c r="E2318" s="3" t="s">
        <v>14</v>
      </c>
      <c r="F2318">
        <v>17</v>
      </c>
      <c r="G2318" s="7">
        <v>22237</v>
      </c>
      <c r="H2318">
        <v>3</v>
      </c>
      <c r="I2318" s="3" t="s">
        <v>10688</v>
      </c>
      <c r="J2318" s="3" t="s">
        <v>15</v>
      </c>
      <c r="K2318" s="3" t="s">
        <v>15</v>
      </c>
      <c r="L2318" s="3" t="s">
        <v>22</v>
      </c>
      <c r="M2318">
        <v>66</v>
      </c>
      <c r="N2318" s="3"/>
    </row>
    <row r="2319" spans="1:14" x14ac:dyDescent="0.25">
      <c r="A2319" s="3" t="s">
        <v>2346</v>
      </c>
      <c r="B2319">
        <v>1958</v>
      </c>
      <c r="C2319">
        <v>1958</v>
      </c>
      <c r="D2319" s="3" t="s">
        <v>19</v>
      </c>
      <c r="E2319" s="3" t="s">
        <v>19</v>
      </c>
      <c r="F2319">
        <v>15</v>
      </c>
      <c r="G2319" s="7">
        <v>21443</v>
      </c>
      <c r="H2319">
        <v>0</v>
      </c>
      <c r="I2319" s="3" t="s">
        <v>10689</v>
      </c>
      <c r="J2319" s="3" t="s">
        <v>10</v>
      </c>
      <c r="K2319" s="3" t="s">
        <v>11</v>
      </c>
      <c r="L2319" s="3" t="s">
        <v>12</v>
      </c>
      <c r="M2319">
        <v>68</v>
      </c>
      <c r="N2319" s="3"/>
    </row>
    <row r="2320" spans="1:14" x14ac:dyDescent="0.25">
      <c r="A2320" s="3" t="s">
        <v>2347</v>
      </c>
      <c r="B2320">
        <v>1959</v>
      </c>
      <c r="C2320">
        <v>1959</v>
      </c>
      <c r="D2320" s="3" t="s">
        <v>9</v>
      </c>
      <c r="E2320" s="3" t="s">
        <v>9</v>
      </c>
      <c r="F2320">
        <v>14</v>
      </c>
      <c r="G2320" s="7">
        <v>21745</v>
      </c>
      <c r="H2320">
        <v>0</v>
      </c>
      <c r="I2320" s="3" t="s">
        <v>10690</v>
      </c>
      <c r="J2320" s="3" t="s">
        <v>10</v>
      </c>
      <c r="K2320" s="3" t="s">
        <v>15</v>
      </c>
      <c r="L2320" s="3" t="s">
        <v>12</v>
      </c>
      <c r="M2320">
        <v>67</v>
      </c>
      <c r="N2320" s="3"/>
    </row>
    <row r="2321" spans="1:14" x14ac:dyDescent="0.25">
      <c r="A2321" s="3" t="s">
        <v>2348</v>
      </c>
      <c r="B2321">
        <v>1970</v>
      </c>
      <c r="C2321">
        <v>1970</v>
      </c>
      <c r="D2321" s="3" t="s">
        <v>29</v>
      </c>
      <c r="E2321" s="3" t="s">
        <v>29</v>
      </c>
      <c r="F2321">
        <v>28</v>
      </c>
      <c r="G2321" s="7">
        <v>25930</v>
      </c>
      <c r="H2321">
        <v>2</v>
      </c>
      <c r="I2321" s="3" t="s">
        <v>10691</v>
      </c>
      <c r="J2321" s="3" t="s">
        <v>15</v>
      </c>
      <c r="K2321" s="3" t="s">
        <v>10</v>
      </c>
      <c r="L2321" s="3" t="s">
        <v>12</v>
      </c>
      <c r="M2321">
        <v>56</v>
      </c>
      <c r="N2321" s="3"/>
    </row>
    <row r="2322" spans="1:14" x14ac:dyDescent="0.25">
      <c r="A2322" s="3" t="s">
        <v>2349</v>
      </c>
      <c r="B2322">
        <v>1958</v>
      </c>
      <c r="C2322">
        <v>1958</v>
      </c>
      <c r="D2322" s="3" t="s">
        <v>19</v>
      </c>
      <c r="E2322" s="3" t="s">
        <v>19</v>
      </c>
      <c r="F2322">
        <v>3</v>
      </c>
      <c r="G2322" s="7">
        <v>21431</v>
      </c>
      <c r="H2322">
        <v>2</v>
      </c>
      <c r="I2322" s="3" t="s">
        <v>10692</v>
      </c>
      <c r="J2322" s="3" t="s">
        <v>10</v>
      </c>
      <c r="K2322" s="3" t="s">
        <v>15</v>
      </c>
      <c r="L2322" s="3" t="s">
        <v>41</v>
      </c>
      <c r="M2322">
        <v>68</v>
      </c>
      <c r="N2322" s="3"/>
    </row>
    <row r="2323" spans="1:14" x14ac:dyDescent="0.25">
      <c r="A2323" s="3" t="s">
        <v>2350</v>
      </c>
      <c r="B2323">
        <v>1959</v>
      </c>
      <c r="C2323">
        <v>1959</v>
      </c>
      <c r="D2323" s="3" t="s">
        <v>36</v>
      </c>
      <c r="E2323" s="3" t="s">
        <v>36</v>
      </c>
      <c r="F2323">
        <v>4</v>
      </c>
      <c r="G2323" s="7">
        <v>21827</v>
      </c>
      <c r="H2323">
        <v>2</v>
      </c>
      <c r="I2323" s="3" t="s">
        <v>10693</v>
      </c>
      <c r="J2323" s="3" t="s">
        <v>10</v>
      </c>
      <c r="K2323" s="3" t="s">
        <v>15</v>
      </c>
      <c r="L2323" s="3" t="s">
        <v>41</v>
      </c>
      <c r="M2323">
        <v>67</v>
      </c>
      <c r="N2323" s="3"/>
    </row>
    <row r="2324" spans="1:14" x14ac:dyDescent="0.25">
      <c r="A2324" s="3" t="s">
        <v>2351</v>
      </c>
      <c r="B2324">
        <v>1961</v>
      </c>
      <c r="C2324">
        <v>1961</v>
      </c>
      <c r="D2324" s="3" t="s">
        <v>17</v>
      </c>
      <c r="E2324" s="3" t="s">
        <v>17</v>
      </c>
      <c r="F2324">
        <v>13</v>
      </c>
      <c r="G2324" s="7">
        <v>22445</v>
      </c>
      <c r="H2324">
        <v>1</v>
      </c>
      <c r="I2324" s="3" t="s">
        <v>10694</v>
      </c>
      <c r="J2324" s="3" t="s">
        <v>15</v>
      </c>
      <c r="K2324" s="3" t="s">
        <v>11</v>
      </c>
      <c r="L2324" s="3" t="s">
        <v>41</v>
      </c>
      <c r="M2324">
        <v>65</v>
      </c>
      <c r="N2324" s="3"/>
    </row>
    <row r="2325" spans="1:14" x14ac:dyDescent="0.25">
      <c r="A2325" s="3" t="s">
        <v>2352</v>
      </c>
      <c r="B2325">
        <v>1971</v>
      </c>
      <c r="C2325">
        <v>1971</v>
      </c>
      <c r="D2325" s="3" t="s">
        <v>19</v>
      </c>
      <c r="E2325" s="3" t="s">
        <v>19</v>
      </c>
      <c r="F2325">
        <v>27</v>
      </c>
      <c r="G2325" s="7">
        <v>26203</v>
      </c>
      <c r="H2325">
        <v>2</v>
      </c>
      <c r="I2325" s="3" t="s">
        <v>10695</v>
      </c>
      <c r="J2325" s="3" t="s">
        <v>15</v>
      </c>
      <c r="K2325" s="3" t="s">
        <v>10</v>
      </c>
      <c r="L2325" s="3" t="s">
        <v>12</v>
      </c>
      <c r="M2325">
        <v>55</v>
      </c>
      <c r="N2325" s="3"/>
    </row>
    <row r="2326" spans="1:14" x14ac:dyDescent="0.25">
      <c r="A2326" s="3" t="s">
        <v>2353</v>
      </c>
      <c r="B2326">
        <v>1964</v>
      </c>
      <c r="C2326">
        <v>1964</v>
      </c>
      <c r="D2326" s="3" t="s">
        <v>14</v>
      </c>
      <c r="E2326" s="3" t="s">
        <v>14</v>
      </c>
      <c r="F2326">
        <v>7</v>
      </c>
      <c r="G2326" s="7">
        <v>23688</v>
      </c>
      <c r="H2326">
        <v>2</v>
      </c>
      <c r="I2326" s="3" t="s">
        <v>10696</v>
      </c>
      <c r="J2326" s="3" t="s">
        <v>15</v>
      </c>
      <c r="K2326" s="3" t="s">
        <v>11</v>
      </c>
      <c r="L2326" s="3" t="s">
        <v>22</v>
      </c>
      <c r="M2326">
        <v>62</v>
      </c>
      <c r="N2326" s="3"/>
    </row>
    <row r="2327" spans="1:14" x14ac:dyDescent="0.25">
      <c r="A2327" s="3" t="s">
        <v>2354</v>
      </c>
      <c r="B2327">
        <v>1963</v>
      </c>
      <c r="C2327">
        <v>1963</v>
      </c>
      <c r="D2327" s="3" t="s">
        <v>34</v>
      </c>
      <c r="E2327" s="3" t="s">
        <v>34</v>
      </c>
      <c r="F2327">
        <v>5</v>
      </c>
      <c r="G2327" s="7">
        <v>23228</v>
      </c>
      <c r="H2327">
        <v>1</v>
      </c>
      <c r="I2327" s="3" t="s">
        <v>10697</v>
      </c>
      <c r="J2327" s="3" t="s">
        <v>15</v>
      </c>
      <c r="K2327" s="3" t="s">
        <v>11</v>
      </c>
      <c r="L2327" s="3" t="s">
        <v>246</v>
      </c>
      <c r="M2327">
        <v>63</v>
      </c>
      <c r="N2327" s="3"/>
    </row>
    <row r="2328" spans="1:14" x14ac:dyDescent="0.25">
      <c r="A2328" s="3" t="s">
        <v>2355</v>
      </c>
      <c r="B2328">
        <v>1958</v>
      </c>
      <c r="C2328">
        <v>1958</v>
      </c>
      <c r="D2328" s="3" t="s">
        <v>14</v>
      </c>
      <c r="E2328" s="3" t="s">
        <v>14</v>
      </c>
      <c r="F2328">
        <v>16</v>
      </c>
      <c r="G2328" s="7">
        <v>21505</v>
      </c>
      <c r="H2328">
        <v>1</v>
      </c>
      <c r="I2328" s="3" t="s">
        <v>10698</v>
      </c>
      <c r="J2328" s="3" t="s">
        <v>10</v>
      </c>
      <c r="K2328" s="3" t="s">
        <v>11</v>
      </c>
      <c r="L2328" s="3" t="s">
        <v>41</v>
      </c>
      <c r="M2328">
        <v>68</v>
      </c>
      <c r="N2328" s="3"/>
    </row>
    <row r="2329" spans="1:14" x14ac:dyDescent="0.25">
      <c r="A2329" s="3" t="s">
        <v>2356</v>
      </c>
      <c r="B2329">
        <v>1962</v>
      </c>
      <c r="C2329">
        <v>1962</v>
      </c>
      <c r="D2329" s="3" t="s">
        <v>34</v>
      </c>
      <c r="E2329" s="3" t="s">
        <v>34</v>
      </c>
      <c r="F2329">
        <v>27</v>
      </c>
      <c r="G2329" s="7">
        <v>22885</v>
      </c>
      <c r="H2329">
        <v>0</v>
      </c>
      <c r="I2329" s="3" t="s">
        <v>10699</v>
      </c>
      <c r="J2329" s="3" t="s">
        <v>15</v>
      </c>
      <c r="K2329" s="3" t="s">
        <v>11</v>
      </c>
      <c r="L2329" s="3" t="s">
        <v>41</v>
      </c>
      <c r="M2329">
        <v>64</v>
      </c>
      <c r="N2329" s="3"/>
    </row>
    <row r="2330" spans="1:14" x14ac:dyDescent="0.25">
      <c r="A2330" s="3" t="s">
        <v>2357</v>
      </c>
      <c r="B2330">
        <v>1961</v>
      </c>
      <c r="C2330">
        <v>1961</v>
      </c>
      <c r="D2330" s="3" t="s">
        <v>29</v>
      </c>
      <c r="E2330" s="3" t="s">
        <v>29</v>
      </c>
      <c r="F2330">
        <v>21</v>
      </c>
      <c r="G2330" s="7">
        <v>22636</v>
      </c>
      <c r="H2330">
        <v>1</v>
      </c>
      <c r="I2330" s="3" t="s">
        <v>10700</v>
      </c>
      <c r="J2330" s="3" t="s">
        <v>15</v>
      </c>
      <c r="K2330" s="3" t="s">
        <v>11</v>
      </c>
      <c r="L2330" s="3" t="s">
        <v>246</v>
      </c>
      <c r="M2330">
        <v>65</v>
      </c>
      <c r="N2330" s="3"/>
    </row>
    <row r="2331" spans="1:14" x14ac:dyDescent="0.25">
      <c r="A2331" s="3" t="s">
        <v>2358</v>
      </c>
      <c r="B2331">
        <v>1968</v>
      </c>
      <c r="C2331">
        <v>1968</v>
      </c>
      <c r="D2331" s="3" t="s">
        <v>29</v>
      </c>
      <c r="E2331" s="3" t="s">
        <v>29</v>
      </c>
      <c r="F2331">
        <v>1</v>
      </c>
      <c r="G2331" s="7">
        <v>25173</v>
      </c>
      <c r="H2331">
        <v>3</v>
      </c>
      <c r="I2331" s="3" t="s">
        <v>10701</v>
      </c>
      <c r="J2331" s="3" t="s">
        <v>15</v>
      </c>
      <c r="K2331" s="3" t="s">
        <v>11</v>
      </c>
      <c r="L2331" s="3" t="s">
        <v>167</v>
      </c>
      <c r="M2331">
        <v>58</v>
      </c>
      <c r="N2331" s="3"/>
    </row>
    <row r="2332" spans="1:14" x14ac:dyDescent="0.25">
      <c r="A2332" s="3" t="s">
        <v>2359</v>
      </c>
      <c r="B2332">
        <v>1962</v>
      </c>
      <c r="C2332">
        <v>1962</v>
      </c>
      <c r="D2332" s="3" t="s">
        <v>36</v>
      </c>
      <c r="E2332" s="3" t="s">
        <v>36</v>
      </c>
      <c r="F2332">
        <v>11</v>
      </c>
      <c r="G2332" s="7">
        <v>22930</v>
      </c>
      <c r="H2332">
        <v>0</v>
      </c>
      <c r="I2332" s="3" t="s">
        <v>10702</v>
      </c>
      <c r="J2332" s="3" t="s">
        <v>15</v>
      </c>
      <c r="K2332" s="3" t="s">
        <v>10</v>
      </c>
      <c r="L2332" s="3" t="s">
        <v>12</v>
      </c>
      <c r="M2332">
        <v>64</v>
      </c>
      <c r="N2332" s="3"/>
    </row>
    <row r="2333" spans="1:14" x14ac:dyDescent="0.25">
      <c r="A2333" s="3" t="s">
        <v>2360</v>
      </c>
      <c r="B2333">
        <v>1965</v>
      </c>
      <c r="C2333">
        <v>1965</v>
      </c>
      <c r="D2333" s="3" t="s">
        <v>36</v>
      </c>
      <c r="E2333" s="3" t="s">
        <v>36</v>
      </c>
      <c r="F2333">
        <v>27</v>
      </c>
      <c r="G2333" s="7">
        <v>24042</v>
      </c>
      <c r="H2333">
        <v>1</v>
      </c>
      <c r="I2333" s="3" t="s">
        <v>10703</v>
      </c>
      <c r="J2333" s="3" t="s">
        <v>15</v>
      </c>
      <c r="K2333" s="3" t="s">
        <v>10</v>
      </c>
      <c r="L2333" s="3" t="s">
        <v>12</v>
      </c>
      <c r="M2333">
        <v>61</v>
      </c>
      <c r="N2333" s="3"/>
    </row>
    <row r="2334" spans="1:14" x14ac:dyDescent="0.25">
      <c r="A2334" s="3" t="s">
        <v>2361</v>
      </c>
      <c r="B2334">
        <v>1959</v>
      </c>
      <c r="C2334">
        <v>1959</v>
      </c>
      <c r="D2334" s="3" t="s">
        <v>9</v>
      </c>
      <c r="E2334" s="3" t="s">
        <v>9</v>
      </c>
      <c r="F2334">
        <v>22</v>
      </c>
      <c r="G2334" s="7">
        <v>21753</v>
      </c>
      <c r="H2334">
        <v>0</v>
      </c>
      <c r="I2334" s="3" t="s">
        <v>10704</v>
      </c>
      <c r="J2334" s="3" t="s">
        <v>10</v>
      </c>
      <c r="K2334" s="3" t="s">
        <v>15</v>
      </c>
      <c r="L2334" s="3" t="s">
        <v>41</v>
      </c>
      <c r="M2334">
        <v>67</v>
      </c>
      <c r="N2334" s="3"/>
    </row>
    <row r="2335" spans="1:14" x14ac:dyDescent="0.25">
      <c r="A2335" s="3" t="s">
        <v>2362</v>
      </c>
      <c r="B2335">
        <v>1978</v>
      </c>
      <c r="C2335">
        <v>1978</v>
      </c>
      <c r="D2335" s="3" t="s">
        <v>29</v>
      </c>
      <c r="E2335" s="3" t="s">
        <v>29</v>
      </c>
      <c r="F2335">
        <v>29</v>
      </c>
      <c r="G2335" s="7">
        <v>28853</v>
      </c>
      <c r="H2335">
        <v>0</v>
      </c>
      <c r="I2335" s="3" t="s">
        <v>10705</v>
      </c>
      <c r="J2335" s="3" t="s">
        <v>15</v>
      </c>
      <c r="K2335" s="3" t="s">
        <v>10</v>
      </c>
      <c r="L2335" s="3" t="s">
        <v>12</v>
      </c>
      <c r="M2335">
        <v>48</v>
      </c>
      <c r="N2335" s="3"/>
    </row>
    <row r="2336" spans="1:14" x14ac:dyDescent="0.25">
      <c r="A2336" s="3" t="s">
        <v>2363</v>
      </c>
      <c r="B2336">
        <v>1963</v>
      </c>
      <c r="C2336">
        <v>1963</v>
      </c>
      <c r="D2336" s="3" t="s">
        <v>19</v>
      </c>
      <c r="E2336" s="3" t="s">
        <v>19</v>
      </c>
      <c r="F2336">
        <v>4</v>
      </c>
      <c r="G2336" s="7">
        <v>23258</v>
      </c>
      <c r="H2336">
        <v>1</v>
      </c>
      <c r="I2336" s="3" t="s">
        <v>10706</v>
      </c>
      <c r="J2336" s="3" t="s">
        <v>15</v>
      </c>
      <c r="K2336" s="3" t="s">
        <v>10</v>
      </c>
      <c r="L2336" s="3" t="s">
        <v>12</v>
      </c>
      <c r="M2336">
        <v>63</v>
      </c>
      <c r="N2336" s="3"/>
    </row>
    <row r="2337" spans="1:14" x14ac:dyDescent="0.25">
      <c r="A2337" s="3" t="s">
        <v>2364</v>
      </c>
      <c r="B2337">
        <v>1958</v>
      </c>
      <c r="C2337">
        <v>1958</v>
      </c>
      <c r="D2337" s="3" t="s">
        <v>17</v>
      </c>
      <c r="E2337" s="3" t="s">
        <v>17</v>
      </c>
      <c r="F2337">
        <v>27</v>
      </c>
      <c r="G2337" s="7">
        <v>21363</v>
      </c>
      <c r="H2337">
        <v>2</v>
      </c>
      <c r="I2337" s="3" t="s">
        <v>10707</v>
      </c>
      <c r="J2337" s="3" t="s">
        <v>10</v>
      </c>
      <c r="K2337" s="3" t="s">
        <v>10</v>
      </c>
      <c r="L2337" s="3" t="s">
        <v>12</v>
      </c>
      <c r="M2337">
        <v>68</v>
      </c>
      <c r="N2337" s="3"/>
    </row>
    <row r="2338" spans="1:14" x14ac:dyDescent="0.25">
      <c r="A2338" s="3" t="s">
        <v>2365</v>
      </c>
      <c r="B2338">
        <v>1994</v>
      </c>
      <c r="C2338">
        <v>1994</v>
      </c>
      <c r="D2338" s="3" t="s">
        <v>36</v>
      </c>
      <c r="E2338" s="3" t="s">
        <v>36</v>
      </c>
      <c r="F2338">
        <v>27</v>
      </c>
      <c r="G2338" s="7">
        <v>34634</v>
      </c>
      <c r="H2338">
        <v>1</v>
      </c>
      <c r="I2338" s="3" t="s">
        <v>10708</v>
      </c>
      <c r="J2338" s="3" t="s">
        <v>15</v>
      </c>
      <c r="K2338" s="3" t="s">
        <v>11</v>
      </c>
      <c r="L2338" s="3" t="s">
        <v>41</v>
      </c>
      <c r="M2338">
        <v>32</v>
      </c>
      <c r="N2338" s="3"/>
    </row>
    <row r="2339" spans="1:14" x14ac:dyDescent="0.25">
      <c r="A2339" s="3" t="s">
        <v>2366</v>
      </c>
      <c r="B2339">
        <v>1962</v>
      </c>
      <c r="C2339">
        <v>1962</v>
      </c>
      <c r="D2339" s="3" t="s">
        <v>34</v>
      </c>
      <c r="E2339" s="3" t="s">
        <v>34</v>
      </c>
      <c r="F2339">
        <v>4</v>
      </c>
      <c r="G2339" s="7">
        <v>22862</v>
      </c>
      <c r="H2339">
        <v>0</v>
      </c>
      <c r="I2339" s="3" t="s">
        <v>10709</v>
      </c>
      <c r="J2339" s="3" t="s">
        <v>15</v>
      </c>
      <c r="K2339" s="3" t="s">
        <v>11</v>
      </c>
      <c r="L2339" s="3" t="s">
        <v>41</v>
      </c>
      <c r="M2339">
        <v>64</v>
      </c>
      <c r="N2339" s="3"/>
    </row>
    <row r="2340" spans="1:14" x14ac:dyDescent="0.25">
      <c r="A2340" s="3" t="s">
        <v>2367</v>
      </c>
      <c r="B2340">
        <v>1989</v>
      </c>
      <c r="C2340">
        <v>1989</v>
      </c>
      <c r="D2340" s="3" t="s">
        <v>17</v>
      </c>
      <c r="E2340" s="3" t="s">
        <v>17</v>
      </c>
      <c r="F2340">
        <v>19</v>
      </c>
      <c r="G2340" s="7">
        <v>32678</v>
      </c>
      <c r="H2340">
        <v>0</v>
      </c>
      <c r="I2340" s="3" t="s">
        <v>10710</v>
      </c>
      <c r="J2340" s="3" t="s">
        <v>15</v>
      </c>
      <c r="K2340" s="3" t="s">
        <v>10</v>
      </c>
      <c r="L2340" s="3" t="s">
        <v>22</v>
      </c>
      <c r="M2340">
        <v>37</v>
      </c>
      <c r="N2340" s="3"/>
    </row>
    <row r="2341" spans="1:14" x14ac:dyDescent="0.25">
      <c r="A2341" s="3" t="s">
        <v>2368</v>
      </c>
      <c r="B2341">
        <v>1991</v>
      </c>
      <c r="C2341">
        <v>1991</v>
      </c>
      <c r="D2341" s="3" t="s">
        <v>17</v>
      </c>
      <c r="E2341" s="3" t="s">
        <v>17</v>
      </c>
      <c r="F2341">
        <v>6</v>
      </c>
      <c r="G2341" s="7">
        <v>33395</v>
      </c>
      <c r="H2341">
        <v>1</v>
      </c>
      <c r="I2341" s="3" t="s">
        <v>10711</v>
      </c>
      <c r="J2341" s="3" t="s">
        <v>15</v>
      </c>
      <c r="K2341" s="3" t="s">
        <v>11</v>
      </c>
      <c r="L2341" s="3" t="s">
        <v>246</v>
      </c>
      <c r="M2341">
        <v>35</v>
      </c>
      <c r="N2341" s="3"/>
    </row>
    <row r="2342" spans="1:14" x14ac:dyDescent="0.25">
      <c r="A2342" s="3" t="s">
        <v>2369</v>
      </c>
      <c r="B2342">
        <v>1970</v>
      </c>
      <c r="C2342">
        <v>1970</v>
      </c>
      <c r="D2342" s="3" t="s">
        <v>30</v>
      </c>
      <c r="E2342" s="3" t="s">
        <v>19</v>
      </c>
      <c r="F2342">
        <v>11</v>
      </c>
      <c r="G2342" s="7">
        <v>25822</v>
      </c>
      <c r="H2342">
        <v>3</v>
      </c>
      <c r="I2342" s="3" t="s">
        <v>10712</v>
      </c>
      <c r="J2342" s="3" t="s">
        <v>15</v>
      </c>
      <c r="K2342" s="3" t="s">
        <v>15</v>
      </c>
      <c r="L2342" s="3" t="s">
        <v>22</v>
      </c>
      <c r="M2342">
        <v>56</v>
      </c>
      <c r="N2342" s="3"/>
    </row>
    <row r="2343" spans="1:14" x14ac:dyDescent="0.25">
      <c r="A2343" s="3" t="s">
        <v>2370</v>
      </c>
      <c r="B2343">
        <v>1977</v>
      </c>
      <c r="C2343">
        <v>1977</v>
      </c>
      <c r="D2343" s="3" t="s">
        <v>17</v>
      </c>
      <c r="E2343" s="3" t="s">
        <v>17</v>
      </c>
      <c r="F2343">
        <v>8</v>
      </c>
      <c r="G2343" s="7">
        <v>28284</v>
      </c>
      <c r="H2343">
        <v>0</v>
      </c>
      <c r="I2343" s="3" t="s">
        <v>10713</v>
      </c>
      <c r="J2343" s="3" t="s">
        <v>10</v>
      </c>
      <c r="K2343" s="3" t="s">
        <v>11</v>
      </c>
      <c r="L2343" s="3" t="s">
        <v>12</v>
      </c>
      <c r="M2343">
        <v>49</v>
      </c>
      <c r="N2343" s="3"/>
    </row>
    <row r="2344" spans="1:14" x14ac:dyDescent="0.25">
      <c r="A2344" s="3" t="s">
        <v>2371</v>
      </c>
      <c r="B2344">
        <v>1968</v>
      </c>
      <c r="C2344">
        <v>1968</v>
      </c>
      <c r="D2344" s="3" t="s">
        <v>36</v>
      </c>
      <c r="E2344" s="3" t="s">
        <v>36</v>
      </c>
      <c r="F2344">
        <v>12</v>
      </c>
      <c r="G2344" s="7">
        <v>25123</v>
      </c>
      <c r="H2344">
        <v>0</v>
      </c>
      <c r="I2344" s="3" t="s">
        <v>10714</v>
      </c>
      <c r="J2344" s="3" t="s">
        <v>15</v>
      </c>
      <c r="K2344" s="3" t="s">
        <v>11</v>
      </c>
      <c r="L2344" s="3" t="s">
        <v>12</v>
      </c>
      <c r="M2344">
        <v>58</v>
      </c>
      <c r="N2344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FA191-3624-4B32-97AE-D66A4CD988B9}">
  <dimension ref="A1:Q2344"/>
  <sheetViews>
    <sheetView topLeftCell="D1" workbookViewId="0">
      <selection activeCell="G20" sqref="G20"/>
    </sheetView>
  </sheetViews>
  <sheetFormatPr defaultRowHeight="15" x14ac:dyDescent="0.25"/>
  <cols>
    <col min="1" max="1" width="11.85546875" bestFit="1" customWidth="1"/>
    <col min="2" max="2" width="10.5703125" bestFit="1" customWidth="1"/>
    <col min="3" max="3" width="12.140625" bestFit="1" customWidth="1"/>
    <col min="4" max="4" width="14.85546875" bestFit="1" customWidth="1"/>
    <col min="5" max="5" width="11.7109375" bestFit="1" customWidth="1"/>
    <col min="6" max="6" width="15.140625" bestFit="1" customWidth="1"/>
    <col min="7" max="7" width="13.7109375" bestFit="1" customWidth="1"/>
    <col min="8" max="8" width="24.42578125" bestFit="1" customWidth="1"/>
    <col min="11" max="11" width="14.85546875" bestFit="1" customWidth="1"/>
    <col min="12" max="12" width="12.140625" bestFit="1" customWidth="1"/>
    <col min="14" max="14" width="11.85546875" bestFit="1" customWidth="1"/>
  </cols>
  <sheetData>
    <row r="1" spans="1:17" x14ac:dyDescent="0.25">
      <c r="A1" s="4" t="s">
        <v>0</v>
      </c>
      <c r="B1" s="8" t="s">
        <v>4744</v>
      </c>
      <c r="C1" s="5" t="s">
        <v>2372</v>
      </c>
      <c r="D1" s="5" t="s">
        <v>2373</v>
      </c>
      <c r="E1" s="5" t="s">
        <v>2374</v>
      </c>
      <c r="F1" s="5" t="s">
        <v>2375</v>
      </c>
      <c r="G1" s="5" t="s">
        <v>2376</v>
      </c>
      <c r="H1" s="9" t="s">
        <v>2377</v>
      </c>
      <c r="I1" s="5" t="s">
        <v>2378</v>
      </c>
      <c r="J1" s="5" t="s">
        <v>10715</v>
      </c>
      <c r="K1" s="5" t="s">
        <v>10717</v>
      </c>
      <c r="L1" s="5" t="s">
        <v>10718</v>
      </c>
      <c r="M1" s="5" t="s">
        <v>8381</v>
      </c>
      <c r="N1" s="5" t="s">
        <v>5</v>
      </c>
      <c r="O1" s="5" t="s">
        <v>6</v>
      </c>
      <c r="P1" s="5" t="s">
        <v>7</v>
      </c>
      <c r="Q1" s="5" t="s">
        <v>10719</v>
      </c>
    </row>
    <row r="2" spans="1:17" x14ac:dyDescent="0.25">
      <c r="A2" s="10" t="s">
        <v>8</v>
      </c>
      <c r="B2" t="str">
        <f>VLOOKUP(Customer_Names!A2,Customer_Names!1:1048576,4,FALSE)</f>
        <v>Kelly</v>
      </c>
      <c r="C2">
        <f>VLOOKUP(Medical_Examinations_2[[#This Row],[Customer ID]],Medical_Examinations!$1:$1048576,2,FALSE)</f>
        <v>47.41</v>
      </c>
      <c r="D2">
        <f>VLOOKUP(Medical_Examinations_2[[#This Row],[Customer ID]],Medical_Examinations!$1:$1048576,4,FALSE)</f>
        <v>7.47</v>
      </c>
      <c r="E2" t="str">
        <f>VLOOKUP(Medical_Examinations_2[[#This Row],[Customer ID]],Medical_Examinations!$1:$1048576,6,FALSE)</f>
        <v>No</v>
      </c>
      <c r="F2" t="str">
        <f>VLOOKUP(Medical_Examinations_2[[#This Row],[Customer ID]],Medical_Examinations!$1:$1048576,7,FALSE)</f>
        <v>No</v>
      </c>
      <c r="G2" t="str">
        <f>VLOOKUP(Medical_Examinations_2[[#This Row],[Customer ID]],Medical_Examinations!$1:$1048576,8,FALSE)</f>
        <v>No</v>
      </c>
      <c r="H2" t="str">
        <f>VLOOKUP(Medical_Examinations_2[[#This Row],[Customer ID]],Medical_Examinations!$1:$1048576,9,FALSE)</f>
        <v>No major surgery</v>
      </c>
      <c r="I2" t="str">
        <f>VLOOKUP(Medical_Examinations_2[[#This Row],[Customer ID]],Medical_Examinations!$1:$1048576,11,FALSE)</f>
        <v>Yes</v>
      </c>
      <c r="J2" t="str">
        <f>VLOOKUP(Medical_Examinations_2[[#This Row],[Customer ID]],Medical_Examinations!$1:$1048576,3,FALSE)</f>
        <v>Obesity</v>
      </c>
      <c r="K2" t="str">
        <f>VLOOKUP(Medical_Examinations_2[[#This Row],[Customer ID]],Medical_Examinations!$1:$1048576,5,FALSE)</f>
        <v>Diabetes</v>
      </c>
      <c r="L2" s="7">
        <f>VLOOKUP(Hospitalisation_Details_2__3[[#This Row],[Customer ID]],Hospitalisation_Details_2__2!$1:$1048576,7,FALSE)</f>
        <v>33794</v>
      </c>
      <c r="M2" t="str">
        <f>VLOOKUP(Hospitalisation_Details_2__3[[#This Row],[Customer ID]],Hospitalisation_Details_2__2!$1:$1048576,9,FALSE)</f>
        <v>$563.84</v>
      </c>
      <c r="N2" t="str">
        <f>VLOOKUP(Hospitalisation_Details_2__3[[#This Row],[Customer ID]],Hospitalisation_Details_2__2!$1:$1048576,10,FALSE)</f>
        <v>tier - 2</v>
      </c>
      <c r="O2" t="str">
        <f>VLOOKUP(Hospitalisation_Details_2__3[[#This Row],[Customer ID]],Hospitalisation_Details_2__2!$1:$1048576,11,FALSE)</f>
        <v>tier - 3</v>
      </c>
      <c r="P2" t="str">
        <f>VLOOKUP(Hospitalisation_Details_2__3[[#This Row],[Customer ID]],Hospitalisation_Details_2__2!$1:$1048576,12,FALSE)</f>
        <v>R1013</v>
      </c>
      <c r="Q2">
        <f>VLOOKUP(Hospitalisation_Details_2__3[[#This Row],[Customer ID]],Hospitalisation_Details_2__2!$1:$1048576,13,FALSE)</f>
        <v>34</v>
      </c>
    </row>
    <row r="3" spans="1:17" x14ac:dyDescent="0.25">
      <c r="A3" s="11" t="s">
        <v>13</v>
      </c>
      <c r="B3" t="str">
        <f>VLOOKUP(Customer_Names!A3,Customer_Names!$1:$1048576,4,FALSE)</f>
        <v>Matthew D</v>
      </c>
      <c r="C3">
        <f>VLOOKUP(Medical_Examinations_2[[#This Row],[Customer ID]],Medical_Examinations!$1:$1048576,2,FALSE)</f>
        <v>30.36</v>
      </c>
      <c r="D3">
        <f>VLOOKUP(Medical_Examinations_2[[#This Row],[Customer ID]],Medical_Examinations!$1:$1048576,4,FALSE)</f>
        <v>5.77</v>
      </c>
      <c r="E3" t="str">
        <f>VLOOKUP(Medical_Examinations_2[[#This Row],[Customer ID]],Medical_Examinations!$1:$1048576,6,FALSE)</f>
        <v>No</v>
      </c>
      <c r="F3" t="str">
        <f>VLOOKUP(Medical_Examinations_2[[#This Row],[Customer ID]],Medical_Examinations!$1:$1048576,7,FALSE)</f>
        <v>No</v>
      </c>
      <c r="G3" t="str">
        <f>VLOOKUP(Medical_Examinations_2[[#This Row],[Customer ID]],Medical_Examinations!$1:$1048576,8,FALSE)</f>
        <v>No</v>
      </c>
      <c r="H3" t="str">
        <f>VLOOKUP(Medical_Examinations_2[[#This Row],[Customer ID]],Medical_Examinations!$1:$1048576,9,FALSE)</f>
        <v>No major surgery</v>
      </c>
      <c r="I3" t="str">
        <f>VLOOKUP(Medical_Examinations_2[[#This Row],[Customer ID]],Medical_Examinations!$1:$1048576,11,FALSE)</f>
        <v>Yes</v>
      </c>
      <c r="J3" t="str">
        <f>VLOOKUP(Medical_Examinations_2[[#This Row],[Customer ID]],Medical_Examinations!$1:$1048576,3,FALSE)</f>
        <v>Obesity</v>
      </c>
      <c r="K3" t="str">
        <f>VLOOKUP(Medical_Examinations_2[[#This Row],[Customer ID]],Medical_Examinations!$1:$1048576,5,FALSE)</f>
        <v>Prediabetes</v>
      </c>
      <c r="L3" s="7">
        <f>VLOOKUP(Hospitalisation_Details_2__3[[#This Row],[Customer ID]],Hospitalisation_Details_2__2!$1:$1048576,7,FALSE)</f>
        <v>33938</v>
      </c>
      <c r="M3" t="str">
        <f>VLOOKUP(Hospitalisation_Details_2__3[[#This Row],[Customer ID]],Hospitalisation_Details_2__2!$1:$1048576,9,FALSE)</f>
        <v>$570.62</v>
      </c>
      <c r="N3" t="str">
        <f>VLOOKUP(Hospitalisation_Details_2__3[[#This Row],[Customer ID]],Hospitalisation_Details_2__2!$1:$1048576,10,FALSE)</f>
        <v>tier - 2</v>
      </c>
      <c r="O3" t="str">
        <f>VLOOKUP(Hospitalisation_Details_2__3[[#This Row],[Customer ID]],Hospitalisation_Details_2__2!$1:$1048576,11,FALSE)</f>
        <v>tier - 1</v>
      </c>
      <c r="P3" t="str">
        <f>VLOOKUP(Hospitalisation_Details_2__3[[#This Row],[Customer ID]],Hospitalisation_Details_2__2!$1:$1048576,12,FALSE)</f>
        <v>R1013</v>
      </c>
      <c r="Q3">
        <f>VLOOKUP(Hospitalisation_Details_2__3[[#This Row],[Customer ID]],Hospitalisation_Details_2__2!$1:$1048576,13,FALSE)</f>
        <v>34</v>
      </c>
    </row>
    <row r="4" spans="1:17" x14ac:dyDescent="0.25">
      <c r="A4" s="10" t="s">
        <v>16</v>
      </c>
      <c r="B4" t="str">
        <f>VLOOKUP(Customer_Names!A4,Customer_Names!$1:$1048576,4,FALSE)</f>
        <v>Phil</v>
      </c>
      <c r="C4">
        <f>VLOOKUP(Medical_Examinations_2[[#This Row],[Customer ID]],Medical_Examinations!$1:$1048576,2,FALSE)</f>
        <v>34.484999999999999</v>
      </c>
      <c r="D4">
        <f>VLOOKUP(Medical_Examinations_2[[#This Row],[Customer ID]],Medical_Examinations!$1:$1048576,4,FALSE)</f>
        <v>11.87</v>
      </c>
      <c r="E4" t="str">
        <f>VLOOKUP(Medical_Examinations_2[[#This Row],[Customer ID]],Medical_Examinations!$1:$1048576,6,FALSE)</f>
        <v>Yes</v>
      </c>
      <c r="F4" t="str">
        <f>VLOOKUP(Medical_Examinations_2[[#This Row],[Customer ID]],Medical_Examinations!$1:$1048576,7,FALSE)</f>
        <v>No</v>
      </c>
      <c r="G4" t="str">
        <f>VLOOKUP(Medical_Examinations_2[[#This Row],[Customer ID]],Medical_Examinations!$1:$1048576,8,FALSE)</f>
        <v>No</v>
      </c>
      <c r="H4">
        <f>VLOOKUP(Medical_Examinations_2[[#This Row],[Customer ID]],Medical_Examinations!$1:$1048576,9,FALSE)</f>
        <v>2</v>
      </c>
      <c r="I4" t="str">
        <f>VLOOKUP(Medical_Examinations_2[[#This Row],[Customer ID]],Medical_Examinations!$1:$1048576,11,FALSE)</f>
        <v>Yes</v>
      </c>
      <c r="J4" t="str">
        <f>VLOOKUP(Medical_Examinations_2[[#This Row],[Customer ID]],Medical_Examinations!$1:$1048576,3,FALSE)</f>
        <v>Obesity</v>
      </c>
      <c r="K4" t="str">
        <f>VLOOKUP(Medical_Examinations_2[[#This Row],[Customer ID]],Medical_Examinations!$1:$1048576,5,FALSE)</f>
        <v>Diabetes</v>
      </c>
      <c r="L4" s="7">
        <f>VLOOKUP(Hospitalisation_Details_2__3[[#This Row],[Customer ID]],Hospitalisation_Details_2__2!$1:$1048576,7,FALSE)</f>
        <v>34150</v>
      </c>
      <c r="M4" t="str">
        <f>VLOOKUP(Hospitalisation_Details_2__3[[#This Row],[Customer ID]],Hospitalisation_Details_2__2!$1:$1048576,9,FALSE)</f>
        <v>$600</v>
      </c>
      <c r="N4" t="str">
        <f>VLOOKUP(Hospitalisation_Details_2__3[[#This Row],[Customer ID]],Hospitalisation_Details_2__2!$1:$1048576,10,FALSE)</f>
        <v>tier - 2</v>
      </c>
      <c r="O4" t="str">
        <f>VLOOKUP(Hospitalisation_Details_2__3[[#This Row],[Customer ID]],Hospitalisation_Details_2__2!$1:$1048576,11,FALSE)</f>
        <v>tier - 1</v>
      </c>
      <c r="P4" t="str">
        <f>VLOOKUP(Hospitalisation_Details_2__3[[#This Row],[Customer ID]],Hospitalisation_Details_2__2!$1:$1048576,12,FALSE)</f>
        <v>R1013</v>
      </c>
      <c r="Q4">
        <f>VLOOKUP(Hospitalisation_Details_2__3[[#This Row],[Customer ID]],Hospitalisation_Details_2__2!$1:$1048576,13,FALSE)</f>
        <v>33</v>
      </c>
    </row>
    <row r="5" spans="1:17" x14ac:dyDescent="0.25">
      <c r="A5" s="11" t="s">
        <v>18</v>
      </c>
      <c r="B5" t="str">
        <f>VLOOKUP(Customer_Names!A5,Customer_Names!$1:$1048576,4,FALSE)</f>
        <v>Kelsey</v>
      </c>
      <c r="C5">
        <f>VLOOKUP(Medical_Examinations_2[[#This Row],[Customer ID]],Medical_Examinations!$1:$1048576,2,FALSE)</f>
        <v>38.094999999999999</v>
      </c>
      <c r="D5">
        <f>VLOOKUP(Medical_Examinations_2[[#This Row],[Customer ID]],Medical_Examinations!$1:$1048576,4,FALSE)</f>
        <v>6.05</v>
      </c>
      <c r="E5" t="str">
        <f>VLOOKUP(Medical_Examinations_2[[#This Row],[Customer ID]],Medical_Examinations!$1:$1048576,6,FALSE)</f>
        <v>No</v>
      </c>
      <c r="F5" t="str">
        <f>VLOOKUP(Medical_Examinations_2[[#This Row],[Customer ID]],Medical_Examinations!$1:$1048576,7,FALSE)</f>
        <v>No</v>
      </c>
      <c r="G5" t="str">
        <f>VLOOKUP(Medical_Examinations_2[[#This Row],[Customer ID]],Medical_Examinations!$1:$1048576,8,FALSE)</f>
        <v>No</v>
      </c>
      <c r="H5" t="str">
        <f>VLOOKUP(Medical_Examinations_2[[#This Row],[Customer ID]],Medical_Examinations!$1:$1048576,9,FALSE)</f>
        <v>No major surgery</v>
      </c>
      <c r="I5" t="str">
        <f>VLOOKUP(Medical_Examinations_2[[#This Row],[Customer ID]],Medical_Examinations!$1:$1048576,11,FALSE)</f>
        <v>Yes</v>
      </c>
      <c r="J5" t="str">
        <f>VLOOKUP(Medical_Examinations_2[[#This Row],[Customer ID]],Medical_Examinations!$1:$1048576,3,FALSE)</f>
        <v>Obesity</v>
      </c>
      <c r="K5" t="str">
        <f>VLOOKUP(Medical_Examinations_2[[#This Row],[Customer ID]],Medical_Examinations!$1:$1048576,5,FALSE)</f>
        <v>Prediabetes</v>
      </c>
      <c r="L5" s="7">
        <f>VLOOKUP(Hospitalisation_Details_2__3[[#This Row],[Customer ID]],Hospitalisation_Details_2__2!$1:$1048576,7,FALSE)</f>
        <v>33860</v>
      </c>
      <c r="M5" t="str">
        <f>VLOOKUP(Hospitalisation_Details_2__3[[#This Row],[Customer ID]],Hospitalisation_Details_2__2!$1:$1048576,9,FALSE)</f>
        <v>$604.54</v>
      </c>
      <c r="N5" t="str">
        <f>VLOOKUP(Hospitalisation_Details_2__3[[#This Row],[Customer ID]],Hospitalisation_Details_2__2!$1:$1048576,10,FALSE)</f>
        <v>tier - 3</v>
      </c>
      <c r="O5" t="str">
        <f>VLOOKUP(Hospitalisation_Details_2__3[[#This Row],[Customer ID]],Hospitalisation_Details_2__2!$1:$1048576,11,FALSE)</f>
        <v>tier - 3</v>
      </c>
      <c r="P5" t="str">
        <f>VLOOKUP(Hospitalisation_Details_2__3[[#This Row],[Customer ID]],Hospitalisation_Details_2__2!$1:$1048576,12,FALSE)</f>
        <v>R1013</v>
      </c>
      <c r="Q5">
        <f>VLOOKUP(Hospitalisation_Details_2__3[[#This Row],[Customer ID]],Hospitalisation_Details_2__2!$1:$1048576,13,FALSE)</f>
        <v>34</v>
      </c>
    </row>
    <row r="6" spans="1:17" x14ac:dyDescent="0.25">
      <c r="A6" s="10" t="s">
        <v>20</v>
      </c>
      <c r="B6" t="str">
        <f>VLOOKUP(Customer_Names!A6,Customer_Names!$1:$1048576,4,FALSE)</f>
        <v>Kristyn</v>
      </c>
      <c r="C6">
        <f>VLOOKUP(Medical_Examinations_2[[#This Row],[Customer ID]],Medical_Examinations!$1:$1048576,2,FALSE)</f>
        <v>35.53</v>
      </c>
      <c r="D6">
        <f>VLOOKUP(Medical_Examinations_2[[#This Row],[Customer ID]],Medical_Examinations!$1:$1048576,4,FALSE)</f>
        <v>5.45</v>
      </c>
      <c r="E6" t="str">
        <f>VLOOKUP(Medical_Examinations_2[[#This Row],[Customer ID]],Medical_Examinations!$1:$1048576,6,FALSE)</f>
        <v>No</v>
      </c>
      <c r="F6" t="str">
        <f>VLOOKUP(Medical_Examinations_2[[#This Row],[Customer ID]],Medical_Examinations!$1:$1048576,7,FALSE)</f>
        <v>No</v>
      </c>
      <c r="G6" t="str">
        <f>VLOOKUP(Medical_Examinations_2[[#This Row],[Customer ID]],Medical_Examinations!$1:$1048576,8,FALSE)</f>
        <v>No</v>
      </c>
      <c r="H6" t="str">
        <f>VLOOKUP(Medical_Examinations_2[[#This Row],[Customer ID]],Medical_Examinations!$1:$1048576,9,FALSE)</f>
        <v>No major surgery</v>
      </c>
      <c r="I6" t="str">
        <f>VLOOKUP(Medical_Examinations_2[[#This Row],[Customer ID]],Medical_Examinations!$1:$1048576,11,FALSE)</f>
        <v>Yes</v>
      </c>
      <c r="J6" t="str">
        <f>VLOOKUP(Medical_Examinations_2[[#This Row],[Customer ID]],Medical_Examinations!$1:$1048576,3,FALSE)</f>
        <v>Obesity</v>
      </c>
      <c r="K6" t="str">
        <f>VLOOKUP(Medical_Examinations_2[[#This Row],[Customer ID]],Medical_Examinations!$1:$1048576,5,FALSE)</f>
        <v>Normal</v>
      </c>
      <c r="L6" s="7">
        <f>VLOOKUP(Hospitalisation_Details_2__3[[#This Row],[Customer ID]],Hospitalisation_Details_2__2!$1:$1048576,7,FALSE)</f>
        <v>36003</v>
      </c>
      <c r="M6" t="str">
        <f>VLOOKUP(Hospitalisation_Details_2__3[[#This Row],[Customer ID]],Hospitalisation_Details_2__2!$1:$1048576,9,FALSE)</f>
        <v>$637.26</v>
      </c>
      <c r="N6" t="str">
        <f>VLOOKUP(Hospitalisation_Details_2__3[[#This Row],[Customer ID]],Hospitalisation_Details_2__2!$1:$1048576,10,FALSE)</f>
        <v>tier - 3</v>
      </c>
      <c r="O6" t="str">
        <f>VLOOKUP(Hospitalisation_Details_2__3[[#This Row],[Customer ID]],Hospitalisation_Details_2__2!$1:$1048576,11,FALSE)</f>
        <v>tier - 3</v>
      </c>
      <c r="P6" t="str">
        <f>VLOOKUP(Hospitalisation_Details_2__3[[#This Row],[Customer ID]],Hospitalisation_Details_2__2!$1:$1048576,12,FALSE)</f>
        <v>R1013</v>
      </c>
      <c r="Q6">
        <f>VLOOKUP(Hospitalisation_Details_2__3[[#This Row],[Customer ID]],Hospitalisation_Details_2__2!$1:$1048576,13,FALSE)</f>
        <v>28</v>
      </c>
    </row>
    <row r="7" spans="1:17" x14ac:dyDescent="0.25">
      <c r="A7" s="11" t="s">
        <v>21</v>
      </c>
      <c r="B7" t="str">
        <f>VLOOKUP(Customer_Names!A7,Customer_Names!$1:$1048576,4,FALSE)</f>
        <v>Russell B.</v>
      </c>
      <c r="C7">
        <f>VLOOKUP(Medical_Examinations_2[[#This Row],[Customer ID]],Medical_Examinations!$1:$1048576,2,FALSE)</f>
        <v>32.799999999999997</v>
      </c>
      <c r="D7">
        <f>VLOOKUP(Medical_Examinations_2[[#This Row],[Customer ID]],Medical_Examinations!$1:$1048576,4,FALSE)</f>
        <v>6.59</v>
      </c>
      <c r="E7" t="str">
        <f>VLOOKUP(Medical_Examinations_2[[#This Row],[Customer ID]],Medical_Examinations!$1:$1048576,6,FALSE)</f>
        <v>No</v>
      </c>
      <c r="F7" t="str">
        <f>VLOOKUP(Medical_Examinations_2[[#This Row],[Customer ID]],Medical_Examinations!$1:$1048576,7,FALSE)</f>
        <v>No</v>
      </c>
      <c r="G7" t="str">
        <f>VLOOKUP(Medical_Examinations_2[[#This Row],[Customer ID]],Medical_Examinations!$1:$1048576,8,FALSE)</f>
        <v>No</v>
      </c>
      <c r="H7" t="str">
        <f>VLOOKUP(Medical_Examinations_2[[#This Row],[Customer ID]],Medical_Examinations!$1:$1048576,9,FALSE)</f>
        <v>No major surgery</v>
      </c>
      <c r="I7" t="str">
        <f>VLOOKUP(Medical_Examinations_2[[#This Row],[Customer ID]],Medical_Examinations!$1:$1048576,11,FALSE)</f>
        <v>Yes</v>
      </c>
      <c r="J7" t="str">
        <f>VLOOKUP(Medical_Examinations_2[[#This Row],[Customer ID]],Medical_Examinations!$1:$1048576,3,FALSE)</f>
        <v>Obesity</v>
      </c>
      <c r="K7" t="str">
        <f>VLOOKUP(Medical_Examinations_2[[#This Row],[Customer ID]],Medical_Examinations!$1:$1048576,5,FALSE)</f>
        <v>Diabetes</v>
      </c>
      <c r="L7" s="7">
        <f>VLOOKUP(Hospitalisation_Details_2__3[[#This Row],[Customer ID]],Hospitalisation_Details_2__2!$1:$1048576,7,FALSE)</f>
        <v>37215</v>
      </c>
      <c r="M7" t="str">
        <f>VLOOKUP(Hospitalisation_Details_2__3[[#This Row],[Customer ID]],Hospitalisation_Details_2__2!$1:$1048576,9,FALSE)</f>
        <v>$646.14</v>
      </c>
      <c r="N7" t="str">
        <f>VLOOKUP(Hospitalisation_Details_2__3[[#This Row],[Customer ID]],Hospitalisation_Details_2__2!$1:$1048576,10,FALSE)</f>
        <v>tier - 3</v>
      </c>
      <c r="O7" t="str">
        <f>VLOOKUP(Hospitalisation_Details_2__3[[#This Row],[Customer ID]],Hospitalisation_Details_2__2!$1:$1048576,11,FALSE)</f>
        <v>tier - 3</v>
      </c>
      <c r="P7" t="str">
        <f>VLOOKUP(Hospitalisation_Details_2__3[[#This Row],[Customer ID]],Hospitalisation_Details_2__2!$1:$1048576,12,FALSE)</f>
        <v>R1012</v>
      </c>
      <c r="Q7">
        <f>VLOOKUP(Hospitalisation_Details_2__3[[#This Row],[Customer ID]],Hospitalisation_Details_2__2!$1:$1048576,13,FALSE)</f>
        <v>25</v>
      </c>
    </row>
    <row r="8" spans="1:17" x14ac:dyDescent="0.25">
      <c r="A8" s="10" t="s">
        <v>23</v>
      </c>
      <c r="B8" t="str">
        <f>VLOOKUP(Customer_Names!A8,Customer_Names!$1:$1048576,4,FALSE)</f>
        <v>Scott</v>
      </c>
      <c r="C8">
        <f>VLOOKUP(Medical_Examinations_2[[#This Row],[Customer ID]],Medical_Examinations!$1:$1048576,2,FALSE)</f>
        <v>36.4</v>
      </c>
      <c r="D8">
        <f>VLOOKUP(Medical_Examinations_2[[#This Row],[Customer ID]],Medical_Examinations!$1:$1048576,4,FALSE)</f>
        <v>6.07</v>
      </c>
      <c r="E8" t="str">
        <f>VLOOKUP(Medical_Examinations_2[[#This Row],[Customer ID]],Medical_Examinations!$1:$1048576,6,FALSE)</f>
        <v>No</v>
      </c>
      <c r="F8" t="str">
        <f>VLOOKUP(Medical_Examinations_2[[#This Row],[Customer ID]],Medical_Examinations!$1:$1048576,7,FALSE)</f>
        <v>No</v>
      </c>
      <c r="G8" t="str">
        <f>VLOOKUP(Medical_Examinations_2[[#This Row],[Customer ID]],Medical_Examinations!$1:$1048576,8,FALSE)</f>
        <v>No</v>
      </c>
      <c r="H8" t="str">
        <f>VLOOKUP(Medical_Examinations_2[[#This Row],[Customer ID]],Medical_Examinations!$1:$1048576,9,FALSE)</f>
        <v>No major surgery</v>
      </c>
      <c r="I8" t="str">
        <f>VLOOKUP(Medical_Examinations_2[[#This Row],[Customer ID]],Medical_Examinations!$1:$1048576,11,FALSE)</f>
        <v>Yes</v>
      </c>
      <c r="J8" t="str">
        <f>VLOOKUP(Medical_Examinations_2[[#This Row],[Customer ID]],Medical_Examinations!$1:$1048576,3,FALSE)</f>
        <v>Obesity</v>
      </c>
      <c r="K8" t="str">
        <f>VLOOKUP(Medical_Examinations_2[[#This Row],[Customer ID]],Medical_Examinations!$1:$1048576,5,FALSE)</f>
        <v>Prediabetes</v>
      </c>
      <c r="L8" s="7">
        <f>VLOOKUP(Hospitalisation_Details_2__3[[#This Row],[Customer ID]],Hospitalisation_Details_2__2!$1:$1048576,7,FALSE)</f>
        <v>34121</v>
      </c>
      <c r="M8" t="str">
        <f>VLOOKUP(Hospitalisation_Details_2__3[[#This Row],[Customer ID]],Hospitalisation_Details_2__2!$1:$1048576,9,FALSE)</f>
        <v>$650</v>
      </c>
      <c r="N8" t="str">
        <f>VLOOKUP(Hospitalisation_Details_2__3[[#This Row],[Customer ID]],Hospitalisation_Details_2__2!$1:$1048576,10,FALSE)</f>
        <v>tier - 3</v>
      </c>
      <c r="O8" t="str">
        <f>VLOOKUP(Hospitalisation_Details_2__3[[#This Row],[Customer ID]],Hospitalisation_Details_2__2!$1:$1048576,11,FALSE)</f>
        <v>tier - 3</v>
      </c>
      <c r="P8" t="str">
        <f>VLOOKUP(Hospitalisation_Details_2__3[[#This Row],[Customer ID]],Hospitalisation_Details_2__2!$1:$1048576,12,FALSE)</f>
        <v>R1013</v>
      </c>
      <c r="Q8">
        <f>VLOOKUP(Hospitalisation_Details_2__3[[#This Row],[Customer ID]],Hospitalisation_Details_2__2!$1:$1048576,13,FALSE)</f>
        <v>33</v>
      </c>
    </row>
    <row r="9" spans="1:17" x14ac:dyDescent="0.25">
      <c r="A9" s="11" t="s">
        <v>24</v>
      </c>
      <c r="B9" t="str">
        <f>VLOOKUP(Customer_Names!A9,Customer_Names!$1:$1048576,4,FALSE)</f>
        <v>Stephen</v>
      </c>
      <c r="C9">
        <f>VLOOKUP(Medical_Examinations_2[[#This Row],[Customer ID]],Medical_Examinations!$1:$1048576,2,FALSE)</f>
        <v>36.96</v>
      </c>
      <c r="D9">
        <f>VLOOKUP(Medical_Examinations_2[[#This Row],[Customer ID]],Medical_Examinations!$1:$1048576,4,FALSE)</f>
        <v>7.93</v>
      </c>
      <c r="E9" t="str">
        <f>VLOOKUP(Medical_Examinations_2[[#This Row],[Customer ID]],Medical_Examinations!$1:$1048576,6,FALSE)</f>
        <v>No</v>
      </c>
      <c r="F9" t="str">
        <f>VLOOKUP(Medical_Examinations_2[[#This Row],[Customer ID]],Medical_Examinations!$1:$1048576,7,FALSE)</f>
        <v>No</v>
      </c>
      <c r="G9" t="str">
        <f>VLOOKUP(Medical_Examinations_2[[#This Row],[Customer ID]],Medical_Examinations!$1:$1048576,8,FALSE)</f>
        <v>No</v>
      </c>
      <c r="H9">
        <f>VLOOKUP(Medical_Examinations_2[[#This Row],[Customer ID]],Medical_Examinations!$1:$1048576,9,FALSE)</f>
        <v>3</v>
      </c>
      <c r="I9" t="str">
        <f>VLOOKUP(Medical_Examinations_2[[#This Row],[Customer ID]],Medical_Examinations!$1:$1048576,11,FALSE)</f>
        <v>Yes</v>
      </c>
      <c r="J9" t="str">
        <f>VLOOKUP(Medical_Examinations_2[[#This Row],[Customer ID]],Medical_Examinations!$1:$1048576,3,FALSE)</f>
        <v>Obesity</v>
      </c>
      <c r="K9" t="str">
        <f>VLOOKUP(Medical_Examinations_2[[#This Row],[Customer ID]],Medical_Examinations!$1:$1048576,5,FALSE)</f>
        <v>Diabetes</v>
      </c>
      <c r="L9" s="7">
        <f>VLOOKUP(Hospitalisation_Details_2__3[[#This Row],[Customer ID]],Hospitalisation_Details_2__2!$1:$1048576,7,FALSE)</f>
        <v>34884</v>
      </c>
      <c r="M9" t="str">
        <f>VLOOKUP(Hospitalisation_Details_2__3[[#This Row],[Customer ID]],Hospitalisation_Details_2__2!$1:$1048576,9,FALSE)</f>
        <v>$650</v>
      </c>
      <c r="N9" t="str">
        <f>VLOOKUP(Hospitalisation_Details_2__3[[#This Row],[Customer ID]],Hospitalisation_Details_2__2!$1:$1048576,10,FALSE)</f>
        <v>tier - 3</v>
      </c>
      <c r="O9" t="str">
        <f>VLOOKUP(Hospitalisation_Details_2__3[[#This Row],[Customer ID]],Hospitalisation_Details_2__2!$1:$1048576,11,FALSE)</f>
        <v>tier - 3</v>
      </c>
      <c r="P9" t="str">
        <f>VLOOKUP(Hospitalisation_Details_2__3[[#This Row],[Customer ID]],Hospitalisation_Details_2__2!$1:$1048576,12,FALSE)</f>
        <v>R1013</v>
      </c>
      <c r="Q9">
        <f>VLOOKUP(Hospitalisation_Details_2__3[[#This Row],[Customer ID]],Hospitalisation_Details_2__2!$1:$1048576,13,FALSE)</f>
        <v>31</v>
      </c>
    </row>
    <row r="10" spans="1:17" x14ac:dyDescent="0.25">
      <c r="A10" s="10" t="s">
        <v>25</v>
      </c>
      <c r="B10" t="str">
        <f>VLOOKUP(Customer_Names!A10,Customer_Names!$1:$1048576,4,FALSE)</f>
        <v>Patrick R.</v>
      </c>
      <c r="C10">
        <f>VLOOKUP(Medical_Examinations_2[[#This Row],[Customer ID]],Medical_Examinations!$1:$1048576,2,FALSE)</f>
        <v>41.14</v>
      </c>
      <c r="D10">
        <f>VLOOKUP(Medical_Examinations_2[[#This Row],[Customer ID]],Medical_Examinations!$1:$1048576,4,FALSE)</f>
        <v>9.58</v>
      </c>
      <c r="E10" t="str">
        <f>VLOOKUP(Medical_Examinations_2[[#This Row],[Customer ID]],Medical_Examinations!$1:$1048576,6,FALSE)</f>
        <v>Yes</v>
      </c>
      <c r="F10" t="str">
        <f>VLOOKUP(Medical_Examinations_2[[#This Row],[Customer ID]],Medical_Examinations!$1:$1048576,7,FALSE)</f>
        <v>No</v>
      </c>
      <c r="G10" t="str">
        <f>VLOOKUP(Medical_Examinations_2[[#This Row],[Customer ID]],Medical_Examinations!$1:$1048576,8,FALSE)</f>
        <v>Yes</v>
      </c>
      <c r="H10">
        <f>VLOOKUP(Medical_Examinations_2[[#This Row],[Customer ID]],Medical_Examinations!$1:$1048576,9,FALSE)</f>
        <v>1</v>
      </c>
      <c r="I10" t="str">
        <f>VLOOKUP(Medical_Examinations_2[[#This Row],[Customer ID]],Medical_Examinations!$1:$1048576,11,FALSE)</f>
        <v>Yes</v>
      </c>
      <c r="J10" t="str">
        <f>VLOOKUP(Medical_Examinations_2[[#This Row],[Customer ID]],Medical_Examinations!$1:$1048576,3,FALSE)</f>
        <v>Obesity</v>
      </c>
      <c r="K10" t="str">
        <f>VLOOKUP(Medical_Examinations_2[[#This Row],[Customer ID]],Medical_Examinations!$1:$1048576,5,FALSE)</f>
        <v>Diabetes</v>
      </c>
      <c r="L10" s="7">
        <f>VLOOKUP(Hospitalisation_Details_2__3[[#This Row],[Customer ID]],Hospitalisation_Details_2__2!$1:$1048576,7,FALSE)</f>
        <v>37589</v>
      </c>
      <c r="M10" t="str">
        <f>VLOOKUP(Hospitalisation_Details_2__3[[#This Row],[Customer ID]],Hospitalisation_Details_2__2!$1:$1048576,9,FALSE)</f>
        <v>$668</v>
      </c>
      <c r="N10" t="str">
        <f>VLOOKUP(Hospitalisation_Details_2__3[[#This Row],[Customer ID]],Hospitalisation_Details_2__2!$1:$1048576,10,FALSE)</f>
        <v>tier - 3</v>
      </c>
      <c r="O10" t="str">
        <f>VLOOKUP(Hospitalisation_Details_2__3[[#This Row],[Customer ID]],Hospitalisation_Details_2__2!$1:$1048576,11,FALSE)</f>
        <v>tier - 2</v>
      </c>
      <c r="P10" t="str">
        <f>VLOOKUP(Hospitalisation_Details_2__3[[#This Row],[Customer ID]],Hospitalisation_Details_2__2!$1:$1048576,12,FALSE)</f>
        <v>R1012</v>
      </c>
      <c r="Q10">
        <f>VLOOKUP(Hospitalisation_Details_2__3[[#This Row],[Customer ID]],Hospitalisation_Details_2__2!$1:$1048576,13,FALSE)</f>
        <v>24</v>
      </c>
    </row>
    <row r="11" spans="1:17" x14ac:dyDescent="0.25">
      <c r="A11" s="11" t="s">
        <v>26</v>
      </c>
      <c r="B11" t="str">
        <f>VLOOKUP(Customer_Names!A11,Customer_Names!$1:$1048576,4,FALSE)</f>
        <v>Brooke N.</v>
      </c>
      <c r="C11">
        <f>VLOOKUP(Medical_Examinations_2[[#This Row],[Customer ID]],Medical_Examinations!$1:$1048576,2,FALSE)</f>
        <v>38.06</v>
      </c>
      <c r="D11">
        <f>VLOOKUP(Medical_Examinations_2[[#This Row],[Customer ID]],Medical_Examinations!$1:$1048576,4,FALSE)</f>
        <v>10.79</v>
      </c>
      <c r="E11" t="str">
        <f>VLOOKUP(Medical_Examinations_2[[#This Row],[Customer ID]],Medical_Examinations!$1:$1048576,6,FALSE)</f>
        <v>No</v>
      </c>
      <c r="F11" t="str">
        <f>VLOOKUP(Medical_Examinations_2[[#This Row],[Customer ID]],Medical_Examinations!$1:$1048576,7,FALSE)</f>
        <v>No</v>
      </c>
      <c r="G11" t="str">
        <f>VLOOKUP(Medical_Examinations_2[[#This Row],[Customer ID]],Medical_Examinations!$1:$1048576,8,FALSE)</f>
        <v>No</v>
      </c>
      <c r="H11" t="str">
        <f>VLOOKUP(Medical_Examinations_2[[#This Row],[Customer ID]],Medical_Examinations!$1:$1048576,9,FALSE)</f>
        <v>No major surgery</v>
      </c>
      <c r="I11" t="str">
        <f>VLOOKUP(Medical_Examinations_2[[#This Row],[Customer ID]],Medical_Examinations!$1:$1048576,11,FALSE)</f>
        <v>Yes</v>
      </c>
      <c r="J11" t="str">
        <f>VLOOKUP(Medical_Examinations_2[[#This Row],[Customer ID]],Medical_Examinations!$1:$1048576,3,FALSE)</f>
        <v>Obesity</v>
      </c>
      <c r="K11" t="str">
        <f>VLOOKUP(Medical_Examinations_2[[#This Row],[Customer ID]],Medical_Examinations!$1:$1048576,5,FALSE)</f>
        <v>Diabetes</v>
      </c>
      <c r="L11" s="7">
        <f>VLOOKUP(Hospitalisation_Details_2__3[[#This Row],[Customer ID]],Hospitalisation_Details_2__2!$1:$1048576,7,FALSE)</f>
        <v>35743</v>
      </c>
      <c r="M11" t="str">
        <f>VLOOKUP(Hospitalisation_Details_2__3[[#This Row],[Customer ID]],Hospitalisation_Details_2__2!$1:$1048576,9,FALSE)</f>
        <v>$670</v>
      </c>
      <c r="N11" t="str">
        <f>VLOOKUP(Hospitalisation_Details_2__3[[#This Row],[Customer ID]],Hospitalisation_Details_2__2!$1:$1048576,10,FALSE)</f>
        <v>tier - 3</v>
      </c>
      <c r="O11" t="str">
        <f>VLOOKUP(Hospitalisation_Details_2__3[[#This Row],[Customer ID]],Hospitalisation_Details_2__2!$1:$1048576,11,FALSE)</f>
        <v>tier - 3</v>
      </c>
      <c r="P11" t="str">
        <f>VLOOKUP(Hospitalisation_Details_2__3[[#This Row],[Customer ID]],Hospitalisation_Details_2__2!$1:$1048576,12,FALSE)</f>
        <v>R1013</v>
      </c>
      <c r="Q11">
        <f>VLOOKUP(Hospitalisation_Details_2__3[[#This Row],[Customer ID]],Hospitalisation_Details_2__2!$1:$1048576,13,FALSE)</f>
        <v>29</v>
      </c>
    </row>
    <row r="12" spans="1:17" x14ac:dyDescent="0.25">
      <c r="A12" s="10" t="s">
        <v>27</v>
      </c>
      <c r="B12" t="str">
        <f>VLOOKUP(Customer_Names!A12,Customer_Names!$1:$1048576,4,FALSE)</f>
        <v>Ms.  Paola Andrea</v>
      </c>
      <c r="C12">
        <f>VLOOKUP(Medical_Examinations_2[[#This Row],[Customer ID]],Medical_Examinations!$1:$1048576,2,FALSE)</f>
        <v>37.700000000000003</v>
      </c>
      <c r="D12">
        <f>VLOOKUP(Medical_Examinations_2[[#This Row],[Customer ID]],Medical_Examinations!$1:$1048576,4,FALSE)</f>
        <v>5.96</v>
      </c>
      <c r="E12" t="str">
        <f>VLOOKUP(Medical_Examinations_2[[#This Row],[Customer ID]],Medical_Examinations!$1:$1048576,6,FALSE)</f>
        <v>Yes</v>
      </c>
      <c r="F12" t="str">
        <f>VLOOKUP(Medical_Examinations_2[[#This Row],[Customer ID]],Medical_Examinations!$1:$1048576,7,FALSE)</f>
        <v>No</v>
      </c>
      <c r="G12" t="str">
        <f>VLOOKUP(Medical_Examinations_2[[#This Row],[Customer ID]],Medical_Examinations!$1:$1048576,8,FALSE)</f>
        <v>No</v>
      </c>
      <c r="H12">
        <f>VLOOKUP(Medical_Examinations_2[[#This Row],[Customer ID]],Medical_Examinations!$1:$1048576,9,FALSE)</f>
        <v>2</v>
      </c>
      <c r="I12" t="str">
        <f>VLOOKUP(Medical_Examinations_2[[#This Row],[Customer ID]],Medical_Examinations!$1:$1048576,11,FALSE)</f>
        <v>Yes</v>
      </c>
      <c r="J12" t="str">
        <f>VLOOKUP(Medical_Examinations_2[[#This Row],[Customer ID]],Medical_Examinations!$1:$1048576,3,FALSE)</f>
        <v>Obesity</v>
      </c>
      <c r="K12" t="str">
        <f>VLOOKUP(Medical_Examinations_2[[#This Row],[Customer ID]],Medical_Examinations!$1:$1048576,5,FALSE)</f>
        <v>Prediabetes</v>
      </c>
      <c r="L12" s="7">
        <f>VLOOKUP(Hospitalisation_Details_2__3[[#This Row],[Customer ID]],Hospitalisation_Details_2__2!$1:$1048576,7,FALSE)</f>
        <v>37146</v>
      </c>
      <c r="M12" t="str">
        <f>VLOOKUP(Hospitalisation_Details_2__3[[#This Row],[Customer ID]],Hospitalisation_Details_2__2!$1:$1048576,9,FALSE)</f>
        <v>$687.54</v>
      </c>
      <c r="N12" t="str">
        <f>VLOOKUP(Hospitalisation_Details_2__3[[#This Row],[Customer ID]],Hospitalisation_Details_2__2!$1:$1048576,10,FALSE)</f>
        <v>tier - 3</v>
      </c>
      <c r="O12" t="str">
        <f>VLOOKUP(Hospitalisation_Details_2__3[[#This Row],[Customer ID]],Hospitalisation_Details_2__2!$1:$1048576,11,FALSE)</f>
        <v>tier - 2</v>
      </c>
      <c r="P12" t="str">
        <f>VLOOKUP(Hospitalisation_Details_2__3[[#This Row],[Customer ID]],Hospitalisation_Details_2__2!$1:$1048576,12,FALSE)</f>
        <v>R1013</v>
      </c>
      <c r="Q12">
        <f>VLOOKUP(Hospitalisation_Details_2__3[[#This Row],[Customer ID]],Hospitalisation_Details_2__2!$1:$1048576,13,FALSE)</f>
        <v>25</v>
      </c>
    </row>
    <row r="13" spans="1:17" x14ac:dyDescent="0.25">
      <c r="A13" s="11" t="s">
        <v>28</v>
      </c>
      <c r="B13" t="str">
        <f>VLOOKUP(Customer_Names!A13,Customer_Names!$1:$1048576,4,FALSE)</f>
        <v>David</v>
      </c>
      <c r="C13">
        <f>VLOOKUP(Medical_Examinations_2[[#This Row],[Customer ID]],Medical_Examinations!$1:$1048576,2,FALSE)</f>
        <v>42.13</v>
      </c>
      <c r="D13">
        <f>VLOOKUP(Medical_Examinations_2[[#This Row],[Customer ID]],Medical_Examinations!$1:$1048576,4,FALSE)</f>
        <v>11.9</v>
      </c>
      <c r="E13" t="str">
        <f>VLOOKUP(Medical_Examinations_2[[#This Row],[Customer ID]],Medical_Examinations!$1:$1048576,6,FALSE)</f>
        <v>No</v>
      </c>
      <c r="F13" t="str">
        <f>VLOOKUP(Medical_Examinations_2[[#This Row],[Customer ID]],Medical_Examinations!$1:$1048576,7,FALSE)</f>
        <v>No</v>
      </c>
      <c r="G13" t="str">
        <f>VLOOKUP(Medical_Examinations_2[[#This Row],[Customer ID]],Medical_Examinations!$1:$1048576,8,FALSE)</f>
        <v>No</v>
      </c>
      <c r="H13" t="str">
        <f>VLOOKUP(Medical_Examinations_2[[#This Row],[Customer ID]],Medical_Examinations!$1:$1048576,9,FALSE)</f>
        <v>No major surgery</v>
      </c>
      <c r="I13" t="str">
        <f>VLOOKUP(Medical_Examinations_2[[#This Row],[Customer ID]],Medical_Examinations!$1:$1048576,11,FALSE)</f>
        <v>Yes</v>
      </c>
      <c r="J13" t="str">
        <f>VLOOKUP(Medical_Examinations_2[[#This Row],[Customer ID]],Medical_Examinations!$1:$1048576,3,FALSE)</f>
        <v>Obesity</v>
      </c>
      <c r="K13" t="str">
        <f>VLOOKUP(Medical_Examinations_2[[#This Row],[Customer ID]],Medical_Examinations!$1:$1048576,5,FALSE)</f>
        <v>Diabetes</v>
      </c>
      <c r="L13" s="7">
        <f>VLOOKUP(Hospitalisation_Details_2__3[[#This Row],[Customer ID]],Hospitalisation_Details_2__2!$1:$1048576,7,FALSE)</f>
        <v>36520</v>
      </c>
      <c r="M13" t="str">
        <f>VLOOKUP(Hospitalisation_Details_2__3[[#This Row],[Customer ID]],Hospitalisation_Details_2__2!$1:$1048576,9,FALSE)</f>
        <v>$700</v>
      </c>
      <c r="N13" t="str">
        <f>VLOOKUP(Hospitalisation_Details_2__3[[#This Row],[Customer ID]],Hospitalisation_Details_2__2!$1:$1048576,10,FALSE)</f>
        <v>tier-2</v>
      </c>
      <c r="O13" t="str">
        <f>VLOOKUP(Hospitalisation_Details_2__3[[#This Row],[Customer ID]],Hospitalisation_Details_2__2!$1:$1048576,11,FALSE)</f>
        <v>tier - 3</v>
      </c>
      <c r="P13" t="str">
        <f>VLOOKUP(Hospitalisation_Details_2__3[[#This Row],[Customer ID]],Hospitalisation_Details_2__2!$1:$1048576,12,FALSE)</f>
        <v>R1013</v>
      </c>
      <c r="Q13">
        <f>VLOOKUP(Hospitalisation_Details_2__3[[#This Row],[Customer ID]],Hospitalisation_Details_2__2!$1:$1048576,13,FALSE)</f>
        <v>27</v>
      </c>
    </row>
    <row r="14" spans="1:17" x14ac:dyDescent="0.25">
      <c r="A14" s="10" t="s">
        <v>31</v>
      </c>
      <c r="B14" t="str">
        <f>VLOOKUP(Customer_Names!A14,Customer_Names!$1:$1048576,4,FALSE)</f>
        <v>Wade</v>
      </c>
      <c r="C14">
        <f>VLOOKUP(Medical_Examinations_2[[#This Row],[Customer ID]],Medical_Examinations!$1:$1048576,2,FALSE)</f>
        <v>40.92</v>
      </c>
      <c r="D14">
        <f>VLOOKUP(Medical_Examinations_2[[#This Row],[Customer ID]],Medical_Examinations!$1:$1048576,4,FALSE)</f>
        <v>8.41</v>
      </c>
      <c r="E14" t="str">
        <f>VLOOKUP(Medical_Examinations_2[[#This Row],[Customer ID]],Medical_Examinations!$1:$1048576,6,FALSE)</f>
        <v>No</v>
      </c>
      <c r="F14" t="str">
        <f>VLOOKUP(Medical_Examinations_2[[#This Row],[Customer ID]],Medical_Examinations!$1:$1048576,7,FALSE)</f>
        <v>No</v>
      </c>
      <c r="G14" t="str">
        <f>VLOOKUP(Medical_Examinations_2[[#This Row],[Customer ID]],Medical_Examinations!$1:$1048576,8,FALSE)</f>
        <v>No</v>
      </c>
      <c r="H14" t="str">
        <f>VLOOKUP(Medical_Examinations_2[[#This Row],[Customer ID]],Medical_Examinations!$1:$1048576,9,FALSE)</f>
        <v>No major surgery</v>
      </c>
      <c r="I14" t="str">
        <f>VLOOKUP(Medical_Examinations_2[[#This Row],[Customer ID]],Medical_Examinations!$1:$1048576,11,FALSE)</f>
        <v>Yes</v>
      </c>
      <c r="J14" t="str">
        <f>VLOOKUP(Medical_Examinations_2[[#This Row],[Customer ID]],Medical_Examinations!$1:$1048576,3,FALSE)</f>
        <v>Obesity</v>
      </c>
      <c r="K14" t="str">
        <f>VLOOKUP(Medical_Examinations_2[[#This Row],[Customer ID]],Medical_Examinations!$1:$1048576,5,FALSE)</f>
        <v>Diabetes</v>
      </c>
      <c r="L14" s="7">
        <f>VLOOKUP(Hospitalisation_Details_2__3[[#This Row],[Customer ID]],Hospitalisation_Details_2__2!$1:$1048576,7,FALSE)</f>
        <v>36508</v>
      </c>
      <c r="M14" t="str">
        <f>VLOOKUP(Hospitalisation_Details_2__3[[#This Row],[Customer ID]],Hospitalisation_Details_2__2!$1:$1048576,9,FALSE)</f>
        <v>$722.99</v>
      </c>
      <c r="N14" t="str">
        <f>VLOOKUP(Hospitalisation_Details_2__3[[#This Row],[Customer ID]],Hospitalisation_Details_2__2!$1:$1048576,10,FALSE)</f>
        <v>tier - 3</v>
      </c>
      <c r="O14" t="str">
        <f>VLOOKUP(Hospitalisation_Details_2__3[[#This Row],[Customer ID]],Hospitalisation_Details_2__2!$1:$1048576,11,FALSE)</f>
        <v>tier - 1</v>
      </c>
      <c r="P14" t="str">
        <f>VLOOKUP(Hospitalisation_Details_2__3[[#This Row],[Customer ID]],Hospitalisation_Details_2__2!$1:$1048576,12,FALSE)</f>
        <v>R1013</v>
      </c>
      <c r="Q14">
        <f>VLOOKUP(Hospitalisation_Details_2__3[[#This Row],[Customer ID]],Hospitalisation_Details_2__2!$1:$1048576,13,FALSE)</f>
        <v>27</v>
      </c>
    </row>
    <row r="15" spans="1:17" x14ac:dyDescent="0.25">
      <c r="A15" s="11" t="s">
        <v>32</v>
      </c>
      <c r="B15" t="str">
        <f>VLOOKUP(Customer_Names!A15,Customer_Names!$1:$1048576,4,FALSE)</f>
        <v>Franklin</v>
      </c>
      <c r="C15">
        <f>VLOOKUP(Medical_Examinations_2[[#This Row],[Customer ID]],Medical_Examinations!$1:$1048576,2,FALSE)</f>
        <v>40.564999999999998</v>
      </c>
      <c r="D15">
        <f>VLOOKUP(Medical_Examinations_2[[#This Row],[Customer ID]],Medical_Examinations!$1:$1048576,4,FALSE)</f>
        <v>7.02</v>
      </c>
      <c r="E15" t="str">
        <f>VLOOKUP(Medical_Examinations_2[[#This Row],[Customer ID]],Medical_Examinations!$1:$1048576,6,FALSE)</f>
        <v>No</v>
      </c>
      <c r="F15" t="str">
        <f>VLOOKUP(Medical_Examinations_2[[#This Row],[Customer ID]],Medical_Examinations!$1:$1048576,7,FALSE)</f>
        <v>No</v>
      </c>
      <c r="G15" t="str">
        <f>VLOOKUP(Medical_Examinations_2[[#This Row],[Customer ID]],Medical_Examinations!$1:$1048576,8,FALSE)</f>
        <v>No</v>
      </c>
      <c r="H15" t="str">
        <f>VLOOKUP(Medical_Examinations_2[[#This Row],[Customer ID]],Medical_Examinations!$1:$1048576,9,FALSE)</f>
        <v>No major surgery</v>
      </c>
      <c r="I15" t="str">
        <f>VLOOKUP(Medical_Examinations_2[[#This Row],[Customer ID]],Medical_Examinations!$1:$1048576,11,FALSE)</f>
        <v>Yes</v>
      </c>
      <c r="J15" t="str">
        <f>VLOOKUP(Medical_Examinations_2[[#This Row],[Customer ID]],Medical_Examinations!$1:$1048576,3,FALSE)</f>
        <v>Obesity</v>
      </c>
      <c r="K15" t="str">
        <f>VLOOKUP(Medical_Examinations_2[[#This Row],[Customer ID]],Medical_Examinations!$1:$1048576,5,FALSE)</f>
        <v>Diabetes</v>
      </c>
      <c r="L15" s="7">
        <f>VLOOKUP(Hospitalisation_Details_2__3[[#This Row],[Customer ID]],Hospitalisation_Details_2__2!$1:$1048576,7,FALSE)</f>
        <v>37518</v>
      </c>
      <c r="M15" t="str">
        <f>VLOOKUP(Hospitalisation_Details_2__3[[#This Row],[Customer ID]],Hospitalisation_Details_2__2!$1:$1048576,9,FALSE)</f>
        <v>$750</v>
      </c>
      <c r="N15" t="str">
        <f>VLOOKUP(Hospitalisation_Details_2__3[[#This Row],[Customer ID]],Hospitalisation_Details_2__2!$1:$1048576,10,FALSE)</f>
        <v>tier - 3</v>
      </c>
      <c r="O15" t="str">
        <f>VLOOKUP(Hospitalisation_Details_2__3[[#This Row],[Customer ID]],Hospitalisation_Details_2__2!$1:$1048576,11,FALSE)</f>
        <v>tier - 1</v>
      </c>
      <c r="P15" t="str">
        <f>VLOOKUP(Hospitalisation_Details_2__3[[#This Row],[Customer ID]],Hospitalisation_Details_2__2!$1:$1048576,12,FALSE)</f>
        <v>R1012</v>
      </c>
      <c r="Q15">
        <f>VLOOKUP(Hospitalisation_Details_2__3[[#This Row],[Customer ID]],Hospitalisation_Details_2__2!$1:$1048576,13,FALSE)</f>
        <v>24</v>
      </c>
    </row>
    <row r="16" spans="1:17" x14ac:dyDescent="0.25">
      <c r="A16" s="10" t="s">
        <v>33</v>
      </c>
      <c r="B16" t="str">
        <f>VLOOKUP(Customer_Names!A16,Customer_Names!$1:$1048576,4,FALSE)</f>
        <v>Leilani M.</v>
      </c>
      <c r="C16">
        <f>VLOOKUP(Medical_Examinations_2[[#This Row],[Customer ID]],Medical_Examinations!$1:$1048576,2,FALSE)</f>
        <v>36.384999999999998</v>
      </c>
      <c r="D16">
        <f>VLOOKUP(Medical_Examinations_2[[#This Row],[Customer ID]],Medical_Examinations!$1:$1048576,4,FALSE)</f>
        <v>7.59</v>
      </c>
      <c r="E16" t="str">
        <f>VLOOKUP(Medical_Examinations_2[[#This Row],[Customer ID]],Medical_Examinations!$1:$1048576,6,FALSE)</f>
        <v>Yes</v>
      </c>
      <c r="F16" t="str">
        <f>VLOOKUP(Medical_Examinations_2[[#This Row],[Customer ID]],Medical_Examinations!$1:$1048576,7,FALSE)</f>
        <v>No</v>
      </c>
      <c r="G16" t="str">
        <f>VLOOKUP(Medical_Examinations_2[[#This Row],[Customer ID]],Medical_Examinations!$1:$1048576,8,FALSE)</f>
        <v>No</v>
      </c>
      <c r="H16">
        <f>VLOOKUP(Medical_Examinations_2[[#This Row],[Customer ID]],Medical_Examinations!$1:$1048576,9,FALSE)</f>
        <v>2</v>
      </c>
      <c r="I16" t="str">
        <f>VLOOKUP(Medical_Examinations_2[[#This Row],[Customer ID]],Medical_Examinations!$1:$1048576,11,FALSE)</f>
        <v>Yes</v>
      </c>
      <c r="J16" t="str">
        <f>VLOOKUP(Medical_Examinations_2[[#This Row],[Customer ID]],Medical_Examinations!$1:$1048576,3,FALSE)</f>
        <v>Obesity</v>
      </c>
      <c r="K16" t="str">
        <f>VLOOKUP(Medical_Examinations_2[[#This Row],[Customer ID]],Medical_Examinations!$1:$1048576,5,FALSE)</f>
        <v>Diabetes</v>
      </c>
      <c r="L16" s="7">
        <f>VLOOKUP(Hospitalisation_Details_2__3[[#This Row],[Customer ID]],Hospitalisation_Details_2__2!$1:$1048576,7,FALSE)</f>
        <v>34190</v>
      </c>
      <c r="M16" t="str">
        <f>VLOOKUP(Hospitalisation_Details_2__3[[#This Row],[Customer ID]],Hospitalisation_Details_2__2!$1:$1048576,9,FALSE)</f>
        <v>$760</v>
      </c>
      <c r="N16" t="str">
        <f>VLOOKUP(Hospitalisation_Details_2__3[[#This Row],[Customer ID]],Hospitalisation_Details_2__2!$1:$1048576,10,FALSE)</f>
        <v>tier - 3</v>
      </c>
      <c r="O16" t="str">
        <f>VLOOKUP(Hospitalisation_Details_2__3[[#This Row],[Customer ID]],Hospitalisation_Details_2__2!$1:$1048576,11,FALSE)</f>
        <v>tier - 1</v>
      </c>
      <c r="P16" t="str">
        <f>VLOOKUP(Hospitalisation_Details_2__3[[#This Row],[Customer ID]],Hospitalisation_Details_2__2!$1:$1048576,12,FALSE)</f>
        <v>R1013</v>
      </c>
      <c r="Q16">
        <f>VLOOKUP(Hospitalisation_Details_2__3[[#This Row],[Customer ID]],Hospitalisation_Details_2__2!$1:$1048576,13,FALSE)</f>
        <v>33</v>
      </c>
    </row>
    <row r="17" spans="1:17" x14ac:dyDescent="0.25">
      <c r="A17" s="11" t="s">
        <v>35</v>
      </c>
      <c r="B17" t="str">
        <f>VLOOKUP(Customer_Names!A17,Customer_Names!$1:$1048576,4,FALSE)</f>
        <v>Mr.  Philippe</v>
      </c>
      <c r="C17">
        <f>VLOOKUP(Medical_Examinations_2[[#This Row],[Customer ID]],Medical_Examinations!$1:$1048576,2,FALSE)</f>
        <v>39.9</v>
      </c>
      <c r="D17">
        <f>VLOOKUP(Medical_Examinations_2[[#This Row],[Customer ID]],Medical_Examinations!$1:$1048576,4,FALSE)</f>
        <v>11.32</v>
      </c>
      <c r="E17" t="str">
        <f>VLOOKUP(Medical_Examinations_2[[#This Row],[Customer ID]],Medical_Examinations!$1:$1048576,6,FALSE)</f>
        <v>No</v>
      </c>
      <c r="F17" t="str">
        <f>VLOOKUP(Medical_Examinations_2[[#This Row],[Customer ID]],Medical_Examinations!$1:$1048576,7,FALSE)</f>
        <v>No</v>
      </c>
      <c r="G17" t="str">
        <f>VLOOKUP(Medical_Examinations_2[[#This Row],[Customer ID]],Medical_Examinations!$1:$1048576,8,FALSE)</f>
        <v>No</v>
      </c>
      <c r="H17" t="str">
        <f>VLOOKUP(Medical_Examinations_2[[#This Row],[Customer ID]],Medical_Examinations!$1:$1048576,9,FALSE)</f>
        <v>No major surgery</v>
      </c>
      <c r="I17" t="str">
        <f>VLOOKUP(Medical_Examinations_2[[#This Row],[Customer ID]],Medical_Examinations!$1:$1048576,11,FALSE)</f>
        <v>Yes</v>
      </c>
      <c r="J17" t="str">
        <f>VLOOKUP(Medical_Examinations_2[[#This Row],[Customer ID]],Medical_Examinations!$1:$1048576,3,FALSE)</f>
        <v>Obesity</v>
      </c>
      <c r="K17" t="str">
        <f>VLOOKUP(Medical_Examinations_2[[#This Row],[Customer ID]],Medical_Examinations!$1:$1048576,5,FALSE)</f>
        <v>Diabetes</v>
      </c>
      <c r="L17" s="7">
        <f>VLOOKUP(Hospitalisation_Details_2__3[[#This Row],[Customer ID]],Hospitalisation_Details_2__2!$1:$1048576,7,FALSE)</f>
        <v>35360</v>
      </c>
      <c r="M17" t="str">
        <f>VLOOKUP(Hospitalisation_Details_2__3[[#This Row],[Customer ID]],Hospitalisation_Details_2__2!$1:$1048576,9,FALSE)</f>
        <v>$760</v>
      </c>
      <c r="N17" t="str">
        <f>VLOOKUP(Hospitalisation_Details_2__3[[#This Row],[Customer ID]],Hospitalisation_Details_2__2!$1:$1048576,10,FALSE)</f>
        <v>tier - 3</v>
      </c>
      <c r="O17" t="str">
        <f>VLOOKUP(Hospitalisation_Details_2__3[[#This Row],[Customer ID]],Hospitalisation_Details_2__2!$1:$1048576,11,FALSE)</f>
        <v>tier - 3</v>
      </c>
      <c r="P17" t="str">
        <f>VLOOKUP(Hospitalisation_Details_2__3[[#This Row],[Customer ID]],Hospitalisation_Details_2__2!$1:$1048576,12,FALSE)</f>
        <v>R1013</v>
      </c>
      <c r="Q17">
        <f>VLOOKUP(Hospitalisation_Details_2__3[[#This Row],[Customer ID]],Hospitalisation_Details_2__2!$1:$1048576,13,FALSE)</f>
        <v>30</v>
      </c>
    </row>
    <row r="18" spans="1:17" x14ac:dyDescent="0.25">
      <c r="A18" s="10" t="s">
        <v>37</v>
      </c>
      <c r="B18" t="str">
        <f>VLOOKUP(Customer_Names!A18,Customer_Names!$1:$1048576,4,FALSE)</f>
        <v>Jennifer A.</v>
      </c>
      <c r="C18">
        <f>VLOOKUP(Medical_Examinations_2[[#This Row],[Customer ID]],Medical_Examinations!$1:$1048576,2,FALSE)</f>
        <v>33.799999999999997</v>
      </c>
      <c r="D18">
        <f>VLOOKUP(Medical_Examinations_2[[#This Row],[Customer ID]],Medical_Examinations!$1:$1048576,4,FALSE)</f>
        <v>7.67</v>
      </c>
      <c r="E18" t="str">
        <f>VLOOKUP(Medical_Examinations_2[[#This Row],[Customer ID]],Medical_Examinations!$1:$1048576,6,FALSE)</f>
        <v>No</v>
      </c>
      <c r="F18" t="str">
        <f>VLOOKUP(Medical_Examinations_2[[#This Row],[Customer ID]],Medical_Examinations!$1:$1048576,7,FALSE)</f>
        <v>No</v>
      </c>
      <c r="G18" t="str">
        <f>VLOOKUP(Medical_Examinations_2[[#This Row],[Customer ID]],Medical_Examinations!$1:$1048576,8,FALSE)</f>
        <v>No</v>
      </c>
      <c r="H18">
        <f>VLOOKUP(Medical_Examinations_2[[#This Row],[Customer ID]],Medical_Examinations!$1:$1048576,9,FALSE)</f>
        <v>3</v>
      </c>
      <c r="I18" t="str">
        <f>VLOOKUP(Medical_Examinations_2[[#This Row],[Customer ID]],Medical_Examinations!$1:$1048576,11,FALSE)</f>
        <v>Yes</v>
      </c>
      <c r="J18" t="str">
        <f>VLOOKUP(Medical_Examinations_2[[#This Row],[Customer ID]],Medical_Examinations!$1:$1048576,3,FALSE)</f>
        <v>Obesity</v>
      </c>
      <c r="K18" t="str">
        <f>VLOOKUP(Medical_Examinations_2[[#This Row],[Customer ID]],Medical_Examinations!$1:$1048576,5,FALSE)</f>
        <v>Diabetes</v>
      </c>
      <c r="L18" s="7">
        <f>VLOOKUP(Hospitalisation_Details_2__3[[#This Row],[Customer ID]],Hospitalisation_Details_2__2!$1:$1048576,7,FALSE)</f>
        <v>34148</v>
      </c>
      <c r="M18" t="str">
        <f>VLOOKUP(Hospitalisation_Details_2__3[[#This Row],[Customer ID]],Hospitalisation_Details_2__2!$1:$1048576,9,FALSE)</f>
        <v>$770</v>
      </c>
      <c r="N18" t="str">
        <f>VLOOKUP(Hospitalisation_Details_2__3[[#This Row],[Customer ID]],Hospitalisation_Details_2__2!$1:$1048576,10,FALSE)</f>
        <v>tier - 3</v>
      </c>
      <c r="O18" t="str">
        <f>VLOOKUP(Hospitalisation_Details_2__3[[#This Row],[Customer ID]],Hospitalisation_Details_2__2!$1:$1048576,11,FALSE)</f>
        <v>tier - 3</v>
      </c>
      <c r="P18" t="str">
        <f>VLOOKUP(Hospitalisation_Details_2__3[[#This Row],[Customer ID]],Hospitalisation_Details_2__2!$1:$1048576,12,FALSE)</f>
        <v>R1013</v>
      </c>
      <c r="Q18">
        <f>VLOOKUP(Hospitalisation_Details_2__3[[#This Row],[Customer ID]],Hospitalisation_Details_2__2!$1:$1048576,13,FALSE)</f>
        <v>33</v>
      </c>
    </row>
    <row r="19" spans="1:17" x14ac:dyDescent="0.25">
      <c r="A19" s="11" t="s">
        <v>38</v>
      </c>
      <c r="B19" t="str">
        <f>VLOOKUP(Customer_Names!A19,Customer_Names!$1:$1048576,4,FALSE)</f>
        <v>Christina M.</v>
      </c>
      <c r="C19">
        <f>VLOOKUP(Medical_Examinations_2[[#This Row],[Customer ID]],Medical_Examinations!$1:$1048576,2,FALSE)</f>
        <v>36.765000000000001</v>
      </c>
      <c r="D19">
        <f>VLOOKUP(Medical_Examinations_2[[#This Row],[Customer ID]],Medical_Examinations!$1:$1048576,4,FALSE)</f>
        <v>7.29</v>
      </c>
      <c r="E19" t="str">
        <f>VLOOKUP(Medical_Examinations_2[[#This Row],[Customer ID]],Medical_Examinations!$1:$1048576,6,FALSE)</f>
        <v>Yes</v>
      </c>
      <c r="F19" t="str">
        <f>VLOOKUP(Medical_Examinations_2[[#This Row],[Customer ID]],Medical_Examinations!$1:$1048576,7,FALSE)</f>
        <v>No</v>
      </c>
      <c r="G19" t="str">
        <f>VLOOKUP(Medical_Examinations_2[[#This Row],[Customer ID]],Medical_Examinations!$1:$1048576,8,FALSE)</f>
        <v>Yes</v>
      </c>
      <c r="H19">
        <f>VLOOKUP(Medical_Examinations_2[[#This Row],[Customer ID]],Medical_Examinations!$1:$1048576,9,FALSE)</f>
        <v>1</v>
      </c>
      <c r="I19" t="str">
        <f>VLOOKUP(Medical_Examinations_2[[#This Row],[Customer ID]],Medical_Examinations!$1:$1048576,11,FALSE)</f>
        <v>Yes</v>
      </c>
      <c r="J19" t="str">
        <f>VLOOKUP(Medical_Examinations_2[[#This Row],[Customer ID]],Medical_Examinations!$1:$1048576,3,FALSE)</f>
        <v>Obesity</v>
      </c>
      <c r="K19" t="str">
        <f>VLOOKUP(Medical_Examinations_2[[#This Row],[Customer ID]],Medical_Examinations!$1:$1048576,5,FALSE)</f>
        <v>Diabetes</v>
      </c>
      <c r="L19" s="7">
        <f>VLOOKUP(Hospitalisation_Details_2__3[[#This Row],[Customer ID]],Hospitalisation_Details_2__2!$1:$1048576,7,FALSE)</f>
        <v>35326</v>
      </c>
      <c r="M19" t="str">
        <f>VLOOKUP(Hospitalisation_Details_2__3[[#This Row],[Customer ID]],Hospitalisation_Details_2__2!$1:$1048576,9,FALSE)</f>
        <v>$770.38</v>
      </c>
      <c r="N19" t="str">
        <f>VLOOKUP(Hospitalisation_Details_2__3[[#This Row],[Customer ID]],Hospitalisation_Details_2__2!$1:$1048576,10,FALSE)</f>
        <v>tier - 3</v>
      </c>
      <c r="O19" t="str">
        <f>VLOOKUP(Hospitalisation_Details_2__3[[#This Row],[Customer ID]],Hospitalisation_Details_2__2!$1:$1048576,11,FALSE)</f>
        <v>tier-2</v>
      </c>
      <c r="P19" t="str">
        <f>VLOOKUP(Hospitalisation_Details_2__3[[#This Row],[Customer ID]],Hospitalisation_Details_2__2!$1:$1048576,12,FALSE)</f>
        <v>R1012</v>
      </c>
      <c r="Q19">
        <f>VLOOKUP(Hospitalisation_Details_2__3[[#This Row],[Customer ID]],Hospitalisation_Details_2__2!$1:$1048576,13,FALSE)</f>
        <v>30</v>
      </c>
    </row>
    <row r="20" spans="1:17" x14ac:dyDescent="0.25">
      <c r="A20" s="10" t="s">
        <v>39</v>
      </c>
      <c r="B20" t="str">
        <f>VLOOKUP(Customer_Names!A20,Customer_Names!$1:$1048576,4,FALSE)</f>
        <v>Said Sr.</v>
      </c>
      <c r="C20">
        <f>VLOOKUP(Medical_Examinations_2[[#This Row],[Customer ID]],Medical_Examinations!$1:$1048576,2,FALSE)</f>
        <v>36.954999999999998</v>
      </c>
      <c r="D20">
        <f>VLOOKUP(Medical_Examinations_2[[#This Row],[Customer ID]],Medical_Examinations!$1:$1048576,4,FALSE)</f>
        <v>4.72</v>
      </c>
      <c r="E20" t="str">
        <f>VLOOKUP(Medical_Examinations_2[[#This Row],[Customer ID]],Medical_Examinations!$1:$1048576,6,FALSE)</f>
        <v>Yes</v>
      </c>
      <c r="F20" t="str">
        <f>VLOOKUP(Medical_Examinations_2[[#This Row],[Customer ID]],Medical_Examinations!$1:$1048576,7,FALSE)</f>
        <v>No</v>
      </c>
      <c r="G20" t="str">
        <f>VLOOKUP(Medical_Examinations_2[[#This Row],[Customer ID]],Medical_Examinations!$1:$1048576,8,FALSE)</f>
        <v>No</v>
      </c>
      <c r="H20">
        <f>VLOOKUP(Medical_Examinations_2[[#This Row],[Customer ID]],Medical_Examinations!$1:$1048576,9,FALSE)</f>
        <v>1</v>
      </c>
      <c r="I20" t="str">
        <f>VLOOKUP(Medical_Examinations_2[[#This Row],[Customer ID]],Medical_Examinations!$1:$1048576,11,FALSE)</f>
        <v>Yes</v>
      </c>
      <c r="J20" t="str">
        <f>VLOOKUP(Medical_Examinations_2[[#This Row],[Customer ID]],Medical_Examinations!$1:$1048576,3,FALSE)</f>
        <v>Obesity</v>
      </c>
      <c r="K20" t="str">
        <f>VLOOKUP(Medical_Examinations_2[[#This Row],[Customer ID]],Medical_Examinations!$1:$1048576,5,FALSE)</f>
        <v>Normal</v>
      </c>
      <c r="L20" s="7">
        <f>VLOOKUP(Hospitalisation_Details_2__3[[#This Row],[Customer ID]],Hospitalisation_Details_2__2!$1:$1048576,7,FALSE)</f>
        <v>35040</v>
      </c>
      <c r="M20" t="str">
        <f>VLOOKUP(Hospitalisation_Details_2__3[[#This Row],[Customer ID]],Hospitalisation_Details_2__2!$1:$1048576,9,FALSE)</f>
        <v>$773.54</v>
      </c>
      <c r="N20" t="str">
        <f>VLOOKUP(Hospitalisation_Details_2__3[[#This Row],[Customer ID]],Hospitalisation_Details_2__2!$1:$1048576,10,FALSE)</f>
        <v>tier - 3</v>
      </c>
      <c r="O20" t="str">
        <f>VLOOKUP(Hospitalisation_Details_2__3[[#This Row],[Customer ID]],Hospitalisation_Details_2__2!$1:$1048576,11,FALSE)</f>
        <v>tier - 2</v>
      </c>
      <c r="P20" t="str">
        <f>VLOOKUP(Hospitalisation_Details_2__3[[#This Row],[Customer ID]],Hospitalisation_Details_2__2!$1:$1048576,12,FALSE)</f>
        <v>R1013</v>
      </c>
      <c r="Q20">
        <f>VLOOKUP(Hospitalisation_Details_2__3[[#This Row],[Customer ID]],Hospitalisation_Details_2__2!$1:$1048576,13,FALSE)</f>
        <v>31</v>
      </c>
    </row>
    <row r="21" spans="1:17" x14ac:dyDescent="0.25">
      <c r="A21" s="11" t="s">
        <v>40</v>
      </c>
      <c r="B21" t="str">
        <f>VLOOKUP(Customer_Names!A21,Customer_Names!$1:$1048576,4,FALSE)</f>
        <v>John</v>
      </c>
      <c r="C21">
        <f>VLOOKUP(Medical_Examinations_2[[#This Row],[Customer ID]],Medical_Examinations!$1:$1048576,2,FALSE)</f>
        <v>42.9</v>
      </c>
      <c r="D21">
        <f>VLOOKUP(Medical_Examinations_2[[#This Row],[Customer ID]],Medical_Examinations!$1:$1048576,4,FALSE)</f>
        <v>11.41</v>
      </c>
      <c r="E21" t="str">
        <f>VLOOKUP(Medical_Examinations_2[[#This Row],[Customer ID]],Medical_Examinations!$1:$1048576,6,FALSE)</f>
        <v>No</v>
      </c>
      <c r="F21" t="str">
        <f>VLOOKUP(Medical_Examinations_2[[#This Row],[Customer ID]],Medical_Examinations!$1:$1048576,7,FALSE)</f>
        <v>No</v>
      </c>
      <c r="G21" t="str">
        <f>VLOOKUP(Medical_Examinations_2[[#This Row],[Customer ID]],Medical_Examinations!$1:$1048576,8,FALSE)</f>
        <v>No</v>
      </c>
      <c r="H21" t="str">
        <f>VLOOKUP(Medical_Examinations_2[[#This Row],[Customer ID]],Medical_Examinations!$1:$1048576,9,FALSE)</f>
        <v>No major surgery</v>
      </c>
      <c r="I21" t="str">
        <f>VLOOKUP(Medical_Examinations_2[[#This Row],[Customer ID]],Medical_Examinations!$1:$1048576,11,FALSE)</f>
        <v>Yes</v>
      </c>
      <c r="J21" t="str">
        <f>VLOOKUP(Medical_Examinations_2[[#This Row],[Customer ID]],Medical_Examinations!$1:$1048576,3,FALSE)</f>
        <v>Obesity</v>
      </c>
      <c r="K21" t="str">
        <f>VLOOKUP(Medical_Examinations_2[[#This Row],[Customer ID]],Medical_Examinations!$1:$1048576,5,FALSE)</f>
        <v>Diabetes</v>
      </c>
      <c r="L21" s="7">
        <f>VLOOKUP(Hospitalisation_Details_2__3[[#This Row],[Customer ID]],Hospitalisation_Details_2__2!$1:$1048576,7,FALSE)</f>
        <v>38267</v>
      </c>
      <c r="M21" t="str">
        <f>VLOOKUP(Hospitalisation_Details_2__3[[#This Row],[Customer ID]],Hospitalisation_Details_2__2!$1:$1048576,9,FALSE)</f>
        <v>$830.52</v>
      </c>
      <c r="N21" t="str">
        <f>VLOOKUP(Hospitalisation_Details_2__3[[#This Row],[Customer ID]],Hospitalisation_Details_2__2!$1:$1048576,10,FALSE)</f>
        <v>tier - 3</v>
      </c>
      <c r="O21" t="str">
        <f>VLOOKUP(Hospitalisation_Details_2__3[[#This Row],[Customer ID]],Hospitalisation_Details_2__2!$1:$1048576,11,FALSE)</f>
        <v>tier - 2</v>
      </c>
      <c r="P21" t="str">
        <f>VLOOKUP(Hospitalisation_Details_2__3[[#This Row],[Customer ID]],Hospitalisation_Details_2__2!$1:$1048576,12,FALSE)</f>
        <v>R1011</v>
      </c>
      <c r="Q21">
        <f>VLOOKUP(Hospitalisation_Details_2__3[[#This Row],[Customer ID]],Hospitalisation_Details_2__2!$1:$1048576,13,FALSE)</f>
        <v>22</v>
      </c>
    </row>
    <row r="22" spans="1:17" x14ac:dyDescent="0.25">
      <c r="A22" s="10" t="s">
        <v>42</v>
      </c>
      <c r="B22" t="str">
        <f>VLOOKUP(Customer_Names!A22,Customer_Names!$1:$1048576,4,FALSE)</f>
        <v>Myles</v>
      </c>
      <c r="C22">
        <f>VLOOKUP(Medical_Examinations_2[[#This Row],[Customer ID]],Medical_Examinations!$1:$1048576,2,FALSE)</f>
        <v>36.299999999999997</v>
      </c>
      <c r="D22">
        <f>VLOOKUP(Medical_Examinations_2[[#This Row],[Customer ID]],Medical_Examinations!$1:$1048576,4,FALSE)</f>
        <v>11.5</v>
      </c>
      <c r="E22" t="str">
        <f>VLOOKUP(Medical_Examinations_2[[#This Row],[Customer ID]],Medical_Examinations!$1:$1048576,6,FALSE)</f>
        <v>Yes</v>
      </c>
      <c r="F22" t="str">
        <f>VLOOKUP(Medical_Examinations_2[[#This Row],[Customer ID]],Medical_Examinations!$1:$1048576,7,FALSE)</f>
        <v>No</v>
      </c>
      <c r="G22" t="str">
        <f>VLOOKUP(Medical_Examinations_2[[#This Row],[Customer ID]],Medical_Examinations!$1:$1048576,8,FALSE)</f>
        <v>No</v>
      </c>
      <c r="H22">
        <f>VLOOKUP(Medical_Examinations_2[[#This Row],[Customer ID]],Medical_Examinations!$1:$1048576,9,FALSE)</f>
        <v>2</v>
      </c>
      <c r="I22" t="str">
        <f>VLOOKUP(Medical_Examinations_2[[#This Row],[Customer ID]],Medical_Examinations!$1:$1048576,11,FALSE)</f>
        <v>Yes</v>
      </c>
      <c r="J22" t="str">
        <f>VLOOKUP(Medical_Examinations_2[[#This Row],[Customer ID]],Medical_Examinations!$1:$1048576,3,FALSE)</f>
        <v>Obesity</v>
      </c>
      <c r="K22" t="str">
        <f>VLOOKUP(Medical_Examinations_2[[#This Row],[Customer ID]],Medical_Examinations!$1:$1048576,5,FALSE)</f>
        <v>Diabetes</v>
      </c>
      <c r="L22" s="7">
        <f>VLOOKUP(Hospitalisation_Details_2__3[[#This Row],[Customer ID]],Hospitalisation_Details_2__2!$1:$1048576,7,FALSE)</f>
        <v>36848</v>
      </c>
      <c r="M22" t="str">
        <f>VLOOKUP(Hospitalisation_Details_2__3[[#This Row],[Customer ID]],Hospitalisation_Details_2__2!$1:$1048576,9,FALSE)</f>
        <v>$865.41</v>
      </c>
      <c r="N22" t="str">
        <f>VLOOKUP(Hospitalisation_Details_2__3[[#This Row],[Customer ID]],Hospitalisation_Details_2__2!$1:$1048576,10,FALSE)</f>
        <v>tier - 3</v>
      </c>
      <c r="O22" t="str">
        <f>VLOOKUP(Hospitalisation_Details_2__3[[#This Row],[Customer ID]],Hospitalisation_Details_2__2!$1:$1048576,11,FALSE)</f>
        <v>tier - 1</v>
      </c>
      <c r="P22" t="str">
        <f>VLOOKUP(Hospitalisation_Details_2__3[[#This Row],[Customer ID]],Hospitalisation_Details_2__2!$1:$1048576,12,FALSE)</f>
        <v>R1013</v>
      </c>
      <c r="Q22">
        <f>VLOOKUP(Hospitalisation_Details_2__3[[#This Row],[Customer ID]],Hospitalisation_Details_2__2!$1:$1048576,13,FALSE)</f>
        <v>26</v>
      </c>
    </row>
    <row r="23" spans="1:17" x14ac:dyDescent="0.25">
      <c r="A23" s="11" t="s">
        <v>43</v>
      </c>
      <c r="B23" t="str">
        <f>VLOOKUP(Customer_Names!A23,Customer_Names!$1:$1048576,4,FALSE)</f>
        <v>Madelyn C</v>
      </c>
      <c r="C23">
        <f>VLOOKUP(Medical_Examinations_2[[#This Row],[Customer ID]],Medical_Examinations!$1:$1048576,2,FALSE)</f>
        <v>32.200000000000003</v>
      </c>
      <c r="D23">
        <f>VLOOKUP(Medical_Examinations_2[[#This Row],[Customer ID]],Medical_Examinations!$1:$1048576,4,FALSE)</f>
        <v>6.22</v>
      </c>
      <c r="E23" t="str">
        <f>VLOOKUP(Medical_Examinations_2[[#This Row],[Customer ID]],Medical_Examinations!$1:$1048576,6,FALSE)</f>
        <v>Yes</v>
      </c>
      <c r="F23" t="str">
        <f>VLOOKUP(Medical_Examinations_2[[#This Row],[Customer ID]],Medical_Examinations!$1:$1048576,7,FALSE)</f>
        <v>No</v>
      </c>
      <c r="G23" t="str">
        <f>VLOOKUP(Medical_Examinations_2[[#This Row],[Customer ID]],Medical_Examinations!$1:$1048576,8,FALSE)</f>
        <v>No</v>
      </c>
      <c r="H23">
        <f>VLOOKUP(Medical_Examinations_2[[#This Row],[Customer ID]],Medical_Examinations!$1:$1048576,9,FALSE)</f>
        <v>2</v>
      </c>
      <c r="I23" t="str">
        <f>VLOOKUP(Medical_Examinations_2[[#This Row],[Customer ID]],Medical_Examinations!$1:$1048576,11,FALSE)</f>
        <v>Yes</v>
      </c>
      <c r="J23" t="str">
        <f>VLOOKUP(Medical_Examinations_2[[#This Row],[Customer ID]],Medical_Examinations!$1:$1048576,3,FALSE)</f>
        <v>Obesity</v>
      </c>
      <c r="K23" t="str">
        <f>VLOOKUP(Medical_Examinations_2[[#This Row],[Customer ID]],Medical_Examinations!$1:$1048576,5,FALSE)</f>
        <v>Prediabetes</v>
      </c>
      <c r="L23" s="7">
        <f>VLOOKUP(Hospitalisation_Details_2__3[[#This Row],[Customer ID]],Hospitalisation_Details_2__2!$1:$1048576,7,FALSE)</f>
        <v>34300</v>
      </c>
      <c r="M23" t="str">
        <f>VLOOKUP(Hospitalisation_Details_2__3[[#This Row],[Customer ID]],Hospitalisation_Details_2__2!$1:$1048576,9,FALSE)</f>
        <v>$896.21</v>
      </c>
      <c r="N23" t="str">
        <f>VLOOKUP(Hospitalisation_Details_2__3[[#This Row],[Customer ID]],Hospitalisation_Details_2__2!$1:$1048576,10,FALSE)</f>
        <v>tier - 3</v>
      </c>
      <c r="O23" t="str">
        <f>VLOOKUP(Hospitalisation_Details_2__3[[#This Row],[Customer ID]],Hospitalisation_Details_2__2!$1:$1048576,11,FALSE)</f>
        <v>tier - 1</v>
      </c>
      <c r="P23" t="str">
        <f>VLOOKUP(Hospitalisation_Details_2__3[[#This Row],[Customer ID]],Hospitalisation_Details_2__2!$1:$1048576,12,FALSE)</f>
        <v>R1013</v>
      </c>
      <c r="Q23">
        <f>VLOOKUP(Hospitalisation_Details_2__3[[#This Row],[Customer ID]],Hospitalisation_Details_2__2!$1:$1048576,13,FALSE)</f>
        <v>33</v>
      </c>
    </row>
    <row r="24" spans="1:17" x14ac:dyDescent="0.25">
      <c r="A24" s="10" t="s">
        <v>44</v>
      </c>
      <c r="B24" t="str">
        <f>VLOOKUP(Customer_Names!A24,Customer_Names!$1:$1048576,4,FALSE)</f>
        <v>Nicole</v>
      </c>
      <c r="C24">
        <f>VLOOKUP(Medical_Examinations_2[[#This Row],[Customer ID]],Medical_Examinations!$1:$1048576,2,FALSE)</f>
        <v>31.3</v>
      </c>
      <c r="D24">
        <f>VLOOKUP(Medical_Examinations_2[[#This Row],[Customer ID]],Medical_Examinations!$1:$1048576,4,FALSE)</f>
        <v>11.38</v>
      </c>
      <c r="E24" t="str">
        <f>VLOOKUP(Medical_Examinations_2[[#This Row],[Customer ID]],Medical_Examinations!$1:$1048576,6,FALSE)</f>
        <v>No</v>
      </c>
      <c r="F24" t="str">
        <f>VLOOKUP(Medical_Examinations_2[[#This Row],[Customer ID]],Medical_Examinations!$1:$1048576,7,FALSE)</f>
        <v>No</v>
      </c>
      <c r="G24" t="str">
        <f>VLOOKUP(Medical_Examinations_2[[#This Row],[Customer ID]],Medical_Examinations!$1:$1048576,8,FALSE)</f>
        <v>No</v>
      </c>
      <c r="H24">
        <f>VLOOKUP(Medical_Examinations_2[[#This Row],[Customer ID]],Medical_Examinations!$1:$1048576,9,FALSE)</f>
        <v>3</v>
      </c>
      <c r="I24" t="str">
        <f>VLOOKUP(Medical_Examinations_2[[#This Row],[Customer ID]],Medical_Examinations!$1:$1048576,11,FALSE)</f>
        <v>Yes</v>
      </c>
      <c r="J24" t="str">
        <f>VLOOKUP(Medical_Examinations_2[[#This Row],[Customer ID]],Medical_Examinations!$1:$1048576,3,FALSE)</f>
        <v>Obesity</v>
      </c>
      <c r="K24" t="str">
        <f>VLOOKUP(Medical_Examinations_2[[#This Row],[Customer ID]],Medical_Examinations!$1:$1048576,5,FALSE)</f>
        <v>Diabetes</v>
      </c>
      <c r="L24" s="7">
        <f>VLOOKUP(Hospitalisation_Details_2__3[[#This Row],[Customer ID]],Hospitalisation_Details_2__2!$1:$1048576,7,FALSE)</f>
        <v>34637</v>
      </c>
      <c r="M24" t="str">
        <f>VLOOKUP(Hospitalisation_Details_2__3[[#This Row],[Customer ID]],Hospitalisation_Details_2__2!$1:$1048576,9,FALSE)</f>
        <v>$915.07</v>
      </c>
      <c r="N24" t="str">
        <f>VLOOKUP(Hospitalisation_Details_2__3[[#This Row],[Customer ID]],Hospitalisation_Details_2__2!$1:$1048576,10,FALSE)</f>
        <v>tier - 3</v>
      </c>
      <c r="O24" t="str">
        <f>VLOOKUP(Hospitalisation_Details_2__3[[#This Row],[Customer ID]],Hospitalisation_Details_2__2!$1:$1048576,11,FALSE)</f>
        <v>tier - 1</v>
      </c>
      <c r="P24" t="str">
        <f>VLOOKUP(Hospitalisation_Details_2__3[[#This Row],[Customer ID]],Hospitalisation_Details_2__2!$1:$1048576,12,FALSE)</f>
        <v>R1013</v>
      </c>
      <c r="Q24">
        <f>VLOOKUP(Hospitalisation_Details_2__3[[#This Row],[Customer ID]],Hospitalisation_Details_2__2!$1:$1048576,13,FALSE)</f>
        <v>32</v>
      </c>
    </row>
    <row r="25" spans="1:17" x14ac:dyDescent="0.25">
      <c r="A25" s="11" t="s">
        <v>45</v>
      </c>
      <c r="B25" t="str">
        <f>VLOOKUP(Customer_Names!A25,Customer_Names!$1:$1048576,4,FALSE)</f>
        <v>Eric A.</v>
      </c>
      <c r="C25">
        <f>VLOOKUP(Medical_Examinations_2[[#This Row],[Customer ID]],Medical_Examinations!$1:$1048576,2,FALSE)</f>
        <v>41.8</v>
      </c>
      <c r="D25">
        <f>VLOOKUP(Medical_Examinations_2[[#This Row],[Customer ID]],Medical_Examinations!$1:$1048576,4,FALSE)</f>
        <v>7.89</v>
      </c>
      <c r="E25" t="str">
        <f>VLOOKUP(Medical_Examinations_2[[#This Row],[Customer ID]],Medical_Examinations!$1:$1048576,6,FALSE)</f>
        <v>Yes</v>
      </c>
      <c r="F25" t="str">
        <f>VLOOKUP(Medical_Examinations_2[[#This Row],[Customer ID]],Medical_Examinations!$1:$1048576,7,FALSE)</f>
        <v>No</v>
      </c>
      <c r="G25" t="str">
        <f>VLOOKUP(Medical_Examinations_2[[#This Row],[Customer ID]],Medical_Examinations!$1:$1048576,8,FALSE)</f>
        <v>No</v>
      </c>
      <c r="H25">
        <f>VLOOKUP(Medical_Examinations_2[[#This Row],[Customer ID]],Medical_Examinations!$1:$1048576,9,FALSE)</f>
        <v>2</v>
      </c>
      <c r="I25" t="str">
        <f>VLOOKUP(Medical_Examinations_2[[#This Row],[Customer ID]],Medical_Examinations!$1:$1048576,11,FALSE)</f>
        <v>Yes</v>
      </c>
      <c r="J25" t="str">
        <f>VLOOKUP(Medical_Examinations_2[[#This Row],[Customer ID]],Medical_Examinations!$1:$1048576,3,FALSE)</f>
        <v>Obesity</v>
      </c>
      <c r="K25" t="str">
        <f>VLOOKUP(Medical_Examinations_2[[#This Row],[Customer ID]],Medical_Examinations!$1:$1048576,5,FALSE)</f>
        <v>Diabetes</v>
      </c>
      <c r="L25" s="7">
        <f>VLOOKUP(Hospitalisation_Details_2__3[[#This Row],[Customer ID]],Hospitalisation_Details_2__2!$1:$1048576,7,FALSE)</f>
        <v>35000</v>
      </c>
      <c r="M25" t="str">
        <f>VLOOKUP(Hospitalisation_Details_2__3[[#This Row],[Customer ID]],Hospitalisation_Details_2__2!$1:$1048576,9,FALSE)</f>
        <v>$928.59</v>
      </c>
      <c r="N25" t="str">
        <f>VLOOKUP(Hospitalisation_Details_2__3[[#This Row],[Customer ID]],Hospitalisation_Details_2__2!$1:$1048576,10,FALSE)</f>
        <v>tier - 3</v>
      </c>
      <c r="O25" t="str">
        <f>VLOOKUP(Hospitalisation_Details_2__3[[#This Row],[Customer ID]],Hospitalisation_Details_2__2!$1:$1048576,11,FALSE)</f>
        <v>tier - 1</v>
      </c>
      <c r="P25" t="str">
        <f>VLOOKUP(Hospitalisation_Details_2__3[[#This Row],[Customer ID]],Hospitalisation_Details_2__2!$1:$1048576,12,FALSE)</f>
        <v>R1013</v>
      </c>
      <c r="Q25">
        <f>VLOOKUP(Hospitalisation_Details_2__3[[#This Row],[Customer ID]],Hospitalisation_Details_2__2!$1:$1048576,13,FALSE)</f>
        <v>31</v>
      </c>
    </row>
    <row r="26" spans="1:17" x14ac:dyDescent="0.25">
      <c r="A26" s="10" t="s">
        <v>46</v>
      </c>
      <c r="B26" t="str">
        <f>VLOOKUP(Customer_Names!A26,Customer_Names!$1:$1048576,4,FALSE)</f>
        <v>Emiliano I.</v>
      </c>
      <c r="C26">
        <f>VLOOKUP(Medical_Examinations_2[[#This Row],[Customer ID]],Medical_Examinations!$1:$1048576,2,FALSE)</f>
        <v>35.090000000000003</v>
      </c>
      <c r="D26">
        <f>VLOOKUP(Medical_Examinations_2[[#This Row],[Customer ID]],Medical_Examinations!$1:$1048576,4,FALSE)</f>
        <v>4.38</v>
      </c>
      <c r="E26" t="str">
        <f>VLOOKUP(Medical_Examinations_2[[#This Row],[Customer ID]],Medical_Examinations!$1:$1048576,6,FALSE)</f>
        <v>Yes</v>
      </c>
      <c r="F26" t="str">
        <f>VLOOKUP(Medical_Examinations_2[[#This Row],[Customer ID]],Medical_Examinations!$1:$1048576,7,FALSE)</f>
        <v>No</v>
      </c>
      <c r="H26">
        <f>VLOOKUP(Medical_Examinations_2[[#This Row],[Customer ID]],Medical_Examinations!$1:$1048576,9,FALSE)</f>
        <v>2</v>
      </c>
      <c r="I26" t="str">
        <f>VLOOKUP(Medical_Examinations_2[[#This Row],[Customer ID]],Medical_Examinations!$1:$1048576,11,FALSE)</f>
        <v>Yes</v>
      </c>
      <c r="J26" t="str">
        <f>VLOOKUP(Medical_Examinations_2[[#This Row],[Customer ID]],Medical_Examinations!$1:$1048576,3,FALSE)</f>
        <v>Obesity</v>
      </c>
      <c r="K26" t="str">
        <f>VLOOKUP(Medical_Examinations_2[[#This Row],[Customer ID]],Medical_Examinations!$1:$1048576,5,FALSE)</f>
        <v>Normal</v>
      </c>
      <c r="L26" s="7">
        <f>VLOOKUP(Hospitalisation_Details_2__3[[#This Row],[Customer ID]],Hospitalisation_Details_2__2!$1:$1048576,7,FALSE)</f>
        <v>37122</v>
      </c>
      <c r="M26" t="str">
        <f>VLOOKUP(Hospitalisation_Details_2__3[[#This Row],[Customer ID]],Hospitalisation_Details_2__2!$1:$1048576,9,FALSE)</f>
        <v>$964.71</v>
      </c>
      <c r="N26" t="str">
        <f>VLOOKUP(Hospitalisation_Details_2__3[[#This Row],[Customer ID]],Hospitalisation_Details_2__2!$1:$1048576,10,FALSE)</f>
        <v>tier - 3</v>
      </c>
      <c r="O26" t="str">
        <f>VLOOKUP(Hospitalisation_Details_2__3[[#This Row],[Customer ID]],Hospitalisation_Details_2__2!$1:$1048576,11,FALSE)</f>
        <v>tier - 2</v>
      </c>
      <c r="P26" t="str">
        <f>VLOOKUP(Hospitalisation_Details_2__3[[#This Row],[Customer ID]],Hospitalisation_Details_2__2!$1:$1048576,12,FALSE)</f>
        <v>R1013</v>
      </c>
      <c r="Q26">
        <f>VLOOKUP(Hospitalisation_Details_2__3[[#This Row],[Customer ID]],Hospitalisation_Details_2__2!$1:$1048576,13,FALSE)</f>
        <v>25</v>
      </c>
    </row>
    <row r="27" spans="1:17" x14ac:dyDescent="0.25">
      <c r="A27" s="11" t="s">
        <v>47</v>
      </c>
      <c r="B27" t="str">
        <f>VLOOKUP(Customer_Names!A27,Customer_Names!$1:$1048576,4,FALSE)</f>
        <v>Adam</v>
      </c>
      <c r="C27">
        <f>VLOOKUP(Medical_Examinations_2[[#This Row],[Customer ID]],Medical_Examinations!$1:$1048576,2,FALSE)</f>
        <v>33.880000000000003</v>
      </c>
      <c r="D27">
        <f>VLOOKUP(Medical_Examinations_2[[#This Row],[Customer ID]],Medical_Examinations!$1:$1048576,4,FALSE)</f>
        <v>7.01</v>
      </c>
      <c r="E27" t="str">
        <f>VLOOKUP(Medical_Examinations_2[[#This Row],[Customer ID]],Medical_Examinations!$1:$1048576,6,FALSE)</f>
        <v>No</v>
      </c>
      <c r="F27" t="str">
        <f>VLOOKUP(Medical_Examinations_2[[#This Row],[Customer ID]],Medical_Examinations!$1:$1048576,7,FALSE)</f>
        <v>No</v>
      </c>
      <c r="H27">
        <f>VLOOKUP(Medical_Examinations_2[[#This Row],[Customer ID]],Medical_Examinations!$1:$1048576,9,FALSE)</f>
        <v>3</v>
      </c>
      <c r="I27" t="str">
        <f>VLOOKUP(Medical_Examinations_2[[#This Row],[Customer ID]],Medical_Examinations!$1:$1048576,11,FALSE)</f>
        <v>Yes</v>
      </c>
      <c r="J27" t="str">
        <f>VLOOKUP(Medical_Examinations_2[[#This Row],[Customer ID]],Medical_Examinations!$1:$1048576,3,FALSE)</f>
        <v>Obesity</v>
      </c>
      <c r="K27" t="str">
        <f>VLOOKUP(Medical_Examinations_2[[#This Row],[Customer ID]],Medical_Examinations!$1:$1048576,5,FALSE)</f>
        <v>Diabetes</v>
      </c>
      <c r="L27" s="7">
        <f>VLOOKUP(Hospitalisation_Details_2__3[[#This Row],[Customer ID]],Hospitalisation_Details_2__2!$1:$1048576,7,FALSE)</f>
        <v>34660</v>
      </c>
      <c r="M27" t="str">
        <f>VLOOKUP(Hospitalisation_Details_2__3[[#This Row],[Customer ID]],Hospitalisation_Details_2__2!$1:$1048576,9,FALSE)</f>
        <v>$1006.65</v>
      </c>
      <c r="N27" t="str">
        <f>VLOOKUP(Hospitalisation_Details_2__3[[#This Row],[Customer ID]],Hospitalisation_Details_2__2!$1:$1048576,10,FALSE)</f>
        <v>tier - 3</v>
      </c>
      <c r="O27" t="str">
        <f>VLOOKUP(Hospitalisation_Details_2__3[[#This Row],[Customer ID]],Hospitalisation_Details_2__2!$1:$1048576,11,FALSE)</f>
        <v>tier - 2</v>
      </c>
      <c r="P27" t="str">
        <f>VLOOKUP(Hospitalisation_Details_2__3[[#This Row],[Customer ID]],Hospitalisation_Details_2__2!$1:$1048576,12,FALSE)</f>
        <v>R1013</v>
      </c>
      <c r="Q27">
        <f>VLOOKUP(Hospitalisation_Details_2__3[[#This Row],[Customer ID]],Hospitalisation_Details_2__2!$1:$1048576,13,FALSE)</f>
        <v>32</v>
      </c>
    </row>
    <row r="28" spans="1:17" x14ac:dyDescent="0.25">
      <c r="A28" s="10" t="s">
        <v>48</v>
      </c>
      <c r="B28" t="str">
        <f>VLOOKUP(Customer_Names!A28,Customer_Names!$1:$1048576,4,FALSE)</f>
        <v>Mr.  Zach</v>
      </c>
      <c r="C28">
        <f>VLOOKUP(Medical_Examinations_2[[#This Row],[Customer ID]],Medical_Examinations!$1:$1048576,2,FALSE)</f>
        <v>30.875</v>
      </c>
      <c r="D28">
        <f>VLOOKUP(Medical_Examinations_2[[#This Row],[Customer ID]],Medical_Examinations!$1:$1048576,4,FALSE)</f>
        <v>11.88</v>
      </c>
      <c r="E28" t="str">
        <f>VLOOKUP(Medical_Examinations_2[[#This Row],[Customer ID]],Medical_Examinations!$1:$1048576,6,FALSE)</f>
        <v>No</v>
      </c>
      <c r="F28" t="str">
        <f>VLOOKUP(Medical_Examinations_2[[#This Row],[Customer ID]],Medical_Examinations!$1:$1048576,7,FALSE)</f>
        <v>No</v>
      </c>
      <c r="H28" t="str">
        <f>VLOOKUP(Medical_Examinations_2[[#This Row],[Customer ID]],Medical_Examinations!$1:$1048576,9,FALSE)</f>
        <v>No major surgery</v>
      </c>
      <c r="I28" t="str">
        <f>VLOOKUP(Medical_Examinations_2[[#This Row],[Customer ID]],Medical_Examinations!$1:$1048576,11,FALSE)</f>
        <v>Yes</v>
      </c>
      <c r="J28" t="str">
        <f>VLOOKUP(Medical_Examinations_2[[#This Row],[Customer ID]],Medical_Examinations!$1:$1048576,3,FALSE)</f>
        <v>Obesity</v>
      </c>
      <c r="K28" t="str">
        <f>VLOOKUP(Medical_Examinations_2[[#This Row],[Customer ID]],Medical_Examinations!$1:$1048576,5,FALSE)</f>
        <v>Diabetes</v>
      </c>
      <c r="L28" s="7">
        <f>VLOOKUP(Hospitalisation_Details_2__3[[#This Row],[Customer ID]],Hospitalisation_Details_2__2!$1:$1048576,7,FALSE)</f>
        <v>36808</v>
      </c>
      <c r="M28" t="str">
        <f>VLOOKUP(Hospitalisation_Details_2__3[[#This Row],[Customer ID]],Hospitalisation_Details_2__2!$1:$1048576,9,FALSE)</f>
        <v>$1012</v>
      </c>
      <c r="N28" t="str">
        <f>VLOOKUP(Hospitalisation_Details_2__3[[#This Row],[Customer ID]],Hospitalisation_Details_2__2!$1:$1048576,10,FALSE)</f>
        <v>tier - 3</v>
      </c>
      <c r="O28" t="str">
        <f>VLOOKUP(Hospitalisation_Details_2__3[[#This Row],[Customer ID]],Hospitalisation_Details_2__2!$1:$1048576,11,FALSE)</f>
        <v>tier - 2</v>
      </c>
      <c r="P28" t="str">
        <f>VLOOKUP(Hospitalisation_Details_2__3[[#This Row],[Customer ID]],Hospitalisation_Details_2__2!$1:$1048576,12,FALSE)</f>
        <v>R1013</v>
      </c>
      <c r="Q28">
        <f>VLOOKUP(Hospitalisation_Details_2__3[[#This Row],[Customer ID]],Hospitalisation_Details_2__2!$1:$1048576,13,FALSE)</f>
        <v>26</v>
      </c>
    </row>
    <row r="29" spans="1:17" x14ac:dyDescent="0.25">
      <c r="A29" s="11" t="s">
        <v>49</v>
      </c>
      <c r="B29" t="str">
        <f>VLOOKUP(Customer_Names!A29,Customer_Names!$1:$1048576,4,FALSE)</f>
        <v>Stephanie W.</v>
      </c>
      <c r="C29">
        <f>VLOOKUP(Medical_Examinations_2[[#This Row],[Customer ID]],Medical_Examinations!$1:$1048576,2,FALSE)</f>
        <v>36.86</v>
      </c>
      <c r="D29">
        <f>VLOOKUP(Medical_Examinations_2[[#This Row],[Customer ID]],Medical_Examinations!$1:$1048576,4,FALSE)</f>
        <v>5.19</v>
      </c>
      <c r="E29" t="str">
        <f>VLOOKUP(Medical_Examinations_2[[#This Row],[Customer ID]],Medical_Examinations!$1:$1048576,6,FALSE)</f>
        <v>Yes</v>
      </c>
      <c r="F29" t="str">
        <f>VLOOKUP(Medical_Examinations_2[[#This Row],[Customer ID]],Medical_Examinations!$1:$1048576,7,FALSE)</f>
        <v>No</v>
      </c>
      <c r="H29">
        <f>VLOOKUP(Medical_Examinations_2[[#This Row],[Customer ID]],Medical_Examinations!$1:$1048576,9,FALSE)</f>
        <v>1</v>
      </c>
      <c r="I29" t="str">
        <f>VLOOKUP(Medical_Examinations_2[[#This Row],[Customer ID]],Medical_Examinations!$1:$1048576,11,FALSE)</f>
        <v>Yes</v>
      </c>
      <c r="J29" t="str">
        <f>VLOOKUP(Medical_Examinations_2[[#This Row],[Customer ID]],Medical_Examinations!$1:$1048576,3,FALSE)</f>
        <v>Obesity</v>
      </c>
      <c r="K29" t="str">
        <f>VLOOKUP(Medical_Examinations_2[[#This Row],[Customer ID]],Medical_Examinations!$1:$1048576,5,FALSE)</f>
        <v>Normal</v>
      </c>
      <c r="L29" s="7">
        <f>VLOOKUP(Hospitalisation_Details_2__3[[#This Row],[Customer ID]],Hospitalisation_Details_2__2!$1:$1048576,7,FALSE)</f>
        <v>36377</v>
      </c>
      <c r="M29" t="str">
        <f>VLOOKUP(Hospitalisation_Details_2__3[[#This Row],[Customer ID]],Hospitalisation_Details_2__2!$1:$1048576,9,FALSE)</f>
        <v>$1019</v>
      </c>
      <c r="N29" t="str">
        <f>VLOOKUP(Hospitalisation_Details_2__3[[#This Row],[Customer ID]],Hospitalisation_Details_2__2!$1:$1048576,10,FALSE)</f>
        <v>tier - 3</v>
      </c>
      <c r="O29" t="str">
        <f>VLOOKUP(Hospitalisation_Details_2__3[[#This Row],[Customer ID]],Hospitalisation_Details_2__2!$1:$1048576,11,FALSE)</f>
        <v>tier - 2</v>
      </c>
      <c r="P29" t="str">
        <f>VLOOKUP(Hospitalisation_Details_2__3[[#This Row],[Customer ID]],Hospitalisation_Details_2__2!$1:$1048576,12,FALSE)</f>
        <v>R1013</v>
      </c>
      <c r="Q29">
        <f>VLOOKUP(Hospitalisation_Details_2__3[[#This Row],[Customer ID]],Hospitalisation_Details_2__2!$1:$1048576,13,FALSE)</f>
        <v>27</v>
      </c>
    </row>
    <row r="30" spans="1:17" x14ac:dyDescent="0.25">
      <c r="A30" s="10" t="s">
        <v>50</v>
      </c>
      <c r="B30" t="str">
        <f>VLOOKUP(Customer_Names!A30,Customer_Names!$1:$1048576,4,FALSE)</f>
        <v>Stephen</v>
      </c>
      <c r="C30">
        <f>VLOOKUP(Medical_Examinations_2[[#This Row],[Customer ID]],Medical_Examinations!$1:$1048576,2,FALSE)</f>
        <v>35.86</v>
      </c>
      <c r="D30">
        <f>VLOOKUP(Medical_Examinations_2[[#This Row],[Customer ID]],Medical_Examinations!$1:$1048576,4,FALSE)</f>
        <v>6.74</v>
      </c>
      <c r="E30" t="str">
        <f>VLOOKUP(Medical_Examinations_2[[#This Row],[Customer ID]],Medical_Examinations!$1:$1048576,6,FALSE)</f>
        <v>Yes</v>
      </c>
      <c r="F30" t="str">
        <f>VLOOKUP(Medical_Examinations_2[[#This Row],[Customer ID]],Medical_Examinations!$1:$1048576,7,FALSE)</f>
        <v>No</v>
      </c>
      <c r="H30">
        <f>VLOOKUP(Medical_Examinations_2[[#This Row],[Customer ID]],Medical_Examinations!$1:$1048576,9,FALSE)</f>
        <v>2</v>
      </c>
      <c r="I30" t="str">
        <f>VLOOKUP(Medical_Examinations_2[[#This Row],[Customer ID]],Medical_Examinations!$1:$1048576,11,FALSE)</f>
        <v>Yes</v>
      </c>
      <c r="J30" t="str">
        <f>VLOOKUP(Medical_Examinations_2[[#This Row],[Customer ID]],Medical_Examinations!$1:$1048576,3,FALSE)</f>
        <v>Obesity</v>
      </c>
      <c r="K30" t="str">
        <f>VLOOKUP(Medical_Examinations_2[[#This Row],[Customer ID]],Medical_Examinations!$1:$1048576,5,FALSE)</f>
        <v>Diabetes</v>
      </c>
      <c r="L30" s="7">
        <f>VLOOKUP(Hospitalisation_Details_2__3[[#This Row],[Customer ID]],Hospitalisation_Details_2__2!$1:$1048576,7,FALSE)</f>
        <v>34977</v>
      </c>
      <c r="M30" t="str">
        <f>VLOOKUP(Hospitalisation_Details_2__3[[#This Row],[Customer ID]],Hospitalisation_Details_2__2!$1:$1048576,9,FALSE)</f>
        <v>$1033.74</v>
      </c>
      <c r="N30" t="str">
        <f>VLOOKUP(Hospitalisation_Details_2__3[[#This Row],[Customer ID]],Hospitalisation_Details_2__2!$1:$1048576,10,FALSE)</f>
        <v>tier - 3</v>
      </c>
      <c r="O30" t="str">
        <f>VLOOKUP(Hospitalisation_Details_2__3[[#This Row],[Customer ID]],Hospitalisation_Details_2__2!$1:$1048576,11,FALSE)</f>
        <v>tier - 1</v>
      </c>
      <c r="P30" t="str">
        <f>VLOOKUP(Hospitalisation_Details_2__3[[#This Row],[Customer ID]],Hospitalisation_Details_2__2!$1:$1048576,12,FALSE)</f>
        <v>R1013</v>
      </c>
      <c r="Q30">
        <f>VLOOKUP(Hospitalisation_Details_2__3[[#This Row],[Customer ID]],Hospitalisation_Details_2__2!$1:$1048576,13,FALSE)</f>
        <v>31</v>
      </c>
    </row>
    <row r="31" spans="1:17" x14ac:dyDescent="0.25">
      <c r="A31" s="11" t="s">
        <v>51</v>
      </c>
      <c r="B31" t="str">
        <f>VLOOKUP(Customer_Names!A31,Customer_Names!$1:$1048576,4,FALSE)</f>
        <v>Natalie</v>
      </c>
      <c r="C31">
        <f>VLOOKUP(Medical_Examinations_2[[#This Row],[Customer ID]],Medical_Examinations!$1:$1048576,2,FALSE)</f>
        <v>37.049999999999997</v>
      </c>
      <c r="D31">
        <f>VLOOKUP(Medical_Examinations_2[[#This Row],[Customer ID]],Medical_Examinations!$1:$1048576,4,FALSE)</f>
        <v>8.44</v>
      </c>
      <c r="E31" t="str">
        <f>VLOOKUP(Medical_Examinations_2[[#This Row],[Customer ID]],Medical_Examinations!$1:$1048576,6,FALSE)</f>
        <v>No</v>
      </c>
      <c r="F31" t="str">
        <f>VLOOKUP(Medical_Examinations_2[[#This Row],[Customer ID]],Medical_Examinations!$1:$1048576,7,FALSE)</f>
        <v>No</v>
      </c>
      <c r="H31" t="str">
        <f>VLOOKUP(Medical_Examinations_2[[#This Row],[Customer ID]],Medical_Examinations!$1:$1048576,9,FALSE)</f>
        <v>No major surgery</v>
      </c>
      <c r="I31" t="str">
        <f>VLOOKUP(Medical_Examinations_2[[#This Row],[Customer ID]],Medical_Examinations!$1:$1048576,11,FALSE)</f>
        <v>Yes</v>
      </c>
      <c r="J31" t="str">
        <f>VLOOKUP(Medical_Examinations_2[[#This Row],[Customer ID]],Medical_Examinations!$1:$1048576,3,FALSE)</f>
        <v>Obesity</v>
      </c>
      <c r="K31" t="str">
        <f>VLOOKUP(Medical_Examinations_2[[#This Row],[Customer ID]],Medical_Examinations!$1:$1048576,5,FALSE)</f>
        <v>Diabetes</v>
      </c>
      <c r="L31" s="7">
        <f>VLOOKUP(Hospitalisation_Details_2__3[[#This Row],[Customer ID]],Hospitalisation_Details_2__2!$1:$1048576,7,FALSE)</f>
        <v>34655</v>
      </c>
      <c r="M31" t="str">
        <f>VLOOKUP(Hospitalisation_Details_2__3[[#This Row],[Customer ID]],Hospitalisation_Details_2__2!$1:$1048576,9,FALSE)</f>
        <v>$1044</v>
      </c>
      <c r="N31" t="str">
        <f>VLOOKUP(Hospitalisation_Details_2__3[[#This Row],[Customer ID]],Hospitalisation_Details_2__2!$1:$1048576,10,FALSE)</f>
        <v>tier - 3</v>
      </c>
      <c r="O31" t="str">
        <f>VLOOKUP(Hospitalisation_Details_2__3[[#This Row],[Customer ID]],Hospitalisation_Details_2__2!$1:$1048576,11,FALSE)</f>
        <v>tier - 2</v>
      </c>
      <c r="P31" t="str">
        <f>VLOOKUP(Hospitalisation_Details_2__3[[#This Row],[Customer ID]],Hospitalisation_Details_2__2!$1:$1048576,12,FALSE)</f>
        <v>R1013</v>
      </c>
      <c r="Q31">
        <f>VLOOKUP(Hospitalisation_Details_2__3[[#This Row],[Customer ID]],Hospitalisation_Details_2__2!$1:$1048576,13,FALSE)</f>
        <v>32</v>
      </c>
    </row>
    <row r="32" spans="1:17" x14ac:dyDescent="0.25">
      <c r="A32" s="10" t="s">
        <v>52</v>
      </c>
      <c r="B32" t="str">
        <f>VLOOKUP(Customer_Names!A32,Customer_Names!$1:$1048576,4,FALSE)</f>
        <v>Nicole J.</v>
      </c>
      <c r="C32">
        <f>VLOOKUP(Medical_Examinations_2[[#This Row],[Customer ID]],Medical_Examinations!$1:$1048576,2,FALSE)</f>
        <v>43.89</v>
      </c>
      <c r="D32">
        <f>VLOOKUP(Medical_Examinations_2[[#This Row],[Customer ID]],Medical_Examinations!$1:$1048576,4,FALSE)</f>
        <v>8.7100000000000009</v>
      </c>
      <c r="E32" t="str">
        <f>VLOOKUP(Medical_Examinations_2[[#This Row],[Customer ID]],Medical_Examinations!$1:$1048576,6,FALSE)</f>
        <v>No</v>
      </c>
      <c r="F32" t="str">
        <f>VLOOKUP(Medical_Examinations_2[[#This Row],[Customer ID]],Medical_Examinations!$1:$1048576,7,FALSE)</f>
        <v>No</v>
      </c>
      <c r="H32" t="str">
        <f>VLOOKUP(Medical_Examinations_2[[#This Row],[Customer ID]],Medical_Examinations!$1:$1048576,9,FALSE)</f>
        <v>No major surgery</v>
      </c>
      <c r="I32" t="str">
        <f>VLOOKUP(Medical_Examinations_2[[#This Row],[Customer ID]],Medical_Examinations!$1:$1048576,11,FALSE)</f>
        <v>Yes</v>
      </c>
      <c r="J32" t="str">
        <f>VLOOKUP(Medical_Examinations_2[[#This Row],[Customer ID]],Medical_Examinations!$1:$1048576,3,FALSE)</f>
        <v>Obesity</v>
      </c>
      <c r="K32" t="str">
        <f>VLOOKUP(Medical_Examinations_2[[#This Row],[Customer ID]],Medical_Examinations!$1:$1048576,5,FALSE)</f>
        <v>Diabetes</v>
      </c>
      <c r="L32" s="7">
        <f>VLOOKUP(Hospitalisation_Details_2__3[[#This Row],[Customer ID]],Hospitalisation_Details_2__2!$1:$1048576,7,FALSE)</f>
        <v>37457</v>
      </c>
      <c r="M32" t="str">
        <f>VLOOKUP(Hospitalisation_Details_2__3[[#This Row],[Customer ID]],Hospitalisation_Details_2__2!$1:$1048576,9,FALSE)</f>
        <v>$1047</v>
      </c>
      <c r="N32" t="str">
        <f>VLOOKUP(Hospitalisation_Details_2__3[[#This Row],[Customer ID]],Hospitalisation_Details_2__2!$1:$1048576,10,FALSE)</f>
        <v>tier - 3</v>
      </c>
      <c r="O32" t="str">
        <f>VLOOKUP(Hospitalisation_Details_2__3[[#This Row],[Customer ID]],Hospitalisation_Details_2__2!$1:$1048576,11,FALSE)</f>
        <v>tier - 1</v>
      </c>
      <c r="P32" t="str">
        <f>VLOOKUP(Hospitalisation_Details_2__3[[#This Row],[Customer ID]],Hospitalisation_Details_2__2!$1:$1048576,12,FALSE)</f>
        <v>R1013</v>
      </c>
      <c r="Q32">
        <f>VLOOKUP(Hospitalisation_Details_2__3[[#This Row],[Customer ID]],Hospitalisation_Details_2__2!$1:$1048576,13,FALSE)</f>
        <v>24</v>
      </c>
    </row>
    <row r="33" spans="1:17" x14ac:dyDescent="0.25">
      <c r="A33" s="11" t="s">
        <v>53</v>
      </c>
      <c r="B33" t="str">
        <f>VLOOKUP(Customer_Names!A33,Customer_Names!$1:$1048576,4,FALSE)</f>
        <v>Jefferson D</v>
      </c>
      <c r="C33">
        <f>VLOOKUP(Medical_Examinations_2[[#This Row],[Customer ID]],Medical_Examinations!$1:$1048576,2,FALSE)</f>
        <v>42.35</v>
      </c>
      <c r="D33">
        <f>VLOOKUP(Medical_Examinations_2[[#This Row],[Customer ID]],Medical_Examinations!$1:$1048576,4,FALSE)</f>
        <v>5.08</v>
      </c>
      <c r="E33" t="str">
        <f>VLOOKUP(Medical_Examinations_2[[#This Row],[Customer ID]],Medical_Examinations!$1:$1048576,6,FALSE)</f>
        <v>Yes</v>
      </c>
      <c r="F33" t="str">
        <f>VLOOKUP(Medical_Examinations_2[[#This Row],[Customer ID]],Medical_Examinations!$1:$1048576,7,FALSE)</f>
        <v>No</v>
      </c>
      <c r="H33" t="str">
        <f>VLOOKUP(Medical_Examinations_2[[#This Row],[Customer ID]],Medical_Examinations!$1:$1048576,9,FALSE)</f>
        <v>No major surgery</v>
      </c>
      <c r="I33" t="str">
        <f>VLOOKUP(Medical_Examinations_2[[#This Row],[Customer ID]],Medical_Examinations!$1:$1048576,11,FALSE)</f>
        <v>Yes</v>
      </c>
      <c r="J33" t="str">
        <f>VLOOKUP(Medical_Examinations_2[[#This Row],[Customer ID]],Medical_Examinations!$1:$1048576,3,FALSE)</f>
        <v>Obesity</v>
      </c>
      <c r="K33" t="str">
        <f>VLOOKUP(Medical_Examinations_2[[#This Row],[Customer ID]],Medical_Examinations!$1:$1048576,5,FALSE)</f>
        <v>Normal</v>
      </c>
      <c r="L33" s="7">
        <f>VLOOKUP(Hospitalisation_Details_2__3[[#This Row],[Customer ID]],Hospitalisation_Details_2__2!$1:$1048576,7,FALSE)</f>
        <v>37438</v>
      </c>
      <c r="M33" t="str">
        <f>VLOOKUP(Hospitalisation_Details_2__3[[#This Row],[Customer ID]],Hospitalisation_Details_2__2!$1:$1048576,9,FALSE)</f>
        <v>$1049</v>
      </c>
      <c r="N33" t="str">
        <f>VLOOKUP(Hospitalisation_Details_2__3[[#This Row],[Customer ID]],Hospitalisation_Details_2__2!$1:$1048576,10,FALSE)</f>
        <v>tier - 3</v>
      </c>
      <c r="O33" t="str">
        <f>VLOOKUP(Hospitalisation_Details_2__3[[#This Row],[Customer ID]],Hospitalisation_Details_2__2!$1:$1048576,11,FALSE)</f>
        <v>tier - 2</v>
      </c>
      <c r="P33" t="str">
        <f>VLOOKUP(Hospitalisation_Details_2__3[[#This Row],[Customer ID]],Hospitalisation_Details_2__2!$1:$1048576,12,FALSE)</f>
        <v>R1012</v>
      </c>
      <c r="Q33">
        <f>VLOOKUP(Hospitalisation_Details_2__3[[#This Row],[Customer ID]],Hospitalisation_Details_2__2!$1:$1048576,13,FALSE)</f>
        <v>24</v>
      </c>
    </row>
    <row r="34" spans="1:17" x14ac:dyDescent="0.25">
      <c r="A34" s="10" t="s">
        <v>54</v>
      </c>
      <c r="B34" t="str">
        <f>VLOOKUP(Customer_Names!A34,Customer_Names!$1:$1048576,4,FALSE)</f>
        <v>Brendan D.</v>
      </c>
      <c r="C34">
        <f>VLOOKUP(Medical_Examinations_2[[#This Row],[Customer ID]],Medical_Examinations!$1:$1048576,2,FALSE)</f>
        <v>31.35</v>
      </c>
      <c r="D34">
        <f>VLOOKUP(Medical_Examinations_2[[#This Row],[Customer ID]],Medical_Examinations!$1:$1048576,4,FALSE)</f>
        <v>6.86</v>
      </c>
      <c r="E34" t="str">
        <f>VLOOKUP(Medical_Examinations_2[[#This Row],[Customer ID]],Medical_Examinations!$1:$1048576,6,FALSE)</f>
        <v>No</v>
      </c>
      <c r="F34" t="str">
        <f>VLOOKUP(Medical_Examinations_2[[#This Row],[Customer ID]],Medical_Examinations!$1:$1048576,7,FALSE)</f>
        <v>No</v>
      </c>
      <c r="H34" t="str">
        <f>VLOOKUP(Medical_Examinations_2[[#This Row],[Customer ID]],Medical_Examinations!$1:$1048576,9,FALSE)</f>
        <v>No major surgery</v>
      </c>
      <c r="I34" t="str">
        <f>VLOOKUP(Medical_Examinations_2[[#This Row],[Customer ID]],Medical_Examinations!$1:$1048576,11,FALSE)</f>
        <v>Yes</v>
      </c>
      <c r="J34" t="str">
        <f>VLOOKUP(Medical_Examinations_2[[#This Row],[Customer ID]],Medical_Examinations!$1:$1048576,3,FALSE)</f>
        <v>Obesity</v>
      </c>
      <c r="K34" t="str">
        <f>VLOOKUP(Medical_Examinations_2[[#This Row],[Customer ID]],Medical_Examinations!$1:$1048576,5,FALSE)</f>
        <v>Diabetes</v>
      </c>
      <c r="L34" s="7">
        <f>VLOOKUP(Hospitalisation_Details_2__3[[#This Row],[Customer ID]],Hospitalisation_Details_2__2!$1:$1048576,7,FALSE)</f>
        <v>34851</v>
      </c>
      <c r="M34" t="str">
        <f>VLOOKUP(Hospitalisation_Details_2__3[[#This Row],[Customer ID]],Hospitalisation_Details_2__2!$1:$1048576,9,FALSE)</f>
        <v>$1056</v>
      </c>
      <c r="N34" t="str">
        <f>VLOOKUP(Hospitalisation_Details_2__3[[#This Row],[Customer ID]],Hospitalisation_Details_2__2!$1:$1048576,10,FALSE)</f>
        <v>tier - 3</v>
      </c>
      <c r="O34" t="str">
        <f>VLOOKUP(Hospitalisation_Details_2__3[[#This Row],[Customer ID]],Hospitalisation_Details_2__2!$1:$1048576,11,FALSE)</f>
        <v>tier - 2</v>
      </c>
      <c r="P34" t="str">
        <f>VLOOKUP(Hospitalisation_Details_2__3[[#This Row],[Customer ID]],Hospitalisation_Details_2__2!$1:$1048576,12,FALSE)</f>
        <v>R1013</v>
      </c>
      <c r="Q34">
        <f>VLOOKUP(Hospitalisation_Details_2__3[[#This Row],[Customer ID]],Hospitalisation_Details_2__2!$1:$1048576,13,FALSE)</f>
        <v>31</v>
      </c>
    </row>
    <row r="35" spans="1:17" x14ac:dyDescent="0.25">
      <c r="A35" s="11" t="s">
        <v>55</v>
      </c>
      <c r="B35" t="str">
        <f>VLOOKUP(Customer_Names!A35,Customer_Names!$1:$1048576,4,FALSE)</f>
        <v>Courtney</v>
      </c>
      <c r="C35">
        <f>VLOOKUP(Medical_Examinations_2[[#This Row],[Customer ID]],Medical_Examinations!$1:$1048576,2,FALSE)</f>
        <v>47.6</v>
      </c>
      <c r="D35">
        <f>VLOOKUP(Medical_Examinations_2[[#This Row],[Customer ID]],Medical_Examinations!$1:$1048576,4,FALSE)</f>
        <v>5.95</v>
      </c>
      <c r="E35" t="str">
        <f>VLOOKUP(Medical_Examinations_2[[#This Row],[Customer ID]],Medical_Examinations!$1:$1048576,6,FALSE)</f>
        <v>Yes</v>
      </c>
      <c r="F35" t="str">
        <f>VLOOKUP(Medical_Examinations_2[[#This Row],[Customer ID]],Medical_Examinations!$1:$1048576,7,FALSE)</f>
        <v>No</v>
      </c>
      <c r="H35" t="str">
        <f>VLOOKUP(Medical_Examinations_2[[#This Row],[Customer ID]],Medical_Examinations!$1:$1048576,9,FALSE)</f>
        <v>No major surgery</v>
      </c>
      <c r="I35" t="str">
        <f>VLOOKUP(Medical_Examinations_2[[#This Row],[Customer ID]],Medical_Examinations!$1:$1048576,11,FALSE)</f>
        <v>Yes</v>
      </c>
      <c r="J35" t="str">
        <f>VLOOKUP(Medical_Examinations_2[[#This Row],[Customer ID]],Medical_Examinations!$1:$1048576,3,FALSE)</f>
        <v>Obesity</v>
      </c>
      <c r="K35" t="str">
        <f>VLOOKUP(Medical_Examinations_2[[#This Row],[Customer ID]],Medical_Examinations!$1:$1048576,5,FALSE)</f>
        <v>Prediabetes</v>
      </c>
      <c r="L35" s="7">
        <f>VLOOKUP(Hospitalisation_Details_2__3[[#This Row],[Customer ID]],Hospitalisation_Details_2__2!$1:$1048576,7,FALSE)</f>
        <v>34240</v>
      </c>
      <c r="M35" t="str">
        <f>VLOOKUP(Hospitalisation_Details_2__3[[#This Row],[Customer ID]],Hospitalisation_Details_2__2!$1:$1048576,9,FALSE)</f>
        <v>$1068</v>
      </c>
      <c r="N35" t="str">
        <f>VLOOKUP(Hospitalisation_Details_2__3[[#This Row],[Customer ID]],Hospitalisation_Details_2__2!$1:$1048576,10,FALSE)</f>
        <v>tier - 3</v>
      </c>
      <c r="O35" t="str">
        <f>VLOOKUP(Hospitalisation_Details_2__3[[#This Row],[Customer ID]],Hospitalisation_Details_2__2!$1:$1048576,11,FALSE)</f>
        <v>tier - 1</v>
      </c>
      <c r="P35" t="str">
        <f>VLOOKUP(Hospitalisation_Details_2__3[[#This Row],[Customer ID]],Hospitalisation_Details_2__2!$1:$1048576,12,FALSE)</f>
        <v>R1013</v>
      </c>
      <c r="Q35">
        <f>VLOOKUP(Hospitalisation_Details_2__3[[#This Row],[Customer ID]],Hospitalisation_Details_2__2!$1:$1048576,13,FALSE)</f>
        <v>33</v>
      </c>
    </row>
    <row r="36" spans="1:17" x14ac:dyDescent="0.25">
      <c r="A36" s="10" t="s">
        <v>56</v>
      </c>
      <c r="B36" t="str">
        <f>VLOOKUP(Customer_Names!A36,Customer_Names!$1:$1048576,4,FALSE)</f>
        <v>Sydney L.</v>
      </c>
      <c r="C36">
        <f>VLOOKUP(Medical_Examinations_2[[#This Row],[Customer ID]],Medical_Examinations!$1:$1048576,2,FALSE)</f>
        <v>46.2</v>
      </c>
      <c r="D36">
        <f>VLOOKUP(Medical_Examinations_2[[#This Row],[Customer ID]],Medical_Examinations!$1:$1048576,4,FALSE)</f>
        <v>6.09</v>
      </c>
      <c r="E36" t="str">
        <f>VLOOKUP(Medical_Examinations_2[[#This Row],[Customer ID]],Medical_Examinations!$1:$1048576,6,FALSE)</f>
        <v>No</v>
      </c>
      <c r="F36" t="str">
        <f>VLOOKUP(Medical_Examinations_2[[#This Row],[Customer ID]],Medical_Examinations!$1:$1048576,7,FALSE)</f>
        <v>No</v>
      </c>
      <c r="H36">
        <f>VLOOKUP(Medical_Examinations_2[[#This Row],[Customer ID]],Medical_Examinations!$1:$1048576,9,FALSE)</f>
        <v>1</v>
      </c>
      <c r="I36" t="str">
        <f>VLOOKUP(Medical_Examinations_2[[#This Row],[Customer ID]],Medical_Examinations!$1:$1048576,11,FALSE)</f>
        <v>Yes</v>
      </c>
      <c r="J36" t="str">
        <f>VLOOKUP(Medical_Examinations_2[[#This Row],[Customer ID]],Medical_Examinations!$1:$1048576,3,FALSE)</f>
        <v>Obesity</v>
      </c>
      <c r="K36" t="str">
        <f>VLOOKUP(Medical_Examinations_2[[#This Row],[Customer ID]],Medical_Examinations!$1:$1048576,5,FALSE)</f>
        <v>Prediabetes</v>
      </c>
      <c r="L36" s="7">
        <f>VLOOKUP(Hospitalisation_Details_2__3[[#This Row],[Customer ID]],Hospitalisation_Details_2__2!$1:$1048576,7,FALSE)</f>
        <v>38223</v>
      </c>
      <c r="M36" t="str">
        <f>VLOOKUP(Hospitalisation_Details_2__3[[#This Row],[Customer ID]],Hospitalisation_Details_2__2!$1:$1048576,9,FALSE)</f>
        <v>$1070</v>
      </c>
      <c r="N36" t="str">
        <f>VLOOKUP(Hospitalisation_Details_2__3[[#This Row],[Customer ID]],Hospitalisation_Details_2__2!$1:$1048576,10,FALSE)</f>
        <v>tier - 3</v>
      </c>
      <c r="O36" t="str">
        <f>VLOOKUP(Hospitalisation_Details_2__3[[#This Row],[Customer ID]],Hospitalisation_Details_2__2!$1:$1048576,11,FALSE)</f>
        <v>tier - 3</v>
      </c>
      <c r="P36" t="str">
        <f>VLOOKUP(Hospitalisation_Details_2__3[[#This Row],[Customer ID]],Hospitalisation_Details_2__2!$1:$1048576,12,FALSE)</f>
        <v>R1013</v>
      </c>
      <c r="Q36">
        <f>VLOOKUP(Hospitalisation_Details_2__3[[#This Row],[Customer ID]],Hospitalisation_Details_2__2!$1:$1048576,13,FALSE)</f>
        <v>22</v>
      </c>
    </row>
    <row r="37" spans="1:17" x14ac:dyDescent="0.25">
      <c r="A37" s="11" t="s">
        <v>57</v>
      </c>
      <c r="B37" t="str">
        <f>VLOOKUP(Customer_Names!A37,Customer_Names!$1:$1048576,4,FALSE)</f>
        <v>Julien</v>
      </c>
      <c r="C37">
        <f>VLOOKUP(Medical_Examinations_2[[#This Row],[Customer ID]],Medical_Examinations!$1:$1048576,2,FALSE)</f>
        <v>32.015000000000001</v>
      </c>
      <c r="D37">
        <f>VLOOKUP(Medical_Examinations_2[[#This Row],[Customer ID]],Medical_Examinations!$1:$1048576,4,FALSE)</f>
        <v>11.75</v>
      </c>
      <c r="E37" t="str">
        <f>VLOOKUP(Medical_Examinations_2[[#This Row],[Customer ID]],Medical_Examinations!$1:$1048576,6,FALSE)</f>
        <v>No</v>
      </c>
      <c r="F37" t="str">
        <f>VLOOKUP(Medical_Examinations_2[[#This Row],[Customer ID]],Medical_Examinations!$1:$1048576,7,FALSE)</f>
        <v>No</v>
      </c>
      <c r="H37" t="str">
        <f>VLOOKUP(Medical_Examinations_2[[#This Row],[Customer ID]],Medical_Examinations!$1:$1048576,9,FALSE)</f>
        <v>No major surgery</v>
      </c>
      <c r="I37" t="str">
        <f>VLOOKUP(Medical_Examinations_2[[#This Row],[Customer ID]],Medical_Examinations!$1:$1048576,11,FALSE)</f>
        <v>Yes</v>
      </c>
      <c r="J37" t="str">
        <f>VLOOKUP(Medical_Examinations_2[[#This Row],[Customer ID]],Medical_Examinations!$1:$1048576,3,FALSE)</f>
        <v>Obesity</v>
      </c>
      <c r="K37" t="str">
        <f>VLOOKUP(Medical_Examinations_2[[#This Row],[Customer ID]],Medical_Examinations!$1:$1048576,5,FALSE)</f>
        <v>Diabetes</v>
      </c>
      <c r="L37" s="7">
        <f>VLOOKUP(Hospitalisation_Details_2__3[[#This Row],[Customer ID]],Hospitalisation_Details_2__2!$1:$1048576,7,FALSE)</f>
        <v>35655</v>
      </c>
      <c r="M37" t="str">
        <f>VLOOKUP(Hospitalisation_Details_2__3[[#This Row],[Customer ID]],Hospitalisation_Details_2__2!$1:$1048576,9,FALSE)</f>
        <v>$1071</v>
      </c>
      <c r="N37" t="str">
        <f>VLOOKUP(Hospitalisation_Details_2__3[[#This Row],[Customer ID]],Hospitalisation_Details_2__2!$1:$1048576,10,FALSE)</f>
        <v>tier - 3</v>
      </c>
      <c r="O37" t="str">
        <f>VLOOKUP(Hospitalisation_Details_2__3[[#This Row],[Customer ID]],Hospitalisation_Details_2__2!$1:$1048576,11,FALSE)</f>
        <v>tier - 3</v>
      </c>
      <c r="P37" t="str">
        <f>VLOOKUP(Hospitalisation_Details_2__3[[#This Row],[Customer ID]],Hospitalisation_Details_2__2!$1:$1048576,12,FALSE)</f>
        <v>R1013</v>
      </c>
      <c r="Q37">
        <f>VLOOKUP(Hospitalisation_Details_2__3[[#This Row],[Customer ID]],Hospitalisation_Details_2__2!$1:$1048576,13,FALSE)</f>
        <v>29</v>
      </c>
    </row>
    <row r="38" spans="1:17" x14ac:dyDescent="0.25">
      <c r="A38" s="10" t="s">
        <v>58</v>
      </c>
      <c r="B38" t="str">
        <f>VLOOKUP(Customer_Names!A38,Customer_Names!$1:$1048576,4,FALSE)</f>
        <v>Ryan M</v>
      </c>
      <c r="C38">
        <f>VLOOKUP(Medical_Examinations_2[[#This Row],[Customer ID]],Medical_Examinations!$1:$1048576,2,FALSE)</f>
        <v>40.564999999999998</v>
      </c>
      <c r="D38">
        <f>VLOOKUP(Medical_Examinations_2[[#This Row],[Customer ID]],Medical_Examinations!$1:$1048576,4,FALSE)</f>
        <v>7.37</v>
      </c>
      <c r="E38" t="str">
        <f>VLOOKUP(Medical_Examinations_2[[#This Row],[Customer ID]],Medical_Examinations!$1:$1048576,6,FALSE)</f>
        <v>No</v>
      </c>
      <c r="F38" t="str">
        <f>VLOOKUP(Medical_Examinations_2[[#This Row],[Customer ID]],Medical_Examinations!$1:$1048576,7,FALSE)</f>
        <v>No</v>
      </c>
      <c r="H38" t="str">
        <f>VLOOKUP(Medical_Examinations_2[[#This Row],[Customer ID]],Medical_Examinations!$1:$1048576,9,FALSE)</f>
        <v>No major surgery</v>
      </c>
      <c r="I38" t="str">
        <f>VLOOKUP(Medical_Examinations_2[[#This Row],[Customer ID]],Medical_Examinations!$1:$1048576,11,FALSE)</f>
        <v>Yes</v>
      </c>
      <c r="J38" t="str">
        <f>VLOOKUP(Medical_Examinations_2[[#This Row],[Customer ID]],Medical_Examinations!$1:$1048576,3,FALSE)</f>
        <v>Obesity</v>
      </c>
      <c r="K38" t="str">
        <f>VLOOKUP(Medical_Examinations_2[[#This Row],[Customer ID]],Medical_Examinations!$1:$1048576,5,FALSE)</f>
        <v>Diabetes</v>
      </c>
      <c r="L38" s="7">
        <f>VLOOKUP(Hospitalisation_Details_2__3[[#This Row],[Customer ID]],Hospitalisation_Details_2__2!$1:$1048576,7,FALSE)</f>
        <v>36155</v>
      </c>
      <c r="M38" t="str">
        <f>VLOOKUP(Hospitalisation_Details_2__3[[#This Row],[Customer ID]],Hospitalisation_Details_2__2!$1:$1048576,9,FALSE)</f>
        <v>$1082</v>
      </c>
      <c r="N38" t="str">
        <f>VLOOKUP(Hospitalisation_Details_2__3[[#This Row],[Customer ID]],Hospitalisation_Details_2__2!$1:$1048576,10,FALSE)</f>
        <v>tier - 3</v>
      </c>
      <c r="O38" t="str">
        <f>VLOOKUP(Hospitalisation_Details_2__3[[#This Row],[Customer ID]],Hospitalisation_Details_2__2!$1:$1048576,11,FALSE)</f>
        <v>tier - 2</v>
      </c>
      <c r="P38" t="str">
        <f>VLOOKUP(Hospitalisation_Details_2__3[[#This Row],[Customer ID]],Hospitalisation_Details_2__2!$1:$1048576,12,FALSE)</f>
        <v>R1013</v>
      </c>
      <c r="Q38">
        <f>VLOOKUP(Hospitalisation_Details_2__3[[#This Row],[Customer ID]],Hospitalisation_Details_2__2!$1:$1048576,13,FALSE)</f>
        <v>28</v>
      </c>
    </row>
    <row r="39" spans="1:17" x14ac:dyDescent="0.25">
      <c r="A39" s="11" t="s">
        <v>59</v>
      </c>
      <c r="B39" t="str">
        <f>VLOOKUP(Customer_Names!A39,Customer_Names!$1:$1048576,4,FALSE)</f>
        <v>Anna H.</v>
      </c>
      <c r="C39">
        <f>VLOOKUP(Medical_Examinations_2[[#This Row],[Customer ID]],Medical_Examinations!$1:$1048576,2,FALSE)</f>
        <v>32.450000000000003</v>
      </c>
      <c r="D39">
        <f>VLOOKUP(Medical_Examinations_2[[#This Row],[Customer ID]],Medical_Examinations!$1:$1048576,4,FALSE)</f>
        <v>11.91</v>
      </c>
      <c r="E39" t="str">
        <f>VLOOKUP(Medical_Examinations_2[[#This Row],[Customer ID]],Medical_Examinations!$1:$1048576,6,FALSE)</f>
        <v>No</v>
      </c>
      <c r="F39" t="str">
        <f>VLOOKUP(Medical_Examinations_2[[#This Row],[Customer ID]],Medical_Examinations!$1:$1048576,7,FALSE)</f>
        <v>No</v>
      </c>
      <c r="H39" t="str">
        <f>VLOOKUP(Medical_Examinations_2[[#This Row],[Customer ID]],Medical_Examinations!$1:$1048576,9,FALSE)</f>
        <v>No major surgery</v>
      </c>
      <c r="I39" t="str">
        <f>VLOOKUP(Medical_Examinations_2[[#This Row],[Customer ID]],Medical_Examinations!$1:$1048576,11,FALSE)</f>
        <v>Yes</v>
      </c>
      <c r="J39" t="str">
        <f>VLOOKUP(Medical_Examinations_2[[#This Row],[Customer ID]],Medical_Examinations!$1:$1048576,3,FALSE)</f>
        <v>Obesity</v>
      </c>
      <c r="K39" t="str">
        <f>VLOOKUP(Medical_Examinations_2[[#This Row],[Customer ID]],Medical_Examinations!$1:$1048576,5,FALSE)</f>
        <v>Diabetes</v>
      </c>
      <c r="L39" s="7">
        <f>VLOOKUP(Hospitalisation_Details_2__3[[#This Row],[Customer ID]],Hospitalisation_Details_2__2!$1:$1048576,7,FALSE)</f>
        <v>37481</v>
      </c>
      <c r="M39" t="str">
        <f>VLOOKUP(Hospitalisation_Details_2__3[[#This Row],[Customer ID]],Hospitalisation_Details_2__2!$1:$1048576,9,FALSE)</f>
        <v>$1086</v>
      </c>
      <c r="N39" t="str">
        <f>VLOOKUP(Hospitalisation_Details_2__3[[#This Row],[Customer ID]],Hospitalisation_Details_2__2!$1:$1048576,10,FALSE)</f>
        <v>tier - 3</v>
      </c>
      <c r="O39" t="str">
        <f>VLOOKUP(Hospitalisation_Details_2__3[[#This Row],[Customer ID]],Hospitalisation_Details_2__2!$1:$1048576,11,FALSE)</f>
        <v>tier - 3</v>
      </c>
      <c r="P39" t="str">
        <f>VLOOKUP(Hospitalisation_Details_2__3[[#This Row],[Customer ID]],Hospitalisation_Details_2__2!$1:$1048576,12,FALSE)</f>
        <v>R1013</v>
      </c>
      <c r="Q39">
        <f>VLOOKUP(Hospitalisation_Details_2__3[[#This Row],[Customer ID]],Hospitalisation_Details_2__2!$1:$1048576,13,FALSE)</f>
        <v>24</v>
      </c>
    </row>
    <row r="40" spans="1:17" x14ac:dyDescent="0.25">
      <c r="A40" s="10" t="s">
        <v>60</v>
      </c>
      <c r="B40" t="str">
        <f>VLOOKUP(Customer_Names!A40,Customer_Names!$1:$1048576,4,FALSE)</f>
        <v>Samantha</v>
      </c>
      <c r="C40">
        <f>VLOOKUP(Medical_Examinations_2[[#This Row],[Customer ID]],Medical_Examinations!$1:$1048576,2,FALSE)</f>
        <v>34.96</v>
      </c>
      <c r="D40">
        <f>VLOOKUP(Medical_Examinations_2[[#This Row],[Customer ID]],Medical_Examinations!$1:$1048576,4,FALSE)</f>
        <v>6.52</v>
      </c>
      <c r="E40" t="str">
        <f>VLOOKUP(Medical_Examinations_2[[#This Row],[Customer ID]],Medical_Examinations!$1:$1048576,6,FALSE)</f>
        <v>No</v>
      </c>
      <c r="F40" t="str">
        <f>VLOOKUP(Medical_Examinations_2[[#This Row],[Customer ID]],Medical_Examinations!$1:$1048576,7,FALSE)</f>
        <v>No</v>
      </c>
      <c r="H40" t="str">
        <f>VLOOKUP(Medical_Examinations_2[[#This Row],[Customer ID]],Medical_Examinations!$1:$1048576,9,FALSE)</f>
        <v>No major surgery</v>
      </c>
      <c r="I40" t="str">
        <f>VLOOKUP(Medical_Examinations_2[[#This Row],[Customer ID]],Medical_Examinations!$1:$1048576,11,FALSE)</f>
        <v>Yes</v>
      </c>
      <c r="J40" t="str">
        <f>VLOOKUP(Medical_Examinations_2[[#This Row],[Customer ID]],Medical_Examinations!$1:$1048576,3,FALSE)</f>
        <v>Obesity</v>
      </c>
      <c r="K40" t="str">
        <f>VLOOKUP(Medical_Examinations_2[[#This Row],[Customer ID]],Medical_Examinations!$1:$1048576,5,FALSE)</f>
        <v>Diabetes</v>
      </c>
      <c r="L40" s="7">
        <f>VLOOKUP(Hospitalisation_Details_2__3[[#This Row],[Customer ID]],Hospitalisation_Details_2__2!$1:$1048576,7,FALSE)</f>
        <v>38303</v>
      </c>
      <c r="M40" t="str">
        <f>VLOOKUP(Hospitalisation_Details_2__3[[#This Row],[Customer ID]],Hospitalisation_Details_2__2!$1:$1048576,9,FALSE)</f>
        <v>$1121.8699999999999</v>
      </c>
      <c r="N40" t="str">
        <f>VLOOKUP(Hospitalisation_Details_2__3[[#This Row],[Customer ID]],Hospitalisation_Details_2__2!$1:$1048576,10,FALSE)</f>
        <v>tier - 3</v>
      </c>
      <c r="O40" t="str">
        <f>VLOOKUP(Hospitalisation_Details_2__3[[#This Row],[Customer ID]],Hospitalisation_Details_2__2!$1:$1048576,11,FALSE)</f>
        <v>tier - 1</v>
      </c>
      <c r="P40" t="str">
        <f>VLOOKUP(Hospitalisation_Details_2__3[[#This Row],[Customer ID]],Hospitalisation_Details_2__2!$1:$1048576,12,FALSE)</f>
        <v>R1013</v>
      </c>
      <c r="Q40">
        <f>VLOOKUP(Hospitalisation_Details_2__3[[#This Row],[Customer ID]],Hospitalisation_Details_2__2!$1:$1048576,13,FALSE)</f>
        <v>22</v>
      </c>
    </row>
    <row r="41" spans="1:17" x14ac:dyDescent="0.25">
      <c r="A41" s="11" t="s">
        <v>61</v>
      </c>
      <c r="B41" t="str">
        <f>VLOOKUP(Customer_Names!A41,Customer_Names!$1:$1048576,4,FALSE)</f>
        <v>Robert</v>
      </c>
      <c r="C41">
        <f>VLOOKUP(Medical_Examinations_2[[#This Row],[Customer ID]],Medical_Examinations!$1:$1048576,2,FALSE)</f>
        <v>35.5</v>
      </c>
      <c r="D41">
        <f>VLOOKUP(Medical_Examinations_2[[#This Row],[Customer ID]],Medical_Examinations!$1:$1048576,4,FALSE)</f>
        <v>5.14</v>
      </c>
      <c r="E41" t="str">
        <f>VLOOKUP(Medical_Examinations_2[[#This Row],[Customer ID]],Medical_Examinations!$1:$1048576,6,FALSE)</f>
        <v>No</v>
      </c>
      <c r="F41" t="str">
        <f>VLOOKUP(Medical_Examinations_2[[#This Row],[Customer ID]],Medical_Examinations!$1:$1048576,7,FALSE)</f>
        <v>No</v>
      </c>
      <c r="H41">
        <f>VLOOKUP(Medical_Examinations_2[[#This Row],[Customer ID]],Medical_Examinations!$1:$1048576,9,FALSE)</f>
        <v>1</v>
      </c>
      <c r="I41" t="str">
        <f>VLOOKUP(Medical_Examinations_2[[#This Row],[Customer ID]],Medical_Examinations!$1:$1048576,11,FALSE)</f>
        <v>Yes</v>
      </c>
      <c r="J41" t="str">
        <f>VLOOKUP(Medical_Examinations_2[[#This Row],[Customer ID]],Medical_Examinations!$1:$1048576,3,FALSE)</f>
        <v>Obesity</v>
      </c>
      <c r="K41" t="str">
        <f>VLOOKUP(Medical_Examinations_2[[#This Row],[Customer ID]],Medical_Examinations!$1:$1048576,5,FALSE)</f>
        <v>Normal</v>
      </c>
      <c r="L41" s="7">
        <f>VLOOKUP(Hospitalisation_Details_2__3[[#This Row],[Customer ID]],Hospitalisation_Details_2__2!$1:$1048576,7,FALSE)</f>
        <v>38152</v>
      </c>
      <c r="M41" t="str">
        <f>VLOOKUP(Hospitalisation_Details_2__3[[#This Row],[Customer ID]],Hospitalisation_Details_2__2!$1:$1048576,9,FALSE)</f>
        <v>$1131.51</v>
      </c>
      <c r="N41" t="str">
        <f>VLOOKUP(Hospitalisation_Details_2__3[[#This Row],[Customer ID]],Hospitalisation_Details_2__2!$1:$1048576,10,FALSE)</f>
        <v>tier - 3</v>
      </c>
      <c r="O41" t="str">
        <f>VLOOKUP(Hospitalisation_Details_2__3[[#This Row],[Customer ID]],Hospitalisation_Details_2__2!$1:$1048576,11,FALSE)</f>
        <v>tier - 1</v>
      </c>
      <c r="P41" t="str">
        <f>VLOOKUP(Hospitalisation_Details_2__3[[#This Row],[Customer ID]],Hospitalisation_Details_2__2!$1:$1048576,12,FALSE)</f>
        <v>R1013</v>
      </c>
      <c r="Q41">
        <f>VLOOKUP(Hospitalisation_Details_2__3[[#This Row],[Customer ID]],Hospitalisation_Details_2__2!$1:$1048576,13,FALSE)</f>
        <v>22</v>
      </c>
    </row>
    <row r="42" spans="1:17" x14ac:dyDescent="0.25">
      <c r="A42" s="10" t="s">
        <v>62</v>
      </c>
      <c r="B42" t="str">
        <f>VLOOKUP(Customer_Names!A42,Customer_Names!$1:$1048576,4,FALSE)</f>
        <v>James R.</v>
      </c>
      <c r="C42">
        <f>VLOOKUP(Medical_Examinations_2[[#This Row],[Customer ID]],Medical_Examinations!$1:$1048576,2,FALSE)</f>
        <v>52.58</v>
      </c>
      <c r="D42">
        <f>VLOOKUP(Medical_Examinations_2[[#This Row],[Customer ID]],Medical_Examinations!$1:$1048576,4,FALSE)</f>
        <v>4.1900000000000004</v>
      </c>
      <c r="E42" t="str">
        <f>VLOOKUP(Medical_Examinations_2[[#This Row],[Customer ID]],Medical_Examinations!$1:$1048576,6,FALSE)</f>
        <v>No</v>
      </c>
      <c r="F42" t="str">
        <f>VLOOKUP(Medical_Examinations_2[[#This Row],[Customer ID]],Medical_Examinations!$1:$1048576,7,FALSE)</f>
        <v>yes</v>
      </c>
      <c r="H42">
        <f>VLOOKUP(Medical_Examinations_2[[#This Row],[Customer ID]],Medical_Examinations!$1:$1048576,9,FALSE)</f>
        <v>1</v>
      </c>
      <c r="I42" t="str">
        <f>VLOOKUP(Medical_Examinations_2[[#This Row],[Customer ID]],Medical_Examinations!$1:$1048576,11,FALSE)</f>
        <v>Yes</v>
      </c>
      <c r="J42" t="str">
        <f>VLOOKUP(Medical_Examinations_2[[#This Row],[Customer ID]],Medical_Examinations!$1:$1048576,3,FALSE)</f>
        <v>Obesity</v>
      </c>
      <c r="K42" t="str">
        <f>VLOOKUP(Medical_Examinations_2[[#This Row],[Customer ID]],Medical_Examinations!$1:$1048576,5,FALSE)</f>
        <v>Normal</v>
      </c>
      <c r="L42" s="7">
        <f>VLOOKUP(Hospitalisation_Details_2__3[[#This Row],[Customer ID]],Hospitalisation_Details_2__2!$1:$1048576,7,FALSE)</f>
        <v>37456</v>
      </c>
      <c r="M42" t="str">
        <f>VLOOKUP(Hospitalisation_Details_2__3[[#This Row],[Customer ID]],Hospitalisation_Details_2__2!$1:$1048576,9,FALSE)</f>
        <v>$1132</v>
      </c>
      <c r="N42" t="str">
        <f>VLOOKUP(Hospitalisation_Details_2__3[[#This Row],[Customer ID]],Hospitalisation_Details_2__2!$1:$1048576,10,FALSE)</f>
        <v>tier - 3</v>
      </c>
      <c r="O42" t="str">
        <f>VLOOKUP(Hospitalisation_Details_2__3[[#This Row],[Customer ID]],Hospitalisation_Details_2__2!$1:$1048576,11,FALSE)</f>
        <v>tier - 1</v>
      </c>
      <c r="P42" t="str">
        <f>VLOOKUP(Hospitalisation_Details_2__3[[#This Row],[Customer ID]],Hospitalisation_Details_2__2!$1:$1048576,12,FALSE)</f>
        <v>R1013</v>
      </c>
      <c r="Q42">
        <f>VLOOKUP(Hospitalisation_Details_2__3[[#This Row],[Customer ID]],Hospitalisation_Details_2__2!$1:$1048576,13,FALSE)</f>
        <v>24</v>
      </c>
    </row>
    <row r="43" spans="1:17" x14ac:dyDescent="0.25">
      <c r="A43" s="11" t="s">
        <v>63</v>
      </c>
      <c r="B43" t="str">
        <f>VLOOKUP(Customer_Names!A43,Customer_Names!$1:$1048576,4,FALSE)</f>
        <v>Roseann</v>
      </c>
      <c r="C43">
        <f>VLOOKUP(Medical_Examinations_2[[#This Row],[Customer ID]],Medical_Examinations!$1:$1048576,2,FALSE)</f>
        <v>35.200000000000003</v>
      </c>
      <c r="D43">
        <f>VLOOKUP(Medical_Examinations_2[[#This Row],[Customer ID]],Medical_Examinations!$1:$1048576,4,FALSE)</f>
        <v>11.68</v>
      </c>
      <c r="E43" t="str">
        <f>VLOOKUP(Medical_Examinations_2[[#This Row],[Customer ID]],Medical_Examinations!$1:$1048576,6,FALSE)</f>
        <v>Yes</v>
      </c>
      <c r="F43" t="str">
        <f>VLOOKUP(Medical_Examinations_2[[#This Row],[Customer ID]],Medical_Examinations!$1:$1048576,7,FALSE)</f>
        <v>No</v>
      </c>
      <c r="H43" t="str">
        <f>VLOOKUP(Medical_Examinations_2[[#This Row],[Customer ID]],Medical_Examinations!$1:$1048576,9,FALSE)</f>
        <v>No major surgery</v>
      </c>
      <c r="I43" t="str">
        <f>VLOOKUP(Medical_Examinations_2[[#This Row],[Customer ID]],Medical_Examinations!$1:$1048576,11,FALSE)</f>
        <v>Yes</v>
      </c>
      <c r="J43" t="str">
        <f>VLOOKUP(Medical_Examinations_2[[#This Row],[Customer ID]],Medical_Examinations!$1:$1048576,3,FALSE)</f>
        <v>Obesity</v>
      </c>
      <c r="K43" t="str">
        <f>VLOOKUP(Medical_Examinations_2[[#This Row],[Customer ID]],Medical_Examinations!$1:$1048576,5,FALSE)</f>
        <v>Diabetes</v>
      </c>
      <c r="L43" s="7">
        <f>VLOOKUP(Hospitalisation_Details_2__3[[#This Row],[Customer ID]],Hospitalisation_Details_2__2!$1:$1048576,7,FALSE)</f>
        <v>38266</v>
      </c>
      <c r="M43" t="str">
        <f>VLOOKUP(Hospitalisation_Details_2__3[[#This Row],[Customer ID]],Hospitalisation_Details_2__2!$1:$1048576,9,FALSE)</f>
        <v>$1135</v>
      </c>
      <c r="N43" t="str">
        <f>VLOOKUP(Hospitalisation_Details_2__3[[#This Row],[Customer ID]],Hospitalisation_Details_2__2!$1:$1048576,10,FALSE)</f>
        <v>tier - 3</v>
      </c>
      <c r="O43" t="str">
        <f>VLOOKUP(Hospitalisation_Details_2__3[[#This Row],[Customer ID]],Hospitalisation_Details_2__2!$1:$1048576,11,FALSE)</f>
        <v>tier - 3</v>
      </c>
      <c r="P43" t="str">
        <f>VLOOKUP(Hospitalisation_Details_2__3[[#This Row],[Customer ID]],Hospitalisation_Details_2__2!$1:$1048576,12,FALSE)</f>
        <v>R1013</v>
      </c>
      <c r="Q43">
        <f>VLOOKUP(Hospitalisation_Details_2__3[[#This Row],[Customer ID]],Hospitalisation_Details_2__2!$1:$1048576,13,FALSE)</f>
        <v>22</v>
      </c>
    </row>
    <row r="44" spans="1:17" x14ac:dyDescent="0.25">
      <c r="A44" s="10" t="s">
        <v>64</v>
      </c>
      <c r="B44" t="str">
        <f>VLOOKUP(Customer_Names!A44,Customer_Names!$1:$1048576,4,FALSE)</f>
        <v>Nicole</v>
      </c>
      <c r="C44">
        <f>VLOOKUP(Medical_Examinations_2[[#This Row],[Customer ID]],Medical_Examinations!$1:$1048576,2,FALSE)</f>
        <v>38.06</v>
      </c>
      <c r="D44">
        <f>VLOOKUP(Medical_Examinations_2[[#This Row],[Customer ID]],Medical_Examinations!$1:$1048576,4,FALSE)</f>
        <v>6.98</v>
      </c>
      <c r="E44" t="str">
        <f>VLOOKUP(Medical_Examinations_2[[#This Row],[Customer ID]],Medical_Examinations!$1:$1048576,6,FALSE)</f>
        <v>No</v>
      </c>
      <c r="F44" t="str">
        <f>VLOOKUP(Medical_Examinations_2[[#This Row],[Customer ID]],Medical_Examinations!$1:$1048576,7,FALSE)</f>
        <v>No</v>
      </c>
      <c r="H44" t="str">
        <f>VLOOKUP(Medical_Examinations_2[[#This Row],[Customer ID]],Medical_Examinations!$1:$1048576,9,FALSE)</f>
        <v>No major surgery</v>
      </c>
      <c r="I44" t="str">
        <f>VLOOKUP(Medical_Examinations_2[[#This Row],[Customer ID]],Medical_Examinations!$1:$1048576,11,FALSE)</f>
        <v>Yes</v>
      </c>
      <c r="J44" t="str">
        <f>VLOOKUP(Medical_Examinations_2[[#This Row],[Customer ID]],Medical_Examinations!$1:$1048576,3,FALSE)</f>
        <v>Obesity</v>
      </c>
      <c r="K44" t="str">
        <f>VLOOKUP(Medical_Examinations_2[[#This Row],[Customer ID]],Medical_Examinations!$1:$1048576,5,FALSE)</f>
        <v>Diabetes</v>
      </c>
      <c r="L44" s="7">
        <f>VLOOKUP(Hospitalisation_Details_2__3[[#This Row],[Customer ID]],Hospitalisation_Details_2__2!$1:$1048576,7,FALSE)</f>
        <v>38149</v>
      </c>
      <c r="M44" t="str">
        <f>VLOOKUP(Hospitalisation_Details_2__3[[#This Row],[Customer ID]],Hospitalisation_Details_2__2!$1:$1048576,9,FALSE)</f>
        <v>$1135.94</v>
      </c>
      <c r="N44" t="str">
        <f>VLOOKUP(Hospitalisation_Details_2__3[[#This Row],[Customer ID]],Hospitalisation_Details_2__2!$1:$1048576,10,FALSE)</f>
        <v>tier - 3</v>
      </c>
      <c r="O44" t="str">
        <f>VLOOKUP(Hospitalisation_Details_2__3[[#This Row],[Customer ID]],Hospitalisation_Details_2__2!$1:$1048576,11,FALSE)</f>
        <v>tier - 3</v>
      </c>
      <c r="P44" t="str">
        <f>VLOOKUP(Hospitalisation_Details_2__3[[#This Row],[Customer ID]],Hospitalisation_Details_2__2!$1:$1048576,12,FALSE)</f>
        <v>R1013</v>
      </c>
      <c r="Q44">
        <f>VLOOKUP(Hospitalisation_Details_2__3[[#This Row],[Customer ID]],Hospitalisation_Details_2__2!$1:$1048576,13,FALSE)</f>
        <v>22</v>
      </c>
    </row>
    <row r="45" spans="1:17" x14ac:dyDescent="0.25">
      <c r="A45" s="11" t="s">
        <v>65</v>
      </c>
      <c r="B45" t="str">
        <f>VLOOKUP(Customer_Names!A45,Customer_Names!$1:$1048576,4,FALSE)</f>
        <v>Spencer</v>
      </c>
      <c r="C45">
        <f>VLOOKUP(Medical_Examinations_2[[#This Row],[Customer ID]],Medical_Examinations!$1:$1048576,2,FALSE)</f>
        <v>34.21</v>
      </c>
      <c r="D45">
        <f>VLOOKUP(Medical_Examinations_2[[#This Row],[Customer ID]],Medical_Examinations!$1:$1048576,4,FALSE)</f>
        <v>8.34</v>
      </c>
      <c r="E45" t="str">
        <f>VLOOKUP(Medical_Examinations_2[[#This Row],[Customer ID]],Medical_Examinations!$1:$1048576,6,FALSE)</f>
        <v>No</v>
      </c>
      <c r="F45" t="str">
        <f>VLOOKUP(Medical_Examinations_2[[#This Row],[Customer ID]],Medical_Examinations!$1:$1048576,7,FALSE)</f>
        <v>No</v>
      </c>
      <c r="H45" t="str">
        <f>VLOOKUP(Medical_Examinations_2[[#This Row],[Customer ID]],Medical_Examinations!$1:$1048576,9,FALSE)</f>
        <v>No major surgery</v>
      </c>
      <c r="I45" t="str">
        <f>VLOOKUP(Medical_Examinations_2[[#This Row],[Customer ID]],Medical_Examinations!$1:$1048576,11,FALSE)</f>
        <v>Yes</v>
      </c>
      <c r="J45" t="str">
        <f>VLOOKUP(Medical_Examinations_2[[#This Row],[Customer ID]],Medical_Examinations!$1:$1048576,3,FALSE)</f>
        <v>Obesity</v>
      </c>
      <c r="K45" t="str">
        <f>VLOOKUP(Medical_Examinations_2[[#This Row],[Customer ID]],Medical_Examinations!$1:$1048576,5,FALSE)</f>
        <v>Diabetes</v>
      </c>
      <c r="L45" s="7">
        <f>VLOOKUP(Hospitalisation_Details_2__3[[#This Row],[Customer ID]],Hospitalisation_Details_2__2!$1:$1048576,7,FALSE)</f>
        <v>38319</v>
      </c>
      <c r="M45" t="str">
        <f>VLOOKUP(Hospitalisation_Details_2__3[[#This Row],[Customer ID]],Hospitalisation_Details_2__2!$1:$1048576,9,FALSE)</f>
        <v>$1136.4000000000001</v>
      </c>
      <c r="N45" t="str">
        <f>VLOOKUP(Hospitalisation_Details_2__3[[#This Row],[Customer ID]],Hospitalisation_Details_2__2!$1:$1048576,10,FALSE)</f>
        <v>tier - 3</v>
      </c>
      <c r="O45" t="str">
        <f>VLOOKUP(Hospitalisation_Details_2__3[[#This Row],[Customer ID]],Hospitalisation_Details_2__2!$1:$1048576,11,FALSE)</f>
        <v>tier - 3</v>
      </c>
      <c r="P45" t="str">
        <f>VLOOKUP(Hospitalisation_Details_2__3[[#This Row],[Customer ID]],Hospitalisation_Details_2__2!$1:$1048576,12,FALSE)</f>
        <v>R1013</v>
      </c>
      <c r="Q45">
        <f>VLOOKUP(Hospitalisation_Details_2__3[[#This Row],[Customer ID]],Hospitalisation_Details_2__2!$1:$1048576,13,FALSE)</f>
        <v>22</v>
      </c>
    </row>
    <row r="46" spans="1:17" x14ac:dyDescent="0.25">
      <c r="A46" s="10" t="s">
        <v>66</v>
      </c>
      <c r="B46" t="str">
        <f>VLOOKUP(Customer_Names!A46,Customer_Names!$1:$1048576,4,FALSE)</f>
        <v>Eric W</v>
      </c>
      <c r="C46">
        <f>VLOOKUP(Medical_Examinations_2[[#This Row],[Customer ID]],Medical_Examinations!$1:$1048576,2,FALSE)</f>
        <v>38.94</v>
      </c>
      <c r="D46">
        <f>VLOOKUP(Medical_Examinations_2[[#This Row],[Customer ID]],Medical_Examinations!$1:$1048576,4,FALSE)</f>
        <v>8.49</v>
      </c>
      <c r="E46" t="str">
        <f>VLOOKUP(Medical_Examinations_2[[#This Row],[Customer ID]],Medical_Examinations!$1:$1048576,6,FALSE)</f>
        <v>Yes</v>
      </c>
      <c r="F46" t="str">
        <f>VLOOKUP(Medical_Examinations_2[[#This Row],[Customer ID]],Medical_Examinations!$1:$1048576,7,FALSE)</f>
        <v>No</v>
      </c>
      <c r="H46">
        <f>VLOOKUP(Medical_Examinations_2[[#This Row],[Customer ID]],Medical_Examinations!$1:$1048576,9,FALSE)</f>
        <v>1</v>
      </c>
      <c r="I46" t="str">
        <f>VLOOKUP(Medical_Examinations_2[[#This Row],[Customer ID]],Medical_Examinations!$1:$1048576,11,FALSE)</f>
        <v>Yes</v>
      </c>
      <c r="J46" t="str">
        <f>VLOOKUP(Medical_Examinations_2[[#This Row],[Customer ID]],Medical_Examinations!$1:$1048576,3,FALSE)</f>
        <v>Obesity</v>
      </c>
      <c r="K46" t="str">
        <f>VLOOKUP(Medical_Examinations_2[[#This Row],[Customer ID]],Medical_Examinations!$1:$1048576,5,FALSE)</f>
        <v>Diabetes</v>
      </c>
      <c r="L46" s="7">
        <f>VLOOKUP(Hospitalisation_Details_2__3[[#This Row],[Customer ID]],Hospitalisation_Details_2__2!$1:$1048576,7,FALSE)</f>
        <v>37479</v>
      </c>
      <c r="M46" t="str">
        <f>VLOOKUP(Hospitalisation_Details_2__3[[#This Row],[Customer ID]],Hospitalisation_Details_2__2!$1:$1048576,9,FALSE)</f>
        <v>$1137</v>
      </c>
      <c r="N46" t="str">
        <f>VLOOKUP(Hospitalisation_Details_2__3[[#This Row],[Customer ID]],Hospitalisation_Details_2__2!$1:$1048576,10,FALSE)</f>
        <v>tier - 3</v>
      </c>
      <c r="O46" t="str">
        <f>VLOOKUP(Hospitalisation_Details_2__3[[#This Row],[Customer ID]],Hospitalisation_Details_2__2!$1:$1048576,11,FALSE)</f>
        <v>tier - 1</v>
      </c>
      <c r="P46" t="str">
        <f>VLOOKUP(Hospitalisation_Details_2__3[[#This Row],[Customer ID]],Hospitalisation_Details_2__2!$1:$1048576,12,FALSE)</f>
        <v>R1013</v>
      </c>
      <c r="Q46">
        <f>VLOOKUP(Hospitalisation_Details_2__3[[#This Row],[Customer ID]],Hospitalisation_Details_2__2!$1:$1048576,13,FALSE)</f>
        <v>24</v>
      </c>
    </row>
    <row r="47" spans="1:17" x14ac:dyDescent="0.25">
      <c r="A47" s="11" t="s">
        <v>30</v>
      </c>
      <c r="B47" t="str">
        <f>VLOOKUP(Customer_Names!A47,Customer_Names!$1:$1048576,4,FALSE)</f>
        <v>Brianna L</v>
      </c>
      <c r="C47">
        <f>VLOOKUP(Medical_Examinations_2[[#This Row],[Customer ID]],Medical_Examinations!$1:$1048576,2,FALSE)</f>
        <v>30.21</v>
      </c>
      <c r="D47">
        <f>VLOOKUP(Medical_Examinations_2[[#This Row],[Customer ID]],Medical_Examinations!$1:$1048576,4,FALSE)</f>
        <v>5.34</v>
      </c>
      <c r="E47" t="str">
        <f>VLOOKUP(Medical_Examinations_2[[#This Row],[Customer ID]],Medical_Examinations!$1:$1048576,6,FALSE)</f>
        <v>Yes</v>
      </c>
      <c r="F47" t="str">
        <f>VLOOKUP(Medical_Examinations_2[[#This Row],[Customer ID]],Medical_Examinations!$1:$1048576,7,FALSE)</f>
        <v>No</v>
      </c>
      <c r="H47">
        <f>VLOOKUP(Medical_Examinations_2[[#This Row],[Customer ID]],Medical_Examinations!$1:$1048576,9,FALSE)</f>
        <v>1</v>
      </c>
      <c r="I47" t="str">
        <f>VLOOKUP(Medical_Examinations_2[[#This Row],[Customer ID]],Medical_Examinations!$1:$1048576,11,FALSE)</f>
        <v>Yes</v>
      </c>
      <c r="J47" t="str">
        <f>VLOOKUP(Medical_Examinations_2[[#This Row],[Customer ID]],Medical_Examinations!$1:$1048576,3,FALSE)</f>
        <v>Obesity</v>
      </c>
      <c r="K47" t="str">
        <f>VLOOKUP(Medical_Examinations_2[[#This Row],[Customer ID]],Medical_Examinations!$1:$1048576,5,FALSE)</f>
        <v>Normal</v>
      </c>
      <c r="L47" s="7">
        <f>VLOOKUP(Hospitalisation_Details_2__3[[#This Row],[Customer ID]],Hospitalisation_Details_2__2!$1:$1048576,7,FALSE)</f>
        <v>38297</v>
      </c>
      <c r="M47" t="str">
        <f>VLOOKUP(Hospitalisation_Details_2__3[[#This Row],[Customer ID]],Hospitalisation_Details_2__2!$1:$1048576,9,FALSE)</f>
        <v>$1137.01</v>
      </c>
      <c r="N47" t="str">
        <f>VLOOKUP(Hospitalisation_Details_2__3[[#This Row],[Customer ID]],Hospitalisation_Details_2__2!$1:$1048576,10,FALSE)</f>
        <v>tier - 3</v>
      </c>
      <c r="O47" t="str">
        <f>VLOOKUP(Hospitalisation_Details_2__3[[#This Row],[Customer ID]],Hospitalisation_Details_2__2!$1:$1048576,11,FALSE)</f>
        <v>tier - 1</v>
      </c>
      <c r="P47" t="str">
        <f>VLOOKUP(Hospitalisation_Details_2__3[[#This Row],[Customer ID]],Hospitalisation_Details_2__2!$1:$1048576,12,FALSE)</f>
        <v>R1013</v>
      </c>
      <c r="Q47">
        <f>VLOOKUP(Hospitalisation_Details_2__3[[#This Row],[Customer ID]],Hospitalisation_Details_2__2!$1:$1048576,13,FALSE)</f>
        <v>22</v>
      </c>
    </row>
    <row r="48" spans="1:17" x14ac:dyDescent="0.25">
      <c r="A48" s="10" t="s">
        <v>67</v>
      </c>
      <c r="B48" t="str">
        <f>VLOOKUP(Customer_Names!A48,Customer_Names!$1:$1048576,4,FALSE)</f>
        <v>Thomas J.</v>
      </c>
      <c r="C48">
        <f>VLOOKUP(Medical_Examinations_2[[#This Row],[Customer ID]],Medical_Examinations!$1:$1048576,2,FALSE)</f>
        <v>33.630000000000003</v>
      </c>
      <c r="D48">
        <f>VLOOKUP(Medical_Examinations_2[[#This Row],[Customer ID]],Medical_Examinations!$1:$1048576,4,FALSE)</f>
        <v>4.43</v>
      </c>
      <c r="E48" t="str">
        <f>VLOOKUP(Medical_Examinations_2[[#This Row],[Customer ID]],Medical_Examinations!$1:$1048576,6,FALSE)</f>
        <v>Yes</v>
      </c>
      <c r="F48" t="str">
        <f>VLOOKUP(Medical_Examinations_2[[#This Row],[Customer ID]],Medical_Examinations!$1:$1048576,7,FALSE)</f>
        <v>No</v>
      </c>
      <c r="H48">
        <f>VLOOKUP(Medical_Examinations_2[[#This Row],[Customer ID]],Medical_Examinations!$1:$1048576,9,FALSE)</f>
        <v>2</v>
      </c>
      <c r="I48" t="str">
        <f>VLOOKUP(Medical_Examinations_2[[#This Row],[Customer ID]],Medical_Examinations!$1:$1048576,11,FALSE)</f>
        <v>Yes</v>
      </c>
      <c r="J48" t="str">
        <f>VLOOKUP(Medical_Examinations_2[[#This Row],[Customer ID]],Medical_Examinations!$1:$1048576,3,FALSE)</f>
        <v>Obesity</v>
      </c>
      <c r="K48" t="str">
        <f>VLOOKUP(Medical_Examinations_2[[#This Row],[Customer ID]],Medical_Examinations!$1:$1048576,5,FALSE)</f>
        <v>Normal</v>
      </c>
      <c r="L48" s="7">
        <f>VLOOKUP(Hospitalisation_Details_2__3[[#This Row],[Customer ID]],Hospitalisation_Details_2__2!$1:$1048576,7,FALSE)</f>
        <v>38275</v>
      </c>
      <c r="M48" t="str">
        <f>VLOOKUP(Hospitalisation_Details_2__3[[#This Row],[Customer ID]],Hospitalisation_Details_2__2!$1:$1048576,9,FALSE)</f>
        <v>$1137.01</v>
      </c>
      <c r="N48" t="str">
        <f>VLOOKUP(Hospitalisation_Details_2__3[[#This Row],[Customer ID]],Hospitalisation_Details_2__2!$1:$1048576,10,FALSE)</f>
        <v>tier - 3</v>
      </c>
      <c r="O48" t="str">
        <f>VLOOKUP(Hospitalisation_Details_2__3[[#This Row],[Customer ID]],Hospitalisation_Details_2__2!$1:$1048576,11,FALSE)</f>
        <v>tier - 1</v>
      </c>
      <c r="P48" t="str">
        <f>VLOOKUP(Hospitalisation_Details_2__3[[#This Row],[Customer ID]],Hospitalisation_Details_2__2!$1:$1048576,12,FALSE)</f>
        <v>R1013</v>
      </c>
      <c r="Q48">
        <f>VLOOKUP(Hospitalisation_Details_2__3[[#This Row],[Customer ID]],Hospitalisation_Details_2__2!$1:$1048576,13,FALSE)</f>
        <v>22</v>
      </c>
    </row>
    <row r="49" spans="1:17" x14ac:dyDescent="0.25">
      <c r="A49" s="11" t="s">
        <v>68</v>
      </c>
      <c r="B49" t="str">
        <f>VLOOKUP(Customer_Names!A49,Customer_Names!$1:$1048576,4,FALSE)</f>
        <v>Melissa L</v>
      </c>
      <c r="C49">
        <f>VLOOKUP(Medical_Examinations_2[[#This Row],[Customer ID]],Medical_Examinations!$1:$1048576,2,FALSE)</f>
        <v>40.369999999999997</v>
      </c>
      <c r="D49">
        <f>VLOOKUP(Medical_Examinations_2[[#This Row],[Customer ID]],Medical_Examinations!$1:$1048576,4,FALSE)</f>
        <v>4.47</v>
      </c>
      <c r="E49" t="str">
        <f>VLOOKUP(Medical_Examinations_2[[#This Row],[Customer ID]],Medical_Examinations!$1:$1048576,6,FALSE)</f>
        <v>No</v>
      </c>
      <c r="F49" t="str">
        <f>VLOOKUP(Medical_Examinations_2[[#This Row],[Customer ID]],Medical_Examinations!$1:$1048576,7,FALSE)</f>
        <v>No</v>
      </c>
      <c r="H49" t="str">
        <f>VLOOKUP(Medical_Examinations_2[[#This Row],[Customer ID]],Medical_Examinations!$1:$1048576,9,FALSE)</f>
        <v>No major surgery</v>
      </c>
      <c r="I49" t="str">
        <f>VLOOKUP(Medical_Examinations_2[[#This Row],[Customer ID]],Medical_Examinations!$1:$1048576,11,FALSE)</f>
        <v>Yes</v>
      </c>
      <c r="J49" t="str">
        <f>VLOOKUP(Medical_Examinations_2[[#This Row],[Customer ID]],Medical_Examinations!$1:$1048576,3,FALSE)</f>
        <v>Obesity</v>
      </c>
      <c r="K49" t="str">
        <f>VLOOKUP(Medical_Examinations_2[[#This Row],[Customer ID]],Medical_Examinations!$1:$1048576,5,FALSE)</f>
        <v>Normal</v>
      </c>
      <c r="L49" s="7">
        <f>VLOOKUP(Hospitalisation_Details_2__3[[#This Row],[Customer ID]],Hospitalisation_Details_2__2!$1:$1048576,7,FALSE)</f>
        <v>38318</v>
      </c>
      <c r="M49" t="str">
        <f>VLOOKUP(Hospitalisation_Details_2__3[[#This Row],[Customer ID]],Hospitalisation_Details_2__2!$1:$1048576,9,FALSE)</f>
        <v>$1137.47</v>
      </c>
      <c r="N49" t="str">
        <f>VLOOKUP(Hospitalisation_Details_2__3[[#This Row],[Customer ID]],Hospitalisation_Details_2__2!$1:$1048576,10,FALSE)</f>
        <v>tier - 3</v>
      </c>
      <c r="O49" t="str">
        <f>VLOOKUP(Hospitalisation_Details_2__3[[#This Row],[Customer ID]],Hospitalisation_Details_2__2!$1:$1048576,11,FALSE)</f>
        <v>tier - 2</v>
      </c>
      <c r="P49" t="str">
        <f>VLOOKUP(Hospitalisation_Details_2__3[[#This Row],[Customer ID]],Hospitalisation_Details_2__2!$1:$1048576,12,FALSE)</f>
        <v>R1013</v>
      </c>
      <c r="Q49">
        <f>VLOOKUP(Hospitalisation_Details_2__3[[#This Row],[Customer ID]],Hospitalisation_Details_2__2!$1:$1048576,13,FALSE)</f>
        <v>22</v>
      </c>
    </row>
    <row r="50" spans="1:17" x14ac:dyDescent="0.25">
      <c r="A50" s="10" t="s">
        <v>69</v>
      </c>
      <c r="B50" t="str">
        <f>VLOOKUP(Customer_Names!A50,Customer_Names!$1:$1048576,4,FALSE)</f>
        <v>Mr.  Flavio</v>
      </c>
      <c r="C50">
        <f>VLOOKUP(Medical_Examinations_2[[#This Row],[Customer ID]],Medical_Examinations!$1:$1048576,2,FALSE)</f>
        <v>53.09</v>
      </c>
      <c r="D50">
        <f>VLOOKUP(Medical_Examinations_2[[#This Row],[Customer ID]],Medical_Examinations!$1:$1048576,4,FALSE)</f>
        <v>4.82</v>
      </c>
      <c r="E50" t="str">
        <f>VLOOKUP(Medical_Examinations_2[[#This Row],[Customer ID]],Medical_Examinations!$1:$1048576,6,FALSE)</f>
        <v>Yes</v>
      </c>
      <c r="F50" t="str">
        <f>VLOOKUP(Medical_Examinations_2[[#This Row],[Customer ID]],Medical_Examinations!$1:$1048576,7,FALSE)</f>
        <v>No</v>
      </c>
      <c r="H50">
        <f>VLOOKUP(Medical_Examinations_2[[#This Row],[Customer ID]],Medical_Examinations!$1:$1048576,9,FALSE)</f>
        <v>2</v>
      </c>
      <c r="I50" t="str">
        <f>VLOOKUP(Medical_Examinations_2[[#This Row],[Customer ID]],Medical_Examinations!$1:$1048576,11,FALSE)</f>
        <v>Yes</v>
      </c>
      <c r="J50" t="str">
        <f>VLOOKUP(Medical_Examinations_2[[#This Row],[Customer ID]],Medical_Examinations!$1:$1048576,3,FALSE)</f>
        <v>Obesity</v>
      </c>
      <c r="K50" t="str">
        <f>VLOOKUP(Medical_Examinations_2[[#This Row],[Customer ID]],Medical_Examinations!$1:$1048576,5,FALSE)</f>
        <v>Normal</v>
      </c>
      <c r="L50" s="7">
        <f>VLOOKUP(Hospitalisation_Details_2__3[[#This Row],[Customer ID]],Hospitalisation_Details_2__2!$1:$1048576,7,FALSE)</f>
        <v>37189</v>
      </c>
      <c r="M50" t="str">
        <f>VLOOKUP(Hospitalisation_Details_2__3[[#This Row],[Customer ID]],Hospitalisation_Details_2__2!$1:$1048576,9,FALSE)</f>
        <v>$1141</v>
      </c>
      <c r="N50" t="str">
        <f>VLOOKUP(Hospitalisation_Details_2__3[[#This Row],[Customer ID]],Hospitalisation_Details_2__2!$1:$1048576,10,FALSE)</f>
        <v>tier - 3</v>
      </c>
      <c r="O50" t="str">
        <f>VLOOKUP(Hospitalisation_Details_2__3[[#This Row],[Customer ID]],Hospitalisation_Details_2__2!$1:$1048576,11,FALSE)</f>
        <v>tier - 1</v>
      </c>
      <c r="P50" t="str">
        <f>VLOOKUP(Hospitalisation_Details_2__3[[#This Row],[Customer ID]],Hospitalisation_Details_2__2!$1:$1048576,12,FALSE)</f>
        <v>R1013</v>
      </c>
      <c r="Q50">
        <f>VLOOKUP(Hospitalisation_Details_2__3[[#This Row],[Customer ID]],Hospitalisation_Details_2__2!$1:$1048576,13,FALSE)</f>
        <v>25</v>
      </c>
    </row>
    <row r="51" spans="1:17" x14ac:dyDescent="0.25">
      <c r="A51" s="11" t="s">
        <v>70</v>
      </c>
      <c r="B51" t="str">
        <f>VLOOKUP(Customer_Names!A51,Customer_Names!$1:$1048576,4,FALSE)</f>
        <v>Ryan</v>
      </c>
      <c r="C51">
        <f>VLOOKUP(Medical_Examinations_2[[#This Row],[Customer ID]],Medical_Examinations!$1:$1048576,2,FALSE)</f>
        <v>31.79</v>
      </c>
      <c r="D51">
        <f>VLOOKUP(Medical_Examinations_2[[#This Row],[Customer ID]],Medical_Examinations!$1:$1048576,4,FALSE)</f>
        <v>5.51</v>
      </c>
      <c r="E51" t="str">
        <f>VLOOKUP(Medical_Examinations_2[[#This Row],[Customer ID]],Medical_Examinations!$1:$1048576,6,FALSE)</f>
        <v>Yes</v>
      </c>
      <c r="F51" t="str">
        <f>VLOOKUP(Medical_Examinations_2[[#This Row],[Customer ID]],Medical_Examinations!$1:$1048576,7,FALSE)</f>
        <v>No</v>
      </c>
      <c r="H51">
        <f>VLOOKUP(Medical_Examinations_2[[#This Row],[Customer ID]],Medical_Examinations!$1:$1048576,9,FALSE)</f>
        <v>2</v>
      </c>
      <c r="I51" t="str">
        <f>VLOOKUP(Medical_Examinations_2[[#This Row],[Customer ID]],Medical_Examinations!$1:$1048576,11,FALSE)</f>
        <v>Yes</v>
      </c>
      <c r="J51" t="str">
        <f>VLOOKUP(Medical_Examinations_2[[#This Row],[Customer ID]],Medical_Examinations!$1:$1048576,3,FALSE)</f>
        <v>Obesity</v>
      </c>
      <c r="K51" t="str">
        <f>VLOOKUP(Medical_Examinations_2[[#This Row],[Customer ID]],Medical_Examinations!$1:$1048576,5,FALSE)</f>
        <v>Normal</v>
      </c>
      <c r="L51" s="7">
        <f>VLOOKUP(Hospitalisation_Details_2__3[[#This Row],[Customer ID]],Hospitalisation_Details_2__2!$1:$1048576,7,FALSE)</f>
        <v>38242</v>
      </c>
      <c r="M51" t="str">
        <f>VLOOKUP(Hospitalisation_Details_2__3[[#This Row],[Customer ID]],Hospitalisation_Details_2__2!$1:$1048576,9,FALSE)</f>
        <v>$1141.45</v>
      </c>
      <c r="N51" t="str">
        <f>VLOOKUP(Hospitalisation_Details_2__3[[#This Row],[Customer ID]],Hospitalisation_Details_2__2!$1:$1048576,10,FALSE)</f>
        <v>tier - 3</v>
      </c>
      <c r="O51" t="str">
        <f>VLOOKUP(Hospitalisation_Details_2__3[[#This Row],[Customer ID]],Hospitalisation_Details_2__2!$1:$1048576,11,FALSE)</f>
        <v>tier - 3</v>
      </c>
      <c r="P51" t="str">
        <f>VLOOKUP(Hospitalisation_Details_2__3[[#This Row],[Customer ID]],Hospitalisation_Details_2__2!$1:$1048576,12,FALSE)</f>
        <v>R1013</v>
      </c>
      <c r="Q51">
        <f>VLOOKUP(Hospitalisation_Details_2__3[[#This Row],[Customer ID]],Hospitalisation_Details_2__2!$1:$1048576,13,FALSE)</f>
        <v>22</v>
      </c>
    </row>
    <row r="52" spans="1:17" x14ac:dyDescent="0.25">
      <c r="A52" s="10" t="s">
        <v>71</v>
      </c>
      <c r="B52" t="str">
        <f>VLOOKUP(Customer_Names!A52,Customer_Names!$1:$1048576,4,FALSE)</f>
        <v>Anthony J.</v>
      </c>
      <c r="C52">
        <f>VLOOKUP(Medical_Examinations_2[[#This Row],[Customer ID]],Medical_Examinations!$1:$1048576,2,FALSE)</f>
        <v>41.895000000000003</v>
      </c>
      <c r="D52">
        <f>VLOOKUP(Medical_Examinations_2[[#This Row],[Customer ID]],Medical_Examinations!$1:$1048576,4,FALSE)</f>
        <v>10.87</v>
      </c>
      <c r="E52" t="str">
        <f>VLOOKUP(Medical_Examinations_2[[#This Row],[Customer ID]],Medical_Examinations!$1:$1048576,6,FALSE)</f>
        <v>Yes</v>
      </c>
      <c r="F52" t="str">
        <f>VLOOKUP(Medical_Examinations_2[[#This Row],[Customer ID]],Medical_Examinations!$1:$1048576,7,FALSE)</f>
        <v>No</v>
      </c>
      <c r="H52">
        <f>VLOOKUP(Medical_Examinations_2[[#This Row],[Customer ID]],Medical_Examinations!$1:$1048576,9,FALSE)</f>
        <v>1</v>
      </c>
      <c r="I52" t="str">
        <f>VLOOKUP(Medical_Examinations_2[[#This Row],[Customer ID]],Medical_Examinations!$1:$1048576,11,FALSE)</f>
        <v>Yes</v>
      </c>
      <c r="J52" t="str">
        <f>VLOOKUP(Medical_Examinations_2[[#This Row],[Customer ID]],Medical_Examinations!$1:$1048576,3,FALSE)</f>
        <v>Obesity</v>
      </c>
      <c r="K52" t="str">
        <f>VLOOKUP(Medical_Examinations_2[[#This Row],[Customer ID]],Medical_Examinations!$1:$1048576,5,FALSE)</f>
        <v>Diabetes</v>
      </c>
      <c r="L52" s="7">
        <f>VLOOKUP(Hospitalisation_Details_2__3[[#This Row],[Customer ID]],Hospitalisation_Details_2__2!$1:$1048576,7,FALSE)</f>
        <v>37530</v>
      </c>
      <c r="M52" t="str">
        <f>VLOOKUP(Hospitalisation_Details_2__3[[#This Row],[Customer ID]],Hospitalisation_Details_2__2!$1:$1048576,9,FALSE)</f>
        <v>$1142</v>
      </c>
      <c r="N52" t="str">
        <f>VLOOKUP(Hospitalisation_Details_2__3[[#This Row],[Customer ID]],Hospitalisation_Details_2__2!$1:$1048576,10,FALSE)</f>
        <v>tier - 3</v>
      </c>
      <c r="O52" t="str">
        <f>VLOOKUP(Hospitalisation_Details_2__3[[#This Row],[Customer ID]],Hospitalisation_Details_2__2!$1:$1048576,11,FALSE)</f>
        <v>tier - 2</v>
      </c>
      <c r="P52" t="str">
        <f>VLOOKUP(Hospitalisation_Details_2__3[[#This Row],[Customer ID]],Hospitalisation_Details_2__2!$1:$1048576,12,FALSE)</f>
        <v>R1011</v>
      </c>
      <c r="Q52">
        <f>VLOOKUP(Hospitalisation_Details_2__3[[#This Row],[Customer ID]],Hospitalisation_Details_2__2!$1:$1048576,13,FALSE)</f>
        <v>24</v>
      </c>
    </row>
    <row r="53" spans="1:17" x14ac:dyDescent="0.25">
      <c r="A53" s="11" t="s">
        <v>72</v>
      </c>
      <c r="B53" t="str">
        <f>VLOOKUP(Customer_Names!A53,Customer_Names!$1:$1048576,4,FALSE)</f>
        <v>Alex</v>
      </c>
      <c r="C53">
        <f>VLOOKUP(Medical_Examinations_2[[#This Row],[Customer ID]],Medical_Examinations!$1:$1048576,2,FALSE)</f>
        <v>31.16</v>
      </c>
      <c r="D53">
        <f>VLOOKUP(Medical_Examinations_2[[#This Row],[Customer ID]],Medical_Examinations!$1:$1048576,4,FALSE)</f>
        <v>9.34</v>
      </c>
      <c r="E53" t="str">
        <f>VLOOKUP(Medical_Examinations_2[[#This Row],[Customer ID]],Medical_Examinations!$1:$1048576,6,FALSE)</f>
        <v>No</v>
      </c>
      <c r="F53" t="str">
        <f>VLOOKUP(Medical_Examinations_2[[#This Row],[Customer ID]],Medical_Examinations!$1:$1048576,7,FALSE)</f>
        <v>No</v>
      </c>
      <c r="H53" t="str">
        <f>VLOOKUP(Medical_Examinations_2[[#This Row],[Customer ID]],Medical_Examinations!$1:$1048576,9,FALSE)</f>
        <v>No major surgery</v>
      </c>
      <c r="I53" t="str">
        <f>VLOOKUP(Medical_Examinations_2[[#This Row],[Customer ID]],Medical_Examinations!$1:$1048576,11,FALSE)</f>
        <v>Yes</v>
      </c>
      <c r="J53" t="str">
        <f>VLOOKUP(Medical_Examinations_2[[#This Row],[Customer ID]],Medical_Examinations!$1:$1048576,3,FALSE)</f>
        <v>Obesity</v>
      </c>
      <c r="K53" t="str">
        <f>VLOOKUP(Medical_Examinations_2[[#This Row],[Customer ID]],Medical_Examinations!$1:$1048576,5,FALSE)</f>
        <v>Diabetes</v>
      </c>
      <c r="L53" s="7">
        <f>VLOOKUP(Hospitalisation_Details_2__3[[#This Row],[Customer ID]],Hospitalisation_Details_2__2!$1:$1048576,7,FALSE)</f>
        <v>38148</v>
      </c>
      <c r="M53" t="str">
        <f>VLOOKUP(Hospitalisation_Details_2__3[[#This Row],[Customer ID]],Hospitalisation_Details_2__2!$1:$1048576,9,FALSE)</f>
        <v>$1146.8</v>
      </c>
      <c r="N53" t="str">
        <f>VLOOKUP(Hospitalisation_Details_2__3[[#This Row],[Customer ID]],Hospitalisation_Details_2__2!$1:$1048576,10,FALSE)</f>
        <v>tier - 2</v>
      </c>
      <c r="O53" t="str">
        <f>VLOOKUP(Hospitalisation_Details_2__3[[#This Row],[Customer ID]],Hospitalisation_Details_2__2!$1:$1048576,11,FALSE)</f>
        <v>tier - 2</v>
      </c>
      <c r="P53" t="str">
        <f>VLOOKUP(Hospitalisation_Details_2__3[[#This Row],[Customer ID]],Hospitalisation_Details_2__2!$1:$1048576,12,FALSE)</f>
        <v>R1013</v>
      </c>
      <c r="Q53">
        <f>VLOOKUP(Hospitalisation_Details_2__3[[#This Row],[Customer ID]],Hospitalisation_Details_2__2!$1:$1048576,13,FALSE)</f>
        <v>22</v>
      </c>
    </row>
    <row r="54" spans="1:17" x14ac:dyDescent="0.25">
      <c r="A54" s="10" t="s">
        <v>73</v>
      </c>
      <c r="B54" t="str">
        <f>VLOOKUP(Customer_Names!A54,Customer_Names!$1:$1048576,4,FALSE)</f>
        <v>David</v>
      </c>
      <c r="C54">
        <f>VLOOKUP(Medical_Examinations_2[[#This Row],[Customer ID]],Medical_Examinations!$1:$1048576,2,FALSE)</f>
        <v>34.104999999999997</v>
      </c>
      <c r="D54">
        <f>VLOOKUP(Medical_Examinations_2[[#This Row],[Customer ID]],Medical_Examinations!$1:$1048576,4,FALSE)</f>
        <v>5.03</v>
      </c>
      <c r="E54" t="str">
        <f>VLOOKUP(Medical_Examinations_2[[#This Row],[Customer ID]],Medical_Examinations!$1:$1048576,6,FALSE)</f>
        <v>Yes</v>
      </c>
      <c r="F54" t="str">
        <f>VLOOKUP(Medical_Examinations_2[[#This Row],[Customer ID]],Medical_Examinations!$1:$1048576,7,FALSE)</f>
        <v>No</v>
      </c>
      <c r="H54">
        <f>VLOOKUP(Medical_Examinations_2[[#This Row],[Customer ID]],Medical_Examinations!$1:$1048576,9,FALSE)</f>
        <v>1</v>
      </c>
      <c r="I54" t="str">
        <f>VLOOKUP(Medical_Examinations_2[[#This Row],[Customer ID]],Medical_Examinations!$1:$1048576,11,FALSE)</f>
        <v>Yes</v>
      </c>
      <c r="J54" t="str">
        <f>VLOOKUP(Medical_Examinations_2[[#This Row],[Customer ID]],Medical_Examinations!$1:$1048576,3,FALSE)</f>
        <v>Obesity</v>
      </c>
      <c r="K54" t="str">
        <f>VLOOKUP(Medical_Examinations_2[[#This Row],[Customer ID]],Medical_Examinations!$1:$1048576,5,FALSE)</f>
        <v>Normal</v>
      </c>
      <c r="L54" s="7">
        <f>VLOOKUP(Hospitalisation_Details_2__3[[#This Row],[Customer ID]],Hospitalisation_Details_2__2!$1:$1048576,7,FALSE)</f>
        <v>37784</v>
      </c>
      <c r="M54" t="str">
        <f>VLOOKUP(Hospitalisation_Details_2__3[[#This Row],[Customer ID]],Hospitalisation_Details_2__2!$1:$1048576,9,FALSE)</f>
        <v>$1149</v>
      </c>
      <c r="N54" t="str">
        <f>VLOOKUP(Hospitalisation_Details_2__3[[#This Row],[Customer ID]],Hospitalisation_Details_2__2!$1:$1048576,10,FALSE)</f>
        <v>tier - 2</v>
      </c>
      <c r="O54" t="str">
        <f>VLOOKUP(Hospitalisation_Details_2__3[[#This Row],[Customer ID]],Hospitalisation_Details_2__2!$1:$1048576,11,FALSE)</f>
        <v>tier - 1</v>
      </c>
      <c r="P54" t="str">
        <f>VLOOKUP(Hospitalisation_Details_2__3[[#This Row],[Customer ID]],Hospitalisation_Details_2__2!$1:$1048576,12,FALSE)</f>
        <v>R1012</v>
      </c>
      <c r="Q54">
        <f>VLOOKUP(Hospitalisation_Details_2__3[[#This Row],[Customer ID]],Hospitalisation_Details_2__2!$1:$1048576,13,FALSE)</f>
        <v>23</v>
      </c>
    </row>
    <row r="55" spans="1:17" x14ac:dyDescent="0.25">
      <c r="A55" s="11" t="s">
        <v>74</v>
      </c>
      <c r="B55" t="str">
        <f>VLOOKUP(Customer_Names!A55,Customer_Names!$1:$1048576,4,FALSE)</f>
        <v>Andrew B</v>
      </c>
      <c r="C55">
        <f>VLOOKUP(Medical_Examinations_2[[#This Row],[Customer ID]],Medical_Examinations!$1:$1048576,2,FALSE)</f>
        <v>51.93</v>
      </c>
      <c r="D55">
        <f>VLOOKUP(Medical_Examinations_2[[#This Row],[Customer ID]],Medical_Examinations!$1:$1048576,4,FALSE)</f>
        <v>11.05</v>
      </c>
      <c r="E55" t="str">
        <f>VLOOKUP(Medical_Examinations_2[[#This Row],[Customer ID]],Medical_Examinations!$1:$1048576,6,FALSE)</f>
        <v>No</v>
      </c>
      <c r="F55" t="str">
        <f>VLOOKUP(Medical_Examinations_2[[#This Row],[Customer ID]],Medical_Examinations!$1:$1048576,7,FALSE)</f>
        <v>No</v>
      </c>
      <c r="H55" t="str">
        <f>VLOOKUP(Medical_Examinations_2[[#This Row],[Customer ID]],Medical_Examinations!$1:$1048576,9,FALSE)</f>
        <v>No major surgery</v>
      </c>
      <c r="I55" t="str">
        <f>VLOOKUP(Medical_Examinations_2[[#This Row],[Customer ID]],Medical_Examinations!$1:$1048576,11,FALSE)</f>
        <v>Yes</v>
      </c>
      <c r="J55" t="str">
        <f>VLOOKUP(Medical_Examinations_2[[#This Row],[Customer ID]],Medical_Examinations!$1:$1048576,3,FALSE)</f>
        <v>Obesity</v>
      </c>
      <c r="K55" t="str">
        <f>VLOOKUP(Medical_Examinations_2[[#This Row],[Customer ID]],Medical_Examinations!$1:$1048576,5,FALSE)</f>
        <v>Diabetes</v>
      </c>
      <c r="L55" s="7">
        <f>VLOOKUP(Hospitalisation_Details_2__3[[#This Row],[Customer ID]],Hospitalisation_Details_2__2!$1:$1048576,7,FALSE)</f>
        <v>38186</v>
      </c>
      <c r="M55" t="str">
        <f>VLOOKUP(Hospitalisation_Details_2__3[[#This Row],[Customer ID]],Hospitalisation_Details_2__2!$1:$1048576,9,FALSE)</f>
        <v>$1149.4000000000001</v>
      </c>
      <c r="N55" t="str">
        <f>VLOOKUP(Hospitalisation_Details_2__3[[#This Row],[Customer ID]],Hospitalisation_Details_2__2!$1:$1048576,10,FALSE)</f>
        <v>tier - 2</v>
      </c>
      <c r="O55" t="str">
        <f>VLOOKUP(Hospitalisation_Details_2__3[[#This Row],[Customer ID]],Hospitalisation_Details_2__2!$1:$1048576,11,FALSE)</f>
        <v>tier - 2</v>
      </c>
      <c r="P55" t="str">
        <f>VLOOKUP(Hospitalisation_Details_2__3[[#This Row],[Customer ID]],Hospitalisation_Details_2__2!$1:$1048576,12,FALSE)</f>
        <v>R1013</v>
      </c>
      <c r="Q55">
        <f>VLOOKUP(Hospitalisation_Details_2__3[[#This Row],[Customer ID]],Hospitalisation_Details_2__2!$1:$1048576,13,FALSE)</f>
        <v>22</v>
      </c>
    </row>
    <row r="56" spans="1:17" x14ac:dyDescent="0.25">
      <c r="A56" s="10" t="s">
        <v>75</v>
      </c>
      <c r="B56" t="str">
        <f>VLOOKUP(Customer_Names!A56,Customer_Names!$1:$1048576,4,FALSE)</f>
        <v>Dara E</v>
      </c>
      <c r="C56">
        <f>VLOOKUP(Medical_Examinations_2[[#This Row],[Customer ID]],Medical_Examinations!$1:$1048576,2,FALSE)</f>
        <v>38.950000000000003</v>
      </c>
      <c r="D56">
        <f>VLOOKUP(Medical_Examinations_2[[#This Row],[Customer ID]],Medical_Examinations!$1:$1048576,4,FALSE)</f>
        <v>11.95</v>
      </c>
      <c r="E56" t="str">
        <f>VLOOKUP(Medical_Examinations_2[[#This Row],[Customer ID]],Medical_Examinations!$1:$1048576,6,FALSE)</f>
        <v>No</v>
      </c>
      <c r="F56" t="str">
        <f>VLOOKUP(Medical_Examinations_2[[#This Row],[Customer ID]],Medical_Examinations!$1:$1048576,7,FALSE)</f>
        <v>No</v>
      </c>
      <c r="H56" t="str">
        <f>VLOOKUP(Medical_Examinations_2[[#This Row],[Customer ID]],Medical_Examinations!$1:$1048576,9,FALSE)</f>
        <v>No major surgery</v>
      </c>
      <c r="I56" t="str">
        <f>VLOOKUP(Medical_Examinations_2[[#This Row],[Customer ID]],Medical_Examinations!$1:$1048576,11,FALSE)</f>
        <v>Yes</v>
      </c>
      <c r="J56" t="str">
        <f>VLOOKUP(Medical_Examinations_2[[#This Row],[Customer ID]],Medical_Examinations!$1:$1048576,3,FALSE)</f>
        <v>Obesity</v>
      </c>
      <c r="K56" t="str">
        <f>VLOOKUP(Medical_Examinations_2[[#This Row],[Customer ID]],Medical_Examinations!$1:$1048576,5,FALSE)</f>
        <v>Diabetes</v>
      </c>
      <c r="L56" s="7">
        <f>VLOOKUP(Hospitalisation_Details_2__3[[#This Row],[Customer ID]],Hospitalisation_Details_2__2!$1:$1048576,7,FALSE)</f>
        <v>34541</v>
      </c>
      <c r="M56" t="str">
        <f>VLOOKUP(Hospitalisation_Details_2__3[[#This Row],[Customer ID]],Hospitalisation_Details_2__2!$1:$1048576,9,FALSE)</f>
        <v>$1158.32</v>
      </c>
      <c r="N56" t="str">
        <f>VLOOKUP(Hospitalisation_Details_2__3[[#This Row],[Customer ID]],Hospitalisation_Details_2__2!$1:$1048576,10,FALSE)</f>
        <v>tier - 2</v>
      </c>
      <c r="O56" t="str">
        <f>VLOOKUP(Hospitalisation_Details_2__3[[#This Row],[Customer ID]],Hospitalisation_Details_2__2!$1:$1048576,11,FALSE)</f>
        <v>tier - 1</v>
      </c>
      <c r="P56" t="str">
        <f>VLOOKUP(Hospitalisation_Details_2__3[[#This Row],[Customer ID]],Hospitalisation_Details_2__2!$1:$1048576,12,FALSE)</f>
        <v>R1013</v>
      </c>
      <c r="Q56">
        <f>VLOOKUP(Hospitalisation_Details_2__3[[#This Row],[Customer ID]],Hospitalisation_Details_2__2!$1:$1048576,13,FALSE)</f>
        <v>32</v>
      </c>
    </row>
    <row r="57" spans="1:17" x14ac:dyDescent="0.25">
      <c r="A57" s="11" t="s">
        <v>76</v>
      </c>
      <c r="B57" t="str">
        <f>VLOOKUP(Customer_Names!A57,Customer_Names!$1:$1048576,4,FALSE)</f>
        <v>Inna</v>
      </c>
      <c r="C57">
        <f>VLOOKUP(Medical_Examinations_2[[#This Row],[Customer ID]],Medical_Examinations!$1:$1048576,2,FALSE)</f>
        <v>36.630000000000003</v>
      </c>
      <c r="D57">
        <f>VLOOKUP(Medical_Examinations_2[[#This Row],[Customer ID]],Medical_Examinations!$1:$1048576,4,FALSE)</f>
        <v>7.72</v>
      </c>
      <c r="E57" t="str">
        <f>VLOOKUP(Medical_Examinations_2[[#This Row],[Customer ID]],Medical_Examinations!$1:$1048576,6,FALSE)</f>
        <v>Yes</v>
      </c>
      <c r="F57" t="str">
        <f>VLOOKUP(Medical_Examinations_2[[#This Row],[Customer ID]],Medical_Examinations!$1:$1048576,7,FALSE)</f>
        <v>No</v>
      </c>
      <c r="H57">
        <f>VLOOKUP(Medical_Examinations_2[[#This Row],[Customer ID]],Medical_Examinations!$1:$1048576,9,FALSE)</f>
        <v>1</v>
      </c>
      <c r="I57" t="str">
        <f>VLOOKUP(Medical_Examinations_2[[#This Row],[Customer ID]],Medical_Examinations!$1:$1048576,11,FALSE)</f>
        <v>Yes</v>
      </c>
      <c r="J57" t="str">
        <f>VLOOKUP(Medical_Examinations_2[[#This Row],[Customer ID]],Medical_Examinations!$1:$1048576,3,FALSE)</f>
        <v>Obesity</v>
      </c>
      <c r="K57" t="str">
        <f>VLOOKUP(Medical_Examinations_2[[#This Row],[Customer ID]],Medical_Examinations!$1:$1048576,5,FALSE)</f>
        <v>Diabetes</v>
      </c>
      <c r="L57" s="7">
        <f>VLOOKUP(Hospitalisation_Details_2__3[[#This Row],[Customer ID]],Hospitalisation_Details_2__2!$1:$1048576,7,FALSE)</f>
        <v>38302</v>
      </c>
      <c r="M57" t="str">
        <f>VLOOKUP(Hospitalisation_Details_2__3[[#This Row],[Customer ID]],Hospitalisation_Details_2__2!$1:$1048576,9,FALSE)</f>
        <v>$1163.46</v>
      </c>
      <c r="N57" t="str">
        <f>VLOOKUP(Hospitalisation_Details_2__3[[#This Row],[Customer ID]],Hospitalisation_Details_2__2!$1:$1048576,10,FALSE)</f>
        <v>tier - 2</v>
      </c>
      <c r="O57" t="str">
        <f>VLOOKUP(Hospitalisation_Details_2__3[[#This Row],[Customer ID]],Hospitalisation_Details_2__2!$1:$1048576,11,FALSE)</f>
        <v>tier - 3</v>
      </c>
      <c r="P57" t="str">
        <f>VLOOKUP(Hospitalisation_Details_2__3[[#This Row],[Customer ID]],Hospitalisation_Details_2__2!$1:$1048576,12,FALSE)</f>
        <v>R1013</v>
      </c>
      <c r="Q57">
        <f>VLOOKUP(Hospitalisation_Details_2__3[[#This Row],[Customer ID]],Hospitalisation_Details_2__2!$1:$1048576,13,FALSE)</f>
        <v>22</v>
      </c>
    </row>
    <row r="58" spans="1:17" x14ac:dyDescent="0.25">
      <c r="A58" s="10" t="s">
        <v>77</v>
      </c>
      <c r="B58" t="str">
        <f>VLOOKUP(Customer_Names!A58,Customer_Names!$1:$1048576,4,FALSE)</f>
        <v>Ari</v>
      </c>
      <c r="C58">
        <f>VLOOKUP(Medical_Examinations_2[[#This Row],[Customer ID]],Medical_Examinations!$1:$1048576,2,FALSE)</f>
        <v>34.200000000000003</v>
      </c>
      <c r="D58">
        <f>VLOOKUP(Medical_Examinations_2[[#This Row],[Customer ID]],Medical_Examinations!$1:$1048576,4,FALSE)</f>
        <v>5.75</v>
      </c>
      <c r="E58" t="str">
        <f>VLOOKUP(Medical_Examinations_2[[#This Row],[Customer ID]],Medical_Examinations!$1:$1048576,6,FALSE)</f>
        <v>No</v>
      </c>
      <c r="F58" t="str">
        <f>VLOOKUP(Medical_Examinations_2[[#This Row],[Customer ID]],Medical_Examinations!$1:$1048576,7,FALSE)</f>
        <v>No</v>
      </c>
      <c r="H58">
        <f>VLOOKUP(Medical_Examinations_2[[#This Row],[Customer ID]],Medical_Examinations!$1:$1048576,9,FALSE)</f>
        <v>2</v>
      </c>
      <c r="I58" t="str">
        <f>VLOOKUP(Medical_Examinations_2[[#This Row],[Customer ID]],Medical_Examinations!$1:$1048576,11,FALSE)</f>
        <v>Yes</v>
      </c>
      <c r="J58" t="str">
        <f>VLOOKUP(Medical_Examinations_2[[#This Row],[Customer ID]],Medical_Examinations!$1:$1048576,3,FALSE)</f>
        <v>Obesity</v>
      </c>
      <c r="K58" t="str">
        <f>VLOOKUP(Medical_Examinations_2[[#This Row],[Customer ID]],Medical_Examinations!$1:$1048576,5,FALSE)</f>
        <v>Prediabetes</v>
      </c>
      <c r="L58" s="7">
        <f>VLOOKUP(Hospitalisation_Details_2__3[[#This Row],[Customer ID]],Hospitalisation_Details_2__2!$1:$1048576,7,FALSE)</f>
        <v>37418</v>
      </c>
      <c r="M58" t="str">
        <f>VLOOKUP(Hospitalisation_Details_2__3[[#This Row],[Customer ID]],Hospitalisation_Details_2__2!$1:$1048576,9,FALSE)</f>
        <v>$1165</v>
      </c>
      <c r="N58" t="str">
        <f>VLOOKUP(Hospitalisation_Details_2__3[[#This Row],[Customer ID]],Hospitalisation_Details_2__2!$1:$1048576,10,FALSE)</f>
        <v>tier - 2</v>
      </c>
      <c r="O58" t="str">
        <f>VLOOKUP(Hospitalisation_Details_2__3[[#This Row],[Customer ID]],Hospitalisation_Details_2__2!$1:$1048576,11,FALSE)</f>
        <v>tier - 3</v>
      </c>
      <c r="P58" t="str">
        <f>VLOOKUP(Hospitalisation_Details_2__3[[#This Row],[Customer ID]],Hospitalisation_Details_2__2!$1:$1048576,12,FALSE)</f>
        <v>R1012</v>
      </c>
      <c r="Q58">
        <f>VLOOKUP(Hospitalisation_Details_2__3[[#This Row],[Customer ID]],Hospitalisation_Details_2__2!$1:$1048576,13,FALSE)</f>
        <v>24</v>
      </c>
    </row>
    <row r="59" spans="1:17" x14ac:dyDescent="0.25">
      <c r="A59" s="11" t="s">
        <v>78</v>
      </c>
      <c r="B59" t="str">
        <f>VLOOKUP(Customer_Names!A59,Customer_Names!$1:$1048576,4,FALSE)</f>
        <v>Lindsey</v>
      </c>
      <c r="C59">
        <f>VLOOKUP(Medical_Examinations_2[[#This Row],[Customer ID]],Medical_Examinations!$1:$1048576,2,FALSE)</f>
        <v>50.63</v>
      </c>
      <c r="D59">
        <f>VLOOKUP(Medical_Examinations_2[[#This Row],[Customer ID]],Medical_Examinations!$1:$1048576,4,FALSE)</f>
        <v>11.89</v>
      </c>
      <c r="E59" t="str">
        <f>VLOOKUP(Medical_Examinations_2[[#This Row],[Customer ID]],Medical_Examinations!$1:$1048576,6,FALSE)</f>
        <v>No</v>
      </c>
      <c r="F59" t="str">
        <f>VLOOKUP(Medical_Examinations_2[[#This Row],[Customer ID]],Medical_Examinations!$1:$1048576,7,FALSE)</f>
        <v>No</v>
      </c>
      <c r="H59" t="str">
        <f>VLOOKUP(Medical_Examinations_2[[#This Row],[Customer ID]],Medical_Examinations!$1:$1048576,9,FALSE)</f>
        <v>No major surgery</v>
      </c>
      <c r="I59" t="str">
        <f>VLOOKUP(Medical_Examinations_2[[#This Row],[Customer ID]],Medical_Examinations!$1:$1048576,11,FALSE)</f>
        <v>Yes</v>
      </c>
      <c r="J59" t="str">
        <f>VLOOKUP(Medical_Examinations_2[[#This Row],[Customer ID]],Medical_Examinations!$1:$1048576,3,FALSE)</f>
        <v>Obesity</v>
      </c>
      <c r="K59" t="str">
        <f>VLOOKUP(Medical_Examinations_2[[#This Row],[Customer ID]],Medical_Examinations!$1:$1048576,5,FALSE)</f>
        <v>Diabetes</v>
      </c>
      <c r="L59" s="7">
        <f>VLOOKUP(Hospitalisation_Details_2__3[[#This Row],[Customer ID]],Hospitalisation_Details_2__2!$1:$1048576,7,FALSE)</f>
        <v>37207</v>
      </c>
      <c r="M59" t="str">
        <f>VLOOKUP(Hospitalisation_Details_2__3[[#This Row],[Customer ID]],Hospitalisation_Details_2__2!$1:$1048576,9,FALSE)</f>
        <v>$1167</v>
      </c>
      <c r="N59" t="str">
        <f>VLOOKUP(Hospitalisation_Details_2__3[[#This Row],[Customer ID]],Hospitalisation_Details_2__2!$1:$1048576,10,FALSE)</f>
        <v>tier - 2</v>
      </c>
      <c r="O59" t="str">
        <f>VLOOKUP(Hospitalisation_Details_2__3[[#This Row],[Customer ID]],Hospitalisation_Details_2__2!$1:$1048576,11,FALSE)</f>
        <v>tier - 1</v>
      </c>
      <c r="P59" t="str">
        <f>VLOOKUP(Hospitalisation_Details_2__3[[#This Row],[Customer ID]],Hospitalisation_Details_2__2!$1:$1048576,12,FALSE)</f>
        <v>R1013</v>
      </c>
      <c r="Q59">
        <f>VLOOKUP(Hospitalisation_Details_2__3[[#This Row],[Customer ID]],Hospitalisation_Details_2__2!$1:$1048576,13,FALSE)</f>
        <v>25</v>
      </c>
    </row>
    <row r="60" spans="1:17" x14ac:dyDescent="0.25">
      <c r="A60" s="10" t="s">
        <v>79</v>
      </c>
      <c r="B60" t="str">
        <f>VLOOKUP(Customer_Names!A60,Customer_Names!$1:$1048576,4,FALSE)</f>
        <v>Kenny</v>
      </c>
      <c r="C60">
        <f>VLOOKUP(Medical_Examinations_2[[#This Row],[Customer ID]],Medical_Examinations!$1:$1048576,2,FALSE)</f>
        <v>36.479999999999997</v>
      </c>
      <c r="D60">
        <f>VLOOKUP(Medical_Examinations_2[[#This Row],[Customer ID]],Medical_Examinations!$1:$1048576,4,FALSE)</f>
        <v>6.2</v>
      </c>
      <c r="E60" t="str">
        <f>VLOOKUP(Medical_Examinations_2[[#This Row],[Customer ID]],Medical_Examinations!$1:$1048576,6,FALSE)</f>
        <v>No</v>
      </c>
      <c r="H60" t="str">
        <f>VLOOKUP(Medical_Examinations_2[[#This Row],[Customer ID]],Medical_Examinations!$1:$1048576,9,FALSE)</f>
        <v>No major surgery</v>
      </c>
      <c r="I60" t="str">
        <f>VLOOKUP(Medical_Examinations_2[[#This Row],[Customer ID]],Medical_Examinations!$1:$1048576,11,FALSE)</f>
        <v>Yes</v>
      </c>
      <c r="J60" t="str">
        <f>VLOOKUP(Medical_Examinations_2[[#This Row],[Customer ID]],Medical_Examinations!$1:$1048576,3,FALSE)</f>
        <v>Obesity</v>
      </c>
      <c r="K60" t="str">
        <f>VLOOKUP(Medical_Examinations_2[[#This Row],[Customer ID]],Medical_Examinations!$1:$1048576,5,FALSE)</f>
        <v>Prediabetes</v>
      </c>
      <c r="L60" s="7">
        <f>VLOOKUP(Hospitalisation_Details_2__3[[#This Row],[Customer ID]],Hospitalisation_Details_2__2!$1:$1048576,7,FALSE)</f>
        <v>35288</v>
      </c>
      <c r="M60" t="str">
        <f>VLOOKUP(Hospitalisation_Details_2__3[[#This Row],[Customer ID]],Hospitalisation_Details_2__2!$1:$1048576,9,FALSE)</f>
        <v>$1178</v>
      </c>
      <c r="N60" t="str">
        <f>VLOOKUP(Hospitalisation_Details_2__3[[#This Row],[Customer ID]],Hospitalisation_Details_2__2!$1:$1048576,10,FALSE)</f>
        <v>tier - 2</v>
      </c>
      <c r="O60" t="str">
        <f>VLOOKUP(Hospitalisation_Details_2__3[[#This Row],[Customer ID]],Hospitalisation_Details_2__2!$1:$1048576,11,FALSE)</f>
        <v>tier - 3</v>
      </c>
      <c r="P60" t="str">
        <f>VLOOKUP(Hospitalisation_Details_2__3[[#This Row],[Customer ID]],Hospitalisation_Details_2__2!$1:$1048576,12,FALSE)</f>
        <v>R1013</v>
      </c>
      <c r="Q60">
        <f>VLOOKUP(Hospitalisation_Details_2__3[[#This Row],[Customer ID]],Hospitalisation_Details_2__2!$1:$1048576,13,FALSE)</f>
        <v>30</v>
      </c>
    </row>
    <row r="61" spans="1:17" x14ac:dyDescent="0.25">
      <c r="A61" s="11" t="s">
        <v>80</v>
      </c>
      <c r="B61" t="str">
        <f>VLOOKUP(Customer_Names!A61,Customer_Names!$1:$1048576,4,FALSE)</f>
        <v>Louise</v>
      </c>
      <c r="C61">
        <f>VLOOKUP(Medical_Examinations_2[[#This Row],[Customer ID]],Medical_Examinations!$1:$1048576,2,FALSE)</f>
        <v>54.82</v>
      </c>
      <c r="D61">
        <f>VLOOKUP(Medical_Examinations_2[[#This Row],[Customer ID]],Medical_Examinations!$1:$1048576,4,FALSE)</f>
        <v>10.61</v>
      </c>
      <c r="E61" t="str">
        <f>VLOOKUP(Medical_Examinations_2[[#This Row],[Customer ID]],Medical_Examinations!$1:$1048576,6,FALSE)</f>
        <v>No</v>
      </c>
      <c r="H61" t="str">
        <f>VLOOKUP(Medical_Examinations_2[[#This Row],[Customer ID]],Medical_Examinations!$1:$1048576,9,FALSE)</f>
        <v>No major surgery</v>
      </c>
      <c r="I61" t="str">
        <f>VLOOKUP(Medical_Examinations_2[[#This Row],[Customer ID]],Medical_Examinations!$1:$1048576,11,FALSE)</f>
        <v>Yes</v>
      </c>
      <c r="J61" t="str">
        <f>VLOOKUP(Medical_Examinations_2[[#This Row],[Customer ID]],Medical_Examinations!$1:$1048576,3,FALSE)</f>
        <v>Obesity</v>
      </c>
      <c r="K61" t="str">
        <f>VLOOKUP(Medical_Examinations_2[[#This Row],[Customer ID]],Medical_Examinations!$1:$1048576,5,FALSE)</f>
        <v>Diabetes</v>
      </c>
      <c r="L61" s="7">
        <f>VLOOKUP(Hospitalisation_Details_2__3[[#This Row],[Customer ID]],Hospitalisation_Details_2__2!$1:$1048576,7,FALSE)</f>
        <v>35609</v>
      </c>
      <c r="M61" t="str">
        <f>VLOOKUP(Hospitalisation_Details_2__3[[#This Row],[Customer ID]],Hospitalisation_Details_2__2!$1:$1048576,9,FALSE)</f>
        <v>$1178.07</v>
      </c>
      <c r="N61" t="str">
        <f>VLOOKUP(Hospitalisation_Details_2__3[[#This Row],[Customer ID]],Hospitalisation_Details_2__2!$1:$1048576,10,FALSE)</f>
        <v>tier - 2</v>
      </c>
      <c r="O61" t="str">
        <f>VLOOKUP(Hospitalisation_Details_2__3[[#This Row],[Customer ID]],Hospitalisation_Details_2__2!$1:$1048576,11,FALSE)</f>
        <v>tier - 2</v>
      </c>
      <c r="P61" t="str">
        <f>VLOOKUP(Hospitalisation_Details_2__3[[#This Row],[Customer ID]],Hospitalisation_Details_2__2!$1:$1048576,12,FALSE)</f>
        <v>R1013</v>
      </c>
      <c r="Q61">
        <f>VLOOKUP(Hospitalisation_Details_2__3[[#This Row],[Customer ID]],Hospitalisation_Details_2__2!$1:$1048576,13,FALSE)</f>
        <v>29</v>
      </c>
    </row>
    <row r="62" spans="1:17" x14ac:dyDescent="0.25">
      <c r="A62" s="10" t="s">
        <v>81</v>
      </c>
      <c r="B62" t="str">
        <f>VLOOKUP(Customer_Names!A62,Customer_Names!$1:$1048576,4,FALSE)</f>
        <v>Cameron</v>
      </c>
      <c r="C62">
        <f>VLOOKUP(Medical_Examinations_2[[#This Row],[Customer ID]],Medical_Examinations!$1:$1048576,2,FALSE)</f>
        <v>38.06</v>
      </c>
      <c r="D62">
        <f>VLOOKUP(Medical_Examinations_2[[#This Row],[Customer ID]],Medical_Examinations!$1:$1048576,4,FALSE)</f>
        <v>6.04</v>
      </c>
      <c r="E62" t="str">
        <f>VLOOKUP(Medical_Examinations_2[[#This Row],[Customer ID]],Medical_Examinations!$1:$1048576,6,FALSE)</f>
        <v>No</v>
      </c>
      <c r="H62">
        <f>VLOOKUP(Medical_Examinations_2[[#This Row],[Customer ID]],Medical_Examinations!$1:$1048576,9,FALSE)</f>
        <v>1</v>
      </c>
      <c r="I62" t="str">
        <f>VLOOKUP(Medical_Examinations_2[[#This Row],[Customer ID]],Medical_Examinations!$1:$1048576,11,FALSE)</f>
        <v>Yes</v>
      </c>
      <c r="J62" t="str">
        <f>VLOOKUP(Medical_Examinations_2[[#This Row],[Customer ID]],Medical_Examinations!$1:$1048576,3,FALSE)</f>
        <v>Obesity</v>
      </c>
      <c r="K62" t="str">
        <f>VLOOKUP(Medical_Examinations_2[[#This Row],[Customer ID]],Medical_Examinations!$1:$1048576,5,FALSE)</f>
        <v>Prediabetes</v>
      </c>
      <c r="L62" s="7">
        <f>VLOOKUP(Hospitalisation_Details_2__3[[#This Row],[Customer ID]],Hospitalisation_Details_2__2!$1:$1048576,7,FALSE)</f>
        <v>37494</v>
      </c>
      <c r="M62" t="str">
        <f>VLOOKUP(Hospitalisation_Details_2__3[[#This Row],[Customer ID]],Hospitalisation_Details_2__2!$1:$1048576,9,FALSE)</f>
        <v>$1191</v>
      </c>
      <c r="N62" t="str">
        <f>VLOOKUP(Hospitalisation_Details_2__3[[#This Row],[Customer ID]],Hospitalisation_Details_2__2!$1:$1048576,10,FALSE)</f>
        <v>tier - 2</v>
      </c>
      <c r="O62" t="str">
        <f>VLOOKUP(Hospitalisation_Details_2__3[[#This Row],[Customer ID]],Hospitalisation_Details_2__2!$1:$1048576,11,FALSE)</f>
        <v>tier - 1</v>
      </c>
      <c r="P62" t="str">
        <f>VLOOKUP(Hospitalisation_Details_2__3[[#This Row],[Customer ID]],Hospitalisation_Details_2__2!$1:$1048576,12,FALSE)</f>
        <v>R1013</v>
      </c>
      <c r="Q62">
        <f>VLOOKUP(Hospitalisation_Details_2__3[[#This Row],[Customer ID]],Hospitalisation_Details_2__2!$1:$1048576,13,FALSE)</f>
        <v>24</v>
      </c>
    </row>
    <row r="63" spans="1:17" x14ac:dyDescent="0.25">
      <c r="A63" s="11" t="s">
        <v>82</v>
      </c>
      <c r="B63" t="str">
        <f>VLOOKUP(Customer_Names!A63,Customer_Names!$1:$1048576,4,FALSE)</f>
        <v>Katie T.</v>
      </c>
      <c r="C63">
        <f>VLOOKUP(Medical_Examinations_2[[#This Row],[Customer ID]],Medical_Examinations!$1:$1048576,2,FALSE)</f>
        <v>51.48</v>
      </c>
      <c r="D63">
        <f>VLOOKUP(Medical_Examinations_2[[#This Row],[Customer ID]],Medical_Examinations!$1:$1048576,4,FALSE)</f>
        <v>9.33</v>
      </c>
      <c r="E63" t="str">
        <f>VLOOKUP(Medical_Examinations_2[[#This Row],[Customer ID]],Medical_Examinations!$1:$1048576,6,FALSE)</f>
        <v>Yes</v>
      </c>
      <c r="H63" t="str">
        <f>VLOOKUP(Medical_Examinations_2[[#This Row],[Customer ID]],Medical_Examinations!$1:$1048576,9,FALSE)</f>
        <v>No major surgery</v>
      </c>
      <c r="I63" t="str">
        <f>VLOOKUP(Medical_Examinations_2[[#This Row],[Customer ID]],Medical_Examinations!$1:$1048576,11,FALSE)</f>
        <v>Yes</v>
      </c>
      <c r="J63" t="str">
        <f>VLOOKUP(Medical_Examinations_2[[#This Row],[Customer ID]],Medical_Examinations!$1:$1048576,3,FALSE)</f>
        <v>Obesity</v>
      </c>
      <c r="K63" t="str">
        <f>VLOOKUP(Medical_Examinations_2[[#This Row],[Customer ID]],Medical_Examinations!$1:$1048576,5,FALSE)</f>
        <v>Diabetes</v>
      </c>
      <c r="L63" s="7">
        <f>VLOOKUP(Hospitalisation_Details_2__3[[#This Row],[Customer ID]],Hospitalisation_Details_2__2!$1:$1048576,7,FALSE)</f>
        <v>36339</v>
      </c>
      <c r="M63" t="str">
        <f>VLOOKUP(Hospitalisation_Details_2__3[[#This Row],[Customer ID]],Hospitalisation_Details_2__2!$1:$1048576,9,FALSE)</f>
        <v>$1200</v>
      </c>
      <c r="N63" t="str">
        <f>VLOOKUP(Hospitalisation_Details_2__3[[#This Row],[Customer ID]],Hospitalisation_Details_2__2!$1:$1048576,10,FALSE)</f>
        <v>tier - 2</v>
      </c>
      <c r="O63" t="str">
        <f>VLOOKUP(Hospitalisation_Details_2__3[[#This Row],[Customer ID]],Hospitalisation_Details_2__2!$1:$1048576,11,FALSE)</f>
        <v>tier - 3</v>
      </c>
      <c r="P63" t="str">
        <f>VLOOKUP(Hospitalisation_Details_2__3[[#This Row],[Customer ID]],Hospitalisation_Details_2__2!$1:$1048576,12,FALSE)</f>
        <v>R1012</v>
      </c>
      <c r="Q63">
        <f>VLOOKUP(Hospitalisation_Details_2__3[[#This Row],[Customer ID]],Hospitalisation_Details_2__2!$1:$1048576,13,FALSE)</f>
        <v>27</v>
      </c>
    </row>
    <row r="64" spans="1:17" x14ac:dyDescent="0.25">
      <c r="A64" s="10" t="s">
        <v>83</v>
      </c>
      <c r="B64" t="str">
        <f>VLOOKUP(Customer_Names!A64,Customer_Names!$1:$1048576,4,FALSE)</f>
        <v>Casey</v>
      </c>
      <c r="C64">
        <f>VLOOKUP(Medical_Examinations_2[[#This Row],[Customer ID]],Medical_Examinations!$1:$1048576,2,FALSE)</f>
        <v>52.06</v>
      </c>
      <c r="D64">
        <f>VLOOKUP(Medical_Examinations_2[[#This Row],[Customer ID]],Medical_Examinations!$1:$1048576,4,FALSE)</f>
        <v>11.47</v>
      </c>
      <c r="E64" t="str">
        <f>VLOOKUP(Medical_Examinations_2[[#This Row],[Customer ID]],Medical_Examinations!$1:$1048576,6,FALSE)</f>
        <v>No</v>
      </c>
      <c r="H64" t="str">
        <f>VLOOKUP(Medical_Examinations_2[[#This Row],[Customer ID]],Medical_Examinations!$1:$1048576,9,FALSE)</f>
        <v>No major surgery</v>
      </c>
      <c r="I64" t="str">
        <f>VLOOKUP(Medical_Examinations_2[[#This Row],[Customer ID]],Medical_Examinations!$1:$1048576,11,FALSE)</f>
        <v>Yes</v>
      </c>
      <c r="J64" t="str">
        <f>VLOOKUP(Medical_Examinations_2[[#This Row],[Customer ID]],Medical_Examinations!$1:$1048576,3,FALSE)</f>
        <v>Obesity</v>
      </c>
      <c r="K64" t="str">
        <f>VLOOKUP(Medical_Examinations_2[[#This Row],[Customer ID]],Medical_Examinations!$1:$1048576,5,FALSE)</f>
        <v>Diabetes</v>
      </c>
      <c r="L64" s="7">
        <f>VLOOKUP(Hospitalisation_Details_2__3[[#This Row],[Customer ID]],Hospitalisation_Details_2__2!$1:$1048576,7,FALSE)</f>
        <v>33883</v>
      </c>
      <c r="M64" t="str">
        <f>VLOOKUP(Hospitalisation_Details_2__3[[#This Row],[Customer ID]],Hospitalisation_Details_2__2!$1:$1048576,9,FALSE)</f>
        <v>$1200.55</v>
      </c>
      <c r="N64" t="str">
        <f>VLOOKUP(Hospitalisation_Details_2__3[[#This Row],[Customer ID]],Hospitalisation_Details_2__2!$1:$1048576,10,FALSE)</f>
        <v>tier - 2</v>
      </c>
      <c r="O64" t="str">
        <f>VLOOKUP(Hospitalisation_Details_2__3[[#This Row],[Customer ID]],Hospitalisation_Details_2__2!$1:$1048576,11,FALSE)</f>
        <v>tier - 3</v>
      </c>
      <c r="P64" t="str">
        <f>VLOOKUP(Hospitalisation_Details_2__3[[#This Row],[Customer ID]],Hospitalisation_Details_2__2!$1:$1048576,12,FALSE)</f>
        <v>R1013</v>
      </c>
      <c r="Q64">
        <f>VLOOKUP(Hospitalisation_Details_2__3[[#This Row],[Customer ID]],Hospitalisation_Details_2__2!$1:$1048576,13,FALSE)</f>
        <v>34</v>
      </c>
    </row>
    <row r="65" spans="1:17" x14ac:dyDescent="0.25">
      <c r="A65" s="11" t="s">
        <v>84</v>
      </c>
      <c r="B65" t="str">
        <f>VLOOKUP(Customer_Names!A65,Customer_Names!$1:$1048576,4,FALSE)</f>
        <v>David</v>
      </c>
      <c r="C65">
        <f>VLOOKUP(Medical_Examinations_2[[#This Row],[Customer ID]],Medical_Examinations!$1:$1048576,2,FALSE)</f>
        <v>30.684999999999999</v>
      </c>
      <c r="D65">
        <f>VLOOKUP(Medical_Examinations_2[[#This Row],[Customer ID]],Medical_Examinations!$1:$1048576,4,FALSE)</f>
        <v>7.02</v>
      </c>
      <c r="E65" t="str">
        <f>VLOOKUP(Medical_Examinations_2[[#This Row],[Customer ID]],Medical_Examinations!$1:$1048576,6,FALSE)</f>
        <v>Yes</v>
      </c>
      <c r="H65" t="str">
        <f>VLOOKUP(Medical_Examinations_2[[#This Row],[Customer ID]],Medical_Examinations!$1:$1048576,9,FALSE)</f>
        <v>No major surgery</v>
      </c>
      <c r="I65" t="str">
        <f>VLOOKUP(Medical_Examinations_2[[#This Row],[Customer ID]],Medical_Examinations!$1:$1048576,11,FALSE)</f>
        <v>Yes</v>
      </c>
      <c r="J65" t="str">
        <f>VLOOKUP(Medical_Examinations_2[[#This Row],[Customer ID]],Medical_Examinations!$1:$1048576,3,FALSE)</f>
        <v>Obesity</v>
      </c>
      <c r="K65" t="str">
        <f>VLOOKUP(Medical_Examinations_2[[#This Row],[Customer ID]],Medical_Examinations!$1:$1048576,5,FALSE)</f>
        <v>Diabetes</v>
      </c>
      <c r="L65" s="7">
        <f>VLOOKUP(Hospitalisation_Details_2__3[[#This Row],[Customer ID]],Hospitalisation_Details_2__2!$1:$1048576,7,FALSE)</f>
        <v>38140</v>
      </c>
      <c r="M65" t="str">
        <f>VLOOKUP(Hospitalisation_Details_2__3[[#This Row],[Customer ID]],Hospitalisation_Details_2__2!$1:$1048576,9,FALSE)</f>
        <v>$1210</v>
      </c>
      <c r="N65" t="str">
        <f>VLOOKUP(Hospitalisation_Details_2__3[[#This Row],[Customer ID]],Hospitalisation_Details_2__2!$1:$1048576,10,FALSE)</f>
        <v>tier - 2</v>
      </c>
      <c r="O65" t="str">
        <f>VLOOKUP(Hospitalisation_Details_2__3[[#This Row],[Customer ID]],Hospitalisation_Details_2__2!$1:$1048576,11,FALSE)</f>
        <v>tier - 1</v>
      </c>
      <c r="P65" t="str">
        <f>VLOOKUP(Hospitalisation_Details_2__3[[#This Row],[Customer ID]],Hospitalisation_Details_2__2!$1:$1048576,12,FALSE)</f>
        <v>R1013</v>
      </c>
      <c r="Q65">
        <f>VLOOKUP(Hospitalisation_Details_2__3[[#This Row],[Customer ID]],Hospitalisation_Details_2__2!$1:$1048576,13,FALSE)</f>
        <v>22</v>
      </c>
    </row>
    <row r="66" spans="1:17" x14ac:dyDescent="0.25">
      <c r="A66" s="10" t="s">
        <v>85</v>
      </c>
      <c r="B66" t="str">
        <f>VLOOKUP(Customer_Names!A66,Customer_Names!$1:$1048576,4,FALSE)</f>
        <v>Bryson C.</v>
      </c>
      <c r="C66">
        <f>VLOOKUP(Medical_Examinations_2[[#This Row],[Customer ID]],Medical_Examinations!$1:$1048576,2,FALSE)</f>
        <v>36.08</v>
      </c>
      <c r="D66">
        <f>VLOOKUP(Medical_Examinations_2[[#This Row],[Customer ID]],Medical_Examinations!$1:$1048576,4,FALSE)</f>
        <v>8.8000000000000007</v>
      </c>
      <c r="E66" t="str">
        <f>VLOOKUP(Medical_Examinations_2[[#This Row],[Customer ID]],Medical_Examinations!$1:$1048576,6,FALSE)</f>
        <v>Yes</v>
      </c>
      <c r="H66">
        <f>VLOOKUP(Medical_Examinations_2[[#This Row],[Customer ID]],Medical_Examinations!$1:$1048576,9,FALSE)</f>
        <v>1</v>
      </c>
      <c r="I66" t="str">
        <f>VLOOKUP(Medical_Examinations_2[[#This Row],[Customer ID]],Medical_Examinations!$1:$1048576,11,FALSE)</f>
        <v>Yes</v>
      </c>
      <c r="J66" t="str">
        <f>VLOOKUP(Medical_Examinations_2[[#This Row],[Customer ID]],Medical_Examinations!$1:$1048576,3,FALSE)</f>
        <v>Obesity</v>
      </c>
      <c r="K66" t="str">
        <f>VLOOKUP(Medical_Examinations_2[[#This Row],[Customer ID]],Medical_Examinations!$1:$1048576,5,FALSE)</f>
        <v>Diabetes</v>
      </c>
      <c r="L66" s="7">
        <f>VLOOKUP(Hospitalisation_Details_2__3[[#This Row],[Customer ID]],Hospitalisation_Details_2__2!$1:$1048576,7,FALSE)</f>
        <v>35373</v>
      </c>
      <c r="M66" t="str">
        <f>VLOOKUP(Hospitalisation_Details_2__3[[#This Row],[Customer ID]],Hospitalisation_Details_2__2!$1:$1048576,9,FALSE)</f>
        <v>$1220</v>
      </c>
      <c r="N66" t="str">
        <f>VLOOKUP(Hospitalisation_Details_2__3[[#This Row],[Customer ID]],Hospitalisation_Details_2__2!$1:$1048576,10,FALSE)</f>
        <v>tier - 2</v>
      </c>
      <c r="O66" t="str">
        <f>VLOOKUP(Hospitalisation_Details_2__3[[#This Row],[Customer ID]],Hospitalisation_Details_2__2!$1:$1048576,11,FALSE)</f>
        <v>tier - 3</v>
      </c>
      <c r="P66" t="str">
        <f>VLOOKUP(Hospitalisation_Details_2__3[[#This Row],[Customer ID]],Hospitalisation_Details_2__2!$1:$1048576,12,FALSE)</f>
        <v>R1012</v>
      </c>
      <c r="Q66">
        <f>VLOOKUP(Hospitalisation_Details_2__3[[#This Row],[Customer ID]],Hospitalisation_Details_2__2!$1:$1048576,13,FALSE)</f>
        <v>30</v>
      </c>
    </row>
    <row r="67" spans="1:17" x14ac:dyDescent="0.25">
      <c r="A67" s="11" t="s">
        <v>86</v>
      </c>
      <c r="B67" t="str">
        <f>VLOOKUP(Customer_Names!A67,Customer_Names!$1:$1048576,4,FALSE)</f>
        <v>Megan</v>
      </c>
      <c r="C67">
        <f>VLOOKUP(Medical_Examinations_2[[#This Row],[Customer ID]],Medical_Examinations!$1:$1048576,2,FALSE)</f>
        <v>54.99</v>
      </c>
      <c r="D67">
        <f>VLOOKUP(Medical_Examinations_2[[#This Row],[Customer ID]],Medical_Examinations!$1:$1048576,4,FALSE)</f>
        <v>8.68</v>
      </c>
      <c r="E67" t="str">
        <f>VLOOKUP(Medical_Examinations_2[[#This Row],[Customer ID]],Medical_Examinations!$1:$1048576,6,FALSE)</f>
        <v>No</v>
      </c>
      <c r="H67">
        <f>VLOOKUP(Medical_Examinations_2[[#This Row],[Customer ID]],Medical_Examinations!$1:$1048576,9,FALSE)</f>
        <v>2</v>
      </c>
      <c r="I67" t="str">
        <f>VLOOKUP(Medical_Examinations_2[[#This Row],[Customer ID]],Medical_Examinations!$1:$1048576,11,FALSE)</f>
        <v>Yes</v>
      </c>
      <c r="J67" t="str">
        <f>VLOOKUP(Medical_Examinations_2[[#This Row],[Customer ID]],Medical_Examinations!$1:$1048576,3,FALSE)</f>
        <v>Obesity</v>
      </c>
      <c r="K67" t="str">
        <f>VLOOKUP(Medical_Examinations_2[[#This Row],[Customer ID]],Medical_Examinations!$1:$1048576,5,FALSE)</f>
        <v>Diabetes</v>
      </c>
      <c r="L67" s="7">
        <f>VLOOKUP(Hospitalisation_Details_2__3[[#This Row],[Customer ID]],Hospitalisation_Details_2__2!$1:$1048576,7,FALSE)</f>
        <v>38177</v>
      </c>
      <c r="M67" t="str">
        <f>VLOOKUP(Hospitalisation_Details_2__3[[#This Row],[Customer ID]],Hospitalisation_Details_2__2!$1:$1048576,9,FALSE)</f>
        <v>$1224</v>
      </c>
      <c r="N67" t="str">
        <f>VLOOKUP(Hospitalisation_Details_2__3[[#This Row],[Customer ID]],Hospitalisation_Details_2__2!$1:$1048576,10,FALSE)</f>
        <v>tier - 2</v>
      </c>
      <c r="O67" t="str">
        <f>VLOOKUP(Hospitalisation_Details_2__3[[#This Row],[Customer ID]],Hospitalisation_Details_2__2!$1:$1048576,11,FALSE)</f>
        <v>tier - 1</v>
      </c>
      <c r="P67" t="str">
        <f>VLOOKUP(Hospitalisation_Details_2__3[[#This Row],[Customer ID]],Hospitalisation_Details_2__2!$1:$1048576,12,FALSE)</f>
        <v>R1013</v>
      </c>
      <c r="Q67">
        <f>VLOOKUP(Hospitalisation_Details_2__3[[#This Row],[Customer ID]],Hospitalisation_Details_2__2!$1:$1048576,13,FALSE)</f>
        <v>22</v>
      </c>
    </row>
    <row r="68" spans="1:17" x14ac:dyDescent="0.25">
      <c r="A68" s="10" t="s">
        <v>87</v>
      </c>
      <c r="B68" t="str">
        <f>VLOOKUP(Customer_Names!A68,Customer_Names!$1:$1048576,4,FALSE)</f>
        <v>Daniel</v>
      </c>
      <c r="C68">
        <f>VLOOKUP(Medical_Examinations_2[[#This Row],[Customer ID]],Medical_Examinations!$1:$1048576,2,FALSE)</f>
        <v>35.97</v>
      </c>
      <c r="D68">
        <f>VLOOKUP(Medical_Examinations_2[[#This Row],[Customer ID]],Medical_Examinations!$1:$1048576,4,FALSE)</f>
        <v>6.12</v>
      </c>
      <c r="E68" t="str">
        <f>VLOOKUP(Medical_Examinations_2[[#This Row],[Customer ID]],Medical_Examinations!$1:$1048576,6,FALSE)</f>
        <v>No</v>
      </c>
      <c r="H68">
        <f>VLOOKUP(Medical_Examinations_2[[#This Row],[Customer ID]],Medical_Examinations!$1:$1048576,9,FALSE)</f>
        <v>1</v>
      </c>
      <c r="I68" t="str">
        <f>VLOOKUP(Medical_Examinations_2[[#This Row],[Customer ID]],Medical_Examinations!$1:$1048576,11,FALSE)</f>
        <v>Yes</v>
      </c>
      <c r="J68" t="str">
        <f>VLOOKUP(Medical_Examinations_2[[#This Row],[Customer ID]],Medical_Examinations!$1:$1048576,3,FALSE)</f>
        <v>Obesity</v>
      </c>
      <c r="K68" t="str">
        <f>VLOOKUP(Medical_Examinations_2[[#This Row],[Customer ID]],Medical_Examinations!$1:$1048576,5,FALSE)</f>
        <v>Prediabetes</v>
      </c>
      <c r="L68" s="7">
        <f>VLOOKUP(Hospitalisation_Details_2__3[[#This Row],[Customer ID]],Hospitalisation_Details_2__2!$1:$1048576,7,FALSE)</f>
        <v>38276</v>
      </c>
      <c r="M68" t="str">
        <f>VLOOKUP(Hospitalisation_Details_2__3[[#This Row],[Customer ID]],Hospitalisation_Details_2__2!$1:$1048576,9,FALSE)</f>
        <v>$1228</v>
      </c>
      <c r="N68" t="str">
        <f>VLOOKUP(Hospitalisation_Details_2__3[[#This Row],[Customer ID]],Hospitalisation_Details_2__2!$1:$1048576,10,FALSE)</f>
        <v>tier - 2</v>
      </c>
      <c r="O68" t="str">
        <f>VLOOKUP(Hospitalisation_Details_2__3[[#This Row],[Customer ID]],Hospitalisation_Details_2__2!$1:$1048576,11,FALSE)</f>
        <v>tier - 1</v>
      </c>
      <c r="P68" t="str">
        <f>VLOOKUP(Hospitalisation_Details_2__3[[#This Row],[Customer ID]],Hospitalisation_Details_2__2!$1:$1048576,12,FALSE)</f>
        <v>R1012</v>
      </c>
      <c r="Q68">
        <f>VLOOKUP(Hospitalisation_Details_2__3[[#This Row],[Customer ID]],Hospitalisation_Details_2__2!$1:$1048576,13,FALSE)</f>
        <v>22</v>
      </c>
    </row>
    <row r="69" spans="1:17" x14ac:dyDescent="0.25">
      <c r="A69" s="11" t="s">
        <v>88</v>
      </c>
      <c r="B69" t="str">
        <f>VLOOKUP(Customer_Names!A69,Customer_Names!$1:$1048576,4,FALSE)</f>
        <v>Steven M.</v>
      </c>
      <c r="C69">
        <f>VLOOKUP(Medical_Examinations_2[[#This Row],[Customer ID]],Medical_Examinations!$1:$1048576,2,FALSE)</f>
        <v>45.54</v>
      </c>
      <c r="D69">
        <f>VLOOKUP(Medical_Examinations_2[[#This Row],[Customer ID]],Medical_Examinations!$1:$1048576,4,FALSE)</f>
        <v>5.4</v>
      </c>
      <c r="E69" t="str">
        <f>VLOOKUP(Medical_Examinations_2[[#This Row],[Customer ID]],Medical_Examinations!$1:$1048576,6,FALSE)</f>
        <v>Yes</v>
      </c>
      <c r="H69">
        <f>VLOOKUP(Medical_Examinations_2[[#This Row],[Customer ID]],Medical_Examinations!$1:$1048576,9,FALSE)</f>
        <v>1</v>
      </c>
      <c r="I69" t="str">
        <f>VLOOKUP(Medical_Examinations_2[[#This Row],[Customer ID]],Medical_Examinations!$1:$1048576,11,FALSE)</f>
        <v>Yes</v>
      </c>
      <c r="J69" t="str">
        <f>VLOOKUP(Medical_Examinations_2[[#This Row],[Customer ID]],Medical_Examinations!$1:$1048576,3,FALSE)</f>
        <v>Obesity</v>
      </c>
      <c r="K69" t="str">
        <f>VLOOKUP(Medical_Examinations_2[[#This Row],[Customer ID]],Medical_Examinations!$1:$1048576,5,FALSE)</f>
        <v>Normal</v>
      </c>
      <c r="L69" s="7">
        <f>VLOOKUP(Hospitalisation_Details_2__3[[#This Row],[Customer ID]],Hospitalisation_Details_2__2!$1:$1048576,7,FALSE)</f>
        <v>35989</v>
      </c>
      <c r="M69" t="str">
        <f>VLOOKUP(Hospitalisation_Details_2__3[[#This Row],[Customer ID]],Hospitalisation_Details_2__2!$1:$1048576,9,FALSE)</f>
        <v>$1234</v>
      </c>
      <c r="N69" t="str">
        <f>VLOOKUP(Hospitalisation_Details_2__3[[#This Row],[Customer ID]],Hospitalisation_Details_2__2!$1:$1048576,10,FALSE)</f>
        <v>tier - 2</v>
      </c>
      <c r="O69" t="str">
        <f>VLOOKUP(Hospitalisation_Details_2__3[[#This Row],[Customer ID]],Hospitalisation_Details_2__2!$1:$1048576,11,FALSE)</f>
        <v>tier - 1</v>
      </c>
      <c r="P69" t="str">
        <f>VLOOKUP(Hospitalisation_Details_2__3[[#This Row],[Customer ID]],Hospitalisation_Details_2__2!$1:$1048576,12,FALSE)</f>
        <v>R1013</v>
      </c>
      <c r="Q69">
        <f>VLOOKUP(Hospitalisation_Details_2__3[[#This Row],[Customer ID]],Hospitalisation_Details_2__2!$1:$1048576,13,FALSE)</f>
        <v>28</v>
      </c>
    </row>
    <row r="70" spans="1:17" x14ac:dyDescent="0.25">
      <c r="A70" s="10" t="s">
        <v>89</v>
      </c>
      <c r="B70" t="str">
        <f>VLOOKUP(Customer_Names!A70,Customer_Names!$1:$1048576,4,FALSE)</f>
        <v>Jenna L.</v>
      </c>
      <c r="C70">
        <f>VLOOKUP(Medical_Examinations_2[[#This Row],[Customer ID]],Medical_Examinations!$1:$1048576,2,FALSE)</f>
        <v>35.53</v>
      </c>
      <c r="D70">
        <f>VLOOKUP(Medical_Examinations_2[[#This Row],[Customer ID]],Medical_Examinations!$1:$1048576,4,FALSE)</f>
        <v>4.3600000000000003</v>
      </c>
      <c r="E70" t="str">
        <f>VLOOKUP(Medical_Examinations_2[[#This Row],[Customer ID]],Medical_Examinations!$1:$1048576,6,FALSE)</f>
        <v>Yes</v>
      </c>
      <c r="H70" t="str">
        <f>VLOOKUP(Medical_Examinations_2[[#This Row],[Customer ID]],Medical_Examinations!$1:$1048576,9,FALSE)</f>
        <v>No major surgery</v>
      </c>
      <c r="I70" t="str">
        <f>VLOOKUP(Medical_Examinations_2[[#This Row],[Customer ID]],Medical_Examinations!$1:$1048576,11,FALSE)</f>
        <v>Yes</v>
      </c>
      <c r="J70" t="str">
        <f>VLOOKUP(Medical_Examinations_2[[#This Row],[Customer ID]],Medical_Examinations!$1:$1048576,3,FALSE)</f>
        <v>Obesity</v>
      </c>
      <c r="K70" t="str">
        <f>VLOOKUP(Medical_Examinations_2[[#This Row],[Customer ID]],Medical_Examinations!$1:$1048576,5,FALSE)</f>
        <v>Normal</v>
      </c>
      <c r="L70" s="7">
        <f>VLOOKUP(Hospitalisation_Details_2__3[[#This Row],[Customer ID]],Hospitalisation_Details_2__2!$1:$1048576,7,FALSE)</f>
        <v>37602</v>
      </c>
      <c r="M70" t="str">
        <f>VLOOKUP(Hospitalisation_Details_2__3[[#This Row],[Customer ID]],Hospitalisation_Details_2__2!$1:$1048576,9,FALSE)</f>
        <v>$1237</v>
      </c>
      <c r="N70" t="str">
        <f>VLOOKUP(Hospitalisation_Details_2__3[[#This Row],[Customer ID]],Hospitalisation_Details_2__2!$1:$1048576,10,FALSE)</f>
        <v>tier - 2</v>
      </c>
      <c r="O70" t="str">
        <f>VLOOKUP(Hospitalisation_Details_2__3[[#This Row],[Customer ID]],Hospitalisation_Details_2__2!$1:$1048576,11,FALSE)</f>
        <v>tier - 2</v>
      </c>
      <c r="P70" t="str">
        <f>VLOOKUP(Hospitalisation_Details_2__3[[#This Row],[Customer ID]],Hospitalisation_Details_2__2!$1:$1048576,12,FALSE)</f>
        <v>R1013</v>
      </c>
      <c r="Q70">
        <f>VLOOKUP(Hospitalisation_Details_2__3[[#This Row],[Customer ID]],Hospitalisation_Details_2__2!$1:$1048576,13,FALSE)</f>
        <v>24</v>
      </c>
    </row>
    <row r="71" spans="1:17" x14ac:dyDescent="0.25">
      <c r="A71" s="11" t="s">
        <v>90</v>
      </c>
      <c r="B71" t="str">
        <f>VLOOKUP(Customer_Names!A71,Customer_Names!$1:$1048576,4,FALSE)</f>
        <v>Freeman</v>
      </c>
      <c r="C71">
        <f>VLOOKUP(Medical_Examinations_2[[#This Row],[Customer ID]],Medical_Examinations!$1:$1048576,2,FALSE)</f>
        <v>30.8</v>
      </c>
      <c r="D71">
        <f>VLOOKUP(Medical_Examinations_2[[#This Row],[Customer ID]],Medical_Examinations!$1:$1048576,4,FALSE)</f>
        <v>9.77</v>
      </c>
      <c r="E71" t="str">
        <f>VLOOKUP(Medical_Examinations_2[[#This Row],[Customer ID]],Medical_Examinations!$1:$1048576,6,FALSE)</f>
        <v>No</v>
      </c>
      <c r="H71" t="str">
        <f>VLOOKUP(Medical_Examinations_2[[#This Row],[Customer ID]],Medical_Examinations!$1:$1048576,9,FALSE)</f>
        <v>No major surgery</v>
      </c>
      <c r="I71" t="str">
        <f>VLOOKUP(Medical_Examinations_2[[#This Row],[Customer ID]],Medical_Examinations!$1:$1048576,11,FALSE)</f>
        <v>Yes</v>
      </c>
      <c r="J71" t="str">
        <f>VLOOKUP(Medical_Examinations_2[[#This Row],[Customer ID]],Medical_Examinations!$1:$1048576,3,FALSE)</f>
        <v>Obesity</v>
      </c>
      <c r="K71" t="str">
        <f>VLOOKUP(Medical_Examinations_2[[#This Row],[Customer ID]],Medical_Examinations!$1:$1048576,5,FALSE)</f>
        <v>Diabetes</v>
      </c>
      <c r="L71" s="7">
        <f>VLOOKUP(Hospitalisation_Details_2__3[[#This Row],[Customer ID]],Hospitalisation_Details_2__2!$1:$1048576,7,FALSE)</f>
        <v>36079</v>
      </c>
      <c r="M71" t="str">
        <f>VLOOKUP(Hospitalisation_Details_2__3[[#This Row],[Customer ID]],Hospitalisation_Details_2__2!$1:$1048576,9,FALSE)</f>
        <v>$1240</v>
      </c>
      <c r="N71" t="str">
        <f>VLOOKUP(Hospitalisation_Details_2__3[[#This Row],[Customer ID]],Hospitalisation_Details_2__2!$1:$1048576,10,FALSE)</f>
        <v>tier - 2</v>
      </c>
      <c r="O71" t="str">
        <f>VLOOKUP(Hospitalisation_Details_2__3[[#This Row],[Customer ID]],Hospitalisation_Details_2__2!$1:$1048576,11,FALSE)</f>
        <v>tier - 1</v>
      </c>
      <c r="P71" t="str">
        <f>VLOOKUP(Hospitalisation_Details_2__3[[#This Row],[Customer ID]],Hospitalisation_Details_2__2!$1:$1048576,12,FALSE)</f>
        <v>R1012</v>
      </c>
      <c r="Q71">
        <f>VLOOKUP(Hospitalisation_Details_2__3[[#This Row],[Customer ID]],Hospitalisation_Details_2__2!$1:$1048576,13,FALSE)</f>
        <v>28</v>
      </c>
    </row>
    <row r="72" spans="1:17" x14ac:dyDescent="0.25">
      <c r="A72" s="10" t="s">
        <v>91</v>
      </c>
      <c r="B72" t="str">
        <f>VLOOKUP(Customer_Names!A72,Customer_Names!$1:$1048576,4,FALSE)</f>
        <v>Jeff</v>
      </c>
      <c r="C72">
        <f>VLOOKUP(Medical_Examinations_2[[#This Row],[Customer ID]],Medical_Examinations!$1:$1048576,2,FALSE)</f>
        <v>38.39</v>
      </c>
      <c r="D72">
        <f>VLOOKUP(Medical_Examinations_2[[#This Row],[Customer ID]],Medical_Examinations!$1:$1048576,4,FALSE)</f>
        <v>4.25</v>
      </c>
      <c r="E72" t="str">
        <f>VLOOKUP(Medical_Examinations_2[[#This Row],[Customer ID]],Medical_Examinations!$1:$1048576,6,FALSE)</f>
        <v>No</v>
      </c>
      <c r="H72">
        <f>VLOOKUP(Medical_Examinations_2[[#This Row],[Customer ID]],Medical_Examinations!$1:$1048576,9,FALSE)</f>
        <v>1</v>
      </c>
      <c r="I72" t="str">
        <f>VLOOKUP(Medical_Examinations_2[[#This Row],[Customer ID]],Medical_Examinations!$1:$1048576,11,FALSE)</f>
        <v>Yes</v>
      </c>
      <c r="J72" t="str">
        <f>VLOOKUP(Medical_Examinations_2[[#This Row],[Customer ID]],Medical_Examinations!$1:$1048576,3,FALSE)</f>
        <v>Obesity</v>
      </c>
      <c r="K72" t="str">
        <f>VLOOKUP(Medical_Examinations_2[[#This Row],[Customer ID]],Medical_Examinations!$1:$1048576,5,FALSE)</f>
        <v>Normal</v>
      </c>
      <c r="L72" s="7">
        <f>VLOOKUP(Hospitalisation_Details_2__3[[#This Row],[Customer ID]],Hospitalisation_Details_2__2!$1:$1048576,7,FALSE)</f>
        <v>37438</v>
      </c>
      <c r="M72" t="str">
        <f>VLOOKUP(Hospitalisation_Details_2__3[[#This Row],[Customer ID]],Hospitalisation_Details_2__2!$1:$1048576,9,FALSE)</f>
        <v>$1241</v>
      </c>
      <c r="N72" t="str">
        <f>VLOOKUP(Hospitalisation_Details_2__3[[#This Row],[Customer ID]],Hospitalisation_Details_2__2!$1:$1048576,10,FALSE)</f>
        <v>tier - 2</v>
      </c>
      <c r="O72" t="str">
        <f>VLOOKUP(Hospitalisation_Details_2__3[[#This Row],[Customer ID]],Hospitalisation_Details_2__2!$1:$1048576,11,FALSE)</f>
        <v>tier - 2</v>
      </c>
      <c r="P72" t="str">
        <f>VLOOKUP(Hospitalisation_Details_2__3[[#This Row],[Customer ID]],Hospitalisation_Details_2__2!$1:$1048576,12,FALSE)</f>
        <v>R1013</v>
      </c>
      <c r="Q72">
        <f>VLOOKUP(Hospitalisation_Details_2__3[[#This Row],[Customer ID]],Hospitalisation_Details_2__2!$1:$1048576,13,FALSE)</f>
        <v>24</v>
      </c>
    </row>
    <row r="73" spans="1:17" x14ac:dyDescent="0.25">
      <c r="A73" s="11" t="s">
        <v>92</v>
      </c>
      <c r="B73" t="str">
        <f>VLOOKUP(Customer_Names!A73,Customer_Names!$1:$1048576,4,FALSE)</f>
        <v>Elenilton V. Sr.</v>
      </c>
      <c r="C73">
        <f>VLOOKUP(Medical_Examinations_2[[#This Row],[Customer ID]],Medical_Examinations!$1:$1048576,2,FALSE)</f>
        <v>32.299999999999997</v>
      </c>
      <c r="D73">
        <f>VLOOKUP(Medical_Examinations_2[[#This Row],[Customer ID]],Medical_Examinations!$1:$1048576,4,FALSE)</f>
        <v>4.76</v>
      </c>
      <c r="E73" t="str">
        <f>VLOOKUP(Medical_Examinations_2[[#This Row],[Customer ID]],Medical_Examinations!$1:$1048576,6,FALSE)</f>
        <v>No</v>
      </c>
      <c r="H73">
        <f>VLOOKUP(Medical_Examinations_2[[#This Row],[Customer ID]],Medical_Examinations!$1:$1048576,9,FALSE)</f>
        <v>2</v>
      </c>
      <c r="I73" t="str">
        <f>VLOOKUP(Medical_Examinations_2[[#This Row],[Customer ID]],Medical_Examinations!$1:$1048576,11,FALSE)</f>
        <v>Yes</v>
      </c>
      <c r="J73" t="str">
        <f>VLOOKUP(Medical_Examinations_2[[#This Row],[Customer ID]],Medical_Examinations!$1:$1048576,3,FALSE)</f>
        <v>Obesity</v>
      </c>
      <c r="K73" t="str">
        <f>VLOOKUP(Medical_Examinations_2[[#This Row],[Customer ID]],Medical_Examinations!$1:$1048576,5,FALSE)</f>
        <v>Normal</v>
      </c>
      <c r="L73" s="7">
        <f>VLOOKUP(Hospitalisation_Details_2__3[[#This Row],[Customer ID]],Hospitalisation_Details_2__2!$1:$1048576,7,FALSE)</f>
        <v>37835</v>
      </c>
      <c r="M73" t="str">
        <f>VLOOKUP(Hospitalisation_Details_2__3[[#This Row],[Customer ID]],Hospitalisation_Details_2__2!$1:$1048576,9,FALSE)</f>
        <v>$1241.57</v>
      </c>
      <c r="N73" t="str">
        <f>VLOOKUP(Hospitalisation_Details_2__3[[#This Row],[Customer ID]],Hospitalisation_Details_2__2!$1:$1048576,10,FALSE)</f>
        <v>tier - 2</v>
      </c>
      <c r="O73" t="str">
        <f>VLOOKUP(Hospitalisation_Details_2__3[[#This Row],[Customer ID]],Hospitalisation_Details_2__2!$1:$1048576,11,FALSE)</f>
        <v>tier - 2</v>
      </c>
      <c r="P73" t="str">
        <f>VLOOKUP(Hospitalisation_Details_2__3[[#This Row],[Customer ID]],Hospitalisation_Details_2__2!$1:$1048576,12,FALSE)</f>
        <v>R1011</v>
      </c>
      <c r="Q73">
        <f>VLOOKUP(Hospitalisation_Details_2__3[[#This Row],[Customer ID]],Hospitalisation_Details_2__2!$1:$1048576,13,FALSE)</f>
        <v>23</v>
      </c>
    </row>
    <row r="74" spans="1:17" x14ac:dyDescent="0.25">
      <c r="A74" s="10" t="s">
        <v>93</v>
      </c>
      <c r="B74" t="str">
        <f>VLOOKUP(Customer_Names!A74,Customer_Names!$1:$1048576,4,FALSE)</f>
        <v>Maurya</v>
      </c>
      <c r="C74">
        <f>VLOOKUP(Medical_Examinations_2[[#This Row],[Customer ID]],Medical_Examinations!$1:$1048576,2,FALSE)</f>
        <v>48.8</v>
      </c>
      <c r="D74">
        <f>VLOOKUP(Medical_Examinations_2[[#This Row],[Customer ID]],Medical_Examinations!$1:$1048576,4,FALSE)</f>
        <v>6.22</v>
      </c>
      <c r="E74" t="str">
        <f>VLOOKUP(Medical_Examinations_2[[#This Row],[Customer ID]],Medical_Examinations!$1:$1048576,6,FALSE)</f>
        <v>Yes</v>
      </c>
      <c r="H74">
        <f>VLOOKUP(Medical_Examinations_2[[#This Row],[Customer ID]],Medical_Examinations!$1:$1048576,9,FALSE)</f>
        <v>2</v>
      </c>
      <c r="I74" t="str">
        <f>VLOOKUP(Medical_Examinations_2[[#This Row],[Customer ID]],Medical_Examinations!$1:$1048576,11,FALSE)</f>
        <v>Yes</v>
      </c>
      <c r="J74" t="str">
        <f>VLOOKUP(Medical_Examinations_2[[#This Row],[Customer ID]],Medical_Examinations!$1:$1048576,3,FALSE)</f>
        <v>Obesity</v>
      </c>
      <c r="K74" t="str">
        <f>VLOOKUP(Medical_Examinations_2[[#This Row],[Customer ID]],Medical_Examinations!$1:$1048576,5,FALSE)</f>
        <v>Prediabetes</v>
      </c>
      <c r="L74" s="7">
        <f>VLOOKUP(Hospitalisation_Details_2__3[[#This Row],[Customer ID]],Hospitalisation_Details_2__2!$1:$1048576,7,FALSE)</f>
        <v>37879</v>
      </c>
      <c r="M74" t="str">
        <f>VLOOKUP(Hospitalisation_Details_2__3[[#This Row],[Customer ID]],Hospitalisation_Details_2__2!$1:$1048576,9,FALSE)</f>
        <v>$1242.26</v>
      </c>
      <c r="N74" t="str">
        <f>VLOOKUP(Hospitalisation_Details_2__3[[#This Row],[Customer ID]],Hospitalisation_Details_2__2!$1:$1048576,10,FALSE)</f>
        <v>tier - 2</v>
      </c>
      <c r="O74" t="str">
        <f>VLOOKUP(Hospitalisation_Details_2__3[[#This Row],[Customer ID]],Hospitalisation_Details_2__2!$1:$1048576,11,FALSE)</f>
        <v>tier - 1</v>
      </c>
      <c r="P74" t="str">
        <f>VLOOKUP(Hospitalisation_Details_2__3[[#This Row],[Customer ID]],Hospitalisation_Details_2__2!$1:$1048576,12,FALSE)</f>
        <v>R1011</v>
      </c>
      <c r="Q74">
        <f>VLOOKUP(Hospitalisation_Details_2__3[[#This Row],[Customer ID]],Hospitalisation_Details_2__2!$1:$1048576,13,FALSE)</f>
        <v>23</v>
      </c>
    </row>
    <row r="75" spans="1:17" x14ac:dyDescent="0.25">
      <c r="A75" s="11" t="s">
        <v>94</v>
      </c>
      <c r="B75" t="str">
        <f>VLOOKUP(Customer_Names!A75,Customer_Names!$1:$1048576,4,FALSE)</f>
        <v>Samantha C</v>
      </c>
      <c r="C75">
        <f>VLOOKUP(Medical_Examinations_2[[#This Row],[Customer ID]],Medical_Examinations!$1:$1048576,2,FALSE)</f>
        <v>45.5</v>
      </c>
      <c r="D75">
        <f>VLOOKUP(Medical_Examinations_2[[#This Row],[Customer ID]],Medical_Examinations!$1:$1048576,4,FALSE)</f>
        <v>7.96</v>
      </c>
      <c r="E75" t="str">
        <f>VLOOKUP(Medical_Examinations_2[[#This Row],[Customer ID]],Medical_Examinations!$1:$1048576,6,FALSE)</f>
        <v>No</v>
      </c>
      <c r="H75" t="str">
        <f>VLOOKUP(Medical_Examinations_2[[#This Row],[Customer ID]],Medical_Examinations!$1:$1048576,9,FALSE)</f>
        <v>No major surgery</v>
      </c>
      <c r="I75" t="str">
        <f>VLOOKUP(Medical_Examinations_2[[#This Row],[Customer ID]],Medical_Examinations!$1:$1048576,11,FALSE)</f>
        <v>Yes</v>
      </c>
      <c r="J75" t="str">
        <f>VLOOKUP(Medical_Examinations_2[[#This Row],[Customer ID]],Medical_Examinations!$1:$1048576,3,FALSE)</f>
        <v>Obesity</v>
      </c>
      <c r="K75" t="str">
        <f>VLOOKUP(Medical_Examinations_2[[#This Row],[Customer ID]],Medical_Examinations!$1:$1048576,5,FALSE)</f>
        <v>Diabetes</v>
      </c>
      <c r="L75" s="7">
        <f>VLOOKUP(Hospitalisation_Details_2__3[[#This Row],[Customer ID]],Hospitalisation_Details_2__2!$1:$1048576,7,FALSE)</f>
        <v>37872</v>
      </c>
      <c r="M75" t="str">
        <f>VLOOKUP(Hospitalisation_Details_2__3[[#This Row],[Customer ID]],Hospitalisation_Details_2__2!$1:$1048576,9,FALSE)</f>
        <v>$1242.82</v>
      </c>
      <c r="N75" t="str">
        <f>VLOOKUP(Hospitalisation_Details_2__3[[#This Row],[Customer ID]],Hospitalisation_Details_2__2!$1:$1048576,10,FALSE)</f>
        <v>tier - 2</v>
      </c>
      <c r="O75" t="str">
        <f>VLOOKUP(Hospitalisation_Details_2__3[[#This Row],[Customer ID]],Hospitalisation_Details_2__2!$1:$1048576,11,FALSE)</f>
        <v>tier - 1</v>
      </c>
      <c r="P75" t="str">
        <f>VLOOKUP(Hospitalisation_Details_2__3[[#This Row],[Customer ID]],Hospitalisation_Details_2__2!$1:$1048576,12,FALSE)</f>
        <v>R1011</v>
      </c>
      <c r="Q75">
        <f>VLOOKUP(Hospitalisation_Details_2__3[[#This Row],[Customer ID]],Hospitalisation_Details_2__2!$1:$1048576,13,FALSE)</f>
        <v>23</v>
      </c>
    </row>
    <row r="76" spans="1:17" x14ac:dyDescent="0.25">
      <c r="A76" s="10" t="s">
        <v>95</v>
      </c>
      <c r="B76" t="str">
        <f>VLOOKUP(Customer_Names!A76,Customer_Names!$1:$1048576,4,FALSE)</f>
        <v>Bethany A</v>
      </c>
      <c r="C76">
        <f>VLOOKUP(Medical_Examinations_2[[#This Row],[Customer ID]],Medical_Examinations!$1:$1048576,2,FALSE)</f>
        <v>53.61</v>
      </c>
      <c r="D76">
        <f>VLOOKUP(Medical_Examinations_2[[#This Row],[Customer ID]],Medical_Examinations!$1:$1048576,4,FALSE)</f>
        <v>10.92</v>
      </c>
      <c r="E76" t="str">
        <f>VLOOKUP(Medical_Examinations_2[[#This Row],[Customer ID]],Medical_Examinations!$1:$1048576,6,FALSE)</f>
        <v>Yes</v>
      </c>
      <c r="H76">
        <f>VLOOKUP(Medical_Examinations_2[[#This Row],[Customer ID]],Medical_Examinations!$1:$1048576,9,FALSE)</f>
        <v>1</v>
      </c>
      <c r="I76" t="str">
        <f>VLOOKUP(Medical_Examinations_2[[#This Row],[Customer ID]],Medical_Examinations!$1:$1048576,11,FALSE)</f>
        <v>Yes</v>
      </c>
      <c r="J76" t="str">
        <f>VLOOKUP(Medical_Examinations_2[[#This Row],[Customer ID]],Medical_Examinations!$1:$1048576,3,FALSE)</f>
        <v>Obesity</v>
      </c>
      <c r="K76" t="str">
        <f>VLOOKUP(Medical_Examinations_2[[#This Row],[Customer ID]],Medical_Examinations!$1:$1048576,5,FALSE)</f>
        <v>Diabetes</v>
      </c>
      <c r="L76" s="7">
        <f>VLOOKUP(Hospitalisation_Details_2__3[[#This Row],[Customer ID]],Hospitalisation_Details_2__2!$1:$1048576,7,FALSE)</f>
        <v>37879</v>
      </c>
      <c r="M76" t="str">
        <f>VLOOKUP(Hospitalisation_Details_2__3[[#This Row],[Customer ID]],Hospitalisation_Details_2__2!$1:$1048576,9,FALSE)</f>
        <v>$1252.4100000000001</v>
      </c>
      <c r="N76" t="str">
        <f>VLOOKUP(Hospitalisation_Details_2__3[[#This Row],[Customer ID]],Hospitalisation_Details_2__2!$1:$1048576,10,FALSE)</f>
        <v>tier - 2</v>
      </c>
      <c r="O76" t="str">
        <f>VLOOKUP(Hospitalisation_Details_2__3[[#This Row],[Customer ID]],Hospitalisation_Details_2__2!$1:$1048576,11,FALSE)</f>
        <v>tier - 3</v>
      </c>
      <c r="P76" t="str">
        <f>VLOOKUP(Hospitalisation_Details_2__3[[#This Row],[Customer ID]],Hospitalisation_Details_2__2!$1:$1048576,12,FALSE)</f>
        <v>R1011</v>
      </c>
      <c r="Q76">
        <f>VLOOKUP(Hospitalisation_Details_2__3[[#This Row],[Customer ID]],Hospitalisation_Details_2__2!$1:$1048576,13,FALSE)</f>
        <v>23</v>
      </c>
    </row>
    <row r="77" spans="1:17" x14ac:dyDescent="0.25">
      <c r="A77" s="11" t="s">
        <v>96</v>
      </c>
      <c r="B77" t="str">
        <f>VLOOKUP(Customer_Names!A77,Customer_Names!$1:$1048576,4,FALSE)</f>
        <v>Yves</v>
      </c>
      <c r="C77">
        <f>VLOOKUP(Medical_Examinations_2[[#This Row],[Customer ID]],Medical_Examinations!$1:$1048576,2,FALSE)</f>
        <v>36.19</v>
      </c>
      <c r="D77">
        <f>VLOOKUP(Medical_Examinations_2[[#This Row],[Customer ID]],Medical_Examinations!$1:$1048576,4,FALSE)</f>
        <v>11.51</v>
      </c>
      <c r="E77" t="str">
        <f>VLOOKUP(Medical_Examinations_2[[#This Row],[Customer ID]],Medical_Examinations!$1:$1048576,6,FALSE)</f>
        <v>Yes</v>
      </c>
      <c r="H77">
        <f>VLOOKUP(Medical_Examinations_2[[#This Row],[Customer ID]],Medical_Examinations!$1:$1048576,9,FALSE)</f>
        <v>1</v>
      </c>
      <c r="I77" t="str">
        <f>VLOOKUP(Medical_Examinations_2[[#This Row],[Customer ID]],Medical_Examinations!$1:$1048576,11,FALSE)</f>
        <v>Yes</v>
      </c>
      <c r="J77" t="str">
        <f>VLOOKUP(Medical_Examinations_2[[#This Row],[Customer ID]],Medical_Examinations!$1:$1048576,3,FALSE)</f>
        <v>Obesity</v>
      </c>
      <c r="K77" t="str">
        <f>VLOOKUP(Medical_Examinations_2[[#This Row],[Customer ID]],Medical_Examinations!$1:$1048576,5,FALSE)</f>
        <v>Diabetes</v>
      </c>
      <c r="L77" s="7">
        <f>VLOOKUP(Hospitalisation_Details_2__3[[#This Row],[Customer ID]],Hospitalisation_Details_2__2!$1:$1048576,7,FALSE)</f>
        <v>35738</v>
      </c>
      <c r="M77" t="str">
        <f>VLOOKUP(Hospitalisation_Details_2__3[[#This Row],[Customer ID]],Hospitalisation_Details_2__2!$1:$1048576,9,FALSE)</f>
        <v>$1253</v>
      </c>
      <c r="N77" t="str">
        <f>VLOOKUP(Hospitalisation_Details_2__3[[#This Row],[Customer ID]],Hospitalisation_Details_2__2!$1:$1048576,10,FALSE)</f>
        <v>tier - 2</v>
      </c>
      <c r="O77" t="str">
        <f>VLOOKUP(Hospitalisation_Details_2__3[[#This Row],[Customer ID]],Hospitalisation_Details_2__2!$1:$1048576,11,FALSE)</f>
        <v>tier - 2</v>
      </c>
      <c r="P77" t="str">
        <f>VLOOKUP(Hospitalisation_Details_2__3[[#This Row],[Customer ID]],Hospitalisation_Details_2__2!$1:$1048576,12,FALSE)</f>
        <v>R1013</v>
      </c>
      <c r="Q77">
        <f>VLOOKUP(Hospitalisation_Details_2__3[[#This Row],[Customer ID]],Hospitalisation_Details_2__2!$1:$1048576,13,FALSE)</f>
        <v>29</v>
      </c>
    </row>
    <row r="78" spans="1:17" x14ac:dyDescent="0.25">
      <c r="A78" s="10" t="s">
        <v>97</v>
      </c>
      <c r="B78" t="str">
        <f>VLOOKUP(Customer_Names!A78,Customer_Names!$1:$1048576,4,FALSE)</f>
        <v>Ms.  Danielle</v>
      </c>
      <c r="C78">
        <f>VLOOKUP(Medical_Examinations_2[[#This Row],[Customer ID]],Medical_Examinations!$1:$1048576,2,FALSE)</f>
        <v>34.6</v>
      </c>
      <c r="D78">
        <f>VLOOKUP(Medical_Examinations_2[[#This Row],[Customer ID]],Medical_Examinations!$1:$1048576,4,FALSE)</f>
        <v>5.99</v>
      </c>
      <c r="E78" t="str">
        <f>VLOOKUP(Medical_Examinations_2[[#This Row],[Customer ID]],Medical_Examinations!$1:$1048576,6,FALSE)</f>
        <v>Yes</v>
      </c>
      <c r="H78" t="str">
        <f>VLOOKUP(Medical_Examinations_2[[#This Row],[Customer ID]],Medical_Examinations!$1:$1048576,9,FALSE)</f>
        <v>No major surgery</v>
      </c>
      <c r="I78" t="str">
        <f>VLOOKUP(Medical_Examinations_2[[#This Row],[Customer ID]],Medical_Examinations!$1:$1048576,11,FALSE)</f>
        <v>Yes</v>
      </c>
      <c r="J78" t="str">
        <f>VLOOKUP(Medical_Examinations_2[[#This Row],[Customer ID]],Medical_Examinations!$1:$1048576,3,FALSE)</f>
        <v>Obesity</v>
      </c>
      <c r="K78" t="str">
        <f>VLOOKUP(Medical_Examinations_2[[#This Row],[Customer ID]],Medical_Examinations!$1:$1048576,5,FALSE)</f>
        <v>Prediabetes</v>
      </c>
      <c r="L78" s="7">
        <f>VLOOKUP(Hospitalisation_Details_2__3[[#This Row],[Customer ID]],Hospitalisation_Details_2__2!$1:$1048576,7,FALSE)</f>
        <v>37965</v>
      </c>
      <c r="M78" t="str">
        <f>VLOOKUP(Hospitalisation_Details_2__3[[#This Row],[Customer ID]],Hospitalisation_Details_2__2!$1:$1048576,9,FALSE)</f>
        <v>$1253.94</v>
      </c>
      <c r="N78" t="str">
        <f>VLOOKUP(Hospitalisation_Details_2__3[[#This Row],[Customer ID]],Hospitalisation_Details_2__2!$1:$1048576,10,FALSE)</f>
        <v>tier - 2</v>
      </c>
      <c r="O78" t="str">
        <f>VLOOKUP(Hospitalisation_Details_2__3[[#This Row],[Customer ID]],Hospitalisation_Details_2__2!$1:$1048576,11,FALSE)</f>
        <v>tier - 2</v>
      </c>
      <c r="P78" t="str">
        <f>VLOOKUP(Hospitalisation_Details_2__3[[#This Row],[Customer ID]],Hospitalisation_Details_2__2!$1:$1048576,12,FALSE)</f>
        <v>R1011</v>
      </c>
      <c r="Q78">
        <f>VLOOKUP(Hospitalisation_Details_2__3[[#This Row],[Customer ID]],Hospitalisation_Details_2__2!$1:$1048576,13,FALSE)</f>
        <v>23</v>
      </c>
    </row>
    <row r="79" spans="1:17" x14ac:dyDescent="0.25">
      <c r="A79" s="11" t="s">
        <v>98</v>
      </c>
      <c r="B79" t="str">
        <f>VLOOKUP(Customer_Names!A79,Customer_Names!$1:$1048576,4,FALSE)</f>
        <v>Julia</v>
      </c>
      <c r="C79">
        <f>VLOOKUP(Medical_Examinations_2[[#This Row],[Customer ID]],Medical_Examinations!$1:$1048576,2,FALSE)</f>
        <v>54.12</v>
      </c>
      <c r="D79">
        <f>VLOOKUP(Medical_Examinations_2[[#This Row],[Customer ID]],Medical_Examinations!$1:$1048576,4,FALSE)</f>
        <v>11.57</v>
      </c>
      <c r="E79" t="str">
        <f>VLOOKUP(Medical_Examinations_2[[#This Row],[Customer ID]],Medical_Examinations!$1:$1048576,6,FALSE)</f>
        <v>No</v>
      </c>
      <c r="H79" t="str">
        <f>VLOOKUP(Medical_Examinations_2[[#This Row],[Customer ID]],Medical_Examinations!$1:$1048576,9,FALSE)</f>
        <v>No major surgery</v>
      </c>
      <c r="I79" t="str">
        <f>VLOOKUP(Medical_Examinations_2[[#This Row],[Customer ID]],Medical_Examinations!$1:$1048576,11,FALSE)</f>
        <v>Yes</v>
      </c>
      <c r="J79" t="str">
        <f>VLOOKUP(Medical_Examinations_2[[#This Row],[Customer ID]],Medical_Examinations!$1:$1048576,3,FALSE)</f>
        <v>Obesity</v>
      </c>
      <c r="K79" t="str">
        <f>VLOOKUP(Medical_Examinations_2[[#This Row],[Customer ID]],Medical_Examinations!$1:$1048576,5,FALSE)</f>
        <v>Diabetes</v>
      </c>
      <c r="L79" s="7">
        <f>VLOOKUP(Hospitalisation_Details_2__3[[#This Row],[Customer ID]],Hospitalisation_Details_2__2!$1:$1048576,7,FALSE)</f>
        <v>37907</v>
      </c>
      <c r="M79" t="str">
        <f>VLOOKUP(Hospitalisation_Details_2__3[[#This Row],[Customer ID]],Hospitalisation_Details_2__2!$1:$1048576,9,FALSE)</f>
        <v>$1256.3</v>
      </c>
      <c r="N79" t="str">
        <f>VLOOKUP(Hospitalisation_Details_2__3[[#This Row],[Customer ID]],Hospitalisation_Details_2__2!$1:$1048576,10,FALSE)</f>
        <v>tier - 2</v>
      </c>
      <c r="O79" t="str">
        <f>VLOOKUP(Hospitalisation_Details_2__3[[#This Row],[Customer ID]],Hospitalisation_Details_2__2!$1:$1048576,11,FALSE)</f>
        <v>tier - 3</v>
      </c>
      <c r="P79" t="str">
        <f>VLOOKUP(Hospitalisation_Details_2__3[[#This Row],[Customer ID]],Hospitalisation_Details_2__2!$1:$1048576,12,FALSE)</f>
        <v>R1011</v>
      </c>
      <c r="Q79">
        <f>VLOOKUP(Hospitalisation_Details_2__3[[#This Row],[Customer ID]],Hospitalisation_Details_2__2!$1:$1048576,13,FALSE)</f>
        <v>23</v>
      </c>
    </row>
    <row r="80" spans="1:17" x14ac:dyDescent="0.25">
      <c r="A80" s="10" t="s">
        <v>99</v>
      </c>
      <c r="B80" t="str">
        <f>VLOOKUP(Customer_Names!A80,Customer_Names!$1:$1048576,4,FALSE)</f>
        <v>Joshua</v>
      </c>
      <c r="C80">
        <f>VLOOKUP(Medical_Examinations_2[[#This Row],[Customer ID]],Medical_Examinations!$1:$1048576,2,FALSE)</f>
        <v>48.82</v>
      </c>
      <c r="D80">
        <f>VLOOKUP(Medical_Examinations_2[[#This Row],[Customer ID]],Medical_Examinations!$1:$1048576,4,FALSE)</f>
        <v>6.67</v>
      </c>
      <c r="E80" t="str">
        <f>VLOOKUP(Medical_Examinations_2[[#This Row],[Customer ID]],Medical_Examinations!$1:$1048576,6,FALSE)</f>
        <v>Yes</v>
      </c>
      <c r="H80" t="str">
        <f>VLOOKUP(Medical_Examinations_2[[#This Row],[Customer ID]],Medical_Examinations!$1:$1048576,9,FALSE)</f>
        <v>No major surgery</v>
      </c>
      <c r="I80" t="str">
        <f>VLOOKUP(Medical_Examinations_2[[#This Row],[Customer ID]],Medical_Examinations!$1:$1048576,11,FALSE)</f>
        <v>Yes</v>
      </c>
      <c r="J80" t="str">
        <f>VLOOKUP(Medical_Examinations_2[[#This Row],[Customer ID]],Medical_Examinations!$1:$1048576,3,FALSE)</f>
        <v>Obesity</v>
      </c>
      <c r="K80" t="str">
        <f>VLOOKUP(Medical_Examinations_2[[#This Row],[Customer ID]],Medical_Examinations!$1:$1048576,5,FALSE)</f>
        <v>Diabetes</v>
      </c>
      <c r="L80" s="7">
        <f>VLOOKUP(Hospitalisation_Details_2__3[[#This Row],[Customer ID]],Hospitalisation_Details_2__2!$1:$1048576,7,FALSE)</f>
        <v>37924</v>
      </c>
      <c r="M80" t="str">
        <f>VLOOKUP(Hospitalisation_Details_2__3[[#This Row],[Customer ID]],Hospitalisation_Details_2__2!$1:$1048576,9,FALSE)</f>
        <v>$1261.44</v>
      </c>
      <c r="N80" t="str">
        <f>VLOOKUP(Hospitalisation_Details_2__3[[#This Row],[Customer ID]],Hospitalisation_Details_2__2!$1:$1048576,10,FALSE)</f>
        <v>tier - 2</v>
      </c>
      <c r="O80" t="str">
        <f>VLOOKUP(Hospitalisation_Details_2__3[[#This Row],[Customer ID]],Hospitalisation_Details_2__2!$1:$1048576,11,FALSE)</f>
        <v>tier - 3</v>
      </c>
      <c r="P80" t="str">
        <f>VLOOKUP(Hospitalisation_Details_2__3[[#This Row],[Customer ID]],Hospitalisation_Details_2__2!$1:$1048576,12,FALSE)</f>
        <v>R1011</v>
      </c>
      <c r="Q80">
        <f>VLOOKUP(Hospitalisation_Details_2__3[[#This Row],[Customer ID]],Hospitalisation_Details_2__2!$1:$1048576,13,FALSE)</f>
        <v>23</v>
      </c>
    </row>
    <row r="81" spans="1:17" x14ac:dyDescent="0.25">
      <c r="A81" s="11" t="s">
        <v>100</v>
      </c>
      <c r="B81" t="str">
        <f>VLOOKUP(Customer_Names!A81,Customer_Names!$1:$1048576,4,FALSE)</f>
        <v>Jennifer</v>
      </c>
      <c r="C81">
        <f>VLOOKUP(Medical_Examinations_2[[#This Row],[Customer ID]],Medical_Examinations!$1:$1048576,2,FALSE)</f>
        <v>51.01</v>
      </c>
      <c r="D81">
        <f>VLOOKUP(Medical_Examinations_2[[#This Row],[Customer ID]],Medical_Examinations!$1:$1048576,4,FALSE)</f>
        <v>9.1999999999999993</v>
      </c>
      <c r="E81" t="str">
        <f>VLOOKUP(Medical_Examinations_2[[#This Row],[Customer ID]],Medical_Examinations!$1:$1048576,6,FALSE)</f>
        <v>No</v>
      </c>
      <c r="H81" t="str">
        <f>VLOOKUP(Medical_Examinations_2[[#This Row],[Customer ID]],Medical_Examinations!$1:$1048576,9,FALSE)</f>
        <v>No major surgery</v>
      </c>
      <c r="I81" t="str">
        <f>VLOOKUP(Medical_Examinations_2[[#This Row],[Customer ID]],Medical_Examinations!$1:$1048576,11,FALSE)</f>
        <v>Yes</v>
      </c>
      <c r="J81" t="str">
        <f>VLOOKUP(Medical_Examinations_2[[#This Row],[Customer ID]],Medical_Examinations!$1:$1048576,3,FALSE)</f>
        <v>Obesity</v>
      </c>
      <c r="K81" t="str">
        <f>VLOOKUP(Medical_Examinations_2[[#This Row],[Customer ID]],Medical_Examinations!$1:$1048576,5,FALSE)</f>
        <v>Diabetes</v>
      </c>
      <c r="L81" s="7">
        <f>VLOOKUP(Hospitalisation_Details_2__3[[#This Row],[Customer ID]],Hospitalisation_Details_2__2!$1:$1048576,7,FALSE)</f>
        <v>37848</v>
      </c>
      <c r="M81" t="str">
        <f>VLOOKUP(Hospitalisation_Details_2__3[[#This Row],[Customer ID]],Hospitalisation_Details_2__2!$1:$1048576,9,FALSE)</f>
        <v>$1261.8599999999999</v>
      </c>
      <c r="N81" t="str">
        <f>VLOOKUP(Hospitalisation_Details_2__3[[#This Row],[Customer ID]],Hospitalisation_Details_2__2!$1:$1048576,10,FALSE)</f>
        <v>tier - 2</v>
      </c>
      <c r="O81" t="str">
        <f>VLOOKUP(Hospitalisation_Details_2__3[[#This Row],[Customer ID]],Hospitalisation_Details_2__2!$1:$1048576,11,FALSE)</f>
        <v>tier - 3</v>
      </c>
      <c r="P81" t="str">
        <f>VLOOKUP(Hospitalisation_Details_2__3[[#This Row],[Customer ID]],Hospitalisation_Details_2__2!$1:$1048576,12,FALSE)</f>
        <v>R1011</v>
      </c>
      <c r="Q81">
        <f>VLOOKUP(Hospitalisation_Details_2__3[[#This Row],[Customer ID]],Hospitalisation_Details_2__2!$1:$1048576,13,FALSE)</f>
        <v>23</v>
      </c>
    </row>
    <row r="82" spans="1:17" x14ac:dyDescent="0.25">
      <c r="A82" s="10" t="s">
        <v>101</v>
      </c>
      <c r="B82" t="str">
        <f>VLOOKUP(Customer_Names!A82,Customer_Names!$1:$1048576,4,FALSE)</f>
        <v>Gwen M.</v>
      </c>
      <c r="C82">
        <f>VLOOKUP(Medical_Examinations_2[[#This Row],[Customer ID]],Medical_Examinations!$1:$1048576,2,FALSE)</f>
        <v>45.65</v>
      </c>
      <c r="D82">
        <f>VLOOKUP(Medical_Examinations_2[[#This Row],[Customer ID]],Medical_Examinations!$1:$1048576,4,FALSE)</f>
        <v>5.1100000000000003</v>
      </c>
      <c r="E82" t="str">
        <f>VLOOKUP(Medical_Examinations_2[[#This Row],[Customer ID]],Medical_Examinations!$1:$1048576,6,FALSE)</f>
        <v>Yes</v>
      </c>
      <c r="H82">
        <f>VLOOKUP(Medical_Examinations_2[[#This Row],[Customer ID]],Medical_Examinations!$1:$1048576,9,FALSE)</f>
        <v>1</v>
      </c>
      <c r="I82" t="str">
        <f>VLOOKUP(Medical_Examinations_2[[#This Row],[Customer ID]],Medical_Examinations!$1:$1048576,11,FALSE)</f>
        <v>Yes</v>
      </c>
      <c r="J82" t="str">
        <f>VLOOKUP(Medical_Examinations_2[[#This Row],[Customer ID]],Medical_Examinations!$1:$1048576,3,FALSE)</f>
        <v>Obesity</v>
      </c>
      <c r="K82" t="str">
        <f>VLOOKUP(Medical_Examinations_2[[#This Row],[Customer ID]],Medical_Examinations!$1:$1048576,5,FALSE)</f>
        <v>Normal</v>
      </c>
    </row>
    <row r="83" spans="1:17" x14ac:dyDescent="0.25">
      <c r="A83" s="11" t="s">
        <v>102</v>
      </c>
      <c r="B83" t="str">
        <f>VLOOKUP(Customer_Names!A83,Customer_Names!$1:$1048576,4,FALSE)</f>
        <v>Patrick</v>
      </c>
      <c r="C83">
        <f>VLOOKUP(Medical_Examinations_2[[#This Row],[Customer ID]],Medical_Examinations!$1:$1048576,2,FALSE)</f>
        <v>52.9</v>
      </c>
      <c r="D83">
        <f>VLOOKUP(Medical_Examinations_2[[#This Row],[Customer ID]],Medical_Examinations!$1:$1048576,4,FALSE)</f>
        <v>5.34</v>
      </c>
      <c r="E83" t="str">
        <f>VLOOKUP(Medical_Examinations_2[[#This Row],[Customer ID]],Medical_Examinations!$1:$1048576,6,FALSE)</f>
        <v>No</v>
      </c>
      <c r="H83" t="str">
        <f>VLOOKUP(Medical_Examinations_2[[#This Row],[Customer ID]],Medical_Examinations!$1:$1048576,9,FALSE)</f>
        <v>No major surgery</v>
      </c>
      <c r="I83" t="str">
        <f>VLOOKUP(Medical_Examinations_2[[#This Row],[Customer ID]],Medical_Examinations!$1:$1048576,11,FALSE)</f>
        <v>Yes</v>
      </c>
      <c r="J83" t="str">
        <f>VLOOKUP(Medical_Examinations_2[[#This Row],[Customer ID]],Medical_Examinations!$1:$1048576,3,FALSE)</f>
        <v>Obesity</v>
      </c>
      <c r="K83" t="str">
        <f>VLOOKUP(Medical_Examinations_2[[#This Row],[Customer ID]],Medical_Examinations!$1:$1048576,5,FALSE)</f>
        <v>Normal</v>
      </c>
    </row>
    <row r="84" spans="1:17" x14ac:dyDescent="0.25">
      <c r="A84" s="10" t="s">
        <v>103</v>
      </c>
      <c r="B84" t="str">
        <f>VLOOKUP(Customer_Names!A84,Customer_Names!$1:$1048576,4,FALSE)</f>
        <v>Kate</v>
      </c>
      <c r="C84">
        <f>VLOOKUP(Medical_Examinations_2[[#This Row],[Customer ID]],Medical_Examinations!$1:$1048576,2,FALSE)</f>
        <v>45.41</v>
      </c>
      <c r="D84">
        <f>VLOOKUP(Medical_Examinations_2[[#This Row],[Customer ID]],Medical_Examinations!$1:$1048576,4,FALSE)</f>
        <v>4.03</v>
      </c>
      <c r="E84" t="str">
        <f>VLOOKUP(Medical_Examinations_2[[#This Row],[Customer ID]],Medical_Examinations!$1:$1048576,6,FALSE)</f>
        <v>Yes</v>
      </c>
      <c r="H84">
        <f>VLOOKUP(Medical_Examinations_2[[#This Row],[Customer ID]],Medical_Examinations!$1:$1048576,9,FALSE)</f>
        <v>1</v>
      </c>
      <c r="I84" t="str">
        <f>VLOOKUP(Medical_Examinations_2[[#This Row],[Customer ID]],Medical_Examinations!$1:$1048576,11,FALSE)</f>
        <v>Yes</v>
      </c>
      <c r="J84" t="str">
        <f>VLOOKUP(Medical_Examinations_2[[#This Row],[Customer ID]],Medical_Examinations!$1:$1048576,3,FALSE)</f>
        <v>Obesity</v>
      </c>
      <c r="K84" t="str">
        <f>VLOOKUP(Medical_Examinations_2[[#This Row],[Customer ID]],Medical_Examinations!$1:$1048576,5,FALSE)</f>
        <v>Normal</v>
      </c>
    </row>
    <row r="85" spans="1:17" x14ac:dyDescent="0.25">
      <c r="A85" s="11" t="s">
        <v>104</v>
      </c>
      <c r="B85" t="str">
        <f>VLOOKUP(Customer_Names!A85,Customer_Names!$1:$1048576,4,FALSE)</f>
        <v>Kevin</v>
      </c>
      <c r="C85">
        <f>VLOOKUP(Medical_Examinations_2[[#This Row],[Customer ID]],Medical_Examinations!$1:$1048576,2,FALSE)</f>
        <v>49.41</v>
      </c>
      <c r="D85">
        <f>VLOOKUP(Medical_Examinations_2[[#This Row],[Customer ID]],Medical_Examinations!$1:$1048576,4,FALSE)</f>
        <v>4.2300000000000004</v>
      </c>
      <c r="E85" t="str">
        <f>VLOOKUP(Medical_Examinations_2[[#This Row],[Customer ID]],Medical_Examinations!$1:$1048576,6,FALSE)</f>
        <v>Yes</v>
      </c>
      <c r="H85">
        <f>VLOOKUP(Medical_Examinations_2[[#This Row],[Customer ID]],Medical_Examinations!$1:$1048576,9,FALSE)</f>
        <v>1</v>
      </c>
      <c r="I85" t="str">
        <f>VLOOKUP(Medical_Examinations_2[[#This Row],[Customer ID]],Medical_Examinations!$1:$1048576,11,FALSE)</f>
        <v>Yes</v>
      </c>
      <c r="J85" t="str">
        <f>VLOOKUP(Medical_Examinations_2[[#This Row],[Customer ID]],Medical_Examinations!$1:$1048576,3,FALSE)</f>
        <v>Obesity</v>
      </c>
      <c r="K85" t="str">
        <f>VLOOKUP(Medical_Examinations_2[[#This Row],[Customer ID]],Medical_Examinations!$1:$1048576,5,FALSE)</f>
        <v>Normal</v>
      </c>
    </row>
    <row r="86" spans="1:17" x14ac:dyDescent="0.25">
      <c r="A86" s="10" t="s">
        <v>105</v>
      </c>
      <c r="B86" t="str">
        <f>VLOOKUP(Customer_Names!A86,Customer_Names!$1:$1048576,4,FALSE)</f>
        <v>Stephen II</v>
      </c>
      <c r="C86">
        <f>VLOOKUP(Medical_Examinations_2[[#This Row],[Customer ID]],Medical_Examinations!$1:$1048576,2,FALSE)</f>
        <v>31.824999999999999</v>
      </c>
      <c r="D86">
        <f>VLOOKUP(Medical_Examinations_2[[#This Row],[Customer ID]],Medical_Examinations!$1:$1048576,4,FALSE)</f>
        <v>4.0599999999999996</v>
      </c>
      <c r="E86" t="str">
        <f>VLOOKUP(Medical_Examinations_2[[#This Row],[Customer ID]],Medical_Examinations!$1:$1048576,6,FALSE)</f>
        <v>No</v>
      </c>
      <c r="H86">
        <f>VLOOKUP(Medical_Examinations_2[[#This Row],[Customer ID]],Medical_Examinations!$1:$1048576,9,FALSE)</f>
        <v>2</v>
      </c>
      <c r="I86" t="str">
        <f>VLOOKUP(Medical_Examinations_2[[#This Row],[Customer ID]],Medical_Examinations!$1:$1048576,11,FALSE)</f>
        <v>Yes</v>
      </c>
      <c r="J86" t="str">
        <f>VLOOKUP(Medical_Examinations_2[[#This Row],[Customer ID]],Medical_Examinations!$1:$1048576,3,FALSE)</f>
        <v>Obesity</v>
      </c>
      <c r="K86" t="str">
        <f>VLOOKUP(Medical_Examinations_2[[#This Row],[Customer ID]],Medical_Examinations!$1:$1048576,5,FALSE)</f>
        <v>Normal</v>
      </c>
    </row>
    <row r="87" spans="1:17" x14ac:dyDescent="0.25">
      <c r="A87" s="11" t="s">
        <v>106</v>
      </c>
      <c r="B87" t="str">
        <f>VLOOKUP(Customer_Names!A87,Customer_Names!$1:$1048576,4,FALSE)</f>
        <v>Philip</v>
      </c>
      <c r="C87">
        <f>VLOOKUP(Medical_Examinations_2[[#This Row],[Customer ID]],Medical_Examinations!$1:$1048576,2,FALSE)</f>
        <v>51.28</v>
      </c>
      <c r="D87">
        <f>VLOOKUP(Medical_Examinations_2[[#This Row],[Customer ID]],Medical_Examinations!$1:$1048576,4,FALSE)</f>
        <v>4.68</v>
      </c>
      <c r="E87" t="str">
        <f>VLOOKUP(Medical_Examinations_2[[#This Row],[Customer ID]],Medical_Examinations!$1:$1048576,6,FALSE)</f>
        <v>No</v>
      </c>
      <c r="H87">
        <f>VLOOKUP(Medical_Examinations_2[[#This Row],[Customer ID]],Medical_Examinations!$1:$1048576,9,FALSE)</f>
        <v>2</v>
      </c>
      <c r="I87" t="str">
        <f>VLOOKUP(Medical_Examinations_2[[#This Row],[Customer ID]],Medical_Examinations!$1:$1048576,11,FALSE)</f>
        <v>Yes</v>
      </c>
      <c r="J87" t="str">
        <f>VLOOKUP(Medical_Examinations_2[[#This Row],[Customer ID]],Medical_Examinations!$1:$1048576,3,FALSE)</f>
        <v>Obesity</v>
      </c>
      <c r="K87" t="str">
        <f>VLOOKUP(Medical_Examinations_2[[#This Row],[Customer ID]],Medical_Examinations!$1:$1048576,5,FALSE)</f>
        <v>Normal</v>
      </c>
    </row>
    <row r="88" spans="1:17" x14ac:dyDescent="0.25">
      <c r="A88" s="10" t="s">
        <v>107</v>
      </c>
      <c r="B88" t="str">
        <f>VLOOKUP(Customer_Names!A88,Customer_Names!$1:$1048576,4,FALSE)</f>
        <v>Brett A</v>
      </c>
      <c r="C88">
        <f>VLOOKUP(Medical_Examinations_2[[#This Row],[Customer ID]],Medical_Examinations!$1:$1048576,2,FALSE)</f>
        <v>34.96</v>
      </c>
      <c r="D88">
        <f>VLOOKUP(Medical_Examinations_2[[#This Row],[Customer ID]],Medical_Examinations!$1:$1048576,4,FALSE)</f>
        <v>4.34</v>
      </c>
      <c r="E88" t="str">
        <f>VLOOKUP(Medical_Examinations_2[[#This Row],[Customer ID]],Medical_Examinations!$1:$1048576,6,FALSE)</f>
        <v>No</v>
      </c>
      <c r="H88">
        <f>VLOOKUP(Medical_Examinations_2[[#This Row],[Customer ID]],Medical_Examinations!$1:$1048576,9,FALSE)</f>
        <v>1</v>
      </c>
      <c r="I88" t="str">
        <f>VLOOKUP(Medical_Examinations_2[[#This Row],[Customer ID]],Medical_Examinations!$1:$1048576,11,FALSE)</f>
        <v>Yes</v>
      </c>
      <c r="J88" t="str">
        <f>VLOOKUP(Medical_Examinations_2[[#This Row],[Customer ID]],Medical_Examinations!$1:$1048576,3,FALSE)</f>
        <v>Obesity</v>
      </c>
      <c r="K88" t="str">
        <f>VLOOKUP(Medical_Examinations_2[[#This Row],[Customer ID]],Medical_Examinations!$1:$1048576,5,FALSE)</f>
        <v>Normal</v>
      </c>
    </row>
    <row r="89" spans="1:17" x14ac:dyDescent="0.25">
      <c r="A89" s="11" t="s">
        <v>108</v>
      </c>
      <c r="B89" t="str">
        <f>VLOOKUP(Customer_Names!A89,Customer_Names!$1:$1048576,4,FALSE)</f>
        <v>Rebecca</v>
      </c>
      <c r="C89">
        <f>VLOOKUP(Medical_Examinations_2[[#This Row],[Customer ID]],Medical_Examinations!$1:$1048576,2,FALSE)</f>
        <v>33.11</v>
      </c>
      <c r="D89">
        <f>VLOOKUP(Medical_Examinations_2[[#This Row],[Customer ID]],Medical_Examinations!$1:$1048576,4,FALSE)</f>
        <v>10.51</v>
      </c>
      <c r="E89" t="str">
        <f>VLOOKUP(Medical_Examinations_2[[#This Row],[Customer ID]],Medical_Examinations!$1:$1048576,6,FALSE)</f>
        <v>No</v>
      </c>
      <c r="H89" t="str">
        <f>VLOOKUP(Medical_Examinations_2[[#This Row],[Customer ID]],Medical_Examinations!$1:$1048576,9,FALSE)</f>
        <v>No major surgery</v>
      </c>
      <c r="I89" t="str">
        <f>VLOOKUP(Medical_Examinations_2[[#This Row],[Customer ID]],Medical_Examinations!$1:$1048576,11,FALSE)</f>
        <v>Yes</v>
      </c>
      <c r="J89" t="str">
        <f>VLOOKUP(Medical_Examinations_2[[#This Row],[Customer ID]],Medical_Examinations!$1:$1048576,3,FALSE)</f>
        <v>Obesity</v>
      </c>
      <c r="K89" t="str">
        <f>VLOOKUP(Medical_Examinations_2[[#This Row],[Customer ID]],Medical_Examinations!$1:$1048576,5,FALSE)</f>
        <v>Diabetes</v>
      </c>
    </row>
    <row r="90" spans="1:17" x14ac:dyDescent="0.25">
      <c r="A90" s="10" t="s">
        <v>109</v>
      </c>
      <c r="B90" t="str">
        <f>VLOOKUP(Customer_Names!A90,Customer_Names!$1:$1048576,4,FALSE)</f>
        <v>Kelley</v>
      </c>
      <c r="C90">
        <f>VLOOKUP(Medical_Examinations_2[[#This Row],[Customer ID]],Medical_Examinations!$1:$1048576,2,FALSE)</f>
        <v>54.74</v>
      </c>
      <c r="D90">
        <f>VLOOKUP(Medical_Examinations_2[[#This Row],[Customer ID]],Medical_Examinations!$1:$1048576,4,FALSE)</f>
        <v>5.84</v>
      </c>
      <c r="E90" t="str">
        <f>VLOOKUP(Medical_Examinations_2[[#This Row],[Customer ID]],Medical_Examinations!$1:$1048576,6,FALSE)</f>
        <v>Yes</v>
      </c>
      <c r="H90">
        <f>VLOOKUP(Medical_Examinations_2[[#This Row],[Customer ID]],Medical_Examinations!$1:$1048576,9,FALSE)</f>
        <v>1</v>
      </c>
      <c r="I90" t="str">
        <f>VLOOKUP(Medical_Examinations_2[[#This Row],[Customer ID]],Medical_Examinations!$1:$1048576,11,FALSE)</f>
        <v>Yes</v>
      </c>
      <c r="J90" t="str">
        <f>VLOOKUP(Medical_Examinations_2[[#This Row],[Customer ID]],Medical_Examinations!$1:$1048576,3,FALSE)</f>
        <v>Obesity</v>
      </c>
      <c r="K90" t="str">
        <f>VLOOKUP(Medical_Examinations_2[[#This Row],[Customer ID]],Medical_Examinations!$1:$1048576,5,FALSE)</f>
        <v>Prediabetes</v>
      </c>
    </row>
    <row r="91" spans="1:17" x14ac:dyDescent="0.25">
      <c r="A91" s="11" t="s">
        <v>110</v>
      </c>
      <c r="B91" t="str">
        <f>VLOOKUP(Customer_Names!A91,Customer_Names!$1:$1048576,4,FALSE)</f>
        <v>Abigail K</v>
      </c>
      <c r="C91">
        <f>VLOOKUP(Medical_Examinations_2[[#This Row],[Customer ID]],Medical_Examinations!$1:$1048576,2,FALSE)</f>
        <v>32.56</v>
      </c>
      <c r="D91">
        <f>VLOOKUP(Medical_Examinations_2[[#This Row],[Customer ID]],Medical_Examinations!$1:$1048576,4,FALSE)</f>
        <v>5.41</v>
      </c>
      <c r="E91" t="str">
        <f>VLOOKUP(Medical_Examinations_2[[#This Row],[Customer ID]],Medical_Examinations!$1:$1048576,6,FALSE)</f>
        <v>No</v>
      </c>
      <c r="H91">
        <f>VLOOKUP(Medical_Examinations_2[[#This Row],[Customer ID]],Medical_Examinations!$1:$1048576,9,FALSE)</f>
        <v>1</v>
      </c>
      <c r="I91" t="str">
        <f>VLOOKUP(Medical_Examinations_2[[#This Row],[Customer ID]],Medical_Examinations!$1:$1048576,11,FALSE)</f>
        <v>Yes</v>
      </c>
      <c r="J91" t="str">
        <f>VLOOKUP(Medical_Examinations_2[[#This Row],[Customer ID]],Medical_Examinations!$1:$1048576,3,FALSE)</f>
        <v>Obesity</v>
      </c>
      <c r="K91" t="str">
        <f>VLOOKUP(Medical_Examinations_2[[#This Row],[Customer ID]],Medical_Examinations!$1:$1048576,5,FALSE)</f>
        <v>Normal</v>
      </c>
    </row>
    <row r="92" spans="1:17" x14ac:dyDescent="0.25">
      <c r="A92" s="10" t="s">
        <v>111</v>
      </c>
      <c r="B92" t="str">
        <f>VLOOKUP(Customer_Names!A92,Customer_Names!$1:$1048576,4,FALSE)</f>
        <v>Hope</v>
      </c>
      <c r="C92">
        <f>VLOOKUP(Medical_Examinations_2[[#This Row],[Customer ID]],Medical_Examinations!$1:$1048576,2,FALSE)</f>
        <v>39.049999999999997</v>
      </c>
      <c r="D92">
        <f>VLOOKUP(Medical_Examinations_2[[#This Row],[Customer ID]],Medical_Examinations!$1:$1048576,4,FALSE)</f>
        <v>6.06</v>
      </c>
      <c r="E92" t="str">
        <f>VLOOKUP(Medical_Examinations_2[[#This Row],[Customer ID]],Medical_Examinations!$1:$1048576,6,FALSE)</f>
        <v>No</v>
      </c>
      <c r="H92">
        <f>VLOOKUP(Medical_Examinations_2[[#This Row],[Customer ID]],Medical_Examinations!$1:$1048576,9,FALSE)</f>
        <v>1</v>
      </c>
      <c r="I92" t="str">
        <f>VLOOKUP(Medical_Examinations_2[[#This Row],[Customer ID]],Medical_Examinations!$1:$1048576,11,FALSE)</f>
        <v>Yes</v>
      </c>
      <c r="J92" t="str">
        <f>VLOOKUP(Medical_Examinations_2[[#This Row],[Customer ID]],Medical_Examinations!$1:$1048576,3,FALSE)</f>
        <v>Obesity</v>
      </c>
      <c r="K92" t="str">
        <f>VLOOKUP(Medical_Examinations_2[[#This Row],[Customer ID]],Medical_Examinations!$1:$1048576,5,FALSE)</f>
        <v>Prediabetes</v>
      </c>
    </row>
    <row r="93" spans="1:17" x14ac:dyDescent="0.25">
      <c r="A93" s="11" t="s">
        <v>112</v>
      </c>
      <c r="B93" t="str">
        <f>VLOOKUP(Customer_Names!A93,Customer_Names!$1:$1048576,4,FALSE)</f>
        <v>Elyse M.</v>
      </c>
      <c r="C93">
        <f>VLOOKUP(Medical_Examinations_2[[#This Row],[Customer ID]],Medical_Examinations!$1:$1048576,2,FALSE)</f>
        <v>42.75</v>
      </c>
      <c r="D93">
        <f>VLOOKUP(Medical_Examinations_2[[#This Row],[Customer ID]],Medical_Examinations!$1:$1048576,4,FALSE)</f>
        <v>4.22</v>
      </c>
      <c r="E93" t="str">
        <f>VLOOKUP(Medical_Examinations_2[[#This Row],[Customer ID]],Medical_Examinations!$1:$1048576,6,FALSE)</f>
        <v>No</v>
      </c>
      <c r="H93" t="str">
        <f>VLOOKUP(Medical_Examinations_2[[#This Row],[Customer ID]],Medical_Examinations!$1:$1048576,9,FALSE)</f>
        <v>No major surgery</v>
      </c>
      <c r="I93" t="str">
        <f>VLOOKUP(Medical_Examinations_2[[#This Row],[Customer ID]],Medical_Examinations!$1:$1048576,11,FALSE)</f>
        <v>Yes</v>
      </c>
      <c r="J93" t="str">
        <f>VLOOKUP(Medical_Examinations_2[[#This Row],[Customer ID]],Medical_Examinations!$1:$1048576,3,FALSE)</f>
        <v>Obesity</v>
      </c>
      <c r="K93" t="str">
        <f>VLOOKUP(Medical_Examinations_2[[#This Row],[Customer ID]],Medical_Examinations!$1:$1048576,5,FALSE)</f>
        <v>Normal</v>
      </c>
    </row>
    <row r="94" spans="1:17" x14ac:dyDescent="0.25">
      <c r="A94" s="10" t="s">
        <v>113</v>
      </c>
      <c r="B94" t="str">
        <f>VLOOKUP(Customer_Names!A94,Customer_Names!$1:$1048576,4,FALSE)</f>
        <v>Nicholas</v>
      </c>
      <c r="C94">
        <f>VLOOKUP(Medical_Examinations_2[[#This Row],[Customer ID]],Medical_Examinations!$1:$1048576,2,FALSE)</f>
        <v>50.58</v>
      </c>
      <c r="D94">
        <f>VLOOKUP(Medical_Examinations_2[[#This Row],[Customer ID]],Medical_Examinations!$1:$1048576,4,FALSE)</f>
        <v>5.12</v>
      </c>
      <c r="E94" t="str">
        <f>VLOOKUP(Medical_Examinations_2[[#This Row],[Customer ID]],Medical_Examinations!$1:$1048576,6,FALSE)</f>
        <v>No</v>
      </c>
      <c r="H94">
        <f>VLOOKUP(Medical_Examinations_2[[#This Row],[Customer ID]],Medical_Examinations!$1:$1048576,9,FALSE)</f>
        <v>2</v>
      </c>
      <c r="I94" t="str">
        <f>VLOOKUP(Medical_Examinations_2[[#This Row],[Customer ID]],Medical_Examinations!$1:$1048576,11,FALSE)</f>
        <v>Yes</v>
      </c>
      <c r="J94" t="str">
        <f>VLOOKUP(Medical_Examinations_2[[#This Row],[Customer ID]],Medical_Examinations!$1:$1048576,3,FALSE)</f>
        <v>Obesity</v>
      </c>
      <c r="K94" t="str">
        <f>VLOOKUP(Medical_Examinations_2[[#This Row],[Customer ID]],Medical_Examinations!$1:$1048576,5,FALSE)</f>
        <v>Normal</v>
      </c>
    </row>
    <row r="95" spans="1:17" x14ac:dyDescent="0.25">
      <c r="A95" s="11" t="s">
        <v>114</v>
      </c>
      <c r="B95" t="str">
        <f>VLOOKUP(Customer_Names!A95,Customer_Names!$1:$1048576,4,FALSE)</f>
        <v>David</v>
      </c>
      <c r="C95">
        <f>VLOOKUP(Medical_Examinations_2[[#This Row],[Customer ID]],Medical_Examinations!$1:$1048576,2,FALSE)</f>
        <v>30.495000000000001</v>
      </c>
      <c r="D95">
        <f>VLOOKUP(Medical_Examinations_2[[#This Row],[Customer ID]],Medical_Examinations!$1:$1048576,4,FALSE)</f>
        <v>4.57</v>
      </c>
      <c r="E95" t="str">
        <f>VLOOKUP(Medical_Examinations_2[[#This Row],[Customer ID]],Medical_Examinations!$1:$1048576,6,FALSE)</f>
        <v>Yes</v>
      </c>
      <c r="H95" t="str">
        <f>VLOOKUP(Medical_Examinations_2[[#This Row],[Customer ID]],Medical_Examinations!$1:$1048576,9,FALSE)</f>
        <v>No major surgery</v>
      </c>
      <c r="I95" t="str">
        <f>VLOOKUP(Medical_Examinations_2[[#This Row],[Customer ID]],Medical_Examinations!$1:$1048576,11,FALSE)</f>
        <v>Yes</v>
      </c>
      <c r="J95" t="str">
        <f>VLOOKUP(Medical_Examinations_2[[#This Row],[Customer ID]],Medical_Examinations!$1:$1048576,3,FALSE)</f>
        <v>Obesity</v>
      </c>
      <c r="K95" t="str">
        <f>VLOOKUP(Medical_Examinations_2[[#This Row],[Customer ID]],Medical_Examinations!$1:$1048576,5,FALSE)</f>
        <v>Normal</v>
      </c>
    </row>
    <row r="96" spans="1:17" x14ac:dyDescent="0.25">
      <c r="A96" s="10" t="s">
        <v>115</v>
      </c>
      <c r="B96" t="str">
        <f>VLOOKUP(Customer_Names!A96,Customer_Names!$1:$1048576,4,FALSE)</f>
        <v>Natalie</v>
      </c>
      <c r="C96">
        <f>VLOOKUP(Medical_Examinations_2[[#This Row],[Customer ID]],Medical_Examinations!$1:$1048576,2,FALSE)</f>
        <v>48.31</v>
      </c>
      <c r="D96">
        <f>VLOOKUP(Medical_Examinations_2[[#This Row],[Customer ID]],Medical_Examinations!$1:$1048576,4,FALSE)</f>
        <v>9.58</v>
      </c>
      <c r="E96" t="str">
        <f>VLOOKUP(Medical_Examinations_2[[#This Row],[Customer ID]],Medical_Examinations!$1:$1048576,6,FALSE)</f>
        <v>Yes</v>
      </c>
      <c r="H96">
        <f>VLOOKUP(Medical_Examinations_2[[#This Row],[Customer ID]],Medical_Examinations!$1:$1048576,9,FALSE)</f>
        <v>2</v>
      </c>
      <c r="I96" t="str">
        <f>VLOOKUP(Medical_Examinations_2[[#This Row],[Customer ID]],Medical_Examinations!$1:$1048576,11,FALSE)</f>
        <v>Yes</v>
      </c>
      <c r="J96" t="str">
        <f>VLOOKUP(Medical_Examinations_2[[#This Row],[Customer ID]],Medical_Examinations!$1:$1048576,3,FALSE)</f>
        <v>Obesity</v>
      </c>
      <c r="K96" t="str">
        <f>VLOOKUP(Medical_Examinations_2[[#This Row],[Customer ID]],Medical_Examinations!$1:$1048576,5,FALSE)</f>
        <v>Diabetes</v>
      </c>
    </row>
    <row r="97" spans="1:11" x14ac:dyDescent="0.25">
      <c r="A97" s="11" t="s">
        <v>116</v>
      </c>
      <c r="B97" t="str">
        <f>VLOOKUP(Customer_Names!A97,Customer_Names!$1:$1048576,4,FALSE)</f>
        <v>Thomas</v>
      </c>
      <c r="C97">
        <f>VLOOKUP(Medical_Examinations_2[[#This Row],[Customer ID]],Medical_Examinations!$1:$1048576,2,FALSE)</f>
        <v>48.99</v>
      </c>
      <c r="D97">
        <f>VLOOKUP(Medical_Examinations_2[[#This Row],[Customer ID]],Medical_Examinations!$1:$1048576,4,FALSE)</f>
        <v>9.7799999999999994</v>
      </c>
      <c r="E97" t="str">
        <f>VLOOKUP(Medical_Examinations_2[[#This Row],[Customer ID]],Medical_Examinations!$1:$1048576,6,FALSE)</f>
        <v>Yes</v>
      </c>
      <c r="H97">
        <f>VLOOKUP(Medical_Examinations_2[[#This Row],[Customer ID]],Medical_Examinations!$1:$1048576,9,FALSE)</f>
        <v>1</v>
      </c>
      <c r="I97" t="str">
        <f>VLOOKUP(Medical_Examinations_2[[#This Row],[Customer ID]],Medical_Examinations!$1:$1048576,11,FALSE)</f>
        <v>Yes</v>
      </c>
      <c r="J97" t="str">
        <f>VLOOKUP(Medical_Examinations_2[[#This Row],[Customer ID]],Medical_Examinations!$1:$1048576,3,FALSE)</f>
        <v>Obesity</v>
      </c>
      <c r="K97" t="str">
        <f>VLOOKUP(Medical_Examinations_2[[#This Row],[Customer ID]],Medical_Examinations!$1:$1048576,5,FALSE)</f>
        <v>Diabetes</v>
      </c>
    </row>
    <row r="98" spans="1:11" x14ac:dyDescent="0.25">
      <c r="A98" s="10" t="s">
        <v>117</v>
      </c>
      <c r="B98" t="str">
        <f>VLOOKUP(Customer_Names!A98,Customer_Names!$1:$1048576,4,FALSE)</f>
        <v>Ms.  Pamela J.</v>
      </c>
      <c r="C98">
        <f>VLOOKUP(Medical_Examinations_2[[#This Row],[Customer ID]],Medical_Examinations!$1:$1048576,2,FALSE)</f>
        <v>38.39</v>
      </c>
      <c r="D98">
        <f>VLOOKUP(Medical_Examinations_2[[#This Row],[Customer ID]],Medical_Examinations!$1:$1048576,4,FALSE)</f>
        <v>4.1100000000000003</v>
      </c>
      <c r="E98" t="str">
        <f>VLOOKUP(Medical_Examinations_2[[#This Row],[Customer ID]],Medical_Examinations!$1:$1048576,6,FALSE)</f>
        <v>Yes</v>
      </c>
      <c r="H98" t="str">
        <f>VLOOKUP(Medical_Examinations_2[[#This Row],[Customer ID]],Medical_Examinations!$1:$1048576,9,FALSE)</f>
        <v>No major surgery</v>
      </c>
      <c r="I98" t="str">
        <f>VLOOKUP(Medical_Examinations_2[[#This Row],[Customer ID]],Medical_Examinations!$1:$1048576,11,FALSE)</f>
        <v>Yes</v>
      </c>
      <c r="J98" t="str">
        <f>VLOOKUP(Medical_Examinations_2[[#This Row],[Customer ID]],Medical_Examinations!$1:$1048576,3,FALSE)</f>
        <v>Obesity</v>
      </c>
      <c r="K98" t="str">
        <f>VLOOKUP(Medical_Examinations_2[[#This Row],[Customer ID]],Medical_Examinations!$1:$1048576,5,FALSE)</f>
        <v>Normal</v>
      </c>
    </row>
    <row r="99" spans="1:11" x14ac:dyDescent="0.25">
      <c r="A99" s="11" t="s">
        <v>118</v>
      </c>
      <c r="B99" t="str">
        <f>VLOOKUP(Customer_Names!A99,Customer_Names!$1:$1048576,4,FALSE)</f>
        <v>Jessica</v>
      </c>
      <c r="C99">
        <f>VLOOKUP(Medical_Examinations_2[[#This Row],[Customer ID]],Medical_Examinations!$1:$1048576,2,FALSE)</f>
        <v>44.34</v>
      </c>
      <c r="D99">
        <f>VLOOKUP(Medical_Examinations_2[[#This Row],[Customer ID]],Medical_Examinations!$1:$1048576,4,FALSE)</f>
        <v>4.0199999999999996</v>
      </c>
      <c r="E99" t="str">
        <f>VLOOKUP(Medical_Examinations_2[[#This Row],[Customer ID]],Medical_Examinations!$1:$1048576,6,FALSE)</f>
        <v>Yes</v>
      </c>
      <c r="H99">
        <f>VLOOKUP(Medical_Examinations_2[[#This Row],[Customer ID]],Medical_Examinations!$1:$1048576,9,FALSE)</f>
        <v>2</v>
      </c>
      <c r="I99" t="str">
        <f>VLOOKUP(Medical_Examinations_2[[#This Row],[Customer ID]],Medical_Examinations!$1:$1048576,11,FALSE)</f>
        <v>Yes</v>
      </c>
      <c r="J99" t="str">
        <f>VLOOKUP(Medical_Examinations_2[[#This Row],[Customer ID]],Medical_Examinations!$1:$1048576,3,FALSE)</f>
        <v>Obesity</v>
      </c>
      <c r="K99" t="str">
        <f>VLOOKUP(Medical_Examinations_2[[#This Row],[Customer ID]],Medical_Examinations!$1:$1048576,5,FALSE)</f>
        <v>Normal</v>
      </c>
    </row>
    <row r="100" spans="1:11" x14ac:dyDescent="0.25">
      <c r="A100" s="10" t="s">
        <v>119</v>
      </c>
      <c r="B100" t="str">
        <f>VLOOKUP(Customer_Names!A100,Customer_Names!$1:$1048576,4,FALSE)</f>
        <v>Ron N</v>
      </c>
      <c r="C100">
        <f>VLOOKUP(Medical_Examinations_2[[#This Row],[Customer ID]],Medical_Examinations!$1:$1048576,2,FALSE)</f>
        <v>41.51</v>
      </c>
      <c r="D100">
        <f>VLOOKUP(Medical_Examinations_2[[#This Row],[Customer ID]],Medical_Examinations!$1:$1048576,4,FALSE)</f>
        <v>6.92</v>
      </c>
      <c r="E100" t="str">
        <f>VLOOKUP(Medical_Examinations_2[[#This Row],[Customer ID]],Medical_Examinations!$1:$1048576,6,FALSE)</f>
        <v>No</v>
      </c>
      <c r="H100" t="str">
        <f>VLOOKUP(Medical_Examinations_2[[#This Row],[Customer ID]],Medical_Examinations!$1:$1048576,9,FALSE)</f>
        <v>No major surgery</v>
      </c>
      <c r="I100" t="str">
        <f>VLOOKUP(Medical_Examinations_2[[#This Row],[Customer ID]],Medical_Examinations!$1:$1048576,11,FALSE)</f>
        <v>Yes</v>
      </c>
      <c r="J100" t="str">
        <f>VLOOKUP(Medical_Examinations_2[[#This Row],[Customer ID]],Medical_Examinations!$1:$1048576,3,FALSE)</f>
        <v>Obesity</v>
      </c>
      <c r="K100" t="str">
        <f>VLOOKUP(Medical_Examinations_2[[#This Row],[Customer ID]],Medical_Examinations!$1:$1048576,5,FALSE)</f>
        <v>Diabetes</v>
      </c>
    </row>
    <row r="101" spans="1:11" x14ac:dyDescent="0.25">
      <c r="A101" s="11" t="s">
        <v>120</v>
      </c>
      <c r="B101" t="str">
        <f>VLOOKUP(Customer_Names!A101,Customer_Names!$1:$1048576,4,FALSE)</f>
        <v>Daniel</v>
      </c>
      <c r="C101">
        <f>VLOOKUP(Medical_Examinations_2[[#This Row],[Customer ID]],Medical_Examinations!$1:$1048576,2,FALSE)</f>
        <v>48.2</v>
      </c>
      <c r="D101">
        <f>VLOOKUP(Medical_Examinations_2[[#This Row],[Customer ID]],Medical_Examinations!$1:$1048576,4,FALSE)</f>
        <v>4.84</v>
      </c>
      <c r="E101" t="str">
        <f>VLOOKUP(Medical_Examinations_2[[#This Row],[Customer ID]],Medical_Examinations!$1:$1048576,6,FALSE)</f>
        <v>No</v>
      </c>
      <c r="H101" t="str">
        <f>VLOOKUP(Medical_Examinations_2[[#This Row],[Customer ID]],Medical_Examinations!$1:$1048576,9,FALSE)</f>
        <v>No major surgery</v>
      </c>
      <c r="I101" t="str">
        <f>VLOOKUP(Medical_Examinations_2[[#This Row],[Customer ID]],Medical_Examinations!$1:$1048576,11,FALSE)</f>
        <v>Yes</v>
      </c>
      <c r="J101" t="str">
        <f>VLOOKUP(Medical_Examinations_2[[#This Row],[Customer ID]],Medical_Examinations!$1:$1048576,3,FALSE)</f>
        <v>Obesity</v>
      </c>
      <c r="K101" t="str">
        <f>VLOOKUP(Medical_Examinations_2[[#This Row],[Customer ID]],Medical_Examinations!$1:$1048576,5,FALSE)</f>
        <v>Normal</v>
      </c>
    </row>
    <row r="102" spans="1:11" x14ac:dyDescent="0.25">
      <c r="A102" s="10" t="s">
        <v>121</v>
      </c>
      <c r="B102" t="str">
        <f>VLOOKUP(Customer_Names!A102,Customer_Names!$1:$1048576,4,FALSE)</f>
        <v>Brian</v>
      </c>
      <c r="C102">
        <f>VLOOKUP(Medical_Examinations_2[[#This Row],[Customer ID]],Medical_Examinations!$1:$1048576,2,FALSE)</f>
        <v>35.75</v>
      </c>
      <c r="D102">
        <f>VLOOKUP(Medical_Examinations_2[[#This Row],[Customer ID]],Medical_Examinations!$1:$1048576,4,FALSE)</f>
        <v>8</v>
      </c>
      <c r="E102" t="str">
        <f>VLOOKUP(Medical_Examinations_2[[#This Row],[Customer ID]],Medical_Examinations!$1:$1048576,6,FALSE)</f>
        <v>Yes</v>
      </c>
      <c r="H102" t="str">
        <f>VLOOKUP(Medical_Examinations_2[[#This Row],[Customer ID]],Medical_Examinations!$1:$1048576,9,FALSE)</f>
        <v>No major surgery</v>
      </c>
      <c r="I102" t="str">
        <f>VLOOKUP(Medical_Examinations_2[[#This Row],[Customer ID]],Medical_Examinations!$1:$1048576,11,FALSE)</f>
        <v>Yes</v>
      </c>
      <c r="J102" t="str">
        <f>VLOOKUP(Medical_Examinations_2[[#This Row],[Customer ID]],Medical_Examinations!$1:$1048576,3,FALSE)</f>
        <v>Obesity</v>
      </c>
      <c r="K102" t="str">
        <f>VLOOKUP(Medical_Examinations_2[[#This Row],[Customer ID]],Medical_Examinations!$1:$1048576,5,FALSE)</f>
        <v>Diabetes</v>
      </c>
    </row>
    <row r="103" spans="1:11" x14ac:dyDescent="0.25">
      <c r="A103" s="11" t="s">
        <v>122</v>
      </c>
      <c r="B103" t="str">
        <f>VLOOKUP(Customer_Names!A103,Customer_Names!$1:$1048576,4,FALSE)</f>
        <v>Sari</v>
      </c>
      <c r="C103">
        <f>VLOOKUP(Medical_Examinations_2[[#This Row],[Customer ID]],Medical_Examinations!$1:$1048576,2,FALSE)</f>
        <v>53.81</v>
      </c>
      <c r="D103">
        <f>VLOOKUP(Medical_Examinations_2[[#This Row],[Customer ID]],Medical_Examinations!$1:$1048576,4,FALSE)</f>
        <v>8.77</v>
      </c>
      <c r="E103" t="str">
        <f>VLOOKUP(Medical_Examinations_2[[#This Row],[Customer ID]],Medical_Examinations!$1:$1048576,6,FALSE)</f>
        <v>Yes</v>
      </c>
      <c r="H103" t="str">
        <f>VLOOKUP(Medical_Examinations_2[[#This Row],[Customer ID]],Medical_Examinations!$1:$1048576,9,FALSE)</f>
        <v>No major surgery</v>
      </c>
      <c r="I103" t="str">
        <f>VLOOKUP(Medical_Examinations_2[[#This Row],[Customer ID]],Medical_Examinations!$1:$1048576,11,FALSE)</f>
        <v>Yes</v>
      </c>
      <c r="J103" t="str">
        <f>VLOOKUP(Medical_Examinations_2[[#This Row],[Customer ID]],Medical_Examinations!$1:$1048576,3,FALSE)</f>
        <v>Obesity</v>
      </c>
      <c r="K103" t="str">
        <f>VLOOKUP(Medical_Examinations_2[[#This Row],[Customer ID]],Medical_Examinations!$1:$1048576,5,FALSE)</f>
        <v>Diabetes</v>
      </c>
    </row>
    <row r="104" spans="1:11" x14ac:dyDescent="0.25">
      <c r="A104" s="10" t="s">
        <v>123</v>
      </c>
      <c r="B104" t="str">
        <f>VLOOKUP(Customer_Names!A104,Customer_Names!$1:$1048576,4,FALSE)</f>
        <v>Robert M.</v>
      </c>
      <c r="C104">
        <f>VLOOKUP(Medical_Examinations_2[[#This Row],[Customer ID]],Medical_Examinations!$1:$1048576,2,FALSE)</f>
        <v>49.48</v>
      </c>
      <c r="D104">
        <f>VLOOKUP(Medical_Examinations_2[[#This Row],[Customer ID]],Medical_Examinations!$1:$1048576,4,FALSE)</f>
        <v>4.96</v>
      </c>
      <c r="E104" t="str">
        <f>VLOOKUP(Medical_Examinations_2[[#This Row],[Customer ID]],Medical_Examinations!$1:$1048576,6,FALSE)</f>
        <v>No</v>
      </c>
      <c r="H104">
        <f>VLOOKUP(Medical_Examinations_2[[#This Row],[Customer ID]],Medical_Examinations!$1:$1048576,9,FALSE)</f>
        <v>1</v>
      </c>
      <c r="I104" t="str">
        <f>VLOOKUP(Medical_Examinations_2[[#This Row],[Customer ID]],Medical_Examinations!$1:$1048576,11,FALSE)</f>
        <v>Yes</v>
      </c>
      <c r="J104" t="str">
        <f>VLOOKUP(Medical_Examinations_2[[#This Row],[Customer ID]],Medical_Examinations!$1:$1048576,3,FALSE)</f>
        <v>Obesity</v>
      </c>
      <c r="K104" t="str">
        <f>VLOOKUP(Medical_Examinations_2[[#This Row],[Customer ID]],Medical_Examinations!$1:$1048576,5,FALSE)</f>
        <v>Normal</v>
      </c>
    </row>
    <row r="105" spans="1:11" x14ac:dyDescent="0.25">
      <c r="A105" s="11" t="s">
        <v>124</v>
      </c>
      <c r="B105" t="str">
        <f>VLOOKUP(Customer_Names!A105,Customer_Names!$1:$1048576,4,FALSE)</f>
        <v>Ricardo</v>
      </c>
      <c r="C105">
        <f>VLOOKUP(Medical_Examinations_2[[#This Row],[Customer ID]],Medical_Examinations!$1:$1048576,2,FALSE)</f>
        <v>34.1</v>
      </c>
      <c r="D105">
        <f>VLOOKUP(Medical_Examinations_2[[#This Row],[Customer ID]],Medical_Examinations!$1:$1048576,4,FALSE)</f>
        <v>4.43</v>
      </c>
      <c r="E105" t="str">
        <f>VLOOKUP(Medical_Examinations_2[[#This Row],[Customer ID]],Medical_Examinations!$1:$1048576,6,FALSE)</f>
        <v>Yes</v>
      </c>
      <c r="H105" t="str">
        <f>VLOOKUP(Medical_Examinations_2[[#This Row],[Customer ID]],Medical_Examinations!$1:$1048576,9,FALSE)</f>
        <v>No major surgery</v>
      </c>
      <c r="I105" t="str">
        <f>VLOOKUP(Medical_Examinations_2[[#This Row],[Customer ID]],Medical_Examinations!$1:$1048576,11,FALSE)</f>
        <v>Yes</v>
      </c>
      <c r="J105" t="str">
        <f>VLOOKUP(Medical_Examinations_2[[#This Row],[Customer ID]],Medical_Examinations!$1:$1048576,3,FALSE)</f>
        <v>Obesity</v>
      </c>
      <c r="K105" t="str">
        <f>VLOOKUP(Medical_Examinations_2[[#This Row],[Customer ID]],Medical_Examinations!$1:$1048576,5,FALSE)</f>
        <v>Normal</v>
      </c>
    </row>
    <row r="106" spans="1:11" x14ac:dyDescent="0.25">
      <c r="A106" s="10" t="s">
        <v>125</v>
      </c>
      <c r="B106" t="str">
        <f>VLOOKUP(Customer_Names!A106,Customer_Names!$1:$1048576,4,FALSE)</f>
        <v>Gedion</v>
      </c>
      <c r="C106">
        <f>VLOOKUP(Medical_Examinations_2[[#This Row],[Customer ID]],Medical_Examinations!$1:$1048576,2,FALSE)</f>
        <v>35.299999999999997</v>
      </c>
      <c r="D106">
        <f>VLOOKUP(Medical_Examinations_2[[#This Row],[Customer ID]],Medical_Examinations!$1:$1048576,4,FALSE)</f>
        <v>5.82</v>
      </c>
      <c r="E106" t="str">
        <f>VLOOKUP(Medical_Examinations_2[[#This Row],[Customer ID]],Medical_Examinations!$1:$1048576,6,FALSE)</f>
        <v>Yes</v>
      </c>
      <c r="H106">
        <f>VLOOKUP(Medical_Examinations_2[[#This Row],[Customer ID]],Medical_Examinations!$1:$1048576,9,FALSE)</f>
        <v>1</v>
      </c>
      <c r="I106" t="str">
        <f>VLOOKUP(Medical_Examinations_2[[#This Row],[Customer ID]],Medical_Examinations!$1:$1048576,11,FALSE)</f>
        <v>Yes</v>
      </c>
      <c r="J106" t="str">
        <f>VLOOKUP(Medical_Examinations_2[[#This Row],[Customer ID]],Medical_Examinations!$1:$1048576,3,FALSE)</f>
        <v>Obesity</v>
      </c>
      <c r="K106" t="str">
        <f>VLOOKUP(Medical_Examinations_2[[#This Row],[Customer ID]],Medical_Examinations!$1:$1048576,5,FALSE)</f>
        <v>Prediabetes</v>
      </c>
    </row>
    <row r="107" spans="1:11" x14ac:dyDescent="0.25">
      <c r="A107" s="11" t="s">
        <v>126</v>
      </c>
      <c r="B107" t="str">
        <f>VLOOKUP(Customer_Names!A107,Customer_Names!$1:$1048576,4,FALSE)</f>
        <v>Mr.  Mark</v>
      </c>
      <c r="C107">
        <f>VLOOKUP(Medical_Examinations_2[[#This Row],[Customer ID]],Medical_Examinations!$1:$1048576,2,FALSE)</f>
        <v>43.83</v>
      </c>
      <c r="D107">
        <f>VLOOKUP(Medical_Examinations_2[[#This Row],[Customer ID]],Medical_Examinations!$1:$1048576,4,FALSE)</f>
        <v>6.03</v>
      </c>
      <c r="E107" t="str">
        <f>VLOOKUP(Medical_Examinations_2[[#This Row],[Customer ID]],Medical_Examinations!$1:$1048576,6,FALSE)</f>
        <v>Yes</v>
      </c>
      <c r="H107">
        <f>VLOOKUP(Medical_Examinations_2[[#This Row],[Customer ID]],Medical_Examinations!$1:$1048576,9,FALSE)</f>
        <v>2</v>
      </c>
      <c r="I107" t="str">
        <f>VLOOKUP(Medical_Examinations_2[[#This Row],[Customer ID]],Medical_Examinations!$1:$1048576,11,FALSE)</f>
        <v>Yes</v>
      </c>
      <c r="J107" t="str">
        <f>VLOOKUP(Medical_Examinations_2[[#This Row],[Customer ID]],Medical_Examinations!$1:$1048576,3,FALSE)</f>
        <v>Obesity</v>
      </c>
      <c r="K107" t="str">
        <f>VLOOKUP(Medical_Examinations_2[[#This Row],[Customer ID]],Medical_Examinations!$1:$1048576,5,FALSE)</f>
        <v>Prediabetes</v>
      </c>
    </row>
    <row r="108" spans="1:11" x14ac:dyDescent="0.25">
      <c r="A108" s="10" t="s">
        <v>127</v>
      </c>
      <c r="B108" t="str">
        <f>VLOOKUP(Customer_Names!A108,Customer_Names!$1:$1048576,4,FALSE)</f>
        <v>Gamini P.</v>
      </c>
      <c r="C108">
        <f>VLOOKUP(Medical_Examinations_2[[#This Row],[Customer ID]],Medical_Examinations!$1:$1048576,2,FALSE)</f>
        <v>50.07</v>
      </c>
      <c r="D108">
        <f>VLOOKUP(Medical_Examinations_2[[#This Row],[Customer ID]],Medical_Examinations!$1:$1048576,4,FALSE)</f>
        <v>9.27</v>
      </c>
      <c r="E108" t="str">
        <f>VLOOKUP(Medical_Examinations_2[[#This Row],[Customer ID]],Medical_Examinations!$1:$1048576,6,FALSE)</f>
        <v>No</v>
      </c>
      <c r="H108" t="str">
        <f>VLOOKUP(Medical_Examinations_2[[#This Row],[Customer ID]],Medical_Examinations!$1:$1048576,9,FALSE)</f>
        <v>No major surgery</v>
      </c>
      <c r="I108" t="str">
        <f>VLOOKUP(Medical_Examinations_2[[#This Row],[Customer ID]],Medical_Examinations!$1:$1048576,11,FALSE)</f>
        <v>Yes</v>
      </c>
      <c r="J108" t="str">
        <f>VLOOKUP(Medical_Examinations_2[[#This Row],[Customer ID]],Medical_Examinations!$1:$1048576,3,FALSE)</f>
        <v>Obesity</v>
      </c>
      <c r="K108" t="str">
        <f>VLOOKUP(Medical_Examinations_2[[#This Row],[Customer ID]],Medical_Examinations!$1:$1048576,5,FALSE)</f>
        <v>Diabetes</v>
      </c>
    </row>
    <row r="109" spans="1:11" x14ac:dyDescent="0.25">
      <c r="A109" s="11" t="s">
        <v>128</v>
      </c>
      <c r="B109" t="str">
        <f>VLOOKUP(Customer_Names!A109,Customer_Names!$1:$1048576,4,FALSE)</f>
        <v>Emily J</v>
      </c>
      <c r="C109">
        <f>VLOOKUP(Medical_Examinations_2[[#This Row],[Customer ID]],Medical_Examinations!$1:$1048576,2,FALSE)</f>
        <v>32.774999999999999</v>
      </c>
      <c r="D109">
        <f>VLOOKUP(Medical_Examinations_2[[#This Row],[Customer ID]],Medical_Examinations!$1:$1048576,4,FALSE)</f>
        <v>5.53</v>
      </c>
      <c r="E109" t="str">
        <f>VLOOKUP(Medical_Examinations_2[[#This Row],[Customer ID]],Medical_Examinations!$1:$1048576,6,FALSE)</f>
        <v>No</v>
      </c>
      <c r="H109" t="str">
        <f>VLOOKUP(Medical_Examinations_2[[#This Row],[Customer ID]],Medical_Examinations!$1:$1048576,9,FALSE)</f>
        <v>No major surgery</v>
      </c>
      <c r="I109" t="str">
        <f>VLOOKUP(Medical_Examinations_2[[#This Row],[Customer ID]],Medical_Examinations!$1:$1048576,11,FALSE)</f>
        <v>Yes</v>
      </c>
      <c r="J109" t="str">
        <f>VLOOKUP(Medical_Examinations_2[[#This Row],[Customer ID]],Medical_Examinations!$1:$1048576,3,FALSE)</f>
        <v>Obesity</v>
      </c>
      <c r="K109" t="str">
        <f>VLOOKUP(Medical_Examinations_2[[#This Row],[Customer ID]],Medical_Examinations!$1:$1048576,5,FALSE)</f>
        <v>Normal</v>
      </c>
    </row>
    <row r="110" spans="1:11" x14ac:dyDescent="0.25">
      <c r="A110" s="10" t="s">
        <v>129</v>
      </c>
      <c r="B110" t="str">
        <f>VLOOKUP(Customer_Names!A110,Customer_Names!$1:$1048576,4,FALSE)</f>
        <v>Amanda</v>
      </c>
      <c r="C110">
        <f>VLOOKUP(Medical_Examinations_2[[#This Row],[Customer ID]],Medical_Examinations!$1:$1048576,2,FALSE)</f>
        <v>34.104999999999997</v>
      </c>
      <c r="D110">
        <f>VLOOKUP(Medical_Examinations_2[[#This Row],[Customer ID]],Medical_Examinations!$1:$1048576,4,FALSE)</f>
        <v>5.07</v>
      </c>
      <c r="E110" t="str">
        <f>VLOOKUP(Medical_Examinations_2[[#This Row],[Customer ID]],Medical_Examinations!$1:$1048576,6,FALSE)</f>
        <v>No</v>
      </c>
      <c r="H110">
        <f>VLOOKUP(Medical_Examinations_2[[#This Row],[Customer ID]],Medical_Examinations!$1:$1048576,9,FALSE)</f>
        <v>1</v>
      </c>
      <c r="I110" t="str">
        <f>VLOOKUP(Medical_Examinations_2[[#This Row],[Customer ID]],Medical_Examinations!$1:$1048576,11,FALSE)</f>
        <v>Yes</v>
      </c>
      <c r="J110" t="str">
        <f>VLOOKUP(Medical_Examinations_2[[#This Row],[Customer ID]],Medical_Examinations!$1:$1048576,3,FALSE)</f>
        <v>Obesity</v>
      </c>
      <c r="K110" t="str">
        <f>VLOOKUP(Medical_Examinations_2[[#This Row],[Customer ID]],Medical_Examinations!$1:$1048576,5,FALSE)</f>
        <v>Normal</v>
      </c>
    </row>
    <row r="111" spans="1:11" x14ac:dyDescent="0.25">
      <c r="A111" s="11" t="s">
        <v>130</v>
      </c>
      <c r="B111" t="str">
        <f>VLOOKUP(Customer_Names!A111,Customer_Names!$1:$1048576,4,FALSE)</f>
        <v>Nicholas</v>
      </c>
      <c r="C111">
        <f>VLOOKUP(Medical_Examinations_2[[#This Row],[Customer ID]],Medical_Examinations!$1:$1048576,2,FALSE)</f>
        <v>48.93</v>
      </c>
      <c r="D111">
        <f>VLOOKUP(Medical_Examinations_2[[#This Row],[Customer ID]],Medical_Examinations!$1:$1048576,4,FALSE)</f>
        <v>11.17</v>
      </c>
      <c r="E111" t="str">
        <f>VLOOKUP(Medical_Examinations_2[[#This Row],[Customer ID]],Medical_Examinations!$1:$1048576,6,FALSE)</f>
        <v>Yes</v>
      </c>
      <c r="H111">
        <f>VLOOKUP(Medical_Examinations_2[[#This Row],[Customer ID]],Medical_Examinations!$1:$1048576,9,FALSE)</f>
        <v>1</v>
      </c>
      <c r="I111" t="str">
        <f>VLOOKUP(Medical_Examinations_2[[#This Row],[Customer ID]],Medical_Examinations!$1:$1048576,11,FALSE)</f>
        <v>Yes</v>
      </c>
      <c r="J111" t="str">
        <f>VLOOKUP(Medical_Examinations_2[[#This Row],[Customer ID]],Medical_Examinations!$1:$1048576,3,FALSE)</f>
        <v>Obesity</v>
      </c>
      <c r="K111" t="str">
        <f>VLOOKUP(Medical_Examinations_2[[#This Row],[Customer ID]],Medical_Examinations!$1:$1048576,5,FALSE)</f>
        <v>Diabetes</v>
      </c>
    </row>
    <row r="112" spans="1:11" x14ac:dyDescent="0.25">
      <c r="A112" s="10" t="s">
        <v>131</v>
      </c>
      <c r="B112" t="str">
        <f>VLOOKUP(Customer_Names!A112,Customer_Names!$1:$1048576,4,FALSE)</f>
        <v>Knox</v>
      </c>
      <c r="C112">
        <f>VLOOKUP(Medical_Examinations_2[[#This Row],[Customer ID]],Medical_Examinations!$1:$1048576,2,FALSE)</f>
        <v>37.07</v>
      </c>
      <c r="D112">
        <f>VLOOKUP(Medical_Examinations_2[[#This Row],[Customer ID]],Medical_Examinations!$1:$1048576,4,FALSE)</f>
        <v>6.14</v>
      </c>
      <c r="E112" t="str">
        <f>VLOOKUP(Medical_Examinations_2[[#This Row],[Customer ID]],Medical_Examinations!$1:$1048576,6,FALSE)</f>
        <v>Yes</v>
      </c>
      <c r="H112" t="str">
        <f>VLOOKUP(Medical_Examinations_2[[#This Row],[Customer ID]],Medical_Examinations!$1:$1048576,9,FALSE)</f>
        <v>No major surgery</v>
      </c>
      <c r="I112" t="str">
        <f>VLOOKUP(Medical_Examinations_2[[#This Row],[Customer ID]],Medical_Examinations!$1:$1048576,11,FALSE)</f>
        <v>Yes</v>
      </c>
      <c r="J112" t="str">
        <f>VLOOKUP(Medical_Examinations_2[[#This Row],[Customer ID]],Medical_Examinations!$1:$1048576,3,FALSE)</f>
        <v>Obesity</v>
      </c>
      <c r="K112" t="str">
        <f>VLOOKUP(Medical_Examinations_2[[#This Row],[Customer ID]],Medical_Examinations!$1:$1048576,5,FALSE)</f>
        <v>Prediabetes</v>
      </c>
    </row>
    <row r="113" spans="1:11" x14ac:dyDescent="0.25">
      <c r="A113" s="11" t="s">
        <v>132</v>
      </c>
      <c r="B113" t="str">
        <f>VLOOKUP(Customer_Names!A113,Customer_Names!$1:$1048576,4,FALSE)</f>
        <v>Yianna</v>
      </c>
      <c r="C113">
        <f>VLOOKUP(Medical_Examinations_2[[#This Row],[Customer ID]],Medical_Examinations!$1:$1048576,2,FALSE)</f>
        <v>51.51</v>
      </c>
      <c r="D113">
        <f>VLOOKUP(Medical_Examinations_2[[#This Row],[Customer ID]],Medical_Examinations!$1:$1048576,4,FALSE)</f>
        <v>6.26</v>
      </c>
      <c r="E113" t="str">
        <f>VLOOKUP(Medical_Examinations_2[[#This Row],[Customer ID]],Medical_Examinations!$1:$1048576,6,FALSE)</f>
        <v>Yes</v>
      </c>
      <c r="H113">
        <f>VLOOKUP(Medical_Examinations_2[[#This Row],[Customer ID]],Medical_Examinations!$1:$1048576,9,FALSE)</f>
        <v>1</v>
      </c>
      <c r="I113" t="str">
        <f>VLOOKUP(Medical_Examinations_2[[#This Row],[Customer ID]],Medical_Examinations!$1:$1048576,11,FALSE)</f>
        <v>Yes</v>
      </c>
      <c r="J113" t="str">
        <f>VLOOKUP(Medical_Examinations_2[[#This Row],[Customer ID]],Medical_Examinations!$1:$1048576,3,FALSE)</f>
        <v>Obesity</v>
      </c>
      <c r="K113" t="str">
        <f>VLOOKUP(Medical_Examinations_2[[#This Row],[Customer ID]],Medical_Examinations!$1:$1048576,5,FALSE)</f>
        <v>Prediabetes</v>
      </c>
    </row>
    <row r="114" spans="1:11" x14ac:dyDescent="0.25">
      <c r="A114" s="10" t="s">
        <v>133</v>
      </c>
      <c r="B114" t="str">
        <f>VLOOKUP(Customer_Names!A114,Customer_Names!$1:$1048576,4,FALSE)</f>
        <v>Roberta</v>
      </c>
      <c r="C114">
        <f>VLOOKUP(Medical_Examinations_2[[#This Row],[Customer ID]],Medical_Examinations!$1:$1048576,2,FALSE)</f>
        <v>34.799999999999997</v>
      </c>
      <c r="D114">
        <f>VLOOKUP(Medical_Examinations_2[[#This Row],[Customer ID]],Medical_Examinations!$1:$1048576,4,FALSE)</f>
        <v>4.72</v>
      </c>
      <c r="E114" t="str">
        <f>VLOOKUP(Medical_Examinations_2[[#This Row],[Customer ID]],Medical_Examinations!$1:$1048576,6,FALSE)</f>
        <v>Yes</v>
      </c>
      <c r="H114" t="str">
        <f>VLOOKUP(Medical_Examinations_2[[#This Row],[Customer ID]],Medical_Examinations!$1:$1048576,9,FALSE)</f>
        <v>No major surgery</v>
      </c>
      <c r="I114" t="str">
        <f>VLOOKUP(Medical_Examinations_2[[#This Row],[Customer ID]],Medical_Examinations!$1:$1048576,11,FALSE)</f>
        <v>Yes</v>
      </c>
      <c r="J114" t="str">
        <f>VLOOKUP(Medical_Examinations_2[[#This Row],[Customer ID]],Medical_Examinations!$1:$1048576,3,FALSE)</f>
        <v>Obesity</v>
      </c>
      <c r="K114" t="str">
        <f>VLOOKUP(Medical_Examinations_2[[#This Row],[Customer ID]],Medical_Examinations!$1:$1048576,5,FALSE)</f>
        <v>Normal</v>
      </c>
    </row>
    <row r="115" spans="1:11" x14ac:dyDescent="0.25">
      <c r="A115" s="11" t="s">
        <v>134</v>
      </c>
      <c r="B115" t="str">
        <f>VLOOKUP(Customer_Names!A115,Customer_Names!$1:$1048576,4,FALSE)</f>
        <v>Benjamin P.</v>
      </c>
      <c r="C115">
        <f>VLOOKUP(Medical_Examinations_2[[#This Row],[Customer ID]],Medical_Examinations!$1:$1048576,2,FALSE)</f>
        <v>36.67</v>
      </c>
      <c r="D115">
        <f>VLOOKUP(Medical_Examinations_2[[#This Row],[Customer ID]],Medical_Examinations!$1:$1048576,4,FALSE)</f>
        <v>5.18</v>
      </c>
      <c r="E115" t="str">
        <f>VLOOKUP(Medical_Examinations_2[[#This Row],[Customer ID]],Medical_Examinations!$1:$1048576,6,FALSE)</f>
        <v>No</v>
      </c>
      <c r="H115">
        <f>VLOOKUP(Medical_Examinations_2[[#This Row],[Customer ID]],Medical_Examinations!$1:$1048576,9,FALSE)</f>
        <v>1</v>
      </c>
      <c r="I115" t="str">
        <f>VLOOKUP(Medical_Examinations_2[[#This Row],[Customer ID]],Medical_Examinations!$1:$1048576,11,FALSE)</f>
        <v>Yes</v>
      </c>
      <c r="J115" t="str">
        <f>VLOOKUP(Medical_Examinations_2[[#This Row],[Customer ID]],Medical_Examinations!$1:$1048576,3,FALSE)</f>
        <v>Obesity</v>
      </c>
      <c r="K115" t="str">
        <f>VLOOKUP(Medical_Examinations_2[[#This Row],[Customer ID]],Medical_Examinations!$1:$1048576,5,FALSE)</f>
        <v>Normal</v>
      </c>
    </row>
    <row r="116" spans="1:11" x14ac:dyDescent="0.25">
      <c r="A116" s="10" t="s">
        <v>135</v>
      </c>
      <c r="B116" t="str">
        <f>VLOOKUP(Customer_Names!A116,Customer_Names!$1:$1048576,4,FALSE)</f>
        <v>Craig</v>
      </c>
      <c r="C116">
        <f>VLOOKUP(Medical_Examinations_2[[#This Row],[Customer ID]],Medical_Examinations!$1:$1048576,2,FALSE)</f>
        <v>30.9</v>
      </c>
      <c r="D116">
        <f>VLOOKUP(Medical_Examinations_2[[#This Row],[Customer ID]],Medical_Examinations!$1:$1048576,4,FALSE)</f>
        <v>9.4</v>
      </c>
      <c r="E116" t="str">
        <f>VLOOKUP(Medical_Examinations_2[[#This Row],[Customer ID]],Medical_Examinations!$1:$1048576,6,FALSE)</f>
        <v>No</v>
      </c>
      <c r="H116">
        <f>VLOOKUP(Medical_Examinations_2[[#This Row],[Customer ID]],Medical_Examinations!$1:$1048576,9,FALSE)</f>
        <v>2</v>
      </c>
      <c r="I116" t="str">
        <f>VLOOKUP(Medical_Examinations_2[[#This Row],[Customer ID]],Medical_Examinations!$1:$1048576,11,FALSE)</f>
        <v>Yes</v>
      </c>
      <c r="J116" t="str">
        <f>VLOOKUP(Medical_Examinations_2[[#This Row],[Customer ID]],Medical_Examinations!$1:$1048576,3,FALSE)</f>
        <v>Obesity</v>
      </c>
      <c r="K116" t="str">
        <f>VLOOKUP(Medical_Examinations_2[[#This Row],[Customer ID]],Medical_Examinations!$1:$1048576,5,FALSE)</f>
        <v>Diabetes</v>
      </c>
    </row>
    <row r="117" spans="1:11" x14ac:dyDescent="0.25">
      <c r="A117" s="11" t="s">
        <v>136</v>
      </c>
      <c r="B117" t="str">
        <f>VLOOKUP(Customer_Names!A117,Customer_Names!$1:$1048576,4,FALSE)</f>
        <v>Ann</v>
      </c>
      <c r="C117">
        <f>VLOOKUP(Medical_Examinations_2[[#This Row],[Customer ID]],Medical_Examinations!$1:$1048576,2,FALSE)</f>
        <v>30.495000000000001</v>
      </c>
      <c r="D117">
        <f>VLOOKUP(Medical_Examinations_2[[#This Row],[Customer ID]],Medical_Examinations!$1:$1048576,4,FALSE)</f>
        <v>6.29</v>
      </c>
      <c r="E117" t="str">
        <f>VLOOKUP(Medical_Examinations_2[[#This Row],[Customer ID]],Medical_Examinations!$1:$1048576,6,FALSE)</f>
        <v>No</v>
      </c>
      <c r="H117" t="str">
        <f>VLOOKUP(Medical_Examinations_2[[#This Row],[Customer ID]],Medical_Examinations!$1:$1048576,9,FALSE)</f>
        <v>No major surgery</v>
      </c>
      <c r="I117" t="str">
        <f>VLOOKUP(Medical_Examinations_2[[#This Row],[Customer ID]],Medical_Examinations!$1:$1048576,11,FALSE)</f>
        <v>Yes</v>
      </c>
      <c r="J117" t="str">
        <f>VLOOKUP(Medical_Examinations_2[[#This Row],[Customer ID]],Medical_Examinations!$1:$1048576,3,FALSE)</f>
        <v>Obesity</v>
      </c>
      <c r="K117" t="str">
        <f>VLOOKUP(Medical_Examinations_2[[#This Row],[Customer ID]],Medical_Examinations!$1:$1048576,5,FALSE)</f>
        <v>Prediabetes</v>
      </c>
    </row>
    <row r="118" spans="1:11" x14ac:dyDescent="0.25">
      <c r="A118" s="10" t="s">
        <v>137</v>
      </c>
      <c r="B118" t="str">
        <f>VLOOKUP(Customer_Names!A118,Customer_Names!$1:$1048576,4,FALSE)</f>
        <v>Jamie P</v>
      </c>
      <c r="C118">
        <f>VLOOKUP(Medical_Examinations_2[[#This Row],[Customer ID]],Medical_Examinations!$1:$1048576,2,FALSE)</f>
        <v>44.88</v>
      </c>
      <c r="D118">
        <f>VLOOKUP(Medical_Examinations_2[[#This Row],[Customer ID]],Medical_Examinations!$1:$1048576,4,FALSE)</f>
        <v>6.04</v>
      </c>
      <c r="E118" t="str">
        <f>VLOOKUP(Medical_Examinations_2[[#This Row],[Customer ID]],Medical_Examinations!$1:$1048576,6,FALSE)</f>
        <v>No</v>
      </c>
      <c r="H118">
        <f>VLOOKUP(Medical_Examinations_2[[#This Row],[Customer ID]],Medical_Examinations!$1:$1048576,9,FALSE)</f>
        <v>1</v>
      </c>
      <c r="I118" t="str">
        <f>VLOOKUP(Medical_Examinations_2[[#This Row],[Customer ID]],Medical_Examinations!$1:$1048576,11,FALSE)</f>
        <v>Yes</v>
      </c>
      <c r="J118" t="str">
        <f>VLOOKUP(Medical_Examinations_2[[#This Row],[Customer ID]],Medical_Examinations!$1:$1048576,3,FALSE)</f>
        <v>Obesity</v>
      </c>
      <c r="K118" t="str">
        <f>VLOOKUP(Medical_Examinations_2[[#This Row],[Customer ID]],Medical_Examinations!$1:$1048576,5,FALSE)</f>
        <v>Prediabetes</v>
      </c>
    </row>
    <row r="119" spans="1:11" x14ac:dyDescent="0.25">
      <c r="A119" s="11" t="s">
        <v>138</v>
      </c>
      <c r="B119" t="str">
        <f>VLOOKUP(Customer_Names!A119,Customer_Names!$1:$1048576,4,FALSE)</f>
        <v>John</v>
      </c>
      <c r="C119">
        <f>VLOOKUP(Medical_Examinations_2[[#This Row],[Customer ID]],Medical_Examinations!$1:$1048576,2,FALSE)</f>
        <v>44.32</v>
      </c>
      <c r="D119">
        <f>VLOOKUP(Medical_Examinations_2[[#This Row],[Customer ID]],Medical_Examinations!$1:$1048576,4,FALSE)</f>
        <v>10.55</v>
      </c>
      <c r="E119" t="str">
        <f>VLOOKUP(Medical_Examinations_2[[#This Row],[Customer ID]],Medical_Examinations!$1:$1048576,6,FALSE)</f>
        <v>No</v>
      </c>
      <c r="H119" t="str">
        <f>VLOOKUP(Medical_Examinations_2[[#This Row],[Customer ID]],Medical_Examinations!$1:$1048576,9,FALSE)</f>
        <v>No major surgery</v>
      </c>
      <c r="I119" t="str">
        <f>VLOOKUP(Medical_Examinations_2[[#This Row],[Customer ID]],Medical_Examinations!$1:$1048576,11,FALSE)</f>
        <v>Yes</v>
      </c>
      <c r="J119" t="str">
        <f>VLOOKUP(Medical_Examinations_2[[#This Row],[Customer ID]],Medical_Examinations!$1:$1048576,3,FALSE)</f>
        <v>Obesity</v>
      </c>
      <c r="K119" t="str">
        <f>VLOOKUP(Medical_Examinations_2[[#This Row],[Customer ID]],Medical_Examinations!$1:$1048576,5,FALSE)</f>
        <v>Diabetes</v>
      </c>
    </row>
    <row r="120" spans="1:11" x14ac:dyDescent="0.25">
      <c r="A120" s="10" t="s">
        <v>139</v>
      </c>
      <c r="B120" t="str">
        <f>VLOOKUP(Customer_Names!A120,Customer_Names!$1:$1048576,4,FALSE)</f>
        <v>Charlie</v>
      </c>
      <c r="C120">
        <f>VLOOKUP(Medical_Examinations_2[[#This Row],[Customer ID]],Medical_Examinations!$1:$1048576,2,FALSE)</f>
        <v>46.39</v>
      </c>
      <c r="D120">
        <f>VLOOKUP(Medical_Examinations_2[[#This Row],[Customer ID]],Medical_Examinations!$1:$1048576,4,FALSE)</f>
        <v>5.09</v>
      </c>
      <c r="E120" t="str">
        <f>VLOOKUP(Medical_Examinations_2[[#This Row],[Customer ID]],Medical_Examinations!$1:$1048576,6,FALSE)</f>
        <v>No</v>
      </c>
      <c r="H120" t="str">
        <f>VLOOKUP(Medical_Examinations_2[[#This Row],[Customer ID]],Medical_Examinations!$1:$1048576,9,FALSE)</f>
        <v>No major surgery</v>
      </c>
      <c r="I120" t="str">
        <f>VLOOKUP(Medical_Examinations_2[[#This Row],[Customer ID]],Medical_Examinations!$1:$1048576,11,FALSE)</f>
        <v>Yes</v>
      </c>
      <c r="J120" t="str">
        <f>VLOOKUP(Medical_Examinations_2[[#This Row],[Customer ID]],Medical_Examinations!$1:$1048576,3,FALSE)</f>
        <v>Obesity</v>
      </c>
      <c r="K120" t="str">
        <f>VLOOKUP(Medical_Examinations_2[[#This Row],[Customer ID]],Medical_Examinations!$1:$1048576,5,FALSE)</f>
        <v>Normal</v>
      </c>
    </row>
    <row r="121" spans="1:11" x14ac:dyDescent="0.25">
      <c r="A121" s="11" t="s">
        <v>140</v>
      </c>
      <c r="B121" t="str">
        <f>VLOOKUP(Customer_Names!A121,Customer_Names!$1:$1048576,4,FALSE)</f>
        <v>Meb</v>
      </c>
      <c r="C121">
        <f>VLOOKUP(Medical_Examinations_2[[#This Row],[Customer ID]],Medical_Examinations!$1:$1048576,2,FALSE)</f>
        <v>42.13</v>
      </c>
      <c r="D121">
        <f>VLOOKUP(Medical_Examinations_2[[#This Row],[Customer ID]],Medical_Examinations!$1:$1048576,4,FALSE)</f>
        <v>5.2</v>
      </c>
      <c r="E121" t="str">
        <f>VLOOKUP(Medical_Examinations_2[[#This Row],[Customer ID]],Medical_Examinations!$1:$1048576,6,FALSE)</f>
        <v>Yes</v>
      </c>
      <c r="H121">
        <f>VLOOKUP(Medical_Examinations_2[[#This Row],[Customer ID]],Medical_Examinations!$1:$1048576,9,FALSE)</f>
        <v>1</v>
      </c>
      <c r="I121" t="str">
        <f>VLOOKUP(Medical_Examinations_2[[#This Row],[Customer ID]],Medical_Examinations!$1:$1048576,11,FALSE)</f>
        <v>Yes</v>
      </c>
      <c r="J121" t="str">
        <f>VLOOKUP(Medical_Examinations_2[[#This Row],[Customer ID]],Medical_Examinations!$1:$1048576,3,FALSE)</f>
        <v>Obesity</v>
      </c>
      <c r="K121" t="str">
        <f>VLOOKUP(Medical_Examinations_2[[#This Row],[Customer ID]],Medical_Examinations!$1:$1048576,5,FALSE)</f>
        <v>Normal</v>
      </c>
    </row>
    <row r="122" spans="1:11" x14ac:dyDescent="0.25">
      <c r="A122" s="10" t="s">
        <v>141</v>
      </c>
      <c r="B122" t="str">
        <f>VLOOKUP(Customer_Names!A122,Customer_Names!$1:$1048576,4,FALSE)</f>
        <v>Aaqib L.</v>
      </c>
      <c r="C122">
        <f>VLOOKUP(Medical_Examinations_2[[#This Row],[Customer ID]],Medical_Examinations!$1:$1048576,2,FALSE)</f>
        <v>30.78</v>
      </c>
      <c r="D122">
        <f>VLOOKUP(Medical_Examinations_2[[#This Row],[Customer ID]],Medical_Examinations!$1:$1048576,4,FALSE)</f>
        <v>8.4499999999999993</v>
      </c>
      <c r="E122" t="str">
        <f>VLOOKUP(Medical_Examinations_2[[#This Row],[Customer ID]],Medical_Examinations!$1:$1048576,6,FALSE)</f>
        <v>Yes</v>
      </c>
      <c r="H122" t="str">
        <f>VLOOKUP(Medical_Examinations_2[[#This Row],[Customer ID]],Medical_Examinations!$1:$1048576,9,FALSE)</f>
        <v>No major surgery</v>
      </c>
      <c r="I122" t="str">
        <f>VLOOKUP(Medical_Examinations_2[[#This Row],[Customer ID]],Medical_Examinations!$1:$1048576,11,FALSE)</f>
        <v>Yes</v>
      </c>
      <c r="J122" t="str">
        <f>VLOOKUP(Medical_Examinations_2[[#This Row],[Customer ID]],Medical_Examinations!$1:$1048576,3,FALSE)</f>
        <v>Obesity</v>
      </c>
      <c r="K122" t="str">
        <f>VLOOKUP(Medical_Examinations_2[[#This Row],[Customer ID]],Medical_Examinations!$1:$1048576,5,FALSE)</f>
        <v>Diabetes</v>
      </c>
    </row>
    <row r="123" spans="1:11" x14ac:dyDescent="0.25">
      <c r="A123" s="11" t="s">
        <v>142</v>
      </c>
      <c r="B123" t="str">
        <f>VLOOKUP(Customer_Names!A123,Customer_Names!$1:$1048576,4,FALSE)</f>
        <v>Craig A.</v>
      </c>
      <c r="C123">
        <f>VLOOKUP(Medical_Examinations_2[[#This Row],[Customer ID]],Medical_Examinations!$1:$1048576,2,FALSE)</f>
        <v>31.35</v>
      </c>
      <c r="D123">
        <f>VLOOKUP(Medical_Examinations_2[[#This Row],[Customer ID]],Medical_Examinations!$1:$1048576,4,FALSE)</f>
        <v>9.5399999999999991</v>
      </c>
      <c r="E123" t="str">
        <f>VLOOKUP(Medical_Examinations_2[[#This Row],[Customer ID]],Medical_Examinations!$1:$1048576,6,FALSE)</f>
        <v>No</v>
      </c>
      <c r="H123" t="str">
        <f>VLOOKUP(Medical_Examinations_2[[#This Row],[Customer ID]],Medical_Examinations!$1:$1048576,9,FALSE)</f>
        <v>No major surgery</v>
      </c>
      <c r="I123" t="str">
        <f>VLOOKUP(Medical_Examinations_2[[#This Row],[Customer ID]],Medical_Examinations!$1:$1048576,11,FALSE)</f>
        <v>Yes</v>
      </c>
      <c r="J123" t="str">
        <f>VLOOKUP(Medical_Examinations_2[[#This Row],[Customer ID]],Medical_Examinations!$1:$1048576,3,FALSE)</f>
        <v>Obesity</v>
      </c>
      <c r="K123" t="str">
        <f>VLOOKUP(Medical_Examinations_2[[#This Row],[Customer ID]],Medical_Examinations!$1:$1048576,5,FALSE)</f>
        <v>Diabetes</v>
      </c>
    </row>
    <row r="124" spans="1:11" x14ac:dyDescent="0.25">
      <c r="A124" s="10" t="s">
        <v>143</v>
      </c>
      <c r="B124" t="str">
        <f>VLOOKUP(Customer_Names!A124,Customer_Names!$1:$1048576,4,FALSE)</f>
        <v>Meredith</v>
      </c>
      <c r="C124">
        <f>VLOOKUP(Medical_Examinations_2[[#This Row],[Customer ID]],Medical_Examinations!$1:$1048576,2,FALSE)</f>
        <v>41.46</v>
      </c>
      <c r="D124">
        <f>VLOOKUP(Medical_Examinations_2[[#This Row],[Customer ID]],Medical_Examinations!$1:$1048576,4,FALSE)</f>
        <v>4.99</v>
      </c>
      <c r="E124" t="str">
        <f>VLOOKUP(Medical_Examinations_2[[#This Row],[Customer ID]],Medical_Examinations!$1:$1048576,6,FALSE)</f>
        <v>Yes</v>
      </c>
      <c r="H124">
        <f>VLOOKUP(Medical_Examinations_2[[#This Row],[Customer ID]],Medical_Examinations!$1:$1048576,9,FALSE)</f>
        <v>2</v>
      </c>
      <c r="I124" t="str">
        <f>VLOOKUP(Medical_Examinations_2[[#This Row],[Customer ID]],Medical_Examinations!$1:$1048576,11,FALSE)</f>
        <v>Yes</v>
      </c>
      <c r="J124" t="str">
        <f>VLOOKUP(Medical_Examinations_2[[#This Row],[Customer ID]],Medical_Examinations!$1:$1048576,3,FALSE)</f>
        <v>Obesity</v>
      </c>
      <c r="K124" t="str">
        <f>VLOOKUP(Medical_Examinations_2[[#This Row],[Customer ID]],Medical_Examinations!$1:$1048576,5,FALSE)</f>
        <v>Normal</v>
      </c>
    </row>
    <row r="125" spans="1:11" x14ac:dyDescent="0.25">
      <c r="A125" s="11" t="s">
        <v>144</v>
      </c>
      <c r="B125" t="str">
        <f>VLOOKUP(Customer_Names!A125,Customer_Names!$1:$1048576,4,FALSE)</f>
        <v>Doug</v>
      </c>
      <c r="C125">
        <f>VLOOKUP(Medical_Examinations_2[[#This Row],[Customer ID]],Medical_Examinations!$1:$1048576,2,FALSE)</f>
        <v>48</v>
      </c>
      <c r="D125">
        <f>VLOOKUP(Medical_Examinations_2[[#This Row],[Customer ID]],Medical_Examinations!$1:$1048576,4,FALSE)</f>
        <v>10.54</v>
      </c>
      <c r="E125" t="str">
        <f>VLOOKUP(Medical_Examinations_2[[#This Row],[Customer ID]],Medical_Examinations!$1:$1048576,6,FALSE)</f>
        <v>No</v>
      </c>
      <c r="H125" t="str">
        <f>VLOOKUP(Medical_Examinations_2[[#This Row],[Customer ID]],Medical_Examinations!$1:$1048576,9,FALSE)</f>
        <v>No major surgery</v>
      </c>
      <c r="I125" t="str">
        <f>VLOOKUP(Medical_Examinations_2[[#This Row],[Customer ID]],Medical_Examinations!$1:$1048576,11,FALSE)</f>
        <v>Yes</v>
      </c>
      <c r="J125" t="str">
        <f>VLOOKUP(Medical_Examinations_2[[#This Row],[Customer ID]],Medical_Examinations!$1:$1048576,3,FALSE)</f>
        <v>Obesity</v>
      </c>
      <c r="K125" t="str">
        <f>VLOOKUP(Medical_Examinations_2[[#This Row],[Customer ID]],Medical_Examinations!$1:$1048576,5,FALSE)</f>
        <v>Diabetes</v>
      </c>
    </row>
    <row r="126" spans="1:11" x14ac:dyDescent="0.25">
      <c r="A126" s="10" t="s">
        <v>145</v>
      </c>
      <c r="B126" t="str">
        <f>VLOOKUP(Customer_Names!A126,Customer_Names!$1:$1048576,4,FALSE)</f>
        <v>Elizabeth J.</v>
      </c>
      <c r="C126">
        <f>VLOOKUP(Medical_Examinations_2[[#This Row],[Customer ID]],Medical_Examinations!$1:$1048576,2,FALSE)</f>
        <v>49.13</v>
      </c>
      <c r="D126">
        <f>VLOOKUP(Medical_Examinations_2[[#This Row],[Customer ID]],Medical_Examinations!$1:$1048576,4,FALSE)</f>
        <v>4.54</v>
      </c>
      <c r="E126" t="str">
        <f>VLOOKUP(Medical_Examinations_2[[#This Row],[Customer ID]],Medical_Examinations!$1:$1048576,6,FALSE)</f>
        <v>No</v>
      </c>
      <c r="H126" t="str">
        <f>VLOOKUP(Medical_Examinations_2[[#This Row],[Customer ID]],Medical_Examinations!$1:$1048576,9,FALSE)</f>
        <v>No major surgery</v>
      </c>
      <c r="I126" t="str">
        <f>VLOOKUP(Medical_Examinations_2[[#This Row],[Customer ID]],Medical_Examinations!$1:$1048576,11,FALSE)</f>
        <v>Yes</v>
      </c>
      <c r="J126" t="str">
        <f>VLOOKUP(Medical_Examinations_2[[#This Row],[Customer ID]],Medical_Examinations!$1:$1048576,3,FALSE)</f>
        <v>Obesity</v>
      </c>
      <c r="K126" t="str">
        <f>VLOOKUP(Medical_Examinations_2[[#This Row],[Customer ID]],Medical_Examinations!$1:$1048576,5,FALSE)</f>
        <v>Normal</v>
      </c>
    </row>
    <row r="127" spans="1:11" x14ac:dyDescent="0.25">
      <c r="A127" s="11" t="s">
        <v>146</v>
      </c>
      <c r="B127" t="str">
        <f>VLOOKUP(Customer_Names!A127,Customer_Names!$1:$1048576,4,FALSE)</f>
        <v>Matthew P</v>
      </c>
      <c r="C127">
        <f>VLOOKUP(Medical_Examinations_2[[#This Row],[Customer ID]],Medical_Examinations!$1:$1048576,2,FALSE)</f>
        <v>37.799999999999997</v>
      </c>
      <c r="D127">
        <f>VLOOKUP(Medical_Examinations_2[[#This Row],[Customer ID]],Medical_Examinations!$1:$1048576,4,FALSE)</f>
        <v>6.29</v>
      </c>
      <c r="E127" t="str">
        <f>VLOOKUP(Medical_Examinations_2[[#This Row],[Customer ID]],Medical_Examinations!$1:$1048576,6,FALSE)</f>
        <v>No</v>
      </c>
      <c r="H127">
        <f>VLOOKUP(Medical_Examinations_2[[#This Row],[Customer ID]],Medical_Examinations!$1:$1048576,9,FALSE)</f>
        <v>1</v>
      </c>
      <c r="I127" t="str">
        <f>VLOOKUP(Medical_Examinations_2[[#This Row],[Customer ID]],Medical_Examinations!$1:$1048576,11,FALSE)</f>
        <v>Yes</v>
      </c>
      <c r="J127" t="str">
        <f>VLOOKUP(Medical_Examinations_2[[#This Row],[Customer ID]],Medical_Examinations!$1:$1048576,3,FALSE)</f>
        <v>Obesity</v>
      </c>
      <c r="K127" t="str">
        <f>VLOOKUP(Medical_Examinations_2[[#This Row],[Customer ID]],Medical_Examinations!$1:$1048576,5,FALSE)</f>
        <v>Prediabetes</v>
      </c>
    </row>
    <row r="128" spans="1:11" x14ac:dyDescent="0.25">
      <c r="A128" s="10" t="s">
        <v>147</v>
      </c>
      <c r="B128" t="str">
        <f>VLOOKUP(Customer_Names!A128,Customer_Names!$1:$1048576,4,FALSE)</f>
        <v>Mr.  Guillermo Sr.</v>
      </c>
      <c r="C128">
        <f>VLOOKUP(Medical_Examinations_2[[#This Row],[Customer ID]],Medical_Examinations!$1:$1048576,2,FALSE)</f>
        <v>38.299999999999997</v>
      </c>
      <c r="D128">
        <f>VLOOKUP(Medical_Examinations_2[[#This Row],[Customer ID]],Medical_Examinations!$1:$1048576,4,FALSE)</f>
        <v>9.51</v>
      </c>
      <c r="E128" t="str">
        <f>VLOOKUP(Medical_Examinations_2[[#This Row],[Customer ID]],Medical_Examinations!$1:$1048576,6,FALSE)</f>
        <v>No</v>
      </c>
      <c r="H128" t="str">
        <f>VLOOKUP(Medical_Examinations_2[[#This Row],[Customer ID]],Medical_Examinations!$1:$1048576,9,FALSE)</f>
        <v>No major surgery</v>
      </c>
      <c r="I128" t="str">
        <f>VLOOKUP(Medical_Examinations_2[[#This Row],[Customer ID]],Medical_Examinations!$1:$1048576,11,FALSE)</f>
        <v>Yes</v>
      </c>
      <c r="J128" t="str">
        <f>VLOOKUP(Medical_Examinations_2[[#This Row],[Customer ID]],Medical_Examinations!$1:$1048576,3,FALSE)</f>
        <v>Obesity</v>
      </c>
      <c r="K128" t="str">
        <f>VLOOKUP(Medical_Examinations_2[[#This Row],[Customer ID]],Medical_Examinations!$1:$1048576,5,FALSE)</f>
        <v>Diabetes</v>
      </c>
    </row>
    <row r="129" spans="1:11" x14ac:dyDescent="0.25">
      <c r="A129" s="11" t="s">
        <v>148</v>
      </c>
      <c r="B129" t="str">
        <f>VLOOKUP(Customer_Names!A129,Customer_Names!$1:$1048576,4,FALSE)</f>
        <v>Ryan C</v>
      </c>
      <c r="C129">
        <f>VLOOKUP(Medical_Examinations_2[[#This Row],[Customer ID]],Medical_Examinations!$1:$1048576,2,FALSE)</f>
        <v>32.774999999999999</v>
      </c>
      <c r="D129">
        <f>VLOOKUP(Medical_Examinations_2[[#This Row],[Customer ID]],Medical_Examinations!$1:$1048576,4,FALSE)</f>
        <v>4.72</v>
      </c>
      <c r="E129" t="str">
        <f>VLOOKUP(Medical_Examinations_2[[#This Row],[Customer ID]],Medical_Examinations!$1:$1048576,6,FALSE)</f>
        <v>No</v>
      </c>
      <c r="H129" t="str">
        <f>VLOOKUP(Medical_Examinations_2[[#This Row],[Customer ID]],Medical_Examinations!$1:$1048576,9,FALSE)</f>
        <v>No major surgery</v>
      </c>
      <c r="I129" t="str">
        <f>VLOOKUP(Medical_Examinations_2[[#This Row],[Customer ID]],Medical_Examinations!$1:$1048576,11,FALSE)</f>
        <v>Yes</v>
      </c>
      <c r="J129" t="str">
        <f>VLOOKUP(Medical_Examinations_2[[#This Row],[Customer ID]],Medical_Examinations!$1:$1048576,3,FALSE)</f>
        <v>Obesity</v>
      </c>
      <c r="K129" t="str">
        <f>VLOOKUP(Medical_Examinations_2[[#This Row],[Customer ID]],Medical_Examinations!$1:$1048576,5,FALSE)</f>
        <v>Normal</v>
      </c>
    </row>
    <row r="130" spans="1:11" x14ac:dyDescent="0.25">
      <c r="A130" s="10" t="s">
        <v>149</v>
      </c>
      <c r="B130" t="str">
        <f>VLOOKUP(Customer_Names!A130,Customer_Names!$1:$1048576,4,FALSE)</f>
        <v>Dane</v>
      </c>
      <c r="C130">
        <f>VLOOKUP(Medical_Examinations_2[[#This Row],[Customer ID]],Medical_Examinations!$1:$1048576,2,FALSE)</f>
        <v>34.200000000000003</v>
      </c>
      <c r="D130">
        <f>VLOOKUP(Medical_Examinations_2[[#This Row],[Customer ID]],Medical_Examinations!$1:$1048576,4,FALSE)</f>
        <v>5.91</v>
      </c>
      <c r="E130" t="str">
        <f>VLOOKUP(Medical_Examinations_2[[#This Row],[Customer ID]],Medical_Examinations!$1:$1048576,6,FALSE)</f>
        <v>Yes</v>
      </c>
      <c r="H130" t="str">
        <f>VLOOKUP(Medical_Examinations_2[[#This Row],[Customer ID]],Medical_Examinations!$1:$1048576,9,FALSE)</f>
        <v>No major surgery</v>
      </c>
      <c r="I130" t="str">
        <f>VLOOKUP(Medical_Examinations_2[[#This Row],[Customer ID]],Medical_Examinations!$1:$1048576,11,FALSE)</f>
        <v>Yes</v>
      </c>
      <c r="J130" t="str">
        <f>VLOOKUP(Medical_Examinations_2[[#This Row],[Customer ID]],Medical_Examinations!$1:$1048576,3,FALSE)</f>
        <v>Obesity</v>
      </c>
      <c r="K130" t="str">
        <f>VLOOKUP(Medical_Examinations_2[[#This Row],[Customer ID]],Medical_Examinations!$1:$1048576,5,FALSE)</f>
        <v>Prediabetes</v>
      </c>
    </row>
    <row r="131" spans="1:11" x14ac:dyDescent="0.25">
      <c r="A131" s="11" t="s">
        <v>150</v>
      </c>
      <c r="B131" t="str">
        <f>VLOOKUP(Customer_Names!A131,Customer_Names!$1:$1048576,4,FALSE)</f>
        <v>Jonas</v>
      </c>
      <c r="C131">
        <f>VLOOKUP(Medical_Examinations_2[[#This Row],[Customer ID]],Medical_Examinations!$1:$1048576,2,FALSE)</f>
        <v>30.2</v>
      </c>
      <c r="D131">
        <f>VLOOKUP(Medical_Examinations_2[[#This Row],[Customer ID]],Medical_Examinations!$1:$1048576,4,FALSE)</f>
        <v>9.58</v>
      </c>
      <c r="E131" t="str">
        <f>VLOOKUP(Medical_Examinations_2[[#This Row],[Customer ID]],Medical_Examinations!$1:$1048576,6,FALSE)</f>
        <v>No</v>
      </c>
      <c r="H131" t="str">
        <f>VLOOKUP(Medical_Examinations_2[[#This Row],[Customer ID]],Medical_Examinations!$1:$1048576,9,FALSE)</f>
        <v>No major surgery</v>
      </c>
      <c r="I131" t="str">
        <f>VLOOKUP(Medical_Examinations_2[[#This Row],[Customer ID]],Medical_Examinations!$1:$1048576,11,FALSE)</f>
        <v>Yes</v>
      </c>
      <c r="J131" t="str">
        <f>VLOOKUP(Medical_Examinations_2[[#This Row],[Customer ID]],Medical_Examinations!$1:$1048576,3,FALSE)</f>
        <v>Obesity</v>
      </c>
      <c r="K131" t="str">
        <f>VLOOKUP(Medical_Examinations_2[[#This Row],[Customer ID]],Medical_Examinations!$1:$1048576,5,FALSE)</f>
        <v>Diabetes</v>
      </c>
    </row>
    <row r="132" spans="1:11" x14ac:dyDescent="0.25">
      <c r="A132" s="10" t="s">
        <v>151</v>
      </c>
      <c r="B132" t="str">
        <f>VLOOKUP(Customer_Names!A132,Customer_Names!$1:$1048576,4,FALSE)</f>
        <v>George E</v>
      </c>
      <c r="C132">
        <f>VLOOKUP(Medical_Examinations_2[[#This Row],[Customer ID]],Medical_Examinations!$1:$1048576,2,FALSE)</f>
        <v>48.32</v>
      </c>
      <c r="D132">
        <f>VLOOKUP(Medical_Examinations_2[[#This Row],[Customer ID]],Medical_Examinations!$1:$1048576,4,FALSE)</f>
        <v>5.77</v>
      </c>
      <c r="E132" t="str">
        <f>VLOOKUP(Medical_Examinations_2[[#This Row],[Customer ID]],Medical_Examinations!$1:$1048576,6,FALSE)</f>
        <v>No</v>
      </c>
      <c r="H132" t="str">
        <f>VLOOKUP(Medical_Examinations_2[[#This Row],[Customer ID]],Medical_Examinations!$1:$1048576,9,FALSE)</f>
        <v>No major surgery</v>
      </c>
      <c r="I132" t="str">
        <f>VLOOKUP(Medical_Examinations_2[[#This Row],[Customer ID]],Medical_Examinations!$1:$1048576,11,FALSE)</f>
        <v>Yes</v>
      </c>
      <c r="J132" t="str">
        <f>VLOOKUP(Medical_Examinations_2[[#This Row],[Customer ID]],Medical_Examinations!$1:$1048576,3,FALSE)</f>
        <v>Obesity</v>
      </c>
      <c r="K132" t="str">
        <f>VLOOKUP(Medical_Examinations_2[[#This Row],[Customer ID]],Medical_Examinations!$1:$1048576,5,FALSE)</f>
        <v>Prediabetes</v>
      </c>
    </row>
    <row r="133" spans="1:11" x14ac:dyDescent="0.25">
      <c r="A133" s="11" t="s">
        <v>152</v>
      </c>
      <c r="B133" t="str">
        <f>VLOOKUP(Customer_Names!A133,Customer_Names!$1:$1048576,4,FALSE)</f>
        <v>Sara S</v>
      </c>
      <c r="C133">
        <f>VLOOKUP(Medical_Examinations_2[[#This Row],[Customer ID]],Medical_Examinations!$1:$1048576,2,FALSE)</f>
        <v>44.86</v>
      </c>
      <c r="D133">
        <f>VLOOKUP(Medical_Examinations_2[[#This Row],[Customer ID]],Medical_Examinations!$1:$1048576,4,FALSE)</f>
        <v>4.38</v>
      </c>
      <c r="E133" t="str">
        <f>VLOOKUP(Medical_Examinations_2[[#This Row],[Customer ID]],Medical_Examinations!$1:$1048576,6,FALSE)</f>
        <v>Yes</v>
      </c>
      <c r="H133" t="str">
        <f>VLOOKUP(Medical_Examinations_2[[#This Row],[Customer ID]],Medical_Examinations!$1:$1048576,9,FALSE)</f>
        <v>No major surgery</v>
      </c>
      <c r="I133" t="str">
        <f>VLOOKUP(Medical_Examinations_2[[#This Row],[Customer ID]],Medical_Examinations!$1:$1048576,11,FALSE)</f>
        <v>Yes</v>
      </c>
      <c r="J133" t="str">
        <f>VLOOKUP(Medical_Examinations_2[[#This Row],[Customer ID]],Medical_Examinations!$1:$1048576,3,FALSE)</f>
        <v>Obesity</v>
      </c>
      <c r="K133" t="str">
        <f>VLOOKUP(Medical_Examinations_2[[#This Row],[Customer ID]],Medical_Examinations!$1:$1048576,5,FALSE)</f>
        <v>Normal</v>
      </c>
    </row>
    <row r="134" spans="1:11" x14ac:dyDescent="0.25">
      <c r="A134" s="10" t="s">
        <v>153</v>
      </c>
      <c r="B134" t="str">
        <f>VLOOKUP(Customer_Names!A134,Customer_Names!$1:$1048576,4,FALSE)</f>
        <v>Nick</v>
      </c>
      <c r="C134">
        <f>VLOOKUP(Medical_Examinations_2[[#This Row],[Customer ID]],Medical_Examinations!$1:$1048576,2,FALSE)</f>
        <v>52.15</v>
      </c>
      <c r="D134">
        <f>VLOOKUP(Medical_Examinations_2[[#This Row],[Customer ID]],Medical_Examinations!$1:$1048576,4,FALSE)</f>
        <v>5.65</v>
      </c>
      <c r="E134" t="str">
        <f>VLOOKUP(Medical_Examinations_2[[#This Row],[Customer ID]],Medical_Examinations!$1:$1048576,6,FALSE)</f>
        <v>No</v>
      </c>
      <c r="H134">
        <f>VLOOKUP(Medical_Examinations_2[[#This Row],[Customer ID]],Medical_Examinations!$1:$1048576,9,FALSE)</f>
        <v>1</v>
      </c>
      <c r="I134" t="str">
        <f>VLOOKUP(Medical_Examinations_2[[#This Row],[Customer ID]],Medical_Examinations!$1:$1048576,11,FALSE)</f>
        <v>Yes</v>
      </c>
      <c r="J134" t="str">
        <f>VLOOKUP(Medical_Examinations_2[[#This Row],[Customer ID]],Medical_Examinations!$1:$1048576,3,FALSE)</f>
        <v>Obesity</v>
      </c>
      <c r="K134" t="str">
        <f>VLOOKUP(Medical_Examinations_2[[#This Row],[Customer ID]],Medical_Examinations!$1:$1048576,5,FALSE)</f>
        <v>Normal</v>
      </c>
    </row>
    <row r="135" spans="1:11" x14ac:dyDescent="0.25">
      <c r="A135" s="11" t="s">
        <v>154</v>
      </c>
      <c r="B135" t="str">
        <f>VLOOKUP(Customer_Names!A135,Customer_Names!$1:$1048576,4,FALSE)</f>
        <v>Timothy</v>
      </c>
      <c r="C135">
        <f>VLOOKUP(Medical_Examinations_2[[#This Row],[Customer ID]],Medical_Examinations!$1:$1048576,2,FALSE)</f>
        <v>41.12</v>
      </c>
      <c r="D135">
        <f>VLOOKUP(Medical_Examinations_2[[#This Row],[Customer ID]],Medical_Examinations!$1:$1048576,4,FALSE)</f>
        <v>7.54</v>
      </c>
      <c r="E135" t="str">
        <f>VLOOKUP(Medical_Examinations_2[[#This Row],[Customer ID]],Medical_Examinations!$1:$1048576,6,FALSE)</f>
        <v>Yes</v>
      </c>
      <c r="H135" t="str">
        <f>VLOOKUP(Medical_Examinations_2[[#This Row],[Customer ID]],Medical_Examinations!$1:$1048576,9,FALSE)</f>
        <v>No major surgery</v>
      </c>
      <c r="I135" t="str">
        <f>VLOOKUP(Medical_Examinations_2[[#This Row],[Customer ID]],Medical_Examinations!$1:$1048576,11,FALSE)</f>
        <v>Yes</v>
      </c>
      <c r="J135" t="str">
        <f>VLOOKUP(Medical_Examinations_2[[#This Row],[Customer ID]],Medical_Examinations!$1:$1048576,3,FALSE)</f>
        <v>Obesity</v>
      </c>
      <c r="K135" t="str">
        <f>VLOOKUP(Medical_Examinations_2[[#This Row],[Customer ID]],Medical_Examinations!$1:$1048576,5,FALSE)</f>
        <v>Diabetes</v>
      </c>
    </row>
    <row r="136" spans="1:11" x14ac:dyDescent="0.25">
      <c r="A136" s="10" t="s">
        <v>155</v>
      </c>
      <c r="B136" t="str">
        <f>VLOOKUP(Customer_Names!A136,Customer_Names!$1:$1048576,4,FALSE)</f>
        <v>Becky L</v>
      </c>
      <c r="C136">
        <f>VLOOKUP(Medical_Examinations_2[[#This Row],[Customer ID]],Medical_Examinations!$1:$1048576,2,FALSE)</f>
        <v>38.39</v>
      </c>
      <c r="D136">
        <f>VLOOKUP(Medical_Examinations_2[[#This Row],[Customer ID]],Medical_Examinations!$1:$1048576,4,FALSE)</f>
        <v>5.1100000000000003</v>
      </c>
      <c r="E136" t="str">
        <f>VLOOKUP(Medical_Examinations_2[[#This Row],[Customer ID]],Medical_Examinations!$1:$1048576,6,FALSE)</f>
        <v>Yes</v>
      </c>
      <c r="H136">
        <f>VLOOKUP(Medical_Examinations_2[[#This Row],[Customer ID]],Medical_Examinations!$1:$1048576,9,FALSE)</f>
        <v>1</v>
      </c>
      <c r="I136" t="str">
        <f>VLOOKUP(Medical_Examinations_2[[#This Row],[Customer ID]],Medical_Examinations!$1:$1048576,11,FALSE)</f>
        <v>Yes</v>
      </c>
      <c r="J136" t="str">
        <f>VLOOKUP(Medical_Examinations_2[[#This Row],[Customer ID]],Medical_Examinations!$1:$1048576,3,FALSE)</f>
        <v>Obesity</v>
      </c>
      <c r="K136" t="str">
        <f>VLOOKUP(Medical_Examinations_2[[#This Row],[Customer ID]],Medical_Examinations!$1:$1048576,5,FALSE)</f>
        <v>Normal</v>
      </c>
    </row>
    <row r="137" spans="1:11" x14ac:dyDescent="0.25">
      <c r="A137" s="11" t="s">
        <v>156</v>
      </c>
      <c r="B137" t="str">
        <f>VLOOKUP(Customer_Names!A137,Customer_Names!$1:$1048576,4,FALSE)</f>
        <v>Steph K.</v>
      </c>
      <c r="C137">
        <f>VLOOKUP(Medical_Examinations_2[[#This Row],[Customer ID]],Medical_Examinations!$1:$1048576,2,FALSE)</f>
        <v>46.85</v>
      </c>
      <c r="D137">
        <f>VLOOKUP(Medical_Examinations_2[[#This Row],[Customer ID]],Medical_Examinations!$1:$1048576,4,FALSE)</f>
        <v>4.25</v>
      </c>
      <c r="E137" t="str">
        <f>VLOOKUP(Medical_Examinations_2[[#This Row],[Customer ID]],Medical_Examinations!$1:$1048576,6,FALSE)</f>
        <v>No</v>
      </c>
      <c r="H137">
        <f>VLOOKUP(Medical_Examinations_2[[#This Row],[Customer ID]],Medical_Examinations!$1:$1048576,9,FALSE)</f>
        <v>1</v>
      </c>
      <c r="I137" t="str">
        <f>VLOOKUP(Medical_Examinations_2[[#This Row],[Customer ID]],Medical_Examinations!$1:$1048576,11,FALSE)</f>
        <v>Yes</v>
      </c>
      <c r="J137" t="str">
        <f>VLOOKUP(Medical_Examinations_2[[#This Row],[Customer ID]],Medical_Examinations!$1:$1048576,3,FALSE)</f>
        <v>Obesity</v>
      </c>
      <c r="K137" t="str">
        <f>VLOOKUP(Medical_Examinations_2[[#This Row],[Customer ID]],Medical_Examinations!$1:$1048576,5,FALSE)</f>
        <v>Normal</v>
      </c>
    </row>
    <row r="138" spans="1:11" x14ac:dyDescent="0.25">
      <c r="A138" s="10" t="s">
        <v>157</v>
      </c>
      <c r="B138" t="str">
        <f>VLOOKUP(Customer_Names!A138,Customer_Names!$1:$1048576,4,FALSE)</f>
        <v>Kristine B.</v>
      </c>
      <c r="C138">
        <f>VLOOKUP(Medical_Examinations_2[[#This Row],[Customer ID]],Medical_Examinations!$1:$1048576,2,FALSE)</f>
        <v>42.24</v>
      </c>
      <c r="D138">
        <f>VLOOKUP(Medical_Examinations_2[[#This Row],[Customer ID]],Medical_Examinations!$1:$1048576,4,FALSE)</f>
        <v>5.55</v>
      </c>
      <c r="E138" t="str">
        <f>VLOOKUP(Medical_Examinations_2[[#This Row],[Customer ID]],Medical_Examinations!$1:$1048576,6,FALSE)</f>
        <v>No</v>
      </c>
      <c r="H138">
        <f>VLOOKUP(Medical_Examinations_2[[#This Row],[Customer ID]],Medical_Examinations!$1:$1048576,9,FALSE)</f>
        <v>1</v>
      </c>
      <c r="I138" t="str">
        <f>VLOOKUP(Medical_Examinations_2[[#This Row],[Customer ID]],Medical_Examinations!$1:$1048576,11,FALSE)</f>
        <v>Yes</v>
      </c>
      <c r="J138" t="str">
        <f>VLOOKUP(Medical_Examinations_2[[#This Row],[Customer ID]],Medical_Examinations!$1:$1048576,3,FALSE)</f>
        <v>Obesity</v>
      </c>
      <c r="K138" t="str">
        <f>VLOOKUP(Medical_Examinations_2[[#This Row],[Customer ID]],Medical_Examinations!$1:$1048576,5,FALSE)</f>
        <v>Normal</v>
      </c>
    </row>
    <row r="139" spans="1:11" x14ac:dyDescent="0.25">
      <c r="A139" s="11" t="s">
        <v>158</v>
      </c>
      <c r="B139" t="str">
        <f>VLOOKUP(Customer_Names!A139,Customer_Names!$1:$1048576,4,FALSE)</f>
        <v>Taylor B</v>
      </c>
      <c r="C139">
        <f>VLOOKUP(Medical_Examinations_2[[#This Row],[Customer ID]],Medical_Examinations!$1:$1048576,2,FALSE)</f>
        <v>34.39</v>
      </c>
      <c r="D139">
        <f>VLOOKUP(Medical_Examinations_2[[#This Row],[Customer ID]],Medical_Examinations!$1:$1048576,4,FALSE)</f>
        <v>5.78</v>
      </c>
      <c r="E139" t="str">
        <f>VLOOKUP(Medical_Examinations_2[[#This Row],[Customer ID]],Medical_Examinations!$1:$1048576,6,FALSE)</f>
        <v>No</v>
      </c>
      <c r="H139" t="str">
        <f>VLOOKUP(Medical_Examinations_2[[#This Row],[Customer ID]],Medical_Examinations!$1:$1048576,9,FALSE)</f>
        <v>No major surgery</v>
      </c>
      <c r="I139" t="str">
        <f>VLOOKUP(Medical_Examinations_2[[#This Row],[Customer ID]],Medical_Examinations!$1:$1048576,11,FALSE)</f>
        <v>Yes</v>
      </c>
      <c r="J139" t="str">
        <f>VLOOKUP(Medical_Examinations_2[[#This Row],[Customer ID]],Medical_Examinations!$1:$1048576,3,FALSE)</f>
        <v>Obesity</v>
      </c>
      <c r="K139" t="str">
        <f>VLOOKUP(Medical_Examinations_2[[#This Row],[Customer ID]],Medical_Examinations!$1:$1048576,5,FALSE)</f>
        <v>Prediabetes</v>
      </c>
    </row>
    <row r="140" spans="1:11" x14ac:dyDescent="0.25">
      <c r="A140" s="10" t="s">
        <v>159</v>
      </c>
      <c r="B140" t="str">
        <f>VLOOKUP(Customer_Names!A140,Customer_Names!$1:$1048576,4,FALSE)</f>
        <v>William</v>
      </c>
      <c r="C140">
        <f>VLOOKUP(Medical_Examinations_2[[#This Row],[Customer ID]],Medical_Examinations!$1:$1048576,2,FALSE)</f>
        <v>42.89</v>
      </c>
      <c r="D140">
        <f>VLOOKUP(Medical_Examinations_2[[#This Row],[Customer ID]],Medical_Examinations!$1:$1048576,4,FALSE)</f>
        <v>5.28</v>
      </c>
      <c r="E140" t="str">
        <f>VLOOKUP(Medical_Examinations_2[[#This Row],[Customer ID]],Medical_Examinations!$1:$1048576,6,FALSE)</f>
        <v>Yes</v>
      </c>
      <c r="H140" t="str">
        <f>VLOOKUP(Medical_Examinations_2[[#This Row],[Customer ID]],Medical_Examinations!$1:$1048576,9,FALSE)</f>
        <v>No major surgery</v>
      </c>
      <c r="I140" t="str">
        <f>VLOOKUP(Medical_Examinations_2[[#This Row],[Customer ID]],Medical_Examinations!$1:$1048576,11,FALSE)</f>
        <v>Yes</v>
      </c>
      <c r="J140" t="str">
        <f>VLOOKUP(Medical_Examinations_2[[#This Row],[Customer ID]],Medical_Examinations!$1:$1048576,3,FALSE)</f>
        <v>Obesity</v>
      </c>
      <c r="K140" t="str">
        <f>VLOOKUP(Medical_Examinations_2[[#This Row],[Customer ID]],Medical_Examinations!$1:$1048576,5,FALSE)</f>
        <v>Normal</v>
      </c>
    </row>
    <row r="141" spans="1:11" x14ac:dyDescent="0.25">
      <c r="A141" s="11" t="s">
        <v>160</v>
      </c>
      <c r="B141" t="str">
        <f>VLOOKUP(Customer_Names!A141,Customer_Names!$1:$1048576,4,FALSE)</f>
        <v>Sage</v>
      </c>
      <c r="C141">
        <f>VLOOKUP(Medical_Examinations_2[[#This Row],[Customer ID]],Medical_Examinations!$1:$1048576,2,FALSE)</f>
        <v>36.299999999999997</v>
      </c>
      <c r="D141">
        <f>VLOOKUP(Medical_Examinations_2[[#This Row],[Customer ID]],Medical_Examinations!$1:$1048576,4,FALSE)</f>
        <v>5.39</v>
      </c>
      <c r="E141" t="str">
        <f>VLOOKUP(Medical_Examinations_2[[#This Row],[Customer ID]],Medical_Examinations!$1:$1048576,6,FALSE)</f>
        <v>No</v>
      </c>
      <c r="H141" t="str">
        <f>VLOOKUP(Medical_Examinations_2[[#This Row],[Customer ID]],Medical_Examinations!$1:$1048576,9,FALSE)</f>
        <v>No major surgery</v>
      </c>
      <c r="I141" t="str">
        <f>VLOOKUP(Medical_Examinations_2[[#This Row],[Customer ID]],Medical_Examinations!$1:$1048576,11,FALSE)</f>
        <v>Yes</v>
      </c>
      <c r="J141" t="str">
        <f>VLOOKUP(Medical_Examinations_2[[#This Row],[Customer ID]],Medical_Examinations!$1:$1048576,3,FALSE)</f>
        <v>Obesity</v>
      </c>
      <c r="K141" t="str">
        <f>VLOOKUP(Medical_Examinations_2[[#This Row],[Customer ID]],Medical_Examinations!$1:$1048576,5,FALSE)</f>
        <v>Normal</v>
      </c>
    </row>
    <row r="142" spans="1:11" x14ac:dyDescent="0.25">
      <c r="A142" s="10" t="s">
        <v>161</v>
      </c>
      <c r="B142" t="str">
        <f>VLOOKUP(Customer_Names!A142,Customer_Names!$1:$1048576,4,FALSE)</f>
        <v>Cole</v>
      </c>
      <c r="C142">
        <f>VLOOKUP(Medical_Examinations_2[[#This Row],[Customer ID]],Medical_Examinations!$1:$1048576,2,FALSE)</f>
        <v>35.200000000000003</v>
      </c>
      <c r="D142">
        <f>VLOOKUP(Medical_Examinations_2[[#This Row],[Customer ID]],Medical_Examinations!$1:$1048576,4,FALSE)</f>
        <v>8.01</v>
      </c>
      <c r="E142" t="str">
        <f>VLOOKUP(Medical_Examinations_2[[#This Row],[Customer ID]],Medical_Examinations!$1:$1048576,6,FALSE)</f>
        <v>Yes</v>
      </c>
      <c r="H142">
        <f>VLOOKUP(Medical_Examinations_2[[#This Row],[Customer ID]],Medical_Examinations!$1:$1048576,9,FALSE)</f>
        <v>1</v>
      </c>
      <c r="I142" t="str">
        <f>VLOOKUP(Medical_Examinations_2[[#This Row],[Customer ID]],Medical_Examinations!$1:$1048576,11,FALSE)</f>
        <v>Yes</v>
      </c>
      <c r="J142" t="str">
        <f>VLOOKUP(Medical_Examinations_2[[#This Row],[Customer ID]],Medical_Examinations!$1:$1048576,3,FALSE)</f>
        <v>Obesity</v>
      </c>
      <c r="K142" t="str">
        <f>VLOOKUP(Medical_Examinations_2[[#This Row],[Customer ID]],Medical_Examinations!$1:$1048576,5,FALSE)</f>
        <v>Diabetes</v>
      </c>
    </row>
    <row r="143" spans="1:11" x14ac:dyDescent="0.25">
      <c r="A143" s="11" t="s">
        <v>162</v>
      </c>
      <c r="B143" t="str">
        <f>VLOOKUP(Customer_Names!A143,Customer_Names!$1:$1048576,4,FALSE)</f>
        <v>Jesse</v>
      </c>
      <c r="C143">
        <f>VLOOKUP(Medical_Examinations_2[[#This Row],[Customer ID]],Medical_Examinations!$1:$1048576,2,FALSE)</f>
        <v>53.62</v>
      </c>
      <c r="D143">
        <f>VLOOKUP(Medical_Examinations_2[[#This Row],[Customer ID]],Medical_Examinations!$1:$1048576,4,FALSE)</f>
        <v>5.21</v>
      </c>
      <c r="E143" t="str">
        <f>VLOOKUP(Medical_Examinations_2[[#This Row],[Customer ID]],Medical_Examinations!$1:$1048576,6,FALSE)</f>
        <v>No</v>
      </c>
      <c r="H143" t="str">
        <f>VLOOKUP(Medical_Examinations_2[[#This Row],[Customer ID]],Medical_Examinations!$1:$1048576,9,FALSE)</f>
        <v>No major surgery</v>
      </c>
      <c r="I143" t="str">
        <f>VLOOKUP(Medical_Examinations_2[[#This Row],[Customer ID]],Medical_Examinations!$1:$1048576,11,FALSE)</f>
        <v>Yes</v>
      </c>
      <c r="J143" t="str">
        <f>VLOOKUP(Medical_Examinations_2[[#This Row],[Customer ID]],Medical_Examinations!$1:$1048576,3,FALSE)</f>
        <v>Obesity</v>
      </c>
      <c r="K143" t="str">
        <f>VLOOKUP(Medical_Examinations_2[[#This Row],[Customer ID]],Medical_Examinations!$1:$1048576,5,FALSE)</f>
        <v>Normal</v>
      </c>
    </row>
    <row r="144" spans="1:11" x14ac:dyDescent="0.25">
      <c r="A144" s="10" t="s">
        <v>164</v>
      </c>
      <c r="B144" t="str">
        <f>VLOOKUP(Customer_Names!A144,Customer_Names!$1:$1048576,4,FALSE)</f>
        <v>Tammi J.</v>
      </c>
      <c r="C144">
        <f>VLOOKUP(Medical_Examinations_2[[#This Row],[Customer ID]],Medical_Examinations!$1:$1048576,2,FALSE)</f>
        <v>36.67</v>
      </c>
      <c r="D144">
        <f>VLOOKUP(Medical_Examinations_2[[#This Row],[Customer ID]],Medical_Examinations!$1:$1048576,4,FALSE)</f>
        <v>6.27</v>
      </c>
      <c r="E144" t="str">
        <f>VLOOKUP(Medical_Examinations_2[[#This Row],[Customer ID]],Medical_Examinations!$1:$1048576,6,FALSE)</f>
        <v>No</v>
      </c>
      <c r="H144" t="str">
        <f>VLOOKUP(Medical_Examinations_2[[#This Row],[Customer ID]],Medical_Examinations!$1:$1048576,9,FALSE)</f>
        <v>No major surgery</v>
      </c>
      <c r="I144" t="str">
        <f>VLOOKUP(Medical_Examinations_2[[#This Row],[Customer ID]],Medical_Examinations!$1:$1048576,11,FALSE)</f>
        <v>Yes</v>
      </c>
      <c r="J144" t="str">
        <f>VLOOKUP(Medical_Examinations_2[[#This Row],[Customer ID]],Medical_Examinations!$1:$1048576,3,FALSE)</f>
        <v>Obesity</v>
      </c>
      <c r="K144" t="str">
        <f>VLOOKUP(Medical_Examinations_2[[#This Row],[Customer ID]],Medical_Examinations!$1:$1048576,5,FALSE)</f>
        <v>Prediabetes</v>
      </c>
    </row>
    <row r="145" spans="1:11" x14ac:dyDescent="0.25">
      <c r="A145" s="11" t="s">
        <v>166</v>
      </c>
      <c r="B145" t="str">
        <f>VLOOKUP(Customer_Names!A145,Customer_Names!$1:$1048576,4,FALSE)</f>
        <v>Matthew S.</v>
      </c>
      <c r="C145">
        <f>VLOOKUP(Medical_Examinations_2[[#This Row],[Customer ID]],Medical_Examinations!$1:$1048576,2,FALSE)</f>
        <v>33.4</v>
      </c>
      <c r="D145">
        <f>VLOOKUP(Medical_Examinations_2[[#This Row],[Customer ID]],Medical_Examinations!$1:$1048576,4,FALSE)</f>
        <v>10.73</v>
      </c>
      <c r="E145" t="str">
        <f>VLOOKUP(Medical_Examinations_2[[#This Row],[Customer ID]],Medical_Examinations!$1:$1048576,6,FALSE)</f>
        <v>Yes</v>
      </c>
      <c r="H145">
        <f>VLOOKUP(Medical_Examinations_2[[#This Row],[Customer ID]],Medical_Examinations!$1:$1048576,9,FALSE)</f>
        <v>1</v>
      </c>
      <c r="I145" t="str">
        <f>VLOOKUP(Medical_Examinations_2[[#This Row],[Customer ID]],Medical_Examinations!$1:$1048576,11,FALSE)</f>
        <v>Yes</v>
      </c>
      <c r="J145" t="str">
        <f>VLOOKUP(Medical_Examinations_2[[#This Row],[Customer ID]],Medical_Examinations!$1:$1048576,3,FALSE)</f>
        <v>Obesity</v>
      </c>
      <c r="K145" t="str">
        <f>VLOOKUP(Medical_Examinations_2[[#This Row],[Customer ID]],Medical_Examinations!$1:$1048576,5,FALSE)</f>
        <v>Diabetes</v>
      </c>
    </row>
    <row r="146" spans="1:11" x14ac:dyDescent="0.25">
      <c r="A146" s="10" t="s">
        <v>168</v>
      </c>
      <c r="B146" t="str">
        <f>VLOOKUP(Customer_Names!A146,Customer_Names!$1:$1048576,4,FALSE)</f>
        <v>Eric</v>
      </c>
      <c r="C146">
        <f>VLOOKUP(Medical_Examinations_2[[#This Row],[Customer ID]],Medical_Examinations!$1:$1048576,2,FALSE)</f>
        <v>42.71</v>
      </c>
      <c r="D146">
        <f>VLOOKUP(Medical_Examinations_2[[#This Row],[Customer ID]],Medical_Examinations!$1:$1048576,4,FALSE)</f>
        <v>10.52</v>
      </c>
      <c r="E146" t="str">
        <f>VLOOKUP(Medical_Examinations_2[[#This Row],[Customer ID]],Medical_Examinations!$1:$1048576,6,FALSE)</f>
        <v>No</v>
      </c>
      <c r="H146" t="str">
        <f>VLOOKUP(Medical_Examinations_2[[#This Row],[Customer ID]],Medical_Examinations!$1:$1048576,9,FALSE)</f>
        <v>No major surgery</v>
      </c>
      <c r="I146" t="str">
        <f>VLOOKUP(Medical_Examinations_2[[#This Row],[Customer ID]],Medical_Examinations!$1:$1048576,11,FALSE)</f>
        <v>Yes</v>
      </c>
      <c r="J146" t="str">
        <f>VLOOKUP(Medical_Examinations_2[[#This Row],[Customer ID]],Medical_Examinations!$1:$1048576,3,FALSE)</f>
        <v>Obesity</v>
      </c>
      <c r="K146" t="str">
        <f>VLOOKUP(Medical_Examinations_2[[#This Row],[Customer ID]],Medical_Examinations!$1:$1048576,5,FALSE)</f>
        <v>Diabetes</v>
      </c>
    </row>
    <row r="147" spans="1:11" x14ac:dyDescent="0.25">
      <c r="A147" s="11" t="s">
        <v>170</v>
      </c>
      <c r="B147" t="str">
        <f>VLOOKUP(Customer_Names!A147,Customer_Names!$1:$1048576,4,FALSE)</f>
        <v>Valeria R</v>
      </c>
      <c r="C147">
        <f>VLOOKUP(Medical_Examinations_2[[#This Row],[Customer ID]],Medical_Examinations!$1:$1048576,2,FALSE)</f>
        <v>41.52</v>
      </c>
      <c r="D147">
        <f>VLOOKUP(Medical_Examinations_2[[#This Row],[Customer ID]],Medical_Examinations!$1:$1048576,4,FALSE)</f>
        <v>11.82</v>
      </c>
      <c r="E147" t="str">
        <f>VLOOKUP(Medical_Examinations_2[[#This Row],[Customer ID]],Medical_Examinations!$1:$1048576,6,FALSE)</f>
        <v>Yes</v>
      </c>
      <c r="H147">
        <f>VLOOKUP(Medical_Examinations_2[[#This Row],[Customer ID]],Medical_Examinations!$1:$1048576,9,FALSE)</f>
        <v>2</v>
      </c>
      <c r="I147" t="str">
        <f>VLOOKUP(Medical_Examinations_2[[#This Row],[Customer ID]],Medical_Examinations!$1:$1048576,11,FALSE)</f>
        <v>Yes</v>
      </c>
      <c r="J147" t="str">
        <f>VLOOKUP(Medical_Examinations_2[[#This Row],[Customer ID]],Medical_Examinations!$1:$1048576,3,FALSE)</f>
        <v>Obesity</v>
      </c>
      <c r="K147" t="str">
        <f>VLOOKUP(Medical_Examinations_2[[#This Row],[Customer ID]],Medical_Examinations!$1:$1048576,5,FALSE)</f>
        <v>Diabetes</v>
      </c>
    </row>
    <row r="148" spans="1:11" x14ac:dyDescent="0.25">
      <c r="A148" s="10" t="s">
        <v>171</v>
      </c>
      <c r="B148" t="str">
        <f>VLOOKUP(Customer_Names!A148,Customer_Names!$1:$1048576,4,FALSE)</f>
        <v>Michael P</v>
      </c>
      <c r="C148">
        <f>VLOOKUP(Medical_Examinations_2[[#This Row],[Customer ID]],Medical_Examinations!$1:$1048576,2,FALSE)</f>
        <v>39.4</v>
      </c>
      <c r="D148">
        <f>VLOOKUP(Medical_Examinations_2[[#This Row],[Customer ID]],Medical_Examinations!$1:$1048576,4,FALSE)</f>
        <v>6.76</v>
      </c>
      <c r="E148" t="str">
        <f>VLOOKUP(Medical_Examinations_2[[#This Row],[Customer ID]],Medical_Examinations!$1:$1048576,6,FALSE)</f>
        <v>No</v>
      </c>
      <c r="H148" t="str">
        <f>VLOOKUP(Medical_Examinations_2[[#This Row],[Customer ID]],Medical_Examinations!$1:$1048576,9,FALSE)</f>
        <v>No major surgery</v>
      </c>
      <c r="I148" t="str">
        <f>VLOOKUP(Medical_Examinations_2[[#This Row],[Customer ID]],Medical_Examinations!$1:$1048576,11,FALSE)</f>
        <v>Yes</v>
      </c>
      <c r="J148" t="str">
        <f>VLOOKUP(Medical_Examinations_2[[#This Row],[Customer ID]],Medical_Examinations!$1:$1048576,3,FALSE)</f>
        <v>Obesity</v>
      </c>
      <c r="K148" t="str">
        <f>VLOOKUP(Medical_Examinations_2[[#This Row],[Customer ID]],Medical_Examinations!$1:$1048576,5,FALSE)</f>
        <v>Diabetes</v>
      </c>
    </row>
    <row r="149" spans="1:11" x14ac:dyDescent="0.25">
      <c r="A149" s="11" t="s">
        <v>172</v>
      </c>
      <c r="B149" t="str">
        <f>VLOOKUP(Customer_Names!A149,Customer_Names!$1:$1048576,4,FALSE)</f>
        <v>Rami</v>
      </c>
      <c r="C149">
        <f>VLOOKUP(Medical_Examinations_2[[#This Row],[Customer ID]],Medical_Examinations!$1:$1048576,2,FALSE)</f>
        <v>46.45</v>
      </c>
      <c r="D149">
        <f>VLOOKUP(Medical_Examinations_2[[#This Row],[Customer ID]],Medical_Examinations!$1:$1048576,4,FALSE)</f>
        <v>5.62</v>
      </c>
      <c r="E149" t="str">
        <f>VLOOKUP(Medical_Examinations_2[[#This Row],[Customer ID]],Medical_Examinations!$1:$1048576,6,FALSE)</f>
        <v>No</v>
      </c>
      <c r="H149" t="str">
        <f>VLOOKUP(Medical_Examinations_2[[#This Row],[Customer ID]],Medical_Examinations!$1:$1048576,9,FALSE)</f>
        <v>No major surgery</v>
      </c>
      <c r="I149" t="str">
        <f>VLOOKUP(Medical_Examinations_2[[#This Row],[Customer ID]],Medical_Examinations!$1:$1048576,11,FALSE)</f>
        <v>Yes</v>
      </c>
      <c r="J149" t="str">
        <f>VLOOKUP(Medical_Examinations_2[[#This Row],[Customer ID]],Medical_Examinations!$1:$1048576,3,FALSE)</f>
        <v>Obesity</v>
      </c>
      <c r="K149" t="str">
        <f>VLOOKUP(Medical_Examinations_2[[#This Row],[Customer ID]],Medical_Examinations!$1:$1048576,5,FALSE)</f>
        <v>Normal</v>
      </c>
    </row>
    <row r="150" spans="1:11" x14ac:dyDescent="0.25">
      <c r="A150" s="10" t="s">
        <v>173</v>
      </c>
      <c r="B150" t="str">
        <f>VLOOKUP(Customer_Names!A150,Customer_Names!$1:$1048576,4,FALSE)</f>
        <v>Denis</v>
      </c>
      <c r="C150">
        <f>VLOOKUP(Medical_Examinations_2[[#This Row],[Customer ID]],Medical_Examinations!$1:$1048576,2,FALSE)</f>
        <v>35.75</v>
      </c>
      <c r="D150">
        <f>VLOOKUP(Medical_Examinations_2[[#This Row],[Customer ID]],Medical_Examinations!$1:$1048576,4,FALSE)</f>
        <v>4.1900000000000004</v>
      </c>
      <c r="E150" t="str">
        <f>VLOOKUP(Medical_Examinations_2[[#This Row],[Customer ID]],Medical_Examinations!$1:$1048576,6,FALSE)</f>
        <v>No</v>
      </c>
      <c r="H150" t="str">
        <f>VLOOKUP(Medical_Examinations_2[[#This Row],[Customer ID]],Medical_Examinations!$1:$1048576,9,FALSE)</f>
        <v>No major surgery</v>
      </c>
      <c r="I150" t="str">
        <f>VLOOKUP(Medical_Examinations_2[[#This Row],[Customer ID]],Medical_Examinations!$1:$1048576,11,FALSE)</f>
        <v>Yes</v>
      </c>
      <c r="J150" t="str">
        <f>VLOOKUP(Medical_Examinations_2[[#This Row],[Customer ID]],Medical_Examinations!$1:$1048576,3,FALSE)</f>
        <v>Obesity</v>
      </c>
      <c r="K150" t="str">
        <f>VLOOKUP(Medical_Examinations_2[[#This Row],[Customer ID]],Medical_Examinations!$1:$1048576,5,FALSE)</f>
        <v>Normal</v>
      </c>
    </row>
    <row r="151" spans="1:11" x14ac:dyDescent="0.25">
      <c r="A151" s="11" t="s">
        <v>174</v>
      </c>
      <c r="B151" t="str">
        <f>VLOOKUP(Customer_Names!A151,Customer_Names!$1:$1048576,4,FALSE)</f>
        <v>Brian E</v>
      </c>
      <c r="C151">
        <f>VLOOKUP(Medical_Examinations_2[[#This Row],[Customer ID]],Medical_Examinations!$1:$1048576,2,FALSE)</f>
        <v>26.07</v>
      </c>
      <c r="D151">
        <f>VLOOKUP(Medical_Examinations_2[[#This Row],[Customer ID]],Medical_Examinations!$1:$1048576,4,FALSE)</f>
        <v>5.32</v>
      </c>
      <c r="E151" t="str">
        <f>VLOOKUP(Medical_Examinations_2[[#This Row],[Customer ID]],Medical_Examinations!$1:$1048576,6,FALSE)</f>
        <v>No</v>
      </c>
      <c r="H151" t="str">
        <f>VLOOKUP(Medical_Examinations_2[[#This Row],[Customer ID]],Medical_Examinations!$1:$1048576,9,FALSE)</f>
        <v>No major surgery</v>
      </c>
      <c r="I151" t="str">
        <f>VLOOKUP(Medical_Examinations_2[[#This Row],[Customer ID]],Medical_Examinations!$1:$1048576,11,FALSE)</f>
        <v>Yes</v>
      </c>
      <c r="J151" t="str">
        <f>VLOOKUP(Medical_Examinations_2[[#This Row],[Customer ID]],Medical_Examinations!$1:$1048576,3,FALSE)</f>
        <v>Over weight</v>
      </c>
      <c r="K151" t="str">
        <f>VLOOKUP(Medical_Examinations_2[[#This Row],[Customer ID]],Medical_Examinations!$1:$1048576,5,FALSE)</f>
        <v>Normal</v>
      </c>
    </row>
    <row r="152" spans="1:11" x14ac:dyDescent="0.25">
      <c r="A152" s="10" t="s">
        <v>175</v>
      </c>
      <c r="B152" t="str">
        <f>VLOOKUP(Customer_Names!A152,Customer_Names!$1:$1048576,4,FALSE)</f>
        <v>Bonnie</v>
      </c>
      <c r="C152">
        <f>VLOOKUP(Medical_Examinations_2[[#This Row],[Customer ID]],Medical_Examinations!$1:$1048576,2,FALSE)</f>
        <v>36.54</v>
      </c>
      <c r="D152">
        <f>VLOOKUP(Medical_Examinations_2[[#This Row],[Customer ID]],Medical_Examinations!$1:$1048576,4,FALSE)</f>
        <v>4.46</v>
      </c>
      <c r="E152" t="str">
        <f>VLOOKUP(Medical_Examinations_2[[#This Row],[Customer ID]],Medical_Examinations!$1:$1048576,6,FALSE)</f>
        <v>Yes</v>
      </c>
      <c r="H152">
        <f>VLOOKUP(Medical_Examinations_2[[#This Row],[Customer ID]],Medical_Examinations!$1:$1048576,9,FALSE)</f>
        <v>1</v>
      </c>
      <c r="I152" t="str">
        <f>VLOOKUP(Medical_Examinations_2[[#This Row],[Customer ID]],Medical_Examinations!$1:$1048576,11,FALSE)</f>
        <v>Yes</v>
      </c>
      <c r="J152" t="str">
        <f>VLOOKUP(Medical_Examinations_2[[#This Row],[Customer ID]],Medical_Examinations!$1:$1048576,3,FALSE)</f>
        <v>Obesity</v>
      </c>
      <c r="K152" t="str">
        <f>VLOOKUP(Medical_Examinations_2[[#This Row],[Customer ID]],Medical_Examinations!$1:$1048576,5,FALSE)</f>
        <v>Normal</v>
      </c>
    </row>
    <row r="153" spans="1:11" x14ac:dyDescent="0.25">
      <c r="A153" s="11" t="s">
        <v>176</v>
      </c>
      <c r="B153" t="str">
        <f>VLOOKUP(Customer_Names!A153,Customer_Names!$1:$1048576,4,FALSE)</f>
        <v>Michael P</v>
      </c>
      <c r="C153">
        <f>VLOOKUP(Medical_Examinations_2[[#This Row],[Customer ID]],Medical_Examinations!$1:$1048576,2,FALSE)</f>
        <v>51.64</v>
      </c>
      <c r="D153">
        <f>VLOOKUP(Medical_Examinations_2[[#This Row],[Customer ID]],Medical_Examinations!$1:$1048576,4,FALSE)</f>
        <v>5.65</v>
      </c>
      <c r="E153" t="str">
        <f>VLOOKUP(Medical_Examinations_2[[#This Row],[Customer ID]],Medical_Examinations!$1:$1048576,6,FALSE)</f>
        <v>No</v>
      </c>
      <c r="H153" t="str">
        <f>VLOOKUP(Medical_Examinations_2[[#This Row],[Customer ID]],Medical_Examinations!$1:$1048576,9,FALSE)</f>
        <v>No major surgery</v>
      </c>
      <c r="I153" t="str">
        <f>VLOOKUP(Medical_Examinations_2[[#This Row],[Customer ID]],Medical_Examinations!$1:$1048576,11,FALSE)</f>
        <v>Yes</v>
      </c>
      <c r="J153" t="str">
        <f>VLOOKUP(Medical_Examinations_2[[#This Row],[Customer ID]],Medical_Examinations!$1:$1048576,3,FALSE)</f>
        <v>Obesity</v>
      </c>
      <c r="K153" t="str">
        <f>VLOOKUP(Medical_Examinations_2[[#This Row],[Customer ID]],Medical_Examinations!$1:$1048576,5,FALSE)</f>
        <v>Normal</v>
      </c>
    </row>
    <row r="154" spans="1:11" x14ac:dyDescent="0.25">
      <c r="A154" s="10" t="s">
        <v>177</v>
      </c>
      <c r="B154" t="str">
        <f>VLOOKUP(Customer_Names!A154,Customer_Names!$1:$1048576,4,FALSE)</f>
        <v>Paul</v>
      </c>
      <c r="C154">
        <f>VLOOKUP(Medical_Examinations_2[[#This Row],[Customer ID]],Medical_Examinations!$1:$1048576,2,FALSE)</f>
        <v>42.83</v>
      </c>
      <c r="D154">
        <f>VLOOKUP(Medical_Examinations_2[[#This Row],[Customer ID]],Medical_Examinations!$1:$1048576,4,FALSE)</f>
        <v>6.04</v>
      </c>
      <c r="E154" t="str">
        <f>VLOOKUP(Medical_Examinations_2[[#This Row],[Customer ID]],Medical_Examinations!$1:$1048576,6,FALSE)</f>
        <v>No</v>
      </c>
      <c r="H154">
        <f>VLOOKUP(Medical_Examinations_2[[#This Row],[Customer ID]],Medical_Examinations!$1:$1048576,9,FALSE)</f>
        <v>2</v>
      </c>
      <c r="I154" t="str">
        <f>VLOOKUP(Medical_Examinations_2[[#This Row],[Customer ID]],Medical_Examinations!$1:$1048576,11,FALSE)</f>
        <v>Yes</v>
      </c>
      <c r="J154" t="str">
        <f>VLOOKUP(Medical_Examinations_2[[#This Row],[Customer ID]],Medical_Examinations!$1:$1048576,3,FALSE)</f>
        <v>Obesity</v>
      </c>
      <c r="K154" t="str">
        <f>VLOOKUP(Medical_Examinations_2[[#This Row],[Customer ID]],Medical_Examinations!$1:$1048576,5,FALSE)</f>
        <v>Prediabetes</v>
      </c>
    </row>
    <row r="155" spans="1:11" x14ac:dyDescent="0.25">
      <c r="A155" s="11" t="s">
        <v>178</v>
      </c>
      <c r="B155" t="str">
        <f>VLOOKUP(Customer_Names!A155,Customer_Names!$1:$1048576,4,FALSE)</f>
        <v>Michael</v>
      </c>
      <c r="C155">
        <f>VLOOKUP(Medical_Examinations_2[[#This Row],[Customer ID]],Medical_Examinations!$1:$1048576,2,FALSE)</f>
        <v>40.15</v>
      </c>
      <c r="D155">
        <f>VLOOKUP(Medical_Examinations_2[[#This Row],[Customer ID]],Medical_Examinations!$1:$1048576,4,FALSE)</f>
        <v>5.76</v>
      </c>
      <c r="E155" t="str">
        <f>VLOOKUP(Medical_Examinations_2[[#This Row],[Customer ID]],Medical_Examinations!$1:$1048576,6,FALSE)</f>
        <v>No</v>
      </c>
      <c r="H155">
        <f>VLOOKUP(Medical_Examinations_2[[#This Row],[Customer ID]],Medical_Examinations!$1:$1048576,9,FALSE)</f>
        <v>1</v>
      </c>
      <c r="I155" t="str">
        <f>VLOOKUP(Medical_Examinations_2[[#This Row],[Customer ID]],Medical_Examinations!$1:$1048576,11,FALSE)</f>
        <v>Yes</v>
      </c>
      <c r="J155" t="str">
        <f>VLOOKUP(Medical_Examinations_2[[#This Row],[Customer ID]],Medical_Examinations!$1:$1048576,3,FALSE)</f>
        <v>Obesity</v>
      </c>
      <c r="K155" t="str">
        <f>VLOOKUP(Medical_Examinations_2[[#This Row],[Customer ID]],Medical_Examinations!$1:$1048576,5,FALSE)</f>
        <v>Prediabetes</v>
      </c>
    </row>
    <row r="156" spans="1:11" x14ac:dyDescent="0.25">
      <c r="A156" s="10" t="s">
        <v>179</v>
      </c>
      <c r="B156" t="str">
        <f>VLOOKUP(Customer_Names!A156,Customer_Names!$1:$1048576,4,FALSE)</f>
        <v>Samuel</v>
      </c>
      <c r="C156">
        <f>VLOOKUP(Medical_Examinations_2[[#This Row],[Customer ID]],Medical_Examinations!$1:$1048576,2,FALSE)</f>
        <v>27.8</v>
      </c>
      <c r="D156">
        <f>VLOOKUP(Medical_Examinations_2[[#This Row],[Customer ID]],Medical_Examinations!$1:$1048576,4,FALSE)</f>
        <v>4.3600000000000003</v>
      </c>
      <c r="E156" t="str">
        <f>VLOOKUP(Medical_Examinations_2[[#This Row],[Customer ID]],Medical_Examinations!$1:$1048576,6,FALSE)</f>
        <v>No</v>
      </c>
      <c r="H156">
        <f>VLOOKUP(Medical_Examinations_2[[#This Row],[Customer ID]],Medical_Examinations!$1:$1048576,9,FALSE)</f>
        <v>1</v>
      </c>
      <c r="I156" t="str">
        <f>VLOOKUP(Medical_Examinations_2[[#This Row],[Customer ID]],Medical_Examinations!$1:$1048576,11,FALSE)</f>
        <v>Yes</v>
      </c>
      <c r="J156" t="str">
        <f>VLOOKUP(Medical_Examinations_2[[#This Row],[Customer ID]],Medical_Examinations!$1:$1048576,3,FALSE)</f>
        <v>Over weight</v>
      </c>
      <c r="K156" t="str">
        <f>VLOOKUP(Medical_Examinations_2[[#This Row],[Customer ID]],Medical_Examinations!$1:$1048576,5,FALSE)</f>
        <v>Normal</v>
      </c>
    </row>
    <row r="157" spans="1:11" x14ac:dyDescent="0.25">
      <c r="A157" s="11" t="s">
        <v>180</v>
      </c>
      <c r="B157" t="str">
        <f>VLOOKUP(Customer_Names!A157,Customer_Names!$1:$1048576,4,FALSE)</f>
        <v>Matthew</v>
      </c>
      <c r="C157">
        <f>VLOOKUP(Medical_Examinations_2[[#This Row],[Customer ID]],Medical_Examinations!$1:$1048576,2,FALSE)</f>
        <v>45.81</v>
      </c>
      <c r="D157">
        <f>VLOOKUP(Medical_Examinations_2[[#This Row],[Customer ID]],Medical_Examinations!$1:$1048576,4,FALSE)</f>
        <v>4.76</v>
      </c>
      <c r="E157" t="str">
        <f>VLOOKUP(Medical_Examinations_2[[#This Row],[Customer ID]],Medical_Examinations!$1:$1048576,6,FALSE)</f>
        <v>Yes</v>
      </c>
      <c r="H157">
        <f>VLOOKUP(Medical_Examinations_2[[#This Row],[Customer ID]],Medical_Examinations!$1:$1048576,9,FALSE)</f>
        <v>1</v>
      </c>
      <c r="I157" t="str">
        <f>VLOOKUP(Medical_Examinations_2[[#This Row],[Customer ID]],Medical_Examinations!$1:$1048576,11,FALSE)</f>
        <v>Yes</v>
      </c>
      <c r="J157" t="str">
        <f>VLOOKUP(Medical_Examinations_2[[#This Row],[Customer ID]],Medical_Examinations!$1:$1048576,3,FALSE)</f>
        <v>Obesity</v>
      </c>
      <c r="K157" t="str">
        <f>VLOOKUP(Medical_Examinations_2[[#This Row],[Customer ID]],Medical_Examinations!$1:$1048576,5,FALSE)</f>
        <v>Normal</v>
      </c>
    </row>
    <row r="158" spans="1:11" x14ac:dyDescent="0.25">
      <c r="A158" s="10" t="s">
        <v>181</v>
      </c>
      <c r="B158" t="str">
        <f>VLOOKUP(Customer_Names!A158,Customer_Names!$1:$1048576,4,FALSE)</f>
        <v>Daniel</v>
      </c>
      <c r="C158">
        <f>VLOOKUP(Medical_Examinations_2[[#This Row],[Customer ID]],Medical_Examinations!$1:$1048576,2,FALSE)</f>
        <v>34.43</v>
      </c>
      <c r="D158">
        <f>VLOOKUP(Medical_Examinations_2[[#This Row],[Customer ID]],Medical_Examinations!$1:$1048576,4,FALSE)</f>
        <v>10.82</v>
      </c>
      <c r="E158" t="str">
        <f>VLOOKUP(Medical_Examinations_2[[#This Row],[Customer ID]],Medical_Examinations!$1:$1048576,6,FALSE)</f>
        <v>Yes</v>
      </c>
      <c r="H158">
        <f>VLOOKUP(Medical_Examinations_2[[#This Row],[Customer ID]],Medical_Examinations!$1:$1048576,9,FALSE)</f>
        <v>1</v>
      </c>
      <c r="I158" t="str">
        <f>VLOOKUP(Medical_Examinations_2[[#This Row],[Customer ID]],Medical_Examinations!$1:$1048576,11,FALSE)</f>
        <v>Yes</v>
      </c>
      <c r="J158" t="str">
        <f>VLOOKUP(Medical_Examinations_2[[#This Row],[Customer ID]],Medical_Examinations!$1:$1048576,3,FALSE)</f>
        <v>Obesity</v>
      </c>
      <c r="K158" t="str">
        <f>VLOOKUP(Medical_Examinations_2[[#This Row],[Customer ID]],Medical_Examinations!$1:$1048576,5,FALSE)</f>
        <v>Diabetes</v>
      </c>
    </row>
    <row r="159" spans="1:11" x14ac:dyDescent="0.25">
      <c r="A159" s="11" t="s">
        <v>182</v>
      </c>
      <c r="B159" t="str">
        <f>VLOOKUP(Customer_Names!A159,Customer_Names!$1:$1048576,4,FALSE)</f>
        <v>Syndy</v>
      </c>
      <c r="C159">
        <f>VLOOKUP(Medical_Examinations_2[[#This Row],[Customer ID]],Medical_Examinations!$1:$1048576,2,FALSE)</f>
        <v>41.33</v>
      </c>
      <c r="D159">
        <f>VLOOKUP(Medical_Examinations_2[[#This Row],[Customer ID]],Medical_Examinations!$1:$1048576,4,FALSE)</f>
        <v>4.01</v>
      </c>
      <c r="E159" t="str">
        <f>VLOOKUP(Medical_Examinations_2[[#This Row],[Customer ID]],Medical_Examinations!$1:$1048576,6,FALSE)</f>
        <v>Yes</v>
      </c>
      <c r="H159" t="str">
        <f>VLOOKUP(Medical_Examinations_2[[#This Row],[Customer ID]],Medical_Examinations!$1:$1048576,9,FALSE)</f>
        <v>No major surgery</v>
      </c>
      <c r="I159" t="str">
        <f>VLOOKUP(Medical_Examinations_2[[#This Row],[Customer ID]],Medical_Examinations!$1:$1048576,11,FALSE)</f>
        <v>Yes</v>
      </c>
      <c r="J159" t="str">
        <f>VLOOKUP(Medical_Examinations_2[[#This Row],[Customer ID]],Medical_Examinations!$1:$1048576,3,FALSE)</f>
        <v>Obesity</v>
      </c>
      <c r="K159" t="str">
        <f>VLOOKUP(Medical_Examinations_2[[#This Row],[Customer ID]],Medical_Examinations!$1:$1048576,5,FALSE)</f>
        <v>Normal</v>
      </c>
    </row>
    <row r="160" spans="1:11" x14ac:dyDescent="0.25">
      <c r="A160" s="10" t="s">
        <v>183</v>
      </c>
      <c r="B160" t="str">
        <f>VLOOKUP(Customer_Names!A160,Customer_Names!$1:$1048576,4,FALSE)</f>
        <v>Aleksandra</v>
      </c>
      <c r="C160">
        <f>VLOOKUP(Medical_Examinations_2[[#This Row],[Customer ID]],Medical_Examinations!$1:$1048576,2,FALSE)</f>
        <v>31.92</v>
      </c>
      <c r="D160">
        <f>VLOOKUP(Medical_Examinations_2[[#This Row],[Customer ID]],Medical_Examinations!$1:$1048576,4,FALSE)</f>
        <v>5.12</v>
      </c>
      <c r="E160" t="str">
        <f>VLOOKUP(Medical_Examinations_2[[#This Row],[Customer ID]],Medical_Examinations!$1:$1048576,6,FALSE)</f>
        <v>Yes</v>
      </c>
      <c r="H160">
        <f>VLOOKUP(Medical_Examinations_2[[#This Row],[Customer ID]],Medical_Examinations!$1:$1048576,9,FALSE)</f>
        <v>1</v>
      </c>
      <c r="I160" t="str">
        <f>VLOOKUP(Medical_Examinations_2[[#This Row],[Customer ID]],Medical_Examinations!$1:$1048576,11,FALSE)</f>
        <v>Yes</v>
      </c>
      <c r="J160" t="str">
        <f>VLOOKUP(Medical_Examinations_2[[#This Row],[Customer ID]],Medical_Examinations!$1:$1048576,3,FALSE)</f>
        <v>Obesity</v>
      </c>
      <c r="K160" t="str">
        <f>VLOOKUP(Medical_Examinations_2[[#This Row],[Customer ID]],Medical_Examinations!$1:$1048576,5,FALSE)</f>
        <v>Normal</v>
      </c>
    </row>
    <row r="161" spans="1:10" x14ac:dyDescent="0.25">
      <c r="A161" s="11" t="s">
        <v>184</v>
      </c>
      <c r="B161" t="str">
        <f>VLOOKUP(Customer_Names!A161,Customer_Names!$1:$1048576,4,FALSE)</f>
        <v>Steeve T Sr.</v>
      </c>
      <c r="C161">
        <f>VLOOKUP(Medical_Examinations_2[[#This Row],[Customer ID]],Medical_Examinations!$1:$1048576,2,FALSE)</f>
        <v>39.799999999999997</v>
      </c>
      <c r="D161">
        <f>VLOOKUP(Medical_Examinations_2[[#This Row],[Customer ID]],Medical_Examinations!$1:$1048576,4,FALSE)</f>
        <v>10.54</v>
      </c>
      <c r="E161" t="str">
        <f>VLOOKUP(Medical_Examinations_2[[#This Row],[Customer ID]],Medical_Examinations!$1:$1048576,6,FALSE)</f>
        <v>Yes</v>
      </c>
      <c r="H161">
        <f>VLOOKUP(Medical_Examinations_2[[#This Row],[Customer ID]],Medical_Examinations!$1:$1048576,9,FALSE)</f>
        <v>2</v>
      </c>
      <c r="I161" t="str">
        <f>VLOOKUP(Medical_Examinations_2[[#This Row],[Customer ID]],Medical_Examinations!$1:$1048576,11,FALSE)</f>
        <v>Yes</v>
      </c>
      <c r="J161" t="str">
        <f>VLOOKUP(Medical_Examinations_2[[#This Row],[Customer ID]],Medical_Examinations!$1:$1048576,3,FALSE)</f>
        <v>Obesity</v>
      </c>
    </row>
    <row r="162" spans="1:10" x14ac:dyDescent="0.25">
      <c r="A162" s="10" t="s">
        <v>185</v>
      </c>
      <c r="B162" t="str">
        <f>VLOOKUP(Customer_Names!A162,Customer_Names!$1:$1048576,4,FALSE)</f>
        <v>Richard</v>
      </c>
      <c r="C162">
        <f>VLOOKUP(Medical_Examinations_2[[#This Row],[Customer ID]],Medical_Examinations!$1:$1048576,2,FALSE)</f>
        <v>42.82</v>
      </c>
      <c r="D162">
        <f>VLOOKUP(Medical_Examinations_2[[#This Row],[Customer ID]],Medical_Examinations!$1:$1048576,4,FALSE)</f>
        <v>4.21</v>
      </c>
      <c r="E162" t="str">
        <f>VLOOKUP(Medical_Examinations_2[[#This Row],[Customer ID]],Medical_Examinations!$1:$1048576,6,FALSE)</f>
        <v>No</v>
      </c>
      <c r="H162" t="str">
        <f>VLOOKUP(Medical_Examinations_2[[#This Row],[Customer ID]],Medical_Examinations!$1:$1048576,9,FALSE)</f>
        <v>No major surgery</v>
      </c>
      <c r="I162" t="str">
        <f>VLOOKUP(Medical_Examinations_2[[#This Row],[Customer ID]],Medical_Examinations!$1:$1048576,11,FALSE)</f>
        <v>Yes</v>
      </c>
      <c r="J162" t="str">
        <f>VLOOKUP(Medical_Examinations_2[[#This Row],[Customer ID]],Medical_Examinations!$1:$1048576,3,FALSE)</f>
        <v>Obesity</v>
      </c>
    </row>
    <row r="163" spans="1:10" x14ac:dyDescent="0.25">
      <c r="A163" s="11" t="s">
        <v>186</v>
      </c>
      <c r="B163" t="str">
        <f>VLOOKUP(Customer_Names!A163,Customer_Names!$1:$1048576,4,FALSE)</f>
        <v>Aaron T</v>
      </c>
      <c r="C163">
        <f>VLOOKUP(Medical_Examinations_2[[#This Row],[Customer ID]],Medical_Examinations!$1:$1048576,2,FALSE)</f>
        <v>33.630000000000003</v>
      </c>
      <c r="D163">
        <f>VLOOKUP(Medical_Examinations_2[[#This Row],[Customer ID]],Medical_Examinations!$1:$1048576,4,FALSE)</f>
        <v>5.42</v>
      </c>
      <c r="E163" t="str">
        <f>VLOOKUP(Medical_Examinations_2[[#This Row],[Customer ID]],Medical_Examinations!$1:$1048576,6,FALSE)</f>
        <v>No</v>
      </c>
      <c r="H163" t="str">
        <f>VLOOKUP(Medical_Examinations_2[[#This Row],[Customer ID]],Medical_Examinations!$1:$1048576,9,FALSE)</f>
        <v>No major surgery</v>
      </c>
      <c r="I163" t="str">
        <f>VLOOKUP(Medical_Examinations_2[[#This Row],[Customer ID]],Medical_Examinations!$1:$1048576,11,FALSE)</f>
        <v>Yes</v>
      </c>
      <c r="J163" t="str">
        <f>VLOOKUP(Medical_Examinations_2[[#This Row],[Customer ID]],Medical_Examinations!$1:$1048576,3,FALSE)</f>
        <v>Obesity</v>
      </c>
    </row>
    <row r="164" spans="1:10" x14ac:dyDescent="0.25">
      <c r="A164" s="10" t="s">
        <v>187</v>
      </c>
      <c r="B164" t="str">
        <f>VLOOKUP(Customer_Names!A164,Customer_Names!$1:$1048576,4,FALSE)</f>
        <v>Akira</v>
      </c>
      <c r="C164">
        <f>VLOOKUP(Medical_Examinations_2[[#This Row],[Customer ID]],Medical_Examinations!$1:$1048576,2,FALSE)</f>
        <v>37.07</v>
      </c>
      <c r="D164">
        <f>VLOOKUP(Medical_Examinations_2[[#This Row],[Customer ID]],Medical_Examinations!$1:$1048576,4,FALSE)</f>
        <v>4.28</v>
      </c>
      <c r="E164" t="str">
        <f>VLOOKUP(Medical_Examinations_2[[#This Row],[Customer ID]],Medical_Examinations!$1:$1048576,6,FALSE)</f>
        <v>No</v>
      </c>
      <c r="H164">
        <f>VLOOKUP(Medical_Examinations_2[[#This Row],[Customer ID]],Medical_Examinations!$1:$1048576,9,FALSE)</f>
        <v>1</v>
      </c>
      <c r="I164" t="str">
        <f>VLOOKUP(Medical_Examinations_2[[#This Row],[Customer ID]],Medical_Examinations!$1:$1048576,11,FALSE)</f>
        <v>Yes</v>
      </c>
      <c r="J164" t="str">
        <f>VLOOKUP(Medical_Examinations_2[[#This Row],[Customer ID]],Medical_Examinations!$1:$1048576,3,FALSE)</f>
        <v>Obesity</v>
      </c>
    </row>
    <row r="165" spans="1:10" x14ac:dyDescent="0.25">
      <c r="A165" s="11" t="s">
        <v>188</v>
      </c>
      <c r="B165" t="str">
        <f>VLOOKUP(Customer_Names!A165,Customer_Names!$1:$1048576,4,FALSE)</f>
        <v>Ben</v>
      </c>
      <c r="C165">
        <f>VLOOKUP(Medical_Examinations_2[[#This Row],[Customer ID]],Medical_Examinations!$1:$1048576,2,FALSE)</f>
        <v>35.625</v>
      </c>
      <c r="D165">
        <f>VLOOKUP(Medical_Examinations_2[[#This Row],[Customer ID]],Medical_Examinations!$1:$1048576,4,FALSE)</f>
        <v>8.9</v>
      </c>
      <c r="E165" t="str">
        <f>VLOOKUP(Medical_Examinations_2[[#This Row],[Customer ID]],Medical_Examinations!$1:$1048576,6,FALSE)</f>
        <v>No</v>
      </c>
      <c r="H165" t="str">
        <f>VLOOKUP(Medical_Examinations_2[[#This Row],[Customer ID]],Medical_Examinations!$1:$1048576,9,FALSE)</f>
        <v>No major surgery</v>
      </c>
      <c r="I165" t="str">
        <f>VLOOKUP(Medical_Examinations_2[[#This Row],[Customer ID]],Medical_Examinations!$1:$1048576,11,FALSE)</f>
        <v>Yes</v>
      </c>
      <c r="J165" t="str">
        <f>VLOOKUP(Medical_Examinations_2[[#This Row],[Customer ID]],Medical_Examinations!$1:$1048576,3,FALSE)</f>
        <v>Obesity</v>
      </c>
    </row>
    <row r="166" spans="1:10" x14ac:dyDescent="0.25">
      <c r="A166" s="10" t="s">
        <v>189</v>
      </c>
      <c r="B166" t="str">
        <f>VLOOKUP(Customer_Names!A166,Customer_Names!$1:$1048576,4,FALSE)</f>
        <v>Jana</v>
      </c>
      <c r="C166">
        <f>VLOOKUP(Medical_Examinations_2[[#This Row],[Customer ID]],Medical_Examinations!$1:$1048576,2,FALSE)</f>
        <v>42.69</v>
      </c>
      <c r="D166">
        <f>VLOOKUP(Medical_Examinations_2[[#This Row],[Customer ID]],Medical_Examinations!$1:$1048576,4,FALSE)</f>
        <v>4.8899999999999997</v>
      </c>
      <c r="E166" t="str">
        <f>VLOOKUP(Medical_Examinations_2[[#This Row],[Customer ID]],Medical_Examinations!$1:$1048576,6,FALSE)</f>
        <v>No</v>
      </c>
      <c r="H166">
        <f>VLOOKUP(Medical_Examinations_2[[#This Row],[Customer ID]],Medical_Examinations!$1:$1048576,9,FALSE)</f>
        <v>1</v>
      </c>
      <c r="I166" t="str">
        <f>VLOOKUP(Medical_Examinations_2[[#This Row],[Customer ID]],Medical_Examinations!$1:$1048576,11,FALSE)</f>
        <v>Yes</v>
      </c>
      <c r="J166" t="str">
        <f>VLOOKUP(Medical_Examinations_2[[#This Row],[Customer ID]],Medical_Examinations!$1:$1048576,3,FALSE)</f>
        <v>Obesity</v>
      </c>
    </row>
    <row r="167" spans="1:10" x14ac:dyDescent="0.25">
      <c r="A167" s="11" t="s">
        <v>190</v>
      </c>
      <c r="B167" t="str">
        <f>VLOOKUP(Customer_Names!A167,Customer_Names!$1:$1048576,4,FALSE)</f>
        <v>Jay T.</v>
      </c>
      <c r="C167">
        <f>VLOOKUP(Medical_Examinations_2[[#This Row],[Customer ID]],Medical_Examinations!$1:$1048576,2,FALSE)</f>
        <v>37.869999999999997</v>
      </c>
      <c r="D167">
        <f>VLOOKUP(Medical_Examinations_2[[#This Row],[Customer ID]],Medical_Examinations!$1:$1048576,4,FALSE)</f>
        <v>4.29</v>
      </c>
      <c r="E167" t="str">
        <f>VLOOKUP(Medical_Examinations_2[[#This Row],[Customer ID]],Medical_Examinations!$1:$1048576,6,FALSE)</f>
        <v>Yes</v>
      </c>
      <c r="H167">
        <f>VLOOKUP(Medical_Examinations_2[[#This Row],[Customer ID]],Medical_Examinations!$1:$1048576,9,FALSE)</f>
        <v>1</v>
      </c>
      <c r="I167" t="str">
        <f>VLOOKUP(Medical_Examinations_2[[#This Row],[Customer ID]],Medical_Examinations!$1:$1048576,11,FALSE)</f>
        <v>Yes</v>
      </c>
      <c r="J167" t="str">
        <f>VLOOKUP(Medical_Examinations_2[[#This Row],[Customer ID]],Medical_Examinations!$1:$1048576,3,FALSE)</f>
        <v>Obesity</v>
      </c>
    </row>
    <row r="168" spans="1:10" x14ac:dyDescent="0.25">
      <c r="A168" s="10" t="s">
        <v>191</v>
      </c>
      <c r="B168" t="str">
        <f>VLOOKUP(Customer_Names!A168,Customer_Names!$1:$1048576,4,FALSE)</f>
        <v>Marie-Helene</v>
      </c>
      <c r="C168">
        <f>VLOOKUP(Medical_Examinations_2[[#This Row],[Customer ID]],Medical_Examinations!$1:$1048576,2,FALSE)</f>
        <v>40.61</v>
      </c>
      <c r="D168">
        <f>VLOOKUP(Medical_Examinations_2[[#This Row],[Customer ID]],Medical_Examinations!$1:$1048576,4,FALSE)</f>
        <v>8</v>
      </c>
      <c r="E168" t="str">
        <f>VLOOKUP(Medical_Examinations_2[[#This Row],[Customer ID]],Medical_Examinations!$1:$1048576,6,FALSE)</f>
        <v>Yes</v>
      </c>
      <c r="H168">
        <f>VLOOKUP(Medical_Examinations_2[[#This Row],[Customer ID]],Medical_Examinations!$1:$1048576,9,FALSE)</f>
        <v>1</v>
      </c>
      <c r="I168" t="str">
        <f>VLOOKUP(Medical_Examinations_2[[#This Row],[Customer ID]],Medical_Examinations!$1:$1048576,11,FALSE)</f>
        <v>Yes</v>
      </c>
      <c r="J168" t="str">
        <f>VLOOKUP(Medical_Examinations_2[[#This Row],[Customer ID]],Medical_Examinations!$1:$1048576,3,FALSE)</f>
        <v>Obesity</v>
      </c>
    </row>
    <row r="169" spans="1:10" x14ac:dyDescent="0.25">
      <c r="A169" s="11" t="s">
        <v>192</v>
      </c>
      <c r="B169" t="str">
        <f>VLOOKUP(Customer_Names!A169,Customer_Names!$1:$1048576,4,FALSE)</f>
        <v>Bret R</v>
      </c>
      <c r="C169">
        <f>VLOOKUP(Medical_Examinations_2[[#This Row],[Customer ID]],Medical_Examinations!$1:$1048576,2,FALSE)</f>
        <v>30.78</v>
      </c>
      <c r="D169">
        <f>VLOOKUP(Medical_Examinations_2[[#This Row],[Customer ID]],Medical_Examinations!$1:$1048576,4,FALSE)</f>
        <v>4.67</v>
      </c>
      <c r="E169" t="str">
        <f>VLOOKUP(Medical_Examinations_2[[#This Row],[Customer ID]],Medical_Examinations!$1:$1048576,6,FALSE)</f>
        <v>Yes</v>
      </c>
      <c r="H169" t="str">
        <f>VLOOKUP(Medical_Examinations_2[[#This Row],[Customer ID]],Medical_Examinations!$1:$1048576,9,FALSE)</f>
        <v>No major surgery</v>
      </c>
      <c r="I169" t="str">
        <f>VLOOKUP(Medical_Examinations_2[[#This Row],[Customer ID]],Medical_Examinations!$1:$1048576,11,FALSE)</f>
        <v>Yes</v>
      </c>
      <c r="J169" t="str">
        <f>VLOOKUP(Medical_Examinations_2[[#This Row],[Customer ID]],Medical_Examinations!$1:$1048576,3,FALSE)</f>
        <v>Obesity</v>
      </c>
    </row>
    <row r="170" spans="1:10" x14ac:dyDescent="0.25">
      <c r="A170" s="10" t="s">
        <v>193</v>
      </c>
      <c r="B170" t="str">
        <f>VLOOKUP(Customer_Names!A170,Customer_Names!$1:$1048576,4,FALSE)</f>
        <v>Gardner L</v>
      </c>
      <c r="C170">
        <f>VLOOKUP(Medical_Examinations_2[[#This Row],[Customer ID]],Medical_Examinations!$1:$1048576,2,FALSE)</f>
        <v>49.49</v>
      </c>
      <c r="D170">
        <f>VLOOKUP(Medical_Examinations_2[[#This Row],[Customer ID]],Medical_Examinations!$1:$1048576,4,FALSE)</f>
        <v>4.5</v>
      </c>
      <c r="E170" t="str">
        <f>VLOOKUP(Medical_Examinations_2[[#This Row],[Customer ID]],Medical_Examinations!$1:$1048576,6,FALSE)</f>
        <v>No</v>
      </c>
      <c r="H170" t="str">
        <f>VLOOKUP(Medical_Examinations_2[[#This Row],[Customer ID]],Medical_Examinations!$1:$1048576,9,FALSE)</f>
        <v>No major surgery</v>
      </c>
      <c r="I170" t="str">
        <f>VLOOKUP(Medical_Examinations_2[[#This Row],[Customer ID]],Medical_Examinations!$1:$1048576,11,FALSE)</f>
        <v>Yes</v>
      </c>
      <c r="J170" t="str">
        <f>VLOOKUP(Medical_Examinations_2[[#This Row],[Customer ID]],Medical_Examinations!$1:$1048576,3,FALSE)</f>
        <v>Obesity</v>
      </c>
    </row>
    <row r="171" spans="1:10" x14ac:dyDescent="0.25">
      <c r="A171" s="11" t="s">
        <v>194</v>
      </c>
      <c r="B171" t="str">
        <f>VLOOKUP(Customer_Names!A171,Customer_Names!$1:$1048576,4,FALSE)</f>
        <v>Bobby</v>
      </c>
      <c r="C171">
        <f>VLOOKUP(Medical_Examinations_2[[#This Row],[Customer ID]],Medical_Examinations!$1:$1048576,2,FALSE)</f>
        <v>37.619999999999997</v>
      </c>
      <c r="D171">
        <f>VLOOKUP(Medical_Examinations_2[[#This Row],[Customer ID]],Medical_Examinations!$1:$1048576,4,FALSE)</f>
        <v>6.32</v>
      </c>
      <c r="E171" t="str">
        <f>VLOOKUP(Medical_Examinations_2[[#This Row],[Customer ID]],Medical_Examinations!$1:$1048576,6,FALSE)</f>
        <v>Yes</v>
      </c>
      <c r="H171">
        <f>VLOOKUP(Medical_Examinations_2[[#This Row],[Customer ID]],Medical_Examinations!$1:$1048576,9,FALSE)</f>
        <v>2</v>
      </c>
      <c r="I171" t="str">
        <f>VLOOKUP(Medical_Examinations_2[[#This Row],[Customer ID]],Medical_Examinations!$1:$1048576,11,FALSE)</f>
        <v>Yes</v>
      </c>
      <c r="J171" t="str">
        <f>VLOOKUP(Medical_Examinations_2[[#This Row],[Customer ID]],Medical_Examinations!$1:$1048576,3,FALSE)</f>
        <v>Obesity</v>
      </c>
    </row>
    <row r="172" spans="1:10" x14ac:dyDescent="0.25">
      <c r="A172" s="10" t="s">
        <v>195</v>
      </c>
      <c r="B172" t="str">
        <f>VLOOKUP(Customer_Names!A172,Customer_Names!$1:$1048576,4,FALSE)</f>
        <v>Natalie</v>
      </c>
      <c r="C172">
        <f>VLOOKUP(Medical_Examinations_2[[#This Row],[Customer ID]],Medical_Examinations!$1:$1048576,2,FALSE)</f>
        <v>36.08</v>
      </c>
      <c r="D172">
        <f>VLOOKUP(Medical_Examinations_2[[#This Row],[Customer ID]],Medical_Examinations!$1:$1048576,4,FALSE)</f>
        <v>6.1</v>
      </c>
      <c r="E172" t="str">
        <f>VLOOKUP(Medical_Examinations_2[[#This Row],[Customer ID]],Medical_Examinations!$1:$1048576,6,FALSE)</f>
        <v>Yes</v>
      </c>
      <c r="H172">
        <f>VLOOKUP(Medical_Examinations_2[[#This Row],[Customer ID]],Medical_Examinations!$1:$1048576,9,FALSE)</f>
        <v>1</v>
      </c>
      <c r="I172" t="str">
        <f>VLOOKUP(Medical_Examinations_2[[#This Row],[Customer ID]],Medical_Examinations!$1:$1048576,11,FALSE)</f>
        <v>Yes</v>
      </c>
      <c r="J172" t="str">
        <f>VLOOKUP(Medical_Examinations_2[[#This Row],[Customer ID]],Medical_Examinations!$1:$1048576,3,FALSE)</f>
        <v>Obesity</v>
      </c>
    </row>
    <row r="173" spans="1:10" x14ac:dyDescent="0.25">
      <c r="A173" s="11" t="s">
        <v>196</v>
      </c>
      <c r="B173" t="str">
        <f>VLOOKUP(Customer_Names!A173,Customer_Names!$1:$1048576,4,FALSE)</f>
        <v>Lina</v>
      </c>
      <c r="C173">
        <f>VLOOKUP(Medical_Examinations_2[[#This Row],[Customer ID]],Medical_Examinations!$1:$1048576,2,FALSE)</f>
        <v>33.5</v>
      </c>
      <c r="D173">
        <f>VLOOKUP(Medical_Examinations_2[[#This Row],[Customer ID]],Medical_Examinations!$1:$1048576,4,FALSE)</f>
        <v>5.4</v>
      </c>
      <c r="E173" t="str">
        <f>VLOOKUP(Medical_Examinations_2[[#This Row],[Customer ID]],Medical_Examinations!$1:$1048576,6,FALSE)</f>
        <v>No</v>
      </c>
      <c r="H173" t="str">
        <f>VLOOKUP(Medical_Examinations_2[[#This Row],[Customer ID]],Medical_Examinations!$1:$1048576,9,FALSE)</f>
        <v>No major surgery</v>
      </c>
      <c r="I173" t="str">
        <f>VLOOKUP(Medical_Examinations_2[[#This Row],[Customer ID]],Medical_Examinations!$1:$1048576,11,FALSE)</f>
        <v>Yes</v>
      </c>
      <c r="J173" t="str">
        <f>VLOOKUP(Medical_Examinations_2[[#This Row],[Customer ID]],Medical_Examinations!$1:$1048576,3,FALSE)</f>
        <v>Obesity</v>
      </c>
    </row>
    <row r="174" spans="1:10" x14ac:dyDescent="0.25">
      <c r="A174" s="10" t="s">
        <v>197</v>
      </c>
      <c r="B174" t="str">
        <f>VLOOKUP(Customer_Names!A174,Customer_Names!$1:$1048576,4,FALSE)</f>
        <v>Zebulon</v>
      </c>
      <c r="C174">
        <f>VLOOKUP(Medical_Examinations_2[[#This Row],[Customer ID]],Medical_Examinations!$1:$1048576,2,FALSE)</f>
        <v>47.46</v>
      </c>
      <c r="D174">
        <f>VLOOKUP(Medical_Examinations_2[[#This Row],[Customer ID]],Medical_Examinations!$1:$1048576,4,FALSE)</f>
        <v>6.24</v>
      </c>
      <c r="E174" t="str">
        <f>VLOOKUP(Medical_Examinations_2[[#This Row],[Customer ID]],Medical_Examinations!$1:$1048576,6,FALSE)</f>
        <v>Yes</v>
      </c>
      <c r="H174">
        <f>VLOOKUP(Medical_Examinations_2[[#This Row],[Customer ID]],Medical_Examinations!$1:$1048576,9,FALSE)</f>
        <v>1</v>
      </c>
      <c r="I174" t="str">
        <f>VLOOKUP(Medical_Examinations_2[[#This Row],[Customer ID]],Medical_Examinations!$1:$1048576,11,FALSE)</f>
        <v>Yes</v>
      </c>
      <c r="J174" t="str">
        <f>VLOOKUP(Medical_Examinations_2[[#This Row],[Customer ID]],Medical_Examinations!$1:$1048576,3,FALSE)</f>
        <v>Obesity</v>
      </c>
    </row>
    <row r="175" spans="1:10" x14ac:dyDescent="0.25">
      <c r="A175" s="11" t="s">
        <v>198</v>
      </c>
      <c r="B175" t="str">
        <f>VLOOKUP(Customer_Names!A175,Customer_Names!$1:$1048576,4,FALSE)</f>
        <v>Amanda</v>
      </c>
      <c r="C175">
        <f>VLOOKUP(Medical_Examinations_2[[#This Row],[Customer ID]],Medical_Examinations!$1:$1048576,2,FALSE)</f>
        <v>49.24</v>
      </c>
      <c r="D175">
        <f>VLOOKUP(Medical_Examinations_2[[#This Row],[Customer ID]],Medical_Examinations!$1:$1048576,4,FALSE)</f>
        <v>4.45</v>
      </c>
      <c r="E175" t="str">
        <f>VLOOKUP(Medical_Examinations_2[[#This Row],[Customer ID]],Medical_Examinations!$1:$1048576,6,FALSE)</f>
        <v>No</v>
      </c>
      <c r="H175" t="str">
        <f>VLOOKUP(Medical_Examinations_2[[#This Row],[Customer ID]],Medical_Examinations!$1:$1048576,9,FALSE)</f>
        <v>No major surgery</v>
      </c>
      <c r="I175" t="str">
        <f>VLOOKUP(Medical_Examinations_2[[#This Row],[Customer ID]],Medical_Examinations!$1:$1048576,11,FALSE)</f>
        <v>Yes</v>
      </c>
      <c r="J175" t="str">
        <f>VLOOKUP(Medical_Examinations_2[[#This Row],[Customer ID]],Medical_Examinations!$1:$1048576,3,FALSE)</f>
        <v>Obesity</v>
      </c>
    </row>
    <row r="176" spans="1:10" x14ac:dyDescent="0.25">
      <c r="A176" s="10" t="s">
        <v>200</v>
      </c>
      <c r="B176" t="str">
        <f>VLOOKUP(Customer_Names!A176,Customer_Names!$1:$1048576,4,FALSE)</f>
        <v>Greg</v>
      </c>
      <c r="C176">
        <f>VLOOKUP(Medical_Examinations_2[[#This Row],[Customer ID]],Medical_Examinations!$1:$1048576,2,FALSE)</f>
        <v>54.4</v>
      </c>
      <c r="D176">
        <f>VLOOKUP(Medical_Examinations_2[[#This Row],[Customer ID]],Medical_Examinations!$1:$1048576,4,FALSE)</f>
        <v>5.22</v>
      </c>
      <c r="E176" t="str">
        <f>VLOOKUP(Medical_Examinations_2[[#This Row],[Customer ID]],Medical_Examinations!$1:$1048576,6,FALSE)</f>
        <v>No</v>
      </c>
      <c r="H176">
        <f>VLOOKUP(Medical_Examinations_2[[#This Row],[Customer ID]],Medical_Examinations!$1:$1048576,9,FALSE)</f>
        <v>1</v>
      </c>
      <c r="I176" t="str">
        <f>VLOOKUP(Medical_Examinations_2[[#This Row],[Customer ID]],Medical_Examinations!$1:$1048576,11,FALSE)</f>
        <v>Yes</v>
      </c>
      <c r="J176" t="str">
        <f>VLOOKUP(Medical_Examinations_2[[#This Row],[Customer ID]],Medical_Examinations!$1:$1048576,3,FALSE)</f>
        <v>Obesity</v>
      </c>
    </row>
    <row r="177" spans="1:10" x14ac:dyDescent="0.25">
      <c r="A177" s="11" t="s">
        <v>201</v>
      </c>
      <c r="B177" t="str">
        <f>VLOOKUP(Customer_Names!A177,Customer_Names!$1:$1048576,4,FALSE)</f>
        <v>John</v>
      </c>
      <c r="C177">
        <f>VLOOKUP(Medical_Examinations_2[[#This Row],[Customer ID]],Medical_Examinations!$1:$1048576,2,FALSE)</f>
        <v>35.53</v>
      </c>
      <c r="D177">
        <f>VLOOKUP(Medical_Examinations_2[[#This Row],[Customer ID]],Medical_Examinations!$1:$1048576,4,FALSE)</f>
        <v>4.6100000000000003</v>
      </c>
      <c r="E177" t="str">
        <f>VLOOKUP(Medical_Examinations_2[[#This Row],[Customer ID]],Medical_Examinations!$1:$1048576,6,FALSE)</f>
        <v>No</v>
      </c>
      <c r="H177">
        <f>VLOOKUP(Medical_Examinations_2[[#This Row],[Customer ID]],Medical_Examinations!$1:$1048576,9,FALSE)</f>
        <v>1</v>
      </c>
      <c r="I177" t="str">
        <f>VLOOKUP(Medical_Examinations_2[[#This Row],[Customer ID]],Medical_Examinations!$1:$1048576,11,FALSE)</f>
        <v>Yes</v>
      </c>
      <c r="J177" t="str">
        <f>VLOOKUP(Medical_Examinations_2[[#This Row],[Customer ID]],Medical_Examinations!$1:$1048576,3,FALSE)</f>
        <v>Obesity</v>
      </c>
    </row>
    <row r="178" spans="1:10" x14ac:dyDescent="0.25">
      <c r="A178" s="10" t="s">
        <v>202</v>
      </c>
      <c r="B178" t="str">
        <f>VLOOKUP(Customer_Names!A178,Customer_Names!$1:$1048576,4,FALSE)</f>
        <v>Kelsey A.</v>
      </c>
      <c r="C178">
        <f>VLOOKUP(Medical_Examinations_2[[#This Row],[Customer ID]],Medical_Examinations!$1:$1048576,2,FALSE)</f>
        <v>39.729999999999997</v>
      </c>
      <c r="D178">
        <f>VLOOKUP(Medical_Examinations_2[[#This Row],[Customer ID]],Medical_Examinations!$1:$1048576,4,FALSE)</f>
        <v>6.24</v>
      </c>
      <c r="E178" t="str">
        <f>VLOOKUP(Medical_Examinations_2[[#This Row],[Customer ID]],Medical_Examinations!$1:$1048576,6,FALSE)</f>
        <v>No</v>
      </c>
      <c r="H178" t="str">
        <f>VLOOKUP(Medical_Examinations_2[[#This Row],[Customer ID]],Medical_Examinations!$1:$1048576,9,FALSE)</f>
        <v>No major surgery</v>
      </c>
      <c r="I178" t="str">
        <f>VLOOKUP(Medical_Examinations_2[[#This Row],[Customer ID]],Medical_Examinations!$1:$1048576,11,FALSE)</f>
        <v>Yes</v>
      </c>
      <c r="J178" t="str">
        <f>VLOOKUP(Medical_Examinations_2[[#This Row],[Customer ID]],Medical_Examinations!$1:$1048576,3,FALSE)</f>
        <v>Obesity</v>
      </c>
    </row>
    <row r="179" spans="1:10" x14ac:dyDescent="0.25">
      <c r="A179" s="11" t="s">
        <v>203</v>
      </c>
      <c r="B179" t="str">
        <f>VLOOKUP(Customer_Names!A179,Customer_Names!$1:$1048576,4,FALSE)</f>
        <v>Ms.  Bronwen L</v>
      </c>
      <c r="C179">
        <f>VLOOKUP(Medical_Examinations_2[[#This Row],[Customer ID]],Medical_Examinations!$1:$1048576,2,FALSE)</f>
        <v>35.68</v>
      </c>
      <c r="D179">
        <f>VLOOKUP(Medical_Examinations_2[[#This Row],[Customer ID]],Medical_Examinations!$1:$1048576,4,FALSE)</f>
        <v>10.039999999999999</v>
      </c>
      <c r="E179" t="str">
        <f>VLOOKUP(Medical_Examinations_2[[#This Row],[Customer ID]],Medical_Examinations!$1:$1048576,6,FALSE)</f>
        <v>No</v>
      </c>
      <c r="H179" t="str">
        <f>VLOOKUP(Medical_Examinations_2[[#This Row],[Customer ID]],Medical_Examinations!$1:$1048576,9,FALSE)</f>
        <v>No major surgery</v>
      </c>
      <c r="I179" t="str">
        <f>VLOOKUP(Medical_Examinations_2[[#This Row],[Customer ID]],Medical_Examinations!$1:$1048576,11,FALSE)</f>
        <v>Yes</v>
      </c>
      <c r="J179" t="str">
        <f>VLOOKUP(Medical_Examinations_2[[#This Row],[Customer ID]],Medical_Examinations!$1:$1048576,3,FALSE)</f>
        <v>Obesity</v>
      </c>
    </row>
    <row r="180" spans="1:10" x14ac:dyDescent="0.25">
      <c r="A180" s="10" t="s">
        <v>204</v>
      </c>
      <c r="B180" t="str">
        <f>VLOOKUP(Customer_Names!A180,Customer_Names!$1:$1048576,4,FALSE)</f>
        <v>Manuela</v>
      </c>
      <c r="C180">
        <f>VLOOKUP(Medical_Examinations_2[[#This Row],[Customer ID]],Medical_Examinations!$1:$1048576,2,FALSE)</f>
        <v>48.86</v>
      </c>
      <c r="D180">
        <f>VLOOKUP(Medical_Examinations_2[[#This Row],[Customer ID]],Medical_Examinations!$1:$1048576,4,FALSE)</f>
        <v>6.09</v>
      </c>
      <c r="E180" t="str">
        <f>VLOOKUP(Medical_Examinations_2[[#This Row],[Customer ID]],Medical_Examinations!$1:$1048576,6,FALSE)</f>
        <v>No</v>
      </c>
      <c r="H180" t="str">
        <f>VLOOKUP(Medical_Examinations_2[[#This Row],[Customer ID]],Medical_Examinations!$1:$1048576,9,FALSE)</f>
        <v>No major surgery</v>
      </c>
      <c r="I180" t="str">
        <f>VLOOKUP(Medical_Examinations_2[[#This Row],[Customer ID]],Medical_Examinations!$1:$1048576,11,FALSE)</f>
        <v>Yes</v>
      </c>
      <c r="J180" t="str">
        <f>VLOOKUP(Medical_Examinations_2[[#This Row],[Customer ID]],Medical_Examinations!$1:$1048576,3,FALSE)</f>
        <v>Obesity</v>
      </c>
    </row>
    <row r="181" spans="1:10" x14ac:dyDescent="0.25">
      <c r="A181" s="11" t="s">
        <v>205</v>
      </c>
      <c r="B181" t="str">
        <f>VLOOKUP(Customer_Names!A181,Customer_Names!$1:$1048576,4,FALSE)</f>
        <v>Jennifer L</v>
      </c>
      <c r="C181">
        <f>VLOOKUP(Medical_Examinations_2[[#This Row],[Customer ID]],Medical_Examinations!$1:$1048576,2,FALSE)</f>
        <v>34.799999999999997</v>
      </c>
      <c r="D181">
        <f>VLOOKUP(Medical_Examinations_2[[#This Row],[Customer ID]],Medical_Examinations!$1:$1048576,4,FALSE)</f>
        <v>11.4</v>
      </c>
      <c r="E181" t="str">
        <f>VLOOKUP(Medical_Examinations_2[[#This Row],[Customer ID]],Medical_Examinations!$1:$1048576,6,FALSE)</f>
        <v>Yes</v>
      </c>
      <c r="H181">
        <f>VLOOKUP(Medical_Examinations_2[[#This Row],[Customer ID]],Medical_Examinations!$1:$1048576,9,FALSE)</f>
        <v>1</v>
      </c>
      <c r="I181" t="str">
        <f>VLOOKUP(Medical_Examinations_2[[#This Row],[Customer ID]],Medical_Examinations!$1:$1048576,11,FALSE)</f>
        <v>No</v>
      </c>
      <c r="J181" t="str">
        <f>VLOOKUP(Medical_Examinations_2[[#This Row],[Customer ID]],Medical_Examinations!$1:$1048576,3,FALSE)</f>
        <v>Obesity</v>
      </c>
    </row>
    <row r="182" spans="1:10" x14ac:dyDescent="0.25">
      <c r="A182" s="10" t="s">
        <v>206</v>
      </c>
      <c r="B182" t="str">
        <f>VLOOKUP(Customer_Names!A182,Customer_Names!$1:$1048576,4,FALSE)</f>
        <v>Abby W.</v>
      </c>
      <c r="C182">
        <f>VLOOKUP(Medical_Examinations_2[[#This Row],[Customer ID]],Medical_Examinations!$1:$1048576,2,FALSE)</f>
        <v>32.49</v>
      </c>
      <c r="D182">
        <f>VLOOKUP(Medical_Examinations_2[[#This Row],[Customer ID]],Medical_Examinations!$1:$1048576,4,FALSE)</f>
        <v>4.29</v>
      </c>
      <c r="E182" t="str">
        <f>VLOOKUP(Medical_Examinations_2[[#This Row],[Customer ID]],Medical_Examinations!$1:$1048576,6,FALSE)</f>
        <v>No</v>
      </c>
      <c r="H182">
        <f>VLOOKUP(Medical_Examinations_2[[#This Row],[Customer ID]],Medical_Examinations!$1:$1048576,9,FALSE)</f>
        <v>1</v>
      </c>
      <c r="I182" t="str">
        <f>VLOOKUP(Medical_Examinations_2[[#This Row],[Customer ID]],Medical_Examinations!$1:$1048576,11,FALSE)</f>
        <v>Yes</v>
      </c>
      <c r="J182" t="str">
        <f>VLOOKUP(Medical_Examinations_2[[#This Row],[Customer ID]],Medical_Examinations!$1:$1048576,3,FALSE)</f>
        <v>Obesity</v>
      </c>
    </row>
    <row r="183" spans="1:10" x14ac:dyDescent="0.25">
      <c r="A183" s="11" t="s">
        <v>207</v>
      </c>
      <c r="B183" t="str">
        <f>VLOOKUP(Customer_Names!A183,Customer_Names!$1:$1048576,4,FALSE)</f>
        <v>Tyler</v>
      </c>
      <c r="C183">
        <f>VLOOKUP(Medical_Examinations_2[[#This Row],[Customer ID]],Medical_Examinations!$1:$1048576,2,FALSE)</f>
        <v>39</v>
      </c>
      <c r="D183">
        <f>VLOOKUP(Medical_Examinations_2[[#This Row],[Customer ID]],Medical_Examinations!$1:$1048576,4,FALSE)</f>
        <v>5.7</v>
      </c>
      <c r="E183" t="str">
        <f>VLOOKUP(Medical_Examinations_2[[#This Row],[Customer ID]],Medical_Examinations!$1:$1048576,6,FALSE)</f>
        <v>No</v>
      </c>
      <c r="H183">
        <f>VLOOKUP(Medical_Examinations_2[[#This Row],[Customer ID]],Medical_Examinations!$1:$1048576,9,FALSE)</f>
        <v>2</v>
      </c>
      <c r="I183" t="str">
        <f>VLOOKUP(Medical_Examinations_2[[#This Row],[Customer ID]],Medical_Examinations!$1:$1048576,11,FALSE)</f>
        <v>Yes</v>
      </c>
      <c r="J183" t="str">
        <f>VLOOKUP(Medical_Examinations_2[[#This Row],[Customer ID]],Medical_Examinations!$1:$1048576,3,FALSE)</f>
        <v>Obesity</v>
      </c>
    </row>
    <row r="184" spans="1:10" x14ac:dyDescent="0.25">
      <c r="A184" s="10" t="s">
        <v>208</v>
      </c>
      <c r="B184" t="str">
        <f>VLOOKUP(Customer_Names!A184,Customer_Names!$1:$1048576,4,FALSE)</f>
        <v>Jeffrey</v>
      </c>
      <c r="C184">
        <f>VLOOKUP(Medical_Examinations_2[[#This Row],[Customer ID]],Medical_Examinations!$1:$1048576,2,FALSE)</f>
        <v>35.299999999999997</v>
      </c>
      <c r="D184">
        <f>VLOOKUP(Medical_Examinations_2[[#This Row],[Customer ID]],Medical_Examinations!$1:$1048576,4,FALSE)</f>
        <v>6.09</v>
      </c>
      <c r="E184" t="str">
        <f>VLOOKUP(Medical_Examinations_2[[#This Row],[Customer ID]],Medical_Examinations!$1:$1048576,6,FALSE)</f>
        <v>No</v>
      </c>
      <c r="H184">
        <f>VLOOKUP(Medical_Examinations_2[[#This Row],[Customer ID]],Medical_Examinations!$1:$1048576,9,FALSE)</f>
        <v>1</v>
      </c>
      <c r="I184" t="str">
        <f>VLOOKUP(Medical_Examinations_2[[#This Row],[Customer ID]],Medical_Examinations!$1:$1048576,11,FALSE)</f>
        <v>Yes</v>
      </c>
      <c r="J184" t="str">
        <f>VLOOKUP(Medical_Examinations_2[[#This Row],[Customer ID]],Medical_Examinations!$1:$1048576,3,FALSE)</f>
        <v>Obesity</v>
      </c>
    </row>
    <row r="185" spans="1:10" x14ac:dyDescent="0.25">
      <c r="A185" s="11" t="s">
        <v>209</v>
      </c>
      <c r="B185" t="str">
        <f>VLOOKUP(Customer_Names!A185,Customer_Names!$1:$1048576,4,FALSE)</f>
        <v>Matthew F</v>
      </c>
      <c r="C185">
        <f>VLOOKUP(Medical_Examinations_2[[#This Row],[Customer ID]],Medical_Examinations!$1:$1048576,2,FALSE)</f>
        <v>33.42</v>
      </c>
      <c r="D185">
        <f>VLOOKUP(Medical_Examinations_2[[#This Row],[Customer ID]],Medical_Examinations!$1:$1048576,4,FALSE)</f>
        <v>10.67</v>
      </c>
      <c r="E185" t="str">
        <f>VLOOKUP(Medical_Examinations_2[[#This Row],[Customer ID]],Medical_Examinations!$1:$1048576,6,FALSE)</f>
        <v>No</v>
      </c>
      <c r="H185" t="str">
        <f>VLOOKUP(Medical_Examinations_2[[#This Row],[Customer ID]],Medical_Examinations!$1:$1048576,9,FALSE)</f>
        <v>No major surgery</v>
      </c>
      <c r="I185" t="str">
        <f>VLOOKUP(Medical_Examinations_2[[#This Row],[Customer ID]],Medical_Examinations!$1:$1048576,11,FALSE)</f>
        <v>Yes</v>
      </c>
      <c r="J185" t="str">
        <f>VLOOKUP(Medical_Examinations_2[[#This Row],[Customer ID]],Medical_Examinations!$1:$1048576,3,FALSE)</f>
        <v>Obesity</v>
      </c>
    </row>
    <row r="186" spans="1:10" x14ac:dyDescent="0.25">
      <c r="A186" s="10" t="s">
        <v>210</v>
      </c>
      <c r="B186" t="str">
        <f>VLOOKUP(Customer_Names!A186,Customer_Names!$1:$1048576,4,FALSE)</f>
        <v>Ryan J.</v>
      </c>
      <c r="C186">
        <f>VLOOKUP(Medical_Examinations_2[[#This Row],[Customer ID]],Medical_Examinations!$1:$1048576,2,FALSE)</f>
        <v>37.18</v>
      </c>
      <c r="D186">
        <f>VLOOKUP(Medical_Examinations_2[[#This Row],[Customer ID]],Medical_Examinations!$1:$1048576,4,FALSE)</f>
        <v>6.75</v>
      </c>
      <c r="E186" t="str">
        <f>VLOOKUP(Medical_Examinations_2[[#This Row],[Customer ID]],Medical_Examinations!$1:$1048576,6,FALSE)</f>
        <v>Yes</v>
      </c>
      <c r="H186">
        <f>VLOOKUP(Medical_Examinations_2[[#This Row],[Customer ID]],Medical_Examinations!$1:$1048576,9,FALSE)</f>
        <v>2</v>
      </c>
      <c r="I186" t="str">
        <f>VLOOKUP(Medical_Examinations_2[[#This Row],[Customer ID]],Medical_Examinations!$1:$1048576,11,FALSE)</f>
        <v>Yes</v>
      </c>
      <c r="J186" t="str">
        <f>VLOOKUP(Medical_Examinations_2[[#This Row],[Customer ID]],Medical_Examinations!$1:$1048576,3,FALSE)</f>
        <v>Obesity</v>
      </c>
    </row>
    <row r="187" spans="1:10" x14ac:dyDescent="0.25">
      <c r="A187" s="11" t="s">
        <v>211</v>
      </c>
      <c r="B187" t="str">
        <f>VLOOKUP(Customer_Names!A187,Customer_Names!$1:$1048576,4,FALSE)</f>
        <v>Amy</v>
      </c>
      <c r="C187">
        <f>VLOOKUP(Medical_Examinations_2[[#This Row],[Customer ID]],Medical_Examinations!$1:$1048576,2,FALSE)</f>
        <v>33.33</v>
      </c>
      <c r="D187">
        <f>VLOOKUP(Medical_Examinations_2[[#This Row],[Customer ID]],Medical_Examinations!$1:$1048576,4,FALSE)</f>
        <v>9.26</v>
      </c>
      <c r="E187" t="str">
        <f>VLOOKUP(Medical_Examinations_2[[#This Row],[Customer ID]],Medical_Examinations!$1:$1048576,6,FALSE)</f>
        <v>Yes</v>
      </c>
      <c r="H187">
        <f>VLOOKUP(Medical_Examinations_2[[#This Row],[Customer ID]],Medical_Examinations!$1:$1048576,9,FALSE)</f>
        <v>2</v>
      </c>
      <c r="I187" t="str">
        <f>VLOOKUP(Medical_Examinations_2[[#This Row],[Customer ID]],Medical_Examinations!$1:$1048576,11,FALSE)</f>
        <v>No</v>
      </c>
      <c r="J187" t="str">
        <f>VLOOKUP(Medical_Examinations_2[[#This Row],[Customer ID]],Medical_Examinations!$1:$1048576,3,FALSE)</f>
        <v>Obesity</v>
      </c>
    </row>
    <row r="188" spans="1:10" x14ac:dyDescent="0.25">
      <c r="A188" s="10" t="s">
        <v>212</v>
      </c>
      <c r="B188" t="str">
        <f>VLOOKUP(Customer_Names!A188,Customer_Names!$1:$1048576,4,FALSE)</f>
        <v>Andrew P</v>
      </c>
      <c r="C188">
        <f>VLOOKUP(Medical_Examinations_2[[#This Row],[Customer ID]],Medical_Examinations!$1:$1048576,2,FALSE)</f>
        <v>53.21</v>
      </c>
      <c r="D188">
        <f>VLOOKUP(Medical_Examinations_2[[#This Row],[Customer ID]],Medical_Examinations!$1:$1048576,4,FALSE)</f>
        <v>4.2699999999999996</v>
      </c>
      <c r="E188" t="str">
        <f>VLOOKUP(Medical_Examinations_2[[#This Row],[Customer ID]],Medical_Examinations!$1:$1048576,6,FALSE)</f>
        <v>No</v>
      </c>
      <c r="H188">
        <f>VLOOKUP(Medical_Examinations_2[[#This Row],[Customer ID]],Medical_Examinations!$1:$1048576,9,FALSE)</f>
        <v>1</v>
      </c>
      <c r="I188" t="str">
        <f>VLOOKUP(Medical_Examinations_2[[#This Row],[Customer ID]],Medical_Examinations!$1:$1048576,11,FALSE)</f>
        <v>Yes</v>
      </c>
      <c r="J188" t="str">
        <f>VLOOKUP(Medical_Examinations_2[[#This Row],[Customer ID]],Medical_Examinations!$1:$1048576,3,FALSE)</f>
        <v>Obesity</v>
      </c>
    </row>
    <row r="189" spans="1:10" x14ac:dyDescent="0.25">
      <c r="A189" s="11" t="s">
        <v>213</v>
      </c>
      <c r="B189" t="str">
        <f>VLOOKUP(Customer_Names!A189,Customer_Names!$1:$1048576,4,FALSE)</f>
        <v>George M. V</v>
      </c>
      <c r="C189">
        <f>VLOOKUP(Medical_Examinations_2[[#This Row],[Customer ID]],Medical_Examinations!$1:$1048576,2,FALSE)</f>
        <v>38.729999999999997</v>
      </c>
      <c r="D189">
        <f>VLOOKUP(Medical_Examinations_2[[#This Row],[Customer ID]],Medical_Examinations!$1:$1048576,4,FALSE)</f>
        <v>11.51</v>
      </c>
      <c r="E189" t="str">
        <f>VLOOKUP(Medical_Examinations_2[[#This Row],[Customer ID]],Medical_Examinations!$1:$1048576,6,FALSE)</f>
        <v>No</v>
      </c>
      <c r="H189">
        <f>VLOOKUP(Medical_Examinations_2[[#This Row],[Customer ID]],Medical_Examinations!$1:$1048576,9,FALSE)</f>
        <v>2</v>
      </c>
      <c r="I189" t="str">
        <f>VLOOKUP(Medical_Examinations_2[[#This Row],[Customer ID]],Medical_Examinations!$1:$1048576,11,FALSE)</f>
        <v>Yes</v>
      </c>
      <c r="J189" t="str">
        <f>VLOOKUP(Medical_Examinations_2[[#This Row],[Customer ID]],Medical_Examinations!$1:$1048576,3,FALSE)</f>
        <v>Obesity</v>
      </c>
    </row>
    <row r="190" spans="1:10" x14ac:dyDescent="0.25">
      <c r="A190" s="10" t="s">
        <v>214</v>
      </c>
      <c r="B190" t="str">
        <f>VLOOKUP(Customer_Names!A190,Customer_Names!$1:$1048576,4,FALSE)</f>
        <v>Sarah</v>
      </c>
      <c r="C190">
        <f>VLOOKUP(Medical_Examinations_2[[#This Row],[Customer ID]],Medical_Examinations!$1:$1048576,2,FALSE)</f>
        <v>29.73</v>
      </c>
      <c r="D190">
        <f>VLOOKUP(Medical_Examinations_2[[#This Row],[Customer ID]],Medical_Examinations!$1:$1048576,4,FALSE)</f>
        <v>7.22</v>
      </c>
      <c r="E190" t="str">
        <f>VLOOKUP(Medical_Examinations_2[[#This Row],[Customer ID]],Medical_Examinations!$1:$1048576,6,FALSE)</f>
        <v>No</v>
      </c>
      <c r="H190" t="str">
        <f>VLOOKUP(Medical_Examinations_2[[#This Row],[Customer ID]],Medical_Examinations!$1:$1048576,9,FALSE)</f>
        <v>No major surgery</v>
      </c>
      <c r="I190" t="str">
        <f>VLOOKUP(Medical_Examinations_2[[#This Row],[Customer ID]],Medical_Examinations!$1:$1048576,11,FALSE)</f>
        <v>Yes</v>
      </c>
      <c r="J190" t="str">
        <f>VLOOKUP(Medical_Examinations_2[[#This Row],[Customer ID]],Medical_Examinations!$1:$1048576,3,FALSE)</f>
        <v>Over weight</v>
      </c>
    </row>
    <row r="191" spans="1:10" x14ac:dyDescent="0.25">
      <c r="A191" s="11" t="s">
        <v>215</v>
      </c>
      <c r="B191" t="str">
        <f>VLOOKUP(Customer_Names!A191,Customer_Names!$1:$1048576,4,FALSE)</f>
        <v>Lara</v>
      </c>
      <c r="C191">
        <f>VLOOKUP(Medical_Examinations_2[[#This Row],[Customer ID]],Medical_Examinations!$1:$1048576,2,FALSE)</f>
        <v>34.700000000000003</v>
      </c>
      <c r="D191">
        <f>VLOOKUP(Medical_Examinations_2[[#This Row],[Customer ID]],Medical_Examinations!$1:$1048576,4,FALSE)</f>
        <v>4.37</v>
      </c>
      <c r="E191" t="str">
        <f>VLOOKUP(Medical_Examinations_2[[#This Row],[Customer ID]],Medical_Examinations!$1:$1048576,6,FALSE)</f>
        <v>No</v>
      </c>
      <c r="H191">
        <f>VLOOKUP(Medical_Examinations_2[[#This Row],[Customer ID]],Medical_Examinations!$1:$1048576,9,FALSE)</f>
        <v>1</v>
      </c>
      <c r="I191" t="str">
        <f>VLOOKUP(Medical_Examinations_2[[#This Row],[Customer ID]],Medical_Examinations!$1:$1048576,11,FALSE)</f>
        <v>Yes</v>
      </c>
      <c r="J191" t="str">
        <f>VLOOKUP(Medical_Examinations_2[[#This Row],[Customer ID]],Medical_Examinations!$1:$1048576,3,FALSE)</f>
        <v>Obesity</v>
      </c>
    </row>
    <row r="192" spans="1:10" x14ac:dyDescent="0.25">
      <c r="A192" s="10" t="s">
        <v>216</v>
      </c>
      <c r="B192" t="str">
        <f>VLOOKUP(Customer_Names!A192,Customer_Names!$1:$1048576,4,FALSE)</f>
        <v>Sebastien</v>
      </c>
      <c r="C192">
        <f>VLOOKUP(Medical_Examinations_2[[#This Row],[Customer ID]],Medical_Examinations!$1:$1048576,2,FALSE)</f>
        <v>38.28</v>
      </c>
      <c r="D192">
        <f>VLOOKUP(Medical_Examinations_2[[#This Row],[Customer ID]],Medical_Examinations!$1:$1048576,4,FALSE)</f>
        <v>11.56</v>
      </c>
      <c r="E192" t="str">
        <f>VLOOKUP(Medical_Examinations_2[[#This Row],[Customer ID]],Medical_Examinations!$1:$1048576,6,FALSE)</f>
        <v>Yes</v>
      </c>
      <c r="H192">
        <f>VLOOKUP(Medical_Examinations_2[[#This Row],[Customer ID]],Medical_Examinations!$1:$1048576,9,FALSE)</f>
        <v>1</v>
      </c>
      <c r="I192" t="str">
        <f>VLOOKUP(Medical_Examinations_2[[#This Row],[Customer ID]],Medical_Examinations!$1:$1048576,11,FALSE)</f>
        <v>Yes</v>
      </c>
      <c r="J192" t="str">
        <f>VLOOKUP(Medical_Examinations_2[[#This Row],[Customer ID]],Medical_Examinations!$1:$1048576,3,FALSE)</f>
        <v>Obesity</v>
      </c>
    </row>
    <row r="193" spans="1:10" x14ac:dyDescent="0.25">
      <c r="A193" s="11" t="s">
        <v>217</v>
      </c>
      <c r="B193" t="str">
        <f>VLOOKUP(Customer_Names!A193,Customer_Names!$1:$1048576,4,FALSE)</f>
        <v>Padraig</v>
      </c>
      <c r="C193">
        <f>VLOOKUP(Medical_Examinations_2[[#This Row],[Customer ID]],Medical_Examinations!$1:$1048576,2,FALSE)</f>
        <v>33.57</v>
      </c>
      <c r="D193">
        <f>VLOOKUP(Medical_Examinations_2[[#This Row],[Customer ID]],Medical_Examinations!$1:$1048576,4,FALSE)</f>
        <v>8.82</v>
      </c>
      <c r="E193" t="str">
        <f>VLOOKUP(Medical_Examinations_2[[#This Row],[Customer ID]],Medical_Examinations!$1:$1048576,6,FALSE)</f>
        <v>Yes</v>
      </c>
      <c r="H193" t="str">
        <f>VLOOKUP(Medical_Examinations_2[[#This Row],[Customer ID]],Medical_Examinations!$1:$1048576,9,FALSE)</f>
        <v>No major surgery</v>
      </c>
      <c r="I193" t="str">
        <f>VLOOKUP(Medical_Examinations_2[[#This Row],[Customer ID]],Medical_Examinations!$1:$1048576,11,FALSE)</f>
        <v>Yes</v>
      </c>
      <c r="J193" t="str">
        <f>VLOOKUP(Medical_Examinations_2[[#This Row],[Customer ID]],Medical_Examinations!$1:$1048576,3,FALSE)</f>
        <v>Obesity</v>
      </c>
    </row>
    <row r="194" spans="1:10" x14ac:dyDescent="0.25">
      <c r="A194" s="10" t="s">
        <v>218</v>
      </c>
      <c r="B194" t="str">
        <f>VLOOKUP(Customer_Names!A194,Customer_Names!$1:$1048576,4,FALSE)</f>
        <v>Heather</v>
      </c>
      <c r="C194">
        <f>VLOOKUP(Medical_Examinations_2[[#This Row],[Customer ID]],Medical_Examinations!$1:$1048576,2,FALSE)</f>
        <v>52.06</v>
      </c>
      <c r="D194">
        <f>VLOOKUP(Medical_Examinations_2[[#This Row],[Customer ID]],Medical_Examinations!$1:$1048576,4,FALSE)</f>
        <v>4.6900000000000004</v>
      </c>
      <c r="E194" t="str">
        <f>VLOOKUP(Medical_Examinations_2[[#This Row],[Customer ID]],Medical_Examinations!$1:$1048576,6,FALSE)</f>
        <v>No</v>
      </c>
      <c r="H194">
        <f>VLOOKUP(Medical_Examinations_2[[#This Row],[Customer ID]],Medical_Examinations!$1:$1048576,9,FALSE)</f>
        <v>1</v>
      </c>
      <c r="I194" t="str">
        <f>VLOOKUP(Medical_Examinations_2[[#This Row],[Customer ID]],Medical_Examinations!$1:$1048576,11,FALSE)</f>
        <v>Yes</v>
      </c>
      <c r="J194" t="str">
        <f>VLOOKUP(Medical_Examinations_2[[#This Row],[Customer ID]],Medical_Examinations!$1:$1048576,3,FALSE)</f>
        <v>Obesity</v>
      </c>
    </row>
    <row r="195" spans="1:10" x14ac:dyDescent="0.25">
      <c r="A195" s="11" t="s">
        <v>219</v>
      </c>
      <c r="B195" t="str">
        <f>VLOOKUP(Customer_Names!A195,Customer_Names!$1:$1048576,4,FALSE)</f>
        <v>Mr.  Jorge</v>
      </c>
      <c r="C195">
        <f>VLOOKUP(Medical_Examinations_2[[#This Row],[Customer ID]],Medical_Examinations!$1:$1048576,2,FALSE)</f>
        <v>38.17</v>
      </c>
      <c r="D195">
        <f>VLOOKUP(Medical_Examinations_2[[#This Row],[Customer ID]],Medical_Examinations!$1:$1048576,4,FALSE)</f>
        <v>4.53</v>
      </c>
      <c r="E195" t="str">
        <f>VLOOKUP(Medical_Examinations_2[[#This Row],[Customer ID]],Medical_Examinations!$1:$1048576,6,FALSE)</f>
        <v>No</v>
      </c>
      <c r="H195">
        <f>VLOOKUP(Medical_Examinations_2[[#This Row],[Customer ID]],Medical_Examinations!$1:$1048576,9,FALSE)</f>
        <v>1</v>
      </c>
      <c r="I195" t="str">
        <f>VLOOKUP(Medical_Examinations_2[[#This Row],[Customer ID]],Medical_Examinations!$1:$1048576,11,FALSE)</f>
        <v>Yes</v>
      </c>
      <c r="J195" t="str">
        <f>VLOOKUP(Medical_Examinations_2[[#This Row],[Customer ID]],Medical_Examinations!$1:$1048576,3,FALSE)</f>
        <v>Obesity</v>
      </c>
    </row>
    <row r="196" spans="1:10" x14ac:dyDescent="0.25">
      <c r="A196" s="10" t="s">
        <v>220</v>
      </c>
      <c r="B196" t="str">
        <f>VLOOKUP(Customer_Names!A196,Customer_Names!$1:$1048576,4,FALSE)</f>
        <v>Jack R</v>
      </c>
      <c r="C196">
        <f>VLOOKUP(Medical_Examinations_2[[#This Row],[Customer ID]],Medical_Examinations!$1:$1048576,2,FALSE)</f>
        <v>36.954999999999998</v>
      </c>
      <c r="D196">
        <f>VLOOKUP(Medical_Examinations_2[[#This Row],[Customer ID]],Medical_Examinations!$1:$1048576,4,FALSE)</f>
        <v>5.84</v>
      </c>
      <c r="E196" t="str">
        <f>VLOOKUP(Medical_Examinations_2[[#This Row],[Customer ID]],Medical_Examinations!$1:$1048576,6,FALSE)</f>
        <v>No</v>
      </c>
      <c r="H196">
        <f>VLOOKUP(Medical_Examinations_2[[#This Row],[Customer ID]],Medical_Examinations!$1:$1048576,9,FALSE)</f>
        <v>1</v>
      </c>
      <c r="I196" t="str">
        <f>VLOOKUP(Medical_Examinations_2[[#This Row],[Customer ID]],Medical_Examinations!$1:$1048576,11,FALSE)</f>
        <v>Yes</v>
      </c>
      <c r="J196" t="str">
        <f>VLOOKUP(Medical_Examinations_2[[#This Row],[Customer ID]],Medical_Examinations!$1:$1048576,3,FALSE)</f>
        <v>Obesity</v>
      </c>
    </row>
    <row r="197" spans="1:10" x14ac:dyDescent="0.25">
      <c r="A197" s="11" t="s">
        <v>221</v>
      </c>
      <c r="B197" t="str">
        <f>VLOOKUP(Customer_Names!A197,Customer_Names!$1:$1048576,4,FALSE)</f>
        <v>Felix</v>
      </c>
      <c r="C197">
        <f>VLOOKUP(Medical_Examinations_2[[#This Row],[Customer ID]],Medical_Examinations!$1:$1048576,2,FALSE)</f>
        <v>34.4</v>
      </c>
      <c r="D197">
        <f>VLOOKUP(Medical_Examinations_2[[#This Row],[Customer ID]],Medical_Examinations!$1:$1048576,4,FALSE)</f>
        <v>4.9000000000000004</v>
      </c>
      <c r="E197" t="str">
        <f>VLOOKUP(Medical_Examinations_2[[#This Row],[Customer ID]],Medical_Examinations!$1:$1048576,6,FALSE)</f>
        <v>No</v>
      </c>
      <c r="H197">
        <f>VLOOKUP(Medical_Examinations_2[[#This Row],[Customer ID]],Medical_Examinations!$1:$1048576,9,FALSE)</f>
        <v>1</v>
      </c>
      <c r="I197" t="str">
        <f>VLOOKUP(Medical_Examinations_2[[#This Row],[Customer ID]],Medical_Examinations!$1:$1048576,11,FALSE)</f>
        <v>Yes</v>
      </c>
      <c r="J197" t="str">
        <f>VLOOKUP(Medical_Examinations_2[[#This Row],[Customer ID]],Medical_Examinations!$1:$1048576,3,FALSE)</f>
        <v>Obesity</v>
      </c>
    </row>
    <row r="198" spans="1:10" x14ac:dyDescent="0.25">
      <c r="A198" s="10" t="s">
        <v>222</v>
      </c>
      <c r="B198" t="str">
        <f>VLOOKUP(Customer_Names!A198,Customer_Names!$1:$1048576,4,FALSE)</f>
        <v>Christopher C</v>
      </c>
      <c r="C198">
        <f>VLOOKUP(Medical_Examinations_2[[#This Row],[Customer ID]],Medical_Examinations!$1:$1048576,2,FALSE)</f>
        <v>31.73</v>
      </c>
      <c r="D198">
        <f>VLOOKUP(Medical_Examinations_2[[#This Row],[Customer ID]],Medical_Examinations!$1:$1048576,4,FALSE)</f>
        <v>4.3</v>
      </c>
      <c r="E198" t="str">
        <f>VLOOKUP(Medical_Examinations_2[[#This Row],[Customer ID]],Medical_Examinations!$1:$1048576,6,FALSE)</f>
        <v>No</v>
      </c>
      <c r="H198" t="str">
        <f>VLOOKUP(Medical_Examinations_2[[#This Row],[Customer ID]],Medical_Examinations!$1:$1048576,9,FALSE)</f>
        <v>No major surgery</v>
      </c>
      <c r="I198" t="str">
        <f>VLOOKUP(Medical_Examinations_2[[#This Row],[Customer ID]],Medical_Examinations!$1:$1048576,11,FALSE)</f>
        <v>Yes</v>
      </c>
      <c r="J198" t="str">
        <f>VLOOKUP(Medical_Examinations_2[[#This Row],[Customer ID]],Medical_Examinations!$1:$1048576,3,FALSE)</f>
        <v>Obesity</v>
      </c>
    </row>
    <row r="199" spans="1:10" x14ac:dyDescent="0.25">
      <c r="A199" s="11" t="s">
        <v>223</v>
      </c>
      <c r="B199" t="str">
        <f>VLOOKUP(Customer_Names!A199,Customer_Names!$1:$1048576,4,FALSE)</f>
        <v>Jesse</v>
      </c>
      <c r="C199">
        <f>VLOOKUP(Medical_Examinations_2[[#This Row],[Customer ID]],Medical_Examinations!$1:$1048576,2,FALSE)</f>
        <v>36.64</v>
      </c>
      <c r="D199">
        <f>VLOOKUP(Medical_Examinations_2[[#This Row],[Customer ID]],Medical_Examinations!$1:$1048576,4,FALSE)</f>
        <v>11.34</v>
      </c>
      <c r="E199" t="str">
        <f>VLOOKUP(Medical_Examinations_2[[#This Row],[Customer ID]],Medical_Examinations!$1:$1048576,6,FALSE)</f>
        <v>No</v>
      </c>
      <c r="H199" t="str">
        <f>VLOOKUP(Medical_Examinations_2[[#This Row],[Customer ID]],Medical_Examinations!$1:$1048576,9,FALSE)</f>
        <v>No major surgery</v>
      </c>
      <c r="I199" t="str">
        <f>VLOOKUP(Medical_Examinations_2[[#This Row],[Customer ID]],Medical_Examinations!$1:$1048576,11,FALSE)</f>
        <v>Yes</v>
      </c>
      <c r="J199" t="str">
        <f>VLOOKUP(Medical_Examinations_2[[#This Row],[Customer ID]],Medical_Examinations!$1:$1048576,3,FALSE)</f>
        <v>Obesity</v>
      </c>
    </row>
    <row r="200" spans="1:10" x14ac:dyDescent="0.25">
      <c r="A200" s="10" t="s">
        <v>224</v>
      </c>
      <c r="B200" t="str">
        <f>VLOOKUP(Customer_Names!A200,Customer_Names!$1:$1048576,4,FALSE)</f>
        <v>Jill</v>
      </c>
      <c r="C200">
        <f>VLOOKUP(Medical_Examinations_2[[#This Row],[Customer ID]],Medical_Examinations!$1:$1048576,2,FALSE)</f>
        <v>36.85</v>
      </c>
      <c r="D200">
        <f>VLOOKUP(Medical_Examinations_2[[#This Row],[Customer ID]],Medical_Examinations!$1:$1048576,4,FALSE)</f>
        <v>5.88</v>
      </c>
      <c r="E200" t="str">
        <f>VLOOKUP(Medical_Examinations_2[[#This Row],[Customer ID]],Medical_Examinations!$1:$1048576,6,FALSE)</f>
        <v>No</v>
      </c>
      <c r="H200">
        <f>VLOOKUP(Medical_Examinations_2[[#This Row],[Customer ID]],Medical_Examinations!$1:$1048576,9,FALSE)</f>
        <v>1</v>
      </c>
      <c r="I200" t="str">
        <f>VLOOKUP(Medical_Examinations_2[[#This Row],[Customer ID]],Medical_Examinations!$1:$1048576,11,FALSE)</f>
        <v>Yes</v>
      </c>
      <c r="J200" t="str">
        <f>VLOOKUP(Medical_Examinations_2[[#This Row],[Customer ID]],Medical_Examinations!$1:$1048576,3,FALSE)</f>
        <v>Obesity</v>
      </c>
    </row>
    <row r="201" spans="1:10" x14ac:dyDescent="0.25">
      <c r="A201" s="11" t="s">
        <v>225</v>
      </c>
      <c r="B201" t="str">
        <f>VLOOKUP(Customer_Names!A201,Customer_Names!$1:$1048576,4,FALSE)</f>
        <v>William</v>
      </c>
      <c r="C201">
        <f>VLOOKUP(Medical_Examinations_2[[#This Row],[Customer ID]],Medical_Examinations!$1:$1048576,2,FALSE)</f>
        <v>33.33</v>
      </c>
      <c r="D201">
        <f>VLOOKUP(Medical_Examinations_2[[#This Row],[Customer ID]],Medical_Examinations!$1:$1048576,4,FALSE)</f>
        <v>5.01</v>
      </c>
      <c r="E201" t="str">
        <f>VLOOKUP(Medical_Examinations_2[[#This Row],[Customer ID]],Medical_Examinations!$1:$1048576,6,FALSE)</f>
        <v>Yes</v>
      </c>
      <c r="H201">
        <f>VLOOKUP(Medical_Examinations_2[[#This Row],[Customer ID]],Medical_Examinations!$1:$1048576,9,FALSE)</f>
        <v>1</v>
      </c>
      <c r="I201" t="str">
        <f>VLOOKUP(Medical_Examinations_2[[#This Row],[Customer ID]],Medical_Examinations!$1:$1048576,11,FALSE)</f>
        <v>Yes</v>
      </c>
      <c r="J201" t="str">
        <f>VLOOKUP(Medical_Examinations_2[[#This Row],[Customer ID]],Medical_Examinations!$1:$1048576,3,FALSE)</f>
        <v>Obesity</v>
      </c>
    </row>
    <row r="202" spans="1:10" x14ac:dyDescent="0.25">
      <c r="A202" s="10" t="s">
        <v>226</v>
      </c>
      <c r="B202" t="str">
        <f>VLOOKUP(Customer_Names!A202,Customer_Names!$1:$1048576,4,FALSE)</f>
        <v>Alejandro</v>
      </c>
      <c r="C202">
        <f>VLOOKUP(Medical_Examinations_2[[#This Row],[Customer ID]],Medical_Examinations!$1:$1048576,2,FALSE)</f>
        <v>39.14</v>
      </c>
      <c r="D202">
        <f>VLOOKUP(Medical_Examinations_2[[#This Row],[Customer ID]],Medical_Examinations!$1:$1048576,4,FALSE)</f>
        <v>4.4000000000000004</v>
      </c>
      <c r="E202" t="str">
        <f>VLOOKUP(Medical_Examinations_2[[#This Row],[Customer ID]],Medical_Examinations!$1:$1048576,6,FALSE)</f>
        <v>No</v>
      </c>
      <c r="H202">
        <f>VLOOKUP(Medical_Examinations_2[[#This Row],[Customer ID]],Medical_Examinations!$1:$1048576,9,FALSE)</f>
        <v>1</v>
      </c>
      <c r="I202" t="str">
        <f>VLOOKUP(Medical_Examinations_2[[#This Row],[Customer ID]],Medical_Examinations!$1:$1048576,11,FALSE)</f>
        <v>Yes</v>
      </c>
      <c r="J202" t="str">
        <f>VLOOKUP(Medical_Examinations_2[[#This Row],[Customer ID]],Medical_Examinations!$1:$1048576,3,FALSE)</f>
        <v>Obesity</v>
      </c>
    </row>
    <row r="203" spans="1:10" x14ac:dyDescent="0.25">
      <c r="A203" s="11" t="s">
        <v>227</v>
      </c>
      <c r="B203" t="str">
        <f>VLOOKUP(Customer_Names!A203,Customer_Names!$1:$1048576,4,FALSE)</f>
        <v>Ian E.</v>
      </c>
      <c r="C203">
        <f>VLOOKUP(Medical_Examinations_2[[#This Row],[Customer ID]],Medical_Examinations!$1:$1048576,2,FALSE)</f>
        <v>32.9</v>
      </c>
      <c r="D203">
        <f>VLOOKUP(Medical_Examinations_2[[#This Row],[Customer ID]],Medical_Examinations!$1:$1048576,4,FALSE)</f>
        <v>6.26</v>
      </c>
      <c r="E203" t="str">
        <f>VLOOKUP(Medical_Examinations_2[[#This Row],[Customer ID]],Medical_Examinations!$1:$1048576,6,FALSE)</f>
        <v>Yes</v>
      </c>
      <c r="H203" t="str">
        <f>VLOOKUP(Medical_Examinations_2[[#This Row],[Customer ID]],Medical_Examinations!$1:$1048576,9,FALSE)</f>
        <v>No major surgery</v>
      </c>
      <c r="I203" t="str">
        <f>VLOOKUP(Medical_Examinations_2[[#This Row],[Customer ID]],Medical_Examinations!$1:$1048576,11,FALSE)</f>
        <v>Yes</v>
      </c>
      <c r="J203" t="str">
        <f>VLOOKUP(Medical_Examinations_2[[#This Row],[Customer ID]],Medical_Examinations!$1:$1048576,3,FALSE)</f>
        <v>Obesity</v>
      </c>
    </row>
    <row r="204" spans="1:10" x14ac:dyDescent="0.25">
      <c r="A204" s="10" t="s">
        <v>228</v>
      </c>
      <c r="B204" t="str">
        <f>VLOOKUP(Customer_Names!A204,Customer_Names!$1:$1048576,4,FALSE)</f>
        <v>Hector Sr.</v>
      </c>
      <c r="C204">
        <f>VLOOKUP(Medical_Examinations_2[[#This Row],[Customer ID]],Medical_Examinations!$1:$1048576,2,FALSE)</f>
        <v>29.78</v>
      </c>
      <c r="D204">
        <f>VLOOKUP(Medical_Examinations_2[[#This Row],[Customer ID]],Medical_Examinations!$1:$1048576,4,FALSE)</f>
        <v>10.27</v>
      </c>
      <c r="E204" t="str">
        <f>VLOOKUP(Medical_Examinations_2[[#This Row],[Customer ID]],Medical_Examinations!$1:$1048576,6,FALSE)</f>
        <v>Yes</v>
      </c>
      <c r="H204">
        <f>VLOOKUP(Medical_Examinations_2[[#This Row],[Customer ID]],Medical_Examinations!$1:$1048576,9,FALSE)</f>
        <v>1</v>
      </c>
      <c r="I204" t="str">
        <f>VLOOKUP(Medical_Examinations_2[[#This Row],[Customer ID]],Medical_Examinations!$1:$1048576,11,FALSE)</f>
        <v>Yes</v>
      </c>
      <c r="J204" t="str">
        <f>VLOOKUP(Medical_Examinations_2[[#This Row],[Customer ID]],Medical_Examinations!$1:$1048576,3,FALSE)</f>
        <v>Over weight</v>
      </c>
    </row>
    <row r="205" spans="1:10" x14ac:dyDescent="0.25">
      <c r="A205" s="11" t="s">
        <v>229</v>
      </c>
      <c r="B205" t="str">
        <f>VLOOKUP(Customer_Names!A205,Customer_Names!$1:$1048576,4,FALSE)</f>
        <v>Rebecca</v>
      </c>
      <c r="C205">
        <f>VLOOKUP(Medical_Examinations_2[[#This Row],[Customer ID]],Medical_Examinations!$1:$1048576,2,FALSE)</f>
        <v>32.78</v>
      </c>
      <c r="D205">
        <f>VLOOKUP(Medical_Examinations_2[[#This Row],[Customer ID]],Medical_Examinations!$1:$1048576,4,FALSE)</f>
        <v>5.27</v>
      </c>
      <c r="E205" t="str">
        <f>VLOOKUP(Medical_Examinations_2[[#This Row],[Customer ID]],Medical_Examinations!$1:$1048576,6,FALSE)</f>
        <v>No</v>
      </c>
      <c r="H205" t="str">
        <f>VLOOKUP(Medical_Examinations_2[[#This Row],[Customer ID]],Medical_Examinations!$1:$1048576,9,FALSE)</f>
        <v>No major surgery</v>
      </c>
      <c r="I205" t="str">
        <f>VLOOKUP(Medical_Examinations_2[[#This Row],[Customer ID]],Medical_Examinations!$1:$1048576,11,FALSE)</f>
        <v>Yes</v>
      </c>
      <c r="J205" t="str">
        <f>VLOOKUP(Medical_Examinations_2[[#This Row],[Customer ID]],Medical_Examinations!$1:$1048576,3,FALSE)</f>
        <v>Obesity</v>
      </c>
    </row>
    <row r="206" spans="1:10" x14ac:dyDescent="0.25">
      <c r="A206" s="10" t="s">
        <v>230</v>
      </c>
      <c r="B206" t="str">
        <f>VLOOKUP(Customer_Names!A206,Customer_Names!$1:$1048576,4,FALSE)</f>
        <v>Matt</v>
      </c>
      <c r="C206">
        <f>VLOOKUP(Medical_Examinations_2[[#This Row],[Customer ID]],Medical_Examinations!$1:$1048576,2,FALSE)</f>
        <v>41.65</v>
      </c>
      <c r="D206">
        <f>VLOOKUP(Medical_Examinations_2[[#This Row],[Customer ID]],Medical_Examinations!$1:$1048576,4,FALSE)</f>
        <v>10.73</v>
      </c>
      <c r="E206" t="str">
        <f>VLOOKUP(Medical_Examinations_2[[#This Row],[Customer ID]],Medical_Examinations!$1:$1048576,6,FALSE)</f>
        <v>Yes</v>
      </c>
      <c r="H206" t="str">
        <f>VLOOKUP(Medical_Examinations_2[[#This Row],[Customer ID]],Medical_Examinations!$1:$1048576,9,FALSE)</f>
        <v>No major surgery</v>
      </c>
      <c r="I206" t="str">
        <f>VLOOKUP(Medical_Examinations_2[[#This Row],[Customer ID]],Medical_Examinations!$1:$1048576,11,FALSE)</f>
        <v>Yes</v>
      </c>
      <c r="J206" t="str">
        <f>VLOOKUP(Medical_Examinations_2[[#This Row],[Customer ID]],Medical_Examinations!$1:$1048576,3,FALSE)</f>
        <v>Obesity</v>
      </c>
    </row>
    <row r="207" spans="1:10" x14ac:dyDescent="0.25">
      <c r="A207" s="11" t="s">
        <v>231</v>
      </c>
      <c r="B207" t="str">
        <f>VLOOKUP(Customer_Names!A207,Customer_Names!$1:$1048576,4,FALSE)</f>
        <v>Elizabeth H</v>
      </c>
      <c r="C207">
        <f>VLOOKUP(Medical_Examinations_2[[#This Row],[Customer ID]],Medical_Examinations!$1:$1048576,2,FALSE)</f>
        <v>50.79</v>
      </c>
      <c r="D207">
        <f>VLOOKUP(Medical_Examinations_2[[#This Row],[Customer ID]],Medical_Examinations!$1:$1048576,4,FALSE)</f>
        <v>4.45</v>
      </c>
      <c r="E207" t="str">
        <f>VLOOKUP(Medical_Examinations_2[[#This Row],[Customer ID]],Medical_Examinations!$1:$1048576,6,FALSE)</f>
        <v>No</v>
      </c>
      <c r="H207">
        <f>VLOOKUP(Medical_Examinations_2[[#This Row],[Customer ID]],Medical_Examinations!$1:$1048576,9,FALSE)</f>
        <v>1</v>
      </c>
      <c r="I207" t="str">
        <f>VLOOKUP(Medical_Examinations_2[[#This Row],[Customer ID]],Medical_Examinations!$1:$1048576,11,FALSE)</f>
        <v>Yes</v>
      </c>
      <c r="J207" t="str">
        <f>VLOOKUP(Medical_Examinations_2[[#This Row],[Customer ID]],Medical_Examinations!$1:$1048576,3,FALSE)</f>
        <v>Obesity</v>
      </c>
    </row>
    <row r="208" spans="1:10" x14ac:dyDescent="0.25">
      <c r="A208" s="10" t="s">
        <v>232</v>
      </c>
      <c r="B208" t="str">
        <f>VLOOKUP(Customer_Names!A208,Customer_Names!$1:$1048576,4,FALSE)</f>
        <v>Grace</v>
      </c>
      <c r="C208">
        <f>VLOOKUP(Medical_Examinations_2[[#This Row],[Customer ID]],Medical_Examinations!$1:$1048576,2,FALSE)</f>
        <v>35.43</v>
      </c>
      <c r="D208">
        <f>VLOOKUP(Medical_Examinations_2[[#This Row],[Customer ID]],Medical_Examinations!$1:$1048576,4,FALSE)</f>
        <v>5.25</v>
      </c>
      <c r="E208" t="str">
        <f>VLOOKUP(Medical_Examinations_2[[#This Row],[Customer ID]],Medical_Examinations!$1:$1048576,6,FALSE)</f>
        <v>Yes</v>
      </c>
      <c r="H208" t="str">
        <f>VLOOKUP(Medical_Examinations_2[[#This Row],[Customer ID]],Medical_Examinations!$1:$1048576,9,FALSE)</f>
        <v>No major surgery</v>
      </c>
      <c r="I208" t="str">
        <f>VLOOKUP(Medical_Examinations_2[[#This Row],[Customer ID]],Medical_Examinations!$1:$1048576,11,FALSE)</f>
        <v>Yes</v>
      </c>
      <c r="J208" t="str">
        <f>VLOOKUP(Medical_Examinations_2[[#This Row],[Customer ID]],Medical_Examinations!$1:$1048576,3,FALSE)</f>
        <v>Obesity</v>
      </c>
    </row>
    <row r="209" spans="1:10" x14ac:dyDescent="0.25">
      <c r="A209" s="11" t="s">
        <v>233</v>
      </c>
      <c r="B209" t="str">
        <f>VLOOKUP(Customer_Names!A209,Customer_Names!$1:$1048576,4,FALSE)</f>
        <v>Jaime</v>
      </c>
      <c r="C209">
        <f>VLOOKUP(Medical_Examinations_2[[#This Row],[Customer ID]],Medical_Examinations!$1:$1048576,2,FALSE)</f>
        <v>35.25</v>
      </c>
      <c r="D209">
        <f>VLOOKUP(Medical_Examinations_2[[#This Row],[Customer ID]],Medical_Examinations!$1:$1048576,4,FALSE)</f>
        <v>9.51</v>
      </c>
      <c r="E209" t="str">
        <f>VLOOKUP(Medical_Examinations_2[[#This Row],[Customer ID]],Medical_Examinations!$1:$1048576,6,FALSE)</f>
        <v>No</v>
      </c>
      <c r="H209" t="str">
        <f>VLOOKUP(Medical_Examinations_2[[#This Row],[Customer ID]],Medical_Examinations!$1:$1048576,9,FALSE)</f>
        <v>No major surgery</v>
      </c>
      <c r="I209" t="str">
        <f>VLOOKUP(Medical_Examinations_2[[#This Row],[Customer ID]],Medical_Examinations!$1:$1048576,11,FALSE)</f>
        <v>Yes</v>
      </c>
      <c r="J209" t="str">
        <f>VLOOKUP(Medical_Examinations_2[[#This Row],[Customer ID]],Medical_Examinations!$1:$1048576,3,FALSE)</f>
        <v>Obesity</v>
      </c>
    </row>
    <row r="210" spans="1:10" x14ac:dyDescent="0.25">
      <c r="A210" s="10" t="s">
        <v>234</v>
      </c>
      <c r="B210" t="str">
        <f>VLOOKUP(Customer_Names!A210,Customer_Names!$1:$1048576,4,FALSE)</f>
        <v>Calesse</v>
      </c>
      <c r="C210">
        <f>VLOOKUP(Medical_Examinations_2[[#This Row],[Customer ID]],Medical_Examinations!$1:$1048576,2,FALSE)</f>
        <v>36.85</v>
      </c>
      <c r="D210">
        <f>VLOOKUP(Medical_Examinations_2[[#This Row],[Customer ID]],Medical_Examinations!$1:$1048576,4,FALSE)</f>
        <v>11.12</v>
      </c>
      <c r="E210" t="str">
        <f>VLOOKUP(Medical_Examinations_2[[#This Row],[Customer ID]],Medical_Examinations!$1:$1048576,6,FALSE)</f>
        <v>No</v>
      </c>
      <c r="H210" t="str">
        <f>VLOOKUP(Medical_Examinations_2[[#This Row],[Customer ID]],Medical_Examinations!$1:$1048576,9,FALSE)</f>
        <v>No major surgery</v>
      </c>
      <c r="I210" t="str">
        <f>VLOOKUP(Medical_Examinations_2[[#This Row],[Customer ID]],Medical_Examinations!$1:$1048576,11,FALSE)</f>
        <v>Yes</v>
      </c>
      <c r="J210" t="str">
        <f>VLOOKUP(Medical_Examinations_2[[#This Row],[Customer ID]],Medical_Examinations!$1:$1048576,3,FALSE)</f>
        <v>Obesity</v>
      </c>
    </row>
    <row r="211" spans="1:10" x14ac:dyDescent="0.25">
      <c r="A211" s="11" t="s">
        <v>235</v>
      </c>
      <c r="B211" t="str">
        <f>VLOOKUP(Customer_Names!A211,Customer_Names!$1:$1048576,4,FALSE)</f>
        <v>Kate L</v>
      </c>
      <c r="C211">
        <f>VLOOKUP(Medical_Examinations_2[[#This Row],[Customer ID]],Medical_Examinations!$1:$1048576,2,FALSE)</f>
        <v>31.02</v>
      </c>
      <c r="D211">
        <f>VLOOKUP(Medical_Examinations_2[[#This Row],[Customer ID]],Medical_Examinations!$1:$1048576,4,FALSE)</f>
        <v>4.5599999999999996</v>
      </c>
      <c r="E211" t="str">
        <f>VLOOKUP(Medical_Examinations_2[[#This Row],[Customer ID]],Medical_Examinations!$1:$1048576,6,FALSE)</f>
        <v>No</v>
      </c>
      <c r="H211">
        <f>VLOOKUP(Medical_Examinations_2[[#This Row],[Customer ID]],Medical_Examinations!$1:$1048576,9,FALSE)</f>
        <v>1</v>
      </c>
      <c r="I211" t="str">
        <f>VLOOKUP(Medical_Examinations_2[[#This Row],[Customer ID]],Medical_Examinations!$1:$1048576,11,FALSE)</f>
        <v>Yes</v>
      </c>
      <c r="J211" t="str">
        <f>VLOOKUP(Medical_Examinations_2[[#This Row],[Customer ID]],Medical_Examinations!$1:$1048576,3,FALSE)</f>
        <v>Obesity</v>
      </c>
    </row>
    <row r="212" spans="1:10" x14ac:dyDescent="0.25">
      <c r="A212" s="10" t="s">
        <v>236</v>
      </c>
      <c r="B212" t="str">
        <f>VLOOKUP(Customer_Names!A212,Customer_Names!$1:$1048576,4,FALSE)</f>
        <v>Sergey</v>
      </c>
      <c r="C212">
        <f>VLOOKUP(Medical_Examinations_2[[#This Row],[Customer ID]],Medical_Examinations!$1:$1048576,2,FALSE)</f>
        <v>35.6</v>
      </c>
      <c r="D212">
        <f>VLOOKUP(Medical_Examinations_2[[#This Row],[Customer ID]],Medical_Examinations!$1:$1048576,4,FALSE)</f>
        <v>4.0199999999999996</v>
      </c>
      <c r="E212" t="str">
        <f>VLOOKUP(Medical_Examinations_2[[#This Row],[Customer ID]],Medical_Examinations!$1:$1048576,6,FALSE)</f>
        <v>Yes</v>
      </c>
      <c r="H212">
        <f>VLOOKUP(Medical_Examinations_2[[#This Row],[Customer ID]],Medical_Examinations!$1:$1048576,9,FALSE)</f>
        <v>2</v>
      </c>
      <c r="I212" t="str">
        <f>VLOOKUP(Medical_Examinations_2[[#This Row],[Customer ID]],Medical_Examinations!$1:$1048576,11,FALSE)</f>
        <v>Yes</v>
      </c>
      <c r="J212" t="str">
        <f>VLOOKUP(Medical_Examinations_2[[#This Row],[Customer ID]],Medical_Examinations!$1:$1048576,3,FALSE)</f>
        <v>Obesity</v>
      </c>
    </row>
    <row r="213" spans="1:10" x14ac:dyDescent="0.25">
      <c r="A213" s="11" t="s">
        <v>237</v>
      </c>
      <c r="B213" t="str">
        <f>VLOOKUP(Customer_Names!A213,Customer_Names!$1:$1048576,4,FALSE)</f>
        <v>Timothy V</v>
      </c>
      <c r="C213">
        <f>VLOOKUP(Medical_Examinations_2[[#This Row],[Customer ID]],Medical_Examinations!$1:$1048576,2,FALSE)</f>
        <v>34.39</v>
      </c>
      <c r="D213">
        <f>VLOOKUP(Medical_Examinations_2[[#This Row],[Customer ID]],Medical_Examinations!$1:$1048576,4,FALSE)</f>
        <v>8.7200000000000006</v>
      </c>
      <c r="E213" t="str">
        <f>VLOOKUP(Medical_Examinations_2[[#This Row],[Customer ID]],Medical_Examinations!$1:$1048576,6,FALSE)</f>
        <v>No</v>
      </c>
      <c r="H213" t="str">
        <f>VLOOKUP(Medical_Examinations_2[[#This Row],[Customer ID]],Medical_Examinations!$1:$1048576,9,FALSE)</f>
        <v>No major surgery</v>
      </c>
      <c r="I213" t="str">
        <f>VLOOKUP(Medical_Examinations_2[[#This Row],[Customer ID]],Medical_Examinations!$1:$1048576,11,FALSE)</f>
        <v>Yes</v>
      </c>
      <c r="J213" t="str">
        <f>VLOOKUP(Medical_Examinations_2[[#This Row],[Customer ID]],Medical_Examinations!$1:$1048576,3,FALSE)</f>
        <v>Obesity</v>
      </c>
    </row>
    <row r="214" spans="1:10" x14ac:dyDescent="0.25">
      <c r="A214" s="10" t="s">
        <v>238</v>
      </c>
      <c r="B214" t="str">
        <f>VLOOKUP(Customer_Names!A214,Customer_Names!$1:$1048576,4,FALSE)</f>
        <v>Andrew S</v>
      </c>
      <c r="C214">
        <f>VLOOKUP(Medical_Examinations_2[[#This Row],[Customer ID]],Medical_Examinations!$1:$1048576,2,FALSE)</f>
        <v>29.06</v>
      </c>
      <c r="D214">
        <f>VLOOKUP(Medical_Examinations_2[[#This Row],[Customer ID]],Medical_Examinations!$1:$1048576,4,FALSE)</f>
        <v>6.25</v>
      </c>
      <c r="E214" t="str">
        <f>VLOOKUP(Medical_Examinations_2[[#This Row],[Customer ID]],Medical_Examinations!$1:$1048576,6,FALSE)</f>
        <v>Yes</v>
      </c>
      <c r="H214">
        <f>VLOOKUP(Medical_Examinations_2[[#This Row],[Customer ID]],Medical_Examinations!$1:$1048576,9,FALSE)</f>
        <v>1</v>
      </c>
      <c r="I214" t="str">
        <f>VLOOKUP(Medical_Examinations_2[[#This Row],[Customer ID]],Medical_Examinations!$1:$1048576,11,FALSE)</f>
        <v>Yes</v>
      </c>
      <c r="J214" t="str">
        <f>VLOOKUP(Medical_Examinations_2[[#This Row],[Customer ID]],Medical_Examinations!$1:$1048576,3,FALSE)</f>
        <v>Over weight</v>
      </c>
    </row>
    <row r="215" spans="1:10" x14ac:dyDescent="0.25">
      <c r="A215" s="11" t="s">
        <v>239</v>
      </c>
      <c r="B215" t="str">
        <f>VLOOKUP(Customer_Names!A215,Customer_Names!$1:$1048576,4,FALSE)</f>
        <v>Matthew D</v>
      </c>
      <c r="C215">
        <f>VLOOKUP(Medical_Examinations_2[[#This Row],[Customer ID]],Medical_Examinations!$1:$1048576,2,FALSE)</f>
        <v>35.799999999999997</v>
      </c>
      <c r="D215">
        <f>VLOOKUP(Medical_Examinations_2[[#This Row],[Customer ID]],Medical_Examinations!$1:$1048576,4,FALSE)</f>
        <v>7.32</v>
      </c>
      <c r="E215" t="str">
        <f>VLOOKUP(Medical_Examinations_2[[#This Row],[Customer ID]],Medical_Examinations!$1:$1048576,6,FALSE)</f>
        <v>No</v>
      </c>
      <c r="H215">
        <f>VLOOKUP(Medical_Examinations_2[[#This Row],[Customer ID]],Medical_Examinations!$1:$1048576,9,FALSE)</f>
        <v>2</v>
      </c>
      <c r="I215" t="str">
        <f>VLOOKUP(Medical_Examinations_2[[#This Row],[Customer ID]],Medical_Examinations!$1:$1048576,11,FALSE)</f>
        <v>Yes</v>
      </c>
      <c r="J215" t="str">
        <f>VLOOKUP(Medical_Examinations_2[[#This Row],[Customer ID]],Medical_Examinations!$1:$1048576,3,FALSE)</f>
        <v>Obesity</v>
      </c>
    </row>
    <row r="216" spans="1:10" x14ac:dyDescent="0.25">
      <c r="A216" s="10" t="s">
        <v>240</v>
      </c>
      <c r="B216" t="str">
        <f>VLOOKUP(Customer_Names!A216,Customer_Names!$1:$1048576,4,FALSE)</f>
        <v>Jessica</v>
      </c>
      <c r="C216">
        <f>VLOOKUP(Medical_Examinations_2[[#This Row],[Customer ID]],Medical_Examinations!$1:$1048576,2,FALSE)</f>
        <v>49.8</v>
      </c>
      <c r="D216">
        <f>VLOOKUP(Medical_Examinations_2[[#This Row],[Customer ID]],Medical_Examinations!$1:$1048576,4,FALSE)</f>
        <v>4.24</v>
      </c>
      <c r="E216" t="str">
        <f>VLOOKUP(Medical_Examinations_2[[#This Row],[Customer ID]],Medical_Examinations!$1:$1048576,6,FALSE)</f>
        <v>No</v>
      </c>
      <c r="H216">
        <f>VLOOKUP(Medical_Examinations_2[[#This Row],[Customer ID]],Medical_Examinations!$1:$1048576,9,FALSE)</f>
        <v>1</v>
      </c>
      <c r="I216" t="str">
        <f>VLOOKUP(Medical_Examinations_2[[#This Row],[Customer ID]],Medical_Examinations!$1:$1048576,11,FALSE)</f>
        <v>Yes</v>
      </c>
      <c r="J216" t="str">
        <f>VLOOKUP(Medical_Examinations_2[[#This Row],[Customer ID]],Medical_Examinations!$1:$1048576,3,FALSE)</f>
        <v>Obesity</v>
      </c>
    </row>
    <row r="217" spans="1:10" x14ac:dyDescent="0.25">
      <c r="A217" s="11" t="s">
        <v>241</v>
      </c>
      <c r="B217" t="str">
        <f>VLOOKUP(Customer_Names!A217,Customer_Names!$1:$1048576,4,FALSE)</f>
        <v>Lawrence</v>
      </c>
      <c r="C217">
        <f>VLOOKUP(Medical_Examinations_2[[#This Row],[Customer ID]],Medical_Examinations!$1:$1048576,2,FALSE)</f>
        <v>35.71</v>
      </c>
      <c r="D217">
        <f>VLOOKUP(Medical_Examinations_2[[#This Row],[Customer ID]],Medical_Examinations!$1:$1048576,4,FALSE)</f>
        <v>6.84</v>
      </c>
      <c r="E217" t="str">
        <f>VLOOKUP(Medical_Examinations_2[[#This Row],[Customer ID]],Medical_Examinations!$1:$1048576,6,FALSE)</f>
        <v>No</v>
      </c>
      <c r="H217">
        <f>VLOOKUP(Medical_Examinations_2[[#This Row],[Customer ID]],Medical_Examinations!$1:$1048576,9,FALSE)</f>
        <v>2</v>
      </c>
      <c r="I217" t="str">
        <f>VLOOKUP(Medical_Examinations_2[[#This Row],[Customer ID]],Medical_Examinations!$1:$1048576,11,FALSE)</f>
        <v>Yes</v>
      </c>
      <c r="J217" t="str">
        <f>VLOOKUP(Medical_Examinations_2[[#This Row],[Customer ID]],Medical_Examinations!$1:$1048576,3,FALSE)</f>
        <v>Obesity</v>
      </c>
    </row>
    <row r="218" spans="1:10" x14ac:dyDescent="0.25">
      <c r="A218" s="10" t="s">
        <v>242</v>
      </c>
      <c r="B218" t="str">
        <f>VLOOKUP(Customer_Names!A218,Customer_Names!$1:$1048576,4,FALSE)</f>
        <v>Alex</v>
      </c>
      <c r="C218">
        <f>VLOOKUP(Medical_Examinations_2[[#This Row],[Customer ID]],Medical_Examinations!$1:$1048576,2,FALSE)</f>
        <v>30.8</v>
      </c>
      <c r="D218">
        <f>VLOOKUP(Medical_Examinations_2[[#This Row],[Customer ID]],Medical_Examinations!$1:$1048576,4,FALSE)</f>
        <v>5.23</v>
      </c>
      <c r="E218" t="str">
        <f>VLOOKUP(Medical_Examinations_2[[#This Row],[Customer ID]],Medical_Examinations!$1:$1048576,6,FALSE)</f>
        <v>Yes</v>
      </c>
      <c r="H218">
        <f>VLOOKUP(Medical_Examinations_2[[#This Row],[Customer ID]],Medical_Examinations!$1:$1048576,9,FALSE)</f>
        <v>1</v>
      </c>
      <c r="I218" t="str">
        <f>VLOOKUP(Medical_Examinations_2[[#This Row],[Customer ID]],Medical_Examinations!$1:$1048576,11,FALSE)</f>
        <v>Yes</v>
      </c>
      <c r="J218" t="str">
        <f>VLOOKUP(Medical_Examinations_2[[#This Row],[Customer ID]],Medical_Examinations!$1:$1048576,3,FALSE)</f>
        <v>Obesity</v>
      </c>
    </row>
    <row r="219" spans="1:10" x14ac:dyDescent="0.25">
      <c r="A219" s="11" t="s">
        <v>243</v>
      </c>
      <c r="B219" t="str">
        <f>VLOOKUP(Customer_Names!A219,Customer_Names!$1:$1048576,4,FALSE)</f>
        <v>Kevin</v>
      </c>
      <c r="C219">
        <f>VLOOKUP(Medical_Examinations_2[[#This Row],[Customer ID]],Medical_Examinations!$1:$1048576,2,FALSE)</f>
        <v>33.69</v>
      </c>
      <c r="D219">
        <f>VLOOKUP(Medical_Examinations_2[[#This Row],[Customer ID]],Medical_Examinations!$1:$1048576,4,FALSE)</f>
        <v>9.68</v>
      </c>
      <c r="E219" t="str">
        <f>VLOOKUP(Medical_Examinations_2[[#This Row],[Customer ID]],Medical_Examinations!$1:$1048576,6,FALSE)</f>
        <v>No</v>
      </c>
      <c r="H219" t="str">
        <f>VLOOKUP(Medical_Examinations_2[[#This Row],[Customer ID]],Medical_Examinations!$1:$1048576,9,FALSE)</f>
        <v>No major surgery</v>
      </c>
      <c r="I219" t="str">
        <f>VLOOKUP(Medical_Examinations_2[[#This Row],[Customer ID]],Medical_Examinations!$1:$1048576,11,FALSE)</f>
        <v>Yes</v>
      </c>
      <c r="J219" t="str">
        <f>VLOOKUP(Medical_Examinations_2[[#This Row],[Customer ID]],Medical_Examinations!$1:$1048576,3,FALSE)</f>
        <v>Obesity</v>
      </c>
    </row>
    <row r="220" spans="1:10" x14ac:dyDescent="0.25">
      <c r="A220" s="10" t="s">
        <v>244</v>
      </c>
      <c r="B220" t="str">
        <f>VLOOKUP(Customer_Names!A220,Customer_Names!$1:$1048576,4,FALSE)</f>
        <v>Gavin M.</v>
      </c>
      <c r="C220">
        <f>VLOOKUP(Medical_Examinations_2[[#This Row],[Customer ID]],Medical_Examinations!$1:$1048576,2,FALSE)</f>
        <v>42.27</v>
      </c>
      <c r="D220">
        <f>VLOOKUP(Medical_Examinations_2[[#This Row],[Customer ID]],Medical_Examinations!$1:$1048576,4,FALSE)</f>
        <v>6.05</v>
      </c>
      <c r="E220" t="str">
        <f>VLOOKUP(Medical_Examinations_2[[#This Row],[Customer ID]],Medical_Examinations!$1:$1048576,6,FALSE)</f>
        <v>Yes</v>
      </c>
      <c r="H220">
        <f>VLOOKUP(Medical_Examinations_2[[#This Row],[Customer ID]],Medical_Examinations!$1:$1048576,9,FALSE)</f>
        <v>1</v>
      </c>
      <c r="I220" t="str">
        <f>VLOOKUP(Medical_Examinations_2[[#This Row],[Customer ID]],Medical_Examinations!$1:$1048576,11,FALSE)</f>
        <v>Yes</v>
      </c>
      <c r="J220" t="str">
        <f>VLOOKUP(Medical_Examinations_2[[#This Row],[Customer ID]],Medical_Examinations!$1:$1048576,3,FALSE)</f>
        <v>Obesity</v>
      </c>
    </row>
    <row r="221" spans="1:10" x14ac:dyDescent="0.25">
      <c r="A221" s="11" t="s">
        <v>245</v>
      </c>
      <c r="B221" t="str">
        <f>VLOOKUP(Customer_Names!A221,Customer_Names!$1:$1048576,4,FALSE)</f>
        <v>Rick E</v>
      </c>
      <c r="C221">
        <f>VLOOKUP(Medical_Examinations_2[[#This Row],[Customer ID]],Medical_Examinations!$1:$1048576,2,FALSE)</f>
        <v>53.25</v>
      </c>
      <c r="D221">
        <f>VLOOKUP(Medical_Examinations_2[[#This Row],[Customer ID]],Medical_Examinations!$1:$1048576,4,FALSE)</f>
        <v>6.11</v>
      </c>
      <c r="E221" t="str">
        <f>VLOOKUP(Medical_Examinations_2[[#This Row],[Customer ID]],Medical_Examinations!$1:$1048576,6,FALSE)</f>
        <v>Yes</v>
      </c>
      <c r="H221">
        <f>VLOOKUP(Medical_Examinations_2[[#This Row],[Customer ID]],Medical_Examinations!$1:$1048576,9,FALSE)</f>
        <v>1</v>
      </c>
      <c r="I221" t="str">
        <f>VLOOKUP(Medical_Examinations_2[[#This Row],[Customer ID]],Medical_Examinations!$1:$1048576,11,FALSE)</f>
        <v>Yes</v>
      </c>
      <c r="J221" t="str">
        <f>VLOOKUP(Medical_Examinations_2[[#This Row],[Customer ID]],Medical_Examinations!$1:$1048576,3,FALSE)</f>
        <v>Obesity</v>
      </c>
    </row>
    <row r="222" spans="1:10" x14ac:dyDescent="0.25">
      <c r="A222" s="10" t="s">
        <v>247</v>
      </c>
      <c r="B222" t="str">
        <f>VLOOKUP(Customer_Names!A222,Customer_Names!$1:$1048576,4,FALSE)</f>
        <v>Andrea H.</v>
      </c>
      <c r="C222">
        <f>VLOOKUP(Medical_Examinations_2[[#This Row],[Customer ID]],Medical_Examinations!$1:$1048576,2,FALSE)</f>
        <v>26.8</v>
      </c>
      <c r="D222">
        <f>VLOOKUP(Medical_Examinations_2[[#This Row],[Customer ID]],Medical_Examinations!$1:$1048576,4,FALSE)</f>
        <v>10.93</v>
      </c>
      <c r="E222" t="str">
        <f>VLOOKUP(Medical_Examinations_2[[#This Row],[Customer ID]],Medical_Examinations!$1:$1048576,6,FALSE)</f>
        <v>Yes</v>
      </c>
      <c r="H222" t="str">
        <f>VLOOKUP(Medical_Examinations_2[[#This Row],[Customer ID]],Medical_Examinations!$1:$1048576,9,FALSE)</f>
        <v>No major surgery</v>
      </c>
      <c r="I222" t="str">
        <f>VLOOKUP(Medical_Examinations_2[[#This Row],[Customer ID]],Medical_Examinations!$1:$1048576,11,FALSE)</f>
        <v>No</v>
      </c>
      <c r="J222" t="str">
        <f>VLOOKUP(Medical_Examinations_2[[#This Row],[Customer ID]],Medical_Examinations!$1:$1048576,3,FALSE)</f>
        <v>Over weight</v>
      </c>
    </row>
    <row r="223" spans="1:10" x14ac:dyDescent="0.25">
      <c r="A223" s="11" t="s">
        <v>249</v>
      </c>
      <c r="B223" t="str">
        <f>VLOOKUP(Customer_Names!A223,Customer_Names!$1:$1048576,4,FALSE)</f>
        <v>Anthony S</v>
      </c>
      <c r="C223">
        <f>VLOOKUP(Medical_Examinations_2[[#This Row],[Customer ID]],Medical_Examinations!$1:$1048576,2,FALSE)</f>
        <v>28.5</v>
      </c>
      <c r="D223">
        <f>VLOOKUP(Medical_Examinations_2[[#This Row],[Customer ID]],Medical_Examinations!$1:$1048576,4,FALSE)</f>
        <v>5.12</v>
      </c>
      <c r="E223" t="str">
        <f>VLOOKUP(Medical_Examinations_2[[#This Row],[Customer ID]],Medical_Examinations!$1:$1048576,6,FALSE)</f>
        <v>No</v>
      </c>
      <c r="H223">
        <f>VLOOKUP(Medical_Examinations_2[[#This Row],[Customer ID]],Medical_Examinations!$1:$1048576,9,FALSE)</f>
        <v>1</v>
      </c>
      <c r="I223" t="str">
        <f>VLOOKUP(Medical_Examinations_2[[#This Row],[Customer ID]],Medical_Examinations!$1:$1048576,11,FALSE)</f>
        <v>Yes</v>
      </c>
      <c r="J223" t="str">
        <f>VLOOKUP(Medical_Examinations_2[[#This Row],[Customer ID]],Medical_Examinations!$1:$1048576,3,FALSE)</f>
        <v>Over weight</v>
      </c>
    </row>
    <row r="224" spans="1:10" x14ac:dyDescent="0.25">
      <c r="A224" s="10" t="s">
        <v>250</v>
      </c>
      <c r="B224" t="str">
        <f>VLOOKUP(Customer_Names!A224,Customer_Names!$1:$1048576,4,FALSE)</f>
        <v>Erik</v>
      </c>
      <c r="C224">
        <f>VLOOKUP(Medical_Examinations_2[[#This Row],[Customer ID]],Medical_Examinations!$1:$1048576,2,FALSE)</f>
        <v>22.895</v>
      </c>
      <c r="D224">
        <f>VLOOKUP(Medical_Examinations_2[[#This Row],[Customer ID]],Medical_Examinations!$1:$1048576,4,FALSE)</f>
        <v>5.72</v>
      </c>
      <c r="E224" t="str">
        <f>VLOOKUP(Medical_Examinations_2[[#This Row],[Customer ID]],Medical_Examinations!$1:$1048576,6,FALSE)</f>
        <v>No</v>
      </c>
      <c r="H224" t="str">
        <f>VLOOKUP(Medical_Examinations_2[[#This Row],[Customer ID]],Medical_Examinations!$1:$1048576,9,FALSE)</f>
        <v>No major surgery</v>
      </c>
      <c r="I224" t="str">
        <f>VLOOKUP(Medical_Examinations_2[[#This Row],[Customer ID]],Medical_Examinations!$1:$1048576,11,FALSE)</f>
        <v>Yes</v>
      </c>
      <c r="J224" t="str">
        <f>VLOOKUP(Medical_Examinations_2[[#This Row],[Customer ID]],Medical_Examinations!$1:$1048576,3,FALSE)</f>
        <v>Normal weight</v>
      </c>
    </row>
    <row r="225" spans="1:10" x14ac:dyDescent="0.25">
      <c r="A225" s="11" t="s">
        <v>251</v>
      </c>
      <c r="B225" t="str">
        <f>VLOOKUP(Customer_Names!A225,Customer_Names!$1:$1048576,4,FALSE)</f>
        <v>Kiley D</v>
      </c>
      <c r="C225">
        <f>VLOOKUP(Medical_Examinations_2[[#This Row],[Customer ID]],Medical_Examinations!$1:$1048576,2,FALSE)</f>
        <v>34.06</v>
      </c>
      <c r="D225">
        <f>VLOOKUP(Medical_Examinations_2[[#This Row],[Customer ID]],Medical_Examinations!$1:$1048576,4,FALSE)</f>
        <v>11.83</v>
      </c>
      <c r="E225" t="str">
        <f>VLOOKUP(Medical_Examinations_2[[#This Row],[Customer ID]],Medical_Examinations!$1:$1048576,6,FALSE)</f>
        <v>Yes</v>
      </c>
      <c r="H225">
        <f>VLOOKUP(Medical_Examinations_2[[#This Row],[Customer ID]],Medical_Examinations!$1:$1048576,9,FALSE)</f>
        <v>1</v>
      </c>
      <c r="I225" t="str">
        <f>VLOOKUP(Medical_Examinations_2[[#This Row],[Customer ID]],Medical_Examinations!$1:$1048576,11,FALSE)</f>
        <v>Yes</v>
      </c>
      <c r="J225" t="str">
        <f>VLOOKUP(Medical_Examinations_2[[#This Row],[Customer ID]],Medical_Examinations!$1:$1048576,3,FALSE)</f>
        <v>Obesity</v>
      </c>
    </row>
    <row r="226" spans="1:10" x14ac:dyDescent="0.25">
      <c r="A226" s="10" t="s">
        <v>252</v>
      </c>
      <c r="B226" t="str">
        <f>VLOOKUP(Customer_Names!A226,Customer_Names!$1:$1048576,4,FALSE)</f>
        <v>Jennifer</v>
      </c>
      <c r="C226">
        <f>VLOOKUP(Medical_Examinations_2[[#This Row],[Customer ID]],Medical_Examinations!$1:$1048576,2,FALSE)</f>
        <v>36.409999999999997</v>
      </c>
      <c r="D226">
        <f>VLOOKUP(Medical_Examinations_2[[#This Row],[Customer ID]],Medical_Examinations!$1:$1048576,4,FALSE)</f>
        <v>4.55</v>
      </c>
      <c r="E226" t="str">
        <f>VLOOKUP(Medical_Examinations_2[[#This Row],[Customer ID]],Medical_Examinations!$1:$1048576,6,FALSE)</f>
        <v>No</v>
      </c>
      <c r="H226" t="str">
        <f>VLOOKUP(Medical_Examinations_2[[#This Row],[Customer ID]],Medical_Examinations!$1:$1048576,9,FALSE)</f>
        <v>No major surgery</v>
      </c>
      <c r="I226" t="str">
        <f>VLOOKUP(Medical_Examinations_2[[#This Row],[Customer ID]],Medical_Examinations!$1:$1048576,11,FALSE)</f>
        <v>Yes</v>
      </c>
      <c r="J226" t="str">
        <f>VLOOKUP(Medical_Examinations_2[[#This Row],[Customer ID]],Medical_Examinations!$1:$1048576,3,FALSE)</f>
        <v>Obesity</v>
      </c>
    </row>
    <row r="227" spans="1:10" x14ac:dyDescent="0.25">
      <c r="A227" s="11" t="s">
        <v>253</v>
      </c>
      <c r="B227" t="str">
        <f>VLOOKUP(Customer_Names!A227,Customer_Names!$1:$1048576,4,FALSE)</f>
        <v>Chris</v>
      </c>
      <c r="C227">
        <f>VLOOKUP(Medical_Examinations_2[[#This Row],[Customer ID]],Medical_Examinations!$1:$1048576,2,FALSE)</f>
        <v>52.3</v>
      </c>
      <c r="D227">
        <f>VLOOKUP(Medical_Examinations_2[[#This Row],[Customer ID]],Medical_Examinations!$1:$1048576,4,FALSE)</f>
        <v>4.87</v>
      </c>
      <c r="E227" t="str">
        <f>VLOOKUP(Medical_Examinations_2[[#This Row],[Customer ID]],Medical_Examinations!$1:$1048576,6,FALSE)</f>
        <v>Yes</v>
      </c>
      <c r="H227">
        <f>VLOOKUP(Medical_Examinations_2[[#This Row],[Customer ID]],Medical_Examinations!$1:$1048576,9,FALSE)</f>
        <v>1</v>
      </c>
      <c r="I227" t="str">
        <f>VLOOKUP(Medical_Examinations_2[[#This Row],[Customer ID]],Medical_Examinations!$1:$1048576,11,FALSE)</f>
        <v>Yes</v>
      </c>
      <c r="J227" t="str">
        <f>VLOOKUP(Medical_Examinations_2[[#This Row],[Customer ID]],Medical_Examinations!$1:$1048576,3,FALSE)</f>
        <v>Obesity</v>
      </c>
    </row>
    <row r="228" spans="1:10" x14ac:dyDescent="0.25">
      <c r="A228" s="10" t="s">
        <v>254</v>
      </c>
      <c r="B228" t="str">
        <f>VLOOKUP(Customer_Names!A228,Customer_Names!$1:$1048576,4,FALSE)</f>
        <v>Marian M.</v>
      </c>
      <c r="C228">
        <f>VLOOKUP(Medical_Examinations_2[[#This Row],[Customer ID]],Medical_Examinations!$1:$1048576,2,FALSE)</f>
        <v>52.66</v>
      </c>
      <c r="D228">
        <f>VLOOKUP(Medical_Examinations_2[[#This Row],[Customer ID]],Medical_Examinations!$1:$1048576,4,FALSE)</f>
        <v>4.45</v>
      </c>
      <c r="E228" t="str">
        <f>VLOOKUP(Medical_Examinations_2[[#This Row],[Customer ID]],Medical_Examinations!$1:$1048576,6,FALSE)</f>
        <v>No</v>
      </c>
      <c r="H228">
        <f>VLOOKUP(Medical_Examinations_2[[#This Row],[Customer ID]],Medical_Examinations!$1:$1048576,9,FALSE)</f>
        <v>1</v>
      </c>
      <c r="I228" t="str">
        <f>VLOOKUP(Medical_Examinations_2[[#This Row],[Customer ID]],Medical_Examinations!$1:$1048576,11,FALSE)</f>
        <v>Yes</v>
      </c>
      <c r="J228" t="str">
        <f>VLOOKUP(Medical_Examinations_2[[#This Row],[Customer ID]],Medical_Examinations!$1:$1048576,3,FALSE)</f>
        <v>Obesity</v>
      </c>
    </row>
    <row r="229" spans="1:10" x14ac:dyDescent="0.25">
      <c r="A229" s="11" t="s">
        <v>255</v>
      </c>
      <c r="B229" t="str">
        <f>VLOOKUP(Customer_Names!A229,Customer_Names!$1:$1048576,4,FALSE)</f>
        <v>Jeremy</v>
      </c>
      <c r="C229">
        <f>VLOOKUP(Medical_Examinations_2[[#This Row],[Customer ID]],Medical_Examinations!$1:$1048576,2,FALSE)</f>
        <v>29.57</v>
      </c>
      <c r="D229">
        <f>VLOOKUP(Medical_Examinations_2[[#This Row],[Customer ID]],Medical_Examinations!$1:$1048576,4,FALSE)</f>
        <v>9.42</v>
      </c>
      <c r="E229" t="str">
        <f>VLOOKUP(Medical_Examinations_2[[#This Row],[Customer ID]],Medical_Examinations!$1:$1048576,6,FALSE)</f>
        <v>Yes</v>
      </c>
      <c r="H229" t="str">
        <f>VLOOKUP(Medical_Examinations_2[[#This Row],[Customer ID]],Medical_Examinations!$1:$1048576,9,FALSE)</f>
        <v>No major surgery</v>
      </c>
      <c r="I229" t="str">
        <f>VLOOKUP(Medical_Examinations_2[[#This Row],[Customer ID]],Medical_Examinations!$1:$1048576,11,FALSE)</f>
        <v>Yes</v>
      </c>
      <c r="J229" t="str">
        <f>VLOOKUP(Medical_Examinations_2[[#This Row],[Customer ID]],Medical_Examinations!$1:$1048576,3,FALSE)</f>
        <v>Over weight</v>
      </c>
    </row>
    <row r="230" spans="1:10" x14ac:dyDescent="0.25">
      <c r="A230" s="10" t="s">
        <v>256</v>
      </c>
      <c r="B230" t="str">
        <f>VLOOKUP(Customer_Names!A230,Customer_Names!$1:$1048576,4,FALSE)</f>
        <v>Allison H</v>
      </c>
      <c r="C230">
        <f>VLOOKUP(Medical_Examinations_2[[#This Row],[Customer ID]],Medical_Examinations!$1:$1048576,2,FALSE)</f>
        <v>36.99</v>
      </c>
      <c r="D230">
        <f>VLOOKUP(Medical_Examinations_2[[#This Row],[Customer ID]],Medical_Examinations!$1:$1048576,4,FALSE)</f>
        <v>5.37</v>
      </c>
      <c r="E230" t="str">
        <f>VLOOKUP(Medical_Examinations_2[[#This Row],[Customer ID]],Medical_Examinations!$1:$1048576,6,FALSE)</f>
        <v>Yes</v>
      </c>
      <c r="H230">
        <f>VLOOKUP(Medical_Examinations_2[[#This Row],[Customer ID]],Medical_Examinations!$1:$1048576,9,FALSE)</f>
        <v>1</v>
      </c>
      <c r="I230" t="str">
        <f>VLOOKUP(Medical_Examinations_2[[#This Row],[Customer ID]],Medical_Examinations!$1:$1048576,11,FALSE)</f>
        <v>Yes</v>
      </c>
      <c r="J230" t="str">
        <f>VLOOKUP(Medical_Examinations_2[[#This Row],[Customer ID]],Medical_Examinations!$1:$1048576,3,FALSE)</f>
        <v>Obesity</v>
      </c>
    </row>
    <row r="231" spans="1:10" x14ac:dyDescent="0.25">
      <c r="A231" s="11" t="s">
        <v>257</v>
      </c>
      <c r="B231" t="str">
        <f>VLOOKUP(Customer_Names!A231,Customer_Names!$1:$1048576,4,FALSE)</f>
        <v>Elizabeth</v>
      </c>
      <c r="C231">
        <f>VLOOKUP(Medical_Examinations_2[[#This Row],[Customer ID]],Medical_Examinations!$1:$1048576,2,FALSE)</f>
        <v>31.4</v>
      </c>
      <c r="D231">
        <f>VLOOKUP(Medical_Examinations_2[[#This Row],[Customer ID]],Medical_Examinations!$1:$1048576,4,FALSE)</f>
        <v>4.5999999999999996</v>
      </c>
      <c r="E231" t="str">
        <f>VLOOKUP(Medical_Examinations_2[[#This Row],[Customer ID]],Medical_Examinations!$1:$1048576,6,FALSE)</f>
        <v>Yes</v>
      </c>
      <c r="H231">
        <f>VLOOKUP(Medical_Examinations_2[[#This Row],[Customer ID]],Medical_Examinations!$1:$1048576,9,FALSE)</f>
        <v>1</v>
      </c>
      <c r="I231" t="str">
        <f>VLOOKUP(Medical_Examinations_2[[#This Row],[Customer ID]],Medical_Examinations!$1:$1048576,11,FALSE)</f>
        <v>Yes</v>
      </c>
      <c r="J231" t="str">
        <f>VLOOKUP(Medical_Examinations_2[[#This Row],[Customer ID]],Medical_Examinations!$1:$1048576,3,FALSE)</f>
        <v>Obesity</v>
      </c>
    </row>
    <row r="232" spans="1:10" x14ac:dyDescent="0.25">
      <c r="A232" s="10" t="s">
        <v>258</v>
      </c>
      <c r="B232" t="str">
        <f>VLOOKUP(Customer_Names!A232,Customer_Names!$1:$1048576,4,FALSE)</f>
        <v>Andrew</v>
      </c>
      <c r="C232">
        <f>VLOOKUP(Medical_Examinations_2[[#This Row],[Customer ID]],Medical_Examinations!$1:$1048576,2,FALSE)</f>
        <v>34.9</v>
      </c>
      <c r="D232">
        <f>VLOOKUP(Medical_Examinations_2[[#This Row],[Customer ID]],Medical_Examinations!$1:$1048576,4,FALSE)</f>
        <v>6.22</v>
      </c>
      <c r="E232" t="str">
        <f>VLOOKUP(Medical_Examinations_2[[#This Row],[Customer ID]],Medical_Examinations!$1:$1048576,6,FALSE)</f>
        <v>No</v>
      </c>
      <c r="H232">
        <f>VLOOKUP(Medical_Examinations_2[[#This Row],[Customer ID]],Medical_Examinations!$1:$1048576,9,FALSE)</f>
        <v>1</v>
      </c>
      <c r="I232" t="str">
        <f>VLOOKUP(Medical_Examinations_2[[#This Row],[Customer ID]],Medical_Examinations!$1:$1048576,11,FALSE)</f>
        <v>Yes</v>
      </c>
      <c r="J232" t="str">
        <f>VLOOKUP(Medical_Examinations_2[[#This Row],[Customer ID]],Medical_Examinations!$1:$1048576,3,FALSE)</f>
        <v>Obesity</v>
      </c>
    </row>
    <row r="233" spans="1:10" x14ac:dyDescent="0.25">
      <c r="A233" s="11" t="s">
        <v>259</v>
      </c>
      <c r="B233" t="str">
        <f>VLOOKUP(Customer_Names!A233,Customer_Names!$1:$1048576,4,FALSE)</f>
        <v>Anders J</v>
      </c>
      <c r="C233">
        <f>VLOOKUP(Medical_Examinations_2[[#This Row],[Customer ID]],Medical_Examinations!$1:$1048576,2,FALSE)</f>
        <v>31.13</v>
      </c>
      <c r="D233">
        <f>VLOOKUP(Medical_Examinations_2[[#This Row],[Customer ID]],Medical_Examinations!$1:$1048576,4,FALSE)</f>
        <v>4.5199999999999996</v>
      </c>
      <c r="E233" t="str">
        <f>VLOOKUP(Medical_Examinations_2[[#This Row],[Customer ID]],Medical_Examinations!$1:$1048576,6,FALSE)</f>
        <v>Yes</v>
      </c>
      <c r="H233">
        <f>VLOOKUP(Medical_Examinations_2[[#This Row],[Customer ID]],Medical_Examinations!$1:$1048576,9,FALSE)</f>
        <v>1</v>
      </c>
      <c r="I233" t="str">
        <f>VLOOKUP(Medical_Examinations_2[[#This Row],[Customer ID]],Medical_Examinations!$1:$1048576,11,FALSE)</f>
        <v>Yes</v>
      </c>
      <c r="J233" t="str">
        <f>VLOOKUP(Medical_Examinations_2[[#This Row],[Customer ID]],Medical_Examinations!$1:$1048576,3,FALSE)</f>
        <v>Obesity</v>
      </c>
    </row>
    <row r="234" spans="1:10" x14ac:dyDescent="0.25">
      <c r="A234" s="10" t="s">
        <v>260</v>
      </c>
      <c r="B234" t="str">
        <f>VLOOKUP(Customer_Names!A234,Customer_Names!$1:$1048576,4,FALSE)</f>
        <v>Sean</v>
      </c>
      <c r="C234">
        <f>VLOOKUP(Medical_Examinations_2[[#This Row],[Customer ID]],Medical_Examinations!$1:$1048576,2,FALSE)</f>
        <v>34.799999999999997</v>
      </c>
      <c r="D234">
        <f>VLOOKUP(Medical_Examinations_2[[#This Row],[Customer ID]],Medical_Examinations!$1:$1048576,4,FALSE)</f>
        <v>6.18</v>
      </c>
      <c r="E234" t="str">
        <f>VLOOKUP(Medical_Examinations_2[[#This Row],[Customer ID]],Medical_Examinations!$1:$1048576,6,FALSE)</f>
        <v>No</v>
      </c>
      <c r="H234">
        <f>VLOOKUP(Medical_Examinations_2[[#This Row],[Customer ID]],Medical_Examinations!$1:$1048576,9,FALSE)</f>
        <v>1</v>
      </c>
      <c r="I234" t="str">
        <f>VLOOKUP(Medical_Examinations_2[[#This Row],[Customer ID]],Medical_Examinations!$1:$1048576,11,FALSE)</f>
        <v>Yes</v>
      </c>
      <c r="J234" t="str">
        <f>VLOOKUP(Medical_Examinations_2[[#This Row],[Customer ID]],Medical_Examinations!$1:$1048576,3,FALSE)</f>
        <v>Obesity</v>
      </c>
    </row>
    <row r="235" spans="1:10" x14ac:dyDescent="0.25">
      <c r="A235" s="11" t="s">
        <v>261</v>
      </c>
      <c r="B235" t="str">
        <f>VLOOKUP(Customer_Names!A235,Customer_Names!$1:$1048576,4,FALSE)</f>
        <v>Brian M.</v>
      </c>
      <c r="C235">
        <f>VLOOKUP(Medical_Examinations_2[[#This Row],[Customer ID]],Medical_Examinations!$1:$1048576,2,FALSE)</f>
        <v>31.68</v>
      </c>
      <c r="D235">
        <f>VLOOKUP(Medical_Examinations_2[[#This Row],[Customer ID]],Medical_Examinations!$1:$1048576,4,FALSE)</f>
        <v>4.4000000000000004</v>
      </c>
      <c r="E235" t="str">
        <f>VLOOKUP(Medical_Examinations_2[[#This Row],[Customer ID]],Medical_Examinations!$1:$1048576,6,FALSE)</f>
        <v>No</v>
      </c>
      <c r="H235" t="str">
        <f>VLOOKUP(Medical_Examinations_2[[#This Row],[Customer ID]],Medical_Examinations!$1:$1048576,9,FALSE)</f>
        <v>No major surgery</v>
      </c>
      <c r="I235" t="str">
        <f>VLOOKUP(Medical_Examinations_2[[#This Row],[Customer ID]],Medical_Examinations!$1:$1048576,11,FALSE)</f>
        <v>Yes</v>
      </c>
      <c r="J235" t="str">
        <f>VLOOKUP(Medical_Examinations_2[[#This Row],[Customer ID]],Medical_Examinations!$1:$1048576,3,FALSE)</f>
        <v>Obesity</v>
      </c>
    </row>
    <row r="236" spans="1:10" x14ac:dyDescent="0.25">
      <c r="A236" s="10" t="s">
        <v>262</v>
      </c>
      <c r="B236" t="str">
        <f>VLOOKUP(Customer_Names!A236,Customer_Names!$1:$1048576,4,FALSE)</f>
        <v>Jeremy</v>
      </c>
      <c r="C236">
        <f>VLOOKUP(Medical_Examinations_2[[#This Row],[Customer ID]],Medical_Examinations!$1:$1048576,2,FALSE)</f>
        <v>33.534999999999997</v>
      </c>
      <c r="D236">
        <f>VLOOKUP(Medical_Examinations_2[[#This Row],[Customer ID]],Medical_Examinations!$1:$1048576,4,FALSE)</f>
        <v>6.23</v>
      </c>
      <c r="E236" t="str">
        <f>VLOOKUP(Medical_Examinations_2[[#This Row],[Customer ID]],Medical_Examinations!$1:$1048576,6,FALSE)</f>
        <v>No</v>
      </c>
      <c r="H236">
        <f>VLOOKUP(Medical_Examinations_2[[#This Row],[Customer ID]],Medical_Examinations!$1:$1048576,9,FALSE)</f>
        <v>1</v>
      </c>
      <c r="I236" t="str">
        <f>VLOOKUP(Medical_Examinations_2[[#This Row],[Customer ID]],Medical_Examinations!$1:$1048576,11,FALSE)</f>
        <v>Yes</v>
      </c>
      <c r="J236" t="str">
        <f>VLOOKUP(Medical_Examinations_2[[#This Row],[Customer ID]],Medical_Examinations!$1:$1048576,3,FALSE)</f>
        <v>Obesity</v>
      </c>
    </row>
    <row r="237" spans="1:10" x14ac:dyDescent="0.25">
      <c r="A237" s="11" t="s">
        <v>263</v>
      </c>
      <c r="B237" t="str">
        <f>VLOOKUP(Customer_Names!A237,Customer_Names!$1:$1048576,4,FALSE)</f>
        <v>Susannah</v>
      </c>
      <c r="C237">
        <f>VLOOKUP(Medical_Examinations_2[[#This Row],[Customer ID]],Medical_Examinations!$1:$1048576,2,FALSE)</f>
        <v>31.92</v>
      </c>
      <c r="D237">
        <f>VLOOKUP(Medical_Examinations_2[[#This Row],[Customer ID]],Medical_Examinations!$1:$1048576,4,FALSE)</f>
        <v>5.33</v>
      </c>
      <c r="E237" t="str">
        <f>VLOOKUP(Medical_Examinations_2[[#This Row],[Customer ID]],Medical_Examinations!$1:$1048576,6,FALSE)</f>
        <v>Yes</v>
      </c>
      <c r="H237" t="str">
        <f>VLOOKUP(Medical_Examinations_2[[#This Row],[Customer ID]],Medical_Examinations!$1:$1048576,9,FALSE)</f>
        <v>No major surgery</v>
      </c>
      <c r="I237" t="str">
        <f>VLOOKUP(Medical_Examinations_2[[#This Row],[Customer ID]],Medical_Examinations!$1:$1048576,11,FALSE)</f>
        <v>Yes</v>
      </c>
      <c r="J237" t="str">
        <f>VLOOKUP(Medical_Examinations_2[[#This Row],[Customer ID]],Medical_Examinations!$1:$1048576,3,FALSE)</f>
        <v>Obesity</v>
      </c>
    </row>
    <row r="238" spans="1:10" x14ac:dyDescent="0.25">
      <c r="A238" s="10" t="s">
        <v>264</v>
      </c>
      <c r="B238" t="str">
        <f>VLOOKUP(Customer_Names!A238,Customer_Names!$1:$1048576,4,FALSE)</f>
        <v>Randy</v>
      </c>
      <c r="C238">
        <f>VLOOKUP(Medical_Examinations_2[[#This Row],[Customer ID]],Medical_Examinations!$1:$1048576,2,FALSE)</f>
        <v>32.700000000000003</v>
      </c>
      <c r="D238">
        <f>VLOOKUP(Medical_Examinations_2[[#This Row],[Customer ID]],Medical_Examinations!$1:$1048576,4,FALSE)</f>
        <v>4.09</v>
      </c>
      <c r="E238" t="str">
        <f>VLOOKUP(Medical_Examinations_2[[#This Row],[Customer ID]],Medical_Examinations!$1:$1048576,6,FALSE)</f>
        <v>No</v>
      </c>
      <c r="H238">
        <f>VLOOKUP(Medical_Examinations_2[[#This Row],[Customer ID]],Medical_Examinations!$1:$1048576,9,FALSE)</f>
        <v>1</v>
      </c>
      <c r="I238" t="str">
        <f>VLOOKUP(Medical_Examinations_2[[#This Row],[Customer ID]],Medical_Examinations!$1:$1048576,11,FALSE)</f>
        <v>Yes</v>
      </c>
      <c r="J238" t="str">
        <f>VLOOKUP(Medical_Examinations_2[[#This Row],[Customer ID]],Medical_Examinations!$1:$1048576,3,FALSE)</f>
        <v>Obesity</v>
      </c>
    </row>
    <row r="239" spans="1:10" x14ac:dyDescent="0.25">
      <c r="A239" s="11" t="s">
        <v>265</v>
      </c>
      <c r="B239" t="str">
        <f>VLOOKUP(Customer_Names!A239,Customer_Names!$1:$1048576,4,FALSE)</f>
        <v>Leslie</v>
      </c>
      <c r="C239">
        <f>VLOOKUP(Medical_Examinations_2[[#This Row],[Customer ID]],Medical_Examinations!$1:$1048576,2,FALSE)</f>
        <v>41.25</v>
      </c>
      <c r="D239">
        <f>VLOOKUP(Medical_Examinations_2[[#This Row],[Customer ID]],Medical_Examinations!$1:$1048576,4,FALSE)</f>
        <v>5.19</v>
      </c>
      <c r="E239" t="str">
        <f>VLOOKUP(Medical_Examinations_2[[#This Row],[Customer ID]],Medical_Examinations!$1:$1048576,6,FALSE)</f>
        <v>No</v>
      </c>
      <c r="H239" t="str">
        <f>VLOOKUP(Medical_Examinations_2[[#This Row],[Customer ID]],Medical_Examinations!$1:$1048576,9,FALSE)</f>
        <v>No major surgery</v>
      </c>
      <c r="I239" t="str">
        <f>VLOOKUP(Medical_Examinations_2[[#This Row],[Customer ID]],Medical_Examinations!$1:$1048576,11,FALSE)</f>
        <v>Yes</v>
      </c>
      <c r="J239" t="str">
        <f>VLOOKUP(Medical_Examinations_2[[#This Row],[Customer ID]],Medical_Examinations!$1:$1048576,3,FALSE)</f>
        <v>Obesity</v>
      </c>
    </row>
    <row r="240" spans="1:10" x14ac:dyDescent="0.25">
      <c r="A240" s="10" t="s">
        <v>266</v>
      </c>
      <c r="B240" t="str">
        <f>VLOOKUP(Customer_Names!A240,Customer_Names!$1:$1048576,4,FALSE)</f>
        <v>Brittany L.</v>
      </c>
      <c r="C240">
        <f>VLOOKUP(Medical_Examinations_2[[#This Row],[Customer ID]],Medical_Examinations!$1:$1048576,2,FALSE)</f>
        <v>33.11</v>
      </c>
      <c r="D240">
        <f>VLOOKUP(Medical_Examinations_2[[#This Row],[Customer ID]],Medical_Examinations!$1:$1048576,4,FALSE)</f>
        <v>4.12</v>
      </c>
      <c r="E240" t="str">
        <f>VLOOKUP(Medical_Examinations_2[[#This Row],[Customer ID]],Medical_Examinations!$1:$1048576,6,FALSE)</f>
        <v>No</v>
      </c>
      <c r="H240">
        <f>VLOOKUP(Medical_Examinations_2[[#This Row],[Customer ID]],Medical_Examinations!$1:$1048576,9,FALSE)</f>
        <v>1</v>
      </c>
      <c r="I240" t="str">
        <f>VLOOKUP(Medical_Examinations_2[[#This Row],[Customer ID]],Medical_Examinations!$1:$1048576,11,FALSE)</f>
        <v>Yes</v>
      </c>
      <c r="J240" t="str">
        <f>VLOOKUP(Medical_Examinations_2[[#This Row],[Customer ID]],Medical_Examinations!$1:$1048576,3,FALSE)</f>
        <v>Obesity</v>
      </c>
    </row>
    <row r="241" spans="1:10" x14ac:dyDescent="0.25">
      <c r="A241" s="11" t="s">
        <v>267</v>
      </c>
      <c r="B241" t="str">
        <f>VLOOKUP(Customer_Names!A241,Customer_Names!$1:$1048576,4,FALSE)</f>
        <v>Cassie J.</v>
      </c>
      <c r="C241">
        <f>VLOOKUP(Medical_Examinations_2[[#This Row],[Customer ID]],Medical_Examinations!$1:$1048576,2,FALSE)</f>
        <v>36.159999999999997</v>
      </c>
      <c r="D241">
        <f>VLOOKUP(Medical_Examinations_2[[#This Row],[Customer ID]],Medical_Examinations!$1:$1048576,4,FALSE)</f>
        <v>5.0999999999999996</v>
      </c>
      <c r="E241" t="str">
        <f>VLOOKUP(Medical_Examinations_2[[#This Row],[Customer ID]],Medical_Examinations!$1:$1048576,6,FALSE)</f>
        <v>No</v>
      </c>
      <c r="H241">
        <f>VLOOKUP(Medical_Examinations_2[[#This Row],[Customer ID]],Medical_Examinations!$1:$1048576,9,FALSE)</f>
        <v>1</v>
      </c>
      <c r="I241" t="str">
        <f>VLOOKUP(Medical_Examinations_2[[#This Row],[Customer ID]],Medical_Examinations!$1:$1048576,11,FALSE)</f>
        <v>Yes</v>
      </c>
      <c r="J241" t="str">
        <f>VLOOKUP(Medical_Examinations_2[[#This Row],[Customer ID]],Medical_Examinations!$1:$1048576,3,FALSE)</f>
        <v>Obesity</v>
      </c>
    </row>
    <row r="242" spans="1:10" x14ac:dyDescent="0.25">
      <c r="A242" s="10" t="s">
        <v>268</v>
      </c>
      <c r="B242" t="str">
        <f>VLOOKUP(Customer_Names!A242,Customer_Names!$1:$1048576,4,FALSE)</f>
        <v>Peter W</v>
      </c>
      <c r="C242">
        <f>VLOOKUP(Medical_Examinations_2[[#This Row],[Customer ID]],Medical_Examinations!$1:$1048576,2,FALSE)</f>
        <v>33.72</v>
      </c>
      <c r="D242">
        <f>VLOOKUP(Medical_Examinations_2[[#This Row],[Customer ID]],Medical_Examinations!$1:$1048576,4,FALSE)</f>
        <v>6.21</v>
      </c>
      <c r="E242" t="str">
        <f>VLOOKUP(Medical_Examinations_2[[#This Row],[Customer ID]],Medical_Examinations!$1:$1048576,6,FALSE)</f>
        <v>Yes</v>
      </c>
      <c r="H242">
        <f>VLOOKUP(Medical_Examinations_2[[#This Row],[Customer ID]],Medical_Examinations!$1:$1048576,9,FALSE)</f>
        <v>1</v>
      </c>
      <c r="I242" t="str">
        <f>VLOOKUP(Medical_Examinations_2[[#This Row],[Customer ID]],Medical_Examinations!$1:$1048576,11,FALSE)</f>
        <v>Yes</v>
      </c>
      <c r="J242" t="str">
        <f>VLOOKUP(Medical_Examinations_2[[#This Row],[Customer ID]],Medical_Examinations!$1:$1048576,3,FALSE)</f>
        <v>Obesity</v>
      </c>
    </row>
    <row r="243" spans="1:10" x14ac:dyDescent="0.25">
      <c r="A243" s="11" t="s">
        <v>269</v>
      </c>
      <c r="B243" t="str">
        <f>VLOOKUP(Customer_Names!A243,Customer_Names!$1:$1048576,4,FALSE)</f>
        <v>Douglas</v>
      </c>
      <c r="C243">
        <f>VLOOKUP(Medical_Examinations_2[[#This Row],[Customer ID]],Medical_Examinations!$1:$1048576,2,FALSE)</f>
        <v>37.74</v>
      </c>
      <c r="D243">
        <f>VLOOKUP(Medical_Examinations_2[[#This Row],[Customer ID]],Medical_Examinations!$1:$1048576,4,FALSE)</f>
        <v>9.5299999999999994</v>
      </c>
      <c r="E243" t="str">
        <f>VLOOKUP(Medical_Examinations_2[[#This Row],[Customer ID]],Medical_Examinations!$1:$1048576,6,FALSE)</f>
        <v>Yes</v>
      </c>
      <c r="H243">
        <f>VLOOKUP(Medical_Examinations_2[[#This Row],[Customer ID]],Medical_Examinations!$1:$1048576,9,FALSE)</f>
        <v>1</v>
      </c>
      <c r="I243" t="str">
        <f>VLOOKUP(Medical_Examinations_2[[#This Row],[Customer ID]],Medical_Examinations!$1:$1048576,11,FALSE)</f>
        <v>Yes</v>
      </c>
    </row>
    <row r="244" spans="1:10" x14ac:dyDescent="0.25">
      <c r="A244" s="10" t="s">
        <v>270</v>
      </c>
      <c r="B244" t="str">
        <f>VLOOKUP(Customer_Names!A244,Customer_Names!$1:$1048576,4,FALSE)</f>
        <v>Dan</v>
      </c>
      <c r="C244">
        <f>VLOOKUP(Medical_Examinations_2[[#This Row],[Customer ID]],Medical_Examinations!$1:$1048576,2,FALSE)</f>
        <v>48.75</v>
      </c>
      <c r="D244">
        <f>VLOOKUP(Medical_Examinations_2[[#This Row],[Customer ID]],Medical_Examinations!$1:$1048576,4,FALSE)</f>
        <v>4.6399999999999997</v>
      </c>
      <c r="E244" t="str">
        <f>VLOOKUP(Medical_Examinations_2[[#This Row],[Customer ID]],Medical_Examinations!$1:$1048576,6,FALSE)</f>
        <v>Yes</v>
      </c>
      <c r="H244">
        <f>VLOOKUP(Medical_Examinations_2[[#This Row],[Customer ID]],Medical_Examinations!$1:$1048576,9,FALSE)</f>
        <v>1</v>
      </c>
      <c r="I244" t="str">
        <f>VLOOKUP(Medical_Examinations_2[[#This Row],[Customer ID]],Medical_Examinations!$1:$1048576,11,FALSE)</f>
        <v>Yes</v>
      </c>
    </row>
    <row r="245" spans="1:10" x14ac:dyDescent="0.25">
      <c r="A245" s="11" t="s">
        <v>271</v>
      </c>
      <c r="B245" t="str">
        <f>VLOOKUP(Customer_Names!A245,Customer_Names!$1:$1048576,4,FALSE)</f>
        <v>Dan M.</v>
      </c>
      <c r="C245">
        <f>VLOOKUP(Medical_Examinations_2[[#This Row],[Customer ID]],Medical_Examinations!$1:$1048576,2,FALSE)</f>
        <v>31.065000000000001</v>
      </c>
      <c r="D245">
        <f>VLOOKUP(Medical_Examinations_2[[#This Row],[Customer ID]],Medical_Examinations!$1:$1048576,4,FALSE)</f>
        <v>5.05</v>
      </c>
      <c r="E245" t="str">
        <f>VLOOKUP(Medical_Examinations_2[[#This Row],[Customer ID]],Medical_Examinations!$1:$1048576,6,FALSE)</f>
        <v>No</v>
      </c>
      <c r="H245">
        <f>VLOOKUP(Medical_Examinations_2[[#This Row],[Customer ID]],Medical_Examinations!$1:$1048576,9,FALSE)</f>
        <v>1</v>
      </c>
      <c r="I245" t="str">
        <f>VLOOKUP(Medical_Examinations_2[[#This Row],[Customer ID]],Medical_Examinations!$1:$1048576,11,FALSE)</f>
        <v>Yes</v>
      </c>
    </row>
    <row r="246" spans="1:10" x14ac:dyDescent="0.25">
      <c r="A246" s="10" t="s">
        <v>272</v>
      </c>
      <c r="B246" t="str">
        <f>VLOOKUP(Customer_Names!A246,Customer_Names!$1:$1048576,4,FALSE)</f>
        <v>Eric L.</v>
      </c>
      <c r="C246">
        <f>VLOOKUP(Medical_Examinations_2[[#This Row],[Customer ID]],Medical_Examinations!$1:$1048576,2,FALSE)</f>
        <v>23.55</v>
      </c>
      <c r="D246">
        <f>VLOOKUP(Medical_Examinations_2[[#This Row],[Customer ID]],Medical_Examinations!$1:$1048576,4,FALSE)</f>
        <v>10.38</v>
      </c>
      <c r="E246" t="str">
        <f>VLOOKUP(Medical_Examinations_2[[#This Row],[Customer ID]],Medical_Examinations!$1:$1048576,6,FALSE)</f>
        <v>No</v>
      </c>
      <c r="H246" t="str">
        <f>VLOOKUP(Medical_Examinations_2[[#This Row],[Customer ID]],Medical_Examinations!$1:$1048576,9,FALSE)</f>
        <v>No major surgery</v>
      </c>
      <c r="I246" t="str">
        <f>VLOOKUP(Medical_Examinations_2[[#This Row],[Customer ID]],Medical_Examinations!$1:$1048576,11,FALSE)</f>
        <v>Yes</v>
      </c>
    </row>
    <row r="247" spans="1:10" x14ac:dyDescent="0.25">
      <c r="A247" s="11" t="s">
        <v>273</v>
      </c>
      <c r="B247" t="str">
        <f>VLOOKUP(Customer_Names!A247,Customer_Names!$1:$1048576,4,FALSE)</f>
        <v>Les J</v>
      </c>
      <c r="C247">
        <f>VLOOKUP(Medical_Examinations_2[[#This Row],[Customer ID]],Medical_Examinations!$1:$1048576,2,FALSE)</f>
        <v>30.18</v>
      </c>
      <c r="D247">
        <f>VLOOKUP(Medical_Examinations_2[[#This Row],[Customer ID]],Medical_Examinations!$1:$1048576,4,FALSE)</f>
        <v>8.31</v>
      </c>
      <c r="E247" t="str">
        <f>VLOOKUP(Medical_Examinations_2[[#This Row],[Customer ID]],Medical_Examinations!$1:$1048576,6,FALSE)</f>
        <v>Yes</v>
      </c>
      <c r="H247">
        <f>VLOOKUP(Medical_Examinations_2[[#This Row],[Customer ID]],Medical_Examinations!$1:$1048576,9,FALSE)</f>
        <v>1</v>
      </c>
      <c r="I247" t="str">
        <f>VLOOKUP(Medical_Examinations_2[[#This Row],[Customer ID]],Medical_Examinations!$1:$1048576,11,FALSE)</f>
        <v>Yes</v>
      </c>
    </row>
    <row r="248" spans="1:10" x14ac:dyDescent="0.25">
      <c r="A248" s="10" t="s">
        <v>274</v>
      </c>
      <c r="B248" t="str">
        <f>VLOOKUP(Customer_Names!A248,Customer_Names!$1:$1048576,4,FALSE)</f>
        <v>Stephanie</v>
      </c>
      <c r="C248">
        <f>VLOOKUP(Medical_Examinations_2[[#This Row],[Customer ID]],Medical_Examinations!$1:$1048576,2,FALSE)</f>
        <v>29.94</v>
      </c>
      <c r="D248">
        <f>VLOOKUP(Medical_Examinations_2[[#This Row],[Customer ID]],Medical_Examinations!$1:$1048576,4,FALSE)</f>
        <v>7.59</v>
      </c>
      <c r="E248" t="str">
        <f>VLOOKUP(Medical_Examinations_2[[#This Row],[Customer ID]],Medical_Examinations!$1:$1048576,6,FALSE)</f>
        <v>No</v>
      </c>
      <c r="H248" t="str">
        <f>VLOOKUP(Medical_Examinations_2[[#This Row],[Customer ID]],Medical_Examinations!$1:$1048576,9,FALSE)</f>
        <v>No major surgery</v>
      </c>
      <c r="I248" t="str">
        <f>VLOOKUP(Medical_Examinations_2[[#This Row],[Customer ID]],Medical_Examinations!$1:$1048576,11,FALSE)</f>
        <v>Yes</v>
      </c>
    </row>
    <row r="249" spans="1:10" x14ac:dyDescent="0.25">
      <c r="A249" s="11" t="s">
        <v>276</v>
      </c>
      <c r="B249" t="str">
        <f>VLOOKUP(Customer_Names!A249,Customer_Names!$1:$1048576,4,FALSE)</f>
        <v>Melissa Y</v>
      </c>
      <c r="C249">
        <f>VLOOKUP(Medical_Examinations_2[[#This Row],[Customer ID]],Medical_Examinations!$1:$1048576,2,FALSE)</f>
        <v>31.4</v>
      </c>
      <c r="D249">
        <f>VLOOKUP(Medical_Examinations_2[[#This Row],[Customer ID]],Medical_Examinations!$1:$1048576,4,FALSE)</f>
        <v>5.49</v>
      </c>
      <c r="E249" t="str">
        <f>VLOOKUP(Medical_Examinations_2[[#This Row],[Customer ID]],Medical_Examinations!$1:$1048576,6,FALSE)</f>
        <v>No</v>
      </c>
      <c r="H249" t="str">
        <f>VLOOKUP(Medical_Examinations_2[[#This Row],[Customer ID]],Medical_Examinations!$1:$1048576,9,FALSE)</f>
        <v>No major surgery</v>
      </c>
      <c r="I249" t="str">
        <f>VLOOKUP(Medical_Examinations_2[[#This Row],[Customer ID]],Medical_Examinations!$1:$1048576,11,FALSE)</f>
        <v>Yes</v>
      </c>
    </row>
    <row r="250" spans="1:10" x14ac:dyDescent="0.25">
      <c r="A250" s="10" t="s">
        <v>277</v>
      </c>
      <c r="B250" t="str">
        <f>VLOOKUP(Customer_Names!A250,Customer_Names!$1:$1048576,4,FALSE)</f>
        <v>Ashley</v>
      </c>
      <c r="C250">
        <f>VLOOKUP(Medical_Examinations_2[[#This Row],[Customer ID]],Medical_Examinations!$1:$1048576,2,FALSE)</f>
        <v>53.06</v>
      </c>
      <c r="D250">
        <f>VLOOKUP(Medical_Examinations_2[[#This Row],[Customer ID]],Medical_Examinations!$1:$1048576,4,FALSE)</f>
        <v>11.68</v>
      </c>
      <c r="E250" t="str">
        <f>VLOOKUP(Medical_Examinations_2[[#This Row],[Customer ID]],Medical_Examinations!$1:$1048576,6,FALSE)</f>
        <v>No</v>
      </c>
      <c r="H250" t="str">
        <f>VLOOKUP(Medical_Examinations_2[[#This Row],[Customer ID]],Medical_Examinations!$1:$1048576,9,FALSE)</f>
        <v>No major surgery</v>
      </c>
      <c r="I250" t="str">
        <f>VLOOKUP(Medical_Examinations_2[[#This Row],[Customer ID]],Medical_Examinations!$1:$1048576,11,FALSE)</f>
        <v>Yes</v>
      </c>
    </row>
    <row r="251" spans="1:10" x14ac:dyDescent="0.25">
      <c r="A251" s="11" t="s">
        <v>278</v>
      </c>
      <c r="B251" t="str">
        <f>VLOOKUP(Customer_Names!A251,Customer_Names!$1:$1048576,4,FALSE)</f>
        <v>Stephanie M.</v>
      </c>
      <c r="C251">
        <f>VLOOKUP(Medical_Examinations_2[[#This Row],[Customer ID]],Medical_Examinations!$1:$1048576,2,FALSE)</f>
        <v>30.25</v>
      </c>
      <c r="D251">
        <f>VLOOKUP(Medical_Examinations_2[[#This Row],[Customer ID]],Medical_Examinations!$1:$1048576,4,FALSE)</f>
        <v>4.1900000000000004</v>
      </c>
      <c r="E251" t="str">
        <f>VLOOKUP(Medical_Examinations_2[[#This Row],[Customer ID]],Medical_Examinations!$1:$1048576,6,FALSE)</f>
        <v>No</v>
      </c>
      <c r="H251">
        <f>VLOOKUP(Medical_Examinations_2[[#This Row],[Customer ID]],Medical_Examinations!$1:$1048576,9,FALSE)</f>
        <v>2</v>
      </c>
      <c r="I251" t="str">
        <f>VLOOKUP(Medical_Examinations_2[[#This Row],[Customer ID]],Medical_Examinations!$1:$1048576,11,FALSE)</f>
        <v>Yes</v>
      </c>
    </row>
    <row r="252" spans="1:10" x14ac:dyDescent="0.25">
      <c r="A252" s="10" t="s">
        <v>279</v>
      </c>
      <c r="B252" t="str">
        <f>VLOOKUP(Customer_Names!A252,Customer_Names!$1:$1048576,4,FALSE)</f>
        <v>Kylie</v>
      </c>
      <c r="C252">
        <f>VLOOKUP(Medical_Examinations_2[[#This Row],[Customer ID]],Medical_Examinations!$1:$1048576,2,FALSE)</f>
        <v>46.68</v>
      </c>
      <c r="D252">
        <f>VLOOKUP(Medical_Examinations_2[[#This Row],[Customer ID]],Medical_Examinations!$1:$1048576,4,FALSE)</f>
        <v>4.01</v>
      </c>
      <c r="E252" t="str">
        <f>VLOOKUP(Medical_Examinations_2[[#This Row],[Customer ID]],Medical_Examinations!$1:$1048576,6,FALSE)</f>
        <v>No</v>
      </c>
      <c r="H252" t="str">
        <f>VLOOKUP(Medical_Examinations_2[[#This Row],[Customer ID]],Medical_Examinations!$1:$1048576,9,FALSE)</f>
        <v>No major surgery</v>
      </c>
      <c r="I252" t="str">
        <f>VLOOKUP(Medical_Examinations_2[[#This Row],[Customer ID]],Medical_Examinations!$1:$1048576,11,FALSE)</f>
        <v>Yes</v>
      </c>
    </row>
    <row r="253" spans="1:10" x14ac:dyDescent="0.25">
      <c r="A253" s="11" t="s">
        <v>280</v>
      </c>
      <c r="B253" t="str">
        <f>VLOOKUP(Customer_Names!A253,Customer_Names!$1:$1048576,4,FALSE)</f>
        <v>Kelly</v>
      </c>
      <c r="C253">
        <f>VLOOKUP(Medical_Examinations_2[[#This Row],[Customer ID]],Medical_Examinations!$1:$1048576,2,FALSE)</f>
        <v>30.4</v>
      </c>
      <c r="D253">
        <f>VLOOKUP(Medical_Examinations_2[[#This Row],[Customer ID]],Medical_Examinations!$1:$1048576,4,FALSE)</f>
        <v>5.91</v>
      </c>
      <c r="E253" t="str">
        <f>VLOOKUP(Medical_Examinations_2[[#This Row],[Customer ID]],Medical_Examinations!$1:$1048576,6,FALSE)</f>
        <v>No</v>
      </c>
      <c r="H253">
        <f>VLOOKUP(Medical_Examinations_2[[#This Row],[Customer ID]],Medical_Examinations!$1:$1048576,9,FALSE)</f>
        <v>2</v>
      </c>
      <c r="I253" t="str">
        <f>VLOOKUP(Medical_Examinations_2[[#This Row],[Customer ID]],Medical_Examinations!$1:$1048576,11,FALSE)</f>
        <v>Yes</v>
      </c>
    </row>
    <row r="254" spans="1:10" x14ac:dyDescent="0.25">
      <c r="A254" s="10" t="s">
        <v>281</v>
      </c>
      <c r="B254" t="str">
        <f>VLOOKUP(Customer_Names!A254,Customer_Names!$1:$1048576,4,FALSE)</f>
        <v>Carrie</v>
      </c>
      <c r="C254">
        <f>VLOOKUP(Medical_Examinations_2[[#This Row],[Customer ID]],Medical_Examinations!$1:$1048576,2,FALSE)</f>
        <v>30.2</v>
      </c>
      <c r="D254">
        <f>VLOOKUP(Medical_Examinations_2[[#This Row],[Customer ID]],Medical_Examinations!$1:$1048576,4,FALSE)</f>
        <v>4.47</v>
      </c>
      <c r="E254" t="str">
        <f>VLOOKUP(Medical_Examinations_2[[#This Row],[Customer ID]],Medical_Examinations!$1:$1048576,6,FALSE)</f>
        <v>Yes</v>
      </c>
      <c r="H254">
        <f>VLOOKUP(Medical_Examinations_2[[#This Row],[Customer ID]],Medical_Examinations!$1:$1048576,9,FALSE)</f>
        <v>1</v>
      </c>
      <c r="I254" t="str">
        <f>VLOOKUP(Medical_Examinations_2[[#This Row],[Customer ID]],Medical_Examinations!$1:$1048576,11,FALSE)</f>
        <v>Yes</v>
      </c>
    </row>
    <row r="255" spans="1:10" x14ac:dyDescent="0.25">
      <c r="A255" s="11" t="s">
        <v>282</v>
      </c>
      <c r="B255" t="str">
        <f>VLOOKUP(Customer_Names!A255,Customer_Names!$1:$1048576,4,FALSE)</f>
        <v>Alex</v>
      </c>
      <c r="C255">
        <f>VLOOKUP(Medical_Examinations_2[[#This Row],[Customer ID]],Medical_Examinations!$1:$1048576,2,FALSE)</f>
        <v>51.18</v>
      </c>
      <c r="D255">
        <f>VLOOKUP(Medical_Examinations_2[[#This Row],[Customer ID]],Medical_Examinations!$1:$1048576,4,FALSE)</f>
        <v>4.5599999999999996</v>
      </c>
      <c r="E255" t="str">
        <f>VLOOKUP(Medical_Examinations_2[[#This Row],[Customer ID]],Medical_Examinations!$1:$1048576,6,FALSE)</f>
        <v>Yes</v>
      </c>
      <c r="H255">
        <f>VLOOKUP(Medical_Examinations_2[[#This Row],[Customer ID]],Medical_Examinations!$1:$1048576,9,FALSE)</f>
        <v>2</v>
      </c>
      <c r="I255" t="str">
        <f>VLOOKUP(Medical_Examinations_2[[#This Row],[Customer ID]],Medical_Examinations!$1:$1048576,11,FALSE)</f>
        <v>Yes</v>
      </c>
    </row>
    <row r="256" spans="1:10" x14ac:dyDescent="0.25">
      <c r="A256" s="10" t="s">
        <v>283</v>
      </c>
      <c r="B256" t="str">
        <f>VLOOKUP(Customer_Names!A256,Customer_Names!$1:$1048576,4,FALSE)</f>
        <v>Zach S</v>
      </c>
      <c r="C256">
        <f>VLOOKUP(Medical_Examinations_2[[#This Row],[Customer ID]],Medical_Examinations!$1:$1048576,2,FALSE)</f>
        <v>22.18</v>
      </c>
      <c r="D256">
        <f>VLOOKUP(Medical_Examinations_2[[#This Row],[Customer ID]],Medical_Examinations!$1:$1048576,4,FALSE)</f>
        <v>9.9</v>
      </c>
      <c r="E256" t="str">
        <f>VLOOKUP(Medical_Examinations_2[[#This Row],[Customer ID]],Medical_Examinations!$1:$1048576,6,FALSE)</f>
        <v>No</v>
      </c>
      <c r="H256" t="str">
        <f>VLOOKUP(Medical_Examinations_2[[#This Row],[Customer ID]],Medical_Examinations!$1:$1048576,9,FALSE)</f>
        <v>No major surgery</v>
      </c>
      <c r="I256" t="str">
        <f>VLOOKUP(Medical_Examinations_2[[#This Row],[Customer ID]],Medical_Examinations!$1:$1048576,11,FALSE)</f>
        <v>Yes</v>
      </c>
    </row>
    <row r="257" spans="1:9" x14ac:dyDescent="0.25">
      <c r="A257" s="11" t="s">
        <v>284</v>
      </c>
      <c r="B257" t="str">
        <f>VLOOKUP(Customer_Names!A257,Customer_Names!$1:$1048576,4,FALSE)</f>
        <v>Alan</v>
      </c>
      <c r="C257">
        <f>VLOOKUP(Medical_Examinations_2[[#This Row],[Customer ID]],Medical_Examinations!$1:$1048576,2,FALSE)</f>
        <v>31.92</v>
      </c>
      <c r="D257">
        <f>VLOOKUP(Medical_Examinations_2[[#This Row],[Customer ID]],Medical_Examinations!$1:$1048576,4,FALSE)</f>
        <v>5.1100000000000003</v>
      </c>
      <c r="E257" t="str">
        <f>VLOOKUP(Medical_Examinations_2[[#This Row],[Customer ID]],Medical_Examinations!$1:$1048576,6,FALSE)</f>
        <v>No</v>
      </c>
      <c r="H257">
        <f>VLOOKUP(Medical_Examinations_2[[#This Row],[Customer ID]],Medical_Examinations!$1:$1048576,9,FALSE)</f>
        <v>1</v>
      </c>
      <c r="I257" t="str">
        <f>VLOOKUP(Medical_Examinations_2[[#This Row],[Customer ID]],Medical_Examinations!$1:$1048576,11,FALSE)</f>
        <v>Yes</v>
      </c>
    </row>
    <row r="258" spans="1:9" x14ac:dyDescent="0.25">
      <c r="A258" s="10" t="s">
        <v>285</v>
      </c>
      <c r="B258" t="str">
        <f>VLOOKUP(Customer_Names!A258,Customer_Names!$1:$1048576,4,FALSE)</f>
        <v>Nate</v>
      </c>
      <c r="C258">
        <f>VLOOKUP(Medical_Examinations_2[[#This Row],[Customer ID]],Medical_Examinations!$1:$1048576,2,FALSE)</f>
        <v>31.73</v>
      </c>
      <c r="D258">
        <f>VLOOKUP(Medical_Examinations_2[[#This Row],[Customer ID]],Medical_Examinations!$1:$1048576,4,FALSE)</f>
        <v>5.73</v>
      </c>
      <c r="E258" t="str">
        <f>VLOOKUP(Medical_Examinations_2[[#This Row],[Customer ID]],Medical_Examinations!$1:$1048576,6,FALSE)</f>
        <v>No</v>
      </c>
      <c r="H258">
        <f>VLOOKUP(Medical_Examinations_2[[#This Row],[Customer ID]],Medical_Examinations!$1:$1048576,9,FALSE)</f>
        <v>1</v>
      </c>
      <c r="I258" t="str">
        <f>VLOOKUP(Medical_Examinations_2[[#This Row],[Customer ID]],Medical_Examinations!$1:$1048576,11,FALSE)</f>
        <v>Yes</v>
      </c>
    </row>
    <row r="259" spans="1:9" x14ac:dyDescent="0.25">
      <c r="A259" s="11" t="s">
        <v>286</v>
      </c>
      <c r="B259" t="str">
        <f>VLOOKUP(Customer_Names!A259,Customer_Names!$1:$1048576,4,FALSE)</f>
        <v>Jesse G.</v>
      </c>
      <c r="C259">
        <f>VLOOKUP(Medical_Examinations_2[[#This Row],[Customer ID]],Medical_Examinations!$1:$1048576,2,FALSE)</f>
        <v>45.52</v>
      </c>
      <c r="D259">
        <f>VLOOKUP(Medical_Examinations_2[[#This Row],[Customer ID]],Medical_Examinations!$1:$1048576,4,FALSE)</f>
        <v>6.04</v>
      </c>
      <c r="E259" t="str">
        <f>VLOOKUP(Medical_Examinations_2[[#This Row],[Customer ID]],Medical_Examinations!$1:$1048576,6,FALSE)</f>
        <v>No</v>
      </c>
      <c r="H259">
        <f>VLOOKUP(Medical_Examinations_2[[#This Row],[Customer ID]],Medical_Examinations!$1:$1048576,9,FALSE)</f>
        <v>1</v>
      </c>
      <c r="I259" t="str">
        <f>VLOOKUP(Medical_Examinations_2[[#This Row],[Customer ID]],Medical_Examinations!$1:$1048576,11,FALSE)</f>
        <v>Yes</v>
      </c>
    </row>
    <row r="260" spans="1:9" x14ac:dyDescent="0.25">
      <c r="A260" s="10" t="s">
        <v>287</v>
      </c>
      <c r="B260" t="str">
        <f>VLOOKUP(Customer_Names!A260,Customer_Names!$1:$1048576,4,FALSE)</f>
        <v>Jason</v>
      </c>
      <c r="C260">
        <f>VLOOKUP(Medical_Examinations_2[[#This Row],[Customer ID]],Medical_Examinations!$1:$1048576,2,FALSE)</f>
        <v>52.81</v>
      </c>
      <c r="D260">
        <f>VLOOKUP(Medical_Examinations_2[[#This Row],[Customer ID]],Medical_Examinations!$1:$1048576,4,FALSE)</f>
        <v>5.19</v>
      </c>
      <c r="E260" t="str">
        <f>VLOOKUP(Medical_Examinations_2[[#This Row],[Customer ID]],Medical_Examinations!$1:$1048576,6,FALSE)</f>
        <v>No</v>
      </c>
      <c r="H260">
        <f>VLOOKUP(Medical_Examinations_2[[#This Row],[Customer ID]],Medical_Examinations!$1:$1048576,9,FALSE)</f>
        <v>1</v>
      </c>
      <c r="I260" t="str">
        <f>VLOOKUP(Medical_Examinations_2[[#This Row],[Customer ID]],Medical_Examinations!$1:$1048576,11,FALSE)</f>
        <v>Yes</v>
      </c>
    </row>
    <row r="261" spans="1:9" x14ac:dyDescent="0.25">
      <c r="A261" s="11" t="s">
        <v>288</v>
      </c>
      <c r="B261" t="str">
        <f>VLOOKUP(Customer_Names!A261,Customer_Names!$1:$1048576,4,FALSE)</f>
        <v>Megan A.</v>
      </c>
      <c r="C261">
        <f>VLOOKUP(Medical_Examinations_2[[#This Row],[Customer ID]],Medical_Examinations!$1:$1048576,2,FALSE)</f>
        <v>33.58</v>
      </c>
      <c r="D261">
        <f>VLOOKUP(Medical_Examinations_2[[#This Row],[Customer ID]],Medical_Examinations!$1:$1048576,4,FALSE)</f>
        <v>5.56</v>
      </c>
      <c r="E261" t="str">
        <f>VLOOKUP(Medical_Examinations_2[[#This Row],[Customer ID]],Medical_Examinations!$1:$1048576,6,FALSE)</f>
        <v>No</v>
      </c>
      <c r="H261">
        <f>VLOOKUP(Medical_Examinations_2[[#This Row],[Customer ID]],Medical_Examinations!$1:$1048576,9,FALSE)</f>
        <v>1</v>
      </c>
      <c r="I261" t="str">
        <f>VLOOKUP(Medical_Examinations_2[[#This Row],[Customer ID]],Medical_Examinations!$1:$1048576,11,FALSE)</f>
        <v>Yes</v>
      </c>
    </row>
    <row r="262" spans="1:9" x14ac:dyDescent="0.25">
      <c r="A262" s="10" t="s">
        <v>289</v>
      </c>
      <c r="B262" t="str">
        <f>VLOOKUP(Customer_Names!A262,Customer_Names!$1:$1048576,4,FALSE)</f>
        <v>Luke M</v>
      </c>
      <c r="C262">
        <f>VLOOKUP(Medical_Examinations_2[[#This Row],[Customer ID]],Medical_Examinations!$1:$1048576,2,FALSE)</f>
        <v>30.684999999999999</v>
      </c>
      <c r="D262">
        <f>VLOOKUP(Medical_Examinations_2[[#This Row],[Customer ID]],Medical_Examinations!$1:$1048576,4,FALSE)</f>
        <v>8.23</v>
      </c>
      <c r="E262" t="str">
        <f>VLOOKUP(Medical_Examinations_2[[#This Row],[Customer ID]],Medical_Examinations!$1:$1048576,6,FALSE)</f>
        <v>No</v>
      </c>
      <c r="H262" t="str">
        <f>VLOOKUP(Medical_Examinations_2[[#This Row],[Customer ID]],Medical_Examinations!$1:$1048576,9,FALSE)</f>
        <v>No major surgery</v>
      </c>
      <c r="I262" t="str">
        <f>VLOOKUP(Medical_Examinations_2[[#This Row],[Customer ID]],Medical_Examinations!$1:$1048576,11,FALSE)</f>
        <v>Yes</v>
      </c>
    </row>
    <row r="263" spans="1:9" x14ac:dyDescent="0.25">
      <c r="A263" s="11" t="s">
        <v>290</v>
      </c>
      <c r="B263" t="str">
        <f>VLOOKUP(Customer_Names!A263,Customer_Names!$1:$1048576,4,FALSE)</f>
        <v>Jacy D</v>
      </c>
      <c r="C263">
        <f>VLOOKUP(Medical_Examinations_2[[#This Row],[Customer ID]],Medical_Examinations!$1:$1048576,2,FALSE)</f>
        <v>37.524999999999999</v>
      </c>
      <c r="D263">
        <f>VLOOKUP(Medical_Examinations_2[[#This Row],[Customer ID]],Medical_Examinations!$1:$1048576,4,FALSE)</f>
        <v>9.0299999999999994</v>
      </c>
      <c r="E263" t="str">
        <f>VLOOKUP(Medical_Examinations_2[[#This Row],[Customer ID]],Medical_Examinations!$1:$1048576,6,FALSE)</f>
        <v>Yes</v>
      </c>
      <c r="H263">
        <f>VLOOKUP(Medical_Examinations_2[[#This Row],[Customer ID]],Medical_Examinations!$1:$1048576,9,FALSE)</f>
        <v>2</v>
      </c>
      <c r="I263" t="str">
        <f>VLOOKUP(Medical_Examinations_2[[#This Row],[Customer ID]],Medical_Examinations!$1:$1048576,11,FALSE)</f>
        <v>No</v>
      </c>
    </row>
    <row r="264" spans="1:9" x14ac:dyDescent="0.25">
      <c r="A264" s="10" t="s">
        <v>291</v>
      </c>
      <c r="B264" t="str">
        <f>VLOOKUP(Customer_Names!A264,Customer_Names!$1:$1048576,4,FALSE)</f>
        <v>Simon G.</v>
      </c>
      <c r="C264">
        <f>VLOOKUP(Medical_Examinations_2[[#This Row],[Customer ID]],Medical_Examinations!$1:$1048576,2,FALSE)</f>
        <v>34.5</v>
      </c>
      <c r="D264">
        <f>VLOOKUP(Medical_Examinations_2[[#This Row],[Customer ID]],Medical_Examinations!$1:$1048576,4,FALSE)</f>
        <v>4.07</v>
      </c>
      <c r="E264" t="str">
        <f>VLOOKUP(Medical_Examinations_2[[#This Row],[Customer ID]],Medical_Examinations!$1:$1048576,6,FALSE)</f>
        <v>Yes</v>
      </c>
      <c r="H264" t="str">
        <f>VLOOKUP(Medical_Examinations_2[[#This Row],[Customer ID]],Medical_Examinations!$1:$1048576,9,FALSE)</f>
        <v>No major surgery</v>
      </c>
      <c r="I264" t="str">
        <f>VLOOKUP(Medical_Examinations_2[[#This Row],[Customer ID]],Medical_Examinations!$1:$1048576,11,FALSE)</f>
        <v>Yes</v>
      </c>
    </row>
    <row r="265" spans="1:9" x14ac:dyDescent="0.25">
      <c r="A265" s="11" t="s">
        <v>292</v>
      </c>
      <c r="B265" t="str">
        <f>VLOOKUP(Customer_Names!A265,Customer_Names!$1:$1048576,4,FALSE)</f>
        <v>Ainsley E.</v>
      </c>
      <c r="C265">
        <f>VLOOKUP(Medical_Examinations_2[[#This Row],[Customer ID]],Medical_Examinations!$1:$1048576,2,FALSE)</f>
        <v>28.16</v>
      </c>
      <c r="D265">
        <f>VLOOKUP(Medical_Examinations_2[[#This Row],[Customer ID]],Medical_Examinations!$1:$1048576,4,FALSE)</f>
        <v>5.77</v>
      </c>
      <c r="E265" t="str">
        <f>VLOOKUP(Medical_Examinations_2[[#This Row],[Customer ID]],Medical_Examinations!$1:$1048576,6,FALSE)</f>
        <v>No</v>
      </c>
      <c r="H265">
        <f>VLOOKUP(Medical_Examinations_2[[#This Row],[Customer ID]],Medical_Examinations!$1:$1048576,9,FALSE)</f>
        <v>2</v>
      </c>
      <c r="I265" t="str">
        <f>VLOOKUP(Medical_Examinations_2[[#This Row],[Customer ID]],Medical_Examinations!$1:$1048576,11,FALSE)</f>
        <v>Yes</v>
      </c>
    </row>
    <row r="266" spans="1:9" x14ac:dyDescent="0.25">
      <c r="A266" s="10" t="s">
        <v>293</v>
      </c>
      <c r="B266" t="str">
        <f>VLOOKUP(Customer_Names!A266,Customer_Names!$1:$1048576,4,FALSE)</f>
        <v>Erica A.</v>
      </c>
      <c r="C266">
        <f>VLOOKUP(Medical_Examinations_2[[#This Row],[Customer ID]],Medical_Examinations!$1:$1048576,2,FALSE)</f>
        <v>30.02</v>
      </c>
      <c r="D266">
        <f>VLOOKUP(Medical_Examinations_2[[#This Row],[Customer ID]],Medical_Examinations!$1:$1048576,4,FALSE)</f>
        <v>5.98</v>
      </c>
      <c r="E266" t="str">
        <f>VLOOKUP(Medical_Examinations_2[[#This Row],[Customer ID]],Medical_Examinations!$1:$1048576,6,FALSE)</f>
        <v>No</v>
      </c>
      <c r="H266">
        <f>VLOOKUP(Medical_Examinations_2[[#This Row],[Customer ID]],Medical_Examinations!$1:$1048576,9,FALSE)</f>
        <v>1</v>
      </c>
      <c r="I266" t="str">
        <f>VLOOKUP(Medical_Examinations_2[[#This Row],[Customer ID]],Medical_Examinations!$1:$1048576,11,FALSE)</f>
        <v>Yes</v>
      </c>
    </row>
    <row r="267" spans="1:9" x14ac:dyDescent="0.25">
      <c r="A267" s="11" t="s">
        <v>294</v>
      </c>
      <c r="B267" t="str">
        <f>VLOOKUP(Customer_Names!A267,Customer_Names!$1:$1048576,4,FALSE)</f>
        <v>Erik</v>
      </c>
      <c r="C267">
        <f>VLOOKUP(Medical_Examinations_2[[#This Row],[Customer ID]],Medical_Examinations!$1:$1048576,2,FALSE)</f>
        <v>37.82</v>
      </c>
      <c r="D267">
        <f>VLOOKUP(Medical_Examinations_2[[#This Row],[Customer ID]],Medical_Examinations!$1:$1048576,4,FALSE)</f>
        <v>6.01</v>
      </c>
      <c r="E267" t="str">
        <f>VLOOKUP(Medical_Examinations_2[[#This Row],[Customer ID]],Medical_Examinations!$1:$1048576,6,FALSE)</f>
        <v>No</v>
      </c>
      <c r="H267" t="str">
        <f>VLOOKUP(Medical_Examinations_2[[#This Row],[Customer ID]],Medical_Examinations!$1:$1048576,9,FALSE)</f>
        <v>No major surgery</v>
      </c>
      <c r="I267" t="str">
        <f>VLOOKUP(Medical_Examinations_2[[#This Row],[Customer ID]],Medical_Examinations!$1:$1048576,11,FALSE)</f>
        <v>Yes</v>
      </c>
    </row>
    <row r="268" spans="1:9" x14ac:dyDescent="0.25">
      <c r="A268" s="10" t="s">
        <v>295</v>
      </c>
      <c r="B268" t="str">
        <f>VLOOKUP(Customer_Names!A268,Customer_Names!$1:$1048576,4,FALSE)</f>
        <v>Erin C.</v>
      </c>
      <c r="C268">
        <f>VLOOKUP(Medical_Examinations_2[[#This Row],[Customer ID]],Medical_Examinations!$1:$1048576,2,FALSE)</f>
        <v>33.14</v>
      </c>
      <c r="D268">
        <f>VLOOKUP(Medical_Examinations_2[[#This Row],[Customer ID]],Medical_Examinations!$1:$1048576,4,FALSE)</f>
        <v>5.67</v>
      </c>
      <c r="E268" t="str">
        <f>VLOOKUP(Medical_Examinations_2[[#This Row],[Customer ID]],Medical_Examinations!$1:$1048576,6,FALSE)</f>
        <v>Yes</v>
      </c>
      <c r="H268" t="str">
        <f>VLOOKUP(Medical_Examinations_2[[#This Row],[Customer ID]],Medical_Examinations!$1:$1048576,9,FALSE)</f>
        <v>No major surgery</v>
      </c>
      <c r="I268" t="str">
        <f>VLOOKUP(Medical_Examinations_2[[#This Row],[Customer ID]],Medical_Examinations!$1:$1048576,11,FALSE)</f>
        <v>Yes</v>
      </c>
    </row>
    <row r="269" spans="1:9" x14ac:dyDescent="0.25">
      <c r="A269" s="11" t="s">
        <v>296</v>
      </c>
      <c r="B269" t="str">
        <f>VLOOKUP(Customer_Names!A269,Customer_Names!$1:$1048576,4,FALSE)</f>
        <v>Adrienne</v>
      </c>
      <c r="C269">
        <f>VLOOKUP(Medical_Examinations_2[[#This Row],[Customer ID]],Medical_Examinations!$1:$1048576,2,FALSE)</f>
        <v>25.14</v>
      </c>
      <c r="D269">
        <f>VLOOKUP(Medical_Examinations_2[[#This Row],[Customer ID]],Medical_Examinations!$1:$1048576,4,FALSE)</f>
        <v>6.02</v>
      </c>
      <c r="E269" t="str">
        <f>VLOOKUP(Medical_Examinations_2[[#This Row],[Customer ID]],Medical_Examinations!$1:$1048576,6,FALSE)</f>
        <v>Yes</v>
      </c>
      <c r="H269">
        <f>VLOOKUP(Medical_Examinations_2[[#This Row],[Customer ID]],Medical_Examinations!$1:$1048576,9,FALSE)</f>
        <v>1</v>
      </c>
      <c r="I269" t="str">
        <f>VLOOKUP(Medical_Examinations_2[[#This Row],[Customer ID]],Medical_Examinations!$1:$1048576,11,FALSE)</f>
        <v>Yes</v>
      </c>
    </row>
    <row r="270" spans="1:9" x14ac:dyDescent="0.25">
      <c r="A270" s="10" t="s">
        <v>297</v>
      </c>
      <c r="B270" t="str">
        <f>VLOOKUP(Customer_Names!A270,Customer_Names!$1:$1048576,4,FALSE)</f>
        <v>Adam</v>
      </c>
      <c r="C270">
        <f>VLOOKUP(Medical_Examinations_2[[#This Row],[Customer ID]],Medical_Examinations!$1:$1048576,2,FALSE)</f>
        <v>20.18</v>
      </c>
      <c r="D270">
        <f>VLOOKUP(Medical_Examinations_2[[#This Row],[Customer ID]],Medical_Examinations!$1:$1048576,4,FALSE)</f>
        <v>11.19</v>
      </c>
      <c r="E270" t="str">
        <f>VLOOKUP(Medical_Examinations_2[[#This Row],[Customer ID]],Medical_Examinations!$1:$1048576,6,FALSE)</f>
        <v>No</v>
      </c>
      <c r="H270" t="str">
        <f>VLOOKUP(Medical_Examinations_2[[#This Row],[Customer ID]],Medical_Examinations!$1:$1048576,9,FALSE)</f>
        <v>No major surgery</v>
      </c>
      <c r="I270" t="str">
        <f>VLOOKUP(Medical_Examinations_2[[#This Row],[Customer ID]],Medical_Examinations!$1:$1048576,11,FALSE)</f>
        <v>Yes</v>
      </c>
    </row>
    <row r="271" spans="1:9" x14ac:dyDescent="0.25">
      <c r="A271" s="11" t="s">
        <v>298</v>
      </c>
      <c r="B271" t="str">
        <f>VLOOKUP(Customer_Names!A271,Customer_Names!$1:$1048576,4,FALSE)</f>
        <v>Yutaka</v>
      </c>
      <c r="C271">
        <f>VLOOKUP(Medical_Examinations_2[[#This Row],[Customer ID]],Medical_Examinations!$1:$1048576,2,FALSE)</f>
        <v>44.36</v>
      </c>
      <c r="D271">
        <f>VLOOKUP(Medical_Examinations_2[[#This Row],[Customer ID]],Medical_Examinations!$1:$1048576,4,FALSE)</f>
        <v>5.1100000000000003</v>
      </c>
      <c r="E271" t="str">
        <f>VLOOKUP(Medical_Examinations_2[[#This Row],[Customer ID]],Medical_Examinations!$1:$1048576,6,FALSE)</f>
        <v>No</v>
      </c>
      <c r="H271" t="str">
        <f>VLOOKUP(Medical_Examinations_2[[#This Row],[Customer ID]],Medical_Examinations!$1:$1048576,9,FALSE)</f>
        <v>No major surgery</v>
      </c>
      <c r="I271" t="str">
        <f>VLOOKUP(Medical_Examinations_2[[#This Row],[Customer ID]],Medical_Examinations!$1:$1048576,11,FALSE)</f>
        <v>Yes</v>
      </c>
    </row>
    <row r="272" spans="1:9" x14ac:dyDescent="0.25">
      <c r="A272" s="10" t="s">
        <v>300</v>
      </c>
      <c r="B272" t="str">
        <f>VLOOKUP(Customer_Names!A272,Customer_Names!$1:$1048576,4,FALSE)</f>
        <v>Tyler M</v>
      </c>
      <c r="C272">
        <f>VLOOKUP(Medical_Examinations_2[[#This Row],[Customer ID]],Medical_Examinations!$1:$1048576,2,FALSE)</f>
        <v>23.82</v>
      </c>
      <c r="D272">
        <f>VLOOKUP(Medical_Examinations_2[[#This Row],[Customer ID]],Medical_Examinations!$1:$1048576,4,FALSE)</f>
        <v>10.85</v>
      </c>
      <c r="E272" t="str">
        <f>VLOOKUP(Medical_Examinations_2[[#This Row],[Customer ID]],Medical_Examinations!$1:$1048576,6,FALSE)</f>
        <v>Yes</v>
      </c>
      <c r="H272" t="str">
        <f>VLOOKUP(Medical_Examinations_2[[#This Row],[Customer ID]],Medical_Examinations!$1:$1048576,9,FALSE)</f>
        <v>No major surgery</v>
      </c>
      <c r="I272" t="str">
        <f>VLOOKUP(Medical_Examinations_2[[#This Row],[Customer ID]],Medical_Examinations!$1:$1048576,11,FALSE)</f>
        <v>Yes</v>
      </c>
    </row>
    <row r="273" spans="1:9" x14ac:dyDescent="0.25">
      <c r="A273" s="11" t="s">
        <v>301</v>
      </c>
      <c r="B273" t="str">
        <f>VLOOKUP(Customer_Names!A273,Customer_Names!$1:$1048576,4,FALSE)</f>
        <v>Stephen</v>
      </c>
      <c r="C273">
        <f>VLOOKUP(Medical_Examinations_2[[#This Row],[Customer ID]],Medical_Examinations!$1:$1048576,2,FALSE)</f>
        <v>45</v>
      </c>
      <c r="D273">
        <f>VLOOKUP(Medical_Examinations_2[[#This Row],[Customer ID]],Medical_Examinations!$1:$1048576,4,FALSE)</f>
        <v>5.24</v>
      </c>
      <c r="E273" t="str">
        <f>VLOOKUP(Medical_Examinations_2[[#This Row],[Customer ID]],Medical_Examinations!$1:$1048576,6,FALSE)</f>
        <v>Yes</v>
      </c>
      <c r="H273">
        <f>VLOOKUP(Medical_Examinations_2[[#This Row],[Customer ID]],Medical_Examinations!$1:$1048576,9,FALSE)</f>
        <v>1</v>
      </c>
      <c r="I273" t="str">
        <f>VLOOKUP(Medical_Examinations_2[[#This Row],[Customer ID]],Medical_Examinations!$1:$1048576,11,FALSE)</f>
        <v>Yes</v>
      </c>
    </row>
    <row r="274" spans="1:9" x14ac:dyDescent="0.25">
      <c r="A274" s="10" t="s">
        <v>302</v>
      </c>
      <c r="B274" t="str">
        <f>VLOOKUP(Customer_Names!A274,Customer_Names!$1:$1048576,4,FALSE)</f>
        <v>Andrew B.</v>
      </c>
      <c r="C274">
        <f>VLOOKUP(Medical_Examinations_2[[#This Row],[Customer ID]],Medical_Examinations!$1:$1048576,2,FALSE)</f>
        <v>26.62</v>
      </c>
      <c r="D274">
        <f>VLOOKUP(Medical_Examinations_2[[#This Row],[Customer ID]],Medical_Examinations!$1:$1048576,4,FALSE)</f>
        <v>10.08</v>
      </c>
      <c r="E274" t="str">
        <f>VLOOKUP(Medical_Examinations_2[[#This Row],[Customer ID]],Medical_Examinations!$1:$1048576,6,FALSE)</f>
        <v>No</v>
      </c>
      <c r="H274" t="str">
        <f>VLOOKUP(Medical_Examinations_2[[#This Row],[Customer ID]],Medical_Examinations!$1:$1048576,9,FALSE)</f>
        <v>No major surgery</v>
      </c>
      <c r="I274" t="str">
        <f>VLOOKUP(Medical_Examinations_2[[#This Row],[Customer ID]],Medical_Examinations!$1:$1048576,11,FALSE)</f>
        <v>Yes</v>
      </c>
    </row>
    <row r="275" spans="1:9" x14ac:dyDescent="0.25">
      <c r="A275" s="11" t="s">
        <v>303</v>
      </c>
      <c r="B275" t="str">
        <f>VLOOKUP(Customer_Names!A275,Customer_Names!$1:$1048576,4,FALSE)</f>
        <v>James</v>
      </c>
      <c r="C275">
        <f>VLOOKUP(Medical_Examinations_2[[#This Row],[Customer ID]],Medical_Examinations!$1:$1048576,2,FALSE)</f>
        <v>32.67</v>
      </c>
      <c r="D275">
        <f>VLOOKUP(Medical_Examinations_2[[#This Row],[Customer ID]],Medical_Examinations!$1:$1048576,4,FALSE)</f>
        <v>10.97</v>
      </c>
      <c r="E275" t="str">
        <f>VLOOKUP(Medical_Examinations_2[[#This Row],[Customer ID]],Medical_Examinations!$1:$1048576,6,FALSE)</f>
        <v>Yes</v>
      </c>
      <c r="H275" t="str">
        <f>VLOOKUP(Medical_Examinations_2[[#This Row],[Customer ID]],Medical_Examinations!$1:$1048576,9,FALSE)</f>
        <v>No major surgery</v>
      </c>
      <c r="I275" t="str">
        <f>VLOOKUP(Medical_Examinations_2[[#This Row],[Customer ID]],Medical_Examinations!$1:$1048576,11,FALSE)</f>
        <v>Yes</v>
      </c>
    </row>
    <row r="276" spans="1:9" x14ac:dyDescent="0.25">
      <c r="A276" s="10" t="s">
        <v>304</v>
      </c>
      <c r="B276" t="str">
        <f>VLOOKUP(Customer_Names!A276,Customer_Names!$1:$1048576,4,FALSE)</f>
        <v>Shawn P.</v>
      </c>
      <c r="C276">
        <f>VLOOKUP(Medical_Examinations_2[[#This Row],[Customer ID]],Medical_Examinations!$1:$1048576,2,FALSE)</f>
        <v>44.44</v>
      </c>
      <c r="D276">
        <f>VLOOKUP(Medical_Examinations_2[[#This Row],[Customer ID]],Medical_Examinations!$1:$1048576,4,FALSE)</f>
        <v>4.9000000000000004</v>
      </c>
      <c r="E276" t="str">
        <f>VLOOKUP(Medical_Examinations_2[[#This Row],[Customer ID]],Medical_Examinations!$1:$1048576,6,FALSE)</f>
        <v>Yes</v>
      </c>
      <c r="H276">
        <f>VLOOKUP(Medical_Examinations_2[[#This Row],[Customer ID]],Medical_Examinations!$1:$1048576,9,FALSE)</f>
        <v>1</v>
      </c>
      <c r="I276" t="str">
        <f>VLOOKUP(Medical_Examinations_2[[#This Row],[Customer ID]],Medical_Examinations!$1:$1048576,11,FALSE)</f>
        <v>Yes</v>
      </c>
    </row>
    <row r="277" spans="1:9" x14ac:dyDescent="0.25">
      <c r="A277" s="11" t="s">
        <v>305</v>
      </c>
      <c r="B277" t="str">
        <f>VLOOKUP(Customer_Names!A277,Customer_Names!$1:$1048576,4,FALSE)</f>
        <v>Matt</v>
      </c>
      <c r="C277">
        <f>VLOOKUP(Medical_Examinations_2[[#This Row],[Customer ID]],Medical_Examinations!$1:$1048576,2,FALSE)</f>
        <v>28.31</v>
      </c>
      <c r="D277">
        <f>VLOOKUP(Medical_Examinations_2[[#This Row],[Customer ID]],Medical_Examinations!$1:$1048576,4,FALSE)</f>
        <v>5.33</v>
      </c>
      <c r="E277" t="str">
        <f>VLOOKUP(Medical_Examinations_2[[#This Row],[Customer ID]],Medical_Examinations!$1:$1048576,6,FALSE)</f>
        <v>No</v>
      </c>
      <c r="H277" t="str">
        <f>VLOOKUP(Medical_Examinations_2[[#This Row],[Customer ID]],Medical_Examinations!$1:$1048576,9,FALSE)</f>
        <v>No major surgery</v>
      </c>
      <c r="I277" t="str">
        <f>VLOOKUP(Medical_Examinations_2[[#This Row],[Customer ID]],Medical_Examinations!$1:$1048576,11,FALSE)</f>
        <v>Yes</v>
      </c>
    </row>
    <row r="278" spans="1:9" x14ac:dyDescent="0.25">
      <c r="A278" s="10" t="s">
        <v>306</v>
      </c>
      <c r="B278" t="str">
        <f>VLOOKUP(Customer_Names!A278,Customer_Names!$1:$1048576,4,FALSE)</f>
        <v>Nathaniel</v>
      </c>
      <c r="C278">
        <f>VLOOKUP(Medical_Examinations_2[[#This Row],[Customer ID]],Medical_Examinations!$1:$1048576,2,FALSE)</f>
        <v>25.05</v>
      </c>
      <c r="D278">
        <f>VLOOKUP(Medical_Examinations_2[[#This Row],[Customer ID]],Medical_Examinations!$1:$1048576,4,FALSE)</f>
        <v>4.6100000000000003</v>
      </c>
      <c r="E278" t="str">
        <f>VLOOKUP(Medical_Examinations_2[[#This Row],[Customer ID]],Medical_Examinations!$1:$1048576,6,FALSE)</f>
        <v>No</v>
      </c>
      <c r="H278">
        <f>VLOOKUP(Medical_Examinations_2[[#This Row],[Customer ID]],Medical_Examinations!$1:$1048576,9,FALSE)</f>
        <v>2</v>
      </c>
      <c r="I278" t="str">
        <f>VLOOKUP(Medical_Examinations_2[[#This Row],[Customer ID]],Medical_Examinations!$1:$1048576,11,FALSE)</f>
        <v>Yes</v>
      </c>
    </row>
    <row r="279" spans="1:9" x14ac:dyDescent="0.25">
      <c r="A279" s="11" t="s">
        <v>307</v>
      </c>
      <c r="B279" t="str">
        <f>VLOOKUP(Customer_Names!A279,Customer_Names!$1:$1048576,4,FALSE)</f>
        <v>Kevin D.</v>
      </c>
      <c r="C279">
        <f>VLOOKUP(Medical_Examinations_2[[#This Row],[Customer ID]],Medical_Examinations!$1:$1048576,2,FALSE)</f>
        <v>28.34</v>
      </c>
      <c r="D279">
        <f>VLOOKUP(Medical_Examinations_2[[#This Row],[Customer ID]],Medical_Examinations!$1:$1048576,4,FALSE)</f>
        <v>8.18</v>
      </c>
      <c r="E279" t="str">
        <f>VLOOKUP(Medical_Examinations_2[[#This Row],[Customer ID]],Medical_Examinations!$1:$1048576,6,FALSE)</f>
        <v>No</v>
      </c>
      <c r="H279" t="str">
        <f>VLOOKUP(Medical_Examinations_2[[#This Row],[Customer ID]],Medical_Examinations!$1:$1048576,9,FALSE)</f>
        <v>No major surgery</v>
      </c>
      <c r="I279" t="str">
        <f>VLOOKUP(Medical_Examinations_2[[#This Row],[Customer ID]],Medical_Examinations!$1:$1048576,11,FALSE)</f>
        <v>Yes</v>
      </c>
    </row>
    <row r="280" spans="1:9" x14ac:dyDescent="0.25">
      <c r="A280" s="10" t="s">
        <v>308</v>
      </c>
      <c r="B280" t="str">
        <f>VLOOKUP(Customer_Names!A280,Customer_Names!$1:$1048576,4,FALSE)</f>
        <v>Joan</v>
      </c>
      <c r="C280">
        <f>VLOOKUP(Medical_Examinations_2[[#This Row],[Customer ID]],Medical_Examinations!$1:$1048576,2,FALSE)</f>
        <v>17.765000000000001</v>
      </c>
      <c r="D280">
        <f>VLOOKUP(Medical_Examinations_2[[#This Row],[Customer ID]],Medical_Examinations!$1:$1048576,4,FALSE)</f>
        <v>5.62</v>
      </c>
      <c r="E280" t="str">
        <f>VLOOKUP(Medical_Examinations_2[[#This Row],[Customer ID]],Medical_Examinations!$1:$1048576,6,FALSE)</f>
        <v>No</v>
      </c>
      <c r="H280" t="str">
        <f>VLOOKUP(Medical_Examinations_2[[#This Row],[Customer ID]],Medical_Examinations!$1:$1048576,9,FALSE)</f>
        <v>No major surgery</v>
      </c>
      <c r="I280" t="str">
        <f>VLOOKUP(Medical_Examinations_2[[#This Row],[Customer ID]],Medical_Examinations!$1:$1048576,11,FALSE)</f>
        <v>Yes</v>
      </c>
    </row>
    <row r="281" spans="1:9" x14ac:dyDescent="0.25">
      <c r="A281" s="11" t="s">
        <v>309</v>
      </c>
      <c r="B281" t="str">
        <f>VLOOKUP(Customer_Names!A281,Customer_Names!$1:$1048576,4,FALSE)</f>
        <v>Christopher A</v>
      </c>
      <c r="C281">
        <f>VLOOKUP(Medical_Examinations_2[[#This Row],[Customer ID]],Medical_Examinations!$1:$1048576,2,FALSE)</f>
        <v>36.119999999999997</v>
      </c>
      <c r="D281">
        <f>VLOOKUP(Medical_Examinations_2[[#This Row],[Customer ID]],Medical_Examinations!$1:$1048576,4,FALSE)</f>
        <v>5.82</v>
      </c>
      <c r="E281" t="str">
        <f>VLOOKUP(Medical_Examinations_2[[#This Row],[Customer ID]],Medical_Examinations!$1:$1048576,6,FALSE)</f>
        <v>No</v>
      </c>
      <c r="H281" t="str">
        <f>VLOOKUP(Medical_Examinations_2[[#This Row],[Customer ID]],Medical_Examinations!$1:$1048576,9,FALSE)</f>
        <v>No major surgery</v>
      </c>
      <c r="I281" t="str">
        <f>VLOOKUP(Medical_Examinations_2[[#This Row],[Customer ID]],Medical_Examinations!$1:$1048576,11,FALSE)</f>
        <v>Yes</v>
      </c>
    </row>
    <row r="282" spans="1:9" x14ac:dyDescent="0.25">
      <c r="A282" s="10" t="s">
        <v>310</v>
      </c>
      <c r="B282" t="str">
        <f>VLOOKUP(Customer_Names!A282,Customer_Names!$1:$1048576,4,FALSE)</f>
        <v>Kacy L.</v>
      </c>
      <c r="C282">
        <f>VLOOKUP(Medical_Examinations_2[[#This Row],[Customer ID]],Medical_Examinations!$1:$1048576,2,FALSE)</f>
        <v>23.19</v>
      </c>
      <c r="D282">
        <f>VLOOKUP(Medical_Examinations_2[[#This Row],[Customer ID]],Medical_Examinations!$1:$1048576,4,FALSE)</f>
        <v>7.66</v>
      </c>
      <c r="E282" t="str">
        <f>VLOOKUP(Medical_Examinations_2[[#This Row],[Customer ID]],Medical_Examinations!$1:$1048576,6,FALSE)</f>
        <v>No</v>
      </c>
      <c r="H282" t="str">
        <f>VLOOKUP(Medical_Examinations_2[[#This Row],[Customer ID]],Medical_Examinations!$1:$1048576,9,FALSE)</f>
        <v>No major surgery</v>
      </c>
      <c r="I282" t="str">
        <f>VLOOKUP(Medical_Examinations_2[[#This Row],[Customer ID]],Medical_Examinations!$1:$1048576,11,FALSE)</f>
        <v>Yes</v>
      </c>
    </row>
    <row r="283" spans="1:9" x14ac:dyDescent="0.25">
      <c r="A283" s="11" t="s">
        <v>311</v>
      </c>
      <c r="B283" t="str">
        <f>VLOOKUP(Customer_Names!A283,Customer_Names!$1:$1048576,4,FALSE)</f>
        <v>Benjamin H.</v>
      </c>
      <c r="C283">
        <f>VLOOKUP(Medical_Examinations_2[[#This Row],[Customer ID]],Medical_Examinations!$1:$1048576,2,FALSE)</f>
        <v>35.99</v>
      </c>
      <c r="D283">
        <f>VLOOKUP(Medical_Examinations_2[[#This Row],[Customer ID]],Medical_Examinations!$1:$1048576,4,FALSE)</f>
        <v>4.2300000000000004</v>
      </c>
      <c r="E283" t="str">
        <f>VLOOKUP(Medical_Examinations_2[[#This Row],[Customer ID]],Medical_Examinations!$1:$1048576,6,FALSE)</f>
        <v>No</v>
      </c>
      <c r="H283" t="str">
        <f>VLOOKUP(Medical_Examinations_2[[#This Row],[Customer ID]],Medical_Examinations!$1:$1048576,9,FALSE)</f>
        <v>No major surgery</v>
      </c>
      <c r="I283" t="str">
        <f>VLOOKUP(Medical_Examinations_2[[#This Row],[Customer ID]],Medical_Examinations!$1:$1048576,11,FALSE)</f>
        <v>Yes</v>
      </c>
    </row>
    <row r="284" spans="1:9" x14ac:dyDescent="0.25">
      <c r="A284" s="10" t="s">
        <v>312</v>
      </c>
      <c r="B284" t="str">
        <f>VLOOKUP(Customer_Names!A284,Customer_Names!$1:$1048576,4,FALSE)</f>
        <v>Xaviour J.</v>
      </c>
      <c r="C284">
        <f>VLOOKUP(Medical_Examinations_2[[#This Row],[Customer ID]],Medical_Examinations!$1:$1048576,2,FALSE)</f>
        <v>30.25</v>
      </c>
      <c r="D284">
        <f>VLOOKUP(Medical_Examinations_2[[#This Row],[Customer ID]],Medical_Examinations!$1:$1048576,4,FALSE)</f>
        <v>5.58</v>
      </c>
      <c r="E284" t="str">
        <f>VLOOKUP(Medical_Examinations_2[[#This Row],[Customer ID]],Medical_Examinations!$1:$1048576,6,FALSE)</f>
        <v>No</v>
      </c>
      <c r="H284">
        <f>VLOOKUP(Medical_Examinations_2[[#This Row],[Customer ID]],Medical_Examinations!$1:$1048576,9,FALSE)</f>
        <v>1</v>
      </c>
      <c r="I284" t="str">
        <f>VLOOKUP(Medical_Examinations_2[[#This Row],[Customer ID]],Medical_Examinations!$1:$1048576,11,FALSE)</f>
        <v>Yes</v>
      </c>
    </row>
    <row r="285" spans="1:9" x14ac:dyDescent="0.25">
      <c r="A285" s="11" t="s">
        <v>313</v>
      </c>
      <c r="B285" t="str">
        <f>VLOOKUP(Customer_Names!A285,Customer_Names!$1:$1048576,4,FALSE)</f>
        <v>Michael T.</v>
      </c>
      <c r="C285">
        <f>VLOOKUP(Medical_Examinations_2[[#This Row],[Customer ID]],Medical_Examinations!$1:$1048576,2,FALSE)</f>
        <v>26.24</v>
      </c>
      <c r="D285">
        <f>VLOOKUP(Medical_Examinations_2[[#This Row],[Customer ID]],Medical_Examinations!$1:$1048576,4,FALSE)</f>
        <v>6.26</v>
      </c>
      <c r="E285" t="str">
        <f>VLOOKUP(Medical_Examinations_2[[#This Row],[Customer ID]],Medical_Examinations!$1:$1048576,6,FALSE)</f>
        <v>Yes</v>
      </c>
      <c r="H285" t="str">
        <f>VLOOKUP(Medical_Examinations_2[[#This Row],[Customer ID]],Medical_Examinations!$1:$1048576,9,FALSE)</f>
        <v>No major surgery</v>
      </c>
      <c r="I285" t="str">
        <f>VLOOKUP(Medical_Examinations_2[[#This Row],[Customer ID]],Medical_Examinations!$1:$1048576,11,FALSE)</f>
        <v>Yes</v>
      </c>
    </row>
    <row r="286" spans="1:9" x14ac:dyDescent="0.25">
      <c r="A286" s="10" t="s">
        <v>314</v>
      </c>
      <c r="B286" t="str">
        <f>VLOOKUP(Customer_Names!A286,Customer_Names!$1:$1048576,4,FALSE)</f>
        <v>Bradley</v>
      </c>
      <c r="C286">
        <f>VLOOKUP(Medical_Examinations_2[[#This Row],[Customer ID]],Medical_Examinations!$1:$1048576,2,FALSE)</f>
        <v>31.36</v>
      </c>
      <c r="D286">
        <f>VLOOKUP(Medical_Examinations_2[[#This Row],[Customer ID]],Medical_Examinations!$1:$1048576,4,FALSE)</f>
        <v>10.6</v>
      </c>
      <c r="E286" t="str">
        <f>VLOOKUP(Medical_Examinations_2[[#This Row],[Customer ID]],Medical_Examinations!$1:$1048576,6,FALSE)</f>
        <v>Yes</v>
      </c>
      <c r="H286" t="str">
        <f>VLOOKUP(Medical_Examinations_2[[#This Row],[Customer ID]],Medical_Examinations!$1:$1048576,9,FALSE)</f>
        <v>No major surgery</v>
      </c>
      <c r="I286" t="str">
        <f>VLOOKUP(Medical_Examinations_2[[#This Row],[Customer ID]],Medical_Examinations!$1:$1048576,11,FALSE)</f>
        <v>Yes</v>
      </c>
    </row>
    <row r="287" spans="1:9" x14ac:dyDescent="0.25">
      <c r="A287" s="11" t="s">
        <v>315</v>
      </c>
      <c r="B287" t="str">
        <f>VLOOKUP(Customer_Names!A287,Customer_Names!$1:$1048576,4,FALSE)</f>
        <v>Andrea</v>
      </c>
      <c r="C287">
        <f>VLOOKUP(Medical_Examinations_2[[#This Row],[Customer ID]],Medical_Examinations!$1:$1048576,2,FALSE)</f>
        <v>25.69</v>
      </c>
      <c r="D287">
        <f>VLOOKUP(Medical_Examinations_2[[#This Row],[Customer ID]],Medical_Examinations!$1:$1048576,4,FALSE)</f>
        <v>4.78</v>
      </c>
      <c r="E287" t="str">
        <f>VLOOKUP(Medical_Examinations_2[[#This Row],[Customer ID]],Medical_Examinations!$1:$1048576,6,FALSE)</f>
        <v>Yes</v>
      </c>
      <c r="H287" t="str">
        <f>VLOOKUP(Medical_Examinations_2[[#This Row],[Customer ID]],Medical_Examinations!$1:$1048576,9,FALSE)</f>
        <v>No major surgery</v>
      </c>
      <c r="I287" t="str">
        <f>VLOOKUP(Medical_Examinations_2[[#This Row],[Customer ID]],Medical_Examinations!$1:$1048576,11,FALSE)</f>
        <v>Yes</v>
      </c>
    </row>
    <row r="288" spans="1:9" x14ac:dyDescent="0.25">
      <c r="A288" s="10" t="s">
        <v>316</v>
      </c>
      <c r="B288" t="str">
        <f>VLOOKUP(Customer_Names!A288,Customer_Names!$1:$1048576,4,FALSE)</f>
        <v>Nancy M</v>
      </c>
      <c r="C288">
        <f>VLOOKUP(Medical_Examinations_2[[#This Row],[Customer ID]],Medical_Examinations!$1:$1048576,2,FALSE)</f>
        <v>25.46</v>
      </c>
      <c r="D288">
        <f>VLOOKUP(Medical_Examinations_2[[#This Row],[Customer ID]],Medical_Examinations!$1:$1048576,4,FALSE)</f>
        <v>6.03</v>
      </c>
      <c r="E288" t="str">
        <f>VLOOKUP(Medical_Examinations_2[[#This Row],[Customer ID]],Medical_Examinations!$1:$1048576,6,FALSE)</f>
        <v>No</v>
      </c>
      <c r="H288">
        <f>VLOOKUP(Medical_Examinations_2[[#This Row],[Customer ID]],Medical_Examinations!$1:$1048576,9,FALSE)</f>
        <v>2</v>
      </c>
      <c r="I288" t="str">
        <f>VLOOKUP(Medical_Examinations_2[[#This Row],[Customer ID]],Medical_Examinations!$1:$1048576,11,FALSE)</f>
        <v>Yes</v>
      </c>
    </row>
    <row r="289" spans="1:9" x14ac:dyDescent="0.25">
      <c r="A289" s="11" t="s">
        <v>317</v>
      </c>
      <c r="B289" t="str">
        <f>VLOOKUP(Customer_Names!A289,Customer_Names!$1:$1048576,4,FALSE)</f>
        <v>Matt</v>
      </c>
      <c r="C289">
        <f>VLOOKUP(Medical_Examinations_2[[#This Row],[Customer ID]],Medical_Examinations!$1:$1048576,2,FALSE)</f>
        <v>31.83</v>
      </c>
      <c r="D289">
        <f>VLOOKUP(Medical_Examinations_2[[#This Row],[Customer ID]],Medical_Examinations!$1:$1048576,4,FALSE)</f>
        <v>11.55</v>
      </c>
      <c r="E289" t="str">
        <f>VLOOKUP(Medical_Examinations_2[[#This Row],[Customer ID]],Medical_Examinations!$1:$1048576,6,FALSE)</f>
        <v>Yes</v>
      </c>
      <c r="H289">
        <f>VLOOKUP(Medical_Examinations_2[[#This Row],[Customer ID]],Medical_Examinations!$1:$1048576,9,FALSE)</f>
        <v>1</v>
      </c>
      <c r="I289" t="str">
        <f>VLOOKUP(Medical_Examinations_2[[#This Row],[Customer ID]],Medical_Examinations!$1:$1048576,11,FALSE)</f>
        <v>Yes</v>
      </c>
    </row>
    <row r="290" spans="1:9" x14ac:dyDescent="0.25">
      <c r="A290" s="10" t="s">
        <v>318</v>
      </c>
      <c r="B290" t="str">
        <f>VLOOKUP(Customer_Names!A290,Customer_Names!$1:$1048576,4,FALSE)</f>
        <v>Lee</v>
      </c>
      <c r="C290">
        <f>VLOOKUP(Medical_Examinations_2[[#This Row],[Customer ID]],Medical_Examinations!$1:$1048576,2,FALSE)</f>
        <v>24.43</v>
      </c>
      <c r="D290">
        <f>VLOOKUP(Medical_Examinations_2[[#This Row],[Customer ID]],Medical_Examinations!$1:$1048576,4,FALSE)</f>
        <v>7.59</v>
      </c>
      <c r="E290" t="str">
        <f>VLOOKUP(Medical_Examinations_2[[#This Row],[Customer ID]],Medical_Examinations!$1:$1048576,6,FALSE)</f>
        <v>Yes</v>
      </c>
      <c r="H290">
        <f>VLOOKUP(Medical_Examinations_2[[#This Row],[Customer ID]],Medical_Examinations!$1:$1048576,9,FALSE)</f>
        <v>1</v>
      </c>
      <c r="I290" t="str">
        <f>VLOOKUP(Medical_Examinations_2[[#This Row],[Customer ID]],Medical_Examinations!$1:$1048576,11,FALSE)</f>
        <v>Yes</v>
      </c>
    </row>
    <row r="291" spans="1:9" x14ac:dyDescent="0.25">
      <c r="A291" s="11" t="s">
        <v>319</v>
      </c>
      <c r="B291" t="str">
        <f>VLOOKUP(Customer_Names!A291,Customer_Names!$1:$1048576,4,FALSE)</f>
        <v>Chris</v>
      </c>
      <c r="C291">
        <f>VLOOKUP(Medical_Examinations_2[[#This Row],[Customer ID]],Medical_Examinations!$1:$1048576,2,FALSE)</f>
        <v>41.9</v>
      </c>
      <c r="D291">
        <f>VLOOKUP(Medical_Examinations_2[[#This Row],[Customer ID]],Medical_Examinations!$1:$1048576,4,FALSE)</f>
        <v>4.26</v>
      </c>
      <c r="E291" t="str">
        <f>VLOOKUP(Medical_Examinations_2[[#This Row],[Customer ID]],Medical_Examinations!$1:$1048576,6,FALSE)</f>
        <v>No</v>
      </c>
      <c r="H291" t="str">
        <f>VLOOKUP(Medical_Examinations_2[[#This Row],[Customer ID]],Medical_Examinations!$1:$1048576,9,FALSE)</f>
        <v>No major surgery</v>
      </c>
      <c r="I291" t="str">
        <f>VLOOKUP(Medical_Examinations_2[[#This Row],[Customer ID]],Medical_Examinations!$1:$1048576,11,FALSE)</f>
        <v>Yes</v>
      </c>
    </row>
    <row r="292" spans="1:9" x14ac:dyDescent="0.25">
      <c r="A292" s="10" t="s">
        <v>320</v>
      </c>
      <c r="B292" t="str">
        <f>VLOOKUP(Customer_Names!A292,Customer_Names!$1:$1048576,4,FALSE)</f>
        <v>Erik T.</v>
      </c>
      <c r="C292">
        <f>VLOOKUP(Medical_Examinations_2[[#This Row],[Customer ID]],Medical_Examinations!$1:$1048576,2,FALSE)</f>
        <v>22.88</v>
      </c>
      <c r="D292">
        <f>VLOOKUP(Medical_Examinations_2[[#This Row],[Customer ID]],Medical_Examinations!$1:$1048576,4,FALSE)</f>
        <v>5.9</v>
      </c>
      <c r="E292" t="str">
        <f>VLOOKUP(Medical_Examinations_2[[#This Row],[Customer ID]],Medical_Examinations!$1:$1048576,6,FALSE)</f>
        <v>Yes</v>
      </c>
      <c r="H292">
        <f>VLOOKUP(Medical_Examinations_2[[#This Row],[Customer ID]],Medical_Examinations!$1:$1048576,9,FALSE)</f>
        <v>1</v>
      </c>
      <c r="I292" t="str">
        <f>VLOOKUP(Medical_Examinations_2[[#This Row],[Customer ID]],Medical_Examinations!$1:$1048576,11,FALSE)</f>
        <v>Yes</v>
      </c>
    </row>
    <row r="293" spans="1:9" x14ac:dyDescent="0.25">
      <c r="A293" s="11" t="s">
        <v>321</v>
      </c>
      <c r="B293" t="str">
        <f>VLOOKUP(Customer_Names!A293,Customer_Names!$1:$1048576,4,FALSE)</f>
        <v>Rod W</v>
      </c>
      <c r="C293">
        <f>VLOOKUP(Medical_Examinations_2[[#This Row],[Customer ID]],Medical_Examinations!$1:$1048576,2,FALSE)</f>
        <v>29.734999999999999</v>
      </c>
      <c r="D293">
        <f>VLOOKUP(Medical_Examinations_2[[#This Row],[Customer ID]],Medical_Examinations!$1:$1048576,4,FALSE)</f>
        <v>7.79</v>
      </c>
      <c r="E293" t="str">
        <f>VLOOKUP(Medical_Examinations_2[[#This Row],[Customer ID]],Medical_Examinations!$1:$1048576,6,FALSE)</f>
        <v>No</v>
      </c>
      <c r="H293" t="str">
        <f>VLOOKUP(Medical_Examinations_2[[#This Row],[Customer ID]],Medical_Examinations!$1:$1048576,9,FALSE)</f>
        <v>No major surgery</v>
      </c>
      <c r="I293" t="str">
        <f>VLOOKUP(Medical_Examinations_2[[#This Row],[Customer ID]],Medical_Examinations!$1:$1048576,11,FALSE)</f>
        <v>No</v>
      </c>
    </row>
    <row r="294" spans="1:9" x14ac:dyDescent="0.25">
      <c r="A294" s="10" t="s">
        <v>322</v>
      </c>
      <c r="B294" t="str">
        <f>VLOOKUP(Customer_Names!A294,Customer_Names!$1:$1048576,4,FALSE)</f>
        <v>Joey</v>
      </c>
      <c r="C294">
        <f>VLOOKUP(Medical_Examinations_2[[#This Row],[Customer ID]],Medical_Examinations!$1:$1048576,2,FALSE)</f>
        <v>40.74</v>
      </c>
      <c r="D294">
        <f>VLOOKUP(Medical_Examinations_2[[#This Row],[Customer ID]],Medical_Examinations!$1:$1048576,4,FALSE)</f>
        <v>5.28</v>
      </c>
      <c r="E294" t="str">
        <f>VLOOKUP(Medical_Examinations_2[[#This Row],[Customer ID]],Medical_Examinations!$1:$1048576,6,FALSE)</f>
        <v>No</v>
      </c>
      <c r="H294">
        <f>VLOOKUP(Medical_Examinations_2[[#This Row],[Customer ID]],Medical_Examinations!$1:$1048576,9,FALSE)</f>
        <v>1</v>
      </c>
      <c r="I294" t="str">
        <f>VLOOKUP(Medical_Examinations_2[[#This Row],[Customer ID]],Medical_Examinations!$1:$1048576,11,FALSE)</f>
        <v>Yes</v>
      </c>
    </row>
    <row r="295" spans="1:9" x14ac:dyDescent="0.25">
      <c r="A295" s="11" t="s">
        <v>323</v>
      </c>
      <c r="B295" t="str">
        <f>VLOOKUP(Customer_Names!A295,Customer_Names!$1:$1048576,4,FALSE)</f>
        <v>Hillary L.</v>
      </c>
      <c r="C295">
        <f>VLOOKUP(Medical_Examinations_2[[#This Row],[Customer ID]],Medical_Examinations!$1:$1048576,2,FALSE)</f>
        <v>24.14</v>
      </c>
      <c r="D295">
        <f>VLOOKUP(Medical_Examinations_2[[#This Row],[Customer ID]],Medical_Examinations!$1:$1048576,4,FALSE)</f>
        <v>5.87</v>
      </c>
      <c r="E295" t="str">
        <f>VLOOKUP(Medical_Examinations_2[[#This Row],[Customer ID]],Medical_Examinations!$1:$1048576,6,FALSE)</f>
        <v>No</v>
      </c>
      <c r="H295">
        <f>VLOOKUP(Medical_Examinations_2[[#This Row],[Customer ID]],Medical_Examinations!$1:$1048576,9,FALSE)</f>
        <v>2</v>
      </c>
      <c r="I295" t="str">
        <f>VLOOKUP(Medical_Examinations_2[[#This Row],[Customer ID]],Medical_Examinations!$1:$1048576,11,FALSE)</f>
        <v>Yes</v>
      </c>
    </row>
    <row r="296" spans="1:9" x14ac:dyDescent="0.25">
      <c r="A296" s="10" t="s">
        <v>30</v>
      </c>
      <c r="B296" t="str">
        <f>VLOOKUP(Customer_Names!A296,Customer_Names!$1:$1048576,4,FALSE)</f>
        <v>Eric J</v>
      </c>
      <c r="C296">
        <f>VLOOKUP(Medical_Examinations_2[[#This Row],[Customer ID]],Medical_Examinations!$1:$1048576,2,FALSE)</f>
        <v>25.15</v>
      </c>
      <c r="D296">
        <f>VLOOKUP(Medical_Examinations_2[[#This Row],[Customer ID]],Medical_Examinations!$1:$1048576,4,FALSE)</f>
        <v>9.08</v>
      </c>
      <c r="E296" t="str">
        <f>VLOOKUP(Medical_Examinations_2[[#This Row],[Customer ID]],Medical_Examinations!$1:$1048576,6,FALSE)</f>
        <v>Yes</v>
      </c>
      <c r="H296">
        <f>VLOOKUP(Medical_Examinations_2[[#This Row],[Customer ID]],Medical_Examinations!$1:$1048576,9,FALSE)</f>
        <v>1</v>
      </c>
      <c r="I296" t="str">
        <f>VLOOKUP(Medical_Examinations_2[[#This Row],[Customer ID]],Medical_Examinations!$1:$1048576,11,FALSE)</f>
        <v>Yes</v>
      </c>
    </row>
    <row r="297" spans="1:9" x14ac:dyDescent="0.25">
      <c r="A297" s="11" t="s">
        <v>324</v>
      </c>
      <c r="B297" t="str">
        <f>VLOOKUP(Customer_Names!A297,Customer_Names!$1:$1048576,4,FALSE)</f>
        <v>Nicolas</v>
      </c>
      <c r="C297">
        <f>VLOOKUP(Medical_Examinations_2[[#This Row],[Customer ID]],Medical_Examinations!$1:$1048576,2,FALSE)</f>
        <v>28.71</v>
      </c>
      <c r="D297">
        <f>VLOOKUP(Medical_Examinations_2[[#This Row],[Customer ID]],Medical_Examinations!$1:$1048576,4,FALSE)</f>
        <v>5.2</v>
      </c>
      <c r="E297" t="str">
        <f>VLOOKUP(Medical_Examinations_2[[#This Row],[Customer ID]],Medical_Examinations!$1:$1048576,6,FALSE)</f>
        <v>No</v>
      </c>
      <c r="H297">
        <f>VLOOKUP(Medical_Examinations_2[[#This Row],[Customer ID]],Medical_Examinations!$1:$1048576,9,FALSE)</f>
        <v>1</v>
      </c>
      <c r="I297" t="str">
        <f>VLOOKUP(Medical_Examinations_2[[#This Row],[Customer ID]],Medical_Examinations!$1:$1048576,11,FALSE)</f>
        <v>Yes</v>
      </c>
    </row>
    <row r="298" spans="1:9" x14ac:dyDescent="0.25">
      <c r="A298" s="10" t="s">
        <v>325</v>
      </c>
      <c r="B298" t="str">
        <f>VLOOKUP(Customer_Names!A298,Customer_Names!$1:$1048576,4,FALSE)</f>
        <v>Marcel</v>
      </c>
      <c r="C298">
        <f>VLOOKUP(Medical_Examinations_2[[#This Row],[Customer ID]],Medical_Examinations!$1:$1048576,2,FALSE)</f>
        <v>23</v>
      </c>
      <c r="D298">
        <f>VLOOKUP(Medical_Examinations_2[[#This Row],[Customer ID]],Medical_Examinations!$1:$1048576,4,FALSE)</f>
        <v>5.48</v>
      </c>
      <c r="E298" t="str">
        <f>VLOOKUP(Medical_Examinations_2[[#This Row],[Customer ID]],Medical_Examinations!$1:$1048576,6,FALSE)</f>
        <v>No</v>
      </c>
      <c r="H298" t="str">
        <f>VLOOKUP(Medical_Examinations_2[[#This Row],[Customer ID]],Medical_Examinations!$1:$1048576,9,FALSE)</f>
        <v>No major surgery</v>
      </c>
      <c r="I298" t="str">
        <f>VLOOKUP(Medical_Examinations_2[[#This Row],[Customer ID]],Medical_Examinations!$1:$1048576,11,FALSE)</f>
        <v>Yes</v>
      </c>
    </row>
    <row r="299" spans="1:9" x14ac:dyDescent="0.25">
      <c r="A299" s="11" t="s">
        <v>326</v>
      </c>
      <c r="B299" t="str">
        <f>VLOOKUP(Customer_Names!A299,Customer_Names!$1:$1048576,4,FALSE)</f>
        <v>Ashley N</v>
      </c>
      <c r="C299">
        <f>VLOOKUP(Medical_Examinations_2[[#This Row],[Customer ID]],Medical_Examinations!$1:$1048576,2,FALSE)</f>
        <v>36.86</v>
      </c>
      <c r="D299">
        <f>VLOOKUP(Medical_Examinations_2[[#This Row],[Customer ID]],Medical_Examinations!$1:$1048576,4,FALSE)</f>
        <v>11.95</v>
      </c>
      <c r="E299" t="str">
        <f>VLOOKUP(Medical_Examinations_2[[#This Row],[Customer ID]],Medical_Examinations!$1:$1048576,6,FALSE)</f>
        <v>No</v>
      </c>
      <c r="H299" t="str">
        <f>VLOOKUP(Medical_Examinations_2[[#This Row],[Customer ID]],Medical_Examinations!$1:$1048576,9,FALSE)</f>
        <v>No major surgery</v>
      </c>
      <c r="I299" t="str">
        <f>VLOOKUP(Medical_Examinations_2[[#This Row],[Customer ID]],Medical_Examinations!$1:$1048576,11,FALSE)</f>
        <v>No</v>
      </c>
    </row>
    <row r="300" spans="1:9" x14ac:dyDescent="0.25">
      <c r="A300" s="10" t="s">
        <v>327</v>
      </c>
      <c r="B300" t="str">
        <f>VLOOKUP(Customer_Names!A300,Customer_Names!$1:$1048576,4,FALSE)</f>
        <v>Evan D</v>
      </c>
      <c r="C300">
        <f>VLOOKUP(Medical_Examinations_2[[#This Row],[Customer ID]],Medical_Examinations!$1:$1048576,2,FALSE)</f>
        <v>24.25</v>
      </c>
      <c r="D300">
        <f>VLOOKUP(Medical_Examinations_2[[#This Row],[Customer ID]],Medical_Examinations!$1:$1048576,4,FALSE)</f>
        <v>8.6999999999999993</v>
      </c>
      <c r="E300" t="str">
        <f>VLOOKUP(Medical_Examinations_2[[#This Row],[Customer ID]],Medical_Examinations!$1:$1048576,6,FALSE)</f>
        <v>Yes</v>
      </c>
      <c r="H300">
        <f>VLOOKUP(Medical_Examinations_2[[#This Row],[Customer ID]],Medical_Examinations!$1:$1048576,9,FALSE)</f>
        <v>1</v>
      </c>
      <c r="I300" t="str">
        <f>VLOOKUP(Medical_Examinations_2[[#This Row],[Customer ID]],Medical_Examinations!$1:$1048576,11,FALSE)</f>
        <v>Yes</v>
      </c>
    </row>
    <row r="301" spans="1:9" x14ac:dyDescent="0.25">
      <c r="A301" s="11" t="s">
        <v>328</v>
      </c>
      <c r="B301" t="str">
        <f>VLOOKUP(Customer_Names!A301,Customer_Names!$1:$1048576,4,FALSE)</f>
        <v>Krisana</v>
      </c>
      <c r="C301">
        <f>VLOOKUP(Medical_Examinations_2[[#This Row],[Customer ID]],Medical_Examinations!$1:$1048576,2,FALSE)</f>
        <v>23.85</v>
      </c>
      <c r="D301">
        <f>VLOOKUP(Medical_Examinations_2[[#This Row],[Customer ID]],Medical_Examinations!$1:$1048576,4,FALSE)</f>
        <v>7.84</v>
      </c>
      <c r="E301" t="str">
        <f>VLOOKUP(Medical_Examinations_2[[#This Row],[Customer ID]],Medical_Examinations!$1:$1048576,6,FALSE)</f>
        <v>No</v>
      </c>
      <c r="H301" t="str">
        <f>VLOOKUP(Medical_Examinations_2[[#This Row],[Customer ID]],Medical_Examinations!$1:$1048576,9,FALSE)</f>
        <v>No major surgery</v>
      </c>
      <c r="I301" t="str">
        <f>VLOOKUP(Medical_Examinations_2[[#This Row],[Customer ID]],Medical_Examinations!$1:$1048576,11,FALSE)</f>
        <v>Yes</v>
      </c>
    </row>
    <row r="302" spans="1:9" x14ac:dyDescent="0.25">
      <c r="A302" s="10" t="s">
        <v>329</v>
      </c>
      <c r="B302" t="str">
        <f>VLOOKUP(Customer_Names!A302,Customer_Names!$1:$1048576,4,FALSE)</f>
        <v>Kyle</v>
      </c>
      <c r="C302">
        <f>VLOOKUP(Medical_Examinations_2[[#This Row],[Customer ID]],Medical_Examinations!$1:$1048576,2,FALSE)</f>
        <v>40.020000000000003</v>
      </c>
      <c r="D302">
        <f>VLOOKUP(Medical_Examinations_2[[#This Row],[Customer ID]],Medical_Examinations!$1:$1048576,4,FALSE)</f>
        <v>5.19</v>
      </c>
      <c r="E302" t="str">
        <f>VLOOKUP(Medical_Examinations_2[[#This Row],[Customer ID]],Medical_Examinations!$1:$1048576,6,FALSE)</f>
        <v>Yes</v>
      </c>
      <c r="H302">
        <f>VLOOKUP(Medical_Examinations_2[[#This Row],[Customer ID]],Medical_Examinations!$1:$1048576,9,FALSE)</f>
        <v>1</v>
      </c>
      <c r="I302" t="str">
        <f>VLOOKUP(Medical_Examinations_2[[#This Row],[Customer ID]],Medical_Examinations!$1:$1048576,11,FALSE)</f>
        <v>Yes</v>
      </c>
    </row>
    <row r="303" spans="1:9" x14ac:dyDescent="0.25">
      <c r="A303" s="11" t="s">
        <v>330</v>
      </c>
      <c r="B303" t="str">
        <f>VLOOKUP(Customer_Names!A303,Customer_Names!$1:$1048576,4,FALSE)</f>
        <v>Kate</v>
      </c>
      <c r="C303">
        <f>VLOOKUP(Medical_Examinations_2[[#This Row],[Customer ID]],Medical_Examinations!$1:$1048576,2,FALSE)</f>
        <v>19.170000000000002</v>
      </c>
      <c r="D303">
        <f>VLOOKUP(Medical_Examinations_2[[#This Row],[Customer ID]],Medical_Examinations!$1:$1048576,4,FALSE)</f>
        <v>8.41</v>
      </c>
      <c r="E303" t="str">
        <f>VLOOKUP(Medical_Examinations_2[[#This Row],[Customer ID]],Medical_Examinations!$1:$1048576,6,FALSE)</f>
        <v>No</v>
      </c>
      <c r="H303" t="str">
        <f>VLOOKUP(Medical_Examinations_2[[#This Row],[Customer ID]],Medical_Examinations!$1:$1048576,9,FALSE)</f>
        <v>No major surgery</v>
      </c>
      <c r="I303" t="str">
        <f>VLOOKUP(Medical_Examinations_2[[#This Row],[Customer ID]],Medical_Examinations!$1:$1048576,11,FALSE)</f>
        <v>Yes</v>
      </c>
    </row>
    <row r="304" spans="1:9" x14ac:dyDescent="0.25">
      <c r="A304" s="10" t="s">
        <v>331</v>
      </c>
      <c r="B304" t="str">
        <f>VLOOKUP(Customer_Names!A304,Customer_Names!$1:$1048576,4,FALSE)</f>
        <v>Martin A.</v>
      </c>
      <c r="C304">
        <f>VLOOKUP(Medical_Examinations_2[[#This Row],[Customer ID]],Medical_Examinations!$1:$1048576,2,FALSE)</f>
        <v>43.53</v>
      </c>
      <c r="D304">
        <f>VLOOKUP(Medical_Examinations_2[[#This Row],[Customer ID]],Medical_Examinations!$1:$1048576,4,FALSE)</f>
        <v>5.86</v>
      </c>
      <c r="E304" t="str">
        <f>VLOOKUP(Medical_Examinations_2[[#This Row],[Customer ID]],Medical_Examinations!$1:$1048576,6,FALSE)</f>
        <v>Yes</v>
      </c>
      <c r="H304">
        <f>VLOOKUP(Medical_Examinations_2[[#This Row],[Customer ID]],Medical_Examinations!$1:$1048576,9,FALSE)</f>
        <v>2</v>
      </c>
      <c r="I304" t="str">
        <f>VLOOKUP(Medical_Examinations_2[[#This Row],[Customer ID]],Medical_Examinations!$1:$1048576,11,FALSE)</f>
        <v>Yes</v>
      </c>
    </row>
    <row r="305" spans="1:9" x14ac:dyDescent="0.25">
      <c r="A305" s="11" t="s">
        <v>332</v>
      </c>
      <c r="B305" t="str">
        <f>VLOOKUP(Customer_Names!A305,Customer_Names!$1:$1048576,4,FALSE)</f>
        <v>Stacey</v>
      </c>
      <c r="C305">
        <f>VLOOKUP(Medical_Examinations_2[[#This Row],[Customer ID]],Medical_Examinations!$1:$1048576,2,FALSE)</f>
        <v>46.06</v>
      </c>
      <c r="D305">
        <f>VLOOKUP(Medical_Examinations_2[[#This Row],[Customer ID]],Medical_Examinations!$1:$1048576,4,FALSE)</f>
        <v>4.18</v>
      </c>
      <c r="E305" t="str">
        <f>VLOOKUP(Medical_Examinations_2[[#This Row],[Customer ID]],Medical_Examinations!$1:$1048576,6,FALSE)</f>
        <v>No</v>
      </c>
      <c r="H305">
        <f>VLOOKUP(Medical_Examinations_2[[#This Row],[Customer ID]],Medical_Examinations!$1:$1048576,9,FALSE)</f>
        <v>1</v>
      </c>
      <c r="I305" t="str">
        <f>VLOOKUP(Medical_Examinations_2[[#This Row],[Customer ID]],Medical_Examinations!$1:$1048576,11,FALSE)</f>
        <v>Yes</v>
      </c>
    </row>
    <row r="306" spans="1:9" x14ac:dyDescent="0.25">
      <c r="A306" s="10" t="s">
        <v>333</v>
      </c>
      <c r="B306" t="str">
        <f>VLOOKUP(Customer_Names!A306,Customer_Names!$1:$1048576,4,FALSE)</f>
        <v>Christine</v>
      </c>
      <c r="C306">
        <f>VLOOKUP(Medical_Examinations_2[[#This Row],[Customer ID]],Medical_Examinations!$1:$1048576,2,FALSE)</f>
        <v>29.92</v>
      </c>
      <c r="D306">
        <f>VLOOKUP(Medical_Examinations_2[[#This Row],[Customer ID]],Medical_Examinations!$1:$1048576,4,FALSE)</f>
        <v>11.99</v>
      </c>
      <c r="E306" t="str">
        <f>VLOOKUP(Medical_Examinations_2[[#This Row],[Customer ID]],Medical_Examinations!$1:$1048576,6,FALSE)</f>
        <v>Yes</v>
      </c>
      <c r="H306">
        <f>VLOOKUP(Medical_Examinations_2[[#This Row],[Customer ID]],Medical_Examinations!$1:$1048576,9,FALSE)</f>
        <v>2</v>
      </c>
      <c r="I306" t="str">
        <f>VLOOKUP(Medical_Examinations_2[[#This Row],[Customer ID]],Medical_Examinations!$1:$1048576,11,FALSE)</f>
        <v>Yes</v>
      </c>
    </row>
    <row r="307" spans="1:9" x14ac:dyDescent="0.25">
      <c r="A307" s="11" t="s">
        <v>334</v>
      </c>
      <c r="B307" t="str">
        <f>VLOOKUP(Customer_Names!A307,Customer_Names!$1:$1048576,4,FALSE)</f>
        <v>Sarah C.</v>
      </c>
      <c r="C307">
        <f>VLOOKUP(Medical_Examinations_2[[#This Row],[Customer ID]],Medical_Examinations!$1:$1048576,2,FALSE)</f>
        <v>28.46</v>
      </c>
      <c r="D307">
        <f>VLOOKUP(Medical_Examinations_2[[#This Row],[Customer ID]],Medical_Examinations!$1:$1048576,4,FALSE)</f>
        <v>4.8499999999999996</v>
      </c>
      <c r="E307" t="str">
        <f>VLOOKUP(Medical_Examinations_2[[#This Row],[Customer ID]],Medical_Examinations!$1:$1048576,6,FALSE)</f>
        <v>Yes</v>
      </c>
      <c r="H307">
        <f>VLOOKUP(Medical_Examinations_2[[#This Row],[Customer ID]],Medical_Examinations!$1:$1048576,9,FALSE)</f>
        <v>1</v>
      </c>
      <c r="I307" t="str">
        <f>VLOOKUP(Medical_Examinations_2[[#This Row],[Customer ID]],Medical_Examinations!$1:$1048576,11,FALSE)</f>
        <v>Yes</v>
      </c>
    </row>
    <row r="308" spans="1:9" x14ac:dyDescent="0.25">
      <c r="A308" s="10" t="s">
        <v>335</v>
      </c>
      <c r="B308" t="str">
        <f>VLOOKUP(Customer_Names!A308,Customer_Names!$1:$1048576,4,FALSE)</f>
        <v>Megan</v>
      </c>
      <c r="C308">
        <f>VLOOKUP(Medical_Examinations_2[[#This Row],[Customer ID]],Medical_Examinations!$1:$1048576,2,FALSE)</f>
        <v>24.56</v>
      </c>
      <c r="D308">
        <f>VLOOKUP(Medical_Examinations_2[[#This Row],[Customer ID]],Medical_Examinations!$1:$1048576,4,FALSE)</f>
        <v>6.18</v>
      </c>
      <c r="E308" t="str">
        <f>VLOOKUP(Medical_Examinations_2[[#This Row],[Customer ID]],Medical_Examinations!$1:$1048576,6,FALSE)</f>
        <v>Yes</v>
      </c>
      <c r="H308">
        <f>VLOOKUP(Medical_Examinations_2[[#This Row],[Customer ID]],Medical_Examinations!$1:$1048576,9,FALSE)</f>
        <v>1</v>
      </c>
      <c r="I308" t="str">
        <f>VLOOKUP(Medical_Examinations_2[[#This Row],[Customer ID]],Medical_Examinations!$1:$1048576,11,FALSE)</f>
        <v>Yes</v>
      </c>
    </row>
    <row r="309" spans="1:9" x14ac:dyDescent="0.25">
      <c r="A309" s="11" t="s">
        <v>336</v>
      </c>
      <c r="B309" t="str">
        <f>VLOOKUP(Customer_Names!A309,Customer_Names!$1:$1048576,4,FALSE)</f>
        <v>Jason W</v>
      </c>
      <c r="C309">
        <f>VLOOKUP(Medical_Examinations_2[[#This Row],[Customer ID]],Medical_Examinations!$1:$1048576,2,FALSE)</f>
        <v>41.19</v>
      </c>
      <c r="D309">
        <f>VLOOKUP(Medical_Examinations_2[[#This Row],[Customer ID]],Medical_Examinations!$1:$1048576,4,FALSE)</f>
        <v>6.37</v>
      </c>
      <c r="E309" t="str">
        <f>VLOOKUP(Medical_Examinations_2[[#This Row],[Customer ID]],Medical_Examinations!$1:$1048576,6,FALSE)</f>
        <v>No</v>
      </c>
      <c r="H309" t="str">
        <f>VLOOKUP(Medical_Examinations_2[[#This Row],[Customer ID]],Medical_Examinations!$1:$1048576,9,FALSE)</f>
        <v>No major surgery</v>
      </c>
      <c r="I309" t="str">
        <f>VLOOKUP(Medical_Examinations_2[[#This Row],[Customer ID]],Medical_Examinations!$1:$1048576,11,FALSE)</f>
        <v>Yes</v>
      </c>
    </row>
    <row r="310" spans="1:9" x14ac:dyDescent="0.25">
      <c r="A310" s="10" t="s">
        <v>337</v>
      </c>
      <c r="B310" t="str">
        <f>VLOOKUP(Customer_Names!A310,Customer_Names!$1:$1048576,4,FALSE)</f>
        <v>Michele</v>
      </c>
      <c r="C310">
        <f>VLOOKUP(Medical_Examinations_2[[#This Row],[Customer ID]],Medical_Examinations!$1:$1048576,2,FALSE)</f>
        <v>18.63</v>
      </c>
      <c r="D310">
        <f>VLOOKUP(Medical_Examinations_2[[#This Row],[Customer ID]],Medical_Examinations!$1:$1048576,4,FALSE)</f>
        <v>9.81</v>
      </c>
      <c r="E310" t="str">
        <f>VLOOKUP(Medical_Examinations_2[[#This Row],[Customer ID]],Medical_Examinations!$1:$1048576,6,FALSE)</f>
        <v>Yes</v>
      </c>
      <c r="H310">
        <f>VLOOKUP(Medical_Examinations_2[[#This Row],[Customer ID]],Medical_Examinations!$1:$1048576,9,FALSE)</f>
        <v>2</v>
      </c>
      <c r="I310" t="str">
        <f>VLOOKUP(Medical_Examinations_2[[#This Row],[Customer ID]],Medical_Examinations!$1:$1048576,11,FALSE)</f>
        <v>Yes</v>
      </c>
    </row>
    <row r="311" spans="1:9" x14ac:dyDescent="0.25">
      <c r="A311" s="11" t="s">
        <v>338</v>
      </c>
      <c r="B311" t="str">
        <f>VLOOKUP(Customer_Names!A311,Customer_Names!$1:$1048576,4,FALSE)</f>
        <v>Nikki</v>
      </c>
      <c r="C311">
        <f>VLOOKUP(Medical_Examinations_2[[#This Row],[Customer ID]],Medical_Examinations!$1:$1048576,2,FALSE)</f>
        <v>26.26</v>
      </c>
      <c r="D311">
        <f>VLOOKUP(Medical_Examinations_2[[#This Row],[Customer ID]],Medical_Examinations!$1:$1048576,4,FALSE)</f>
        <v>11.8</v>
      </c>
      <c r="E311" t="str">
        <f>VLOOKUP(Medical_Examinations_2[[#This Row],[Customer ID]],Medical_Examinations!$1:$1048576,6,FALSE)</f>
        <v>Yes</v>
      </c>
      <c r="H311">
        <f>VLOOKUP(Medical_Examinations_2[[#This Row],[Customer ID]],Medical_Examinations!$1:$1048576,9,FALSE)</f>
        <v>1</v>
      </c>
      <c r="I311" t="str">
        <f>VLOOKUP(Medical_Examinations_2[[#This Row],[Customer ID]],Medical_Examinations!$1:$1048576,11,FALSE)</f>
        <v>Yes</v>
      </c>
    </row>
    <row r="312" spans="1:9" x14ac:dyDescent="0.25">
      <c r="A312" s="10" t="s">
        <v>339</v>
      </c>
      <c r="B312" t="str">
        <f>VLOOKUP(Customer_Names!A312,Customer_Names!$1:$1048576,4,FALSE)</f>
        <v>Philip J.</v>
      </c>
      <c r="C312">
        <f>VLOOKUP(Medical_Examinations_2[[#This Row],[Customer ID]],Medical_Examinations!$1:$1048576,2,FALSE)</f>
        <v>22.37</v>
      </c>
      <c r="D312">
        <f>VLOOKUP(Medical_Examinations_2[[#This Row],[Customer ID]],Medical_Examinations!$1:$1048576,4,FALSE)</f>
        <v>5.86</v>
      </c>
      <c r="E312" t="str">
        <f>VLOOKUP(Medical_Examinations_2[[#This Row],[Customer ID]],Medical_Examinations!$1:$1048576,6,FALSE)</f>
        <v>Yes</v>
      </c>
      <c r="H312">
        <f>VLOOKUP(Medical_Examinations_2[[#This Row],[Customer ID]],Medical_Examinations!$1:$1048576,9,FALSE)</f>
        <v>1</v>
      </c>
      <c r="I312" t="str">
        <f>VLOOKUP(Medical_Examinations_2[[#This Row],[Customer ID]],Medical_Examinations!$1:$1048576,11,FALSE)</f>
        <v>Yes</v>
      </c>
    </row>
    <row r="313" spans="1:9" x14ac:dyDescent="0.25">
      <c r="A313" s="11" t="s">
        <v>340</v>
      </c>
      <c r="B313" t="str">
        <f>VLOOKUP(Customer_Names!A313,Customer_Names!$1:$1048576,4,FALSE)</f>
        <v>Bryan L</v>
      </c>
      <c r="C313">
        <f>VLOOKUP(Medical_Examinations_2[[#This Row],[Customer ID]],Medical_Examinations!$1:$1048576,2,FALSE)</f>
        <v>39.619999999999997</v>
      </c>
      <c r="D313">
        <f>VLOOKUP(Medical_Examinations_2[[#This Row],[Customer ID]],Medical_Examinations!$1:$1048576,4,FALSE)</f>
        <v>4.28</v>
      </c>
      <c r="E313" t="str">
        <f>VLOOKUP(Medical_Examinations_2[[#This Row],[Customer ID]],Medical_Examinations!$1:$1048576,6,FALSE)</f>
        <v>No</v>
      </c>
      <c r="H313">
        <f>VLOOKUP(Medical_Examinations_2[[#This Row],[Customer ID]],Medical_Examinations!$1:$1048576,9,FALSE)</f>
        <v>1</v>
      </c>
      <c r="I313" t="str">
        <f>VLOOKUP(Medical_Examinations_2[[#This Row],[Customer ID]],Medical_Examinations!$1:$1048576,11,FALSE)</f>
        <v>Yes</v>
      </c>
    </row>
    <row r="314" spans="1:9" x14ac:dyDescent="0.25">
      <c r="A314" s="10" t="s">
        <v>341</v>
      </c>
      <c r="B314" t="str">
        <f>VLOOKUP(Customer_Names!A314,Customer_Names!$1:$1048576,4,FALSE)</f>
        <v>Timothy F</v>
      </c>
      <c r="C314">
        <f>VLOOKUP(Medical_Examinations_2[[#This Row],[Customer ID]],Medical_Examinations!$1:$1048576,2,FALSE)</f>
        <v>18.329999999999998</v>
      </c>
      <c r="D314">
        <f>VLOOKUP(Medical_Examinations_2[[#This Row],[Customer ID]],Medical_Examinations!$1:$1048576,4,FALSE)</f>
        <v>4.16</v>
      </c>
      <c r="E314" t="str">
        <f>VLOOKUP(Medical_Examinations_2[[#This Row],[Customer ID]],Medical_Examinations!$1:$1048576,6,FALSE)</f>
        <v>Yes</v>
      </c>
      <c r="H314" t="str">
        <f>VLOOKUP(Medical_Examinations_2[[#This Row],[Customer ID]],Medical_Examinations!$1:$1048576,9,FALSE)</f>
        <v>No major surgery</v>
      </c>
      <c r="I314" t="str">
        <f>VLOOKUP(Medical_Examinations_2[[#This Row],[Customer ID]],Medical_Examinations!$1:$1048576,11,FALSE)</f>
        <v>Yes</v>
      </c>
    </row>
    <row r="315" spans="1:9" x14ac:dyDescent="0.25">
      <c r="A315" s="11" t="s">
        <v>342</v>
      </c>
      <c r="B315" t="str">
        <f>VLOOKUP(Customer_Names!A315,Customer_Names!$1:$1048576,4,FALSE)</f>
        <v>Ms.  Angielyn M</v>
      </c>
      <c r="C315">
        <f>VLOOKUP(Medical_Examinations_2[[#This Row],[Customer ID]],Medical_Examinations!$1:$1048576,2,FALSE)</f>
        <v>17.11</v>
      </c>
      <c r="D315">
        <f>VLOOKUP(Medical_Examinations_2[[#This Row],[Customer ID]],Medical_Examinations!$1:$1048576,4,FALSE)</f>
        <v>4.9800000000000004</v>
      </c>
      <c r="E315" t="str">
        <f>VLOOKUP(Medical_Examinations_2[[#This Row],[Customer ID]],Medical_Examinations!$1:$1048576,6,FALSE)</f>
        <v>Yes</v>
      </c>
      <c r="H315">
        <f>VLOOKUP(Medical_Examinations_2[[#This Row],[Customer ID]],Medical_Examinations!$1:$1048576,9,FALSE)</f>
        <v>1</v>
      </c>
      <c r="I315" t="str">
        <f>VLOOKUP(Medical_Examinations_2[[#This Row],[Customer ID]],Medical_Examinations!$1:$1048576,11,FALSE)</f>
        <v>Yes</v>
      </c>
    </row>
    <row r="316" spans="1:9" x14ac:dyDescent="0.25">
      <c r="A316" s="10" t="s">
        <v>343</v>
      </c>
      <c r="B316" t="str">
        <f>VLOOKUP(Customer_Names!A316,Customer_Names!$1:$1048576,4,FALSE)</f>
        <v>Jeanie M.</v>
      </c>
      <c r="C316">
        <f>VLOOKUP(Medical_Examinations_2[[#This Row],[Customer ID]],Medical_Examinations!$1:$1048576,2,FALSE)</f>
        <v>43.5</v>
      </c>
      <c r="D316">
        <f>VLOOKUP(Medical_Examinations_2[[#This Row],[Customer ID]],Medical_Examinations!$1:$1048576,4,FALSE)</f>
        <v>6.38</v>
      </c>
      <c r="E316" t="str">
        <f>VLOOKUP(Medical_Examinations_2[[#This Row],[Customer ID]],Medical_Examinations!$1:$1048576,6,FALSE)</f>
        <v>No</v>
      </c>
      <c r="H316">
        <f>VLOOKUP(Medical_Examinations_2[[#This Row],[Customer ID]],Medical_Examinations!$1:$1048576,9,FALSE)</f>
        <v>1</v>
      </c>
      <c r="I316" t="str">
        <f>VLOOKUP(Medical_Examinations_2[[#This Row],[Customer ID]],Medical_Examinations!$1:$1048576,11,FALSE)</f>
        <v>Yes</v>
      </c>
    </row>
    <row r="317" spans="1:9" x14ac:dyDescent="0.25">
      <c r="A317" s="11" t="s">
        <v>344</v>
      </c>
      <c r="B317" t="str">
        <f>VLOOKUP(Customer_Names!A317,Customer_Names!$1:$1048576,4,FALSE)</f>
        <v>Greg</v>
      </c>
      <c r="C317">
        <f>VLOOKUP(Medical_Examinations_2[[#This Row],[Customer ID]],Medical_Examinations!$1:$1048576,2,FALSE)</f>
        <v>25.364999999999998</v>
      </c>
      <c r="D317">
        <f>VLOOKUP(Medical_Examinations_2[[#This Row],[Customer ID]],Medical_Examinations!$1:$1048576,4,FALSE)</f>
        <v>5.19</v>
      </c>
      <c r="E317" t="str">
        <f>VLOOKUP(Medical_Examinations_2[[#This Row],[Customer ID]],Medical_Examinations!$1:$1048576,6,FALSE)</f>
        <v>No</v>
      </c>
      <c r="H317">
        <f>VLOOKUP(Medical_Examinations_2[[#This Row],[Customer ID]],Medical_Examinations!$1:$1048576,9,FALSE)</f>
        <v>2</v>
      </c>
      <c r="I317" t="str">
        <f>VLOOKUP(Medical_Examinations_2[[#This Row],[Customer ID]],Medical_Examinations!$1:$1048576,11,FALSE)</f>
        <v>No</v>
      </c>
    </row>
    <row r="318" spans="1:9" x14ac:dyDescent="0.25">
      <c r="A318" s="10" t="s">
        <v>345</v>
      </c>
      <c r="B318" t="str">
        <f>VLOOKUP(Customer_Names!A318,Customer_Names!$1:$1048576,4,FALSE)</f>
        <v>John</v>
      </c>
      <c r="C318">
        <f>VLOOKUP(Medical_Examinations_2[[#This Row],[Customer ID]],Medical_Examinations!$1:$1048576,2,FALSE)</f>
        <v>28.594999999999999</v>
      </c>
      <c r="D318">
        <f>VLOOKUP(Medical_Examinations_2[[#This Row],[Customer ID]],Medical_Examinations!$1:$1048576,4,FALSE)</f>
        <v>10.210000000000001</v>
      </c>
      <c r="E318" t="str">
        <f>VLOOKUP(Medical_Examinations_2[[#This Row],[Customer ID]],Medical_Examinations!$1:$1048576,6,FALSE)</f>
        <v>No</v>
      </c>
      <c r="H318" t="str">
        <f>VLOOKUP(Medical_Examinations_2[[#This Row],[Customer ID]],Medical_Examinations!$1:$1048576,9,FALSE)</f>
        <v>No major surgery</v>
      </c>
      <c r="I318" t="str">
        <f>VLOOKUP(Medical_Examinations_2[[#This Row],[Customer ID]],Medical_Examinations!$1:$1048576,11,FALSE)</f>
        <v>No</v>
      </c>
    </row>
    <row r="319" spans="1:9" x14ac:dyDescent="0.25">
      <c r="A319" s="11" t="s">
        <v>346</v>
      </c>
      <c r="B319" t="str">
        <f>VLOOKUP(Customer_Names!A319,Customer_Names!$1:$1048576,4,FALSE)</f>
        <v>Aliaksandr</v>
      </c>
      <c r="C319">
        <f>VLOOKUP(Medical_Examinations_2[[#This Row],[Customer ID]],Medical_Examinations!$1:$1048576,2,FALSE)</f>
        <v>29.83</v>
      </c>
      <c r="D319">
        <f>VLOOKUP(Medical_Examinations_2[[#This Row],[Customer ID]],Medical_Examinations!$1:$1048576,4,FALSE)</f>
        <v>9.6999999999999993</v>
      </c>
      <c r="E319" t="str">
        <f>VLOOKUP(Medical_Examinations_2[[#This Row],[Customer ID]],Medical_Examinations!$1:$1048576,6,FALSE)</f>
        <v>Yes</v>
      </c>
      <c r="H319">
        <f>VLOOKUP(Medical_Examinations_2[[#This Row],[Customer ID]],Medical_Examinations!$1:$1048576,9,FALSE)</f>
        <v>1</v>
      </c>
      <c r="I319" t="str">
        <f>VLOOKUP(Medical_Examinations_2[[#This Row],[Customer ID]],Medical_Examinations!$1:$1048576,11,FALSE)</f>
        <v>Yes</v>
      </c>
    </row>
    <row r="320" spans="1:9" x14ac:dyDescent="0.25">
      <c r="A320" s="10" t="s">
        <v>347</v>
      </c>
      <c r="B320" t="str">
        <f>VLOOKUP(Customer_Names!A320,Customer_Names!$1:$1048576,4,FALSE)</f>
        <v>Jason M.</v>
      </c>
      <c r="C320">
        <f>VLOOKUP(Medical_Examinations_2[[#This Row],[Customer ID]],Medical_Examinations!$1:$1048576,2,FALSE)</f>
        <v>24.7</v>
      </c>
      <c r="D320">
        <f>VLOOKUP(Medical_Examinations_2[[#This Row],[Customer ID]],Medical_Examinations!$1:$1048576,4,FALSE)</f>
        <v>10.25</v>
      </c>
      <c r="E320" t="str">
        <f>VLOOKUP(Medical_Examinations_2[[#This Row],[Customer ID]],Medical_Examinations!$1:$1048576,6,FALSE)</f>
        <v>No</v>
      </c>
      <c r="H320">
        <f>VLOOKUP(Medical_Examinations_2[[#This Row],[Customer ID]],Medical_Examinations!$1:$1048576,9,FALSE)</f>
        <v>3</v>
      </c>
      <c r="I320" t="str">
        <f>VLOOKUP(Medical_Examinations_2[[#This Row],[Customer ID]],Medical_Examinations!$1:$1048576,11,FALSE)</f>
        <v>No</v>
      </c>
    </row>
    <row r="321" spans="1:9" x14ac:dyDescent="0.25">
      <c r="A321" s="11" t="s">
        <v>348</v>
      </c>
      <c r="B321" t="str">
        <f>VLOOKUP(Customer_Names!A321,Customer_Names!$1:$1048576,4,FALSE)</f>
        <v>Sheera K</v>
      </c>
      <c r="C321">
        <f>VLOOKUP(Medical_Examinations_2[[#This Row],[Customer ID]],Medical_Examinations!$1:$1048576,2,FALSE)</f>
        <v>17.940000000000001</v>
      </c>
      <c r="D321">
        <f>VLOOKUP(Medical_Examinations_2[[#This Row],[Customer ID]],Medical_Examinations!$1:$1048576,4,FALSE)</f>
        <v>9.77</v>
      </c>
      <c r="E321" t="str">
        <f>VLOOKUP(Medical_Examinations_2[[#This Row],[Customer ID]],Medical_Examinations!$1:$1048576,6,FALSE)</f>
        <v>No</v>
      </c>
      <c r="H321" t="str">
        <f>VLOOKUP(Medical_Examinations_2[[#This Row],[Customer ID]],Medical_Examinations!$1:$1048576,9,FALSE)</f>
        <v>No major surgery</v>
      </c>
      <c r="I321" t="str">
        <f>VLOOKUP(Medical_Examinations_2[[#This Row],[Customer ID]],Medical_Examinations!$1:$1048576,11,FALSE)</f>
        <v>Yes</v>
      </c>
    </row>
    <row r="322" spans="1:9" x14ac:dyDescent="0.25">
      <c r="A322" s="10" t="s">
        <v>349</v>
      </c>
      <c r="B322" t="str">
        <f>VLOOKUP(Customer_Names!A322,Customer_Names!$1:$1048576,4,FALSE)</f>
        <v>Janice</v>
      </c>
      <c r="C322">
        <f>VLOOKUP(Medical_Examinations_2[[#This Row],[Customer ID]],Medical_Examinations!$1:$1048576,2,FALSE)</f>
        <v>21.08</v>
      </c>
      <c r="D322">
        <f>VLOOKUP(Medical_Examinations_2[[#This Row],[Customer ID]],Medical_Examinations!$1:$1048576,4,FALSE)</f>
        <v>4.83</v>
      </c>
      <c r="E322" t="str">
        <f>VLOOKUP(Medical_Examinations_2[[#This Row],[Customer ID]],Medical_Examinations!$1:$1048576,6,FALSE)</f>
        <v>No</v>
      </c>
      <c r="H322">
        <f>VLOOKUP(Medical_Examinations_2[[#This Row],[Customer ID]],Medical_Examinations!$1:$1048576,9,FALSE)</f>
        <v>1</v>
      </c>
      <c r="I322" t="str">
        <f>VLOOKUP(Medical_Examinations_2[[#This Row],[Customer ID]],Medical_Examinations!$1:$1048576,11,FALSE)</f>
        <v>Yes</v>
      </c>
    </row>
    <row r="323" spans="1:9" x14ac:dyDescent="0.25">
      <c r="A323" s="11" t="s">
        <v>350</v>
      </c>
      <c r="B323" t="str">
        <f>VLOOKUP(Customer_Names!A323,Customer_Names!$1:$1048576,4,FALSE)</f>
        <v>Timothy G.</v>
      </c>
      <c r="C323">
        <f>VLOOKUP(Medical_Examinations_2[[#This Row],[Customer ID]],Medical_Examinations!$1:$1048576,2,FALSE)</f>
        <v>37.715000000000003</v>
      </c>
      <c r="D323">
        <f>VLOOKUP(Medical_Examinations_2[[#This Row],[Customer ID]],Medical_Examinations!$1:$1048576,4,FALSE)</f>
        <v>10.86</v>
      </c>
      <c r="E323" t="str">
        <f>VLOOKUP(Medical_Examinations_2[[#This Row],[Customer ID]],Medical_Examinations!$1:$1048576,6,FALSE)</f>
        <v>Yes</v>
      </c>
      <c r="H323" t="str">
        <f>VLOOKUP(Medical_Examinations_2[[#This Row],[Customer ID]],Medical_Examinations!$1:$1048576,9,FALSE)</f>
        <v>No major surgery</v>
      </c>
      <c r="I323" t="str">
        <f>VLOOKUP(Medical_Examinations_2[[#This Row],[Customer ID]],Medical_Examinations!$1:$1048576,11,FALSE)</f>
        <v>No</v>
      </c>
    </row>
    <row r="324" spans="1:9" x14ac:dyDescent="0.25">
      <c r="A324" s="10" t="s">
        <v>351</v>
      </c>
      <c r="B324" t="str">
        <f>VLOOKUP(Customer_Names!A324,Customer_Names!$1:$1048576,4,FALSE)</f>
        <v>Alan R</v>
      </c>
      <c r="C324">
        <f>VLOOKUP(Medical_Examinations_2[[#This Row],[Customer ID]],Medical_Examinations!$1:$1048576,2,FALSE)</f>
        <v>22.39</v>
      </c>
      <c r="D324">
        <f>VLOOKUP(Medical_Examinations_2[[#This Row],[Customer ID]],Medical_Examinations!$1:$1048576,4,FALSE)</f>
        <v>9.5299999999999994</v>
      </c>
      <c r="E324" t="str">
        <f>VLOOKUP(Medical_Examinations_2[[#This Row],[Customer ID]],Medical_Examinations!$1:$1048576,6,FALSE)</f>
        <v>Yes</v>
      </c>
      <c r="H324" t="str">
        <f>VLOOKUP(Medical_Examinations_2[[#This Row],[Customer ID]],Medical_Examinations!$1:$1048576,9,FALSE)</f>
        <v>No major surgery</v>
      </c>
      <c r="I324" t="str">
        <f>VLOOKUP(Medical_Examinations_2[[#This Row],[Customer ID]],Medical_Examinations!$1:$1048576,11,FALSE)</f>
        <v>Yes</v>
      </c>
    </row>
    <row r="325" spans="1:9" x14ac:dyDescent="0.25">
      <c r="A325" s="11" t="s">
        <v>352</v>
      </c>
      <c r="B325" t="str">
        <f>VLOOKUP(Customer_Names!A325,Customer_Names!$1:$1048576,4,FALSE)</f>
        <v>Michael</v>
      </c>
      <c r="C325">
        <f>VLOOKUP(Medical_Examinations_2[[#This Row],[Customer ID]],Medical_Examinations!$1:$1048576,2,FALSE)</f>
        <v>28.78</v>
      </c>
      <c r="D325">
        <f>VLOOKUP(Medical_Examinations_2[[#This Row],[Customer ID]],Medical_Examinations!$1:$1048576,4,FALSE)</f>
        <v>5.68</v>
      </c>
      <c r="E325" t="str">
        <f>VLOOKUP(Medical_Examinations_2[[#This Row],[Customer ID]],Medical_Examinations!$1:$1048576,6,FALSE)</f>
        <v>No</v>
      </c>
      <c r="H325" t="str">
        <f>VLOOKUP(Medical_Examinations_2[[#This Row],[Customer ID]],Medical_Examinations!$1:$1048576,9,FALSE)</f>
        <v>No major surgery</v>
      </c>
      <c r="I325" t="str">
        <f>VLOOKUP(Medical_Examinations_2[[#This Row],[Customer ID]],Medical_Examinations!$1:$1048576,11,FALSE)</f>
        <v>Yes</v>
      </c>
    </row>
    <row r="326" spans="1:9" x14ac:dyDescent="0.25">
      <c r="A326" s="10" t="s">
        <v>353</v>
      </c>
      <c r="B326" t="str">
        <f>VLOOKUP(Customer_Names!A326,Customer_Names!$1:$1048576,4,FALSE)</f>
        <v>Marie-France</v>
      </c>
      <c r="C326">
        <f>VLOOKUP(Medical_Examinations_2[[#This Row],[Customer ID]],Medical_Examinations!$1:$1048576,2,FALSE)</f>
        <v>18.329999999999998</v>
      </c>
      <c r="D326">
        <f>VLOOKUP(Medical_Examinations_2[[#This Row],[Customer ID]],Medical_Examinations!$1:$1048576,4,FALSE)</f>
        <v>5.57</v>
      </c>
      <c r="E326" t="str">
        <f>VLOOKUP(Medical_Examinations_2[[#This Row],[Customer ID]],Medical_Examinations!$1:$1048576,6,FALSE)</f>
        <v>Yes</v>
      </c>
      <c r="H326" t="str">
        <f>VLOOKUP(Medical_Examinations_2[[#This Row],[Customer ID]],Medical_Examinations!$1:$1048576,9,FALSE)</f>
        <v>No major surgery</v>
      </c>
      <c r="I326" t="str">
        <f>VLOOKUP(Medical_Examinations_2[[#This Row],[Customer ID]],Medical_Examinations!$1:$1048576,11,FALSE)</f>
        <v>Yes</v>
      </c>
    </row>
    <row r="327" spans="1:9" x14ac:dyDescent="0.25">
      <c r="A327" s="11" t="s">
        <v>354</v>
      </c>
      <c r="B327" t="str">
        <f>VLOOKUP(Customer_Names!A327,Customer_Names!$1:$1048576,4,FALSE)</f>
        <v>Erik F.</v>
      </c>
      <c r="C327">
        <f>VLOOKUP(Medical_Examinations_2[[#This Row],[Customer ID]],Medical_Examinations!$1:$1048576,2,FALSE)</f>
        <v>26.39</v>
      </c>
      <c r="D327">
        <f>VLOOKUP(Medical_Examinations_2[[#This Row],[Customer ID]],Medical_Examinations!$1:$1048576,4,FALSE)</f>
        <v>4.58</v>
      </c>
      <c r="E327" t="str">
        <f>VLOOKUP(Medical_Examinations_2[[#This Row],[Customer ID]],Medical_Examinations!$1:$1048576,6,FALSE)</f>
        <v>Yes</v>
      </c>
      <c r="H327">
        <f>VLOOKUP(Medical_Examinations_2[[#This Row],[Customer ID]],Medical_Examinations!$1:$1048576,9,FALSE)</f>
        <v>1</v>
      </c>
      <c r="I327" t="str">
        <f>VLOOKUP(Medical_Examinations_2[[#This Row],[Customer ID]],Medical_Examinations!$1:$1048576,11,FALSE)</f>
        <v>Yes</v>
      </c>
    </row>
    <row r="328" spans="1:9" x14ac:dyDescent="0.25">
      <c r="A328" s="10" t="s">
        <v>356</v>
      </c>
      <c r="B328" t="str">
        <f>VLOOKUP(Customer_Names!A328,Customer_Names!$1:$1048576,4,FALSE)</f>
        <v>Andrew</v>
      </c>
      <c r="C328">
        <f>VLOOKUP(Medical_Examinations_2[[#This Row],[Customer ID]],Medical_Examinations!$1:$1048576,2,FALSE)</f>
        <v>19.260000000000002</v>
      </c>
      <c r="D328">
        <f>VLOOKUP(Medical_Examinations_2[[#This Row],[Customer ID]],Medical_Examinations!$1:$1048576,4,FALSE)</f>
        <v>8.9600000000000009</v>
      </c>
      <c r="E328" t="str">
        <f>VLOOKUP(Medical_Examinations_2[[#This Row],[Customer ID]],Medical_Examinations!$1:$1048576,6,FALSE)</f>
        <v>Yes</v>
      </c>
      <c r="H328">
        <f>VLOOKUP(Medical_Examinations_2[[#This Row],[Customer ID]],Medical_Examinations!$1:$1048576,9,FALSE)</f>
        <v>1</v>
      </c>
      <c r="I328" t="str">
        <f>VLOOKUP(Medical_Examinations_2[[#This Row],[Customer ID]],Medical_Examinations!$1:$1048576,11,FALSE)</f>
        <v>Yes</v>
      </c>
    </row>
    <row r="329" spans="1:9" x14ac:dyDescent="0.25">
      <c r="A329" s="11" t="s">
        <v>357</v>
      </c>
      <c r="B329" t="str">
        <f>VLOOKUP(Customer_Names!A329,Customer_Names!$1:$1048576,4,FALSE)</f>
        <v>Anthony</v>
      </c>
      <c r="C329">
        <f>VLOOKUP(Medical_Examinations_2[[#This Row],[Customer ID]],Medical_Examinations!$1:$1048576,2,FALSE)</f>
        <v>26.92</v>
      </c>
      <c r="D329">
        <f>VLOOKUP(Medical_Examinations_2[[#This Row],[Customer ID]],Medical_Examinations!$1:$1048576,4,FALSE)</f>
        <v>6.09</v>
      </c>
      <c r="E329" t="str">
        <f>VLOOKUP(Medical_Examinations_2[[#This Row],[Customer ID]],Medical_Examinations!$1:$1048576,6,FALSE)</f>
        <v>No</v>
      </c>
      <c r="H329" t="str">
        <f>VLOOKUP(Medical_Examinations_2[[#This Row],[Customer ID]],Medical_Examinations!$1:$1048576,9,FALSE)</f>
        <v>No major surgery</v>
      </c>
      <c r="I329" t="str">
        <f>VLOOKUP(Medical_Examinations_2[[#This Row],[Customer ID]],Medical_Examinations!$1:$1048576,11,FALSE)</f>
        <v>Yes</v>
      </c>
    </row>
    <row r="330" spans="1:9" x14ac:dyDescent="0.25">
      <c r="A330" s="10" t="s">
        <v>358</v>
      </c>
      <c r="B330" t="str">
        <f>VLOOKUP(Customer_Names!A330,Customer_Names!$1:$1048576,4,FALSE)</f>
        <v>Chris</v>
      </c>
      <c r="C330">
        <f>VLOOKUP(Medical_Examinations_2[[#This Row],[Customer ID]],Medical_Examinations!$1:$1048576,2,FALSE)</f>
        <v>19.73</v>
      </c>
      <c r="D330">
        <f>VLOOKUP(Medical_Examinations_2[[#This Row],[Customer ID]],Medical_Examinations!$1:$1048576,4,FALSE)</f>
        <v>4.3600000000000003</v>
      </c>
      <c r="E330" t="str">
        <f>VLOOKUP(Medical_Examinations_2[[#This Row],[Customer ID]],Medical_Examinations!$1:$1048576,6,FALSE)</f>
        <v>No</v>
      </c>
      <c r="H330" t="str">
        <f>VLOOKUP(Medical_Examinations_2[[#This Row],[Customer ID]],Medical_Examinations!$1:$1048576,9,FALSE)</f>
        <v>No major surgery</v>
      </c>
      <c r="I330" t="str">
        <f>VLOOKUP(Medical_Examinations_2[[#This Row],[Customer ID]],Medical_Examinations!$1:$1048576,11,FALSE)</f>
        <v>Yes</v>
      </c>
    </row>
    <row r="331" spans="1:9" x14ac:dyDescent="0.25">
      <c r="A331" s="11" t="s">
        <v>359</v>
      </c>
      <c r="B331" t="str">
        <f>VLOOKUP(Customer_Names!A331,Customer_Names!$1:$1048576,4,FALSE)</f>
        <v>Yu</v>
      </c>
      <c r="C331">
        <f>VLOOKUP(Medical_Examinations_2[[#This Row],[Customer ID]],Medical_Examinations!$1:$1048576,2,FALSE)</f>
        <v>23.56</v>
      </c>
      <c r="D331">
        <f>VLOOKUP(Medical_Examinations_2[[#This Row],[Customer ID]],Medical_Examinations!$1:$1048576,4,FALSE)</f>
        <v>11.74</v>
      </c>
      <c r="E331" t="str">
        <f>VLOOKUP(Medical_Examinations_2[[#This Row],[Customer ID]],Medical_Examinations!$1:$1048576,6,FALSE)</f>
        <v>Yes</v>
      </c>
      <c r="H331" t="str">
        <f>VLOOKUP(Medical_Examinations_2[[#This Row],[Customer ID]],Medical_Examinations!$1:$1048576,9,FALSE)</f>
        <v>No major surgery</v>
      </c>
      <c r="I331" t="str">
        <f>VLOOKUP(Medical_Examinations_2[[#This Row],[Customer ID]],Medical_Examinations!$1:$1048576,11,FALSE)</f>
        <v>Yes</v>
      </c>
    </row>
    <row r="332" spans="1:9" x14ac:dyDescent="0.25">
      <c r="A332" s="10" t="s">
        <v>360</v>
      </c>
      <c r="B332" t="str">
        <f>VLOOKUP(Customer_Names!A332,Customer_Names!$1:$1048576,4,FALSE)</f>
        <v>Caleb N</v>
      </c>
      <c r="C332">
        <f>VLOOKUP(Medical_Examinations_2[[#This Row],[Customer ID]],Medical_Examinations!$1:$1048576,2,FALSE)</f>
        <v>37.67</v>
      </c>
      <c r="D332">
        <f>VLOOKUP(Medical_Examinations_2[[#This Row],[Customer ID]],Medical_Examinations!$1:$1048576,4,FALSE)</f>
        <v>5.89</v>
      </c>
      <c r="E332" t="str">
        <f>VLOOKUP(Medical_Examinations_2[[#This Row],[Customer ID]],Medical_Examinations!$1:$1048576,6,FALSE)</f>
        <v>No</v>
      </c>
      <c r="H332">
        <f>VLOOKUP(Medical_Examinations_2[[#This Row],[Customer ID]],Medical_Examinations!$1:$1048576,9,FALSE)</f>
        <v>1</v>
      </c>
      <c r="I332" t="str">
        <f>VLOOKUP(Medical_Examinations_2[[#This Row],[Customer ID]],Medical_Examinations!$1:$1048576,11,FALSE)</f>
        <v>Yes</v>
      </c>
    </row>
    <row r="333" spans="1:9" x14ac:dyDescent="0.25">
      <c r="A333" s="11" t="s">
        <v>361</v>
      </c>
      <c r="B333" t="str">
        <f>VLOOKUP(Customer_Names!A333,Customer_Names!$1:$1048576,4,FALSE)</f>
        <v>Jason M.</v>
      </c>
      <c r="C333">
        <f>VLOOKUP(Medical_Examinations_2[[#This Row],[Customer ID]],Medical_Examinations!$1:$1048576,2,FALSE)</f>
        <v>18.73</v>
      </c>
      <c r="D333">
        <f>VLOOKUP(Medical_Examinations_2[[#This Row],[Customer ID]],Medical_Examinations!$1:$1048576,4,FALSE)</f>
        <v>10.64</v>
      </c>
      <c r="E333" t="str">
        <f>VLOOKUP(Medical_Examinations_2[[#This Row],[Customer ID]],Medical_Examinations!$1:$1048576,6,FALSE)</f>
        <v>No</v>
      </c>
      <c r="H333">
        <f>VLOOKUP(Medical_Examinations_2[[#This Row],[Customer ID]],Medical_Examinations!$1:$1048576,9,FALSE)</f>
        <v>2</v>
      </c>
      <c r="I333" t="str">
        <f>VLOOKUP(Medical_Examinations_2[[#This Row],[Customer ID]],Medical_Examinations!$1:$1048576,11,FALSE)</f>
        <v>Yes</v>
      </c>
    </row>
    <row r="334" spans="1:9" x14ac:dyDescent="0.25">
      <c r="A334" s="10" t="s">
        <v>362</v>
      </c>
      <c r="B334" t="str">
        <f>VLOOKUP(Customer_Names!A334,Customer_Names!$1:$1048576,4,FALSE)</f>
        <v>Angela R</v>
      </c>
      <c r="C334">
        <f>VLOOKUP(Medical_Examinations_2[[#This Row],[Customer ID]],Medical_Examinations!$1:$1048576,2,FALSE)</f>
        <v>33.090000000000003</v>
      </c>
      <c r="D334">
        <f>VLOOKUP(Medical_Examinations_2[[#This Row],[Customer ID]],Medical_Examinations!$1:$1048576,4,FALSE)</f>
        <v>6.06</v>
      </c>
      <c r="E334" t="str">
        <f>VLOOKUP(Medical_Examinations_2[[#This Row],[Customer ID]],Medical_Examinations!$1:$1048576,6,FALSE)</f>
        <v>No</v>
      </c>
      <c r="H334">
        <f>VLOOKUP(Medical_Examinations_2[[#This Row],[Customer ID]],Medical_Examinations!$1:$1048576,9,FALSE)</f>
        <v>1</v>
      </c>
      <c r="I334" t="str">
        <f>VLOOKUP(Medical_Examinations_2[[#This Row],[Customer ID]],Medical_Examinations!$1:$1048576,11,FALSE)</f>
        <v>Yes</v>
      </c>
    </row>
    <row r="335" spans="1:9" x14ac:dyDescent="0.25">
      <c r="A335" s="11" t="s">
        <v>363</v>
      </c>
      <c r="B335" t="str">
        <f>VLOOKUP(Customer_Names!A335,Customer_Names!$1:$1048576,4,FALSE)</f>
        <v>Keith J</v>
      </c>
      <c r="C335">
        <f>VLOOKUP(Medical_Examinations_2[[#This Row],[Customer ID]],Medical_Examinations!$1:$1048576,2,FALSE)</f>
        <v>18.329999999999998</v>
      </c>
      <c r="D335">
        <f>VLOOKUP(Medical_Examinations_2[[#This Row],[Customer ID]],Medical_Examinations!$1:$1048576,4,FALSE)</f>
        <v>7.46</v>
      </c>
      <c r="E335" t="str">
        <f>VLOOKUP(Medical_Examinations_2[[#This Row],[Customer ID]],Medical_Examinations!$1:$1048576,6,FALSE)</f>
        <v>Yes</v>
      </c>
      <c r="H335">
        <f>VLOOKUP(Medical_Examinations_2[[#This Row],[Customer ID]],Medical_Examinations!$1:$1048576,9,FALSE)</f>
        <v>1</v>
      </c>
      <c r="I335" t="str">
        <f>VLOOKUP(Medical_Examinations_2[[#This Row],[Customer ID]],Medical_Examinations!$1:$1048576,11,FALSE)</f>
        <v>Yes</v>
      </c>
    </row>
    <row r="336" spans="1:9" x14ac:dyDescent="0.25">
      <c r="A336" s="10" t="s">
        <v>364</v>
      </c>
      <c r="B336" t="str">
        <f>VLOOKUP(Customer_Names!A336,Customer_Names!$1:$1048576,4,FALSE)</f>
        <v>Emma</v>
      </c>
      <c r="C336">
        <f>VLOOKUP(Medical_Examinations_2[[#This Row],[Customer ID]],Medical_Examinations!$1:$1048576,2,FALSE)</f>
        <v>27.74</v>
      </c>
      <c r="D336">
        <f>VLOOKUP(Medical_Examinations_2[[#This Row],[Customer ID]],Medical_Examinations!$1:$1048576,4,FALSE)</f>
        <v>4.68</v>
      </c>
      <c r="E336" t="str">
        <f>VLOOKUP(Medical_Examinations_2[[#This Row],[Customer ID]],Medical_Examinations!$1:$1048576,6,FALSE)</f>
        <v>Yes</v>
      </c>
      <c r="H336">
        <f>VLOOKUP(Medical_Examinations_2[[#This Row],[Customer ID]],Medical_Examinations!$1:$1048576,9,FALSE)</f>
        <v>2</v>
      </c>
      <c r="I336" t="str">
        <f>VLOOKUP(Medical_Examinations_2[[#This Row],[Customer ID]],Medical_Examinations!$1:$1048576,11,FALSE)</f>
        <v>Yes</v>
      </c>
    </row>
    <row r="337" spans="1:9" x14ac:dyDescent="0.25">
      <c r="A337" s="11" t="s">
        <v>365</v>
      </c>
      <c r="B337" t="str">
        <f>VLOOKUP(Customer_Names!A337,Customer_Names!$1:$1048576,4,FALSE)</f>
        <v>Nathan A</v>
      </c>
      <c r="C337">
        <f>VLOOKUP(Medical_Examinations_2[[#This Row],[Customer ID]],Medical_Examinations!$1:$1048576,2,FALSE)</f>
        <v>24.2</v>
      </c>
      <c r="D337">
        <f>VLOOKUP(Medical_Examinations_2[[#This Row],[Customer ID]],Medical_Examinations!$1:$1048576,4,FALSE)</f>
        <v>6.15</v>
      </c>
      <c r="E337" t="str">
        <f>VLOOKUP(Medical_Examinations_2[[#This Row],[Customer ID]],Medical_Examinations!$1:$1048576,6,FALSE)</f>
        <v>No</v>
      </c>
      <c r="H337">
        <f>VLOOKUP(Medical_Examinations_2[[#This Row],[Customer ID]],Medical_Examinations!$1:$1048576,9,FALSE)</f>
        <v>1</v>
      </c>
      <c r="I337" t="str">
        <f>VLOOKUP(Medical_Examinations_2[[#This Row],[Customer ID]],Medical_Examinations!$1:$1048576,11,FALSE)</f>
        <v>Yes</v>
      </c>
    </row>
    <row r="338" spans="1:9" x14ac:dyDescent="0.25">
      <c r="A338" s="10" t="s">
        <v>366</v>
      </c>
      <c r="B338" t="str">
        <f>VLOOKUP(Customer_Names!A338,Customer_Names!$1:$1048576,4,FALSE)</f>
        <v>Kathryn</v>
      </c>
      <c r="C338">
        <f>VLOOKUP(Medical_Examinations_2[[#This Row],[Customer ID]],Medical_Examinations!$1:$1048576,2,FALSE)</f>
        <v>22.03</v>
      </c>
      <c r="D338">
        <f>VLOOKUP(Medical_Examinations_2[[#This Row],[Customer ID]],Medical_Examinations!$1:$1048576,4,FALSE)</f>
        <v>4.28</v>
      </c>
      <c r="E338" t="str">
        <f>VLOOKUP(Medical_Examinations_2[[#This Row],[Customer ID]],Medical_Examinations!$1:$1048576,6,FALSE)</f>
        <v>Yes</v>
      </c>
      <c r="H338" t="str">
        <f>VLOOKUP(Medical_Examinations_2[[#This Row],[Customer ID]],Medical_Examinations!$1:$1048576,9,FALSE)</f>
        <v>No major surgery</v>
      </c>
      <c r="I338" t="str">
        <f>VLOOKUP(Medical_Examinations_2[[#This Row],[Customer ID]],Medical_Examinations!$1:$1048576,11,FALSE)</f>
        <v>Yes</v>
      </c>
    </row>
    <row r="339" spans="1:9" x14ac:dyDescent="0.25">
      <c r="A339" s="11" t="s">
        <v>367</v>
      </c>
      <c r="B339" t="str">
        <f>VLOOKUP(Customer_Names!A339,Customer_Names!$1:$1048576,4,FALSE)</f>
        <v>Elizabeth H.</v>
      </c>
      <c r="C339">
        <f>VLOOKUP(Medical_Examinations_2[[#This Row],[Customer ID]],Medical_Examinations!$1:$1048576,2,FALSE)</f>
        <v>26.885000000000002</v>
      </c>
      <c r="D339">
        <f>VLOOKUP(Medical_Examinations_2[[#This Row],[Customer ID]],Medical_Examinations!$1:$1048576,4,FALSE)</f>
        <v>9.86</v>
      </c>
      <c r="E339" t="str">
        <f>VLOOKUP(Medical_Examinations_2[[#This Row],[Customer ID]],Medical_Examinations!$1:$1048576,6,FALSE)</f>
        <v>No</v>
      </c>
      <c r="H339">
        <f>VLOOKUP(Medical_Examinations_2[[#This Row],[Customer ID]],Medical_Examinations!$1:$1048576,9,FALSE)</f>
        <v>3</v>
      </c>
      <c r="I339" t="str">
        <f>VLOOKUP(Medical_Examinations_2[[#This Row],[Customer ID]],Medical_Examinations!$1:$1048576,11,FALSE)</f>
        <v>Yes</v>
      </c>
    </row>
    <row r="340" spans="1:9" x14ac:dyDescent="0.25">
      <c r="A340" s="10" t="s">
        <v>368</v>
      </c>
      <c r="B340" t="str">
        <f>VLOOKUP(Customer_Names!A340,Customer_Names!$1:$1048576,4,FALSE)</f>
        <v>Ben</v>
      </c>
      <c r="C340">
        <f>VLOOKUP(Medical_Examinations_2[[#This Row],[Customer ID]],Medical_Examinations!$1:$1048576,2,FALSE)</f>
        <v>16.36</v>
      </c>
      <c r="D340">
        <f>VLOOKUP(Medical_Examinations_2[[#This Row],[Customer ID]],Medical_Examinations!$1:$1048576,4,FALSE)</f>
        <v>11.19</v>
      </c>
      <c r="E340" t="str">
        <f>VLOOKUP(Medical_Examinations_2[[#This Row],[Customer ID]],Medical_Examinations!$1:$1048576,6,FALSE)</f>
        <v>No</v>
      </c>
      <c r="H340" t="str">
        <f>VLOOKUP(Medical_Examinations_2[[#This Row],[Customer ID]],Medical_Examinations!$1:$1048576,9,FALSE)</f>
        <v>No major surgery</v>
      </c>
      <c r="I340" t="str">
        <f>VLOOKUP(Medical_Examinations_2[[#This Row],[Customer ID]],Medical_Examinations!$1:$1048576,11,FALSE)</f>
        <v>Yes</v>
      </c>
    </row>
    <row r="341" spans="1:9" x14ac:dyDescent="0.25">
      <c r="A341" s="11" t="s">
        <v>369</v>
      </c>
      <c r="B341" t="str">
        <f>VLOOKUP(Customer_Names!A341,Customer_Names!$1:$1048576,4,FALSE)</f>
        <v>Cheryl A</v>
      </c>
      <c r="C341">
        <f>VLOOKUP(Medical_Examinations_2[[#This Row],[Customer ID]],Medical_Examinations!$1:$1048576,2,FALSE)</f>
        <v>32.299999999999997</v>
      </c>
      <c r="D341">
        <f>VLOOKUP(Medical_Examinations_2[[#This Row],[Customer ID]],Medical_Examinations!$1:$1048576,4,FALSE)</f>
        <v>4.8899999999999997</v>
      </c>
      <c r="E341" t="str">
        <f>VLOOKUP(Medical_Examinations_2[[#This Row],[Customer ID]],Medical_Examinations!$1:$1048576,6,FALSE)</f>
        <v>Yes</v>
      </c>
      <c r="H341">
        <f>VLOOKUP(Medical_Examinations_2[[#This Row],[Customer ID]],Medical_Examinations!$1:$1048576,9,FALSE)</f>
        <v>1</v>
      </c>
      <c r="I341" t="str">
        <f>VLOOKUP(Medical_Examinations_2[[#This Row],[Customer ID]],Medical_Examinations!$1:$1048576,11,FALSE)</f>
        <v>No</v>
      </c>
    </row>
    <row r="342" spans="1:9" x14ac:dyDescent="0.25">
      <c r="A342" s="10" t="s">
        <v>370</v>
      </c>
      <c r="B342" t="str">
        <f>VLOOKUP(Customer_Names!A342,Customer_Names!$1:$1048576,4,FALSE)</f>
        <v>Kimberly A</v>
      </c>
      <c r="C342">
        <f>VLOOKUP(Medical_Examinations_2[[#This Row],[Customer ID]],Medical_Examinations!$1:$1048576,2,FALSE)</f>
        <v>16.05</v>
      </c>
      <c r="D342">
        <f>VLOOKUP(Medical_Examinations_2[[#This Row],[Customer ID]],Medical_Examinations!$1:$1048576,4,FALSE)</f>
        <v>4.3499999999999996</v>
      </c>
      <c r="E342" t="str">
        <f>VLOOKUP(Medical_Examinations_2[[#This Row],[Customer ID]],Medical_Examinations!$1:$1048576,6,FALSE)</f>
        <v>Yes</v>
      </c>
      <c r="H342" t="str">
        <f>VLOOKUP(Medical_Examinations_2[[#This Row],[Customer ID]],Medical_Examinations!$1:$1048576,9,FALSE)</f>
        <v>No major surgery</v>
      </c>
      <c r="I342" t="str">
        <f>VLOOKUP(Medical_Examinations_2[[#This Row],[Customer ID]],Medical_Examinations!$1:$1048576,11,FALSE)</f>
        <v>Yes</v>
      </c>
    </row>
    <row r="343" spans="1:9" x14ac:dyDescent="0.25">
      <c r="A343" s="11" t="s">
        <v>371</v>
      </c>
      <c r="B343" t="str">
        <f>VLOOKUP(Customer_Names!A343,Customer_Names!$1:$1048576,4,FALSE)</f>
        <v>Cynthia</v>
      </c>
      <c r="C343">
        <f>VLOOKUP(Medical_Examinations_2[[#This Row],[Customer ID]],Medical_Examinations!$1:$1048576,2,FALSE)</f>
        <v>29.07</v>
      </c>
      <c r="D343">
        <f>VLOOKUP(Medical_Examinations_2[[#This Row],[Customer ID]],Medical_Examinations!$1:$1048576,4,FALSE)</f>
        <v>8.66</v>
      </c>
      <c r="E343" t="str">
        <f>VLOOKUP(Medical_Examinations_2[[#This Row],[Customer ID]],Medical_Examinations!$1:$1048576,6,FALSE)</f>
        <v>Yes</v>
      </c>
      <c r="H343">
        <f>VLOOKUP(Medical_Examinations_2[[#This Row],[Customer ID]],Medical_Examinations!$1:$1048576,9,FALSE)</f>
        <v>2</v>
      </c>
      <c r="I343" t="str">
        <f>VLOOKUP(Medical_Examinations_2[[#This Row],[Customer ID]],Medical_Examinations!$1:$1048576,11,FALSE)</f>
        <v>Yes</v>
      </c>
    </row>
    <row r="344" spans="1:9" x14ac:dyDescent="0.25">
      <c r="A344" s="10" t="s">
        <v>372</v>
      </c>
      <c r="B344" t="str">
        <f>VLOOKUP(Customer_Names!A344,Customer_Names!$1:$1048576,4,FALSE)</f>
        <v>Jessica</v>
      </c>
      <c r="C344">
        <f>VLOOKUP(Medical_Examinations_2[[#This Row],[Customer ID]],Medical_Examinations!$1:$1048576,2,FALSE)</f>
        <v>17.43</v>
      </c>
      <c r="D344">
        <f>VLOOKUP(Medical_Examinations_2[[#This Row],[Customer ID]],Medical_Examinations!$1:$1048576,4,FALSE)</f>
        <v>8.64</v>
      </c>
      <c r="E344" t="str">
        <f>VLOOKUP(Medical_Examinations_2[[#This Row],[Customer ID]],Medical_Examinations!$1:$1048576,6,FALSE)</f>
        <v>No</v>
      </c>
      <c r="H344" t="str">
        <f>VLOOKUP(Medical_Examinations_2[[#This Row],[Customer ID]],Medical_Examinations!$1:$1048576,9,FALSE)</f>
        <v>No major surgery</v>
      </c>
      <c r="I344" t="str">
        <f>VLOOKUP(Medical_Examinations_2[[#This Row],[Customer ID]],Medical_Examinations!$1:$1048576,11,FALSE)</f>
        <v>Yes</v>
      </c>
    </row>
    <row r="345" spans="1:9" x14ac:dyDescent="0.25">
      <c r="A345" s="11" t="s">
        <v>373</v>
      </c>
      <c r="B345" t="str">
        <f>VLOOKUP(Customer_Names!A345,Customer_Names!$1:$1048576,4,FALSE)</f>
        <v>Bruce</v>
      </c>
      <c r="C345">
        <f>VLOOKUP(Medical_Examinations_2[[#This Row],[Customer ID]],Medical_Examinations!$1:$1048576,2,FALSE)</f>
        <v>19.329999999999998</v>
      </c>
      <c r="D345">
        <f>VLOOKUP(Medical_Examinations_2[[#This Row],[Customer ID]],Medical_Examinations!$1:$1048576,4,FALSE)</f>
        <v>4.2699999999999996</v>
      </c>
      <c r="E345" t="str">
        <f>VLOOKUP(Medical_Examinations_2[[#This Row],[Customer ID]],Medical_Examinations!$1:$1048576,6,FALSE)</f>
        <v>No</v>
      </c>
      <c r="H345" t="str">
        <f>VLOOKUP(Medical_Examinations_2[[#This Row],[Customer ID]],Medical_Examinations!$1:$1048576,9,FALSE)</f>
        <v>No major surgery</v>
      </c>
      <c r="I345" t="str">
        <f>VLOOKUP(Medical_Examinations_2[[#This Row],[Customer ID]],Medical_Examinations!$1:$1048576,11,FALSE)</f>
        <v>Yes</v>
      </c>
    </row>
    <row r="346" spans="1:9" x14ac:dyDescent="0.25">
      <c r="A346" s="10" t="s">
        <v>374</v>
      </c>
      <c r="B346" t="str">
        <f>VLOOKUP(Customer_Names!A346,Customer_Names!$1:$1048576,4,FALSE)</f>
        <v>Allison</v>
      </c>
      <c r="C346">
        <f>VLOOKUP(Medical_Examinations_2[[#This Row],[Customer ID]],Medical_Examinations!$1:$1048576,2,FALSE)</f>
        <v>30.52</v>
      </c>
      <c r="D346">
        <f>VLOOKUP(Medical_Examinations_2[[#This Row],[Customer ID]],Medical_Examinations!$1:$1048576,4,FALSE)</f>
        <v>4.21</v>
      </c>
      <c r="E346" t="str">
        <f>VLOOKUP(Medical_Examinations_2[[#This Row],[Customer ID]],Medical_Examinations!$1:$1048576,6,FALSE)</f>
        <v>No</v>
      </c>
      <c r="H346">
        <f>VLOOKUP(Medical_Examinations_2[[#This Row],[Customer ID]],Medical_Examinations!$1:$1048576,9,FALSE)</f>
        <v>1</v>
      </c>
      <c r="I346" t="str">
        <f>VLOOKUP(Medical_Examinations_2[[#This Row],[Customer ID]],Medical_Examinations!$1:$1048576,11,FALSE)</f>
        <v>Yes</v>
      </c>
    </row>
    <row r="347" spans="1:9" x14ac:dyDescent="0.25">
      <c r="A347" s="11" t="s">
        <v>375</v>
      </c>
      <c r="B347" t="str">
        <f>VLOOKUP(Customer_Names!A347,Customer_Names!$1:$1048576,4,FALSE)</f>
        <v>Alex</v>
      </c>
      <c r="C347">
        <f>VLOOKUP(Medical_Examinations_2[[#This Row],[Customer ID]],Medical_Examinations!$1:$1048576,2,FALSE)</f>
        <v>39.21</v>
      </c>
      <c r="D347">
        <f>VLOOKUP(Medical_Examinations_2[[#This Row],[Customer ID]],Medical_Examinations!$1:$1048576,4,FALSE)</f>
        <v>5.04</v>
      </c>
      <c r="E347" t="str">
        <f>VLOOKUP(Medical_Examinations_2[[#This Row],[Customer ID]],Medical_Examinations!$1:$1048576,6,FALSE)</f>
        <v>No</v>
      </c>
      <c r="H347">
        <f>VLOOKUP(Medical_Examinations_2[[#This Row],[Customer ID]],Medical_Examinations!$1:$1048576,9,FALSE)</f>
        <v>1</v>
      </c>
      <c r="I347" t="str">
        <f>VLOOKUP(Medical_Examinations_2[[#This Row],[Customer ID]],Medical_Examinations!$1:$1048576,11,FALSE)</f>
        <v>Yes</v>
      </c>
    </row>
    <row r="348" spans="1:9" x14ac:dyDescent="0.25">
      <c r="A348" s="10" t="s">
        <v>376</v>
      </c>
      <c r="B348" t="str">
        <f>VLOOKUP(Customer_Names!A348,Customer_Names!$1:$1048576,4,FALSE)</f>
        <v>Gabriela</v>
      </c>
      <c r="C348">
        <f>VLOOKUP(Medical_Examinations_2[[#This Row],[Customer ID]],Medical_Examinations!$1:$1048576,2,FALSE)</f>
        <v>26.98</v>
      </c>
      <c r="D348">
        <f>VLOOKUP(Medical_Examinations_2[[#This Row],[Customer ID]],Medical_Examinations!$1:$1048576,4,FALSE)</f>
        <v>5.21</v>
      </c>
      <c r="E348" t="str">
        <f>VLOOKUP(Medical_Examinations_2[[#This Row],[Customer ID]],Medical_Examinations!$1:$1048576,6,FALSE)</f>
        <v>Yes</v>
      </c>
      <c r="H348">
        <f>VLOOKUP(Medical_Examinations_2[[#This Row],[Customer ID]],Medical_Examinations!$1:$1048576,9,FALSE)</f>
        <v>2</v>
      </c>
      <c r="I348" t="str">
        <f>VLOOKUP(Medical_Examinations_2[[#This Row],[Customer ID]],Medical_Examinations!$1:$1048576,11,FALSE)</f>
        <v>Yes</v>
      </c>
    </row>
    <row r="349" spans="1:9" x14ac:dyDescent="0.25">
      <c r="A349" s="11" t="s">
        <v>377</v>
      </c>
      <c r="B349" t="str">
        <f>VLOOKUP(Customer_Names!A349,Customer_Names!$1:$1048576,4,FALSE)</f>
        <v>Sharon</v>
      </c>
      <c r="C349">
        <f>VLOOKUP(Medical_Examinations_2[[#This Row],[Customer ID]],Medical_Examinations!$1:$1048576,2,FALSE)</f>
        <v>25.84</v>
      </c>
      <c r="D349">
        <f>VLOOKUP(Medical_Examinations_2[[#This Row],[Customer ID]],Medical_Examinations!$1:$1048576,4,FALSE)</f>
        <v>8.83</v>
      </c>
      <c r="E349" t="str">
        <f>VLOOKUP(Medical_Examinations_2[[#This Row],[Customer ID]],Medical_Examinations!$1:$1048576,6,FALSE)</f>
        <v>No</v>
      </c>
      <c r="H349" t="str">
        <f>VLOOKUP(Medical_Examinations_2[[#This Row],[Customer ID]],Medical_Examinations!$1:$1048576,9,FALSE)</f>
        <v>No major surgery</v>
      </c>
      <c r="I349" t="str">
        <f>VLOOKUP(Medical_Examinations_2[[#This Row],[Customer ID]],Medical_Examinations!$1:$1048576,11,FALSE)</f>
        <v>No</v>
      </c>
    </row>
    <row r="350" spans="1:9" x14ac:dyDescent="0.25">
      <c r="A350" s="10" t="s">
        <v>378</v>
      </c>
      <c r="B350" t="str">
        <f>VLOOKUP(Customer_Names!A350,Customer_Names!$1:$1048576,4,FALSE)</f>
        <v>Jason A</v>
      </c>
      <c r="C350">
        <f>VLOOKUP(Medical_Examinations_2[[#This Row],[Customer ID]],Medical_Examinations!$1:$1048576,2,FALSE)</f>
        <v>28.31</v>
      </c>
      <c r="D350">
        <f>VLOOKUP(Medical_Examinations_2[[#This Row],[Customer ID]],Medical_Examinations!$1:$1048576,4,FALSE)</f>
        <v>8.4700000000000006</v>
      </c>
      <c r="E350" t="str">
        <f>VLOOKUP(Medical_Examinations_2[[#This Row],[Customer ID]],Medical_Examinations!$1:$1048576,6,FALSE)</f>
        <v>Yes</v>
      </c>
      <c r="H350">
        <f>VLOOKUP(Medical_Examinations_2[[#This Row],[Customer ID]],Medical_Examinations!$1:$1048576,9,FALSE)</f>
        <v>2</v>
      </c>
      <c r="I350" t="str">
        <f>VLOOKUP(Medical_Examinations_2[[#This Row],[Customer ID]],Medical_Examinations!$1:$1048576,11,FALSE)</f>
        <v>Yes</v>
      </c>
    </row>
    <row r="351" spans="1:9" x14ac:dyDescent="0.25">
      <c r="A351" s="11" t="s">
        <v>379</v>
      </c>
      <c r="B351" t="str">
        <f>VLOOKUP(Customer_Names!A351,Customer_Names!$1:$1048576,4,FALSE)</f>
        <v>Chelsey C.</v>
      </c>
      <c r="C351">
        <f>VLOOKUP(Medical_Examinations_2[[#This Row],[Customer ID]],Medical_Examinations!$1:$1048576,2,FALSE)</f>
        <v>23.94</v>
      </c>
      <c r="D351">
        <f>VLOOKUP(Medical_Examinations_2[[#This Row],[Customer ID]],Medical_Examinations!$1:$1048576,4,FALSE)</f>
        <v>4.2</v>
      </c>
      <c r="E351" t="str">
        <f>VLOOKUP(Medical_Examinations_2[[#This Row],[Customer ID]],Medical_Examinations!$1:$1048576,6,FALSE)</f>
        <v>No</v>
      </c>
      <c r="H351" t="str">
        <f>VLOOKUP(Medical_Examinations_2[[#This Row],[Customer ID]],Medical_Examinations!$1:$1048576,9,FALSE)</f>
        <v>No major surgery</v>
      </c>
      <c r="I351" t="str">
        <f>VLOOKUP(Medical_Examinations_2[[#This Row],[Customer ID]],Medical_Examinations!$1:$1048576,11,FALSE)</f>
        <v>Yes</v>
      </c>
    </row>
    <row r="352" spans="1:9" x14ac:dyDescent="0.25">
      <c r="A352" s="10" t="s">
        <v>380</v>
      </c>
      <c r="B352" t="str">
        <f>VLOOKUP(Customer_Names!A352,Customer_Names!$1:$1048576,4,FALSE)</f>
        <v>Devon A.</v>
      </c>
      <c r="C352">
        <f>VLOOKUP(Medical_Examinations_2[[#This Row],[Customer ID]],Medical_Examinations!$1:$1048576,2,FALSE)</f>
        <v>20.03</v>
      </c>
      <c r="D352">
        <f>VLOOKUP(Medical_Examinations_2[[#This Row],[Customer ID]],Medical_Examinations!$1:$1048576,4,FALSE)</f>
        <v>6.14</v>
      </c>
      <c r="E352" t="str">
        <f>VLOOKUP(Medical_Examinations_2[[#This Row],[Customer ID]],Medical_Examinations!$1:$1048576,6,FALSE)</f>
        <v>Yes</v>
      </c>
      <c r="H352" t="str">
        <f>VLOOKUP(Medical_Examinations_2[[#This Row],[Customer ID]],Medical_Examinations!$1:$1048576,9,FALSE)</f>
        <v>No major surgery</v>
      </c>
      <c r="I352" t="str">
        <f>VLOOKUP(Medical_Examinations_2[[#This Row],[Customer ID]],Medical_Examinations!$1:$1048576,11,FALSE)</f>
        <v>Yes</v>
      </c>
    </row>
    <row r="353" spans="1:9" x14ac:dyDescent="0.25">
      <c r="A353" s="11" t="s">
        <v>381</v>
      </c>
      <c r="B353" t="str">
        <f>VLOOKUP(Customer_Names!A353,Customer_Names!$1:$1048576,4,FALSE)</f>
        <v>Joni L</v>
      </c>
      <c r="C353">
        <f>VLOOKUP(Medical_Examinations_2[[#This Row],[Customer ID]],Medical_Examinations!$1:$1048576,2,FALSE)</f>
        <v>41.42</v>
      </c>
      <c r="D353">
        <f>VLOOKUP(Medical_Examinations_2[[#This Row],[Customer ID]],Medical_Examinations!$1:$1048576,4,FALSE)</f>
        <v>6.07</v>
      </c>
      <c r="E353" t="str">
        <f>VLOOKUP(Medical_Examinations_2[[#This Row],[Customer ID]],Medical_Examinations!$1:$1048576,6,FALSE)</f>
        <v>No</v>
      </c>
      <c r="H353" t="str">
        <f>VLOOKUP(Medical_Examinations_2[[#This Row],[Customer ID]],Medical_Examinations!$1:$1048576,9,FALSE)</f>
        <v>No major surgery</v>
      </c>
      <c r="I353" t="str">
        <f>VLOOKUP(Medical_Examinations_2[[#This Row],[Customer ID]],Medical_Examinations!$1:$1048576,11,FALSE)</f>
        <v>No</v>
      </c>
    </row>
    <row r="354" spans="1:9" x14ac:dyDescent="0.25">
      <c r="A354" s="10" t="s">
        <v>382</v>
      </c>
      <c r="B354" t="str">
        <f>VLOOKUP(Customer_Names!A354,Customer_Names!$1:$1048576,4,FALSE)</f>
        <v>Colin</v>
      </c>
      <c r="C354">
        <f>VLOOKUP(Medical_Examinations_2[[#This Row],[Customer ID]],Medical_Examinations!$1:$1048576,2,FALSE)</f>
        <v>36.67</v>
      </c>
      <c r="D354">
        <f>VLOOKUP(Medical_Examinations_2[[#This Row],[Customer ID]],Medical_Examinations!$1:$1048576,4,FALSE)</f>
        <v>10.210000000000001</v>
      </c>
      <c r="E354" t="str">
        <f>VLOOKUP(Medical_Examinations_2[[#This Row],[Customer ID]],Medical_Examinations!$1:$1048576,6,FALSE)</f>
        <v>No</v>
      </c>
      <c r="H354" t="str">
        <f>VLOOKUP(Medical_Examinations_2[[#This Row],[Customer ID]],Medical_Examinations!$1:$1048576,9,FALSE)</f>
        <v>No major surgery</v>
      </c>
      <c r="I354" t="str">
        <f>VLOOKUP(Medical_Examinations_2[[#This Row],[Customer ID]],Medical_Examinations!$1:$1048576,11,FALSE)</f>
        <v>No</v>
      </c>
    </row>
    <row r="355" spans="1:9" x14ac:dyDescent="0.25">
      <c r="A355" s="11" t="s">
        <v>383</v>
      </c>
      <c r="B355" t="str">
        <f>VLOOKUP(Customer_Names!A355,Customer_Names!$1:$1048576,4,FALSE)</f>
        <v>Rachael</v>
      </c>
      <c r="C355">
        <f>VLOOKUP(Medical_Examinations_2[[#This Row],[Customer ID]],Medical_Examinations!$1:$1048576,2,FALSE)</f>
        <v>27.645</v>
      </c>
      <c r="D355">
        <f>VLOOKUP(Medical_Examinations_2[[#This Row],[Customer ID]],Medical_Examinations!$1:$1048576,4,FALSE)</f>
        <v>4.6900000000000004</v>
      </c>
      <c r="E355" t="str">
        <f>VLOOKUP(Medical_Examinations_2[[#This Row],[Customer ID]],Medical_Examinations!$1:$1048576,6,FALSE)</f>
        <v>No</v>
      </c>
      <c r="H355" t="str">
        <f>VLOOKUP(Medical_Examinations_2[[#This Row],[Customer ID]],Medical_Examinations!$1:$1048576,9,FALSE)</f>
        <v>No major surgery</v>
      </c>
      <c r="I355" t="str">
        <f>VLOOKUP(Medical_Examinations_2[[#This Row],[Customer ID]],Medical_Examinations!$1:$1048576,11,FALSE)</f>
        <v>No</v>
      </c>
    </row>
    <row r="356" spans="1:9" x14ac:dyDescent="0.25">
      <c r="A356" s="10" t="s">
        <v>384</v>
      </c>
      <c r="B356" t="str">
        <f>VLOOKUP(Customer_Names!A356,Customer_Names!$1:$1048576,4,FALSE)</f>
        <v>Torres, Ms.  Maricela</v>
      </c>
      <c r="C356">
        <f>VLOOKUP(Medical_Examinations_2[[#This Row],[Customer ID]],Medical_Examinations!$1:$1048576,2,FALSE)</f>
        <v>22.72</v>
      </c>
      <c r="D356">
        <f>VLOOKUP(Medical_Examinations_2[[#This Row],[Customer ID]],Medical_Examinations!$1:$1048576,4,FALSE)</f>
        <v>5.71</v>
      </c>
      <c r="E356" t="str">
        <f>VLOOKUP(Medical_Examinations_2[[#This Row],[Customer ID]],Medical_Examinations!$1:$1048576,6,FALSE)</f>
        <v>No</v>
      </c>
      <c r="H356" t="str">
        <f>VLOOKUP(Medical_Examinations_2[[#This Row],[Customer ID]],Medical_Examinations!$1:$1048576,9,FALSE)</f>
        <v>No major surgery</v>
      </c>
      <c r="I356" t="str">
        <f>VLOOKUP(Medical_Examinations_2[[#This Row],[Customer ID]],Medical_Examinations!$1:$1048576,11,FALSE)</f>
        <v>Yes</v>
      </c>
    </row>
    <row r="357" spans="1:9" x14ac:dyDescent="0.25">
      <c r="A357" s="11" t="s">
        <v>385</v>
      </c>
      <c r="B357" t="str">
        <f>VLOOKUP(Customer_Names!A357,Customer_Names!$1:$1048576,4,FALSE)</f>
        <v>Marie</v>
      </c>
      <c r="C357">
        <f>VLOOKUP(Medical_Examinations_2[[#This Row],[Customer ID]],Medical_Examinations!$1:$1048576,2,FALSE)</f>
        <v>36.520000000000003</v>
      </c>
      <c r="D357">
        <f>VLOOKUP(Medical_Examinations_2[[#This Row],[Customer ID]],Medical_Examinations!$1:$1048576,4,FALSE)</f>
        <v>9.07</v>
      </c>
      <c r="E357" t="str">
        <f>VLOOKUP(Medical_Examinations_2[[#This Row],[Customer ID]],Medical_Examinations!$1:$1048576,6,FALSE)</f>
        <v>Yes</v>
      </c>
      <c r="H357">
        <f>VLOOKUP(Medical_Examinations_2[[#This Row],[Customer ID]],Medical_Examinations!$1:$1048576,9,FALSE)</f>
        <v>1</v>
      </c>
      <c r="I357" t="str">
        <f>VLOOKUP(Medical_Examinations_2[[#This Row],[Customer ID]],Medical_Examinations!$1:$1048576,11,FALSE)</f>
        <v>No</v>
      </c>
    </row>
    <row r="358" spans="1:9" x14ac:dyDescent="0.25">
      <c r="A358" s="10" t="s">
        <v>386</v>
      </c>
      <c r="B358" t="str">
        <f>VLOOKUP(Customer_Names!A358,Customer_Names!$1:$1048576,4,FALSE)</f>
        <v>Frank</v>
      </c>
      <c r="C358">
        <f>VLOOKUP(Medical_Examinations_2[[#This Row],[Customer ID]],Medical_Examinations!$1:$1048576,2,FALSE)</f>
        <v>33.96</v>
      </c>
      <c r="D358">
        <f>VLOOKUP(Medical_Examinations_2[[#This Row],[Customer ID]],Medical_Examinations!$1:$1048576,4,FALSE)</f>
        <v>4.99</v>
      </c>
      <c r="E358" t="str">
        <f>VLOOKUP(Medical_Examinations_2[[#This Row],[Customer ID]],Medical_Examinations!$1:$1048576,6,FALSE)</f>
        <v>No</v>
      </c>
      <c r="H358" t="str">
        <f>VLOOKUP(Medical_Examinations_2[[#This Row],[Customer ID]],Medical_Examinations!$1:$1048576,9,FALSE)</f>
        <v>No major surgery</v>
      </c>
      <c r="I358" t="str">
        <f>VLOOKUP(Medical_Examinations_2[[#This Row],[Customer ID]],Medical_Examinations!$1:$1048576,11,FALSE)</f>
        <v>Yes</v>
      </c>
    </row>
    <row r="359" spans="1:9" x14ac:dyDescent="0.25">
      <c r="A359" s="11" t="s">
        <v>387</v>
      </c>
      <c r="B359" t="str">
        <f>VLOOKUP(Customer_Names!A359,Customer_Names!$1:$1048576,4,FALSE)</f>
        <v>Jeffry</v>
      </c>
      <c r="C359">
        <f>VLOOKUP(Medical_Examinations_2[[#This Row],[Customer ID]],Medical_Examinations!$1:$1048576,2,FALSE)</f>
        <v>26.695</v>
      </c>
      <c r="D359">
        <f>VLOOKUP(Medical_Examinations_2[[#This Row],[Customer ID]],Medical_Examinations!$1:$1048576,4,FALSE)</f>
        <v>8.31</v>
      </c>
      <c r="E359" t="str">
        <f>VLOOKUP(Medical_Examinations_2[[#This Row],[Customer ID]],Medical_Examinations!$1:$1048576,6,FALSE)</f>
        <v>No</v>
      </c>
      <c r="H359" t="str">
        <f>VLOOKUP(Medical_Examinations_2[[#This Row],[Customer ID]],Medical_Examinations!$1:$1048576,9,FALSE)</f>
        <v>No major surgery</v>
      </c>
      <c r="I359" t="str">
        <f>VLOOKUP(Medical_Examinations_2[[#This Row],[Customer ID]],Medical_Examinations!$1:$1048576,11,FALSE)</f>
        <v>Yes</v>
      </c>
    </row>
    <row r="360" spans="1:9" x14ac:dyDescent="0.25">
      <c r="A360" s="10" t="s">
        <v>388</v>
      </c>
      <c r="B360" t="str">
        <f>VLOOKUP(Customer_Names!A360,Customer_Names!$1:$1048576,4,FALSE)</f>
        <v>Mike</v>
      </c>
      <c r="C360">
        <f>VLOOKUP(Medical_Examinations_2[[#This Row],[Customer ID]],Medical_Examinations!$1:$1048576,2,FALSE)</f>
        <v>18.45</v>
      </c>
      <c r="D360">
        <f>VLOOKUP(Medical_Examinations_2[[#This Row],[Customer ID]],Medical_Examinations!$1:$1048576,4,FALSE)</f>
        <v>5.07</v>
      </c>
      <c r="E360" t="str">
        <f>VLOOKUP(Medical_Examinations_2[[#This Row],[Customer ID]],Medical_Examinations!$1:$1048576,6,FALSE)</f>
        <v>Yes</v>
      </c>
      <c r="H360" t="str">
        <f>VLOOKUP(Medical_Examinations_2[[#This Row],[Customer ID]],Medical_Examinations!$1:$1048576,9,FALSE)</f>
        <v>No major surgery</v>
      </c>
      <c r="I360" t="str">
        <f>VLOOKUP(Medical_Examinations_2[[#This Row],[Customer ID]],Medical_Examinations!$1:$1048576,11,FALSE)</f>
        <v>Yes</v>
      </c>
    </row>
    <row r="361" spans="1:9" x14ac:dyDescent="0.25">
      <c r="A361" s="11" t="s">
        <v>389</v>
      </c>
      <c r="B361" t="str">
        <f>VLOOKUP(Customer_Names!A361,Customer_Names!$1:$1048576,4,FALSE)</f>
        <v>Rick</v>
      </c>
      <c r="C361">
        <f>VLOOKUP(Medical_Examinations_2[[#This Row],[Customer ID]],Medical_Examinations!$1:$1048576,2,FALSE)</f>
        <v>33.18</v>
      </c>
      <c r="D361">
        <f>VLOOKUP(Medical_Examinations_2[[#This Row],[Customer ID]],Medical_Examinations!$1:$1048576,4,FALSE)</f>
        <v>4.79</v>
      </c>
      <c r="E361" t="str">
        <f>VLOOKUP(Medical_Examinations_2[[#This Row],[Customer ID]],Medical_Examinations!$1:$1048576,6,FALSE)</f>
        <v>No</v>
      </c>
      <c r="H361" t="str">
        <f>VLOOKUP(Medical_Examinations_2[[#This Row],[Customer ID]],Medical_Examinations!$1:$1048576,9,FALSE)</f>
        <v>No major surgery</v>
      </c>
      <c r="I361" t="str">
        <f>VLOOKUP(Medical_Examinations_2[[#This Row],[Customer ID]],Medical_Examinations!$1:$1048576,11,FALSE)</f>
        <v>Yes</v>
      </c>
    </row>
    <row r="362" spans="1:9" x14ac:dyDescent="0.25">
      <c r="A362" s="10" t="s">
        <v>390</v>
      </c>
      <c r="B362" t="str">
        <f>VLOOKUP(Customer_Names!A362,Customer_Names!$1:$1048576,4,FALSE)</f>
        <v>Pierre-Michel</v>
      </c>
      <c r="C362">
        <f>VLOOKUP(Medical_Examinations_2[[#This Row],[Customer ID]],Medical_Examinations!$1:$1048576,2,FALSE)</f>
        <v>36.1</v>
      </c>
      <c r="D362">
        <f>VLOOKUP(Medical_Examinations_2[[#This Row],[Customer ID]],Medical_Examinations!$1:$1048576,4,FALSE)</f>
        <v>11.39</v>
      </c>
      <c r="E362" t="str">
        <f>VLOOKUP(Medical_Examinations_2[[#This Row],[Customer ID]],Medical_Examinations!$1:$1048576,6,FALSE)</f>
        <v>Yes</v>
      </c>
      <c r="H362">
        <f>VLOOKUP(Medical_Examinations_2[[#This Row],[Customer ID]],Medical_Examinations!$1:$1048576,9,FALSE)</f>
        <v>2</v>
      </c>
      <c r="I362" t="str">
        <f>VLOOKUP(Medical_Examinations_2[[#This Row],[Customer ID]],Medical_Examinations!$1:$1048576,11,FALSE)</f>
        <v>No</v>
      </c>
    </row>
    <row r="363" spans="1:9" x14ac:dyDescent="0.25">
      <c r="A363" s="11" t="s">
        <v>391</v>
      </c>
      <c r="B363" t="str">
        <f>VLOOKUP(Customer_Names!A363,Customer_Names!$1:$1048576,4,FALSE)</f>
        <v>Daniel</v>
      </c>
      <c r="C363">
        <f>VLOOKUP(Medical_Examinations_2[[#This Row],[Customer ID]],Medical_Examinations!$1:$1048576,2,FALSE)</f>
        <v>22.77</v>
      </c>
      <c r="D363">
        <f>VLOOKUP(Medical_Examinations_2[[#This Row],[Customer ID]],Medical_Examinations!$1:$1048576,4,FALSE)</f>
        <v>6</v>
      </c>
      <c r="E363" t="str">
        <f>VLOOKUP(Medical_Examinations_2[[#This Row],[Customer ID]],Medical_Examinations!$1:$1048576,6,FALSE)</f>
        <v>No</v>
      </c>
      <c r="H363" t="str">
        <f>VLOOKUP(Medical_Examinations_2[[#This Row],[Customer ID]],Medical_Examinations!$1:$1048576,9,FALSE)</f>
        <v>No major surgery</v>
      </c>
      <c r="I363" t="str">
        <f>VLOOKUP(Medical_Examinations_2[[#This Row],[Customer ID]],Medical_Examinations!$1:$1048576,11,FALSE)</f>
        <v>Yes</v>
      </c>
    </row>
    <row r="364" spans="1:9" x14ac:dyDescent="0.25">
      <c r="A364" s="10" t="s">
        <v>392</v>
      </c>
      <c r="B364" t="str">
        <f>VLOOKUP(Customer_Names!A364,Customer_Names!$1:$1048576,4,FALSE)</f>
        <v>Brian L.</v>
      </c>
      <c r="C364">
        <f>VLOOKUP(Medical_Examinations_2[[#This Row],[Customer ID]],Medical_Examinations!$1:$1048576,2,FALSE)</f>
        <v>21.24</v>
      </c>
      <c r="D364">
        <f>VLOOKUP(Medical_Examinations_2[[#This Row],[Customer ID]],Medical_Examinations!$1:$1048576,4,FALSE)</f>
        <v>5.13</v>
      </c>
      <c r="E364" t="str">
        <f>VLOOKUP(Medical_Examinations_2[[#This Row],[Customer ID]],Medical_Examinations!$1:$1048576,6,FALSE)</f>
        <v>No</v>
      </c>
      <c r="H364" t="str">
        <f>VLOOKUP(Medical_Examinations_2[[#This Row],[Customer ID]],Medical_Examinations!$1:$1048576,9,FALSE)</f>
        <v>No major surgery</v>
      </c>
      <c r="I364" t="str">
        <f>VLOOKUP(Medical_Examinations_2[[#This Row],[Customer ID]],Medical_Examinations!$1:$1048576,11,FALSE)</f>
        <v>Yes</v>
      </c>
    </row>
    <row r="365" spans="1:9" x14ac:dyDescent="0.25">
      <c r="A365" s="11" t="s">
        <v>393</v>
      </c>
      <c r="B365" t="str">
        <f>VLOOKUP(Customer_Names!A365,Customer_Names!$1:$1048576,4,FALSE)</f>
        <v>Morgan M.</v>
      </c>
      <c r="C365">
        <f>VLOOKUP(Medical_Examinations_2[[#This Row],[Customer ID]],Medical_Examinations!$1:$1048576,2,FALSE)</f>
        <v>17.600000000000001</v>
      </c>
      <c r="D365">
        <f>VLOOKUP(Medical_Examinations_2[[#This Row],[Customer ID]],Medical_Examinations!$1:$1048576,4,FALSE)</f>
        <v>5.26</v>
      </c>
      <c r="E365" t="str">
        <f>VLOOKUP(Medical_Examinations_2[[#This Row],[Customer ID]],Medical_Examinations!$1:$1048576,6,FALSE)</f>
        <v>Yes</v>
      </c>
      <c r="H365" t="str">
        <f>VLOOKUP(Medical_Examinations_2[[#This Row],[Customer ID]],Medical_Examinations!$1:$1048576,9,FALSE)</f>
        <v>No major surgery</v>
      </c>
      <c r="I365" t="str">
        <f>VLOOKUP(Medical_Examinations_2[[#This Row],[Customer ID]],Medical_Examinations!$1:$1048576,11,FALSE)</f>
        <v>Yes</v>
      </c>
    </row>
    <row r="366" spans="1:9" x14ac:dyDescent="0.25">
      <c r="A366" s="10" t="s">
        <v>394</v>
      </c>
      <c r="B366" t="str">
        <f>VLOOKUP(Customer_Names!A366,Customer_Names!$1:$1048576,4,FALSE)</f>
        <v>Caroline</v>
      </c>
      <c r="C366">
        <f>VLOOKUP(Medical_Examinations_2[[#This Row],[Customer ID]],Medical_Examinations!$1:$1048576,2,FALSE)</f>
        <v>26.29</v>
      </c>
      <c r="D366">
        <f>VLOOKUP(Medical_Examinations_2[[#This Row],[Customer ID]],Medical_Examinations!$1:$1048576,4,FALSE)</f>
        <v>6.84</v>
      </c>
      <c r="E366" t="str">
        <f>VLOOKUP(Medical_Examinations_2[[#This Row],[Customer ID]],Medical_Examinations!$1:$1048576,6,FALSE)</f>
        <v>No</v>
      </c>
      <c r="H366" t="str">
        <f>VLOOKUP(Medical_Examinations_2[[#This Row],[Customer ID]],Medical_Examinations!$1:$1048576,9,FALSE)</f>
        <v>No major surgery</v>
      </c>
      <c r="I366" t="str">
        <f>VLOOKUP(Medical_Examinations_2[[#This Row],[Customer ID]],Medical_Examinations!$1:$1048576,11,FALSE)</f>
        <v>Yes</v>
      </c>
    </row>
    <row r="367" spans="1:9" x14ac:dyDescent="0.25">
      <c r="A367" s="11" t="s">
        <v>395</v>
      </c>
      <c r="B367" t="str">
        <f>VLOOKUP(Customer_Names!A367,Customer_Names!$1:$1048576,4,FALSE)</f>
        <v>Drew T.</v>
      </c>
      <c r="C367">
        <f>VLOOKUP(Medical_Examinations_2[[#This Row],[Customer ID]],Medical_Examinations!$1:$1048576,2,FALSE)</f>
        <v>35.31</v>
      </c>
      <c r="D367">
        <f>VLOOKUP(Medical_Examinations_2[[#This Row],[Customer ID]],Medical_Examinations!$1:$1048576,4,FALSE)</f>
        <v>9.0399999999999991</v>
      </c>
      <c r="E367" t="str">
        <f>VLOOKUP(Medical_Examinations_2[[#This Row],[Customer ID]],Medical_Examinations!$1:$1048576,6,FALSE)</f>
        <v>No</v>
      </c>
      <c r="H367" t="str">
        <f>VLOOKUP(Medical_Examinations_2[[#This Row],[Customer ID]],Medical_Examinations!$1:$1048576,9,FALSE)</f>
        <v>No major surgery</v>
      </c>
      <c r="I367" t="str">
        <f>VLOOKUP(Medical_Examinations_2[[#This Row],[Customer ID]],Medical_Examinations!$1:$1048576,11,FALSE)</f>
        <v>No</v>
      </c>
    </row>
    <row r="368" spans="1:9" x14ac:dyDescent="0.25">
      <c r="A368" s="10" t="s">
        <v>396</v>
      </c>
      <c r="B368" t="str">
        <f>VLOOKUP(Customer_Names!A368,Customer_Names!$1:$1048576,4,FALSE)</f>
        <v>Austin W</v>
      </c>
      <c r="C368">
        <f>VLOOKUP(Medical_Examinations_2[[#This Row],[Customer ID]],Medical_Examinations!$1:$1048576,2,FALSE)</f>
        <v>27.04</v>
      </c>
      <c r="D368">
        <f>VLOOKUP(Medical_Examinations_2[[#This Row],[Customer ID]],Medical_Examinations!$1:$1048576,4,FALSE)</f>
        <v>4.0999999999999996</v>
      </c>
      <c r="E368" t="str">
        <f>VLOOKUP(Medical_Examinations_2[[#This Row],[Customer ID]],Medical_Examinations!$1:$1048576,6,FALSE)</f>
        <v>No</v>
      </c>
      <c r="H368">
        <f>VLOOKUP(Medical_Examinations_2[[#This Row],[Customer ID]],Medical_Examinations!$1:$1048576,9,FALSE)</f>
        <v>1</v>
      </c>
      <c r="I368" t="str">
        <f>VLOOKUP(Medical_Examinations_2[[#This Row],[Customer ID]],Medical_Examinations!$1:$1048576,11,FALSE)</f>
        <v>Yes</v>
      </c>
    </row>
    <row r="369" spans="1:9" x14ac:dyDescent="0.25">
      <c r="A369" s="11" t="s">
        <v>397</v>
      </c>
      <c r="B369" t="str">
        <f>VLOOKUP(Customer_Names!A369,Customer_Names!$1:$1048576,4,FALSE)</f>
        <v>Berenice</v>
      </c>
      <c r="C369">
        <f>VLOOKUP(Medical_Examinations_2[[#This Row],[Customer ID]],Medical_Examinations!$1:$1048576,2,FALSE)</f>
        <v>30.23</v>
      </c>
      <c r="D369">
        <f>VLOOKUP(Medical_Examinations_2[[#This Row],[Customer ID]],Medical_Examinations!$1:$1048576,4,FALSE)</f>
        <v>4.2300000000000004</v>
      </c>
      <c r="E369" t="str">
        <f>VLOOKUP(Medical_Examinations_2[[#This Row],[Customer ID]],Medical_Examinations!$1:$1048576,6,FALSE)</f>
        <v>Yes</v>
      </c>
      <c r="H369">
        <f>VLOOKUP(Medical_Examinations_2[[#This Row],[Customer ID]],Medical_Examinations!$1:$1048576,9,FALSE)</f>
        <v>1</v>
      </c>
      <c r="I369" t="str">
        <f>VLOOKUP(Medical_Examinations_2[[#This Row],[Customer ID]],Medical_Examinations!$1:$1048576,11,FALSE)</f>
        <v>Yes</v>
      </c>
    </row>
    <row r="370" spans="1:9" x14ac:dyDescent="0.25">
      <c r="A370" s="10" t="s">
        <v>398</v>
      </c>
      <c r="B370" t="str">
        <f>VLOOKUP(Customer_Names!A370,Customer_Names!$1:$1048576,4,FALSE)</f>
        <v>Kenneth A</v>
      </c>
      <c r="C370">
        <f>VLOOKUP(Medical_Examinations_2[[#This Row],[Customer ID]],Medical_Examinations!$1:$1048576,2,FALSE)</f>
        <v>30.6</v>
      </c>
      <c r="D370">
        <f>VLOOKUP(Medical_Examinations_2[[#This Row],[Customer ID]],Medical_Examinations!$1:$1048576,4,FALSE)</f>
        <v>6.48</v>
      </c>
      <c r="E370" t="str">
        <f>VLOOKUP(Medical_Examinations_2[[#This Row],[Customer ID]],Medical_Examinations!$1:$1048576,6,FALSE)</f>
        <v>Yes</v>
      </c>
      <c r="H370">
        <f>VLOOKUP(Medical_Examinations_2[[#This Row],[Customer ID]],Medical_Examinations!$1:$1048576,9,FALSE)</f>
        <v>1</v>
      </c>
      <c r="I370" t="str">
        <f>VLOOKUP(Medical_Examinations_2[[#This Row],[Customer ID]],Medical_Examinations!$1:$1048576,11,FALSE)</f>
        <v>Yes</v>
      </c>
    </row>
    <row r="371" spans="1:9" x14ac:dyDescent="0.25">
      <c r="A371" s="11" t="s">
        <v>399</v>
      </c>
      <c r="B371" t="str">
        <f>VLOOKUP(Customer_Names!A371,Customer_Names!$1:$1048576,4,FALSE)</f>
        <v>Mr.  Miguel</v>
      </c>
      <c r="C371">
        <f>VLOOKUP(Medical_Examinations_2[[#This Row],[Customer ID]],Medical_Examinations!$1:$1048576,2,FALSE)</f>
        <v>26.8</v>
      </c>
      <c r="D371">
        <f>VLOOKUP(Medical_Examinations_2[[#This Row],[Customer ID]],Medical_Examinations!$1:$1048576,4,FALSE)</f>
        <v>5.53</v>
      </c>
      <c r="E371" t="str">
        <f>VLOOKUP(Medical_Examinations_2[[#This Row],[Customer ID]],Medical_Examinations!$1:$1048576,6,FALSE)</f>
        <v>No</v>
      </c>
      <c r="H371">
        <f>VLOOKUP(Medical_Examinations_2[[#This Row],[Customer ID]],Medical_Examinations!$1:$1048576,9,FALSE)</f>
        <v>1</v>
      </c>
      <c r="I371" t="str">
        <f>VLOOKUP(Medical_Examinations_2[[#This Row],[Customer ID]],Medical_Examinations!$1:$1048576,11,FALSE)</f>
        <v>Yes</v>
      </c>
    </row>
    <row r="372" spans="1:9" x14ac:dyDescent="0.25">
      <c r="A372" s="10" t="s">
        <v>400</v>
      </c>
      <c r="B372" t="str">
        <f>VLOOKUP(Customer_Names!A372,Customer_Names!$1:$1048576,4,FALSE)</f>
        <v>Hadley T.</v>
      </c>
      <c r="C372">
        <f>VLOOKUP(Medical_Examinations_2[[#This Row],[Customer ID]],Medical_Examinations!$1:$1048576,2,FALSE)</f>
        <v>16.86</v>
      </c>
      <c r="D372">
        <f>VLOOKUP(Medical_Examinations_2[[#This Row],[Customer ID]],Medical_Examinations!$1:$1048576,4,FALSE)</f>
        <v>4.07</v>
      </c>
      <c r="E372" t="str">
        <f>VLOOKUP(Medical_Examinations_2[[#This Row],[Customer ID]],Medical_Examinations!$1:$1048576,6,FALSE)</f>
        <v>Yes</v>
      </c>
      <c r="H372" t="str">
        <f>VLOOKUP(Medical_Examinations_2[[#This Row],[Customer ID]],Medical_Examinations!$1:$1048576,9,FALSE)</f>
        <v>No major surgery</v>
      </c>
      <c r="I372" t="str">
        <f>VLOOKUP(Medical_Examinations_2[[#This Row],[Customer ID]],Medical_Examinations!$1:$1048576,11,FALSE)</f>
        <v>Yes</v>
      </c>
    </row>
    <row r="373" spans="1:9" x14ac:dyDescent="0.25">
      <c r="A373" s="11" t="s">
        <v>401</v>
      </c>
      <c r="B373" t="str">
        <f>VLOOKUP(Customer_Names!A373,Customer_Names!$1:$1048576,4,FALSE)</f>
        <v>Taylor</v>
      </c>
      <c r="C373">
        <f>VLOOKUP(Medical_Examinations_2[[#This Row],[Customer ID]],Medical_Examinations!$1:$1048576,2,FALSE)</f>
        <v>16.3</v>
      </c>
      <c r="D373">
        <f>VLOOKUP(Medical_Examinations_2[[#This Row],[Customer ID]],Medical_Examinations!$1:$1048576,4,FALSE)</f>
        <v>5.51</v>
      </c>
      <c r="E373" t="str">
        <f>VLOOKUP(Medical_Examinations_2[[#This Row],[Customer ID]],Medical_Examinations!$1:$1048576,6,FALSE)</f>
        <v>No</v>
      </c>
      <c r="H373">
        <f>VLOOKUP(Medical_Examinations_2[[#This Row],[Customer ID]],Medical_Examinations!$1:$1048576,9,FALSE)</f>
        <v>1</v>
      </c>
      <c r="I373" t="str">
        <f>VLOOKUP(Medical_Examinations_2[[#This Row],[Customer ID]],Medical_Examinations!$1:$1048576,11,FALSE)</f>
        <v>Yes</v>
      </c>
    </row>
    <row r="374" spans="1:9" x14ac:dyDescent="0.25">
      <c r="A374" s="10" t="s">
        <v>402</v>
      </c>
      <c r="B374" t="str">
        <f>VLOOKUP(Customer_Names!A374,Customer_Names!$1:$1048576,4,FALSE)</f>
        <v>Tenielle M</v>
      </c>
      <c r="C374">
        <f>VLOOKUP(Medical_Examinations_2[[#This Row],[Customer ID]],Medical_Examinations!$1:$1048576,2,FALSE)</f>
        <v>29.81</v>
      </c>
      <c r="D374">
        <f>VLOOKUP(Medical_Examinations_2[[#This Row],[Customer ID]],Medical_Examinations!$1:$1048576,4,FALSE)</f>
        <v>11.66</v>
      </c>
      <c r="E374" t="str">
        <f>VLOOKUP(Medical_Examinations_2[[#This Row],[Customer ID]],Medical_Examinations!$1:$1048576,6,FALSE)</f>
        <v>No</v>
      </c>
      <c r="H374" t="str">
        <f>VLOOKUP(Medical_Examinations_2[[#This Row],[Customer ID]],Medical_Examinations!$1:$1048576,9,FALSE)</f>
        <v>No major surgery</v>
      </c>
      <c r="I374" t="str">
        <f>VLOOKUP(Medical_Examinations_2[[#This Row],[Customer ID]],Medical_Examinations!$1:$1048576,11,FALSE)</f>
        <v>Yes</v>
      </c>
    </row>
    <row r="375" spans="1:9" x14ac:dyDescent="0.25">
      <c r="A375" s="11" t="s">
        <v>403</v>
      </c>
      <c r="B375" t="str">
        <f>VLOOKUP(Customer_Names!A375,Customer_Names!$1:$1048576,4,FALSE)</f>
        <v>Andrea</v>
      </c>
      <c r="C375">
        <f>VLOOKUP(Medical_Examinations_2[[#This Row],[Customer ID]],Medical_Examinations!$1:$1048576,2,FALSE)</f>
        <v>16.329999999999998</v>
      </c>
      <c r="D375">
        <f>VLOOKUP(Medical_Examinations_2[[#This Row],[Customer ID]],Medical_Examinations!$1:$1048576,4,FALSE)</f>
        <v>7.26</v>
      </c>
      <c r="E375" t="str">
        <f>VLOOKUP(Medical_Examinations_2[[#This Row],[Customer ID]],Medical_Examinations!$1:$1048576,6,FALSE)</f>
        <v>Yes</v>
      </c>
      <c r="H375" t="str">
        <f>VLOOKUP(Medical_Examinations_2[[#This Row],[Customer ID]],Medical_Examinations!$1:$1048576,9,FALSE)</f>
        <v>No major surgery</v>
      </c>
      <c r="I375" t="str">
        <f>VLOOKUP(Medical_Examinations_2[[#This Row],[Customer ID]],Medical_Examinations!$1:$1048576,11,FALSE)</f>
        <v>Yes</v>
      </c>
    </row>
    <row r="376" spans="1:9" x14ac:dyDescent="0.25">
      <c r="A376" s="10" t="s">
        <v>404</v>
      </c>
      <c r="B376" t="str">
        <f>VLOOKUP(Customer_Names!A376,Customer_Names!$1:$1048576,4,FALSE)</f>
        <v>Nora P</v>
      </c>
      <c r="C376">
        <f>VLOOKUP(Medical_Examinations_2[[#This Row],[Customer ID]],Medical_Examinations!$1:$1048576,2,FALSE)</f>
        <v>16.37</v>
      </c>
      <c r="D376">
        <f>VLOOKUP(Medical_Examinations_2[[#This Row],[Customer ID]],Medical_Examinations!$1:$1048576,4,FALSE)</f>
        <v>4.79</v>
      </c>
      <c r="E376" t="str">
        <f>VLOOKUP(Medical_Examinations_2[[#This Row],[Customer ID]],Medical_Examinations!$1:$1048576,6,FALSE)</f>
        <v>Yes</v>
      </c>
      <c r="H376" t="str">
        <f>VLOOKUP(Medical_Examinations_2[[#This Row],[Customer ID]],Medical_Examinations!$1:$1048576,9,FALSE)</f>
        <v>No major surgery</v>
      </c>
      <c r="I376" t="str">
        <f>VLOOKUP(Medical_Examinations_2[[#This Row],[Customer ID]],Medical_Examinations!$1:$1048576,11,FALSE)</f>
        <v>Yes</v>
      </c>
    </row>
    <row r="377" spans="1:9" x14ac:dyDescent="0.25">
      <c r="A377" s="11" t="s">
        <v>405</v>
      </c>
      <c r="B377" t="str">
        <f>VLOOKUP(Customer_Names!A377,Customer_Names!$1:$1048576,4,FALSE)</f>
        <v>Zachary</v>
      </c>
      <c r="C377">
        <f>VLOOKUP(Medical_Examinations_2[[#This Row],[Customer ID]],Medical_Examinations!$1:$1048576,2,FALSE)</f>
        <v>22.42</v>
      </c>
      <c r="D377">
        <f>VLOOKUP(Medical_Examinations_2[[#This Row],[Customer ID]],Medical_Examinations!$1:$1048576,4,FALSE)</f>
        <v>4.68</v>
      </c>
      <c r="E377" t="str">
        <f>VLOOKUP(Medical_Examinations_2[[#This Row],[Customer ID]],Medical_Examinations!$1:$1048576,6,FALSE)</f>
        <v>Yes</v>
      </c>
      <c r="H377">
        <f>VLOOKUP(Medical_Examinations_2[[#This Row],[Customer ID]],Medical_Examinations!$1:$1048576,9,FALSE)</f>
        <v>1</v>
      </c>
      <c r="I377" t="str">
        <f>VLOOKUP(Medical_Examinations_2[[#This Row],[Customer ID]],Medical_Examinations!$1:$1048576,11,FALSE)</f>
        <v>No</v>
      </c>
    </row>
    <row r="378" spans="1:9" x14ac:dyDescent="0.25">
      <c r="A378" s="10" t="s">
        <v>406</v>
      </c>
      <c r="B378" t="str">
        <f>VLOOKUP(Customer_Names!A378,Customer_Names!$1:$1048576,4,FALSE)</f>
        <v>Michael</v>
      </c>
      <c r="C378">
        <f>VLOOKUP(Medical_Examinations_2[[#This Row],[Customer ID]],Medical_Examinations!$1:$1048576,2,FALSE)</f>
        <v>31.35</v>
      </c>
      <c r="D378">
        <f>VLOOKUP(Medical_Examinations_2[[#This Row],[Customer ID]],Medical_Examinations!$1:$1048576,4,FALSE)</f>
        <v>4.33</v>
      </c>
      <c r="E378" t="str">
        <f>VLOOKUP(Medical_Examinations_2[[#This Row],[Customer ID]],Medical_Examinations!$1:$1048576,6,FALSE)</f>
        <v>Yes</v>
      </c>
      <c r="H378">
        <f>VLOOKUP(Medical_Examinations_2[[#This Row],[Customer ID]],Medical_Examinations!$1:$1048576,9,FALSE)</f>
        <v>1</v>
      </c>
      <c r="I378" t="str">
        <f>VLOOKUP(Medical_Examinations_2[[#This Row],[Customer ID]],Medical_Examinations!$1:$1048576,11,FALSE)</f>
        <v>No</v>
      </c>
    </row>
    <row r="379" spans="1:9" x14ac:dyDescent="0.25">
      <c r="A379" s="11" t="s">
        <v>407</v>
      </c>
      <c r="B379" t="str">
        <f>VLOOKUP(Customer_Names!A379,Customer_Names!$1:$1048576,4,FALSE)</f>
        <v>Alyssa K.</v>
      </c>
      <c r="C379">
        <f>VLOOKUP(Medical_Examinations_2[[#This Row],[Customer ID]],Medical_Examinations!$1:$1048576,2,FALSE)</f>
        <v>31.9</v>
      </c>
      <c r="D379">
        <f>VLOOKUP(Medical_Examinations_2[[#This Row],[Customer ID]],Medical_Examinations!$1:$1048576,4,FALSE)</f>
        <v>11.89</v>
      </c>
      <c r="E379" t="str">
        <f>VLOOKUP(Medical_Examinations_2[[#This Row],[Customer ID]],Medical_Examinations!$1:$1048576,6,FALSE)</f>
        <v>No</v>
      </c>
      <c r="H379" t="str">
        <f>VLOOKUP(Medical_Examinations_2[[#This Row],[Customer ID]],Medical_Examinations!$1:$1048576,9,FALSE)</f>
        <v>No major surgery</v>
      </c>
      <c r="I379" t="str">
        <f>VLOOKUP(Medical_Examinations_2[[#This Row],[Customer ID]],Medical_Examinations!$1:$1048576,11,FALSE)</f>
        <v>No</v>
      </c>
    </row>
    <row r="380" spans="1:9" x14ac:dyDescent="0.25">
      <c r="A380" s="10" t="s">
        <v>408</v>
      </c>
      <c r="B380" t="str">
        <f>VLOOKUP(Customer_Names!A380,Customer_Names!$1:$1048576,4,FALSE)</f>
        <v>Heather</v>
      </c>
      <c r="C380">
        <f>VLOOKUP(Medical_Examinations_2[[#This Row],[Customer ID]],Medical_Examinations!$1:$1048576,2,FALSE)</f>
        <v>30.6</v>
      </c>
      <c r="D380">
        <f>VLOOKUP(Medical_Examinations_2[[#This Row],[Customer ID]],Medical_Examinations!$1:$1048576,4,FALSE)</f>
        <v>5.24</v>
      </c>
      <c r="E380" t="str">
        <f>VLOOKUP(Medical_Examinations_2[[#This Row],[Customer ID]],Medical_Examinations!$1:$1048576,6,FALSE)</f>
        <v>No</v>
      </c>
      <c r="H380" t="str">
        <f>VLOOKUP(Medical_Examinations_2[[#This Row],[Customer ID]],Medical_Examinations!$1:$1048576,9,FALSE)</f>
        <v>No major surgery</v>
      </c>
      <c r="I380" t="str">
        <f>VLOOKUP(Medical_Examinations_2[[#This Row],[Customer ID]],Medical_Examinations!$1:$1048576,11,FALSE)</f>
        <v>Yes</v>
      </c>
    </row>
    <row r="381" spans="1:9" x14ac:dyDescent="0.25">
      <c r="A381" s="11" t="s">
        <v>409</v>
      </c>
      <c r="B381" t="str">
        <f>VLOOKUP(Customer_Names!A381,Customer_Names!$1:$1048576,4,FALSE)</f>
        <v>Dante</v>
      </c>
      <c r="C381">
        <f>VLOOKUP(Medical_Examinations_2[[#This Row],[Customer ID]],Medical_Examinations!$1:$1048576,2,FALSE)</f>
        <v>28.975000000000001</v>
      </c>
      <c r="D381">
        <f>VLOOKUP(Medical_Examinations_2[[#This Row],[Customer ID]],Medical_Examinations!$1:$1048576,4,FALSE)</f>
        <v>7.63</v>
      </c>
      <c r="E381" t="str">
        <f>VLOOKUP(Medical_Examinations_2[[#This Row],[Customer ID]],Medical_Examinations!$1:$1048576,6,FALSE)</f>
        <v>No</v>
      </c>
      <c r="H381" t="str">
        <f>VLOOKUP(Medical_Examinations_2[[#This Row],[Customer ID]],Medical_Examinations!$1:$1048576,9,FALSE)</f>
        <v>No major surgery</v>
      </c>
      <c r="I381" t="str">
        <f>VLOOKUP(Medical_Examinations_2[[#This Row],[Customer ID]],Medical_Examinations!$1:$1048576,11,FALSE)</f>
        <v>Yes</v>
      </c>
    </row>
    <row r="382" spans="1:9" x14ac:dyDescent="0.25">
      <c r="A382" s="10" t="s">
        <v>410</v>
      </c>
      <c r="B382" t="str">
        <f>VLOOKUP(Customer_Names!A382,Customer_Names!$1:$1048576,4,FALSE)</f>
        <v>Sara E.</v>
      </c>
      <c r="C382">
        <f>VLOOKUP(Medical_Examinations_2[[#This Row],[Customer ID]],Medical_Examinations!$1:$1048576,2,FALSE)</f>
        <v>24.86</v>
      </c>
      <c r="D382">
        <f>VLOOKUP(Medical_Examinations_2[[#This Row],[Customer ID]],Medical_Examinations!$1:$1048576,4,FALSE)</f>
        <v>8.92</v>
      </c>
      <c r="E382" t="str">
        <f>VLOOKUP(Medical_Examinations_2[[#This Row],[Customer ID]],Medical_Examinations!$1:$1048576,6,FALSE)</f>
        <v>Yes</v>
      </c>
      <c r="H382">
        <f>VLOOKUP(Medical_Examinations_2[[#This Row],[Customer ID]],Medical_Examinations!$1:$1048576,9,FALSE)</f>
        <v>2</v>
      </c>
      <c r="I382" t="str">
        <f>VLOOKUP(Medical_Examinations_2[[#This Row],[Customer ID]],Medical_Examinations!$1:$1048576,11,FALSE)</f>
        <v>No</v>
      </c>
    </row>
    <row r="383" spans="1:9" x14ac:dyDescent="0.25">
      <c r="A383" s="11" t="s">
        <v>411</v>
      </c>
      <c r="B383" t="str">
        <f>VLOOKUP(Customer_Names!A383,Customer_Names!$1:$1048576,4,FALSE)</f>
        <v>Scott</v>
      </c>
      <c r="C383">
        <f>VLOOKUP(Medical_Examinations_2[[#This Row],[Customer ID]],Medical_Examinations!$1:$1048576,2,FALSE)</f>
        <v>19.54</v>
      </c>
      <c r="D383">
        <f>VLOOKUP(Medical_Examinations_2[[#This Row],[Customer ID]],Medical_Examinations!$1:$1048576,4,FALSE)</f>
        <v>5.37</v>
      </c>
      <c r="E383" t="str">
        <f>VLOOKUP(Medical_Examinations_2[[#This Row],[Customer ID]],Medical_Examinations!$1:$1048576,6,FALSE)</f>
        <v>No</v>
      </c>
      <c r="H383" t="str">
        <f>VLOOKUP(Medical_Examinations_2[[#This Row],[Customer ID]],Medical_Examinations!$1:$1048576,9,FALSE)</f>
        <v>No major surgery</v>
      </c>
      <c r="I383" t="str">
        <f>VLOOKUP(Medical_Examinations_2[[#This Row],[Customer ID]],Medical_Examinations!$1:$1048576,11,FALSE)</f>
        <v>Yes</v>
      </c>
    </row>
    <row r="384" spans="1:9" x14ac:dyDescent="0.25">
      <c r="A384" s="10" t="s">
        <v>412</v>
      </c>
      <c r="B384" t="str">
        <f>VLOOKUP(Customer_Names!A384,Customer_Names!$1:$1048576,4,FALSE)</f>
        <v>Sean</v>
      </c>
      <c r="C384">
        <f>VLOOKUP(Medical_Examinations_2[[#This Row],[Customer ID]],Medical_Examinations!$1:$1048576,2,FALSE)</f>
        <v>26.74</v>
      </c>
      <c r="D384">
        <f>VLOOKUP(Medical_Examinations_2[[#This Row],[Customer ID]],Medical_Examinations!$1:$1048576,4,FALSE)</f>
        <v>4.3099999999999996</v>
      </c>
      <c r="E384" t="str">
        <f>VLOOKUP(Medical_Examinations_2[[#This Row],[Customer ID]],Medical_Examinations!$1:$1048576,6,FALSE)</f>
        <v>No</v>
      </c>
      <c r="H384" t="str">
        <f>VLOOKUP(Medical_Examinations_2[[#This Row],[Customer ID]],Medical_Examinations!$1:$1048576,9,FALSE)</f>
        <v>No major surgery</v>
      </c>
      <c r="I384" t="str">
        <f>VLOOKUP(Medical_Examinations_2[[#This Row],[Customer ID]],Medical_Examinations!$1:$1048576,11,FALSE)</f>
        <v>Yes</v>
      </c>
    </row>
    <row r="385" spans="1:9" x14ac:dyDescent="0.25">
      <c r="A385" s="11" t="s">
        <v>413</v>
      </c>
      <c r="B385" t="str">
        <f>VLOOKUP(Customer_Names!A385,Customer_Names!$1:$1048576,4,FALSE)</f>
        <v>Danielle</v>
      </c>
      <c r="C385">
        <f>VLOOKUP(Medical_Examinations_2[[#This Row],[Customer ID]],Medical_Examinations!$1:$1048576,2,FALSE)</f>
        <v>22.99</v>
      </c>
      <c r="D385">
        <f>VLOOKUP(Medical_Examinations_2[[#This Row],[Customer ID]],Medical_Examinations!$1:$1048576,4,FALSE)</f>
        <v>10.46</v>
      </c>
      <c r="E385" t="str">
        <f>VLOOKUP(Medical_Examinations_2[[#This Row],[Customer ID]],Medical_Examinations!$1:$1048576,6,FALSE)</f>
        <v>No</v>
      </c>
      <c r="H385">
        <f>VLOOKUP(Medical_Examinations_2[[#This Row],[Customer ID]],Medical_Examinations!$1:$1048576,9,FALSE)</f>
        <v>3</v>
      </c>
      <c r="I385" t="str">
        <f>VLOOKUP(Medical_Examinations_2[[#This Row],[Customer ID]],Medical_Examinations!$1:$1048576,11,FALSE)</f>
        <v>Yes</v>
      </c>
    </row>
    <row r="386" spans="1:9" x14ac:dyDescent="0.25">
      <c r="A386" s="10" t="s">
        <v>414</v>
      </c>
      <c r="B386" t="str">
        <f>VLOOKUP(Customer_Names!A386,Customer_Names!$1:$1048576,4,FALSE)</f>
        <v>Andrew D.</v>
      </c>
      <c r="C386">
        <f>VLOOKUP(Medical_Examinations_2[[#This Row],[Customer ID]],Medical_Examinations!$1:$1048576,2,FALSE)</f>
        <v>31.46</v>
      </c>
      <c r="D386">
        <f>VLOOKUP(Medical_Examinations_2[[#This Row],[Customer ID]],Medical_Examinations!$1:$1048576,4,FALSE)</f>
        <v>7.39</v>
      </c>
      <c r="E386" t="str">
        <f>VLOOKUP(Medical_Examinations_2[[#This Row],[Customer ID]],Medical_Examinations!$1:$1048576,6,FALSE)</f>
        <v>No</v>
      </c>
      <c r="H386" t="str">
        <f>VLOOKUP(Medical_Examinations_2[[#This Row],[Customer ID]],Medical_Examinations!$1:$1048576,9,FALSE)</f>
        <v>No major surgery</v>
      </c>
      <c r="I386" t="str">
        <f>VLOOKUP(Medical_Examinations_2[[#This Row],[Customer ID]],Medical_Examinations!$1:$1048576,11,FALSE)</f>
        <v>No</v>
      </c>
    </row>
    <row r="387" spans="1:9" x14ac:dyDescent="0.25">
      <c r="A387" s="11" t="s">
        <v>415</v>
      </c>
      <c r="B387" t="str">
        <f>VLOOKUP(Customer_Names!A387,Customer_Names!$1:$1048576,4,FALSE)</f>
        <v>Joel D</v>
      </c>
      <c r="C387">
        <f>VLOOKUP(Medical_Examinations_2[[#This Row],[Customer ID]],Medical_Examinations!$1:$1048576,2,FALSE)</f>
        <v>30.86</v>
      </c>
      <c r="D387">
        <f>VLOOKUP(Medical_Examinations_2[[#This Row],[Customer ID]],Medical_Examinations!$1:$1048576,4,FALSE)</f>
        <v>6.18</v>
      </c>
      <c r="E387" t="str">
        <f>VLOOKUP(Medical_Examinations_2[[#This Row],[Customer ID]],Medical_Examinations!$1:$1048576,6,FALSE)</f>
        <v>No</v>
      </c>
      <c r="H387">
        <f>VLOOKUP(Medical_Examinations_2[[#This Row],[Customer ID]],Medical_Examinations!$1:$1048576,9,FALSE)</f>
        <v>2</v>
      </c>
      <c r="I387" t="str">
        <f>VLOOKUP(Medical_Examinations_2[[#This Row],[Customer ID]],Medical_Examinations!$1:$1048576,11,FALSE)</f>
        <v>Yes</v>
      </c>
    </row>
    <row r="388" spans="1:9" x14ac:dyDescent="0.25">
      <c r="A388" s="10" t="s">
        <v>416</v>
      </c>
      <c r="B388" t="str">
        <f>VLOOKUP(Customer_Names!A388,Customer_Names!$1:$1048576,4,FALSE)</f>
        <v>Michelle</v>
      </c>
      <c r="C388">
        <f>VLOOKUP(Medical_Examinations_2[[#This Row],[Customer ID]],Medical_Examinations!$1:$1048576,2,FALSE)</f>
        <v>31.96</v>
      </c>
      <c r="D388">
        <f>VLOOKUP(Medical_Examinations_2[[#This Row],[Customer ID]],Medical_Examinations!$1:$1048576,4,FALSE)</f>
        <v>8.86</v>
      </c>
      <c r="E388" t="str">
        <f>VLOOKUP(Medical_Examinations_2[[#This Row],[Customer ID]],Medical_Examinations!$1:$1048576,6,FALSE)</f>
        <v>No</v>
      </c>
      <c r="H388" t="str">
        <f>VLOOKUP(Medical_Examinations_2[[#This Row],[Customer ID]],Medical_Examinations!$1:$1048576,9,FALSE)</f>
        <v>No major surgery</v>
      </c>
      <c r="I388" t="str">
        <f>VLOOKUP(Medical_Examinations_2[[#This Row],[Customer ID]],Medical_Examinations!$1:$1048576,11,FALSE)</f>
        <v>Yes</v>
      </c>
    </row>
    <row r="389" spans="1:9" x14ac:dyDescent="0.25">
      <c r="A389" s="11" t="s">
        <v>417</v>
      </c>
      <c r="B389" t="str">
        <f>VLOOKUP(Customer_Names!A389,Customer_Names!$1:$1048576,4,FALSE)</f>
        <v>Michael J.</v>
      </c>
      <c r="C389">
        <f>VLOOKUP(Medical_Examinations_2[[#This Row],[Customer ID]],Medical_Examinations!$1:$1048576,2,FALSE)</f>
        <v>23.76</v>
      </c>
      <c r="D389">
        <f>VLOOKUP(Medical_Examinations_2[[#This Row],[Customer ID]],Medical_Examinations!$1:$1048576,4,FALSE)</f>
        <v>10.96</v>
      </c>
      <c r="E389" t="str">
        <f>VLOOKUP(Medical_Examinations_2[[#This Row],[Customer ID]],Medical_Examinations!$1:$1048576,6,FALSE)</f>
        <v>No</v>
      </c>
      <c r="H389">
        <f>VLOOKUP(Medical_Examinations_2[[#This Row],[Customer ID]],Medical_Examinations!$1:$1048576,9,FALSE)</f>
        <v>3</v>
      </c>
      <c r="I389" t="str">
        <f>VLOOKUP(Medical_Examinations_2[[#This Row],[Customer ID]],Medical_Examinations!$1:$1048576,11,FALSE)</f>
        <v>Yes</v>
      </c>
    </row>
    <row r="390" spans="1:9" x14ac:dyDescent="0.25">
      <c r="A390" s="10" t="s">
        <v>418</v>
      </c>
      <c r="B390" t="str">
        <f>VLOOKUP(Customer_Names!A390,Customer_Names!$1:$1048576,4,FALSE)</f>
        <v>Nikki</v>
      </c>
      <c r="C390">
        <f>VLOOKUP(Medical_Examinations_2[[#This Row],[Customer ID]],Medical_Examinations!$1:$1048576,2,FALSE)</f>
        <v>19.38</v>
      </c>
      <c r="D390">
        <f>VLOOKUP(Medical_Examinations_2[[#This Row],[Customer ID]],Medical_Examinations!$1:$1048576,4,FALSE)</f>
        <v>6.28</v>
      </c>
      <c r="E390" t="str">
        <f>VLOOKUP(Medical_Examinations_2[[#This Row],[Customer ID]],Medical_Examinations!$1:$1048576,6,FALSE)</f>
        <v>No</v>
      </c>
      <c r="H390" t="str">
        <f>VLOOKUP(Medical_Examinations_2[[#This Row],[Customer ID]],Medical_Examinations!$1:$1048576,9,FALSE)</f>
        <v>No major surgery</v>
      </c>
      <c r="I390" t="str">
        <f>VLOOKUP(Medical_Examinations_2[[#This Row],[Customer ID]],Medical_Examinations!$1:$1048576,11,FALSE)</f>
        <v>Yes</v>
      </c>
    </row>
    <row r="391" spans="1:9" x14ac:dyDescent="0.25">
      <c r="A391" s="11" t="s">
        <v>419</v>
      </c>
      <c r="B391" t="str">
        <f>VLOOKUP(Customer_Names!A391,Customer_Names!$1:$1048576,4,FALSE)</f>
        <v>Summer B.</v>
      </c>
      <c r="C391">
        <f>VLOOKUP(Medical_Examinations_2[[#This Row],[Customer ID]],Medical_Examinations!$1:$1048576,2,FALSE)</f>
        <v>16.21</v>
      </c>
      <c r="D391">
        <f>VLOOKUP(Medical_Examinations_2[[#This Row],[Customer ID]],Medical_Examinations!$1:$1048576,4,FALSE)</f>
        <v>6.29</v>
      </c>
      <c r="E391" t="str">
        <f>VLOOKUP(Medical_Examinations_2[[#This Row],[Customer ID]],Medical_Examinations!$1:$1048576,6,FALSE)</f>
        <v>Yes</v>
      </c>
      <c r="H391">
        <f>VLOOKUP(Medical_Examinations_2[[#This Row],[Customer ID]],Medical_Examinations!$1:$1048576,9,FALSE)</f>
        <v>1</v>
      </c>
      <c r="I391" t="str">
        <f>VLOOKUP(Medical_Examinations_2[[#This Row],[Customer ID]],Medical_Examinations!$1:$1048576,11,FALSE)</f>
        <v>Yes</v>
      </c>
    </row>
    <row r="392" spans="1:9" x14ac:dyDescent="0.25">
      <c r="A392" s="10" t="s">
        <v>420</v>
      </c>
      <c r="B392" t="str">
        <f>VLOOKUP(Customer_Names!A392,Customer_Names!$1:$1048576,4,FALSE)</f>
        <v>Edward</v>
      </c>
      <c r="C392">
        <f>VLOOKUP(Medical_Examinations_2[[#This Row],[Customer ID]],Medical_Examinations!$1:$1048576,2,FALSE)</f>
        <v>32.54</v>
      </c>
      <c r="D392">
        <f>VLOOKUP(Medical_Examinations_2[[#This Row],[Customer ID]],Medical_Examinations!$1:$1048576,4,FALSE)</f>
        <v>4.0199999999999996</v>
      </c>
      <c r="E392" t="str">
        <f>VLOOKUP(Medical_Examinations_2[[#This Row],[Customer ID]],Medical_Examinations!$1:$1048576,6,FALSE)</f>
        <v>No</v>
      </c>
      <c r="H392">
        <f>VLOOKUP(Medical_Examinations_2[[#This Row],[Customer ID]],Medical_Examinations!$1:$1048576,9,FALSE)</f>
        <v>1</v>
      </c>
      <c r="I392" t="str">
        <f>VLOOKUP(Medical_Examinations_2[[#This Row],[Customer ID]],Medical_Examinations!$1:$1048576,11,FALSE)</f>
        <v>Yes</v>
      </c>
    </row>
    <row r="393" spans="1:9" x14ac:dyDescent="0.25">
      <c r="A393" s="11" t="s">
        <v>421</v>
      </c>
      <c r="B393" t="str">
        <f>VLOOKUP(Customer_Names!A393,Customer_Names!$1:$1048576,4,FALSE)</f>
        <v>Ryan</v>
      </c>
      <c r="C393">
        <f>VLOOKUP(Medical_Examinations_2[[#This Row],[Customer ID]],Medical_Examinations!$1:$1048576,2,FALSE)</f>
        <v>36.765000000000001</v>
      </c>
      <c r="D393">
        <f>VLOOKUP(Medical_Examinations_2[[#This Row],[Customer ID]],Medical_Examinations!$1:$1048576,4,FALSE)</f>
        <v>11.95</v>
      </c>
      <c r="E393" t="str">
        <f>VLOOKUP(Medical_Examinations_2[[#This Row],[Customer ID]],Medical_Examinations!$1:$1048576,6,FALSE)</f>
        <v>Yes</v>
      </c>
      <c r="H393">
        <f>VLOOKUP(Medical_Examinations_2[[#This Row],[Customer ID]],Medical_Examinations!$1:$1048576,9,FALSE)</f>
        <v>2</v>
      </c>
      <c r="I393" t="str">
        <f>VLOOKUP(Medical_Examinations_2[[#This Row],[Customer ID]],Medical_Examinations!$1:$1048576,11,FALSE)</f>
        <v>No</v>
      </c>
    </row>
    <row r="394" spans="1:9" x14ac:dyDescent="0.25">
      <c r="A394" s="10" t="s">
        <v>422</v>
      </c>
      <c r="B394" t="str">
        <f>VLOOKUP(Customer_Names!A394,Customer_Names!$1:$1048576,4,FALSE)</f>
        <v>Kacee</v>
      </c>
      <c r="C394">
        <f>VLOOKUP(Medical_Examinations_2[[#This Row],[Customer ID]],Medical_Examinations!$1:$1048576,2,FALSE)</f>
        <v>35.909999999999997</v>
      </c>
      <c r="D394">
        <f>VLOOKUP(Medical_Examinations_2[[#This Row],[Customer ID]],Medical_Examinations!$1:$1048576,4,FALSE)</f>
        <v>8.7100000000000009</v>
      </c>
      <c r="E394" t="str">
        <f>VLOOKUP(Medical_Examinations_2[[#This Row],[Customer ID]],Medical_Examinations!$1:$1048576,6,FALSE)</f>
        <v>No</v>
      </c>
      <c r="H394" t="str">
        <f>VLOOKUP(Medical_Examinations_2[[#This Row],[Customer ID]],Medical_Examinations!$1:$1048576,9,FALSE)</f>
        <v>No major surgery</v>
      </c>
      <c r="I394" t="str">
        <f>VLOOKUP(Medical_Examinations_2[[#This Row],[Customer ID]],Medical_Examinations!$1:$1048576,11,FALSE)</f>
        <v>No</v>
      </c>
    </row>
    <row r="395" spans="1:9" x14ac:dyDescent="0.25">
      <c r="A395" s="11" t="s">
        <v>423</v>
      </c>
      <c r="B395" t="str">
        <f>VLOOKUP(Customer_Names!A395,Customer_Names!$1:$1048576,4,FALSE)</f>
        <v>Dave</v>
      </c>
      <c r="C395">
        <f>VLOOKUP(Medical_Examinations_2[[#This Row],[Customer ID]],Medical_Examinations!$1:$1048576,2,FALSE)</f>
        <v>32.06</v>
      </c>
      <c r="D395">
        <f>VLOOKUP(Medical_Examinations_2[[#This Row],[Customer ID]],Medical_Examinations!$1:$1048576,4,FALSE)</f>
        <v>4.67</v>
      </c>
      <c r="E395" t="str">
        <f>VLOOKUP(Medical_Examinations_2[[#This Row],[Customer ID]],Medical_Examinations!$1:$1048576,6,FALSE)</f>
        <v>No</v>
      </c>
      <c r="H395">
        <f>VLOOKUP(Medical_Examinations_2[[#This Row],[Customer ID]],Medical_Examinations!$1:$1048576,9,FALSE)</f>
        <v>1</v>
      </c>
      <c r="I395" t="str">
        <f>VLOOKUP(Medical_Examinations_2[[#This Row],[Customer ID]],Medical_Examinations!$1:$1048576,11,FALSE)</f>
        <v>Yes</v>
      </c>
    </row>
    <row r="396" spans="1:9" x14ac:dyDescent="0.25">
      <c r="A396" s="10" t="s">
        <v>424</v>
      </c>
      <c r="B396" t="str">
        <f>VLOOKUP(Customer_Names!A396,Customer_Names!$1:$1048576,4,FALSE)</f>
        <v>Maryanna</v>
      </c>
      <c r="C396">
        <f>VLOOKUP(Medical_Examinations_2[[#This Row],[Customer ID]],Medical_Examinations!$1:$1048576,2,FALSE)</f>
        <v>24.1</v>
      </c>
      <c r="D396">
        <f>VLOOKUP(Medical_Examinations_2[[#This Row],[Customer ID]],Medical_Examinations!$1:$1048576,4,FALSE)</f>
        <v>11.14</v>
      </c>
      <c r="E396" t="str">
        <f>VLOOKUP(Medical_Examinations_2[[#This Row],[Customer ID]],Medical_Examinations!$1:$1048576,6,FALSE)</f>
        <v>Yes</v>
      </c>
      <c r="H396">
        <f>VLOOKUP(Medical_Examinations_2[[#This Row],[Customer ID]],Medical_Examinations!$1:$1048576,9,FALSE)</f>
        <v>1</v>
      </c>
      <c r="I396" t="str">
        <f>VLOOKUP(Medical_Examinations_2[[#This Row],[Customer ID]],Medical_Examinations!$1:$1048576,11,FALSE)</f>
        <v>No</v>
      </c>
    </row>
    <row r="397" spans="1:9" x14ac:dyDescent="0.25">
      <c r="A397" s="11" t="s">
        <v>425</v>
      </c>
      <c r="B397" t="str">
        <f>VLOOKUP(Customer_Names!A397,Customer_Names!$1:$1048576,4,FALSE)</f>
        <v>Jessica H.</v>
      </c>
      <c r="C397">
        <f>VLOOKUP(Medical_Examinations_2[[#This Row],[Customer ID]],Medical_Examinations!$1:$1048576,2,FALSE)</f>
        <v>27.1</v>
      </c>
      <c r="D397">
        <f>VLOOKUP(Medical_Examinations_2[[#This Row],[Customer ID]],Medical_Examinations!$1:$1048576,4,FALSE)</f>
        <v>9.0500000000000007</v>
      </c>
      <c r="E397" t="str">
        <f>VLOOKUP(Medical_Examinations_2[[#This Row],[Customer ID]],Medical_Examinations!$1:$1048576,6,FALSE)</f>
        <v>No</v>
      </c>
      <c r="H397">
        <f>VLOOKUP(Medical_Examinations_2[[#This Row],[Customer ID]],Medical_Examinations!$1:$1048576,9,FALSE)</f>
        <v>2</v>
      </c>
      <c r="I397" t="str">
        <f>VLOOKUP(Medical_Examinations_2[[#This Row],[Customer ID]],Medical_Examinations!$1:$1048576,11,FALSE)</f>
        <v>No</v>
      </c>
    </row>
    <row r="398" spans="1:9" x14ac:dyDescent="0.25">
      <c r="A398" s="10" t="s">
        <v>426</v>
      </c>
      <c r="B398" t="str">
        <f>VLOOKUP(Customer_Names!A398,Customer_Names!$1:$1048576,4,FALSE)</f>
        <v>Deanna</v>
      </c>
      <c r="C398">
        <f>VLOOKUP(Medical_Examinations_2[[#This Row],[Customer ID]],Medical_Examinations!$1:$1048576,2,FALSE)</f>
        <v>24.42</v>
      </c>
      <c r="D398">
        <f>VLOOKUP(Medical_Examinations_2[[#This Row],[Customer ID]],Medical_Examinations!$1:$1048576,4,FALSE)</f>
        <v>11.31</v>
      </c>
      <c r="E398" t="str">
        <f>VLOOKUP(Medical_Examinations_2[[#This Row],[Customer ID]],Medical_Examinations!$1:$1048576,6,FALSE)</f>
        <v>No</v>
      </c>
      <c r="H398" t="str">
        <f>VLOOKUP(Medical_Examinations_2[[#This Row],[Customer ID]],Medical_Examinations!$1:$1048576,9,FALSE)</f>
        <v>No major surgery</v>
      </c>
      <c r="I398" t="str">
        <f>VLOOKUP(Medical_Examinations_2[[#This Row],[Customer ID]],Medical_Examinations!$1:$1048576,11,FALSE)</f>
        <v>Yes</v>
      </c>
    </row>
    <row r="399" spans="1:9" x14ac:dyDescent="0.25">
      <c r="A399" s="11" t="s">
        <v>427</v>
      </c>
      <c r="B399" t="str">
        <f>VLOOKUP(Customer_Names!A399,Customer_Names!$1:$1048576,4,FALSE)</f>
        <v>Peter</v>
      </c>
      <c r="C399">
        <f>VLOOKUP(Medical_Examinations_2[[#This Row],[Customer ID]],Medical_Examinations!$1:$1048576,2,FALSE)</f>
        <v>26.695</v>
      </c>
      <c r="D399">
        <f>VLOOKUP(Medical_Examinations_2[[#This Row],[Customer ID]],Medical_Examinations!$1:$1048576,4,FALSE)</f>
        <v>4.68</v>
      </c>
      <c r="E399" t="str">
        <f>VLOOKUP(Medical_Examinations_2[[#This Row],[Customer ID]],Medical_Examinations!$1:$1048576,6,FALSE)</f>
        <v>Yes</v>
      </c>
      <c r="H399">
        <f>VLOOKUP(Medical_Examinations_2[[#This Row],[Customer ID]],Medical_Examinations!$1:$1048576,9,FALSE)</f>
        <v>2</v>
      </c>
      <c r="I399" t="str">
        <f>VLOOKUP(Medical_Examinations_2[[#This Row],[Customer ID]],Medical_Examinations!$1:$1048576,11,FALSE)</f>
        <v>Yes</v>
      </c>
    </row>
    <row r="400" spans="1:9" x14ac:dyDescent="0.25">
      <c r="A400" s="10" t="s">
        <v>428</v>
      </c>
      <c r="B400" t="str">
        <f>VLOOKUP(Customer_Names!A400,Customer_Names!$1:$1048576,4,FALSE)</f>
        <v>Rebecca</v>
      </c>
      <c r="C400">
        <f>VLOOKUP(Medical_Examinations_2[[#This Row],[Customer ID]],Medical_Examinations!$1:$1048576,2,FALSE)</f>
        <v>27.79</v>
      </c>
      <c r="D400">
        <f>VLOOKUP(Medical_Examinations_2[[#This Row],[Customer ID]],Medical_Examinations!$1:$1048576,4,FALSE)</f>
        <v>6.05</v>
      </c>
      <c r="E400" t="str">
        <f>VLOOKUP(Medical_Examinations_2[[#This Row],[Customer ID]],Medical_Examinations!$1:$1048576,6,FALSE)</f>
        <v>Yes</v>
      </c>
      <c r="H400">
        <f>VLOOKUP(Medical_Examinations_2[[#This Row],[Customer ID]],Medical_Examinations!$1:$1048576,9,FALSE)</f>
        <v>1</v>
      </c>
      <c r="I400" t="str">
        <f>VLOOKUP(Medical_Examinations_2[[#This Row],[Customer ID]],Medical_Examinations!$1:$1048576,11,FALSE)</f>
        <v>Yes</v>
      </c>
    </row>
    <row r="401" spans="1:9" x14ac:dyDescent="0.25">
      <c r="A401" s="11" t="s">
        <v>429</v>
      </c>
      <c r="B401" t="str">
        <f>VLOOKUP(Customer_Names!A401,Customer_Names!$1:$1048576,4,FALSE)</f>
        <v>Elizabeth M.</v>
      </c>
      <c r="C401">
        <f>VLOOKUP(Medical_Examinations_2[[#This Row],[Customer ID]],Medical_Examinations!$1:$1048576,2,FALSE)</f>
        <v>32.68</v>
      </c>
      <c r="D401">
        <f>VLOOKUP(Medical_Examinations_2[[#This Row],[Customer ID]],Medical_Examinations!$1:$1048576,4,FALSE)</f>
        <v>4.68</v>
      </c>
      <c r="E401" t="str">
        <f>VLOOKUP(Medical_Examinations_2[[#This Row],[Customer ID]],Medical_Examinations!$1:$1048576,6,FALSE)</f>
        <v>Yes</v>
      </c>
      <c r="H401" t="str">
        <f>VLOOKUP(Medical_Examinations_2[[#This Row],[Customer ID]],Medical_Examinations!$1:$1048576,9,FALSE)</f>
        <v>No major surgery</v>
      </c>
      <c r="I401" t="str">
        <f>VLOOKUP(Medical_Examinations_2[[#This Row],[Customer ID]],Medical_Examinations!$1:$1048576,11,FALSE)</f>
        <v>No</v>
      </c>
    </row>
    <row r="402" spans="1:9" x14ac:dyDescent="0.25">
      <c r="A402" s="10" t="s">
        <v>430</v>
      </c>
      <c r="B402" t="str">
        <f>VLOOKUP(Customer_Names!A402,Customer_Names!$1:$1048576,4,FALSE)</f>
        <v>Gregory</v>
      </c>
      <c r="C402">
        <f>VLOOKUP(Medical_Examinations_2[[#This Row],[Customer ID]],Medical_Examinations!$1:$1048576,2,FALSE)</f>
        <v>26.4</v>
      </c>
      <c r="D402">
        <f>VLOOKUP(Medical_Examinations_2[[#This Row],[Customer ID]],Medical_Examinations!$1:$1048576,4,FALSE)</f>
        <v>9.5</v>
      </c>
      <c r="E402" t="str">
        <f>VLOOKUP(Medical_Examinations_2[[#This Row],[Customer ID]],Medical_Examinations!$1:$1048576,6,FALSE)</f>
        <v>Yes</v>
      </c>
      <c r="H402">
        <f>VLOOKUP(Medical_Examinations_2[[#This Row],[Customer ID]],Medical_Examinations!$1:$1048576,9,FALSE)</f>
        <v>2</v>
      </c>
      <c r="I402" t="str">
        <f>VLOOKUP(Medical_Examinations_2[[#This Row],[Customer ID]],Medical_Examinations!$1:$1048576,11,FALSE)</f>
        <v>No</v>
      </c>
    </row>
    <row r="403" spans="1:9" x14ac:dyDescent="0.25">
      <c r="A403" s="11" t="s">
        <v>431</v>
      </c>
      <c r="B403" t="str">
        <f>VLOOKUP(Customer_Names!A403,Customer_Names!$1:$1048576,4,FALSE)</f>
        <v>Ms.  Sarah E.</v>
      </c>
      <c r="C403">
        <f>VLOOKUP(Medical_Examinations_2[[#This Row],[Customer ID]],Medical_Examinations!$1:$1048576,2,FALSE)</f>
        <v>23.655000000000001</v>
      </c>
      <c r="D403">
        <f>VLOOKUP(Medical_Examinations_2[[#This Row],[Customer ID]],Medical_Examinations!$1:$1048576,4,FALSE)</f>
        <v>10.84</v>
      </c>
      <c r="E403" t="str">
        <f>VLOOKUP(Medical_Examinations_2[[#This Row],[Customer ID]],Medical_Examinations!$1:$1048576,6,FALSE)</f>
        <v>Yes</v>
      </c>
      <c r="H403">
        <f>VLOOKUP(Medical_Examinations_2[[#This Row],[Customer ID]],Medical_Examinations!$1:$1048576,9,FALSE)</f>
        <v>1</v>
      </c>
      <c r="I403" t="str">
        <f>VLOOKUP(Medical_Examinations_2[[#This Row],[Customer ID]],Medical_Examinations!$1:$1048576,11,FALSE)</f>
        <v>Yes</v>
      </c>
    </row>
    <row r="404" spans="1:9" x14ac:dyDescent="0.25">
      <c r="A404" s="10" t="s">
        <v>432</v>
      </c>
      <c r="B404" t="str">
        <f>VLOOKUP(Customer_Names!A404,Customer_Names!$1:$1048576,4,FALSE)</f>
        <v>Anne Elise</v>
      </c>
      <c r="C404">
        <f>VLOOKUP(Medical_Examinations_2[[#This Row],[Customer ID]],Medical_Examinations!$1:$1048576,2,FALSE)</f>
        <v>27.36</v>
      </c>
      <c r="D404">
        <f>VLOOKUP(Medical_Examinations_2[[#This Row],[Customer ID]],Medical_Examinations!$1:$1048576,4,FALSE)</f>
        <v>5.88</v>
      </c>
      <c r="E404" t="str">
        <f>VLOOKUP(Medical_Examinations_2[[#This Row],[Customer ID]],Medical_Examinations!$1:$1048576,6,FALSE)</f>
        <v>No</v>
      </c>
      <c r="H404">
        <f>VLOOKUP(Medical_Examinations_2[[#This Row],[Customer ID]],Medical_Examinations!$1:$1048576,9,FALSE)</f>
        <v>2</v>
      </c>
      <c r="I404" t="str">
        <f>VLOOKUP(Medical_Examinations_2[[#This Row],[Customer ID]],Medical_Examinations!$1:$1048576,11,FALSE)</f>
        <v>No</v>
      </c>
    </row>
    <row r="405" spans="1:9" x14ac:dyDescent="0.25">
      <c r="A405" s="11" t="s">
        <v>433</v>
      </c>
      <c r="B405" t="str">
        <f>VLOOKUP(Customer_Names!A405,Customer_Names!$1:$1048576,4,FALSE)</f>
        <v>Christopher R</v>
      </c>
      <c r="C405">
        <f>VLOOKUP(Medical_Examinations_2[[#This Row],[Customer ID]],Medical_Examinations!$1:$1048576,2,FALSE)</f>
        <v>27.82</v>
      </c>
      <c r="D405">
        <f>VLOOKUP(Medical_Examinations_2[[#This Row],[Customer ID]],Medical_Examinations!$1:$1048576,4,FALSE)</f>
        <v>5.24</v>
      </c>
      <c r="E405" t="str">
        <f>VLOOKUP(Medical_Examinations_2[[#This Row],[Customer ID]],Medical_Examinations!$1:$1048576,6,FALSE)</f>
        <v>Yes</v>
      </c>
      <c r="H405" t="str">
        <f>VLOOKUP(Medical_Examinations_2[[#This Row],[Customer ID]],Medical_Examinations!$1:$1048576,9,FALSE)</f>
        <v>No major surgery</v>
      </c>
      <c r="I405" t="str">
        <f>VLOOKUP(Medical_Examinations_2[[#This Row],[Customer ID]],Medical_Examinations!$1:$1048576,11,FALSE)</f>
        <v>Yes</v>
      </c>
    </row>
    <row r="406" spans="1:9" x14ac:dyDescent="0.25">
      <c r="A406" s="10" t="s">
        <v>434</v>
      </c>
      <c r="B406" t="str">
        <f>VLOOKUP(Customer_Names!A406,Customer_Names!$1:$1048576,4,FALSE)</f>
        <v>Elliot</v>
      </c>
      <c r="C406">
        <f>VLOOKUP(Medical_Examinations_2[[#This Row],[Customer ID]],Medical_Examinations!$1:$1048576,2,FALSE)</f>
        <v>25.46</v>
      </c>
      <c r="D406">
        <f>VLOOKUP(Medical_Examinations_2[[#This Row],[Customer ID]],Medical_Examinations!$1:$1048576,4,FALSE)</f>
        <v>11.75</v>
      </c>
      <c r="E406" t="str">
        <f>VLOOKUP(Medical_Examinations_2[[#This Row],[Customer ID]],Medical_Examinations!$1:$1048576,6,FALSE)</f>
        <v>No</v>
      </c>
      <c r="H406" t="str">
        <f>VLOOKUP(Medical_Examinations_2[[#This Row],[Customer ID]],Medical_Examinations!$1:$1048576,9,FALSE)</f>
        <v>No major surgery</v>
      </c>
      <c r="I406" t="str">
        <f>VLOOKUP(Medical_Examinations_2[[#This Row],[Customer ID]],Medical_Examinations!$1:$1048576,11,FALSE)</f>
        <v>No</v>
      </c>
    </row>
    <row r="407" spans="1:9" x14ac:dyDescent="0.25">
      <c r="A407" s="11" t="s">
        <v>435</v>
      </c>
      <c r="B407" t="str">
        <f>VLOOKUP(Customer_Names!A407,Customer_Names!$1:$1048576,4,FALSE)</f>
        <v>Christopher D.</v>
      </c>
      <c r="C407">
        <f>VLOOKUP(Medical_Examinations_2[[#This Row],[Customer ID]],Medical_Examinations!$1:$1048576,2,FALSE)</f>
        <v>25.1</v>
      </c>
      <c r="D407">
        <f>VLOOKUP(Medical_Examinations_2[[#This Row],[Customer ID]],Medical_Examinations!$1:$1048576,4,FALSE)</f>
        <v>6.97</v>
      </c>
      <c r="E407" t="str">
        <f>VLOOKUP(Medical_Examinations_2[[#This Row],[Customer ID]],Medical_Examinations!$1:$1048576,6,FALSE)</f>
        <v>No</v>
      </c>
      <c r="H407" t="str">
        <f>VLOOKUP(Medical_Examinations_2[[#This Row],[Customer ID]],Medical_Examinations!$1:$1048576,9,FALSE)</f>
        <v>No major surgery</v>
      </c>
      <c r="I407" t="str">
        <f>VLOOKUP(Medical_Examinations_2[[#This Row],[Customer ID]],Medical_Examinations!$1:$1048576,11,FALSE)</f>
        <v>Yes</v>
      </c>
    </row>
    <row r="408" spans="1:9" x14ac:dyDescent="0.25">
      <c r="A408" s="10" t="s">
        <v>436</v>
      </c>
      <c r="B408" t="str">
        <f>VLOOKUP(Customer_Names!A408,Customer_Names!$1:$1048576,4,FALSE)</f>
        <v>Corey</v>
      </c>
      <c r="C408">
        <f>VLOOKUP(Medical_Examinations_2[[#This Row],[Customer ID]],Medical_Examinations!$1:$1048576,2,FALSE)</f>
        <v>32.11</v>
      </c>
      <c r="D408">
        <f>VLOOKUP(Medical_Examinations_2[[#This Row],[Customer ID]],Medical_Examinations!$1:$1048576,4,FALSE)</f>
        <v>4.76</v>
      </c>
      <c r="E408" t="str">
        <f>VLOOKUP(Medical_Examinations_2[[#This Row],[Customer ID]],Medical_Examinations!$1:$1048576,6,FALSE)</f>
        <v>No</v>
      </c>
      <c r="H408">
        <f>VLOOKUP(Medical_Examinations_2[[#This Row],[Customer ID]],Medical_Examinations!$1:$1048576,9,FALSE)</f>
        <v>2</v>
      </c>
      <c r="I408" t="str">
        <f>VLOOKUP(Medical_Examinations_2[[#This Row],[Customer ID]],Medical_Examinations!$1:$1048576,11,FALSE)</f>
        <v>No</v>
      </c>
    </row>
    <row r="409" spans="1:9" x14ac:dyDescent="0.25">
      <c r="A409" s="11" t="s">
        <v>437</v>
      </c>
      <c r="B409" t="str">
        <f>VLOOKUP(Customer_Names!A409,Customer_Names!$1:$1048576,4,FALSE)</f>
        <v>Patrick D.</v>
      </c>
      <c r="C409">
        <f>VLOOKUP(Medical_Examinations_2[[#This Row],[Customer ID]],Medical_Examinations!$1:$1048576,2,FALSE)</f>
        <v>29.8</v>
      </c>
      <c r="D409">
        <f>VLOOKUP(Medical_Examinations_2[[#This Row],[Customer ID]],Medical_Examinations!$1:$1048576,4,FALSE)</f>
        <v>8.24</v>
      </c>
      <c r="E409" t="str">
        <f>VLOOKUP(Medical_Examinations_2[[#This Row],[Customer ID]],Medical_Examinations!$1:$1048576,6,FALSE)</f>
        <v>Yes</v>
      </c>
      <c r="H409">
        <f>VLOOKUP(Medical_Examinations_2[[#This Row],[Customer ID]],Medical_Examinations!$1:$1048576,9,FALSE)</f>
        <v>1</v>
      </c>
      <c r="I409" t="str">
        <f>VLOOKUP(Medical_Examinations_2[[#This Row],[Customer ID]],Medical_Examinations!$1:$1048576,11,FALSE)</f>
        <v>Yes</v>
      </c>
    </row>
    <row r="410" spans="1:9" x14ac:dyDescent="0.25">
      <c r="A410" s="10" t="s">
        <v>438</v>
      </c>
      <c r="B410" t="str">
        <f>VLOOKUP(Customer_Names!A410,Customer_Names!$1:$1048576,4,FALSE)</f>
        <v>Anthony D.</v>
      </c>
      <c r="C410">
        <f>VLOOKUP(Medical_Examinations_2[[#This Row],[Customer ID]],Medical_Examinations!$1:$1048576,2,FALSE)</f>
        <v>24.01</v>
      </c>
      <c r="D410">
        <f>VLOOKUP(Medical_Examinations_2[[#This Row],[Customer ID]],Medical_Examinations!$1:$1048576,4,FALSE)</f>
        <v>4.76</v>
      </c>
      <c r="E410" t="str">
        <f>VLOOKUP(Medical_Examinations_2[[#This Row],[Customer ID]],Medical_Examinations!$1:$1048576,6,FALSE)</f>
        <v>No</v>
      </c>
      <c r="H410">
        <f>VLOOKUP(Medical_Examinations_2[[#This Row],[Customer ID]],Medical_Examinations!$1:$1048576,9,FALSE)</f>
        <v>1</v>
      </c>
      <c r="I410" t="str">
        <f>VLOOKUP(Medical_Examinations_2[[#This Row],[Customer ID]],Medical_Examinations!$1:$1048576,11,FALSE)</f>
        <v>Yes</v>
      </c>
    </row>
    <row r="411" spans="1:9" x14ac:dyDescent="0.25">
      <c r="A411" s="11" t="s">
        <v>439</v>
      </c>
      <c r="B411" t="str">
        <f>VLOOKUP(Customer_Names!A411,Customer_Names!$1:$1048576,4,FALSE)</f>
        <v>Melissa</v>
      </c>
      <c r="C411">
        <f>VLOOKUP(Medical_Examinations_2[[#This Row],[Customer ID]],Medical_Examinations!$1:$1048576,2,FALSE)</f>
        <v>23.21</v>
      </c>
      <c r="D411">
        <f>VLOOKUP(Medical_Examinations_2[[#This Row],[Customer ID]],Medical_Examinations!$1:$1048576,4,FALSE)</f>
        <v>6.03</v>
      </c>
      <c r="E411" t="str">
        <f>VLOOKUP(Medical_Examinations_2[[#This Row],[Customer ID]],Medical_Examinations!$1:$1048576,6,FALSE)</f>
        <v>No</v>
      </c>
      <c r="H411">
        <f>VLOOKUP(Medical_Examinations_2[[#This Row],[Customer ID]],Medical_Examinations!$1:$1048576,9,FALSE)</f>
        <v>1</v>
      </c>
      <c r="I411" t="str">
        <f>VLOOKUP(Medical_Examinations_2[[#This Row],[Customer ID]],Medical_Examinations!$1:$1048576,11,FALSE)</f>
        <v>No</v>
      </c>
    </row>
    <row r="412" spans="1:9" x14ac:dyDescent="0.25">
      <c r="A412" s="10" t="s">
        <v>440</v>
      </c>
      <c r="B412" t="str">
        <f>VLOOKUP(Customer_Names!A412,Customer_Names!$1:$1048576,4,FALSE)</f>
        <v>Raven</v>
      </c>
      <c r="C412">
        <f>VLOOKUP(Medical_Examinations_2[[#This Row],[Customer ID]],Medical_Examinations!$1:$1048576,2,FALSE)</f>
        <v>21.2</v>
      </c>
      <c r="D412">
        <f>VLOOKUP(Medical_Examinations_2[[#This Row],[Customer ID]],Medical_Examinations!$1:$1048576,4,FALSE)</f>
        <v>4.07</v>
      </c>
      <c r="E412" t="str">
        <f>VLOOKUP(Medical_Examinations_2[[#This Row],[Customer ID]],Medical_Examinations!$1:$1048576,6,FALSE)</f>
        <v>Yes</v>
      </c>
      <c r="H412">
        <f>VLOOKUP(Medical_Examinations_2[[#This Row],[Customer ID]],Medical_Examinations!$1:$1048576,9,FALSE)</f>
        <v>1</v>
      </c>
      <c r="I412" t="str">
        <f>VLOOKUP(Medical_Examinations_2[[#This Row],[Customer ID]],Medical_Examinations!$1:$1048576,11,FALSE)</f>
        <v>Yes</v>
      </c>
    </row>
    <row r="413" spans="1:9" x14ac:dyDescent="0.25">
      <c r="A413" s="11" t="s">
        <v>441</v>
      </c>
      <c r="B413" t="str">
        <f>VLOOKUP(Customer_Names!A413,Customer_Names!$1:$1048576,4,FALSE)</f>
        <v>Christopher</v>
      </c>
      <c r="C413">
        <f>VLOOKUP(Medical_Examinations_2[[#This Row],[Customer ID]],Medical_Examinations!$1:$1048576,2,FALSE)</f>
        <v>28.215</v>
      </c>
      <c r="D413">
        <f>VLOOKUP(Medical_Examinations_2[[#This Row],[Customer ID]],Medical_Examinations!$1:$1048576,4,FALSE)</f>
        <v>8.26</v>
      </c>
      <c r="E413" t="str">
        <f>VLOOKUP(Medical_Examinations_2[[#This Row],[Customer ID]],Medical_Examinations!$1:$1048576,6,FALSE)</f>
        <v>Yes</v>
      </c>
      <c r="H413">
        <f>VLOOKUP(Medical_Examinations_2[[#This Row],[Customer ID]],Medical_Examinations!$1:$1048576,9,FALSE)</f>
        <v>1</v>
      </c>
      <c r="I413" t="str">
        <f>VLOOKUP(Medical_Examinations_2[[#This Row],[Customer ID]],Medical_Examinations!$1:$1048576,11,FALSE)</f>
        <v>Yes</v>
      </c>
    </row>
    <row r="414" spans="1:9" x14ac:dyDescent="0.25">
      <c r="A414" s="10" t="s">
        <v>442</v>
      </c>
      <c r="B414" t="str">
        <f>VLOOKUP(Customer_Names!A414,Customer_Names!$1:$1048576,4,FALSE)</f>
        <v>Kendra A</v>
      </c>
      <c r="C414">
        <f>VLOOKUP(Medical_Examinations_2[[#This Row],[Customer ID]],Medical_Examinations!$1:$1048576,2,FALSE)</f>
        <v>38.094999999999999</v>
      </c>
      <c r="D414">
        <f>VLOOKUP(Medical_Examinations_2[[#This Row],[Customer ID]],Medical_Examinations!$1:$1048576,4,FALSE)</f>
        <v>4.76</v>
      </c>
      <c r="E414" t="str">
        <f>VLOOKUP(Medical_Examinations_2[[#This Row],[Customer ID]],Medical_Examinations!$1:$1048576,6,FALSE)</f>
        <v>No</v>
      </c>
      <c r="H414">
        <f>VLOOKUP(Medical_Examinations_2[[#This Row],[Customer ID]],Medical_Examinations!$1:$1048576,9,FALSE)</f>
        <v>1</v>
      </c>
      <c r="I414" t="str">
        <f>VLOOKUP(Medical_Examinations_2[[#This Row],[Customer ID]],Medical_Examinations!$1:$1048576,11,FALSE)</f>
        <v>No</v>
      </c>
    </row>
    <row r="415" spans="1:9" x14ac:dyDescent="0.25">
      <c r="A415" s="11" t="s">
        <v>443</v>
      </c>
      <c r="B415" t="str">
        <f>VLOOKUP(Customer_Names!A415,Customer_Names!$1:$1048576,4,FALSE)</f>
        <v>Jordan</v>
      </c>
      <c r="C415">
        <f>VLOOKUP(Medical_Examinations_2[[#This Row],[Customer ID]],Medical_Examinations!$1:$1048576,2,FALSE)</f>
        <v>22.61</v>
      </c>
      <c r="D415">
        <f>VLOOKUP(Medical_Examinations_2[[#This Row],[Customer ID]],Medical_Examinations!$1:$1048576,4,FALSE)</f>
        <v>6.13</v>
      </c>
      <c r="E415" t="str">
        <f>VLOOKUP(Medical_Examinations_2[[#This Row],[Customer ID]],Medical_Examinations!$1:$1048576,6,FALSE)</f>
        <v>Yes</v>
      </c>
      <c r="H415">
        <f>VLOOKUP(Medical_Examinations_2[[#This Row],[Customer ID]],Medical_Examinations!$1:$1048576,9,FALSE)</f>
        <v>1</v>
      </c>
      <c r="I415" t="str">
        <f>VLOOKUP(Medical_Examinations_2[[#This Row],[Customer ID]],Medical_Examinations!$1:$1048576,11,FALSE)</f>
        <v>Yes</v>
      </c>
    </row>
    <row r="416" spans="1:9" x14ac:dyDescent="0.25">
      <c r="A416" s="10" t="s">
        <v>444</v>
      </c>
      <c r="B416" t="str">
        <f>VLOOKUP(Customer_Names!A416,Customer_Names!$1:$1048576,4,FALSE)</f>
        <v>Nils</v>
      </c>
      <c r="C416">
        <f>VLOOKUP(Medical_Examinations_2[[#This Row],[Customer ID]],Medical_Examinations!$1:$1048576,2,FALSE)</f>
        <v>24.32</v>
      </c>
      <c r="D416">
        <f>VLOOKUP(Medical_Examinations_2[[#This Row],[Customer ID]],Medical_Examinations!$1:$1048576,4,FALSE)</f>
        <v>10.47</v>
      </c>
      <c r="E416" t="str">
        <f>VLOOKUP(Medical_Examinations_2[[#This Row],[Customer ID]],Medical_Examinations!$1:$1048576,6,FALSE)</f>
        <v>Yes</v>
      </c>
      <c r="H416">
        <f>VLOOKUP(Medical_Examinations_2[[#This Row],[Customer ID]],Medical_Examinations!$1:$1048576,9,FALSE)</f>
        <v>2</v>
      </c>
      <c r="I416" t="str">
        <f>VLOOKUP(Medical_Examinations_2[[#This Row],[Customer ID]],Medical_Examinations!$1:$1048576,11,FALSE)</f>
        <v>Yes</v>
      </c>
    </row>
    <row r="417" spans="1:9" x14ac:dyDescent="0.25">
      <c r="A417" s="11" t="s">
        <v>445</v>
      </c>
      <c r="B417" t="str">
        <f>VLOOKUP(Customer_Names!A417,Customer_Names!$1:$1048576,4,FALSE)</f>
        <v>Scott</v>
      </c>
      <c r="C417">
        <f>VLOOKUP(Medical_Examinations_2[[#This Row],[Customer ID]],Medical_Examinations!$1:$1048576,2,FALSE)</f>
        <v>20.96</v>
      </c>
      <c r="D417">
        <f>VLOOKUP(Medical_Examinations_2[[#This Row],[Customer ID]],Medical_Examinations!$1:$1048576,4,FALSE)</f>
        <v>4.04</v>
      </c>
      <c r="E417" t="str">
        <f>VLOOKUP(Medical_Examinations_2[[#This Row],[Customer ID]],Medical_Examinations!$1:$1048576,6,FALSE)</f>
        <v>Yes</v>
      </c>
      <c r="H417">
        <f>VLOOKUP(Medical_Examinations_2[[#This Row],[Customer ID]],Medical_Examinations!$1:$1048576,9,FALSE)</f>
        <v>1</v>
      </c>
      <c r="I417" t="str">
        <f>VLOOKUP(Medical_Examinations_2[[#This Row],[Customer ID]],Medical_Examinations!$1:$1048576,11,FALSE)</f>
        <v>Yes</v>
      </c>
    </row>
    <row r="418" spans="1:9" x14ac:dyDescent="0.25">
      <c r="A418" s="10" t="s">
        <v>446</v>
      </c>
      <c r="B418" t="str">
        <f>VLOOKUP(Customer_Names!A418,Customer_Names!$1:$1048576,4,FALSE)</f>
        <v>Angela</v>
      </c>
      <c r="C418">
        <f>VLOOKUP(Medical_Examinations_2[[#This Row],[Customer ID]],Medical_Examinations!$1:$1048576,2,FALSE)</f>
        <v>19.68</v>
      </c>
      <c r="D418">
        <f>VLOOKUP(Medical_Examinations_2[[#This Row],[Customer ID]],Medical_Examinations!$1:$1048576,4,FALSE)</f>
        <v>5.74</v>
      </c>
      <c r="E418" t="str">
        <f>VLOOKUP(Medical_Examinations_2[[#This Row],[Customer ID]],Medical_Examinations!$1:$1048576,6,FALSE)</f>
        <v>No</v>
      </c>
      <c r="H418" t="str">
        <f>VLOOKUP(Medical_Examinations_2[[#This Row],[Customer ID]],Medical_Examinations!$1:$1048576,9,FALSE)</f>
        <v>No major surgery</v>
      </c>
      <c r="I418" t="str">
        <f>VLOOKUP(Medical_Examinations_2[[#This Row],[Customer ID]],Medical_Examinations!$1:$1048576,11,FALSE)</f>
        <v>Yes</v>
      </c>
    </row>
    <row r="419" spans="1:9" x14ac:dyDescent="0.25">
      <c r="A419" s="11" t="s">
        <v>447</v>
      </c>
      <c r="B419" t="str">
        <f>VLOOKUP(Customer_Names!A419,Customer_Names!$1:$1048576,4,FALSE)</f>
        <v>Allison</v>
      </c>
      <c r="C419">
        <f>VLOOKUP(Medical_Examinations_2[[#This Row],[Customer ID]],Medical_Examinations!$1:$1048576,2,FALSE)</f>
        <v>18.100000000000001</v>
      </c>
      <c r="D419">
        <f>VLOOKUP(Medical_Examinations_2[[#This Row],[Customer ID]],Medical_Examinations!$1:$1048576,4,FALSE)</f>
        <v>6.33</v>
      </c>
      <c r="E419" t="str">
        <f>VLOOKUP(Medical_Examinations_2[[#This Row],[Customer ID]],Medical_Examinations!$1:$1048576,6,FALSE)</f>
        <v>No</v>
      </c>
      <c r="H419">
        <f>VLOOKUP(Medical_Examinations_2[[#This Row],[Customer ID]],Medical_Examinations!$1:$1048576,9,FALSE)</f>
        <v>1</v>
      </c>
      <c r="I419" t="str">
        <f>VLOOKUP(Medical_Examinations_2[[#This Row],[Customer ID]],Medical_Examinations!$1:$1048576,11,FALSE)</f>
        <v>Yes</v>
      </c>
    </row>
    <row r="420" spans="1:9" x14ac:dyDescent="0.25">
      <c r="A420" s="10" t="s">
        <v>448</v>
      </c>
      <c r="B420" t="str">
        <f>VLOOKUP(Customer_Names!A420,Customer_Names!$1:$1048576,4,FALSE)</f>
        <v>Caitlin O.</v>
      </c>
      <c r="C420">
        <f>VLOOKUP(Medical_Examinations_2[[#This Row],[Customer ID]],Medical_Examinations!$1:$1048576,2,FALSE)</f>
        <v>29.64</v>
      </c>
      <c r="D420">
        <f>VLOOKUP(Medical_Examinations_2[[#This Row],[Customer ID]],Medical_Examinations!$1:$1048576,4,FALSE)</f>
        <v>4.28</v>
      </c>
      <c r="E420" t="str">
        <f>VLOOKUP(Medical_Examinations_2[[#This Row],[Customer ID]],Medical_Examinations!$1:$1048576,6,FALSE)</f>
        <v>Yes</v>
      </c>
      <c r="H420" t="str">
        <f>VLOOKUP(Medical_Examinations_2[[#This Row],[Customer ID]],Medical_Examinations!$1:$1048576,9,FALSE)</f>
        <v>No major surgery</v>
      </c>
      <c r="I420" t="str">
        <f>VLOOKUP(Medical_Examinations_2[[#This Row],[Customer ID]],Medical_Examinations!$1:$1048576,11,FALSE)</f>
        <v>No</v>
      </c>
    </row>
    <row r="421" spans="1:9" x14ac:dyDescent="0.25">
      <c r="A421" s="11" t="s">
        <v>449</v>
      </c>
      <c r="B421" t="str">
        <f>VLOOKUP(Customer_Names!A421,Customer_Names!$1:$1048576,4,FALSE)</f>
        <v>Tracy M</v>
      </c>
      <c r="C421">
        <f>VLOOKUP(Medical_Examinations_2[[#This Row],[Customer ID]],Medical_Examinations!$1:$1048576,2,FALSE)</f>
        <v>25.3</v>
      </c>
      <c r="D421">
        <f>VLOOKUP(Medical_Examinations_2[[#This Row],[Customer ID]],Medical_Examinations!$1:$1048576,4,FALSE)</f>
        <v>9.4700000000000006</v>
      </c>
      <c r="E421" t="str">
        <f>VLOOKUP(Medical_Examinations_2[[#This Row],[Customer ID]],Medical_Examinations!$1:$1048576,6,FALSE)</f>
        <v>Yes</v>
      </c>
      <c r="H421">
        <f>VLOOKUP(Medical_Examinations_2[[#This Row],[Customer ID]],Medical_Examinations!$1:$1048576,9,FALSE)</f>
        <v>2</v>
      </c>
      <c r="I421" t="str">
        <f>VLOOKUP(Medical_Examinations_2[[#This Row],[Customer ID]],Medical_Examinations!$1:$1048576,11,FALSE)</f>
        <v>Yes</v>
      </c>
    </row>
    <row r="422" spans="1:9" x14ac:dyDescent="0.25">
      <c r="A422" s="10" t="s">
        <v>450</v>
      </c>
      <c r="B422" t="str">
        <f>VLOOKUP(Customer_Names!A422,Customer_Names!$1:$1048576,4,FALSE)</f>
        <v>Dustin M.</v>
      </c>
      <c r="C422">
        <f>VLOOKUP(Medical_Examinations_2[[#This Row],[Customer ID]],Medical_Examinations!$1:$1048576,2,FALSE)</f>
        <v>27.6</v>
      </c>
      <c r="D422">
        <f>VLOOKUP(Medical_Examinations_2[[#This Row],[Customer ID]],Medical_Examinations!$1:$1048576,4,FALSE)</f>
        <v>4.8499999999999996</v>
      </c>
      <c r="E422" t="str">
        <f>VLOOKUP(Medical_Examinations_2[[#This Row],[Customer ID]],Medical_Examinations!$1:$1048576,6,FALSE)</f>
        <v>Yes</v>
      </c>
      <c r="H422" t="str">
        <f>VLOOKUP(Medical_Examinations_2[[#This Row],[Customer ID]],Medical_Examinations!$1:$1048576,9,FALSE)</f>
        <v>No major surgery</v>
      </c>
      <c r="I422" t="str">
        <f>VLOOKUP(Medical_Examinations_2[[#This Row],[Customer ID]],Medical_Examinations!$1:$1048576,11,FALSE)</f>
        <v>No</v>
      </c>
    </row>
    <row r="423" spans="1:9" x14ac:dyDescent="0.25">
      <c r="A423" s="11" t="s">
        <v>451</v>
      </c>
      <c r="B423" t="str">
        <f>VLOOKUP(Customer_Names!A423,Customer_Names!$1:$1048576,4,FALSE)</f>
        <v>Jenny</v>
      </c>
      <c r="C423">
        <f>VLOOKUP(Medical_Examinations_2[[#This Row],[Customer ID]],Medical_Examinations!$1:$1048576,2,FALSE)</f>
        <v>27.645</v>
      </c>
      <c r="D423">
        <f>VLOOKUP(Medical_Examinations_2[[#This Row],[Customer ID]],Medical_Examinations!$1:$1048576,4,FALSE)</f>
        <v>11.03</v>
      </c>
      <c r="E423" t="str">
        <f>VLOOKUP(Medical_Examinations_2[[#This Row],[Customer ID]],Medical_Examinations!$1:$1048576,6,FALSE)</f>
        <v>Yes</v>
      </c>
      <c r="H423">
        <f>VLOOKUP(Medical_Examinations_2[[#This Row],[Customer ID]],Medical_Examinations!$1:$1048576,9,FALSE)</f>
        <v>1</v>
      </c>
      <c r="I423" t="str">
        <f>VLOOKUP(Medical_Examinations_2[[#This Row],[Customer ID]],Medical_Examinations!$1:$1048576,11,FALSE)</f>
        <v>Yes</v>
      </c>
    </row>
    <row r="424" spans="1:9" x14ac:dyDescent="0.25">
      <c r="A424" s="10" t="s">
        <v>452</v>
      </c>
      <c r="B424" t="str">
        <f>VLOOKUP(Customer_Names!A424,Customer_Names!$1:$1048576,4,FALSE)</f>
        <v>Emily</v>
      </c>
      <c r="C424">
        <f>VLOOKUP(Medical_Examinations_2[[#This Row],[Customer ID]],Medical_Examinations!$1:$1048576,2,FALSE)</f>
        <v>27.6</v>
      </c>
      <c r="D424">
        <f>VLOOKUP(Medical_Examinations_2[[#This Row],[Customer ID]],Medical_Examinations!$1:$1048576,4,FALSE)</f>
        <v>5.22</v>
      </c>
      <c r="E424" t="str">
        <f>VLOOKUP(Medical_Examinations_2[[#This Row],[Customer ID]],Medical_Examinations!$1:$1048576,6,FALSE)</f>
        <v>No</v>
      </c>
      <c r="H424">
        <f>VLOOKUP(Medical_Examinations_2[[#This Row],[Customer ID]],Medical_Examinations!$1:$1048576,9,FALSE)</f>
        <v>2</v>
      </c>
      <c r="I424" t="str">
        <f>VLOOKUP(Medical_Examinations_2[[#This Row],[Customer ID]],Medical_Examinations!$1:$1048576,11,FALSE)</f>
        <v>Yes</v>
      </c>
    </row>
    <row r="425" spans="1:9" x14ac:dyDescent="0.25">
      <c r="A425" s="11" t="s">
        <v>453</v>
      </c>
      <c r="B425" t="str">
        <f>VLOOKUP(Customer_Names!A425,Customer_Names!$1:$1048576,4,FALSE)</f>
        <v>Fabienne</v>
      </c>
      <c r="C425">
        <f>VLOOKUP(Medical_Examinations_2[[#This Row],[Customer ID]],Medical_Examinations!$1:$1048576,2,FALSE)</f>
        <v>25.08</v>
      </c>
      <c r="D425">
        <f>VLOOKUP(Medical_Examinations_2[[#This Row],[Customer ID]],Medical_Examinations!$1:$1048576,4,FALSE)</f>
        <v>9.52</v>
      </c>
      <c r="E425" t="str">
        <f>VLOOKUP(Medical_Examinations_2[[#This Row],[Customer ID]],Medical_Examinations!$1:$1048576,6,FALSE)</f>
        <v>Yes</v>
      </c>
      <c r="H425">
        <f>VLOOKUP(Medical_Examinations_2[[#This Row],[Customer ID]],Medical_Examinations!$1:$1048576,9,FALSE)</f>
        <v>2</v>
      </c>
      <c r="I425" t="str">
        <f>VLOOKUP(Medical_Examinations_2[[#This Row],[Customer ID]],Medical_Examinations!$1:$1048576,11,FALSE)</f>
        <v>No</v>
      </c>
    </row>
    <row r="426" spans="1:9" x14ac:dyDescent="0.25">
      <c r="A426" s="10" t="s">
        <v>454</v>
      </c>
      <c r="B426" t="str">
        <f>VLOOKUP(Customer_Names!A426,Customer_Names!$1:$1048576,4,FALSE)</f>
        <v>Jordan</v>
      </c>
      <c r="C426">
        <f>VLOOKUP(Medical_Examinations_2[[#This Row],[Customer ID]],Medical_Examinations!$1:$1048576,2,FALSE)</f>
        <v>30.02</v>
      </c>
      <c r="D426">
        <f>VLOOKUP(Medical_Examinations_2[[#This Row],[Customer ID]],Medical_Examinations!$1:$1048576,4,FALSE)</f>
        <v>11.09</v>
      </c>
      <c r="E426" t="str">
        <f>VLOOKUP(Medical_Examinations_2[[#This Row],[Customer ID]],Medical_Examinations!$1:$1048576,6,FALSE)</f>
        <v>No</v>
      </c>
      <c r="H426" t="str">
        <f>VLOOKUP(Medical_Examinations_2[[#This Row],[Customer ID]],Medical_Examinations!$1:$1048576,9,FALSE)</f>
        <v>No major surgery</v>
      </c>
      <c r="I426" t="str">
        <f>VLOOKUP(Medical_Examinations_2[[#This Row],[Customer ID]],Medical_Examinations!$1:$1048576,11,FALSE)</f>
        <v>No</v>
      </c>
    </row>
    <row r="427" spans="1:9" x14ac:dyDescent="0.25">
      <c r="A427" s="11" t="s">
        <v>455</v>
      </c>
      <c r="B427" t="str">
        <f>VLOOKUP(Customer_Names!A427,Customer_Names!$1:$1048576,4,FALSE)</f>
        <v>Matt</v>
      </c>
      <c r="C427">
        <f>VLOOKUP(Medical_Examinations_2[[#This Row],[Customer ID]],Medical_Examinations!$1:$1048576,2,FALSE)</f>
        <v>27.36</v>
      </c>
      <c r="D427">
        <f>VLOOKUP(Medical_Examinations_2[[#This Row],[Customer ID]],Medical_Examinations!$1:$1048576,4,FALSE)</f>
        <v>9.4499999999999993</v>
      </c>
      <c r="E427" t="str">
        <f>VLOOKUP(Medical_Examinations_2[[#This Row],[Customer ID]],Medical_Examinations!$1:$1048576,6,FALSE)</f>
        <v>Yes</v>
      </c>
      <c r="H427">
        <f>VLOOKUP(Medical_Examinations_2[[#This Row],[Customer ID]],Medical_Examinations!$1:$1048576,9,FALSE)</f>
        <v>2</v>
      </c>
      <c r="I427" t="str">
        <f>VLOOKUP(Medical_Examinations_2[[#This Row],[Customer ID]],Medical_Examinations!$1:$1048576,11,FALSE)</f>
        <v>Yes</v>
      </c>
    </row>
    <row r="428" spans="1:9" x14ac:dyDescent="0.25">
      <c r="A428" s="10" t="s">
        <v>456</v>
      </c>
      <c r="B428" t="str">
        <f>VLOOKUP(Customer_Names!A428,Customer_Names!$1:$1048576,4,FALSE)</f>
        <v>Taryn L</v>
      </c>
      <c r="C428">
        <f>VLOOKUP(Medical_Examinations_2[[#This Row],[Customer ID]],Medical_Examinations!$1:$1048576,2,FALSE)</f>
        <v>22.2</v>
      </c>
      <c r="D428">
        <f>VLOOKUP(Medical_Examinations_2[[#This Row],[Customer ID]],Medical_Examinations!$1:$1048576,4,FALSE)</f>
        <v>5.51</v>
      </c>
      <c r="E428" t="str">
        <f>VLOOKUP(Medical_Examinations_2[[#This Row],[Customer ID]],Medical_Examinations!$1:$1048576,6,FALSE)</f>
        <v>No</v>
      </c>
      <c r="H428" t="str">
        <f>VLOOKUP(Medical_Examinations_2[[#This Row],[Customer ID]],Medical_Examinations!$1:$1048576,9,FALSE)</f>
        <v>No major surgery</v>
      </c>
      <c r="I428" t="str">
        <f>VLOOKUP(Medical_Examinations_2[[#This Row],[Customer ID]],Medical_Examinations!$1:$1048576,11,FALSE)</f>
        <v>Yes</v>
      </c>
    </row>
    <row r="429" spans="1:9" x14ac:dyDescent="0.25">
      <c r="A429" s="11" t="s">
        <v>457</v>
      </c>
      <c r="B429" t="str">
        <f>VLOOKUP(Customer_Names!A429,Customer_Names!$1:$1048576,4,FALSE)</f>
        <v>Temima</v>
      </c>
      <c r="C429">
        <f>VLOOKUP(Medical_Examinations_2[[#This Row],[Customer ID]],Medical_Examinations!$1:$1048576,2,FALSE)</f>
        <v>25.71</v>
      </c>
      <c r="D429">
        <f>VLOOKUP(Medical_Examinations_2[[#This Row],[Customer ID]],Medical_Examinations!$1:$1048576,4,FALSE)</f>
        <v>4.18</v>
      </c>
      <c r="E429" t="str">
        <f>VLOOKUP(Medical_Examinations_2[[#This Row],[Customer ID]],Medical_Examinations!$1:$1048576,6,FALSE)</f>
        <v>No</v>
      </c>
      <c r="H429">
        <f>VLOOKUP(Medical_Examinations_2[[#This Row],[Customer ID]],Medical_Examinations!$1:$1048576,9,FALSE)</f>
        <v>1</v>
      </c>
      <c r="I429" t="str">
        <f>VLOOKUP(Medical_Examinations_2[[#This Row],[Customer ID]],Medical_Examinations!$1:$1048576,11,FALSE)</f>
        <v>Yes</v>
      </c>
    </row>
    <row r="430" spans="1:9" x14ac:dyDescent="0.25">
      <c r="A430" s="10" t="s">
        <v>458</v>
      </c>
      <c r="B430" t="str">
        <f>VLOOKUP(Customer_Names!A430,Customer_Names!$1:$1048576,4,FALSE)</f>
        <v>Jennifer</v>
      </c>
      <c r="C430">
        <f>VLOOKUP(Medical_Examinations_2[[#This Row],[Customer ID]],Medical_Examinations!$1:$1048576,2,FALSE)</f>
        <v>41.91</v>
      </c>
      <c r="D430">
        <f>VLOOKUP(Medical_Examinations_2[[#This Row],[Customer ID]],Medical_Examinations!$1:$1048576,4,FALSE)</f>
        <v>5.98</v>
      </c>
      <c r="E430" t="str">
        <f>VLOOKUP(Medical_Examinations_2[[#This Row],[Customer ID]],Medical_Examinations!$1:$1048576,6,FALSE)</f>
        <v>Yes</v>
      </c>
      <c r="H430">
        <f>VLOOKUP(Medical_Examinations_2[[#This Row],[Customer ID]],Medical_Examinations!$1:$1048576,9,FALSE)</f>
        <v>1</v>
      </c>
      <c r="I430" t="str">
        <f>VLOOKUP(Medical_Examinations_2[[#This Row],[Customer ID]],Medical_Examinations!$1:$1048576,11,FALSE)</f>
        <v>No</v>
      </c>
    </row>
    <row r="431" spans="1:9" x14ac:dyDescent="0.25">
      <c r="A431" s="11" t="s">
        <v>459</v>
      </c>
      <c r="B431" t="str">
        <f>VLOOKUP(Customer_Names!A431,Customer_Names!$1:$1048576,4,FALSE)</f>
        <v>Serena M.</v>
      </c>
      <c r="C431">
        <f>VLOOKUP(Medical_Examinations_2[[#This Row],[Customer ID]],Medical_Examinations!$1:$1048576,2,FALSE)</f>
        <v>25.85</v>
      </c>
      <c r="D431">
        <f>VLOOKUP(Medical_Examinations_2[[#This Row],[Customer ID]],Medical_Examinations!$1:$1048576,4,FALSE)</f>
        <v>10.16</v>
      </c>
      <c r="E431" t="str">
        <f>VLOOKUP(Medical_Examinations_2[[#This Row],[Customer ID]],Medical_Examinations!$1:$1048576,6,FALSE)</f>
        <v>No</v>
      </c>
      <c r="H431" t="str">
        <f>VLOOKUP(Medical_Examinations_2[[#This Row],[Customer ID]],Medical_Examinations!$1:$1048576,9,FALSE)</f>
        <v>No major surgery</v>
      </c>
      <c r="I431" t="str">
        <f>VLOOKUP(Medical_Examinations_2[[#This Row],[Customer ID]],Medical_Examinations!$1:$1048576,11,FALSE)</f>
        <v>Yes</v>
      </c>
    </row>
    <row r="432" spans="1:9" x14ac:dyDescent="0.25">
      <c r="A432" s="10" t="s">
        <v>460</v>
      </c>
      <c r="B432" t="str">
        <f>VLOOKUP(Customer_Names!A432,Customer_Names!$1:$1048576,4,FALSE)</f>
        <v>Victoria M.</v>
      </c>
      <c r="C432">
        <f>VLOOKUP(Medical_Examinations_2[[#This Row],[Customer ID]],Medical_Examinations!$1:$1048576,2,FALSE)</f>
        <v>23.844999999999999</v>
      </c>
      <c r="D432">
        <f>VLOOKUP(Medical_Examinations_2[[#This Row],[Customer ID]],Medical_Examinations!$1:$1048576,4,FALSE)</f>
        <v>11.71</v>
      </c>
      <c r="E432" t="str">
        <f>VLOOKUP(Medical_Examinations_2[[#This Row],[Customer ID]],Medical_Examinations!$1:$1048576,6,FALSE)</f>
        <v>No</v>
      </c>
      <c r="H432">
        <f>VLOOKUP(Medical_Examinations_2[[#This Row],[Customer ID]],Medical_Examinations!$1:$1048576,9,FALSE)</f>
        <v>2</v>
      </c>
      <c r="I432" t="str">
        <f>VLOOKUP(Medical_Examinations_2[[#This Row],[Customer ID]],Medical_Examinations!$1:$1048576,11,FALSE)</f>
        <v>Yes</v>
      </c>
    </row>
    <row r="433" spans="1:9" x14ac:dyDescent="0.25">
      <c r="A433" s="11" t="s">
        <v>461</v>
      </c>
      <c r="B433" t="str">
        <f>VLOOKUP(Customer_Names!A433,Customer_Names!$1:$1048576,4,FALSE)</f>
        <v>Phoebe</v>
      </c>
      <c r="C433">
        <f>VLOOKUP(Medical_Examinations_2[[#This Row],[Customer ID]],Medical_Examinations!$1:$1048576,2,FALSE)</f>
        <v>30.59</v>
      </c>
      <c r="D433">
        <f>VLOOKUP(Medical_Examinations_2[[#This Row],[Customer ID]],Medical_Examinations!$1:$1048576,4,FALSE)</f>
        <v>5.23</v>
      </c>
      <c r="E433" t="str">
        <f>VLOOKUP(Medical_Examinations_2[[#This Row],[Customer ID]],Medical_Examinations!$1:$1048576,6,FALSE)</f>
        <v>No</v>
      </c>
      <c r="H433">
        <f>VLOOKUP(Medical_Examinations_2[[#This Row],[Customer ID]],Medical_Examinations!$1:$1048576,9,FALSE)</f>
        <v>1</v>
      </c>
      <c r="I433" t="str">
        <f>VLOOKUP(Medical_Examinations_2[[#This Row],[Customer ID]],Medical_Examinations!$1:$1048576,11,FALSE)</f>
        <v>No</v>
      </c>
    </row>
    <row r="434" spans="1:9" x14ac:dyDescent="0.25">
      <c r="A434" s="10" t="s">
        <v>462</v>
      </c>
      <c r="B434" t="str">
        <f>VLOOKUP(Customer_Names!A434,Customer_Names!$1:$1048576,4,FALSE)</f>
        <v>Corey</v>
      </c>
      <c r="C434">
        <f>VLOOKUP(Medical_Examinations_2[[#This Row],[Customer ID]],Medical_Examinations!$1:$1048576,2,FALSE)</f>
        <v>24.795000000000002</v>
      </c>
      <c r="D434">
        <f>VLOOKUP(Medical_Examinations_2[[#This Row],[Customer ID]],Medical_Examinations!$1:$1048576,4,FALSE)</f>
        <v>6.85</v>
      </c>
      <c r="E434" t="str">
        <f>VLOOKUP(Medical_Examinations_2[[#This Row],[Customer ID]],Medical_Examinations!$1:$1048576,6,FALSE)</f>
        <v>No</v>
      </c>
      <c r="H434" t="str">
        <f>VLOOKUP(Medical_Examinations_2[[#This Row],[Customer ID]],Medical_Examinations!$1:$1048576,9,FALSE)</f>
        <v>No major surgery</v>
      </c>
      <c r="I434" t="str">
        <f>VLOOKUP(Medical_Examinations_2[[#This Row],[Customer ID]],Medical_Examinations!$1:$1048576,11,FALSE)</f>
        <v>Yes</v>
      </c>
    </row>
    <row r="435" spans="1:9" x14ac:dyDescent="0.25">
      <c r="A435" s="11" t="s">
        <v>463</v>
      </c>
      <c r="B435" t="str">
        <f>VLOOKUP(Customer_Names!A435,Customer_Names!$1:$1048576,4,FALSE)</f>
        <v>Rebecca</v>
      </c>
      <c r="C435">
        <f>VLOOKUP(Medical_Examinations_2[[#This Row],[Customer ID]],Medical_Examinations!$1:$1048576,2,FALSE)</f>
        <v>24.13</v>
      </c>
      <c r="D435">
        <f>VLOOKUP(Medical_Examinations_2[[#This Row],[Customer ID]],Medical_Examinations!$1:$1048576,4,FALSE)</f>
        <v>7.05</v>
      </c>
      <c r="E435" t="str">
        <f>VLOOKUP(Medical_Examinations_2[[#This Row],[Customer ID]],Medical_Examinations!$1:$1048576,6,FALSE)</f>
        <v>Yes</v>
      </c>
      <c r="H435">
        <f>VLOOKUP(Medical_Examinations_2[[#This Row],[Customer ID]],Medical_Examinations!$1:$1048576,9,FALSE)</f>
        <v>2</v>
      </c>
      <c r="I435" t="str">
        <f>VLOOKUP(Medical_Examinations_2[[#This Row],[Customer ID]],Medical_Examinations!$1:$1048576,11,FALSE)</f>
        <v>Yes</v>
      </c>
    </row>
    <row r="436" spans="1:9" x14ac:dyDescent="0.25">
      <c r="A436" s="10" t="s">
        <v>464</v>
      </c>
      <c r="B436" t="str">
        <f>VLOOKUP(Customer_Names!A436,Customer_Names!$1:$1048576,4,FALSE)</f>
        <v>Nicholas D</v>
      </c>
      <c r="C436">
        <f>VLOOKUP(Medical_Examinations_2[[#This Row],[Customer ID]],Medical_Examinations!$1:$1048576,2,FALSE)</f>
        <v>25.84</v>
      </c>
      <c r="D436">
        <f>VLOOKUP(Medical_Examinations_2[[#This Row],[Customer ID]],Medical_Examinations!$1:$1048576,4,FALSE)</f>
        <v>11.64</v>
      </c>
      <c r="E436" t="str">
        <f>VLOOKUP(Medical_Examinations_2[[#This Row],[Customer ID]],Medical_Examinations!$1:$1048576,6,FALSE)</f>
        <v>No</v>
      </c>
      <c r="H436">
        <f>VLOOKUP(Medical_Examinations_2[[#This Row],[Customer ID]],Medical_Examinations!$1:$1048576,9,FALSE)</f>
        <v>2</v>
      </c>
      <c r="I436" t="str">
        <f>VLOOKUP(Medical_Examinations_2[[#This Row],[Customer ID]],Medical_Examinations!$1:$1048576,11,FALSE)</f>
        <v>Yes</v>
      </c>
    </row>
    <row r="437" spans="1:9" x14ac:dyDescent="0.25">
      <c r="A437" s="11" t="s">
        <v>465</v>
      </c>
      <c r="B437" t="str">
        <f>VLOOKUP(Customer_Names!A437,Customer_Names!$1:$1048576,4,FALSE)</f>
        <v>Christian</v>
      </c>
      <c r="C437">
        <f>VLOOKUP(Medical_Examinations_2[[#This Row],[Customer ID]],Medical_Examinations!$1:$1048576,2,FALSE)</f>
        <v>28</v>
      </c>
      <c r="D437">
        <f>VLOOKUP(Medical_Examinations_2[[#This Row],[Customer ID]],Medical_Examinations!$1:$1048576,4,FALSE)</f>
        <v>10.52</v>
      </c>
      <c r="E437" t="str">
        <f>VLOOKUP(Medical_Examinations_2[[#This Row],[Customer ID]],Medical_Examinations!$1:$1048576,6,FALSE)</f>
        <v>No</v>
      </c>
      <c r="H437" t="str">
        <f>VLOOKUP(Medical_Examinations_2[[#This Row],[Customer ID]],Medical_Examinations!$1:$1048576,9,FALSE)</f>
        <v>No major surgery</v>
      </c>
      <c r="I437" t="str">
        <f>VLOOKUP(Medical_Examinations_2[[#This Row],[Customer ID]],Medical_Examinations!$1:$1048576,11,FALSE)</f>
        <v>Yes</v>
      </c>
    </row>
    <row r="438" spans="1:9" x14ac:dyDescent="0.25">
      <c r="A438" s="10" t="s">
        <v>466</v>
      </c>
      <c r="B438" t="str">
        <f>VLOOKUP(Customer_Names!A438,Customer_Names!$1:$1048576,4,FALSE)</f>
        <v>Jonathon S.</v>
      </c>
      <c r="C438">
        <f>VLOOKUP(Medical_Examinations_2[[#This Row],[Customer ID]],Medical_Examinations!$1:$1048576,2,FALSE)</f>
        <v>34.1</v>
      </c>
      <c r="D438">
        <f>VLOOKUP(Medical_Examinations_2[[#This Row],[Customer ID]],Medical_Examinations!$1:$1048576,4,FALSE)</f>
        <v>4.01</v>
      </c>
      <c r="E438" t="str">
        <f>VLOOKUP(Medical_Examinations_2[[#This Row],[Customer ID]],Medical_Examinations!$1:$1048576,6,FALSE)</f>
        <v>Yes</v>
      </c>
      <c r="H438">
        <f>VLOOKUP(Medical_Examinations_2[[#This Row],[Customer ID]],Medical_Examinations!$1:$1048576,9,FALSE)</f>
        <v>1</v>
      </c>
      <c r="I438" t="str">
        <f>VLOOKUP(Medical_Examinations_2[[#This Row],[Customer ID]],Medical_Examinations!$1:$1048576,11,FALSE)</f>
        <v>No</v>
      </c>
    </row>
    <row r="439" spans="1:9" x14ac:dyDescent="0.25">
      <c r="A439" s="11" t="s">
        <v>467</v>
      </c>
      <c r="B439" t="str">
        <f>VLOOKUP(Customer_Names!A439,Customer_Names!$1:$1048576,4,FALSE)</f>
        <v>Caroline</v>
      </c>
      <c r="C439">
        <f>VLOOKUP(Medical_Examinations_2[[#This Row],[Customer ID]],Medical_Examinations!$1:$1048576,2,FALSE)</f>
        <v>26.125</v>
      </c>
      <c r="D439">
        <f>VLOOKUP(Medical_Examinations_2[[#This Row],[Customer ID]],Medical_Examinations!$1:$1048576,4,FALSE)</f>
        <v>8.56</v>
      </c>
      <c r="E439" t="str">
        <f>VLOOKUP(Medical_Examinations_2[[#This Row],[Customer ID]],Medical_Examinations!$1:$1048576,6,FALSE)</f>
        <v>Yes</v>
      </c>
      <c r="H439">
        <f>VLOOKUP(Medical_Examinations_2[[#This Row],[Customer ID]],Medical_Examinations!$1:$1048576,9,FALSE)</f>
        <v>1</v>
      </c>
      <c r="I439" t="str">
        <f>VLOOKUP(Medical_Examinations_2[[#This Row],[Customer ID]],Medical_Examinations!$1:$1048576,11,FALSE)</f>
        <v>Yes</v>
      </c>
    </row>
    <row r="440" spans="1:9" x14ac:dyDescent="0.25">
      <c r="A440" s="10" t="s">
        <v>468</v>
      </c>
      <c r="B440" t="str">
        <f>VLOOKUP(Customer_Names!A440,Customer_Names!$1:$1048576,4,FALSE)</f>
        <v>Joshua D.</v>
      </c>
      <c r="C440">
        <f>VLOOKUP(Medical_Examinations_2[[#This Row],[Customer ID]],Medical_Examinations!$1:$1048576,2,FALSE)</f>
        <v>25.6</v>
      </c>
      <c r="D440">
        <f>VLOOKUP(Medical_Examinations_2[[#This Row],[Customer ID]],Medical_Examinations!$1:$1048576,4,FALSE)</f>
        <v>10.5</v>
      </c>
      <c r="E440" t="str">
        <f>VLOOKUP(Medical_Examinations_2[[#This Row],[Customer ID]],Medical_Examinations!$1:$1048576,6,FALSE)</f>
        <v>No</v>
      </c>
      <c r="H440">
        <f>VLOOKUP(Medical_Examinations_2[[#This Row],[Customer ID]],Medical_Examinations!$1:$1048576,9,FALSE)</f>
        <v>2</v>
      </c>
      <c r="I440" t="str">
        <f>VLOOKUP(Medical_Examinations_2[[#This Row],[Customer ID]],Medical_Examinations!$1:$1048576,11,FALSE)</f>
        <v>Yes</v>
      </c>
    </row>
    <row r="441" spans="1:9" x14ac:dyDescent="0.25">
      <c r="A441" s="11" t="s">
        <v>469</v>
      </c>
      <c r="B441" t="str">
        <f>VLOOKUP(Customer_Names!A441,Customer_Names!$1:$1048576,4,FALSE)</f>
        <v>Nichole</v>
      </c>
      <c r="C441">
        <f>VLOOKUP(Medical_Examinations_2[[#This Row],[Customer ID]],Medical_Examinations!$1:$1048576,2,FALSE)</f>
        <v>24.32</v>
      </c>
      <c r="D441">
        <f>VLOOKUP(Medical_Examinations_2[[#This Row],[Customer ID]],Medical_Examinations!$1:$1048576,4,FALSE)</f>
        <v>6.39</v>
      </c>
      <c r="E441" t="str">
        <f>VLOOKUP(Medical_Examinations_2[[#This Row],[Customer ID]],Medical_Examinations!$1:$1048576,6,FALSE)</f>
        <v>No</v>
      </c>
      <c r="H441" t="str">
        <f>VLOOKUP(Medical_Examinations_2[[#This Row],[Customer ID]],Medical_Examinations!$1:$1048576,9,FALSE)</f>
        <v>No major surgery</v>
      </c>
      <c r="I441" t="str">
        <f>VLOOKUP(Medical_Examinations_2[[#This Row],[Customer ID]],Medical_Examinations!$1:$1048576,11,FALSE)</f>
        <v>No</v>
      </c>
    </row>
    <row r="442" spans="1:9" x14ac:dyDescent="0.25">
      <c r="A442" s="10" t="s">
        <v>470</v>
      </c>
      <c r="B442" t="str">
        <f>VLOOKUP(Customer_Names!A442,Customer_Names!$1:$1048576,4,FALSE)</f>
        <v>Denise M</v>
      </c>
      <c r="C442">
        <f>VLOOKUP(Medical_Examinations_2[[#This Row],[Customer ID]],Medical_Examinations!$1:$1048576,2,FALSE)</f>
        <v>22.88</v>
      </c>
      <c r="D442">
        <f>VLOOKUP(Medical_Examinations_2[[#This Row],[Customer ID]],Medical_Examinations!$1:$1048576,4,FALSE)</f>
        <v>5.71</v>
      </c>
      <c r="E442" t="str">
        <f>VLOOKUP(Medical_Examinations_2[[#This Row],[Customer ID]],Medical_Examinations!$1:$1048576,6,FALSE)</f>
        <v>Yes</v>
      </c>
      <c r="H442">
        <f>VLOOKUP(Medical_Examinations_2[[#This Row],[Customer ID]],Medical_Examinations!$1:$1048576,9,FALSE)</f>
        <v>1</v>
      </c>
      <c r="I442" t="str">
        <f>VLOOKUP(Medical_Examinations_2[[#This Row],[Customer ID]],Medical_Examinations!$1:$1048576,11,FALSE)</f>
        <v>Yes</v>
      </c>
    </row>
    <row r="443" spans="1:9" x14ac:dyDescent="0.25">
      <c r="A443" s="11" t="s">
        <v>471</v>
      </c>
      <c r="B443" t="str">
        <f>VLOOKUP(Customer_Names!A443,Customer_Names!$1:$1048576,4,FALSE)</f>
        <v>Peter R.</v>
      </c>
      <c r="C443">
        <f>VLOOKUP(Medical_Examinations_2[[#This Row],[Customer ID]],Medical_Examinations!$1:$1048576,2,FALSE)</f>
        <v>24.984999999999999</v>
      </c>
      <c r="D443">
        <f>VLOOKUP(Medical_Examinations_2[[#This Row],[Customer ID]],Medical_Examinations!$1:$1048576,4,FALSE)</f>
        <v>4.43</v>
      </c>
      <c r="E443" t="str">
        <f>VLOOKUP(Medical_Examinations_2[[#This Row],[Customer ID]],Medical_Examinations!$1:$1048576,6,FALSE)</f>
        <v>Yes</v>
      </c>
      <c r="H443">
        <f>VLOOKUP(Medical_Examinations_2[[#This Row],[Customer ID]],Medical_Examinations!$1:$1048576,9,FALSE)</f>
        <v>1</v>
      </c>
      <c r="I443" t="str">
        <f>VLOOKUP(Medical_Examinations_2[[#This Row],[Customer ID]],Medical_Examinations!$1:$1048576,11,FALSE)</f>
        <v>No</v>
      </c>
    </row>
    <row r="444" spans="1:9" x14ac:dyDescent="0.25">
      <c r="A444" s="10" t="s">
        <v>472</v>
      </c>
      <c r="B444" t="str">
        <f>VLOOKUP(Customer_Names!A444,Customer_Names!$1:$1048576,4,FALSE)</f>
        <v>Johnson K</v>
      </c>
      <c r="C444">
        <f>VLOOKUP(Medical_Examinations_2[[#This Row],[Customer ID]],Medical_Examinations!$1:$1048576,2,FALSE)</f>
        <v>33.1</v>
      </c>
      <c r="D444">
        <f>VLOOKUP(Medical_Examinations_2[[#This Row],[Customer ID]],Medical_Examinations!$1:$1048576,4,FALSE)</f>
        <v>5.52</v>
      </c>
      <c r="E444" t="str">
        <f>VLOOKUP(Medical_Examinations_2[[#This Row],[Customer ID]],Medical_Examinations!$1:$1048576,6,FALSE)</f>
        <v>No</v>
      </c>
      <c r="H444">
        <f>VLOOKUP(Medical_Examinations_2[[#This Row],[Customer ID]],Medical_Examinations!$1:$1048576,9,FALSE)</f>
        <v>1</v>
      </c>
      <c r="I444" t="str">
        <f>VLOOKUP(Medical_Examinations_2[[#This Row],[Customer ID]],Medical_Examinations!$1:$1048576,11,FALSE)</f>
        <v>No</v>
      </c>
    </row>
    <row r="445" spans="1:9" x14ac:dyDescent="0.25">
      <c r="A445" s="11" t="s">
        <v>473</v>
      </c>
      <c r="B445" t="str">
        <f>VLOOKUP(Customer_Names!A445,Customer_Names!$1:$1048576,4,FALSE)</f>
        <v>Katherine</v>
      </c>
      <c r="C445">
        <f>VLOOKUP(Medical_Examinations_2[[#This Row],[Customer ID]],Medical_Examinations!$1:$1048576,2,FALSE)</f>
        <v>27.83</v>
      </c>
      <c r="D445">
        <f>VLOOKUP(Medical_Examinations_2[[#This Row],[Customer ID]],Medical_Examinations!$1:$1048576,4,FALSE)</f>
        <v>9.1999999999999993</v>
      </c>
      <c r="E445" t="str">
        <f>VLOOKUP(Medical_Examinations_2[[#This Row],[Customer ID]],Medical_Examinations!$1:$1048576,6,FALSE)</f>
        <v>Yes</v>
      </c>
      <c r="H445">
        <f>VLOOKUP(Medical_Examinations_2[[#This Row],[Customer ID]],Medical_Examinations!$1:$1048576,9,FALSE)</f>
        <v>1</v>
      </c>
      <c r="I445" t="str">
        <f>VLOOKUP(Medical_Examinations_2[[#This Row],[Customer ID]],Medical_Examinations!$1:$1048576,11,FALSE)</f>
        <v>Yes</v>
      </c>
    </row>
    <row r="446" spans="1:9" x14ac:dyDescent="0.25">
      <c r="A446" s="10" t="s">
        <v>474</v>
      </c>
      <c r="B446" t="str">
        <f>VLOOKUP(Customer_Names!A446,Customer_Names!$1:$1048576,4,FALSE)</f>
        <v>Lynda</v>
      </c>
      <c r="C446">
        <f>VLOOKUP(Medical_Examinations_2[[#This Row],[Customer ID]],Medical_Examinations!$1:$1048576,2,FALSE)</f>
        <v>30.875</v>
      </c>
      <c r="D446">
        <f>VLOOKUP(Medical_Examinations_2[[#This Row],[Customer ID]],Medical_Examinations!$1:$1048576,4,FALSE)</f>
        <v>10.97</v>
      </c>
      <c r="E446" t="str">
        <f>VLOOKUP(Medical_Examinations_2[[#This Row],[Customer ID]],Medical_Examinations!$1:$1048576,6,FALSE)</f>
        <v>Yes</v>
      </c>
      <c r="H446">
        <f>VLOOKUP(Medical_Examinations_2[[#This Row],[Customer ID]],Medical_Examinations!$1:$1048576,9,FALSE)</f>
        <v>2</v>
      </c>
      <c r="I446" t="str">
        <f>VLOOKUP(Medical_Examinations_2[[#This Row],[Customer ID]],Medical_Examinations!$1:$1048576,11,FALSE)</f>
        <v>No</v>
      </c>
    </row>
    <row r="447" spans="1:9" x14ac:dyDescent="0.25">
      <c r="A447" s="11" t="s">
        <v>475</v>
      </c>
      <c r="B447" t="str">
        <f>VLOOKUP(Customer_Names!A447,Customer_Names!$1:$1048576,4,FALSE)</f>
        <v>Anthony</v>
      </c>
      <c r="C447">
        <f>VLOOKUP(Medical_Examinations_2[[#This Row],[Customer ID]],Medical_Examinations!$1:$1048576,2,FALSE)</f>
        <v>27.265000000000001</v>
      </c>
      <c r="D447">
        <f>VLOOKUP(Medical_Examinations_2[[#This Row],[Customer ID]],Medical_Examinations!$1:$1048576,4,FALSE)</f>
        <v>4.25</v>
      </c>
      <c r="E447" t="str">
        <f>VLOOKUP(Medical_Examinations_2[[#This Row],[Customer ID]],Medical_Examinations!$1:$1048576,6,FALSE)</f>
        <v>No</v>
      </c>
      <c r="H447">
        <f>VLOOKUP(Medical_Examinations_2[[#This Row],[Customer ID]],Medical_Examinations!$1:$1048576,9,FALSE)</f>
        <v>1</v>
      </c>
      <c r="I447" t="str">
        <f>VLOOKUP(Medical_Examinations_2[[#This Row],[Customer ID]],Medical_Examinations!$1:$1048576,11,FALSE)</f>
        <v>No</v>
      </c>
    </row>
    <row r="448" spans="1:9" x14ac:dyDescent="0.25">
      <c r="A448" s="10" t="s">
        <v>476</v>
      </c>
      <c r="B448" t="str">
        <f>VLOOKUP(Customer_Names!A448,Customer_Names!$1:$1048576,4,FALSE)</f>
        <v>Linnea C.</v>
      </c>
      <c r="C448">
        <f>VLOOKUP(Medical_Examinations_2[[#This Row],[Customer ID]],Medical_Examinations!$1:$1048576,2,FALSE)</f>
        <v>26.7</v>
      </c>
      <c r="D448">
        <f>VLOOKUP(Medical_Examinations_2[[#This Row],[Customer ID]],Medical_Examinations!$1:$1048576,4,FALSE)</f>
        <v>5.23</v>
      </c>
      <c r="E448" t="str">
        <f>VLOOKUP(Medical_Examinations_2[[#This Row],[Customer ID]],Medical_Examinations!$1:$1048576,6,FALSE)</f>
        <v>No</v>
      </c>
      <c r="H448">
        <f>VLOOKUP(Medical_Examinations_2[[#This Row],[Customer ID]],Medical_Examinations!$1:$1048576,9,FALSE)</f>
        <v>1</v>
      </c>
      <c r="I448" t="str">
        <f>VLOOKUP(Medical_Examinations_2[[#This Row],[Customer ID]],Medical_Examinations!$1:$1048576,11,FALSE)</f>
        <v>Yes</v>
      </c>
    </row>
    <row r="449" spans="1:9" x14ac:dyDescent="0.25">
      <c r="A449" s="11" t="s">
        <v>477</v>
      </c>
      <c r="B449" t="str">
        <f>VLOOKUP(Customer_Names!A449,Customer_Names!$1:$1048576,4,FALSE)</f>
        <v>Massimiliano A.</v>
      </c>
      <c r="C449">
        <f>VLOOKUP(Medical_Examinations_2[[#This Row],[Customer ID]],Medical_Examinations!$1:$1048576,2,FALSE)</f>
        <v>29.925000000000001</v>
      </c>
      <c r="D449">
        <f>VLOOKUP(Medical_Examinations_2[[#This Row],[Customer ID]],Medical_Examinations!$1:$1048576,4,FALSE)</f>
        <v>5.96</v>
      </c>
      <c r="E449" t="str">
        <f>VLOOKUP(Medical_Examinations_2[[#This Row],[Customer ID]],Medical_Examinations!$1:$1048576,6,FALSE)</f>
        <v>Yes</v>
      </c>
      <c r="H449">
        <f>VLOOKUP(Medical_Examinations_2[[#This Row],[Customer ID]],Medical_Examinations!$1:$1048576,9,FALSE)</f>
        <v>1</v>
      </c>
      <c r="I449" t="str">
        <f>VLOOKUP(Medical_Examinations_2[[#This Row],[Customer ID]],Medical_Examinations!$1:$1048576,11,FALSE)</f>
        <v>Yes</v>
      </c>
    </row>
    <row r="450" spans="1:9" x14ac:dyDescent="0.25">
      <c r="A450" s="10" t="s">
        <v>478</v>
      </c>
      <c r="B450" t="str">
        <f>VLOOKUP(Customer_Names!A450,Customer_Names!$1:$1048576,4,FALSE)</f>
        <v>James M.</v>
      </c>
      <c r="C450">
        <f>VLOOKUP(Medical_Examinations_2[[#This Row],[Customer ID]],Medical_Examinations!$1:$1048576,2,FALSE)</f>
        <v>19.95</v>
      </c>
      <c r="D450">
        <f>VLOOKUP(Medical_Examinations_2[[#This Row],[Customer ID]],Medical_Examinations!$1:$1048576,4,FALSE)</f>
        <v>4.29</v>
      </c>
      <c r="E450" t="str">
        <f>VLOOKUP(Medical_Examinations_2[[#This Row],[Customer ID]],Medical_Examinations!$1:$1048576,6,FALSE)</f>
        <v>Yes</v>
      </c>
      <c r="H450">
        <f>VLOOKUP(Medical_Examinations_2[[#This Row],[Customer ID]],Medical_Examinations!$1:$1048576,9,FALSE)</f>
        <v>2</v>
      </c>
      <c r="I450" t="str">
        <f>VLOOKUP(Medical_Examinations_2[[#This Row],[Customer ID]],Medical_Examinations!$1:$1048576,11,FALSE)</f>
        <v>Yes</v>
      </c>
    </row>
    <row r="451" spans="1:9" x14ac:dyDescent="0.25">
      <c r="A451" s="11" t="s">
        <v>479</v>
      </c>
      <c r="B451" t="str">
        <f>VLOOKUP(Customer_Names!A451,Customer_Names!$1:$1048576,4,FALSE)</f>
        <v>Lauren</v>
      </c>
      <c r="C451">
        <f>VLOOKUP(Medical_Examinations_2[[#This Row],[Customer ID]],Medical_Examinations!$1:$1048576,2,FALSE)</f>
        <v>24.225000000000001</v>
      </c>
      <c r="D451">
        <f>VLOOKUP(Medical_Examinations_2[[#This Row],[Customer ID]],Medical_Examinations!$1:$1048576,4,FALSE)</f>
        <v>4.09</v>
      </c>
      <c r="E451" t="str">
        <f>VLOOKUP(Medical_Examinations_2[[#This Row],[Customer ID]],Medical_Examinations!$1:$1048576,6,FALSE)</f>
        <v>No</v>
      </c>
      <c r="H451" t="str">
        <f>VLOOKUP(Medical_Examinations_2[[#This Row],[Customer ID]],Medical_Examinations!$1:$1048576,9,FALSE)</f>
        <v>No major surgery</v>
      </c>
      <c r="I451" t="str">
        <f>VLOOKUP(Medical_Examinations_2[[#This Row],[Customer ID]],Medical_Examinations!$1:$1048576,11,FALSE)</f>
        <v>No</v>
      </c>
    </row>
    <row r="452" spans="1:9" x14ac:dyDescent="0.25">
      <c r="A452" s="10" t="s">
        <v>480</v>
      </c>
      <c r="B452" t="str">
        <f>VLOOKUP(Customer_Names!A452,Customer_Names!$1:$1048576,4,FALSE)</f>
        <v>Michele V.</v>
      </c>
      <c r="C452">
        <f>VLOOKUP(Medical_Examinations_2[[#This Row],[Customer ID]],Medical_Examinations!$1:$1048576,2,FALSE)</f>
        <v>28.12</v>
      </c>
      <c r="D452">
        <f>VLOOKUP(Medical_Examinations_2[[#This Row],[Customer ID]],Medical_Examinations!$1:$1048576,4,FALSE)</f>
        <v>4.88</v>
      </c>
      <c r="E452" t="str">
        <f>VLOOKUP(Medical_Examinations_2[[#This Row],[Customer ID]],Medical_Examinations!$1:$1048576,6,FALSE)</f>
        <v>No</v>
      </c>
      <c r="H452" t="str">
        <f>VLOOKUP(Medical_Examinations_2[[#This Row],[Customer ID]],Medical_Examinations!$1:$1048576,9,FALSE)</f>
        <v>No major surgery</v>
      </c>
      <c r="I452" t="str">
        <f>VLOOKUP(Medical_Examinations_2[[#This Row],[Customer ID]],Medical_Examinations!$1:$1048576,11,FALSE)</f>
        <v>Yes</v>
      </c>
    </row>
    <row r="453" spans="1:9" x14ac:dyDescent="0.25">
      <c r="A453" s="11" t="s">
        <v>481</v>
      </c>
      <c r="B453" t="str">
        <f>VLOOKUP(Customer_Names!A453,Customer_Names!$1:$1048576,4,FALSE)</f>
        <v>Xiao</v>
      </c>
      <c r="C453">
        <f>VLOOKUP(Medical_Examinations_2[[#This Row],[Customer ID]],Medical_Examinations!$1:$1048576,2,FALSE)</f>
        <v>23.21</v>
      </c>
      <c r="D453">
        <f>VLOOKUP(Medical_Examinations_2[[#This Row],[Customer ID]],Medical_Examinations!$1:$1048576,4,FALSE)</f>
        <v>6.76</v>
      </c>
      <c r="E453" t="str">
        <f>VLOOKUP(Medical_Examinations_2[[#This Row],[Customer ID]],Medical_Examinations!$1:$1048576,6,FALSE)</f>
        <v>No</v>
      </c>
      <c r="H453" t="str">
        <f>VLOOKUP(Medical_Examinations_2[[#This Row],[Customer ID]],Medical_Examinations!$1:$1048576,9,FALSE)</f>
        <v>No major surgery</v>
      </c>
      <c r="I453" t="str">
        <f>VLOOKUP(Medical_Examinations_2[[#This Row],[Customer ID]],Medical_Examinations!$1:$1048576,11,FALSE)</f>
        <v>Yes</v>
      </c>
    </row>
    <row r="454" spans="1:9" x14ac:dyDescent="0.25">
      <c r="A454" s="10" t="s">
        <v>482</v>
      </c>
      <c r="B454" t="str">
        <f>VLOOKUP(Customer_Names!A454,Customer_Names!$1:$1048576,4,FALSE)</f>
        <v>Harper L</v>
      </c>
      <c r="C454">
        <f>VLOOKUP(Medical_Examinations_2[[#This Row],[Customer ID]],Medical_Examinations!$1:$1048576,2,FALSE)</f>
        <v>23.98</v>
      </c>
      <c r="D454">
        <f>VLOOKUP(Medical_Examinations_2[[#This Row],[Customer ID]],Medical_Examinations!$1:$1048576,4,FALSE)</f>
        <v>10.67</v>
      </c>
      <c r="E454" t="str">
        <f>VLOOKUP(Medical_Examinations_2[[#This Row],[Customer ID]],Medical_Examinations!$1:$1048576,6,FALSE)</f>
        <v>No</v>
      </c>
      <c r="H454" t="str">
        <f>VLOOKUP(Medical_Examinations_2[[#This Row],[Customer ID]],Medical_Examinations!$1:$1048576,9,FALSE)</f>
        <v>No major surgery</v>
      </c>
      <c r="I454" t="str">
        <f>VLOOKUP(Medical_Examinations_2[[#This Row],[Customer ID]],Medical_Examinations!$1:$1048576,11,FALSE)</f>
        <v>No</v>
      </c>
    </row>
    <row r="455" spans="1:9" x14ac:dyDescent="0.25">
      <c r="A455" s="11" t="s">
        <v>483</v>
      </c>
      <c r="B455" t="str">
        <f>VLOOKUP(Customer_Names!A455,Customer_Names!$1:$1048576,4,FALSE)</f>
        <v>Nick</v>
      </c>
      <c r="C455">
        <f>VLOOKUP(Medical_Examinations_2[[#This Row],[Customer ID]],Medical_Examinations!$1:$1048576,2,FALSE)</f>
        <v>30</v>
      </c>
      <c r="D455">
        <f>VLOOKUP(Medical_Examinations_2[[#This Row],[Customer ID]],Medical_Examinations!$1:$1048576,4,FALSE)</f>
        <v>6.21</v>
      </c>
      <c r="E455" t="str">
        <f>VLOOKUP(Medical_Examinations_2[[#This Row],[Customer ID]],Medical_Examinations!$1:$1048576,6,FALSE)</f>
        <v>No</v>
      </c>
      <c r="H455" t="str">
        <f>VLOOKUP(Medical_Examinations_2[[#This Row],[Customer ID]],Medical_Examinations!$1:$1048576,9,FALSE)</f>
        <v>No major surgery</v>
      </c>
      <c r="I455" t="str">
        <f>VLOOKUP(Medical_Examinations_2[[#This Row],[Customer ID]],Medical_Examinations!$1:$1048576,11,FALSE)</f>
        <v>Yes</v>
      </c>
    </row>
    <row r="456" spans="1:9" x14ac:dyDescent="0.25">
      <c r="A456" s="10" t="s">
        <v>484</v>
      </c>
      <c r="B456" t="str">
        <f>VLOOKUP(Customer_Names!A456,Customer_Names!$1:$1048576,4,FALSE)</f>
        <v>Scott</v>
      </c>
      <c r="C456">
        <f>VLOOKUP(Medical_Examinations_2[[#This Row],[Customer ID]],Medical_Examinations!$1:$1048576,2,FALSE)</f>
        <v>17.350000000000001</v>
      </c>
      <c r="D456">
        <f>VLOOKUP(Medical_Examinations_2[[#This Row],[Customer ID]],Medical_Examinations!$1:$1048576,4,FALSE)</f>
        <v>5.03</v>
      </c>
      <c r="E456" t="str">
        <f>VLOOKUP(Medical_Examinations_2[[#This Row],[Customer ID]],Medical_Examinations!$1:$1048576,6,FALSE)</f>
        <v>Yes</v>
      </c>
      <c r="H456" t="str">
        <f>VLOOKUP(Medical_Examinations_2[[#This Row],[Customer ID]],Medical_Examinations!$1:$1048576,9,FALSE)</f>
        <v>No major surgery</v>
      </c>
      <c r="I456" t="str">
        <f>VLOOKUP(Medical_Examinations_2[[#This Row],[Customer ID]],Medical_Examinations!$1:$1048576,11,FALSE)</f>
        <v>Yes</v>
      </c>
    </row>
    <row r="457" spans="1:9" x14ac:dyDescent="0.25">
      <c r="A457" s="11" t="s">
        <v>485</v>
      </c>
      <c r="B457" t="str">
        <f>VLOOKUP(Customer_Names!A457,Customer_Names!$1:$1048576,4,FALSE)</f>
        <v>Wilson</v>
      </c>
      <c r="C457">
        <f>VLOOKUP(Medical_Examinations_2[[#This Row],[Customer ID]],Medical_Examinations!$1:$1048576,2,FALSE)</f>
        <v>22.704999999999998</v>
      </c>
      <c r="D457">
        <f>VLOOKUP(Medical_Examinations_2[[#This Row],[Customer ID]],Medical_Examinations!$1:$1048576,4,FALSE)</f>
        <v>5.27</v>
      </c>
      <c r="E457" t="str">
        <f>VLOOKUP(Medical_Examinations_2[[#This Row],[Customer ID]],Medical_Examinations!$1:$1048576,6,FALSE)</f>
        <v>No</v>
      </c>
      <c r="H457" t="str">
        <f>VLOOKUP(Medical_Examinations_2[[#This Row],[Customer ID]],Medical_Examinations!$1:$1048576,9,FALSE)</f>
        <v>No major surgery</v>
      </c>
      <c r="I457" t="str">
        <f>VLOOKUP(Medical_Examinations_2[[#This Row],[Customer ID]],Medical_Examinations!$1:$1048576,11,FALSE)</f>
        <v>No</v>
      </c>
    </row>
    <row r="458" spans="1:9" x14ac:dyDescent="0.25">
      <c r="A458" s="10" t="s">
        <v>486</v>
      </c>
      <c r="B458" t="str">
        <f>VLOOKUP(Customer_Names!A458,Customer_Names!$1:$1048576,4,FALSE)</f>
        <v>Lee</v>
      </c>
      <c r="C458">
        <f>VLOOKUP(Medical_Examinations_2[[#This Row],[Customer ID]],Medical_Examinations!$1:$1048576,2,FALSE)</f>
        <v>25.41</v>
      </c>
      <c r="D458">
        <f>VLOOKUP(Medical_Examinations_2[[#This Row],[Customer ID]],Medical_Examinations!$1:$1048576,4,FALSE)</f>
        <v>10.53</v>
      </c>
      <c r="E458" t="str">
        <f>VLOOKUP(Medical_Examinations_2[[#This Row],[Customer ID]],Medical_Examinations!$1:$1048576,6,FALSE)</f>
        <v>Yes</v>
      </c>
      <c r="H458">
        <f>VLOOKUP(Medical_Examinations_2[[#This Row],[Customer ID]],Medical_Examinations!$1:$1048576,9,FALSE)</f>
        <v>1</v>
      </c>
      <c r="I458" t="str">
        <f>VLOOKUP(Medical_Examinations_2[[#This Row],[Customer ID]],Medical_Examinations!$1:$1048576,11,FALSE)</f>
        <v>Yes</v>
      </c>
    </row>
    <row r="459" spans="1:9" x14ac:dyDescent="0.25">
      <c r="A459" s="11" t="s">
        <v>487</v>
      </c>
      <c r="B459" t="str">
        <f>VLOOKUP(Customer_Names!A459,Customer_Names!$1:$1048576,4,FALSE)</f>
        <v>Shizhong</v>
      </c>
      <c r="C459">
        <f>VLOOKUP(Medical_Examinations_2[[#This Row],[Customer ID]],Medical_Examinations!$1:$1048576,2,FALSE)</f>
        <v>18.23</v>
      </c>
      <c r="D459">
        <f>VLOOKUP(Medical_Examinations_2[[#This Row],[Customer ID]],Medical_Examinations!$1:$1048576,4,FALSE)</f>
        <v>5.78</v>
      </c>
      <c r="E459" t="str">
        <f>VLOOKUP(Medical_Examinations_2[[#This Row],[Customer ID]],Medical_Examinations!$1:$1048576,6,FALSE)</f>
        <v>No</v>
      </c>
      <c r="H459">
        <f>VLOOKUP(Medical_Examinations_2[[#This Row],[Customer ID]],Medical_Examinations!$1:$1048576,9,FALSE)</f>
        <v>1</v>
      </c>
      <c r="I459" t="str">
        <f>VLOOKUP(Medical_Examinations_2[[#This Row],[Customer ID]],Medical_Examinations!$1:$1048576,11,FALSE)</f>
        <v>Yes</v>
      </c>
    </row>
    <row r="460" spans="1:9" x14ac:dyDescent="0.25">
      <c r="A460" s="10" t="s">
        <v>488</v>
      </c>
      <c r="B460" t="str">
        <f>VLOOKUP(Customer_Names!A460,Customer_Names!$1:$1048576,4,FALSE)</f>
        <v>Marie-Claire</v>
      </c>
      <c r="C460">
        <f>VLOOKUP(Medical_Examinations_2[[#This Row],[Customer ID]],Medical_Examinations!$1:$1048576,2,FALSE)</f>
        <v>24.7</v>
      </c>
      <c r="D460">
        <f>VLOOKUP(Medical_Examinations_2[[#This Row],[Customer ID]],Medical_Examinations!$1:$1048576,4,FALSE)</f>
        <v>4.3600000000000003</v>
      </c>
      <c r="E460" t="str">
        <f>VLOOKUP(Medical_Examinations_2[[#This Row],[Customer ID]],Medical_Examinations!$1:$1048576,6,FALSE)</f>
        <v>No</v>
      </c>
      <c r="H460">
        <f>VLOOKUP(Medical_Examinations_2[[#This Row],[Customer ID]],Medical_Examinations!$1:$1048576,9,FALSE)</f>
        <v>1</v>
      </c>
      <c r="I460" t="str">
        <f>VLOOKUP(Medical_Examinations_2[[#This Row],[Customer ID]],Medical_Examinations!$1:$1048576,11,FALSE)</f>
        <v>Yes</v>
      </c>
    </row>
    <row r="461" spans="1:9" x14ac:dyDescent="0.25">
      <c r="A461" s="11" t="s">
        <v>489</v>
      </c>
      <c r="B461" t="str">
        <f>VLOOKUP(Customer_Names!A461,Customer_Names!$1:$1048576,4,FALSE)</f>
        <v>Todd J.</v>
      </c>
      <c r="C461">
        <f>VLOOKUP(Medical_Examinations_2[[#This Row],[Customer ID]],Medical_Examinations!$1:$1048576,2,FALSE)</f>
        <v>37.4</v>
      </c>
      <c r="D461">
        <f>VLOOKUP(Medical_Examinations_2[[#This Row],[Customer ID]],Medical_Examinations!$1:$1048576,4,FALSE)</f>
        <v>9.7200000000000006</v>
      </c>
      <c r="E461" t="str">
        <f>VLOOKUP(Medical_Examinations_2[[#This Row],[Customer ID]],Medical_Examinations!$1:$1048576,6,FALSE)</f>
        <v>Yes</v>
      </c>
      <c r="H461">
        <f>VLOOKUP(Medical_Examinations_2[[#This Row],[Customer ID]],Medical_Examinations!$1:$1048576,9,FALSE)</f>
        <v>1</v>
      </c>
      <c r="I461" t="str">
        <f>VLOOKUP(Medical_Examinations_2[[#This Row],[Customer ID]],Medical_Examinations!$1:$1048576,11,FALSE)</f>
        <v>No</v>
      </c>
    </row>
    <row r="462" spans="1:9" x14ac:dyDescent="0.25">
      <c r="A462" s="10" t="s">
        <v>490</v>
      </c>
      <c r="B462" t="str">
        <f>VLOOKUP(Customer_Names!A462,Customer_Names!$1:$1048576,4,FALSE)</f>
        <v>Carolyn</v>
      </c>
      <c r="C462">
        <f>VLOOKUP(Medical_Examinations_2[[#This Row],[Customer ID]],Medical_Examinations!$1:$1048576,2,FALSE)</f>
        <v>26.885000000000002</v>
      </c>
      <c r="D462">
        <f>VLOOKUP(Medical_Examinations_2[[#This Row],[Customer ID]],Medical_Examinations!$1:$1048576,4,FALSE)</f>
        <v>5.18</v>
      </c>
      <c r="E462" t="str">
        <f>VLOOKUP(Medical_Examinations_2[[#This Row],[Customer ID]],Medical_Examinations!$1:$1048576,6,FALSE)</f>
        <v>No</v>
      </c>
      <c r="H462">
        <f>VLOOKUP(Medical_Examinations_2[[#This Row],[Customer ID]],Medical_Examinations!$1:$1048576,9,FALSE)</f>
        <v>1</v>
      </c>
      <c r="I462" t="str">
        <f>VLOOKUP(Medical_Examinations_2[[#This Row],[Customer ID]],Medical_Examinations!$1:$1048576,11,FALSE)</f>
        <v>Yes</v>
      </c>
    </row>
    <row r="463" spans="1:9" x14ac:dyDescent="0.25">
      <c r="A463" s="11" t="s">
        <v>491</v>
      </c>
      <c r="B463" t="str">
        <f>VLOOKUP(Customer_Names!A463,Customer_Names!$1:$1048576,4,FALSE)</f>
        <v>Lindsey</v>
      </c>
      <c r="C463">
        <f>VLOOKUP(Medical_Examinations_2[[#This Row],[Customer ID]],Medical_Examinations!$1:$1048576,2,FALSE)</f>
        <v>25.27</v>
      </c>
      <c r="D463">
        <f>VLOOKUP(Medical_Examinations_2[[#This Row],[Customer ID]],Medical_Examinations!$1:$1048576,4,FALSE)</f>
        <v>5.29</v>
      </c>
      <c r="E463" t="str">
        <f>VLOOKUP(Medical_Examinations_2[[#This Row],[Customer ID]],Medical_Examinations!$1:$1048576,6,FALSE)</f>
        <v>No</v>
      </c>
      <c r="H463">
        <f>VLOOKUP(Medical_Examinations_2[[#This Row],[Customer ID]],Medical_Examinations!$1:$1048576,9,FALSE)</f>
        <v>1</v>
      </c>
      <c r="I463" t="str">
        <f>VLOOKUP(Medical_Examinations_2[[#This Row],[Customer ID]],Medical_Examinations!$1:$1048576,11,FALSE)</f>
        <v>Yes</v>
      </c>
    </row>
    <row r="464" spans="1:9" x14ac:dyDescent="0.25">
      <c r="A464" s="10" t="s">
        <v>492</v>
      </c>
      <c r="B464" t="str">
        <f>VLOOKUP(Customer_Names!A464,Customer_Names!$1:$1048576,4,FALSE)</f>
        <v>Marissa D</v>
      </c>
      <c r="C464">
        <f>VLOOKUP(Medical_Examinations_2[[#This Row],[Customer ID]],Medical_Examinations!$1:$1048576,2,FALSE)</f>
        <v>23.655000000000001</v>
      </c>
      <c r="D464">
        <f>VLOOKUP(Medical_Examinations_2[[#This Row],[Customer ID]],Medical_Examinations!$1:$1048576,4,FALSE)</f>
        <v>4.8600000000000003</v>
      </c>
      <c r="E464" t="str">
        <f>VLOOKUP(Medical_Examinations_2[[#This Row],[Customer ID]],Medical_Examinations!$1:$1048576,6,FALSE)</f>
        <v>Yes</v>
      </c>
      <c r="H464" t="str">
        <f>VLOOKUP(Medical_Examinations_2[[#This Row],[Customer ID]],Medical_Examinations!$1:$1048576,9,FALSE)</f>
        <v>No major surgery</v>
      </c>
      <c r="I464" t="str">
        <f>VLOOKUP(Medical_Examinations_2[[#This Row],[Customer ID]],Medical_Examinations!$1:$1048576,11,FALSE)</f>
        <v>Yes</v>
      </c>
    </row>
    <row r="465" spans="1:9" x14ac:dyDescent="0.25">
      <c r="A465" s="11" t="s">
        <v>493</v>
      </c>
      <c r="B465" t="str">
        <f>VLOOKUP(Customer_Names!A465,Customer_Names!$1:$1048576,4,FALSE)</f>
        <v>Jean Luc</v>
      </c>
      <c r="C465">
        <f>VLOOKUP(Medical_Examinations_2[[#This Row],[Customer ID]],Medical_Examinations!$1:$1048576,2,FALSE)</f>
        <v>55.05</v>
      </c>
      <c r="D465">
        <f>VLOOKUP(Medical_Examinations_2[[#This Row],[Customer ID]],Medical_Examinations!$1:$1048576,4,FALSE)</f>
        <v>7.66</v>
      </c>
      <c r="E465" t="str">
        <f>VLOOKUP(Medical_Examinations_2[[#This Row],[Customer ID]],Medical_Examinations!$1:$1048576,6,FALSE)</f>
        <v>No</v>
      </c>
      <c r="H465" t="str">
        <f>VLOOKUP(Medical_Examinations_2[[#This Row],[Customer ID]],Medical_Examinations!$1:$1048576,9,FALSE)</f>
        <v>No major surgery</v>
      </c>
      <c r="I465" t="str">
        <f>VLOOKUP(Medical_Examinations_2[[#This Row],[Customer ID]],Medical_Examinations!$1:$1048576,11,FALSE)</f>
        <v>No</v>
      </c>
    </row>
    <row r="466" spans="1:9" x14ac:dyDescent="0.25">
      <c r="A466" s="10" t="s">
        <v>494</v>
      </c>
      <c r="B466" t="str">
        <f>VLOOKUP(Customer_Names!A466,Customer_Names!$1:$1048576,4,FALSE)</f>
        <v>Danielle</v>
      </c>
      <c r="C466">
        <f>VLOOKUP(Medical_Examinations_2[[#This Row],[Customer ID]],Medical_Examinations!$1:$1048576,2,FALSE)</f>
        <v>24.89</v>
      </c>
      <c r="D466">
        <f>VLOOKUP(Medical_Examinations_2[[#This Row],[Customer ID]],Medical_Examinations!$1:$1048576,4,FALSE)</f>
        <v>6.1</v>
      </c>
      <c r="E466" t="str">
        <f>VLOOKUP(Medical_Examinations_2[[#This Row],[Customer ID]],Medical_Examinations!$1:$1048576,6,FALSE)</f>
        <v>Yes</v>
      </c>
      <c r="H466">
        <f>VLOOKUP(Medical_Examinations_2[[#This Row],[Customer ID]],Medical_Examinations!$1:$1048576,9,FALSE)</f>
        <v>1</v>
      </c>
      <c r="I466" t="str">
        <f>VLOOKUP(Medical_Examinations_2[[#This Row],[Customer ID]],Medical_Examinations!$1:$1048576,11,FALSE)</f>
        <v>Yes</v>
      </c>
    </row>
    <row r="467" spans="1:9" x14ac:dyDescent="0.25">
      <c r="A467" s="11" t="s">
        <v>495</v>
      </c>
      <c r="B467" t="str">
        <f>VLOOKUP(Customer_Names!A467,Customer_Names!$1:$1048576,4,FALSE)</f>
        <v>Jim</v>
      </c>
      <c r="C467">
        <f>VLOOKUP(Medical_Examinations_2[[#This Row],[Customer ID]],Medical_Examinations!$1:$1048576,2,FALSE)</f>
        <v>18.715</v>
      </c>
      <c r="D467">
        <f>VLOOKUP(Medical_Examinations_2[[#This Row],[Customer ID]],Medical_Examinations!$1:$1048576,4,FALSE)</f>
        <v>4.4400000000000004</v>
      </c>
      <c r="E467" t="str">
        <f>VLOOKUP(Medical_Examinations_2[[#This Row],[Customer ID]],Medical_Examinations!$1:$1048576,6,FALSE)</f>
        <v>No</v>
      </c>
      <c r="H467" t="str">
        <f>VLOOKUP(Medical_Examinations_2[[#This Row],[Customer ID]],Medical_Examinations!$1:$1048576,9,FALSE)</f>
        <v>No major surgery</v>
      </c>
      <c r="I467" t="str">
        <f>VLOOKUP(Medical_Examinations_2[[#This Row],[Customer ID]],Medical_Examinations!$1:$1048576,11,FALSE)</f>
        <v>No</v>
      </c>
    </row>
    <row r="468" spans="1:9" x14ac:dyDescent="0.25">
      <c r="A468" s="10" t="s">
        <v>496</v>
      </c>
      <c r="B468" t="str">
        <f>VLOOKUP(Customer_Names!A468,Customer_Names!$1:$1048576,4,FALSE)</f>
        <v>Matthew T</v>
      </c>
      <c r="C468">
        <f>VLOOKUP(Medical_Examinations_2[[#This Row],[Customer ID]],Medical_Examinations!$1:$1048576,2,FALSE)</f>
        <v>28.12</v>
      </c>
      <c r="D468">
        <f>VLOOKUP(Medical_Examinations_2[[#This Row],[Customer ID]],Medical_Examinations!$1:$1048576,4,FALSE)</f>
        <v>6.15</v>
      </c>
      <c r="E468" t="str">
        <f>VLOOKUP(Medical_Examinations_2[[#This Row],[Customer ID]],Medical_Examinations!$1:$1048576,6,FALSE)</f>
        <v>No</v>
      </c>
      <c r="H468" t="str">
        <f>VLOOKUP(Medical_Examinations_2[[#This Row],[Customer ID]],Medical_Examinations!$1:$1048576,9,FALSE)</f>
        <v>No major surgery</v>
      </c>
      <c r="I468" t="str">
        <f>VLOOKUP(Medical_Examinations_2[[#This Row],[Customer ID]],Medical_Examinations!$1:$1048576,11,FALSE)</f>
        <v>Yes</v>
      </c>
    </row>
    <row r="469" spans="1:9" x14ac:dyDescent="0.25">
      <c r="A469" s="11" t="s">
        <v>497</v>
      </c>
      <c r="B469" t="str">
        <f>VLOOKUP(Customer_Names!A469,Customer_Names!$1:$1048576,4,FALSE)</f>
        <v>Rachel L.</v>
      </c>
      <c r="C469">
        <f>VLOOKUP(Medical_Examinations_2[[#This Row],[Customer ID]],Medical_Examinations!$1:$1048576,2,FALSE)</f>
        <v>26.6</v>
      </c>
      <c r="D469">
        <f>VLOOKUP(Medical_Examinations_2[[#This Row],[Customer ID]],Medical_Examinations!$1:$1048576,4,FALSE)</f>
        <v>4.53</v>
      </c>
      <c r="E469" t="str">
        <f>VLOOKUP(Medical_Examinations_2[[#This Row],[Customer ID]],Medical_Examinations!$1:$1048576,6,FALSE)</f>
        <v>No</v>
      </c>
      <c r="H469" t="str">
        <f>VLOOKUP(Medical_Examinations_2[[#This Row],[Customer ID]],Medical_Examinations!$1:$1048576,9,FALSE)</f>
        <v>No major surgery</v>
      </c>
      <c r="I469" t="str">
        <f>VLOOKUP(Medical_Examinations_2[[#This Row],[Customer ID]],Medical_Examinations!$1:$1048576,11,FALSE)</f>
        <v>Yes</v>
      </c>
    </row>
    <row r="470" spans="1:9" x14ac:dyDescent="0.25">
      <c r="A470" s="10" t="s">
        <v>498</v>
      </c>
      <c r="B470" t="str">
        <f>VLOOKUP(Customer_Names!A470,Customer_Names!$1:$1048576,4,FALSE)</f>
        <v>Corina</v>
      </c>
      <c r="C470">
        <f>VLOOKUP(Medical_Examinations_2[[#This Row],[Customer ID]],Medical_Examinations!$1:$1048576,2,FALSE)</f>
        <v>30.114999999999998</v>
      </c>
      <c r="D470">
        <f>VLOOKUP(Medical_Examinations_2[[#This Row],[Customer ID]],Medical_Examinations!$1:$1048576,4,FALSE)</f>
        <v>5.48</v>
      </c>
      <c r="E470" t="str">
        <f>VLOOKUP(Medical_Examinations_2[[#This Row],[Customer ID]],Medical_Examinations!$1:$1048576,6,FALSE)</f>
        <v>No</v>
      </c>
      <c r="H470">
        <f>VLOOKUP(Medical_Examinations_2[[#This Row],[Customer ID]],Medical_Examinations!$1:$1048576,9,FALSE)</f>
        <v>1</v>
      </c>
      <c r="I470" t="str">
        <f>VLOOKUP(Medical_Examinations_2[[#This Row],[Customer ID]],Medical_Examinations!$1:$1048576,11,FALSE)</f>
        <v>No</v>
      </c>
    </row>
    <row r="471" spans="1:9" x14ac:dyDescent="0.25">
      <c r="A471" s="11" t="s">
        <v>499</v>
      </c>
      <c r="B471" t="str">
        <f>VLOOKUP(Customer_Names!A471,Customer_Names!$1:$1048576,4,FALSE)</f>
        <v>Guannan</v>
      </c>
      <c r="C471">
        <f>VLOOKUP(Medical_Examinations_2[[#This Row],[Customer ID]],Medical_Examinations!$1:$1048576,2,FALSE)</f>
        <v>24.605</v>
      </c>
      <c r="D471">
        <f>VLOOKUP(Medical_Examinations_2[[#This Row],[Customer ID]],Medical_Examinations!$1:$1048576,4,FALSE)</f>
        <v>5.48</v>
      </c>
      <c r="E471" t="str">
        <f>VLOOKUP(Medical_Examinations_2[[#This Row],[Customer ID]],Medical_Examinations!$1:$1048576,6,FALSE)</f>
        <v>No</v>
      </c>
      <c r="H471" t="str">
        <f>VLOOKUP(Medical_Examinations_2[[#This Row],[Customer ID]],Medical_Examinations!$1:$1048576,9,FALSE)</f>
        <v>No major surgery</v>
      </c>
      <c r="I471" t="str">
        <f>VLOOKUP(Medical_Examinations_2[[#This Row],[Customer ID]],Medical_Examinations!$1:$1048576,11,FALSE)</f>
        <v>Yes</v>
      </c>
    </row>
    <row r="472" spans="1:9" x14ac:dyDescent="0.25">
      <c r="A472" s="10" t="s">
        <v>500</v>
      </c>
      <c r="B472" t="str">
        <f>VLOOKUP(Customer_Names!A472,Customer_Names!$1:$1048576,4,FALSE)</f>
        <v>Don</v>
      </c>
      <c r="C472">
        <f>VLOOKUP(Medical_Examinations_2[[#This Row],[Customer ID]],Medical_Examinations!$1:$1048576,2,FALSE)</f>
        <v>29.6</v>
      </c>
      <c r="D472">
        <f>VLOOKUP(Medical_Examinations_2[[#This Row],[Customer ID]],Medical_Examinations!$1:$1048576,4,FALSE)</f>
        <v>8.1</v>
      </c>
      <c r="E472" t="str">
        <f>VLOOKUP(Medical_Examinations_2[[#This Row],[Customer ID]],Medical_Examinations!$1:$1048576,6,FALSE)</f>
        <v>No</v>
      </c>
      <c r="H472" t="str">
        <f>VLOOKUP(Medical_Examinations_2[[#This Row],[Customer ID]],Medical_Examinations!$1:$1048576,9,FALSE)</f>
        <v>No major surgery</v>
      </c>
      <c r="I472" t="str">
        <f>VLOOKUP(Medical_Examinations_2[[#This Row],[Customer ID]],Medical_Examinations!$1:$1048576,11,FALSE)</f>
        <v>No</v>
      </c>
    </row>
    <row r="473" spans="1:9" x14ac:dyDescent="0.25">
      <c r="A473" s="11" t="s">
        <v>501</v>
      </c>
      <c r="B473" t="str">
        <f>VLOOKUP(Customer_Names!A473,Customer_Names!$1:$1048576,4,FALSE)</f>
        <v>Chris</v>
      </c>
      <c r="C473">
        <f>VLOOKUP(Medical_Examinations_2[[#This Row],[Customer ID]],Medical_Examinations!$1:$1048576,2,FALSE)</f>
        <v>24.42</v>
      </c>
      <c r="D473">
        <f>VLOOKUP(Medical_Examinations_2[[#This Row],[Customer ID]],Medical_Examinations!$1:$1048576,4,FALSE)</f>
        <v>7.16</v>
      </c>
      <c r="E473" t="str">
        <f>VLOOKUP(Medical_Examinations_2[[#This Row],[Customer ID]],Medical_Examinations!$1:$1048576,6,FALSE)</f>
        <v>No</v>
      </c>
      <c r="H473" t="str">
        <f>VLOOKUP(Medical_Examinations_2[[#This Row],[Customer ID]],Medical_Examinations!$1:$1048576,9,FALSE)</f>
        <v>No major surgery</v>
      </c>
      <c r="I473" t="str">
        <f>VLOOKUP(Medical_Examinations_2[[#This Row],[Customer ID]],Medical_Examinations!$1:$1048576,11,FALSE)</f>
        <v>Yes</v>
      </c>
    </row>
    <row r="474" spans="1:9" x14ac:dyDescent="0.25">
      <c r="A474" s="10" t="s">
        <v>502</v>
      </c>
      <c r="B474" t="str">
        <f>VLOOKUP(Customer_Names!A474,Customer_Names!$1:$1048576,4,FALSE)</f>
        <v>Gavin V.</v>
      </c>
      <c r="C474">
        <f>VLOOKUP(Medical_Examinations_2[[#This Row],[Customer ID]],Medical_Examinations!$1:$1048576,2,FALSE)</f>
        <v>20.9</v>
      </c>
      <c r="D474">
        <f>VLOOKUP(Medical_Examinations_2[[#This Row],[Customer ID]],Medical_Examinations!$1:$1048576,4,FALSE)</f>
        <v>4.55</v>
      </c>
      <c r="E474" t="str">
        <f>VLOOKUP(Medical_Examinations_2[[#This Row],[Customer ID]],Medical_Examinations!$1:$1048576,6,FALSE)</f>
        <v>Yes</v>
      </c>
      <c r="H474">
        <f>VLOOKUP(Medical_Examinations_2[[#This Row],[Customer ID]],Medical_Examinations!$1:$1048576,9,FALSE)</f>
        <v>1</v>
      </c>
      <c r="I474" t="str">
        <f>VLOOKUP(Medical_Examinations_2[[#This Row],[Customer ID]],Medical_Examinations!$1:$1048576,11,FALSE)</f>
        <v>Yes</v>
      </c>
    </row>
    <row r="475" spans="1:9" x14ac:dyDescent="0.25">
      <c r="A475" s="11" t="s">
        <v>503</v>
      </c>
      <c r="B475" t="str">
        <f>VLOOKUP(Customer_Names!A475,Customer_Names!$1:$1048576,4,FALSE)</f>
        <v>David</v>
      </c>
      <c r="C475">
        <f>VLOOKUP(Medical_Examinations_2[[#This Row],[Customer ID]],Medical_Examinations!$1:$1048576,2,FALSE)</f>
        <v>22.895</v>
      </c>
      <c r="D475">
        <f>VLOOKUP(Medical_Examinations_2[[#This Row],[Customer ID]],Medical_Examinations!$1:$1048576,4,FALSE)</f>
        <v>6.03</v>
      </c>
      <c r="E475" t="str">
        <f>VLOOKUP(Medical_Examinations_2[[#This Row],[Customer ID]],Medical_Examinations!$1:$1048576,6,FALSE)</f>
        <v>No</v>
      </c>
      <c r="H475" t="str">
        <f>VLOOKUP(Medical_Examinations_2[[#This Row],[Customer ID]],Medical_Examinations!$1:$1048576,9,FALSE)</f>
        <v>No major surgery</v>
      </c>
      <c r="I475" t="str">
        <f>VLOOKUP(Medical_Examinations_2[[#This Row],[Customer ID]],Medical_Examinations!$1:$1048576,11,FALSE)</f>
        <v>Yes</v>
      </c>
    </row>
    <row r="476" spans="1:9" x14ac:dyDescent="0.25">
      <c r="A476" s="10" t="s">
        <v>504</v>
      </c>
      <c r="B476" t="str">
        <f>VLOOKUP(Customer_Names!A476,Customer_Names!$1:$1048576,4,FALSE)</f>
        <v>Jatin</v>
      </c>
      <c r="C476">
        <f>VLOOKUP(Medical_Examinations_2[[#This Row],[Customer ID]],Medical_Examinations!$1:$1048576,2,FALSE)</f>
        <v>28.3</v>
      </c>
      <c r="D476">
        <f>VLOOKUP(Medical_Examinations_2[[#This Row],[Customer ID]],Medical_Examinations!$1:$1048576,4,FALSE)</f>
        <v>5.47</v>
      </c>
      <c r="E476" t="str">
        <f>VLOOKUP(Medical_Examinations_2[[#This Row],[Customer ID]],Medical_Examinations!$1:$1048576,6,FALSE)</f>
        <v>Yes</v>
      </c>
      <c r="H476">
        <f>VLOOKUP(Medical_Examinations_2[[#This Row],[Customer ID]],Medical_Examinations!$1:$1048576,9,FALSE)</f>
        <v>1</v>
      </c>
      <c r="I476" t="str">
        <f>VLOOKUP(Medical_Examinations_2[[#This Row],[Customer ID]],Medical_Examinations!$1:$1048576,11,FALSE)</f>
        <v>Yes</v>
      </c>
    </row>
    <row r="477" spans="1:9" x14ac:dyDescent="0.25">
      <c r="A477" s="11" t="s">
        <v>505</v>
      </c>
      <c r="B477" t="str">
        <f>VLOOKUP(Customer_Names!A477,Customer_Names!$1:$1048576,4,FALSE)</f>
        <v>J P. II</v>
      </c>
      <c r="C477">
        <f>VLOOKUP(Medical_Examinations_2[[#This Row],[Customer ID]],Medical_Examinations!$1:$1048576,2,FALSE)</f>
        <v>54.3</v>
      </c>
      <c r="D477">
        <f>VLOOKUP(Medical_Examinations_2[[#This Row],[Customer ID]],Medical_Examinations!$1:$1048576,4,FALSE)</f>
        <v>4.1500000000000004</v>
      </c>
      <c r="E477" t="str">
        <f>VLOOKUP(Medical_Examinations_2[[#This Row],[Customer ID]],Medical_Examinations!$1:$1048576,6,FALSE)</f>
        <v>Yes</v>
      </c>
      <c r="H477">
        <f>VLOOKUP(Medical_Examinations_2[[#This Row],[Customer ID]],Medical_Examinations!$1:$1048576,9,FALSE)</f>
        <v>1</v>
      </c>
      <c r="I477" t="str">
        <f>VLOOKUP(Medical_Examinations_2[[#This Row],[Customer ID]],Medical_Examinations!$1:$1048576,11,FALSE)</f>
        <v>No</v>
      </c>
    </row>
    <row r="478" spans="1:9" x14ac:dyDescent="0.25">
      <c r="A478" s="10" t="s">
        <v>506</v>
      </c>
      <c r="B478" t="str">
        <f>VLOOKUP(Customer_Names!A478,Customer_Names!$1:$1048576,4,FALSE)</f>
        <v>Angela M.</v>
      </c>
      <c r="C478">
        <f>VLOOKUP(Medical_Examinations_2[[#This Row],[Customer ID]],Medical_Examinations!$1:$1048576,2,FALSE)</f>
        <v>33.344999999999999</v>
      </c>
      <c r="D478">
        <f>VLOOKUP(Medical_Examinations_2[[#This Row],[Customer ID]],Medical_Examinations!$1:$1048576,4,FALSE)</f>
        <v>11.32</v>
      </c>
      <c r="E478" t="str">
        <f>VLOOKUP(Medical_Examinations_2[[#This Row],[Customer ID]],Medical_Examinations!$1:$1048576,6,FALSE)</f>
        <v>Yes</v>
      </c>
      <c r="H478">
        <f>VLOOKUP(Medical_Examinations_2[[#This Row],[Customer ID]],Medical_Examinations!$1:$1048576,9,FALSE)</f>
        <v>1</v>
      </c>
      <c r="I478" t="str">
        <f>VLOOKUP(Medical_Examinations_2[[#This Row],[Customer ID]],Medical_Examinations!$1:$1048576,11,FALSE)</f>
        <v>No</v>
      </c>
    </row>
    <row r="479" spans="1:9" x14ac:dyDescent="0.25">
      <c r="A479" s="11" t="s">
        <v>507</v>
      </c>
      <c r="B479" t="str">
        <f>VLOOKUP(Customer_Names!A479,Customer_Names!$1:$1048576,4,FALSE)</f>
        <v>Blake K.</v>
      </c>
      <c r="C479">
        <f>VLOOKUP(Medical_Examinations_2[[#This Row],[Customer ID]],Medical_Examinations!$1:$1048576,2,FALSE)</f>
        <v>33</v>
      </c>
      <c r="D479">
        <f>VLOOKUP(Medical_Examinations_2[[#This Row],[Customer ID]],Medical_Examinations!$1:$1048576,4,FALSE)</f>
        <v>9.51</v>
      </c>
      <c r="E479" t="str">
        <f>VLOOKUP(Medical_Examinations_2[[#This Row],[Customer ID]],Medical_Examinations!$1:$1048576,6,FALSE)</f>
        <v>Yes</v>
      </c>
      <c r="H479" t="str">
        <f>VLOOKUP(Medical_Examinations_2[[#This Row],[Customer ID]],Medical_Examinations!$1:$1048576,9,FALSE)</f>
        <v>No major surgery</v>
      </c>
      <c r="I479" t="str">
        <f>VLOOKUP(Medical_Examinations_2[[#This Row],[Customer ID]],Medical_Examinations!$1:$1048576,11,FALSE)</f>
        <v>No</v>
      </c>
    </row>
    <row r="480" spans="1:9" x14ac:dyDescent="0.25">
      <c r="A480" s="10" t="s">
        <v>508</v>
      </c>
      <c r="B480" t="str">
        <f>VLOOKUP(Customer_Names!A480,Customer_Names!$1:$1048576,4,FALSE)</f>
        <v>Brian T.</v>
      </c>
      <c r="C480">
        <f>VLOOKUP(Medical_Examinations_2[[#This Row],[Customer ID]],Medical_Examinations!$1:$1048576,2,FALSE)</f>
        <v>28.024999999999999</v>
      </c>
      <c r="D480">
        <f>VLOOKUP(Medical_Examinations_2[[#This Row],[Customer ID]],Medical_Examinations!$1:$1048576,4,FALSE)</f>
        <v>7.67</v>
      </c>
      <c r="E480" t="str">
        <f>VLOOKUP(Medical_Examinations_2[[#This Row],[Customer ID]],Medical_Examinations!$1:$1048576,6,FALSE)</f>
        <v>Yes</v>
      </c>
      <c r="H480">
        <f>VLOOKUP(Medical_Examinations_2[[#This Row],[Customer ID]],Medical_Examinations!$1:$1048576,9,FALSE)</f>
        <v>1</v>
      </c>
      <c r="I480" t="str">
        <f>VLOOKUP(Medical_Examinations_2[[#This Row],[Customer ID]],Medical_Examinations!$1:$1048576,11,FALSE)</f>
        <v>Yes</v>
      </c>
    </row>
    <row r="481" spans="1:9" x14ac:dyDescent="0.25">
      <c r="A481" s="11" t="s">
        <v>509</v>
      </c>
      <c r="B481" t="str">
        <f>VLOOKUP(Customer_Names!A481,Customer_Names!$1:$1048576,4,FALSE)</f>
        <v>Damon</v>
      </c>
      <c r="C481">
        <f>VLOOKUP(Medical_Examinations_2[[#This Row],[Customer ID]],Medical_Examinations!$1:$1048576,2,FALSE)</f>
        <v>28.69</v>
      </c>
      <c r="D481">
        <f>VLOOKUP(Medical_Examinations_2[[#This Row],[Customer ID]],Medical_Examinations!$1:$1048576,4,FALSE)</f>
        <v>6.23</v>
      </c>
      <c r="E481" t="str">
        <f>VLOOKUP(Medical_Examinations_2[[#This Row],[Customer ID]],Medical_Examinations!$1:$1048576,6,FALSE)</f>
        <v>No</v>
      </c>
      <c r="H481">
        <f>VLOOKUP(Medical_Examinations_2[[#This Row],[Customer ID]],Medical_Examinations!$1:$1048576,9,FALSE)</f>
        <v>1</v>
      </c>
      <c r="I481" t="str">
        <f>VLOOKUP(Medical_Examinations_2[[#This Row],[Customer ID]],Medical_Examinations!$1:$1048576,11,FALSE)</f>
        <v>Yes</v>
      </c>
    </row>
    <row r="482" spans="1:9" x14ac:dyDescent="0.25">
      <c r="A482" s="10" t="s">
        <v>510</v>
      </c>
      <c r="B482" t="str">
        <f>VLOOKUP(Customer_Names!A482,Customer_Names!$1:$1048576,4,FALSE)</f>
        <v>Jeffrey</v>
      </c>
      <c r="C482">
        <f>VLOOKUP(Medical_Examinations_2[[#This Row],[Customer ID]],Medical_Examinations!$1:$1048576,2,FALSE)</f>
        <v>40.28</v>
      </c>
      <c r="D482">
        <f>VLOOKUP(Medical_Examinations_2[[#This Row],[Customer ID]],Medical_Examinations!$1:$1048576,4,FALSE)</f>
        <v>8.9</v>
      </c>
      <c r="E482" t="str">
        <f>VLOOKUP(Medical_Examinations_2[[#This Row],[Customer ID]],Medical_Examinations!$1:$1048576,6,FALSE)</f>
        <v>No</v>
      </c>
      <c r="H482" t="str">
        <f>VLOOKUP(Medical_Examinations_2[[#This Row],[Customer ID]],Medical_Examinations!$1:$1048576,9,FALSE)</f>
        <v>No major surgery</v>
      </c>
      <c r="I482" t="str">
        <f>VLOOKUP(Medical_Examinations_2[[#This Row],[Customer ID]],Medical_Examinations!$1:$1048576,11,FALSE)</f>
        <v>No</v>
      </c>
    </row>
    <row r="483" spans="1:9" x14ac:dyDescent="0.25">
      <c r="A483" s="11" t="s">
        <v>511</v>
      </c>
      <c r="B483" t="str">
        <f>VLOOKUP(Customer_Names!A483,Customer_Names!$1:$1048576,4,FALSE)</f>
        <v>Malcolm J.</v>
      </c>
      <c r="C483">
        <f>VLOOKUP(Medical_Examinations_2[[#This Row],[Customer ID]],Medical_Examinations!$1:$1048576,2,FALSE)</f>
        <v>37.299999999999997</v>
      </c>
      <c r="D483">
        <f>VLOOKUP(Medical_Examinations_2[[#This Row],[Customer ID]],Medical_Examinations!$1:$1048576,4,FALSE)</f>
        <v>7.79</v>
      </c>
      <c r="E483" t="str">
        <f>VLOOKUP(Medical_Examinations_2[[#This Row],[Customer ID]],Medical_Examinations!$1:$1048576,6,FALSE)</f>
        <v>Yes</v>
      </c>
      <c r="H483" t="str">
        <f>VLOOKUP(Medical_Examinations_2[[#This Row],[Customer ID]],Medical_Examinations!$1:$1048576,9,FALSE)</f>
        <v>No major surgery</v>
      </c>
      <c r="I483" t="str">
        <f>VLOOKUP(Medical_Examinations_2[[#This Row],[Customer ID]],Medical_Examinations!$1:$1048576,11,FALSE)</f>
        <v>No</v>
      </c>
    </row>
    <row r="484" spans="1:9" x14ac:dyDescent="0.25">
      <c r="A484" s="10" t="s">
        <v>512</v>
      </c>
      <c r="B484" t="str">
        <f>VLOOKUP(Customer_Names!A484,Customer_Names!$1:$1048576,4,FALSE)</f>
        <v>Margaret B.</v>
      </c>
      <c r="C484">
        <f>VLOOKUP(Medical_Examinations_2[[#This Row],[Customer ID]],Medical_Examinations!$1:$1048576,2,FALSE)</f>
        <v>54.47</v>
      </c>
      <c r="D484">
        <f>VLOOKUP(Medical_Examinations_2[[#This Row],[Customer ID]],Medical_Examinations!$1:$1048576,4,FALSE)</f>
        <v>4.49</v>
      </c>
      <c r="E484" t="str">
        <f>VLOOKUP(Medical_Examinations_2[[#This Row],[Customer ID]],Medical_Examinations!$1:$1048576,6,FALSE)</f>
        <v>Yes</v>
      </c>
      <c r="H484">
        <f>VLOOKUP(Medical_Examinations_2[[#This Row],[Customer ID]],Medical_Examinations!$1:$1048576,9,FALSE)</f>
        <v>2</v>
      </c>
      <c r="I484" t="str">
        <f>VLOOKUP(Medical_Examinations_2[[#This Row],[Customer ID]],Medical_Examinations!$1:$1048576,11,FALSE)</f>
        <v>No</v>
      </c>
    </row>
    <row r="485" spans="1:9" x14ac:dyDescent="0.25">
      <c r="A485" s="11" t="s">
        <v>513</v>
      </c>
      <c r="B485" t="str">
        <f>VLOOKUP(Customer_Names!A485,Customer_Names!$1:$1048576,4,FALSE)</f>
        <v>Helen</v>
      </c>
      <c r="C485">
        <f>VLOOKUP(Medical_Examinations_2[[#This Row],[Customer ID]],Medical_Examinations!$1:$1048576,2,FALSE)</f>
        <v>38.06</v>
      </c>
      <c r="D485">
        <f>VLOOKUP(Medical_Examinations_2[[#This Row],[Customer ID]],Medical_Examinations!$1:$1048576,4,FALSE)</f>
        <v>5.24</v>
      </c>
      <c r="E485" t="str">
        <f>VLOOKUP(Medical_Examinations_2[[#This Row],[Customer ID]],Medical_Examinations!$1:$1048576,6,FALSE)</f>
        <v>Yes</v>
      </c>
      <c r="H485">
        <f>VLOOKUP(Medical_Examinations_2[[#This Row],[Customer ID]],Medical_Examinations!$1:$1048576,9,FALSE)</f>
        <v>1</v>
      </c>
      <c r="I485" t="str">
        <f>VLOOKUP(Medical_Examinations_2[[#This Row],[Customer ID]],Medical_Examinations!$1:$1048576,11,FALSE)</f>
        <v>No</v>
      </c>
    </row>
    <row r="486" spans="1:9" x14ac:dyDescent="0.25">
      <c r="A486" s="10" t="s">
        <v>514</v>
      </c>
      <c r="B486" t="str">
        <f>VLOOKUP(Customer_Names!A486,Customer_Names!$1:$1048576,4,FALSE)</f>
        <v>Matthew</v>
      </c>
      <c r="C486">
        <f>VLOOKUP(Medical_Examinations_2[[#This Row],[Customer ID]],Medical_Examinations!$1:$1048576,2,FALSE)</f>
        <v>51.47</v>
      </c>
      <c r="D486">
        <f>VLOOKUP(Medical_Examinations_2[[#This Row],[Customer ID]],Medical_Examinations!$1:$1048576,4,FALSE)</f>
        <v>9.6</v>
      </c>
      <c r="E486" t="str">
        <f>VLOOKUP(Medical_Examinations_2[[#This Row],[Customer ID]],Medical_Examinations!$1:$1048576,6,FALSE)</f>
        <v>No</v>
      </c>
      <c r="H486" t="str">
        <f>VLOOKUP(Medical_Examinations_2[[#This Row],[Customer ID]],Medical_Examinations!$1:$1048576,9,FALSE)</f>
        <v>No major surgery</v>
      </c>
      <c r="I486" t="str">
        <f>VLOOKUP(Medical_Examinations_2[[#This Row],[Customer ID]],Medical_Examinations!$1:$1048576,11,FALSE)</f>
        <v>No</v>
      </c>
    </row>
    <row r="487" spans="1:9" x14ac:dyDescent="0.25">
      <c r="A487" s="11" t="s">
        <v>516</v>
      </c>
      <c r="B487" t="str">
        <f>VLOOKUP(Customer_Names!A487,Customer_Names!$1:$1048576,4,FALSE)</f>
        <v>Jeff</v>
      </c>
      <c r="C487">
        <f>VLOOKUP(Medical_Examinations_2[[#This Row],[Customer ID]],Medical_Examinations!$1:$1048576,2,FALSE)</f>
        <v>29.8</v>
      </c>
      <c r="D487">
        <f>VLOOKUP(Medical_Examinations_2[[#This Row],[Customer ID]],Medical_Examinations!$1:$1048576,4,FALSE)</f>
        <v>5.78</v>
      </c>
      <c r="E487" t="str">
        <f>VLOOKUP(Medical_Examinations_2[[#This Row],[Customer ID]],Medical_Examinations!$1:$1048576,6,FALSE)</f>
        <v>Yes</v>
      </c>
      <c r="H487" t="str">
        <f>VLOOKUP(Medical_Examinations_2[[#This Row],[Customer ID]],Medical_Examinations!$1:$1048576,9,FALSE)</f>
        <v>No major surgery</v>
      </c>
      <c r="I487" t="str">
        <f>VLOOKUP(Medical_Examinations_2[[#This Row],[Customer ID]],Medical_Examinations!$1:$1048576,11,FALSE)</f>
        <v>No</v>
      </c>
    </row>
    <row r="488" spans="1:9" x14ac:dyDescent="0.25">
      <c r="A488" s="10" t="s">
        <v>517</v>
      </c>
      <c r="B488" t="str">
        <f>VLOOKUP(Customer_Names!A488,Customer_Names!$1:$1048576,4,FALSE)</f>
        <v>Tara R</v>
      </c>
      <c r="C488">
        <f>VLOOKUP(Medical_Examinations_2[[#This Row],[Customer ID]],Medical_Examinations!$1:$1048576,2,FALSE)</f>
        <v>49.77</v>
      </c>
      <c r="D488">
        <f>VLOOKUP(Medical_Examinations_2[[#This Row],[Customer ID]],Medical_Examinations!$1:$1048576,4,FALSE)</f>
        <v>7.02</v>
      </c>
      <c r="E488" t="str">
        <f>VLOOKUP(Medical_Examinations_2[[#This Row],[Customer ID]],Medical_Examinations!$1:$1048576,6,FALSE)</f>
        <v>No</v>
      </c>
      <c r="H488" t="str">
        <f>VLOOKUP(Medical_Examinations_2[[#This Row],[Customer ID]],Medical_Examinations!$1:$1048576,9,FALSE)</f>
        <v>No major surgery</v>
      </c>
      <c r="I488" t="str">
        <f>VLOOKUP(Medical_Examinations_2[[#This Row],[Customer ID]],Medical_Examinations!$1:$1048576,11,FALSE)</f>
        <v>No</v>
      </c>
    </row>
    <row r="489" spans="1:9" x14ac:dyDescent="0.25">
      <c r="A489" s="11" t="s">
        <v>518</v>
      </c>
      <c r="B489" t="str">
        <f>VLOOKUP(Customer_Names!A489,Customer_Names!$1:$1048576,4,FALSE)</f>
        <v>Kristin</v>
      </c>
      <c r="C489">
        <f>VLOOKUP(Medical_Examinations_2[[#This Row],[Customer ID]],Medical_Examinations!$1:$1048576,2,FALSE)</f>
        <v>25.555</v>
      </c>
      <c r="D489">
        <f>VLOOKUP(Medical_Examinations_2[[#This Row],[Customer ID]],Medical_Examinations!$1:$1048576,4,FALSE)</f>
        <v>4.09</v>
      </c>
      <c r="E489" t="str">
        <f>VLOOKUP(Medical_Examinations_2[[#This Row],[Customer ID]],Medical_Examinations!$1:$1048576,6,FALSE)</f>
        <v>Yes</v>
      </c>
      <c r="H489" t="str">
        <f>VLOOKUP(Medical_Examinations_2[[#This Row],[Customer ID]],Medical_Examinations!$1:$1048576,9,FALSE)</f>
        <v>No major surgery</v>
      </c>
      <c r="I489" t="str">
        <f>VLOOKUP(Medical_Examinations_2[[#This Row],[Customer ID]],Medical_Examinations!$1:$1048576,11,FALSE)</f>
        <v>Yes</v>
      </c>
    </row>
    <row r="490" spans="1:9" x14ac:dyDescent="0.25">
      <c r="A490" s="10" t="s">
        <v>519</v>
      </c>
      <c r="B490" t="str">
        <f>VLOOKUP(Customer_Names!A490,Customer_Names!$1:$1048576,4,FALSE)</f>
        <v>Timothy</v>
      </c>
      <c r="C490">
        <f>VLOOKUP(Medical_Examinations_2[[#This Row],[Customer ID]],Medical_Examinations!$1:$1048576,2,FALSE)</f>
        <v>29.64</v>
      </c>
      <c r="D490">
        <f>VLOOKUP(Medical_Examinations_2[[#This Row],[Customer ID]],Medical_Examinations!$1:$1048576,4,FALSE)</f>
        <v>4.93</v>
      </c>
      <c r="E490" t="str">
        <f>VLOOKUP(Medical_Examinations_2[[#This Row],[Customer ID]],Medical_Examinations!$1:$1048576,6,FALSE)</f>
        <v>No</v>
      </c>
      <c r="H490">
        <f>VLOOKUP(Medical_Examinations_2[[#This Row],[Customer ID]],Medical_Examinations!$1:$1048576,9,FALSE)</f>
        <v>1</v>
      </c>
      <c r="I490" t="str">
        <f>VLOOKUP(Medical_Examinations_2[[#This Row],[Customer ID]],Medical_Examinations!$1:$1048576,11,FALSE)</f>
        <v>No</v>
      </c>
    </row>
    <row r="491" spans="1:9" x14ac:dyDescent="0.25">
      <c r="A491" s="11" t="s">
        <v>520</v>
      </c>
      <c r="B491" t="str">
        <f>VLOOKUP(Customer_Names!A491,Customer_Names!$1:$1048576,4,FALSE)</f>
        <v>Scott</v>
      </c>
      <c r="C491">
        <f>VLOOKUP(Medical_Examinations_2[[#This Row],[Customer ID]],Medical_Examinations!$1:$1048576,2,FALSE)</f>
        <v>53.93</v>
      </c>
      <c r="D491">
        <f>VLOOKUP(Medical_Examinations_2[[#This Row],[Customer ID]],Medical_Examinations!$1:$1048576,4,FALSE)</f>
        <v>5.34</v>
      </c>
      <c r="E491" t="str">
        <f>VLOOKUP(Medical_Examinations_2[[#This Row],[Customer ID]],Medical_Examinations!$1:$1048576,6,FALSE)</f>
        <v>Yes</v>
      </c>
      <c r="H491">
        <f>VLOOKUP(Medical_Examinations_2[[#This Row],[Customer ID]],Medical_Examinations!$1:$1048576,9,FALSE)</f>
        <v>2</v>
      </c>
      <c r="I491" t="str">
        <f>VLOOKUP(Medical_Examinations_2[[#This Row],[Customer ID]],Medical_Examinations!$1:$1048576,11,FALSE)</f>
        <v>No</v>
      </c>
    </row>
    <row r="492" spans="1:9" x14ac:dyDescent="0.25">
      <c r="A492" s="10" t="s">
        <v>521</v>
      </c>
      <c r="B492" t="str">
        <f>VLOOKUP(Customer_Names!A492,Customer_Names!$1:$1048576,4,FALSE)</f>
        <v>Carly E</v>
      </c>
      <c r="C492">
        <f>VLOOKUP(Medical_Examinations_2[[#This Row],[Customer ID]],Medical_Examinations!$1:$1048576,2,FALSE)</f>
        <v>28.024999999999999</v>
      </c>
      <c r="D492">
        <f>VLOOKUP(Medical_Examinations_2[[#This Row],[Customer ID]],Medical_Examinations!$1:$1048576,4,FALSE)</f>
        <v>5.65</v>
      </c>
      <c r="E492" t="str">
        <f>VLOOKUP(Medical_Examinations_2[[#This Row],[Customer ID]],Medical_Examinations!$1:$1048576,6,FALSE)</f>
        <v>No</v>
      </c>
      <c r="H492">
        <f>VLOOKUP(Medical_Examinations_2[[#This Row],[Customer ID]],Medical_Examinations!$1:$1048576,9,FALSE)</f>
        <v>1</v>
      </c>
      <c r="I492" t="str">
        <f>VLOOKUP(Medical_Examinations_2[[#This Row],[Customer ID]],Medical_Examinations!$1:$1048576,11,FALSE)</f>
        <v>Yes</v>
      </c>
    </row>
    <row r="493" spans="1:9" x14ac:dyDescent="0.25">
      <c r="A493" s="11" t="s">
        <v>522</v>
      </c>
      <c r="B493" t="str">
        <f>VLOOKUP(Customer_Names!A493,Customer_Names!$1:$1048576,4,FALSE)</f>
        <v>Lisa</v>
      </c>
      <c r="C493">
        <f>VLOOKUP(Medical_Examinations_2[[#This Row],[Customer ID]],Medical_Examinations!$1:$1048576,2,FALSE)</f>
        <v>27.5</v>
      </c>
      <c r="D493">
        <f>VLOOKUP(Medical_Examinations_2[[#This Row],[Customer ID]],Medical_Examinations!$1:$1048576,4,FALSE)</f>
        <v>4.49</v>
      </c>
      <c r="E493" t="str">
        <f>VLOOKUP(Medical_Examinations_2[[#This Row],[Customer ID]],Medical_Examinations!$1:$1048576,6,FALSE)</f>
        <v>No</v>
      </c>
      <c r="H493" t="str">
        <f>VLOOKUP(Medical_Examinations_2[[#This Row],[Customer ID]],Medical_Examinations!$1:$1048576,9,FALSE)</f>
        <v>No major surgery</v>
      </c>
      <c r="I493" t="str">
        <f>VLOOKUP(Medical_Examinations_2[[#This Row],[Customer ID]],Medical_Examinations!$1:$1048576,11,FALSE)</f>
        <v>No</v>
      </c>
    </row>
    <row r="494" spans="1:9" x14ac:dyDescent="0.25">
      <c r="A494" s="10" t="s">
        <v>523</v>
      </c>
      <c r="B494" t="str">
        <f>VLOOKUP(Customer_Names!A494,Customer_Names!$1:$1048576,4,FALSE)</f>
        <v>Stacey</v>
      </c>
      <c r="C494">
        <f>VLOOKUP(Medical_Examinations_2[[#This Row],[Customer ID]],Medical_Examinations!$1:$1048576,2,FALSE)</f>
        <v>21.8</v>
      </c>
      <c r="D494">
        <f>VLOOKUP(Medical_Examinations_2[[#This Row],[Customer ID]],Medical_Examinations!$1:$1048576,4,FALSE)</f>
        <v>10.55</v>
      </c>
      <c r="E494" t="str">
        <f>VLOOKUP(Medical_Examinations_2[[#This Row],[Customer ID]],Medical_Examinations!$1:$1048576,6,FALSE)</f>
        <v>No</v>
      </c>
      <c r="H494" t="str">
        <f>VLOOKUP(Medical_Examinations_2[[#This Row],[Customer ID]],Medical_Examinations!$1:$1048576,9,FALSE)</f>
        <v>No major surgery</v>
      </c>
      <c r="I494" t="str">
        <f>VLOOKUP(Medical_Examinations_2[[#This Row],[Customer ID]],Medical_Examinations!$1:$1048576,11,FALSE)</f>
        <v>Yes</v>
      </c>
    </row>
    <row r="495" spans="1:9" x14ac:dyDescent="0.25">
      <c r="A495" s="11" t="s">
        <v>524</v>
      </c>
      <c r="B495" t="str">
        <f>VLOOKUP(Customer_Names!A495,Customer_Names!$1:$1048576,4,FALSE)</f>
        <v>Louis</v>
      </c>
      <c r="C495">
        <f>VLOOKUP(Medical_Examinations_2[[#This Row],[Customer ID]],Medical_Examinations!$1:$1048576,2,FALSE)</f>
        <v>26.41</v>
      </c>
      <c r="D495">
        <f>VLOOKUP(Medical_Examinations_2[[#This Row],[Customer ID]],Medical_Examinations!$1:$1048576,4,FALSE)</f>
        <v>4.92</v>
      </c>
      <c r="E495" t="str">
        <f>VLOOKUP(Medical_Examinations_2[[#This Row],[Customer ID]],Medical_Examinations!$1:$1048576,6,FALSE)</f>
        <v>Yes</v>
      </c>
      <c r="H495">
        <f>VLOOKUP(Medical_Examinations_2[[#This Row],[Customer ID]],Medical_Examinations!$1:$1048576,9,FALSE)</f>
        <v>1</v>
      </c>
      <c r="I495" t="str">
        <f>VLOOKUP(Medical_Examinations_2[[#This Row],[Customer ID]],Medical_Examinations!$1:$1048576,11,FALSE)</f>
        <v>Yes</v>
      </c>
    </row>
    <row r="496" spans="1:9" x14ac:dyDescent="0.25">
      <c r="A496" s="10" t="s">
        <v>525</v>
      </c>
      <c r="B496" t="str">
        <f>VLOOKUP(Customer_Names!A496,Customer_Names!$1:$1048576,4,FALSE)</f>
        <v>Brian R.</v>
      </c>
      <c r="C496">
        <f>VLOOKUP(Medical_Examinations_2[[#This Row],[Customer ID]],Medical_Examinations!$1:$1048576,2,FALSE)</f>
        <v>27.835000000000001</v>
      </c>
      <c r="D496">
        <f>VLOOKUP(Medical_Examinations_2[[#This Row],[Customer ID]],Medical_Examinations!$1:$1048576,4,FALSE)</f>
        <v>5.9</v>
      </c>
      <c r="E496" t="str">
        <f>VLOOKUP(Medical_Examinations_2[[#This Row],[Customer ID]],Medical_Examinations!$1:$1048576,6,FALSE)</f>
        <v>Yes</v>
      </c>
      <c r="H496">
        <f>VLOOKUP(Medical_Examinations_2[[#This Row],[Customer ID]],Medical_Examinations!$1:$1048576,9,FALSE)</f>
        <v>1</v>
      </c>
      <c r="I496" t="str">
        <f>VLOOKUP(Medical_Examinations_2[[#This Row],[Customer ID]],Medical_Examinations!$1:$1048576,11,FALSE)</f>
        <v>Yes</v>
      </c>
    </row>
    <row r="497" spans="1:9" x14ac:dyDescent="0.25">
      <c r="A497" s="11" t="s">
        <v>526</v>
      </c>
      <c r="B497" t="str">
        <f>VLOOKUP(Customer_Names!A497,Customer_Names!$1:$1048576,4,FALSE)</f>
        <v>Jessica</v>
      </c>
      <c r="C497">
        <f>VLOOKUP(Medical_Examinations_2[[#This Row],[Customer ID]],Medical_Examinations!$1:$1048576,2,FALSE)</f>
        <v>51.74</v>
      </c>
      <c r="D497">
        <f>VLOOKUP(Medical_Examinations_2[[#This Row],[Customer ID]],Medical_Examinations!$1:$1048576,4,FALSE)</f>
        <v>4.9800000000000004</v>
      </c>
      <c r="E497" t="str">
        <f>VLOOKUP(Medical_Examinations_2[[#This Row],[Customer ID]],Medical_Examinations!$1:$1048576,6,FALSE)</f>
        <v>Yes</v>
      </c>
      <c r="H497">
        <f>VLOOKUP(Medical_Examinations_2[[#This Row],[Customer ID]],Medical_Examinations!$1:$1048576,9,FALSE)</f>
        <v>2</v>
      </c>
      <c r="I497" t="str">
        <f>VLOOKUP(Medical_Examinations_2[[#This Row],[Customer ID]],Medical_Examinations!$1:$1048576,11,FALSE)</f>
        <v>No</v>
      </c>
    </row>
    <row r="498" spans="1:9" x14ac:dyDescent="0.25">
      <c r="A498" s="10" t="s">
        <v>527</v>
      </c>
      <c r="B498" t="str">
        <f>VLOOKUP(Customer_Names!A498,Customer_Names!$1:$1048576,4,FALSE)</f>
        <v>Dawn M.</v>
      </c>
      <c r="C498">
        <f>VLOOKUP(Medical_Examinations_2[[#This Row],[Customer ID]],Medical_Examinations!$1:$1048576,2,FALSE)</f>
        <v>23.37</v>
      </c>
      <c r="D498">
        <f>VLOOKUP(Medical_Examinations_2[[#This Row],[Customer ID]],Medical_Examinations!$1:$1048576,4,FALSE)</f>
        <v>5.8</v>
      </c>
      <c r="E498" t="str">
        <f>VLOOKUP(Medical_Examinations_2[[#This Row],[Customer ID]],Medical_Examinations!$1:$1048576,6,FALSE)</f>
        <v>No</v>
      </c>
      <c r="H498" t="str">
        <f>VLOOKUP(Medical_Examinations_2[[#This Row],[Customer ID]],Medical_Examinations!$1:$1048576,9,FALSE)</f>
        <v>No major surgery</v>
      </c>
      <c r="I498" t="str">
        <f>VLOOKUP(Medical_Examinations_2[[#This Row],[Customer ID]],Medical_Examinations!$1:$1048576,11,FALSE)</f>
        <v>Yes</v>
      </c>
    </row>
    <row r="499" spans="1:9" x14ac:dyDescent="0.25">
      <c r="A499" s="11" t="s">
        <v>528</v>
      </c>
      <c r="B499" t="str">
        <f>VLOOKUP(Customer_Names!A499,Customer_Names!$1:$1048576,4,FALSE)</f>
        <v>Mr.  Chris</v>
      </c>
      <c r="C499">
        <f>VLOOKUP(Medical_Examinations_2[[#This Row],[Customer ID]],Medical_Examinations!$1:$1048576,2,FALSE)</f>
        <v>29.7</v>
      </c>
      <c r="D499">
        <f>VLOOKUP(Medical_Examinations_2[[#This Row],[Customer ID]],Medical_Examinations!$1:$1048576,4,FALSE)</f>
        <v>6.21</v>
      </c>
      <c r="E499" t="str">
        <f>VLOOKUP(Medical_Examinations_2[[#This Row],[Customer ID]],Medical_Examinations!$1:$1048576,6,FALSE)</f>
        <v>Yes</v>
      </c>
      <c r="H499">
        <f>VLOOKUP(Medical_Examinations_2[[#This Row],[Customer ID]],Medical_Examinations!$1:$1048576,9,FALSE)</f>
        <v>1</v>
      </c>
      <c r="I499" t="str">
        <f>VLOOKUP(Medical_Examinations_2[[#This Row],[Customer ID]],Medical_Examinations!$1:$1048576,11,FALSE)</f>
        <v>Yes</v>
      </c>
    </row>
    <row r="500" spans="1:9" x14ac:dyDescent="0.25">
      <c r="A500" s="10" t="s">
        <v>529</v>
      </c>
      <c r="B500" t="str">
        <f>VLOOKUP(Customer_Names!A500,Customer_Names!$1:$1048576,4,FALSE)</f>
        <v>Karen</v>
      </c>
      <c r="C500">
        <f>VLOOKUP(Medical_Examinations_2[[#This Row],[Customer ID]],Medical_Examinations!$1:$1048576,2,FALSE)</f>
        <v>20.045000000000002</v>
      </c>
      <c r="D500">
        <f>VLOOKUP(Medical_Examinations_2[[#This Row],[Customer ID]],Medical_Examinations!$1:$1048576,4,FALSE)</f>
        <v>6.17</v>
      </c>
      <c r="E500" t="str">
        <f>VLOOKUP(Medical_Examinations_2[[#This Row],[Customer ID]],Medical_Examinations!$1:$1048576,6,FALSE)</f>
        <v>No</v>
      </c>
      <c r="H500">
        <f>VLOOKUP(Medical_Examinations_2[[#This Row],[Customer ID]],Medical_Examinations!$1:$1048576,9,FALSE)</f>
        <v>1</v>
      </c>
      <c r="I500" t="str">
        <f>VLOOKUP(Medical_Examinations_2[[#This Row],[Customer ID]],Medical_Examinations!$1:$1048576,11,FALSE)</f>
        <v>Yes</v>
      </c>
    </row>
    <row r="501" spans="1:9" x14ac:dyDescent="0.25">
      <c r="A501" s="11" t="s">
        <v>530</v>
      </c>
      <c r="B501" t="str">
        <f>VLOOKUP(Customer_Names!A501,Customer_Names!$1:$1048576,4,FALSE)</f>
        <v>Jessica</v>
      </c>
      <c r="C501">
        <f>VLOOKUP(Medical_Examinations_2[[#This Row],[Customer ID]],Medical_Examinations!$1:$1048576,2,FALSE)</f>
        <v>27.83</v>
      </c>
      <c r="D501">
        <f>VLOOKUP(Medical_Examinations_2[[#This Row],[Customer ID]],Medical_Examinations!$1:$1048576,4,FALSE)</f>
        <v>5.36</v>
      </c>
      <c r="E501" t="str">
        <f>VLOOKUP(Medical_Examinations_2[[#This Row],[Customer ID]],Medical_Examinations!$1:$1048576,6,FALSE)</f>
        <v>No</v>
      </c>
      <c r="H501">
        <f>VLOOKUP(Medical_Examinations_2[[#This Row],[Customer ID]],Medical_Examinations!$1:$1048576,9,FALSE)</f>
        <v>2</v>
      </c>
      <c r="I501" t="str">
        <f>VLOOKUP(Medical_Examinations_2[[#This Row],[Customer ID]],Medical_Examinations!$1:$1048576,11,FALSE)</f>
        <v>No</v>
      </c>
    </row>
    <row r="502" spans="1:9" x14ac:dyDescent="0.25">
      <c r="A502" s="10" t="s">
        <v>531</v>
      </c>
      <c r="B502" t="str">
        <f>VLOOKUP(Customer_Names!A502,Customer_Names!$1:$1048576,4,FALSE)</f>
        <v>Mathieu</v>
      </c>
      <c r="C502">
        <f>VLOOKUP(Medical_Examinations_2[[#This Row],[Customer ID]],Medical_Examinations!$1:$1048576,2,FALSE)</f>
        <v>28.93</v>
      </c>
      <c r="D502">
        <f>VLOOKUP(Medical_Examinations_2[[#This Row],[Customer ID]],Medical_Examinations!$1:$1048576,4,FALSE)</f>
        <v>5.2</v>
      </c>
      <c r="E502" t="str">
        <f>VLOOKUP(Medical_Examinations_2[[#This Row],[Customer ID]],Medical_Examinations!$1:$1048576,6,FALSE)</f>
        <v>No</v>
      </c>
      <c r="H502" t="str">
        <f>VLOOKUP(Medical_Examinations_2[[#This Row],[Customer ID]],Medical_Examinations!$1:$1048576,9,FALSE)</f>
        <v>No major surgery</v>
      </c>
      <c r="I502" t="str">
        <f>VLOOKUP(Medical_Examinations_2[[#This Row],[Customer ID]],Medical_Examinations!$1:$1048576,11,FALSE)</f>
        <v>Yes</v>
      </c>
    </row>
    <row r="503" spans="1:9" x14ac:dyDescent="0.25">
      <c r="A503" s="11" t="s">
        <v>532</v>
      </c>
      <c r="B503" t="str">
        <f>VLOOKUP(Customer_Names!A503,Customer_Names!$1:$1048576,4,FALSE)</f>
        <v>Kam S.</v>
      </c>
      <c r="C503">
        <f>VLOOKUP(Medical_Examinations_2[[#This Row],[Customer ID]],Medical_Examinations!$1:$1048576,2,FALSE)</f>
        <v>33.82</v>
      </c>
      <c r="D503">
        <f>VLOOKUP(Medical_Examinations_2[[#This Row],[Customer ID]],Medical_Examinations!$1:$1048576,4,FALSE)</f>
        <v>5.42</v>
      </c>
      <c r="E503" t="str">
        <f>VLOOKUP(Medical_Examinations_2[[#This Row],[Customer ID]],Medical_Examinations!$1:$1048576,6,FALSE)</f>
        <v>No</v>
      </c>
      <c r="H503" t="str">
        <f>VLOOKUP(Medical_Examinations_2[[#This Row],[Customer ID]],Medical_Examinations!$1:$1048576,9,FALSE)</f>
        <v>No major surgery</v>
      </c>
      <c r="I503" t="str">
        <f>VLOOKUP(Medical_Examinations_2[[#This Row],[Customer ID]],Medical_Examinations!$1:$1048576,11,FALSE)</f>
        <v>No</v>
      </c>
    </row>
    <row r="504" spans="1:9" x14ac:dyDescent="0.25">
      <c r="A504" s="10" t="s">
        <v>533</v>
      </c>
      <c r="B504" t="str">
        <f>VLOOKUP(Customer_Names!A504,Customer_Names!$1:$1048576,4,FALSE)</f>
        <v>Valerie A</v>
      </c>
      <c r="C504">
        <f>VLOOKUP(Medical_Examinations_2[[#This Row],[Customer ID]],Medical_Examinations!$1:$1048576,2,FALSE)</f>
        <v>20.234999999999999</v>
      </c>
      <c r="D504">
        <f>VLOOKUP(Medical_Examinations_2[[#This Row],[Customer ID]],Medical_Examinations!$1:$1048576,4,FALSE)</f>
        <v>6.84</v>
      </c>
      <c r="E504" t="str">
        <f>VLOOKUP(Medical_Examinations_2[[#This Row],[Customer ID]],Medical_Examinations!$1:$1048576,6,FALSE)</f>
        <v>No</v>
      </c>
      <c r="H504" t="str">
        <f>VLOOKUP(Medical_Examinations_2[[#This Row],[Customer ID]],Medical_Examinations!$1:$1048576,9,FALSE)</f>
        <v>No major surgery</v>
      </c>
      <c r="I504" t="str">
        <f>VLOOKUP(Medical_Examinations_2[[#This Row],[Customer ID]],Medical_Examinations!$1:$1048576,11,FALSE)</f>
        <v>Yes</v>
      </c>
    </row>
    <row r="505" spans="1:9" x14ac:dyDescent="0.25">
      <c r="A505" s="11" t="s">
        <v>535</v>
      </c>
      <c r="B505" t="str">
        <f>VLOOKUP(Customer_Names!A505,Customer_Names!$1:$1048576,4,FALSE)</f>
        <v>Freya R</v>
      </c>
      <c r="C505">
        <f>VLOOKUP(Medical_Examinations_2[[#This Row],[Customer ID]],Medical_Examinations!$1:$1048576,2,FALSE)</f>
        <v>49.2</v>
      </c>
      <c r="D505">
        <f>VLOOKUP(Medical_Examinations_2[[#This Row],[Customer ID]],Medical_Examinations!$1:$1048576,4,FALSE)</f>
        <v>10.9</v>
      </c>
      <c r="E505" t="str">
        <f>VLOOKUP(Medical_Examinations_2[[#This Row],[Customer ID]],Medical_Examinations!$1:$1048576,6,FALSE)</f>
        <v>Yes</v>
      </c>
      <c r="H505">
        <f>VLOOKUP(Medical_Examinations_2[[#This Row],[Customer ID]],Medical_Examinations!$1:$1048576,9,FALSE)</f>
        <v>1</v>
      </c>
      <c r="I505" t="str">
        <f>VLOOKUP(Medical_Examinations_2[[#This Row],[Customer ID]],Medical_Examinations!$1:$1048576,11,FALSE)</f>
        <v>No</v>
      </c>
    </row>
    <row r="506" spans="1:9" x14ac:dyDescent="0.25">
      <c r="A506" s="10" t="s">
        <v>536</v>
      </c>
      <c r="B506" t="str">
        <f>VLOOKUP(Customer_Names!A506,Customer_Names!$1:$1048576,4,FALSE)</f>
        <v>Jennifer</v>
      </c>
      <c r="C506">
        <f>VLOOKUP(Medical_Examinations_2[[#This Row],[Customer ID]],Medical_Examinations!$1:$1048576,2,FALSE)</f>
        <v>26.4</v>
      </c>
      <c r="D506">
        <f>VLOOKUP(Medical_Examinations_2[[#This Row],[Customer ID]],Medical_Examinations!$1:$1048576,4,FALSE)</f>
        <v>4.87</v>
      </c>
      <c r="E506" t="str">
        <f>VLOOKUP(Medical_Examinations_2[[#This Row],[Customer ID]],Medical_Examinations!$1:$1048576,6,FALSE)</f>
        <v>Yes</v>
      </c>
      <c r="H506" t="str">
        <f>VLOOKUP(Medical_Examinations_2[[#This Row],[Customer ID]],Medical_Examinations!$1:$1048576,9,FALSE)</f>
        <v>No major surgery</v>
      </c>
      <c r="I506" t="str">
        <f>VLOOKUP(Medical_Examinations_2[[#This Row],[Customer ID]],Medical_Examinations!$1:$1048576,11,FALSE)</f>
        <v>Yes</v>
      </c>
    </row>
    <row r="507" spans="1:9" x14ac:dyDescent="0.25">
      <c r="A507" s="11" t="s">
        <v>537</v>
      </c>
      <c r="B507" t="str">
        <f>VLOOKUP(Customer_Names!A507,Customer_Names!$1:$1048576,4,FALSE)</f>
        <v>Kara</v>
      </c>
      <c r="C507">
        <f>VLOOKUP(Medical_Examinations_2[[#This Row],[Customer ID]],Medical_Examinations!$1:$1048576,2,FALSE)</f>
        <v>28.38</v>
      </c>
      <c r="D507">
        <f>VLOOKUP(Medical_Examinations_2[[#This Row],[Customer ID]],Medical_Examinations!$1:$1048576,4,FALSE)</f>
        <v>6.07</v>
      </c>
      <c r="E507" t="str">
        <f>VLOOKUP(Medical_Examinations_2[[#This Row],[Customer ID]],Medical_Examinations!$1:$1048576,6,FALSE)</f>
        <v>No</v>
      </c>
      <c r="H507">
        <f>VLOOKUP(Medical_Examinations_2[[#This Row],[Customer ID]],Medical_Examinations!$1:$1048576,9,FALSE)</f>
        <v>1</v>
      </c>
      <c r="I507" t="str">
        <f>VLOOKUP(Medical_Examinations_2[[#This Row],[Customer ID]],Medical_Examinations!$1:$1048576,11,FALSE)</f>
        <v>Yes</v>
      </c>
    </row>
    <row r="508" spans="1:9" x14ac:dyDescent="0.25">
      <c r="A508" s="10" t="s">
        <v>538</v>
      </c>
      <c r="B508" t="str">
        <f>VLOOKUP(Customer_Names!A508,Customer_Names!$1:$1048576,4,FALSE)</f>
        <v>Bradley A.</v>
      </c>
      <c r="C508">
        <f>VLOOKUP(Medical_Examinations_2[[#This Row],[Customer ID]],Medical_Examinations!$1:$1048576,2,FALSE)</f>
        <v>24.64</v>
      </c>
      <c r="D508">
        <f>VLOOKUP(Medical_Examinations_2[[#This Row],[Customer ID]],Medical_Examinations!$1:$1048576,4,FALSE)</f>
        <v>4.33</v>
      </c>
      <c r="E508" t="str">
        <f>VLOOKUP(Medical_Examinations_2[[#This Row],[Customer ID]],Medical_Examinations!$1:$1048576,6,FALSE)</f>
        <v>No</v>
      </c>
      <c r="H508" t="str">
        <f>VLOOKUP(Medical_Examinations_2[[#This Row],[Customer ID]],Medical_Examinations!$1:$1048576,9,FALSE)</f>
        <v>No major surgery</v>
      </c>
      <c r="I508" t="str">
        <f>VLOOKUP(Medical_Examinations_2[[#This Row],[Customer ID]],Medical_Examinations!$1:$1048576,11,FALSE)</f>
        <v>Yes</v>
      </c>
    </row>
    <row r="509" spans="1:9" x14ac:dyDescent="0.25">
      <c r="A509" s="11" t="s">
        <v>539</v>
      </c>
      <c r="B509" t="str">
        <f>VLOOKUP(Customer_Names!A509,Customer_Names!$1:$1048576,4,FALSE)</f>
        <v>Brendan</v>
      </c>
      <c r="C509">
        <f>VLOOKUP(Medical_Examinations_2[[#This Row],[Customer ID]],Medical_Examinations!$1:$1048576,2,FALSE)</f>
        <v>39.71</v>
      </c>
      <c r="D509">
        <f>VLOOKUP(Medical_Examinations_2[[#This Row],[Customer ID]],Medical_Examinations!$1:$1048576,4,FALSE)</f>
        <v>5.83</v>
      </c>
      <c r="E509" t="str">
        <f>VLOOKUP(Medical_Examinations_2[[#This Row],[Customer ID]],Medical_Examinations!$1:$1048576,6,FALSE)</f>
        <v>No</v>
      </c>
      <c r="H509">
        <f>VLOOKUP(Medical_Examinations_2[[#This Row],[Customer ID]],Medical_Examinations!$1:$1048576,9,FALSE)</f>
        <v>1</v>
      </c>
      <c r="I509" t="str">
        <f>VLOOKUP(Medical_Examinations_2[[#This Row],[Customer ID]],Medical_Examinations!$1:$1048576,11,FALSE)</f>
        <v>No</v>
      </c>
    </row>
    <row r="510" spans="1:9" x14ac:dyDescent="0.25">
      <c r="A510" s="10" t="s">
        <v>540</v>
      </c>
      <c r="B510" t="str">
        <f>VLOOKUP(Customer_Names!A510,Customer_Names!$1:$1048576,4,FALSE)</f>
        <v>Amber R</v>
      </c>
      <c r="C510">
        <f>VLOOKUP(Medical_Examinations_2[[#This Row],[Customer ID]],Medical_Examinations!$1:$1048576,2,FALSE)</f>
        <v>22.22</v>
      </c>
      <c r="D510">
        <f>VLOOKUP(Medical_Examinations_2[[#This Row],[Customer ID]],Medical_Examinations!$1:$1048576,4,FALSE)</f>
        <v>5.5</v>
      </c>
      <c r="E510" t="str">
        <f>VLOOKUP(Medical_Examinations_2[[#This Row],[Customer ID]],Medical_Examinations!$1:$1048576,6,FALSE)</f>
        <v>No</v>
      </c>
      <c r="H510" t="str">
        <f>VLOOKUP(Medical_Examinations_2[[#This Row],[Customer ID]],Medical_Examinations!$1:$1048576,9,FALSE)</f>
        <v>No major surgery</v>
      </c>
      <c r="I510" t="str">
        <f>VLOOKUP(Medical_Examinations_2[[#This Row],[Customer ID]],Medical_Examinations!$1:$1048576,11,FALSE)</f>
        <v>Yes</v>
      </c>
    </row>
    <row r="511" spans="1:9" x14ac:dyDescent="0.25">
      <c r="A511" s="11" t="s">
        <v>541</v>
      </c>
      <c r="B511" t="str">
        <f>VLOOKUP(Customer_Names!A511,Customer_Names!$1:$1048576,4,FALSE)</f>
        <v>Sean K</v>
      </c>
      <c r="C511">
        <f>VLOOKUP(Medical_Examinations_2[[#This Row],[Customer ID]],Medical_Examinations!$1:$1048576,2,FALSE)</f>
        <v>33.344999999999999</v>
      </c>
      <c r="D511">
        <f>VLOOKUP(Medical_Examinations_2[[#This Row],[Customer ID]],Medical_Examinations!$1:$1048576,4,FALSE)</f>
        <v>4.79</v>
      </c>
      <c r="E511" t="str">
        <f>VLOOKUP(Medical_Examinations_2[[#This Row],[Customer ID]],Medical_Examinations!$1:$1048576,6,FALSE)</f>
        <v>No</v>
      </c>
      <c r="H511">
        <f>VLOOKUP(Medical_Examinations_2[[#This Row],[Customer ID]],Medical_Examinations!$1:$1048576,9,FALSE)</f>
        <v>1</v>
      </c>
      <c r="I511" t="str">
        <f>VLOOKUP(Medical_Examinations_2[[#This Row],[Customer ID]],Medical_Examinations!$1:$1048576,11,FALSE)</f>
        <v>No</v>
      </c>
    </row>
    <row r="512" spans="1:9" x14ac:dyDescent="0.25">
      <c r="A512" s="10" t="s">
        <v>542</v>
      </c>
      <c r="B512" t="str">
        <f>VLOOKUP(Customer_Names!A512,Customer_Names!$1:$1048576,4,FALSE)</f>
        <v>Rick</v>
      </c>
      <c r="C512">
        <f>VLOOKUP(Medical_Examinations_2[[#This Row],[Customer ID]],Medical_Examinations!$1:$1048576,2,FALSE)</f>
        <v>24.42</v>
      </c>
      <c r="D512">
        <f>VLOOKUP(Medical_Examinations_2[[#This Row],[Customer ID]],Medical_Examinations!$1:$1048576,4,FALSE)</f>
        <v>5.81</v>
      </c>
      <c r="E512" t="str">
        <f>VLOOKUP(Medical_Examinations_2[[#This Row],[Customer ID]],Medical_Examinations!$1:$1048576,6,FALSE)</f>
        <v>No</v>
      </c>
      <c r="H512">
        <f>VLOOKUP(Medical_Examinations_2[[#This Row],[Customer ID]],Medical_Examinations!$1:$1048576,9,FALSE)</f>
        <v>1</v>
      </c>
      <c r="I512" t="str">
        <f>VLOOKUP(Medical_Examinations_2[[#This Row],[Customer ID]],Medical_Examinations!$1:$1048576,11,FALSE)</f>
        <v>Yes</v>
      </c>
    </row>
    <row r="513" spans="1:9" x14ac:dyDescent="0.25">
      <c r="A513" s="11" t="s">
        <v>543</v>
      </c>
      <c r="B513" t="str">
        <f>VLOOKUP(Customer_Names!A513,Customer_Names!$1:$1048576,4,FALSE)</f>
        <v>Matthew</v>
      </c>
      <c r="C513">
        <f>VLOOKUP(Medical_Examinations_2[[#This Row],[Customer ID]],Medical_Examinations!$1:$1048576,2,FALSE)</f>
        <v>29.81</v>
      </c>
      <c r="D513">
        <f>VLOOKUP(Medical_Examinations_2[[#This Row],[Customer ID]],Medical_Examinations!$1:$1048576,4,FALSE)</f>
        <v>5.58</v>
      </c>
      <c r="E513" t="str">
        <f>VLOOKUP(Medical_Examinations_2[[#This Row],[Customer ID]],Medical_Examinations!$1:$1048576,6,FALSE)</f>
        <v>No</v>
      </c>
      <c r="H513" t="str">
        <f>VLOOKUP(Medical_Examinations_2[[#This Row],[Customer ID]],Medical_Examinations!$1:$1048576,9,FALSE)</f>
        <v>No major surgery</v>
      </c>
      <c r="I513" t="str">
        <f>VLOOKUP(Medical_Examinations_2[[#This Row],[Customer ID]],Medical_Examinations!$1:$1048576,11,FALSE)</f>
        <v>Yes</v>
      </c>
    </row>
    <row r="514" spans="1:9" x14ac:dyDescent="0.25">
      <c r="A514" s="10" t="s">
        <v>544</v>
      </c>
      <c r="B514" t="str">
        <f>VLOOKUP(Customer_Names!A514,Customer_Names!$1:$1048576,4,FALSE)</f>
        <v>Brady</v>
      </c>
      <c r="C514">
        <f>VLOOKUP(Medical_Examinations_2[[#This Row],[Customer ID]],Medical_Examinations!$1:$1048576,2,FALSE)</f>
        <v>51.18</v>
      </c>
      <c r="D514">
        <f>VLOOKUP(Medical_Examinations_2[[#This Row],[Customer ID]],Medical_Examinations!$1:$1048576,4,FALSE)</f>
        <v>4.4000000000000004</v>
      </c>
      <c r="E514" t="str">
        <f>VLOOKUP(Medical_Examinations_2[[#This Row],[Customer ID]],Medical_Examinations!$1:$1048576,6,FALSE)</f>
        <v>Yes</v>
      </c>
      <c r="H514">
        <f>VLOOKUP(Medical_Examinations_2[[#This Row],[Customer ID]],Medical_Examinations!$1:$1048576,9,FALSE)</f>
        <v>2</v>
      </c>
      <c r="I514" t="str">
        <f>VLOOKUP(Medical_Examinations_2[[#This Row],[Customer ID]],Medical_Examinations!$1:$1048576,11,FALSE)</f>
        <v>No</v>
      </c>
    </row>
    <row r="515" spans="1:9" x14ac:dyDescent="0.25">
      <c r="A515" s="11" t="s">
        <v>545</v>
      </c>
      <c r="B515" t="str">
        <f>VLOOKUP(Customer_Names!A515,Customer_Names!$1:$1048576,4,FALSE)</f>
        <v>Kameko</v>
      </c>
      <c r="C515">
        <f>VLOOKUP(Medical_Examinations_2[[#This Row],[Customer ID]],Medical_Examinations!$1:$1048576,2,FALSE)</f>
        <v>51.37</v>
      </c>
      <c r="D515">
        <f>VLOOKUP(Medical_Examinations_2[[#This Row],[Customer ID]],Medical_Examinations!$1:$1048576,4,FALSE)</f>
        <v>8.18</v>
      </c>
      <c r="E515" t="str">
        <f>VLOOKUP(Medical_Examinations_2[[#This Row],[Customer ID]],Medical_Examinations!$1:$1048576,6,FALSE)</f>
        <v>Yes</v>
      </c>
      <c r="H515" t="str">
        <f>VLOOKUP(Medical_Examinations_2[[#This Row],[Customer ID]],Medical_Examinations!$1:$1048576,9,FALSE)</f>
        <v>No major surgery</v>
      </c>
      <c r="I515" t="str">
        <f>VLOOKUP(Medical_Examinations_2[[#This Row],[Customer ID]],Medical_Examinations!$1:$1048576,11,FALSE)</f>
        <v>No</v>
      </c>
    </row>
    <row r="516" spans="1:9" x14ac:dyDescent="0.25">
      <c r="A516" s="10" t="s">
        <v>546</v>
      </c>
      <c r="B516" t="str">
        <f>VLOOKUP(Customer_Names!A516,Customer_Names!$1:$1048576,4,FALSE)</f>
        <v>Jeremy A</v>
      </c>
      <c r="C516">
        <f>VLOOKUP(Medical_Examinations_2[[#This Row],[Customer ID]],Medical_Examinations!$1:$1048576,2,FALSE)</f>
        <v>36.19</v>
      </c>
      <c r="D516">
        <f>VLOOKUP(Medical_Examinations_2[[#This Row],[Customer ID]],Medical_Examinations!$1:$1048576,4,FALSE)</f>
        <v>5.52</v>
      </c>
      <c r="E516" t="str">
        <f>VLOOKUP(Medical_Examinations_2[[#This Row],[Customer ID]],Medical_Examinations!$1:$1048576,6,FALSE)</f>
        <v>Yes</v>
      </c>
      <c r="H516" t="str">
        <f>VLOOKUP(Medical_Examinations_2[[#This Row],[Customer ID]],Medical_Examinations!$1:$1048576,9,FALSE)</f>
        <v>No major surgery</v>
      </c>
      <c r="I516" t="str">
        <f>VLOOKUP(Medical_Examinations_2[[#This Row],[Customer ID]],Medical_Examinations!$1:$1048576,11,FALSE)</f>
        <v>No</v>
      </c>
    </row>
    <row r="517" spans="1:9" x14ac:dyDescent="0.25">
      <c r="A517" s="11" t="s">
        <v>547</v>
      </c>
      <c r="B517" t="str">
        <f>VLOOKUP(Customer_Names!A517,Customer_Names!$1:$1048576,4,FALSE)</f>
        <v>Daniel</v>
      </c>
      <c r="C517">
        <f>VLOOKUP(Medical_Examinations_2[[#This Row],[Customer ID]],Medical_Examinations!$1:$1048576,2,FALSE)</f>
        <v>25.9</v>
      </c>
      <c r="D517">
        <f>VLOOKUP(Medical_Examinations_2[[#This Row],[Customer ID]],Medical_Examinations!$1:$1048576,4,FALSE)</f>
        <v>4.84</v>
      </c>
      <c r="E517" t="str">
        <f>VLOOKUP(Medical_Examinations_2[[#This Row],[Customer ID]],Medical_Examinations!$1:$1048576,6,FALSE)</f>
        <v>No</v>
      </c>
      <c r="H517" t="str">
        <f>VLOOKUP(Medical_Examinations_2[[#This Row],[Customer ID]],Medical_Examinations!$1:$1048576,9,FALSE)</f>
        <v>No major surgery</v>
      </c>
      <c r="I517" t="str">
        <f>VLOOKUP(Medical_Examinations_2[[#This Row],[Customer ID]],Medical_Examinations!$1:$1048576,11,FALSE)</f>
        <v>Yes</v>
      </c>
    </row>
    <row r="518" spans="1:9" x14ac:dyDescent="0.25">
      <c r="A518" s="10" t="s">
        <v>548</v>
      </c>
      <c r="B518" t="str">
        <f>VLOOKUP(Customer_Names!A518,Customer_Names!$1:$1048576,4,FALSE)</f>
        <v>Amanda</v>
      </c>
      <c r="C518">
        <f>VLOOKUP(Medical_Examinations_2[[#This Row],[Customer ID]],Medical_Examinations!$1:$1048576,2,FALSE)</f>
        <v>35.72</v>
      </c>
      <c r="D518">
        <f>VLOOKUP(Medical_Examinations_2[[#This Row],[Customer ID]],Medical_Examinations!$1:$1048576,4,FALSE)</f>
        <v>4.08</v>
      </c>
      <c r="E518" t="str">
        <f>VLOOKUP(Medical_Examinations_2[[#This Row],[Customer ID]],Medical_Examinations!$1:$1048576,6,FALSE)</f>
        <v>No</v>
      </c>
      <c r="H518">
        <f>VLOOKUP(Medical_Examinations_2[[#This Row],[Customer ID]],Medical_Examinations!$1:$1048576,9,FALSE)</f>
        <v>1</v>
      </c>
      <c r="I518" t="str">
        <f>VLOOKUP(Medical_Examinations_2[[#This Row],[Customer ID]],Medical_Examinations!$1:$1048576,11,FALSE)</f>
        <v>No</v>
      </c>
    </row>
    <row r="519" spans="1:9" x14ac:dyDescent="0.25">
      <c r="A519" s="11" t="s">
        <v>549</v>
      </c>
      <c r="B519" t="str">
        <f>VLOOKUP(Customer_Names!A519,Customer_Names!$1:$1048576,4,FALSE)</f>
        <v>Karen</v>
      </c>
      <c r="C519">
        <f>VLOOKUP(Medical_Examinations_2[[#This Row],[Customer ID]],Medical_Examinations!$1:$1048576,2,FALSE)</f>
        <v>27.94</v>
      </c>
      <c r="D519">
        <f>VLOOKUP(Medical_Examinations_2[[#This Row],[Customer ID]],Medical_Examinations!$1:$1048576,4,FALSE)</f>
        <v>4.4800000000000004</v>
      </c>
      <c r="E519" t="str">
        <f>VLOOKUP(Medical_Examinations_2[[#This Row],[Customer ID]],Medical_Examinations!$1:$1048576,6,FALSE)</f>
        <v>No</v>
      </c>
      <c r="H519">
        <f>VLOOKUP(Medical_Examinations_2[[#This Row],[Customer ID]],Medical_Examinations!$1:$1048576,9,FALSE)</f>
        <v>1</v>
      </c>
      <c r="I519" t="str">
        <f>VLOOKUP(Medical_Examinations_2[[#This Row],[Customer ID]],Medical_Examinations!$1:$1048576,11,FALSE)</f>
        <v>Yes</v>
      </c>
    </row>
    <row r="520" spans="1:9" x14ac:dyDescent="0.25">
      <c r="A520" s="10" t="s">
        <v>550</v>
      </c>
      <c r="B520" t="str">
        <f>VLOOKUP(Customer_Names!A520,Customer_Names!$1:$1048576,4,FALSE)</f>
        <v>Gregory</v>
      </c>
      <c r="C520">
        <f>VLOOKUP(Medical_Examinations_2[[#This Row],[Customer ID]],Medical_Examinations!$1:$1048576,2,FALSE)</f>
        <v>27.1</v>
      </c>
      <c r="D520">
        <f>VLOOKUP(Medical_Examinations_2[[#This Row],[Customer ID]],Medical_Examinations!$1:$1048576,4,FALSE)</f>
        <v>5.73</v>
      </c>
      <c r="E520" t="str">
        <f>VLOOKUP(Medical_Examinations_2[[#This Row],[Customer ID]],Medical_Examinations!$1:$1048576,6,FALSE)</f>
        <v>No</v>
      </c>
      <c r="H520" t="str">
        <f>VLOOKUP(Medical_Examinations_2[[#This Row],[Customer ID]],Medical_Examinations!$1:$1048576,9,FALSE)</f>
        <v>No major surgery</v>
      </c>
      <c r="I520" t="str">
        <f>VLOOKUP(Medical_Examinations_2[[#This Row],[Customer ID]],Medical_Examinations!$1:$1048576,11,FALSE)</f>
        <v>Yes</v>
      </c>
    </row>
    <row r="521" spans="1:9" x14ac:dyDescent="0.25">
      <c r="A521" s="11" t="s">
        <v>551</v>
      </c>
      <c r="B521" t="str">
        <f>VLOOKUP(Customer_Names!A521,Customer_Names!$1:$1048576,4,FALSE)</f>
        <v>Sabine</v>
      </c>
      <c r="C521">
        <f>VLOOKUP(Medical_Examinations_2[[#This Row],[Customer ID]],Medical_Examinations!$1:$1048576,2,FALSE)</f>
        <v>18.3</v>
      </c>
      <c r="D521">
        <f>VLOOKUP(Medical_Examinations_2[[#This Row],[Customer ID]],Medical_Examinations!$1:$1048576,4,FALSE)</f>
        <v>5.46</v>
      </c>
      <c r="E521" t="str">
        <f>VLOOKUP(Medical_Examinations_2[[#This Row],[Customer ID]],Medical_Examinations!$1:$1048576,6,FALSE)</f>
        <v>Yes</v>
      </c>
      <c r="H521">
        <f>VLOOKUP(Medical_Examinations_2[[#This Row],[Customer ID]],Medical_Examinations!$1:$1048576,9,FALSE)</f>
        <v>1</v>
      </c>
      <c r="I521" t="str">
        <f>VLOOKUP(Medical_Examinations_2[[#This Row],[Customer ID]],Medical_Examinations!$1:$1048576,11,FALSE)</f>
        <v>Yes</v>
      </c>
    </row>
    <row r="522" spans="1:9" x14ac:dyDescent="0.25">
      <c r="A522" s="10" t="s">
        <v>552</v>
      </c>
      <c r="B522" t="str">
        <f>VLOOKUP(Customer_Names!A522,Customer_Names!$1:$1048576,4,FALSE)</f>
        <v>Joseph</v>
      </c>
      <c r="C522">
        <f>VLOOKUP(Medical_Examinations_2[[#This Row],[Customer ID]],Medical_Examinations!$1:$1048576,2,FALSE)</f>
        <v>25.3</v>
      </c>
      <c r="D522">
        <f>VLOOKUP(Medical_Examinations_2[[#This Row],[Customer ID]],Medical_Examinations!$1:$1048576,4,FALSE)</f>
        <v>5.0199999999999996</v>
      </c>
      <c r="E522" t="str">
        <f>VLOOKUP(Medical_Examinations_2[[#This Row],[Customer ID]],Medical_Examinations!$1:$1048576,6,FALSE)</f>
        <v>Yes</v>
      </c>
      <c r="H522">
        <f>VLOOKUP(Medical_Examinations_2[[#This Row],[Customer ID]],Medical_Examinations!$1:$1048576,9,FALSE)</f>
        <v>1</v>
      </c>
      <c r="I522" t="str">
        <f>VLOOKUP(Medical_Examinations_2[[#This Row],[Customer ID]],Medical_Examinations!$1:$1048576,11,FALSE)</f>
        <v>Yes</v>
      </c>
    </row>
    <row r="523" spans="1:9" x14ac:dyDescent="0.25">
      <c r="A523" s="11" t="s">
        <v>553</v>
      </c>
      <c r="B523" t="str">
        <f>VLOOKUP(Customer_Names!A523,Customer_Names!$1:$1048576,4,FALSE)</f>
        <v>Adam</v>
      </c>
      <c r="C523">
        <f>VLOOKUP(Medical_Examinations_2[[#This Row],[Customer ID]],Medical_Examinations!$1:$1048576,2,FALSE)</f>
        <v>38.83</v>
      </c>
      <c r="D523">
        <f>VLOOKUP(Medical_Examinations_2[[#This Row],[Customer ID]],Medical_Examinations!$1:$1048576,4,FALSE)</f>
        <v>6.36</v>
      </c>
      <c r="E523" t="str">
        <f>VLOOKUP(Medical_Examinations_2[[#This Row],[Customer ID]],Medical_Examinations!$1:$1048576,6,FALSE)</f>
        <v>No</v>
      </c>
      <c r="H523">
        <f>VLOOKUP(Medical_Examinations_2[[#This Row],[Customer ID]],Medical_Examinations!$1:$1048576,9,FALSE)</f>
        <v>1</v>
      </c>
      <c r="I523" t="str">
        <f>VLOOKUP(Medical_Examinations_2[[#This Row],[Customer ID]],Medical_Examinations!$1:$1048576,11,FALSE)</f>
        <v>No</v>
      </c>
    </row>
    <row r="524" spans="1:9" x14ac:dyDescent="0.25">
      <c r="A524" s="10" t="s">
        <v>554</v>
      </c>
      <c r="B524" t="str">
        <f>VLOOKUP(Customer_Names!A524,Customer_Names!$1:$1048576,4,FALSE)</f>
        <v>Karolyn A</v>
      </c>
      <c r="C524">
        <f>VLOOKUP(Medical_Examinations_2[[#This Row],[Customer ID]],Medical_Examinations!$1:$1048576,2,FALSE)</f>
        <v>27.6</v>
      </c>
      <c r="D524">
        <f>VLOOKUP(Medical_Examinations_2[[#This Row],[Customer ID]],Medical_Examinations!$1:$1048576,4,FALSE)</f>
        <v>5.36</v>
      </c>
      <c r="E524" t="str">
        <f>VLOOKUP(Medical_Examinations_2[[#This Row],[Customer ID]],Medical_Examinations!$1:$1048576,6,FALSE)</f>
        <v>No</v>
      </c>
      <c r="H524">
        <f>VLOOKUP(Medical_Examinations_2[[#This Row],[Customer ID]],Medical_Examinations!$1:$1048576,9,FALSE)</f>
        <v>1</v>
      </c>
      <c r="I524" t="str">
        <f>VLOOKUP(Medical_Examinations_2[[#This Row],[Customer ID]],Medical_Examinations!$1:$1048576,11,FALSE)</f>
        <v>No</v>
      </c>
    </row>
    <row r="525" spans="1:9" x14ac:dyDescent="0.25">
      <c r="A525" s="11" t="s">
        <v>555</v>
      </c>
      <c r="B525" t="str">
        <f>VLOOKUP(Customer_Names!A525,Customer_Names!$1:$1048576,4,FALSE)</f>
        <v>Anita L.</v>
      </c>
      <c r="C525">
        <f>VLOOKUP(Medical_Examinations_2[[#This Row],[Customer ID]],Medical_Examinations!$1:$1048576,2,FALSE)</f>
        <v>46.4</v>
      </c>
      <c r="D525">
        <f>VLOOKUP(Medical_Examinations_2[[#This Row],[Customer ID]],Medical_Examinations!$1:$1048576,4,FALSE)</f>
        <v>8.3699999999999992</v>
      </c>
      <c r="E525" t="str">
        <f>VLOOKUP(Medical_Examinations_2[[#This Row],[Customer ID]],Medical_Examinations!$1:$1048576,6,FALSE)</f>
        <v>Yes</v>
      </c>
      <c r="H525">
        <f>VLOOKUP(Medical_Examinations_2[[#This Row],[Customer ID]],Medical_Examinations!$1:$1048576,9,FALSE)</f>
        <v>1</v>
      </c>
      <c r="I525" t="str">
        <f>VLOOKUP(Medical_Examinations_2[[#This Row],[Customer ID]],Medical_Examinations!$1:$1048576,11,FALSE)</f>
        <v>No</v>
      </c>
    </row>
    <row r="526" spans="1:9" x14ac:dyDescent="0.25">
      <c r="A526" s="10" t="s">
        <v>556</v>
      </c>
      <c r="B526" t="str">
        <f>VLOOKUP(Customer_Names!A526,Customer_Names!$1:$1048576,4,FALSE)</f>
        <v>Laura E.</v>
      </c>
      <c r="C526">
        <f>VLOOKUP(Medical_Examinations_2[[#This Row],[Customer ID]],Medical_Examinations!$1:$1048576,2,FALSE)</f>
        <v>51.92</v>
      </c>
      <c r="D526">
        <f>VLOOKUP(Medical_Examinations_2[[#This Row],[Customer ID]],Medical_Examinations!$1:$1048576,4,FALSE)</f>
        <v>5.18</v>
      </c>
      <c r="E526" t="str">
        <f>VLOOKUP(Medical_Examinations_2[[#This Row],[Customer ID]],Medical_Examinations!$1:$1048576,6,FALSE)</f>
        <v>Yes</v>
      </c>
      <c r="H526">
        <f>VLOOKUP(Medical_Examinations_2[[#This Row],[Customer ID]],Medical_Examinations!$1:$1048576,9,FALSE)</f>
        <v>1</v>
      </c>
      <c r="I526" t="str">
        <f>VLOOKUP(Medical_Examinations_2[[#This Row],[Customer ID]],Medical_Examinations!$1:$1048576,11,FALSE)</f>
        <v>No</v>
      </c>
    </row>
    <row r="527" spans="1:9" x14ac:dyDescent="0.25">
      <c r="A527" s="11" t="s">
        <v>557</v>
      </c>
      <c r="B527" t="str">
        <f>VLOOKUP(Customer_Names!A527,Customer_Names!$1:$1048576,4,FALSE)</f>
        <v>Sarah</v>
      </c>
      <c r="C527">
        <f>VLOOKUP(Medical_Examinations_2[[#This Row],[Customer ID]],Medical_Examinations!$1:$1048576,2,FALSE)</f>
        <v>32.395000000000003</v>
      </c>
      <c r="D527">
        <f>VLOOKUP(Medical_Examinations_2[[#This Row],[Customer ID]],Medical_Examinations!$1:$1048576,4,FALSE)</f>
        <v>5.68</v>
      </c>
      <c r="E527" t="str">
        <f>VLOOKUP(Medical_Examinations_2[[#This Row],[Customer ID]],Medical_Examinations!$1:$1048576,6,FALSE)</f>
        <v>Yes</v>
      </c>
      <c r="H527">
        <f>VLOOKUP(Medical_Examinations_2[[#This Row],[Customer ID]],Medical_Examinations!$1:$1048576,9,FALSE)</f>
        <v>1</v>
      </c>
      <c r="I527" t="str">
        <f>VLOOKUP(Medical_Examinations_2[[#This Row],[Customer ID]],Medical_Examinations!$1:$1048576,11,FALSE)</f>
        <v>No</v>
      </c>
    </row>
    <row r="528" spans="1:9" x14ac:dyDescent="0.25">
      <c r="A528" s="10" t="s">
        <v>558</v>
      </c>
      <c r="B528" t="str">
        <f>VLOOKUP(Customer_Names!A528,Customer_Names!$1:$1048576,4,FALSE)</f>
        <v>Ashley E</v>
      </c>
      <c r="C528">
        <f>VLOOKUP(Medical_Examinations_2[[#This Row],[Customer ID]],Medical_Examinations!$1:$1048576,2,FALSE)</f>
        <v>46.19</v>
      </c>
      <c r="D528">
        <f>VLOOKUP(Medical_Examinations_2[[#This Row],[Customer ID]],Medical_Examinations!$1:$1048576,4,FALSE)</f>
        <v>7.31</v>
      </c>
      <c r="E528" t="str">
        <f>VLOOKUP(Medical_Examinations_2[[#This Row],[Customer ID]],Medical_Examinations!$1:$1048576,6,FALSE)</f>
        <v>Yes</v>
      </c>
      <c r="H528">
        <f>VLOOKUP(Medical_Examinations_2[[#This Row],[Customer ID]],Medical_Examinations!$1:$1048576,9,FALSE)</f>
        <v>1</v>
      </c>
      <c r="I528" t="str">
        <f>VLOOKUP(Medical_Examinations_2[[#This Row],[Customer ID]],Medical_Examinations!$1:$1048576,11,FALSE)</f>
        <v>No</v>
      </c>
    </row>
    <row r="529" spans="1:9" x14ac:dyDescent="0.25">
      <c r="A529" s="11" t="s">
        <v>559</v>
      </c>
      <c r="B529" t="str">
        <f>VLOOKUP(Customer_Names!A529,Customer_Names!$1:$1048576,4,FALSE)</f>
        <v>Lindsey</v>
      </c>
      <c r="C529">
        <f>VLOOKUP(Medical_Examinations_2[[#This Row],[Customer ID]],Medical_Examinations!$1:$1048576,2,FALSE)</f>
        <v>27.93</v>
      </c>
      <c r="D529">
        <f>VLOOKUP(Medical_Examinations_2[[#This Row],[Customer ID]],Medical_Examinations!$1:$1048576,4,FALSE)</f>
        <v>4.67</v>
      </c>
      <c r="E529" t="str">
        <f>VLOOKUP(Medical_Examinations_2[[#This Row],[Customer ID]],Medical_Examinations!$1:$1048576,6,FALSE)</f>
        <v>No</v>
      </c>
      <c r="H529">
        <f>VLOOKUP(Medical_Examinations_2[[#This Row],[Customer ID]],Medical_Examinations!$1:$1048576,9,FALSE)</f>
        <v>1</v>
      </c>
      <c r="I529" t="str">
        <f>VLOOKUP(Medical_Examinations_2[[#This Row],[Customer ID]],Medical_Examinations!$1:$1048576,11,FALSE)</f>
        <v>No</v>
      </c>
    </row>
    <row r="530" spans="1:9" x14ac:dyDescent="0.25">
      <c r="A530" s="10" t="s">
        <v>560</v>
      </c>
      <c r="B530" t="str">
        <f>VLOOKUP(Customer_Names!A530,Customer_Names!$1:$1048576,4,FALSE)</f>
        <v>Alan</v>
      </c>
      <c r="C530">
        <f>VLOOKUP(Medical_Examinations_2[[#This Row],[Customer ID]],Medical_Examinations!$1:$1048576,2,FALSE)</f>
        <v>45.62</v>
      </c>
      <c r="D530">
        <f>VLOOKUP(Medical_Examinations_2[[#This Row],[Customer ID]],Medical_Examinations!$1:$1048576,4,FALSE)</f>
        <v>6.87</v>
      </c>
      <c r="E530" t="str">
        <f>VLOOKUP(Medical_Examinations_2[[#This Row],[Customer ID]],Medical_Examinations!$1:$1048576,6,FALSE)</f>
        <v>No</v>
      </c>
      <c r="H530" t="str">
        <f>VLOOKUP(Medical_Examinations_2[[#This Row],[Customer ID]],Medical_Examinations!$1:$1048576,9,FALSE)</f>
        <v>No major surgery</v>
      </c>
      <c r="I530" t="str">
        <f>VLOOKUP(Medical_Examinations_2[[#This Row],[Customer ID]],Medical_Examinations!$1:$1048576,11,FALSE)</f>
        <v>No</v>
      </c>
    </row>
    <row r="531" spans="1:9" x14ac:dyDescent="0.25">
      <c r="A531" s="11" t="s">
        <v>561</v>
      </c>
      <c r="B531" t="str">
        <f>VLOOKUP(Customer_Names!A531,Customer_Names!$1:$1048576,4,FALSE)</f>
        <v>Dan R.</v>
      </c>
      <c r="C531">
        <f>VLOOKUP(Medical_Examinations_2[[#This Row],[Customer ID]],Medical_Examinations!$1:$1048576,2,FALSE)</f>
        <v>35.31</v>
      </c>
      <c r="D531">
        <f>VLOOKUP(Medical_Examinations_2[[#This Row],[Customer ID]],Medical_Examinations!$1:$1048576,4,FALSE)</f>
        <v>5.87</v>
      </c>
      <c r="E531" t="str">
        <f>VLOOKUP(Medical_Examinations_2[[#This Row],[Customer ID]],Medical_Examinations!$1:$1048576,6,FALSE)</f>
        <v>No</v>
      </c>
      <c r="H531">
        <f>VLOOKUP(Medical_Examinations_2[[#This Row],[Customer ID]],Medical_Examinations!$1:$1048576,9,FALSE)</f>
        <v>1</v>
      </c>
      <c r="I531" t="str">
        <f>VLOOKUP(Medical_Examinations_2[[#This Row],[Customer ID]],Medical_Examinations!$1:$1048576,11,FALSE)</f>
        <v>No</v>
      </c>
    </row>
    <row r="532" spans="1:9" x14ac:dyDescent="0.25">
      <c r="A532" s="10" t="s">
        <v>562</v>
      </c>
      <c r="B532" t="str">
        <f>VLOOKUP(Customer_Names!A532,Customer_Names!$1:$1048576,4,FALSE)</f>
        <v>Katie</v>
      </c>
      <c r="C532">
        <f>VLOOKUP(Medical_Examinations_2[[#This Row],[Customer ID]],Medical_Examinations!$1:$1048576,2,FALSE)</f>
        <v>30.4</v>
      </c>
      <c r="D532">
        <f>VLOOKUP(Medical_Examinations_2[[#This Row],[Customer ID]],Medical_Examinations!$1:$1048576,4,FALSE)</f>
        <v>4.07</v>
      </c>
      <c r="E532" t="str">
        <f>VLOOKUP(Medical_Examinations_2[[#This Row],[Customer ID]],Medical_Examinations!$1:$1048576,6,FALSE)</f>
        <v>Yes</v>
      </c>
      <c r="H532">
        <f>VLOOKUP(Medical_Examinations_2[[#This Row],[Customer ID]],Medical_Examinations!$1:$1048576,9,FALSE)</f>
        <v>1</v>
      </c>
      <c r="I532" t="str">
        <f>VLOOKUP(Medical_Examinations_2[[#This Row],[Customer ID]],Medical_Examinations!$1:$1048576,11,FALSE)</f>
        <v>No</v>
      </c>
    </row>
    <row r="533" spans="1:9" x14ac:dyDescent="0.25">
      <c r="A533" s="11" t="s">
        <v>563</v>
      </c>
      <c r="B533" t="str">
        <f>VLOOKUP(Customer_Names!A533,Customer_Names!$1:$1048576,4,FALSE)</f>
        <v>Eric</v>
      </c>
      <c r="C533">
        <f>VLOOKUP(Medical_Examinations_2[[#This Row],[Customer ID]],Medical_Examinations!$1:$1048576,2,FALSE)</f>
        <v>20.13</v>
      </c>
      <c r="D533">
        <f>VLOOKUP(Medical_Examinations_2[[#This Row],[Customer ID]],Medical_Examinations!$1:$1048576,4,FALSE)</f>
        <v>6.47</v>
      </c>
      <c r="E533" t="str">
        <f>VLOOKUP(Medical_Examinations_2[[#This Row],[Customer ID]],Medical_Examinations!$1:$1048576,6,FALSE)</f>
        <v>No</v>
      </c>
      <c r="H533">
        <f>VLOOKUP(Medical_Examinations_2[[#This Row],[Customer ID]],Medical_Examinations!$1:$1048576,9,FALSE)</f>
        <v>1</v>
      </c>
      <c r="I533" t="str">
        <f>VLOOKUP(Medical_Examinations_2[[#This Row],[Customer ID]],Medical_Examinations!$1:$1048576,11,FALSE)</f>
        <v>Yes</v>
      </c>
    </row>
    <row r="534" spans="1:9" x14ac:dyDescent="0.25">
      <c r="A534" s="10" t="s">
        <v>564</v>
      </c>
      <c r="B534" t="str">
        <f>VLOOKUP(Customer_Names!A534,Customer_Names!$1:$1048576,4,FALSE)</f>
        <v>Cathryn</v>
      </c>
      <c r="C534">
        <f>VLOOKUP(Medical_Examinations_2[[#This Row],[Customer ID]],Medical_Examinations!$1:$1048576,2,FALSE)</f>
        <v>23.655000000000001</v>
      </c>
      <c r="D534">
        <f>VLOOKUP(Medical_Examinations_2[[#This Row],[Customer ID]],Medical_Examinations!$1:$1048576,4,FALSE)</f>
        <v>5.14</v>
      </c>
      <c r="E534" t="str">
        <f>VLOOKUP(Medical_Examinations_2[[#This Row],[Customer ID]],Medical_Examinations!$1:$1048576,6,FALSE)</f>
        <v>No</v>
      </c>
      <c r="H534">
        <f>VLOOKUP(Medical_Examinations_2[[#This Row],[Customer ID]],Medical_Examinations!$1:$1048576,9,FALSE)</f>
        <v>1</v>
      </c>
      <c r="I534" t="str">
        <f>VLOOKUP(Medical_Examinations_2[[#This Row],[Customer ID]],Medical_Examinations!$1:$1048576,11,FALSE)</f>
        <v>Yes</v>
      </c>
    </row>
    <row r="535" spans="1:9" x14ac:dyDescent="0.25">
      <c r="A535" s="11" t="s">
        <v>565</v>
      </c>
      <c r="B535" t="str">
        <f>VLOOKUP(Customer_Names!A535,Customer_Names!$1:$1048576,4,FALSE)</f>
        <v>Brendan</v>
      </c>
      <c r="C535">
        <f>VLOOKUP(Medical_Examinations_2[[#This Row],[Customer ID]],Medical_Examinations!$1:$1048576,2,FALSE)</f>
        <v>49.05</v>
      </c>
      <c r="D535">
        <f>VLOOKUP(Medical_Examinations_2[[#This Row],[Customer ID]],Medical_Examinations!$1:$1048576,4,FALSE)</f>
        <v>9.77</v>
      </c>
      <c r="E535" t="str">
        <f>VLOOKUP(Medical_Examinations_2[[#This Row],[Customer ID]],Medical_Examinations!$1:$1048576,6,FALSE)</f>
        <v>Yes</v>
      </c>
      <c r="H535" t="str">
        <f>VLOOKUP(Medical_Examinations_2[[#This Row],[Customer ID]],Medical_Examinations!$1:$1048576,9,FALSE)</f>
        <v>No major surgery</v>
      </c>
      <c r="I535" t="str">
        <f>VLOOKUP(Medical_Examinations_2[[#This Row],[Customer ID]],Medical_Examinations!$1:$1048576,11,FALSE)</f>
        <v>No</v>
      </c>
    </row>
    <row r="536" spans="1:9" x14ac:dyDescent="0.25">
      <c r="A536" s="10" t="s">
        <v>566</v>
      </c>
      <c r="B536" t="str">
        <f>VLOOKUP(Customer_Names!A536,Customer_Names!$1:$1048576,4,FALSE)</f>
        <v>Shauna</v>
      </c>
      <c r="C536">
        <f>VLOOKUP(Medical_Examinations_2[[#This Row],[Customer ID]],Medical_Examinations!$1:$1048576,2,FALSE)</f>
        <v>51.94</v>
      </c>
      <c r="D536">
        <f>VLOOKUP(Medical_Examinations_2[[#This Row],[Customer ID]],Medical_Examinations!$1:$1048576,4,FALSE)</f>
        <v>8.8000000000000007</v>
      </c>
      <c r="E536" t="str">
        <f>VLOOKUP(Medical_Examinations_2[[#This Row],[Customer ID]],Medical_Examinations!$1:$1048576,6,FALSE)</f>
        <v>Yes</v>
      </c>
      <c r="H536">
        <f>VLOOKUP(Medical_Examinations_2[[#This Row],[Customer ID]],Medical_Examinations!$1:$1048576,9,FALSE)</f>
        <v>2</v>
      </c>
      <c r="I536" t="str">
        <f>VLOOKUP(Medical_Examinations_2[[#This Row],[Customer ID]],Medical_Examinations!$1:$1048576,11,FALSE)</f>
        <v>No</v>
      </c>
    </row>
    <row r="537" spans="1:9" x14ac:dyDescent="0.25">
      <c r="A537" s="11" t="s">
        <v>567</v>
      </c>
      <c r="B537" t="str">
        <f>VLOOKUP(Customer_Names!A537,Customer_Names!$1:$1048576,4,FALSE)</f>
        <v>Terence</v>
      </c>
      <c r="C537">
        <f>VLOOKUP(Medical_Examinations_2[[#This Row],[Customer ID]],Medical_Examinations!$1:$1048576,2,FALSE)</f>
        <v>29.83</v>
      </c>
      <c r="D537">
        <f>VLOOKUP(Medical_Examinations_2[[#This Row],[Customer ID]],Medical_Examinations!$1:$1048576,4,FALSE)</f>
        <v>5.84</v>
      </c>
      <c r="E537" t="str">
        <f>VLOOKUP(Medical_Examinations_2[[#This Row],[Customer ID]],Medical_Examinations!$1:$1048576,6,FALSE)</f>
        <v>No</v>
      </c>
      <c r="H537">
        <f>VLOOKUP(Medical_Examinations_2[[#This Row],[Customer ID]],Medical_Examinations!$1:$1048576,9,FALSE)</f>
        <v>1</v>
      </c>
      <c r="I537" t="str">
        <f>VLOOKUP(Medical_Examinations_2[[#This Row],[Customer ID]],Medical_Examinations!$1:$1048576,11,FALSE)</f>
        <v>Yes</v>
      </c>
    </row>
    <row r="538" spans="1:9" x14ac:dyDescent="0.25">
      <c r="A538" s="10" t="s">
        <v>568</v>
      </c>
      <c r="B538" t="str">
        <f>VLOOKUP(Customer_Names!A538,Customer_Names!$1:$1048576,4,FALSE)</f>
        <v>Marisol</v>
      </c>
      <c r="C538">
        <f>VLOOKUP(Medical_Examinations_2[[#This Row],[Customer ID]],Medical_Examinations!$1:$1048576,2,FALSE)</f>
        <v>22.6</v>
      </c>
      <c r="D538">
        <f>VLOOKUP(Medical_Examinations_2[[#This Row],[Customer ID]],Medical_Examinations!$1:$1048576,4,FALSE)</f>
        <v>10.43</v>
      </c>
      <c r="E538" t="str">
        <f>VLOOKUP(Medical_Examinations_2[[#This Row],[Customer ID]],Medical_Examinations!$1:$1048576,6,FALSE)</f>
        <v>Yes</v>
      </c>
      <c r="H538">
        <f>VLOOKUP(Medical_Examinations_2[[#This Row],[Customer ID]],Medical_Examinations!$1:$1048576,9,FALSE)</f>
        <v>1</v>
      </c>
      <c r="I538" t="str">
        <f>VLOOKUP(Medical_Examinations_2[[#This Row],[Customer ID]],Medical_Examinations!$1:$1048576,11,FALSE)</f>
        <v>Yes</v>
      </c>
    </row>
    <row r="539" spans="1:9" x14ac:dyDescent="0.25">
      <c r="A539" s="11" t="s">
        <v>569</v>
      </c>
      <c r="B539" t="str">
        <f>VLOOKUP(Customer_Names!A539,Customer_Names!$1:$1048576,4,FALSE)</f>
        <v>Lindsay</v>
      </c>
      <c r="C539">
        <f>VLOOKUP(Medical_Examinations_2[[#This Row],[Customer ID]],Medical_Examinations!$1:$1048576,2,FALSE)</f>
        <v>46.69</v>
      </c>
      <c r="D539">
        <f>VLOOKUP(Medical_Examinations_2[[#This Row],[Customer ID]],Medical_Examinations!$1:$1048576,4,FALSE)</f>
        <v>4.25</v>
      </c>
      <c r="E539" t="str">
        <f>VLOOKUP(Medical_Examinations_2[[#This Row],[Customer ID]],Medical_Examinations!$1:$1048576,6,FALSE)</f>
        <v>Yes</v>
      </c>
      <c r="H539">
        <f>VLOOKUP(Medical_Examinations_2[[#This Row],[Customer ID]],Medical_Examinations!$1:$1048576,9,FALSE)</f>
        <v>1</v>
      </c>
      <c r="I539" t="str">
        <f>VLOOKUP(Medical_Examinations_2[[#This Row],[Customer ID]],Medical_Examinations!$1:$1048576,11,FALSE)</f>
        <v>No</v>
      </c>
    </row>
    <row r="540" spans="1:9" x14ac:dyDescent="0.25">
      <c r="A540" s="10" t="s">
        <v>570</v>
      </c>
      <c r="B540" t="str">
        <f>VLOOKUP(Customer_Names!A540,Customer_Names!$1:$1048576,4,FALSE)</f>
        <v>Katie</v>
      </c>
      <c r="C540">
        <f>VLOOKUP(Medical_Examinations_2[[#This Row],[Customer ID]],Medical_Examinations!$1:$1048576,2,FALSE)</f>
        <v>28.49</v>
      </c>
      <c r="D540">
        <f>VLOOKUP(Medical_Examinations_2[[#This Row],[Customer ID]],Medical_Examinations!$1:$1048576,4,FALSE)</f>
        <v>4.8899999999999997</v>
      </c>
      <c r="E540" t="str">
        <f>VLOOKUP(Medical_Examinations_2[[#This Row],[Customer ID]],Medical_Examinations!$1:$1048576,6,FALSE)</f>
        <v>No</v>
      </c>
      <c r="H540" t="str">
        <f>VLOOKUP(Medical_Examinations_2[[#This Row],[Customer ID]],Medical_Examinations!$1:$1048576,9,FALSE)</f>
        <v>No major surgery</v>
      </c>
      <c r="I540" t="str">
        <f>VLOOKUP(Medical_Examinations_2[[#This Row],[Customer ID]],Medical_Examinations!$1:$1048576,11,FALSE)</f>
        <v>Yes</v>
      </c>
    </row>
    <row r="541" spans="1:9" x14ac:dyDescent="0.25">
      <c r="A541" s="11" t="s">
        <v>571</v>
      </c>
      <c r="B541" t="str">
        <f>VLOOKUP(Customer_Names!A541,Customer_Names!$1:$1048576,4,FALSE)</f>
        <v>Daniel</v>
      </c>
      <c r="C541">
        <f>VLOOKUP(Medical_Examinations_2[[#This Row],[Customer ID]],Medical_Examinations!$1:$1048576,2,FALSE)</f>
        <v>28.5</v>
      </c>
      <c r="D541">
        <f>VLOOKUP(Medical_Examinations_2[[#This Row],[Customer ID]],Medical_Examinations!$1:$1048576,4,FALSE)</f>
        <v>5.55</v>
      </c>
      <c r="E541" t="str">
        <f>VLOOKUP(Medical_Examinations_2[[#This Row],[Customer ID]],Medical_Examinations!$1:$1048576,6,FALSE)</f>
        <v>Yes</v>
      </c>
      <c r="H541">
        <f>VLOOKUP(Medical_Examinations_2[[#This Row],[Customer ID]],Medical_Examinations!$1:$1048576,9,FALSE)</f>
        <v>1</v>
      </c>
      <c r="I541" t="str">
        <f>VLOOKUP(Medical_Examinations_2[[#This Row],[Customer ID]],Medical_Examinations!$1:$1048576,11,FALSE)</f>
        <v>Yes</v>
      </c>
    </row>
    <row r="542" spans="1:9" x14ac:dyDescent="0.25">
      <c r="A542" s="10" t="s">
        <v>572</v>
      </c>
      <c r="B542" t="str">
        <f>VLOOKUP(Customer_Names!A542,Customer_Names!$1:$1048576,4,FALSE)</f>
        <v>Brett W</v>
      </c>
      <c r="C542">
        <f>VLOOKUP(Medical_Examinations_2[[#This Row],[Customer ID]],Medical_Examinations!$1:$1048576,2,FALSE)</f>
        <v>24.4</v>
      </c>
      <c r="D542">
        <f>VLOOKUP(Medical_Examinations_2[[#This Row],[Customer ID]],Medical_Examinations!$1:$1048576,4,FALSE)</f>
        <v>4.5199999999999996</v>
      </c>
      <c r="E542" t="str">
        <f>VLOOKUP(Medical_Examinations_2[[#This Row],[Customer ID]],Medical_Examinations!$1:$1048576,6,FALSE)</f>
        <v>No</v>
      </c>
      <c r="H542">
        <f>VLOOKUP(Medical_Examinations_2[[#This Row],[Customer ID]],Medical_Examinations!$1:$1048576,9,FALSE)</f>
        <v>1</v>
      </c>
      <c r="I542" t="str">
        <f>VLOOKUP(Medical_Examinations_2[[#This Row],[Customer ID]],Medical_Examinations!$1:$1048576,11,FALSE)</f>
        <v>Yes</v>
      </c>
    </row>
    <row r="543" spans="1:9" x14ac:dyDescent="0.25">
      <c r="A543" s="11" t="s">
        <v>573</v>
      </c>
      <c r="B543" t="str">
        <f>VLOOKUP(Customer_Names!A543,Customer_Names!$1:$1048576,4,FALSE)</f>
        <v>Dylan J</v>
      </c>
      <c r="C543">
        <f>VLOOKUP(Medical_Examinations_2[[#This Row],[Customer ID]],Medical_Examinations!$1:$1048576,2,FALSE)</f>
        <v>29.15</v>
      </c>
      <c r="D543">
        <f>VLOOKUP(Medical_Examinations_2[[#This Row],[Customer ID]],Medical_Examinations!$1:$1048576,4,FALSE)</f>
        <v>4.45</v>
      </c>
      <c r="E543" t="str">
        <f>VLOOKUP(Medical_Examinations_2[[#This Row],[Customer ID]],Medical_Examinations!$1:$1048576,6,FALSE)</f>
        <v>Yes</v>
      </c>
      <c r="H543">
        <f>VLOOKUP(Medical_Examinations_2[[#This Row],[Customer ID]],Medical_Examinations!$1:$1048576,9,FALSE)</f>
        <v>1</v>
      </c>
      <c r="I543" t="str">
        <f>VLOOKUP(Medical_Examinations_2[[#This Row],[Customer ID]],Medical_Examinations!$1:$1048576,11,FALSE)</f>
        <v>Yes</v>
      </c>
    </row>
    <row r="544" spans="1:9" x14ac:dyDescent="0.25">
      <c r="A544" s="10" t="s">
        <v>574</v>
      </c>
      <c r="B544" t="str">
        <f>VLOOKUP(Customer_Names!A544,Customer_Names!$1:$1048576,4,FALSE)</f>
        <v>Elizabeth</v>
      </c>
      <c r="C544">
        <f>VLOOKUP(Medical_Examinations_2[[#This Row],[Customer ID]],Medical_Examinations!$1:$1048576,2,FALSE)</f>
        <v>27.28</v>
      </c>
      <c r="D544">
        <f>VLOOKUP(Medical_Examinations_2[[#This Row],[Customer ID]],Medical_Examinations!$1:$1048576,4,FALSE)</f>
        <v>4.72</v>
      </c>
      <c r="E544" t="str">
        <f>VLOOKUP(Medical_Examinations_2[[#This Row],[Customer ID]],Medical_Examinations!$1:$1048576,6,FALSE)</f>
        <v>No</v>
      </c>
      <c r="H544">
        <f>VLOOKUP(Medical_Examinations_2[[#This Row],[Customer ID]],Medical_Examinations!$1:$1048576,9,FALSE)</f>
        <v>1</v>
      </c>
      <c r="I544" t="str">
        <f>VLOOKUP(Medical_Examinations_2[[#This Row],[Customer ID]],Medical_Examinations!$1:$1048576,11,FALSE)</f>
        <v>Yes</v>
      </c>
    </row>
    <row r="545" spans="1:9" x14ac:dyDescent="0.25">
      <c r="A545" s="11" t="s">
        <v>575</v>
      </c>
      <c r="B545" t="str">
        <f>VLOOKUP(Customer_Names!A545,Customer_Names!$1:$1048576,4,FALSE)</f>
        <v>Brooke M.</v>
      </c>
      <c r="C545">
        <f>VLOOKUP(Medical_Examinations_2[[#This Row],[Customer ID]],Medical_Examinations!$1:$1048576,2,FALSE)</f>
        <v>32.229999999999997</v>
      </c>
      <c r="D545">
        <f>VLOOKUP(Medical_Examinations_2[[#This Row],[Customer ID]],Medical_Examinations!$1:$1048576,4,FALSE)</f>
        <v>4.6500000000000004</v>
      </c>
      <c r="E545" t="str">
        <f>VLOOKUP(Medical_Examinations_2[[#This Row],[Customer ID]],Medical_Examinations!$1:$1048576,6,FALSE)</f>
        <v>Yes</v>
      </c>
      <c r="H545">
        <f>VLOOKUP(Medical_Examinations_2[[#This Row],[Customer ID]],Medical_Examinations!$1:$1048576,9,FALSE)</f>
        <v>1</v>
      </c>
      <c r="I545" t="str">
        <f>VLOOKUP(Medical_Examinations_2[[#This Row],[Customer ID]],Medical_Examinations!$1:$1048576,11,FALSE)</f>
        <v>No</v>
      </c>
    </row>
    <row r="546" spans="1:9" x14ac:dyDescent="0.25">
      <c r="A546" s="10" t="s">
        <v>576</v>
      </c>
      <c r="B546" t="str">
        <f>VLOOKUP(Customer_Names!A546,Customer_Names!$1:$1048576,4,FALSE)</f>
        <v>Teiko</v>
      </c>
      <c r="C546">
        <f>VLOOKUP(Medical_Examinations_2[[#This Row],[Customer ID]],Medical_Examinations!$1:$1048576,2,FALSE)</f>
        <v>44.2</v>
      </c>
      <c r="D546">
        <f>VLOOKUP(Medical_Examinations_2[[#This Row],[Customer ID]],Medical_Examinations!$1:$1048576,4,FALSE)</f>
        <v>11.34</v>
      </c>
      <c r="E546" t="str">
        <f>VLOOKUP(Medical_Examinations_2[[#This Row],[Customer ID]],Medical_Examinations!$1:$1048576,6,FALSE)</f>
        <v>Yes</v>
      </c>
      <c r="H546">
        <f>VLOOKUP(Medical_Examinations_2[[#This Row],[Customer ID]],Medical_Examinations!$1:$1048576,9,FALSE)</f>
        <v>1</v>
      </c>
      <c r="I546" t="str">
        <f>VLOOKUP(Medical_Examinations_2[[#This Row],[Customer ID]],Medical_Examinations!$1:$1048576,11,FALSE)</f>
        <v>No</v>
      </c>
    </row>
    <row r="547" spans="1:9" x14ac:dyDescent="0.25">
      <c r="A547" s="11" t="s">
        <v>577</v>
      </c>
      <c r="B547" t="str">
        <f>VLOOKUP(Customer_Names!A547,Customer_Names!$1:$1048576,4,FALSE)</f>
        <v>Zachary</v>
      </c>
      <c r="C547">
        <f>VLOOKUP(Medical_Examinations_2[[#This Row],[Customer ID]],Medical_Examinations!$1:$1048576,2,FALSE)</f>
        <v>29.734999999999999</v>
      </c>
      <c r="D547">
        <f>VLOOKUP(Medical_Examinations_2[[#This Row],[Customer ID]],Medical_Examinations!$1:$1048576,4,FALSE)</f>
        <v>4.53</v>
      </c>
      <c r="E547" t="str">
        <f>VLOOKUP(Medical_Examinations_2[[#This Row],[Customer ID]],Medical_Examinations!$1:$1048576,6,FALSE)</f>
        <v>No</v>
      </c>
      <c r="H547">
        <f>VLOOKUP(Medical_Examinations_2[[#This Row],[Customer ID]],Medical_Examinations!$1:$1048576,9,FALSE)</f>
        <v>1</v>
      </c>
      <c r="I547" t="str">
        <f>VLOOKUP(Medical_Examinations_2[[#This Row],[Customer ID]],Medical_Examinations!$1:$1048576,11,FALSE)</f>
        <v>No</v>
      </c>
    </row>
    <row r="548" spans="1:9" x14ac:dyDescent="0.25">
      <c r="A548" s="10" t="s">
        <v>578</v>
      </c>
      <c r="B548" t="str">
        <f>VLOOKUP(Customer_Names!A548,Customer_Names!$1:$1048576,4,FALSE)</f>
        <v>Johannah</v>
      </c>
      <c r="C548">
        <f>VLOOKUP(Medical_Examinations_2[[#This Row],[Customer ID]],Medical_Examinations!$1:$1048576,2,FALSE)</f>
        <v>28.31</v>
      </c>
      <c r="D548">
        <f>VLOOKUP(Medical_Examinations_2[[#This Row],[Customer ID]],Medical_Examinations!$1:$1048576,4,FALSE)</f>
        <v>6.35</v>
      </c>
      <c r="E548" t="str">
        <f>VLOOKUP(Medical_Examinations_2[[#This Row],[Customer ID]],Medical_Examinations!$1:$1048576,6,FALSE)</f>
        <v>No</v>
      </c>
      <c r="H548" t="str">
        <f>VLOOKUP(Medical_Examinations_2[[#This Row],[Customer ID]],Medical_Examinations!$1:$1048576,9,FALSE)</f>
        <v>No major surgery</v>
      </c>
      <c r="I548" t="str">
        <f>VLOOKUP(Medical_Examinations_2[[#This Row],[Customer ID]],Medical_Examinations!$1:$1048576,11,FALSE)</f>
        <v>Yes</v>
      </c>
    </row>
    <row r="549" spans="1:9" x14ac:dyDescent="0.25">
      <c r="A549" s="11" t="s">
        <v>579</v>
      </c>
      <c r="B549" t="str">
        <f>VLOOKUP(Customer_Names!A549,Customer_Names!$1:$1048576,4,FALSE)</f>
        <v>Ryan A</v>
      </c>
      <c r="C549">
        <f>VLOOKUP(Medical_Examinations_2[[#This Row],[Customer ID]],Medical_Examinations!$1:$1048576,2,FALSE)</f>
        <v>46.62</v>
      </c>
      <c r="D549">
        <f>VLOOKUP(Medical_Examinations_2[[#This Row],[Customer ID]],Medical_Examinations!$1:$1048576,4,FALSE)</f>
        <v>8.51</v>
      </c>
      <c r="E549" t="str">
        <f>VLOOKUP(Medical_Examinations_2[[#This Row],[Customer ID]],Medical_Examinations!$1:$1048576,6,FALSE)</f>
        <v>No</v>
      </c>
      <c r="H549" t="str">
        <f>VLOOKUP(Medical_Examinations_2[[#This Row],[Customer ID]],Medical_Examinations!$1:$1048576,9,FALSE)</f>
        <v>No major surgery</v>
      </c>
      <c r="I549" t="str">
        <f>VLOOKUP(Medical_Examinations_2[[#This Row],[Customer ID]],Medical_Examinations!$1:$1048576,11,FALSE)</f>
        <v>No</v>
      </c>
    </row>
    <row r="550" spans="1:9" x14ac:dyDescent="0.25">
      <c r="A550" s="10" t="s">
        <v>580</v>
      </c>
      <c r="B550" t="str">
        <f>VLOOKUP(Customer_Names!A550,Customer_Names!$1:$1048576,4,FALSE)</f>
        <v>Andres Sr.</v>
      </c>
      <c r="C550">
        <f>VLOOKUP(Medical_Examinations_2[[#This Row],[Customer ID]],Medical_Examinations!$1:$1048576,2,FALSE)</f>
        <v>51.75</v>
      </c>
      <c r="D550">
        <f>VLOOKUP(Medical_Examinations_2[[#This Row],[Customer ID]],Medical_Examinations!$1:$1048576,4,FALSE)</f>
        <v>8.59</v>
      </c>
      <c r="E550" t="str">
        <f>VLOOKUP(Medical_Examinations_2[[#This Row],[Customer ID]],Medical_Examinations!$1:$1048576,6,FALSE)</f>
        <v>Yes</v>
      </c>
      <c r="H550">
        <f>VLOOKUP(Medical_Examinations_2[[#This Row],[Customer ID]],Medical_Examinations!$1:$1048576,9,FALSE)</f>
        <v>1</v>
      </c>
      <c r="I550" t="str">
        <f>VLOOKUP(Medical_Examinations_2[[#This Row],[Customer ID]],Medical_Examinations!$1:$1048576,11,FALSE)</f>
        <v>No</v>
      </c>
    </row>
    <row r="551" spans="1:9" x14ac:dyDescent="0.25">
      <c r="A551" s="11" t="s">
        <v>581</v>
      </c>
      <c r="B551" t="str">
        <f>VLOOKUP(Customer_Names!A551,Customer_Names!$1:$1048576,4,FALSE)</f>
        <v>Bryan</v>
      </c>
      <c r="C551">
        <f>VLOOKUP(Medical_Examinations_2[[#This Row],[Customer ID]],Medical_Examinations!$1:$1048576,2,FALSE)</f>
        <v>25.7</v>
      </c>
      <c r="D551">
        <f>VLOOKUP(Medical_Examinations_2[[#This Row],[Customer ID]],Medical_Examinations!$1:$1048576,4,FALSE)</f>
        <v>4.13</v>
      </c>
      <c r="E551" t="str">
        <f>VLOOKUP(Medical_Examinations_2[[#This Row],[Customer ID]],Medical_Examinations!$1:$1048576,6,FALSE)</f>
        <v>Yes</v>
      </c>
      <c r="H551" t="str">
        <f>VLOOKUP(Medical_Examinations_2[[#This Row],[Customer ID]],Medical_Examinations!$1:$1048576,9,FALSE)</f>
        <v>No major surgery</v>
      </c>
      <c r="I551" t="str">
        <f>VLOOKUP(Medical_Examinations_2[[#This Row],[Customer ID]],Medical_Examinations!$1:$1048576,11,FALSE)</f>
        <v>Yes</v>
      </c>
    </row>
    <row r="552" spans="1:9" x14ac:dyDescent="0.25">
      <c r="A552" s="10" t="s">
        <v>582</v>
      </c>
      <c r="B552" t="str">
        <f>VLOOKUP(Customer_Names!A552,Customer_Names!$1:$1048576,4,FALSE)</f>
        <v>Lizette</v>
      </c>
      <c r="C552">
        <f>VLOOKUP(Medical_Examinations_2[[#This Row],[Customer ID]],Medical_Examinations!$1:$1048576,2,FALSE)</f>
        <v>31.79</v>
      </c>
      <c r="D552">
        <f>VLOOKUP(Medical_Examinations_2[[#This Row],[Customer ID]],Medical_Examinations!$1:$1048576,4,FALSE)</f>
        <v>4.55</v>
      </c>
      <c r="E552" t="str">
        <f>VLOOKUP(Medical_Examinations_2[[#This Row],[Customer ID]],Medical_Examinations!$1:$1048576,6,FALSE)</f>
        <v>No</v>
      </c>
      <c r="H552" t="str">
        <f>VLOOKUP(Medical_Examinations_2[[#This Row],[Customer ID]],Medical_Examinations!$1:$1048576,9,FALSE)</f>
        <v>No major surgery</v>
      </c>
      <c r="I552" t="str">
        <f>VLOOKUP(Medical_Examinations_2[[#This Row],[Customer ID]],Medical_Examinations!$1:$1048576,11,FALSE)</f>
        <v>No</v>
      </c>
    </row>
    <row r="553" spans="1:9" x14ac:dyDescent="0.25">
      <c r="A553" s="11" t="s">
        <v>583</v>
      </c>
      <c r="B553" t="str">
        <f>VLOOKUP(Customer_Names!A553,Customer_Names!$1:$1048576,4,FALSE)</f>
        <v>Don</v>
      </c>
      <c r="C553">
        <f>VLOOKUP(Medical_Examinations_2[[#This Row],[Customer ID]],Medical_Examinations!$1:$1048576,2,FALSE)</f>
        <v>24.795000000000002</v>
      </c>
      <c r="D553">
        <f>VLOOKUP(Medical_Examinations_2[[#This Row],[Customer ID]],Medical_Examinations!$1:$1048576,4,FALSE)</f>
        <v>4.5199999999999996</v>
      </c>
      <c r="E553" t="str">
        <f>VLOOKUP(Medical_Examinations_2[[#This Row],[Customer ID]],Medical_Examinations!$1:$1048576,6,FALSE)</f>
        <v>No</v>
      </c>
      <c r="H553" t="str">
        <f>VLOOKUP(Medical_Examinations_2[[#This Row],[Customer ID]],Medical_Examinations!$1:$1048576,9,FALSE)</f>
        <v>No major surgery</v>
      </c>
      <c r="I553" t="str">
        <f>VLOOKUP(Medical_Examinations_2[[#This Row],[Customer ID]],Medical_Examinations!$1:$1048576,11,FALSE)</f>
        <v>Yes</v>
      </c>
    </row>
    <row r="554" spans="1:9" x14ac:dyDescent="0.25">
      <c r="A554" s="10" t="s">
        <v>584</v>
      </c>
      <c r="B554" t="str">
        <f>VLOOKUP(Customer_Names!A554,Customer_Names!$1:$1048576,4,FALSE)</f>
        <v>Jeb</v>
      </c>
      <c r="C554">
        <f>VLOOKUP(Medical_Examinations_2[[#This Row],[Customer ID]],Medical_Examinations!$1:$1048576,2,FALSE)</f>
        <v>53.98</v>
      </c>
      <c r="D554">
        <f>VLOOKUP(Medical_Examinations_2[[#This Row],[Customer ID]],Medical_Examinations!$1:$1048576,4,FALSE)</f>
        <v>5.07</v>
      </c>
      <c r="E554" t="str">
        <f>VLOOKUP(Medical_Examinations_2[[#This Row],[Customer ID]],Medical_Examinations!$1:$1048576,6,FALSE)</f>
        <v>No</v>
      </c>
      <c r="H554">
        <f>VLOOKUP(Medical_Examinations_2[[#This Row],[Customer ID]],Medical_Examinations!$1:$1048576,9,FALSE)</f>
        <v>1</v>
      </c>
      <c r="I554" t="str">
        <f>VLOOKUP(Medical_Examinations_2[[#This Row],[Customer ID]],Medical_Examinations!$1:$1048576,11,FALSE)</f>
        <v>No</v>
      </c>
    </row>
    <row r="555" spans="1:9" x14ac:dyDescent="0.25">
      <c r="A555" s="11" t="s">
        <v>585</v>
      </c>
      <c r="B555" t="str">
        <f>VLOOKUP(Customer_Names!A555,Customer_Names!$1:$1048576,4,FALSE)</f>
        <v>Amy R.</v>
      </c>
      <c r="C555">
        <f>VLOOKUP(Medical_Examinations_2[[#This Row],[Customer ID]],Medical_Examinations!$1:$1048576,2,FALSE)</f>
        <v>41.325000000000003</v>
      </c>
      <c r="D555">
        <f>VLOOKUP(Medical_Examinations_2[[#This Row],[Customer ID]],Medical_Examinations!$1:$1048576,4,FALSE)</f>
        <v>4.04</v>
      </c>
      <c r="E555" t="str">
        <f>VLOOKUP(Medical_Examinations_2[[#This Row],[Customer ID]],Medical_Examinations!$1:$1048576,6,FALSE)</f>
        <v>Yes</v>
      </c>
      <c r="H555">
        <f>VLOOKUP(Medical_Examinations_2[[#This Row],[Customer ID]],Medical_Examinations!$1:$1048576,9,FALSE)</f>
        <v>1</v>
      </c>
      <c r="I555" t="str">
        <f>VLOOKUP(Medical_Examinations_2[[#This Row],[Customer ID]],Medical_Examinations!$1:$1048576,11,FALSE)</f>
        <v>No</v>
      </c>
    </row>
    <row r="556" spans="1:9" x14ac:dyDescent="0.25">
      <c r="A556" s="10" t="s">
        <v>586</v>
      </c>
      <c r="B556" t="str">
        <f>VLOOKUP(Customer_Names!A556,Customer_Names!$1:$1048576,4,FALSE)</f>
        <v>Brian</v>
      </c>
      <c r="C556">
        <f>VLOOKUP(Medical_Examinations_2[[#This Row],[Customer ID]],Medical_Examinations!$1:$1048576,2,FALSE)</f>
        <v>51.65</v>
      </c>
      <c r="D556">
        <f>VLOOKUP(Medical_Examinations_2[[#This Row],[Customer ID]],Medical_Examinations!$1:$1048576,4,FALSE)</f>
        <v>5.3</v>
      </c>
      <c r="E556" t="str">
        <f>VLOOKUP(Medical_Examinations_2[[#This Row],[Customer ID]],Medical_Examinations!$1:$1048576,6,FALSE)</f>
        <v>Yes</v>
      </c>
      <c r="H556" t="str">
        <f>VLOOKUP(Medical_Examinations_2[[#This Row],[Customer ID]],Medical_Examinations!$1:$1048576,9,FALSE)</f>
        <v>No major surgery</v>
      </c>
      <c r="I556" t="str">
        <f>VLOOKUP(Medical_Examinations_2[[#This Row],[Customer ID]],Medical_Examinations!$1:$1048576,11,FALSE)</f>
        <v>No</v>
      </c>
    </row>
    <row r="557" spans="1:9" x14ac:dyDescent="0.25">
      <c r="A557" s="11" t="s">
        <v>587</v>
      </c>
      <c r="B557" t="str">
        <f>VLOOKUP(Customer_Names!A557,Customer_Names!$1:$1048576,4,FALSE)</f>
        <v>Mike G</v>
      </c>
      <c r="C557">
        <f>VLOOKUP(Medical_Examinations_2[[#This Row],[Customer ID]],Medical_Examinations!$1:$1048576,2,FALSE)</f>
        <v>44.52</v>
      </c>
      <c r="D557">
        <f>VLOOKUP(Medical_Examinations_2[[#This Row],[Customer ID]],Medical_Examinations!$1:$1048576,4,FALSE)</f>
        <v>8.64</v>
      </c>
      <c r="E557" t="str">
        <f>VLOOKUP(Medical_Examinations_2[[#This Row],[Customer ID]],Medical_Examinations!$1:$1048576,6,FALSE)</f>
        <v>Yes</v>
      </c>
      <c r="H557">
        <f>VLOOKUP(Medical_Examinations_2[[#This Row],[Customer ID]],Medical_Examinations!$1:$1048576,9,FALSE)</f>
        <v>1</v>
      </c>
      <c r="I557" t="str">
        <f>VLOOKUP(Medical_Examinations_2[[#This Row],[Customer ID]],Medical_Examinations!$1:$1048576,11,FALSE)</f>
        <v>No</v>
      </c>
    </row>
    <row r="558" spans="1:9" x14ac:dyDescent="0.25">
      <c r="A558" s="10" t="s">
        <v>588</v>
      </c>
      <c r="B558" t="str">
        <f>VLOOKUP(Customer_Names!A558,Customer_Names!$1:$1048576,4,FALSE)</f>
        <v>Simonezitrone Sr.</v>
      </c>
      <c r="C558">
        <f>VLOOKUP(Medical_Examinations_2[[#This Row],[Customer ID]],Medical_Examinations!$1:$1048576,2,FALSE)</f>
        <v>53.29</v>
      </c>
      <c r="D558">
        <f>VLOOKUP(Medical_Examinations_2[[#This Row],[Customer ID]],Medical_Examinations!$1:$1048576,4,FALSE)</f>
        <v>4.03</v>
      </c>
      <c r="E558" t="str">
        <f>VLOOKUP(Medical_Examinations_2[[#This Row],[Customer ID]],Medical_Examinations!$1:$1048576,6,FALSE)</f>
        <v>No</v>
      </c>
      <c r="H558">
        <f>VLOOKUP(Medical_Examinations_2[[#This Row],[Customer ID]],Medical_Examinations!$1:$1048576,9,FALSE)</f>
        <v>1</v>
      </c>
      <c r="I558" t="str">
        <f>VLOOKUP(Medical_Examinations_2[[#This Row],[Customer ID]],Medical_Examinations!$1:$1048576,11,FALSE)</f>
        <v>No</v>
      </c>
    </row>
    <row r="559" spans="1:9" x14ac:dyDescent="0.25">
      <c r="A559" s="11" t="s">
        <v>589</v>
      </c>
      <c r="B559" t="str">
        <f>VLOOKUP(Customer_Names!A559,Customer_Names!$1:$1048576,4,FALSE)</f>
        <v>Nicholas</v>
      </c>
      <c r="C559">
        <f>VLOOKUP(Medical_Examinations_2[[#This Row],[Customer ID]],Medical_Examinations!$1:$1048576,2,FALSE)</f>
        <v>46.63</v>
      </c>
      <c r="D559">
        <f>VLOOKUP(Medical_Examinations_2[[#This Row],[Customer ID]],Medical_Examinations!$1:$1048576,4,FALSE)</f>
        <v>4.26</v>
      </c>
      <c r="E559" t="str">
        <f>VLOOKUP(Medical_Examinations_2[[#This Row],[Customer ID]],Medical_Examinations!$1:$1048576,6,FALSE)</f>
        <v>Yes</v>
      </c>
      <c r="H559">
        <f>VLOOKUP(Medical_Examinations_2[[#This Row],[Customer ID]],Medical_Examinations!$1:$1048576,9,FALSE)</f>
        <v>2</v>
      </c>
      <c r="I559" t="str">
        <f>VLOOKUP(Medical_Examinations_2[[#This Row],[Customer ID]],Medical_Examinations!$1:$1048576,11,FALSE)</f>
        <v>No</v>
      </c>
    </row>
    <row r="560" spans="1:9" x14ac:dyDescent="0.25">
      <c r="A560" s="10" t="s">
        <v>590</v>
      </c>
      <c r="B560" t="str">
        <f>VLOOKUP(Customer_Names!A560,Customer_Names!$1:$1048576,4,FALSE)</f>
        <v>Angela M</v>
      </c>
      <c r="C560">
        <f>VLOOKUP(Medical_Examinations_2[[#This Row],[Customer ID]],Medical_Examinations!$1:$1048576,2,FALSE)</f>
        <v>28.88</v>
      </c>
      <c r="D560">
        <f>VLOOKUP(Medical_Examinations_2[[#This Row],[Customer ID]],Medical_Examinations!$1:$1048576,4,FALSE)</f>
        <v>5.35</v>
      </c>
      <c r="E560" t="str">
        <f>VLOOKUP(Medical_Examinations_2[[#This Row],[Customer ID]],Medical_Examinations!$1:$1048576,6,FALSE)</f>
        <v>No</v>
      </c>
      <c r="H560">
        <f>VLOOKUP(Medical_Examinations_2[[#This Row],[Customer ID]],Medical_Examinations!$1:$1048576,9,FALSE)</f>
        <v>1</v>
      </c>
      <c r="I560" t="str">
        <f>VLOOKUP(Medical_Examinations_2[[#This Row],[Customer ID]],Medical_Examinations!$1:$1048576,11,FALSE)</f>
        <v>Yes</v>
      </c>
    </row>
    <row r="561" spans="1:9" x14ac:dyDescent="0.25">
      <c r="A561" s="11" t="s">
        <v>591</v>
      </c>
      <c r="B561" t="str">
        <f>VLOOKUP(Customer_Names!A561,Customer_Names!$1:$1048576,4,FALSE)</f>
        <v>Oz</v>
      </c>
      <c r="C561">
        <f>VLOOKUP(Medical_Examinations_2[[#This Row],[Customer ID]],Medical_Examinations!$1:$1048576,2,FALSE)</f>
        <v>23.98</v>
      </c>
      <c r="D561">
        <f>VLOOKUP(Medical_Examinations_2[[#This Row],[Customer ID]],Medical_Examinations!$1:$1048576,4,FALSE)</f>
        <v>4.9000000000000004</v>
      </c>
      <c r="E561" t="str">
        <f>VLOOKUP(Medical_Examinations_2[[#This Row],[Customer ID]],Medical_Examinations!$1:$1048576,6,FALSE)</f>
        <v>No</v>
      </c>
      <c r="H561" t="str">
        <f>VLOOKUP(Medical_Examinations_2[[#This Row],[Customer ID]],Medical_Examinations!$1:$1048576,9,FALSE)</f>
        <v>No major surgery</v>
      </c>
      <c r="I561" t="str">
        <f>VLOOKUP(Medical_Examinations_2[[#This Row],[Customer ID]],Medical_Examinations!$1:$1048576,11,FALSE)</f>
        <v>No</v>
      </c>
    </row>
    <row r="562" spans="1:9" x14ac:dyDescent="0.25">
      <c r="A562" s="10" t="s">
        <v>592</v>
      </c>
      <c r="B562" t="str">
        <f>VLOOKUP(Customer_Names!A562,Customer_Names!$1:$1048576,4,FALSE)</f>
        <v>Erin M.</v>
      </c>
      <c r="C562">
        <f>VLOOKUP(Medical_Examinations_2[[#This Row],[Customer ID]],Medical_Examinations!$1:$1048576,2,FALSE)</f>
        <v>23.65</v>
      </c>
      <c r="D562">
        <f>VLOOKUP(Medical_Examinations_2[[#This Row],[Customer ID]],Medical_Examinations!$1:$1048576,4,FALSE)</f>
        <v>4.5</v>
      </c>
      <c r="E562" t="str">
        <f>VLOOKUP(Medical_Examinations_2[[#This Row],[Customer ID]],Medical_Examinations!$1:$1048576,6,FALSE)</f>
        <v>No</v>
      </c>
      <c r="H562" t="str">
        <f>VLOOKUP(Medical_Examinations_2[[#This Row],[Customer ID]],Medical_Examinations!$1:$1048576,9,FALSE)</f>
        <v>No major surgery</v>
      </c>
      <c r="I562" t="str">
        <f>VLOOKUP(Medical_Examinations_2[[#This Row],[Customer ID]],Medical_Examinations!$1:$1048576,11,FALSE)</f>
        <v>No</v>
      </c>
    </row>
    <row r="563" spans="1:9" x14ac:dyDescent="0.25">
      <c r="A563" s="11" t="s">
        <v>593</v>
      </c>
      <c r="B563" t="str">
        <f>VLOOKUP(Customer_Names!A563,Customer_Names!$1:$1048576,4,FALSE)</f>
        <v>Bobby E.</v>
      </c>
      <c r="C563">
        <f>VLOOKUP(Medical_Examinations_2[[#This Row],[Customer ID]],Medical_Examinations!$1:$1048576,2,FALSE)</f>
        <v>49.09</v>
      </c>
      <c r="D563">
        <f>VLOOKUP(Medical_Examinations_2[[#This Row],[Customer ID]],Medical_Examinations!$1:$1048576,4,FALSE)</f>
        <v>8.3800000000000008</v>
      </c>
      <c r="E563" t="str">
        <f>VLOOKUP(Medical_Examinations_2[[#This Row],[Customer ID]],Medical_Examinations!$1:$1048576,6,FALSE)</f>
        <v>Yes</v>
      </c>
      <c r="H563">
        <f>VLOOKUP(Medical_Examinations_2[[#This Row],[Customer ID]],Medical_Examinations!$1:$1048576,9,FALSE)</f>
        <v>2</v>
      </c>
      <c r="I563" t="str">
        <f>VLOOKUP(Medical_Examinations_2[[#This Row],[Customer ID]],Medical_Examinations!$1:$1048576,11,FALSE)</f>
        <v>No</v>
      </c>
    </row>
    <row r="564" spans="1:9" x14ac:dyDescent="0.25">
      <c r="A564" s="10" t="s">
        <v>594</v>
      </c>
      <c r="B564" t="str">
        <f>VLOOKUP(Customer_Names!A564,Customer_Names!$1:$1048576,4,FALSE)</f>
        <v>Daniel P.</v>
      </c>
      <c r="C564">
        <f>VLOOKUP(Medical_Examinations_2[[#This Row],[Customer ID]],Medical_Examinations!$1:$1048576,2,FALSE)</f>
        <v>28.024999999999999</v>
      </c>
      <c r="D564">
        <f>VLOOKUP(Medical_Examinations_2[[#This Row],[Customer ID]],Medical_Examinations!$1:$1048576,4,FALSE)</f>
        <v>7.03</v>
      </c>
      <c r="E564" t="str">
        <f>VLOOKUP(Medical_Examinations_2[[#This Row],[Customer ID]],Medical_Examinations!$1:$1048576,6,FALSE)</f>
        <v>No</v>
      </c>
      <c r="H564" t="str">
        <f>VLOOKUP(Medical_Examinations_2[[#This Row],[Customer ID]],Medical_Examinations!$1:$1048576,9,FALSE)</f>
        <v>No major surgery</v>
      </c>
      <c r="I564" t="str">
        <f>VLOOKUP(Medical_Examinations_2[[#This Row],[Customer ID]],Medical_Examinations!$1:$1048576,11,FALSE)</f>
        <v>Yes</v>
      </c>
    </row>
    <row r="565" spans="1:9" x14ac:dyDescent="0.25">
      <c r="A565" s="11" t="s">
        <v>595</v>
      </c>
      <c r="B565" t="str">
        <f>VLOOKUP(Customer_Names!A565,Customer_Names!$1:$1048576,4,FALSE)</f>
        <v>Marie E.</v>
      </c>
      <c r="C565">
        <f>VLOOKUP(Medical_Examinations_2[[#This Row],[Customer ID]],Medical_Examinations!$1:$1048576,2,FALSE)</f>
        <v>43.32</v>
      </c>
      <c r="D565">
        <f>VLOOKUP(Medical_Examinations_2[[#This Row],[Customer ID]],Medical_Examinations!$1:$1048576,4,FALSE)</f>
        <v>8.75</v>
      </c>
      <c r="E565" t="str">
        <f>VLOOKUP(Medical_Examinations_2[[#This Row],[Customer ID]],Medical_Examinations!$1:$1048576,6,FALSE)</f>
        <v>Yes</v>
      </c>
      <c r="H565">
        <f>VLOOKUP(Medical_Examinations_2[[#This Row],[Customer ID]],Medical_Examinations!$1:$1048576,9,FALSE)</f>
        <v>1</v>
      </c>
      <c r="I565" t="str">
        <f>VLOOKUP(Medical_Examinations_2[[#This Row],[Customer ID]],Medical_Examinations!$1:$1048576,11,FALSE)</f>
        <v>No</v>
      </c>
    </row>
    <row r="566" spans="1:9" x14ac:dyDescent="0.25">
      <c r="A566" s="10" t="s">
        <v>596</v>
      </c>
      <c r="B566" t="str">
        <f>VLOOKUP(Customer_Names!A566,Customer_Names!$1:$1048576,4,FALSE)</f>
        <v>Katie</v>
      </c>
      <c r="C566">
        <f>VLOOKUP(Medical_Examinations_2[[#This Row],[Customer ID]],Medical_Examinations!$1:$1048576,2,FALSE)</f>
        <v>45.92</v>
      </c>
      <c r="D566">
        <f>VLOOKUP(Medical_Examinations_2[[#This Row],[Customer ID]],Medical_Examinations!$1:$1048576,4,FALSE)</f>
        <v>9.51</v>
      </c>
      <c r="E566" t="str">
        <f>VLOOKUP(Medical_Examinations_2[[#This Row],[Customer ID]],Medical_Examinations!$1:$1048576,6,FALSE)</f>
        <v>No</v>
      </c>
      <c r="H566" t="str">
        <f>VLOOKUP(Medical_Examinations_2[[#This Row],[Customer ID]],Medical_Examinations!$1:$1048576,9,FALSE)</f>
        <v>No major surgery</v>
      </c>
      <c r="I566" t="str">
        <f>VLOOKUP(Medical_Examinations_2[[#This Row],[Customer ID]],Medical_Examinations!$1:$1048576,11,FALSE)</f>
        <v>No</v>
      </c>
    </row>
    <row r="567" spans="1:9" x14ac:dyDescent="0.25">
      <c r="A567" s="11" t="s">
        <v>597</v>
      </c>
      <c r="B567" t="str">
        <f>VLOOKUP(Customer_Names!A567,Customer_Names!$1:$1048576,4,FALSE)</f>
        <v>Eric D</v>
      </c>
      <c r="C567">
        <f>VLOOKUP(Medical_Examinations_2[[#This Row],[Customer ID]],Medical_Examinations!$1:$1048576,2,FALSE)</f>
        <v>44.03</v>
      </c>
      <c r="D567">
        <f>VLOOKUP(Medical_Examinations_2[[#This Row],[Customer ID]],Medical_Examinations!$1:$1048576,4,FALSE)</f>
        <v>9.36</v>
      </c>
      <c r="E567" t="str">
        <f>VLOOKUP(Medical_Examinations_2[[#This Row],[Customer ID]],Medical_Examinations!$1:$1048576,6,FALSE)</f>
        <v>No</v>
      </c>
      <c r="H567" t="str">
        <f>VLOOKUP(Medical_Examinations_2[[#This Row],[Customer ID]],Medical_Examinations!$1:$1048576,9,FALSE)</f>
        <v>No major surgery</v>
      </c>
      <c r="I567" t="str">
        <f>VLOOKUP(Medical_Examinations_2[[#This Row],[Customer ID]],Medical_Examinations!$1:$1048576,11,FALSE)</f>
        <v>No</v>
      </c>
    </row>
    <row r="568" spans="1:9" x14ac:dyDescent="0.25">
      <c r="A568" s="10" t="s">
        <v>598</v>
      </c>
      <c r="B568" t="str">
        <f>VLOOKUP(Customer_Names!A568,Customer_Names!$1:$1048576,4,FALSE)</f>
        <v>Tara</v>
      </c>
      <c r="C568">
        <f>VLOOKUP(Medical_Examinations_2[[#This Row],[Customer ID]],Medical_Examinations!$1:$1048576,2,FALSE)</f>
        <v>24.6</v>
      </c>
      <c r="D568">
        <f>VLOOKUP(Medical_Examinations_2[[#This Row],[Customer ID]],Medical_Examinations!$1:$1048576,4,FALSE)</f>
        <v>4.8099999999999996</v>
      </c>
      <c r="E568" t="str">
        <f>VLOOKUP(Medical_Examinations_2[[#This Row],[Customer ID]],Medical_Examinations!$1:$1048576,6,FALSE)</f>
        <v>No</v>
      </c>
      <c r="H568" t="str">
        <f>VLOOKUP(Medical_Examinations_2[[#This Row],[Customer ID]],Medical_Examinations!$1:$1048576,9,FALSE)</f>
        <v>No major surgery</v>
      </c>
      <c r="I568" t="str">
        <f>VLOOKUP(Medical_Examinations_2[[#This Row],[Customer ID]],Medical_Examinations!$1:$1048576,11,FALSE)</f>
        <v>Yes</v>
      </c>
    </row>
    <row r="569" spans="1:9" x14ac:dyDescent="0.25">
      <c r="A569" s="11" t="s">
        <v>599</v>
      </c>
      <c r="B569" t="str">
        <f>VLOOKUP(Customer_Names!A569,Customer_Names!$1:$1048576,4,FALSE)</f>
        <v>Haley L</v>
      </c>
      <c r="C569">
        <f>VLOOKUP(Medical_Examinations_2[[#This Row],[Customer ID]],Medical_Examinations!$1:$1048576,2,FALSE)</f>
        <v>49.15</v>
      </c>
      <c r="D569">
        <f>VLOOKUP(Medical_Examinations_2[[#This Row],[Customer ID]],Medical_Examinations!$1:$1048576,4,FALSE)</f>
        <v>8.08</v>
      </c>
      <c r="E569" t="str">
        <f>VLOOKUP(Medical_Examinations_2[[#This Row],[Customer ID]],Medical_Examinations!$1:$1048576,6,FALSE)</f>
        <v>No</v>
      </c>
      <c r="H569" t="str">
        <f>VLOOKUP(Medical_Examinations_2[[#This Row],[Customer ID]],Medical_Examinations!$1:$1048576,9,FALSE)</f>
        <v>No major surgery</v>
      </c>
      <c r="I569" t="str">
        <f>VLOOKUP(Medical_Examinations_2[[#This Row],[Customer ID]],Medical_Examinations!$1:$1048576,11,FALSE)</f>
        <v>No</v>
      </c>
    </row>
    <row r="570" spans="1:9" x14ac:dyDescent="0.25">
      <c r="A570" s="10" t="s">
        <v>600</v>
      </c>
      <c r="B570" t="str">
        <f>VLOOKUP(Customer_Names!A570,Customer_Names!$1:$1048576,4,FALSE)</f>
        <v>Kayla B.</v>
      </c>
      <c r="C570">
        <f>VLOOKUP(Medical_Examinations_2[[#This Row],[Customer ID]],Medical_Examinations!$1:$1048576,2,FALSE)</f>
        <v>28.31</v>
      </c>
      <c r="D570">
        <f>VLOOKUP(Medical_Examinations_2[[#This Row],[Customer ID]],Medical_Examinations!$1:$1048576,4,FALSE)</f>
        <v>6.29</v>
      </c>
      <c r="E570" t="str">
        <f>VLOOKUP(Medical_Examinations_2[[#This Row],[Customer ID]],Medical_Examinations!$1:$1048576,6,FALSE)</f>
        <v>No</v>
      </c>
      <c r="H570">
        <f>VLOOKUP(Medical_Examinations_2[[#This Row],[Customer ID]],Medical_Examinations!$1:$1048576,9,FALSE)</f>
        <v>1</v>
      </c>
      <c r="I570" t="str">
        <f>VLOOKUP(Medical_Examinations_2[[#This Row],[Customer ID]],Medical_Examinations!$1:$1048576,11,FALSE)</f>
        <v>Yes</v>
      </c>
    </row>
    <row r="571" spans="1:9" x14ac:dyDescent="0.25">
      <c r="A571" s="11" t="s">
        <v>601</v>
      </c>
      <c r="B571" t="str">
        <f>VLOOKUP(Customer_Names!A571,Customer_Names!$1:$1048576,4,FALSE)</f>
        <v>Mark D.</v>
      </c>
      <c r="C571">
        <f>VLOOKUP(Medical_Examinations_2[[#This Row],[Customer ID]],Medical_Examinations!$1:$1048576,2,FALSE)</f>
        <v>22.99</v>
      </c>
      <c r="D571">
        <f>VLOOKUP(Medical_Examinations_2[[#This Row],[Customer ID]],Medical_Examinations!$1:$1048576,4,FALSE)</f>
        <v>6.29</v>
      </c>
      <c r="E571" t="str">
        <f>VLOOKUP(Medical_Examinations_2[[#This Row],[Customer ID]],Medical_Examinations!$1:$1048576,6,FALSE)</f>
        <v>No</v>
      </c>
      <c r="H571">
        <f>VLOOKUP(Medical_Examinations_2[[#This Row],[Customer ID]],Medical_Examinations!$1:$1048576,9,FALSE)</f>
        <v>1</v>
      </c>
      <c r="I571" t="str">
        <f>VLOOKUP(Medical_Examinations_2[[#This Row],[Customer ID]],Medical_Examinations!$1:$1048576,11,FALSE)</f>
        <v>Yes</v>
      </c>
    </row>
    <row r="572" spans="1:9" x14ac:dyDescent="0.25">
      <c r="A572" s="10" t="s">
        <v>602</v>
      </c>
      <c r="B572" t="str">
        <f>VLOOKUP(Customer_Names!A572,Customer_Names!$1:$1048576,4,FALSE)</f>
        <v>Patrick J.</v>
      </c>
      <c r="C572">
        <f>VLOOKUP(Medical_Examinations_2[[#This Row],[Customer ID]],Medical_Examinations!$1:$1048576,2,FALSE)</f>
        <v>29.07</v>
      </c>
      <c r="D572">
        <f>VLOOKUP(Medical_Examinations_2[[#This Row],[Customer ID]],Medical_Examinations!$1:$1048576,4,FALSE)</f>
        <v>5.12</v>
      </c>
      <c r="E572" t="str">
        <f>VLOOKUP(Medical_Examinations_2[[#This Row],[Customer ID]],Medical_Examinations!$1:$1048576,6,FALSE)</f>
        <v>No</v>
      </c>
      <c r="H572">
        <f>VLOOKUP(Medical_Examinations_2[[#This Row],[Customer ID]],Medical_Examinations!$1:$1048576,9,FALSE)</f>
        <v>1</v>
      </c>
      <c r="I572" t="str">
        <f>VLOOKUP(Medical_Examinations_2[[#This Row],[Customer ID]],Medical_Examinations!$1:$1048576,11,FALSE)</f>
        <v>Yes</v>
      </c>
    </row>
    <row r="573" spans="1:9" x14ac:dyDescent="0.25">
      <c r="A573" s="11" t="s">
        <v>603</v>
      </c>
      <c r="B573" t="str">
        <f>VLOOKUP(Customer_Names!A573,Customer_Names!$1:$1048576,4,FALSE)</f>
        <v>Alejandro</v>
      </c>
      <c r="C573">
        <f>VLOOKUP(Medical_Examinations_2[[#This Row],[Customer ID]],Medical_Examinations!$1:$1048576,2,FALSE)</f>
        <v>42.02</v>
      </c>
      <c r="D573">
        <f>VLOOKUP(Medical_Examinations_2[[#This Row],[Customer ID]],Medical_Examinations!$1:$1048576,4,FALSE)</f>
        <v>9.9499999999999993</v>
      </c>
      <c r="E573" t="str">
        <f>VLOOKUP(Medical_Examinations_2[[#This Row],[Customer ID]],Medical_Examinations!$1:$1048576,6,FALSE)</f>
        <v>Yes</v>
      </c>
      <c r="H573">
        <f>VLOOKUP(Medical_Examinations_2[[#This Row],[Customer ID]],Medical_Examinations!$1:$1048576,9,FALSE)</f>
        <v>1</v>
      </c>
      <c r="I573" t="str">
        <f>VLOOKUP(Medical_Examinations_2[[#This Row],[Customer ID]],Medical_Examinations!$1:$1048576,11,FALSE)</f>
        <v>No</v>
      </c>
    </row>
    <row r="574" spans="1:9" x14ac:dyDescent="0.25">
      <c r="A574" s="10" t="s">
        <v>604</v>
      </c>
      <c r="B574" t="str">
        <f>VLOOKUP(Customer_Names!A574,Customer_Names!$1:$1048576,4,FALSE)</f>
        <v>Beth A</v>
      </c>
      <c r="C574">
        <f>VLOOKUP(Medical_Examinations_2[[#This Row],[Customer ID]],Medical_Examinations!$1:$1048576,2,FALSE)</f>
        <v>49.07</v>
      </c>
      <c r="D574">
        <f>VLOOKUP(Medical_Examinations_2[[#This Row],[Customer ID]],Medical_Examinations!$1:$1048576,4,FALSE)</f>
        <v>9.08</v>
      </c>
      <c r="E574" t="str">
        <f>VLOOKUP(Medical_Examinations_2[[#This Row],[Customer ID]],Medical_Examinations!$1:$1048576,6,FALSE)</f>
        <v>Yes</v>
      </c>
      <c r="H574">
        <f>VLOOKUP(Medical_Examinations_2[[#This Row],[Customer ID]],Medical_Examinations!$1:$1048576,9,FALSE)</f>
        <v>1</v>
      </c>
      <c r="I574" t="str">
        <f>VLOOKUP(Medical_Examinations_2[[#This Row],[Customer ID]],Medical_Examinations!$1:$1048576,11,FALSE)</f>
        <v>No</v>
      </c>
    </row>
    <row r="575" spans="1:9" x14ac:dyDescent="0.25">
      <c r="A575" s="11" t="s">
        <v>605</v>
      </c>
      <c r="B575" t="str">
        <f>VLOOKUP(Customer_Names!A575,Customer_Names!$1:$1048576,4,FALSE)</f>
        <v>Jason R</v>
      </c>
      <c r="C575">
        <f>VLOOKUP(Medical_Examinations_2[[#This Row],[Customer ID]],Medical_Examinations!$1:$1048576,2,FALSE)</f>
        <v>19.8</v>
      </c>
      <c r="D575">
        <f>VLOOKUP(Medical_Examinations_2[[#This Row],[Customer ID]],Medical_Examinations!$1:$1048576,4,FALSE)</f>
        <v>4.82</v>
      </c>
      <c r="E575" t="str">
        <f>VLOOKUP(Medical_Examinations_2[[#This Row],[Customer ID]],Medical_Examinations!$1:$1048576,6,FALSE)</f>
        <v>No</v>
      </c>
      <c r="H575" t="str">
        <f>VLOOKUP(Medical_Examinations_2[[#This Row],[Customer ID]],Medical_Examinations!$1:$1048576,9,FALSE)</f>
        <v>No major surgery</v>
      </c>
      <c r="I575" t="str">
        <f>VLOOKUP(Medical_Examinations_2[[#This Row],[Customer ID]],Medical_Examinations!$1:$1048576,11,FALSE)</f>
        <v>Yes</v>
      </c>
    </row>
    <row r="576" spans="1:9" x14ac:dyDescent="0.25">
      <c r="A576" s="10" t="s">
        <v>606</v>
      </c>
      <c r="B576" t="str">
        <f>VLOOKUP(Customer_Names!A576,Customer_Names!$1:$1048576,4,FALSE)</f>
        <v>Yoshinori</v>
      </c>
      <c r="C576">
        <f>VLOOKUP(Medical_Examinations_2[[#This Row],[Customer ID]],Medical_Examinations!$1:$1048576,2,FALSE)</f>
        <v>27.36</v>
      </c>
      <c r="D576">
        <f>VLOOKUP(Medical_Examinations_2[[#This Row],[Customer ID]],Medical_Examinations!$1:$1048576,4,FALSE)</f>
        <v>4.6500000000000004</v>
      </c>
      <c r="E576" t="str">
        <f>VLOOKUP(Medical_Examinations_2[[#This Row],[Customer ID]],Medical_Examinations!$1:$1048576,6,FALSE)</f>
        <v>No</v>
      </c>
      <c r="H576">
        <f>VLOOKUP(Medical_Examinations_2[[#This Row],[Customer ID]],Medical_Examinations!$1:$1048576,9,FALSE)</f>
        <v>1</v>
      </c>
      <c r="I576" t="str">
        <f>VLOOKUP(Medical_Examinations_2[[#This Row],[Customer ID]],Medical_Examinations!$1:$1048576,11,FALSE)</f>
        <v>Yes</v>
      </c>
    </row>
    <row r="577" spans="1:9" x14ac:dyDescent="0.25">
      <c r="A577" s="11" t="s">
        <v>607</v>
      </c>
      <c r="B577" t="str">
        <f>VLOOKUP(Customer_Names!A577,Customer_Names!$1:$1048576,4,FALSE)</f>
        <v>Adrienne G.</v>
      </c>
      <c r="C577">
        <f>VLOOKUP(Medical_Examinations_2[[#This Row],[Customer ID]],Medical_Examinations!$1:$1048576,2,FALSE)</f>
        <v>42.95</v>
      </c>
      <c r="D577">
        <f>VLOOKUP(Medical_Examinations_2[[#This Row],[Customer ID]],Medical_Examinations!$1:$1048576,4,FALSE)</f>
        <v>5.16</v>
      </c>
      <c r="E577" t="str">
        <f>VLOOKUP(Medical_Examinations_2[[#This Row],[Customer ID]],Medical_Examinations!$1:$1048576,6,FALSE)</f>
        <v>Yes</v>
      </c>
      <c r="H577">
        <f>VLOOKUP(Medical_Examinations_2[[#This Row],[Customer ID]],Medical_Examinations!$1:$1048576,9,FALSE)</f>
        <v>1</v>
      </c>
      <c r="I577" t="str">
        <f>VLOOKUP(Medical_Examinations_2[[#This Row],[Customer ID]],Medical_Examinations!$1:$1048576,11,FALSE)</f>
        <v>No</v>
      </c>
    </row>
    <row r="578" spans="1:9" x14ac:dyDescent="0.25">
      <c r="A578" s="10" t="s">
        <v>608</v>
      </c>
      <c r="B578" t="str">
        <f>VLOOKUP(Customer_Names!A578,Customer_Names!$1:$1048576,4,FALSE)</f>
        <v>Meredith</v>
      </c>
      <c r="C578">
        <f>VLOOKUP(Medical_Examinations_2[[#This Row],[Customer ID]],Medical_Examinations!$1:$1048576,2,FALSE)</f>
        <v>42.66</v>
      </c>
      <c r="D578">
        <f>VLOOKUP(Medical_Examinations_2[[#This Row],[Customer ID]],Medical_Examinations!$1:$1048576,4,FALSE)</f>
        <v>10.44</v>
      </c>
      <c r="E578" t="str">
        <f>VLOOKUP(Medical_Examinations_2[[#This Row],[Customer ID]],Medical_Examinations!$1:$1048576,6,FALSE)</f>
        <v>No</v>
      </c>
      <c r="H578" t="str">
        <f>VLOOKUP(Medical_Examinations_2[[#This Row],[Customer ID]],Medical_Examinations!$1:$1048576,9,FALSE)</f>
        <v>No major surgery</v>
      </c>
      <c r="I578" t="str">
        <f>VLOOKUP(Medical_Examinations_2[[#This Row],[Customer ID]],Medical_Examinations!$1:$1048576,11,FALSE)</f>
        <v>No</v>
      </c>
    </row>
    <row r="579" spans="1:9" x14ac:dyDescent="0.25">
      <c r="A579" s="11" t="s">
        <v>609</v>
      </c>
      <c r="B579" t="str">
        <f>VLOOKUP(Customer_Names!A579,Customer_Names!$1:$1048576,4,FALSE)</f>
        <v>Junyong</v>
      </c>
      <c r="C579">
        <f>VLOOKUP(Medical_Examinations_2[[#This Row],[Customer ID]],Medical_Examinations!$1:$1048576,2,FALSE)</f>
        <v>33.630000000000003</v>
      </c>
      <c r="D579">
        <f>VLOOKUP(Medical_Examinations_2[[#This Row],[Customer ID]],Medical_Examinations!$1:$1048576,4,FALSE)</f>
        <v>5.69</v>
      </c>
      <c r="E579" t="str">
        <f>VLOOKUP(Medical_Examinations_2[[#This Row],[Customer ID]],Medical_Examinations!$1:$1048576,6,FALSE)</f>
        <v>No</v>
      </c>
      <c r="H579">
        <f>VLOOKUP(Medical_Examinations_2[[#This Row],[Customer ID]],Medical_Examinations!$1:$1048576,9,FALSE)</f>
        <v>1</v>
      </c>
      <c r="I579" t="str">
        <f>VLOOKUP(Medical_Examinations_2[[#This Row],[Customer ID]],Medical_Examinations!$1:$1048576,11,FALSE)</f>
        <v>No</v>
      </c>
    </row>
    <row r="580" spans="1:9" x14ac:dyDescent="0.25">
      <c r="A580" s="10" t="s">
        <v>610</v>
      </c>
      <c r="B580" t="str">
        <f>VLOOKUP(Customer_Names!A580,Customer_Names!$1:$1048576,4,FALSE)</f>
        <v>Kristen A.</v>
      </c>
      <c r="C580">
        <f>VLOOKUP(Medical_Examinations_2[[#This Row],[Customer ID]],Medical_Examinations!$1:$1048576,2,FALSE)</f>
        <v>26.84</v>
      </c>
      <c r="D580">
        <f>VLOOKUP(Medical_Examinations_2[[#This Row],[Customer ID]],Medical_Examinations!$1:$1048576,4,FALSE)</f>
        <v>6.5</v>
      </c>
      <c r="E580" t="str">
        <f>VLOOKUP(Medical_Examinations_2[[#This Row],[Customer ID]],Medical_Examinations!$1:$1048576,6,FALSE)</f>
        <v>No</v>
      </c>
      <c r="H580" t="str">
        <f>VLOOKUP(Medical_Examinations_2[[#This Row],[Customer ID]],Medical_Examinations!$1:$1048576,9,FALSE)</f>
        <v>No major surgery</v>
      </c>
      <c r="I580" t="str">
        <f>VLOOKUP(Medical_Examinations_2[[#This Row],[Customer ID]],Medical_Examinations!$1:$1048576,11,FALSE)</f>
        <v>Yes</v>
      </c>
    </row>
    <row r="581" spans="1:9" x14ac:dyDescent="0.25">
      <c r="A581" s="11" t="s">
        <v>611</v>
      </c>
      <c r="B581" t="str">
        <f>VLOOKUP(Customer_Names!A581,Customer_Names!$1:$1048576,4,FALSE)</f>
        <v>Maria I.</v>
      </c>
      <c r="C581">
        <f>VLOOKUP(Medical_Examinations_2[[#This Row],[Customer ID]],Medical_Examinations!$1:$1048576,2,FALSE)</f>
        <v>28.3</v>
      </c>
      <c r="D581">
        <f>VLOOKUP(Medical_Examinations_2[[#This Row],[Customer ID]],Medical_Examinations!$1:$1048576,4,FALSE)</f>
        <v>5.73</v>
      </c>
      <c r="E581" t="str">
        <f>VLOOKUP(Medical_Examinations_2[[#This Row],[Customer ID]],Medical_Examinations!$1:$1048576,6,FALSE)</f>
        <v>No</v>
      </c>
      <c r="H581">
        <f>VLOOKUP(Medical_Examinations_2[[#This Row],[Customer ID]],Medical_Examinations!$1:$1048576,9,FALSE)</f>
        <v>1</v>
      </c>
      <c r="I581" t="str">
        <f>VLOOKUP(Medical_Examinations_2[[#This Row],[Customer ID]],Medical_Examinations!$1:$1048576,11,FALSE)</f>
        <v>Yes</v>
      </c>
    </row>
    <row r="582" spans="1:9" x14ac:dyDescent="0.25">
      <c r="A582" s="10" t="s">
        <v>612</v>
      </c>
      <c r="B582" t="str">
        <f>VLOOKUP(Customer_Names!A582,Customer_Names!$1:$1048576,4,FALSE)</f>
        <v>Jonathan</v>
      </c>
      <c r="C582">
        <f>VLOOKUP(Medical_Examinations_2[[#This Row],[Customer ID]],Medical_Examinations!$1:$1048576,2,FALSE)</f>
        <v>27.06</v>
      </c>
      <c r="D582">
        <f>VLOOKUP(Medical_Examinations_2[[#This Row],[Customer ID]],Medical_Examinations!$1:$1048576,4,FALSE)</f>
        <v>5.74</v>
      </c>
      <c r="E582" t="str">
        <f>VLOOKUP(Medical_Examinations_2[[#This Row],[Customer ID]],Medical_Examinations!$1:$1048576,6,FALSE)</f>
        <v>Yes</v>
      </c>
      <c r="H582" t="str">
        <f>VLOOKUP(Medical_Examinations_2[[#This Row],[Customer ID]],Medical_Examinations!$1:$1048576,9,FALSE)</f>
        <v>No major surgery</v>
      </c>
      <c r="I582" t="str">
        <f>VLOOKUP(Medical_Examinations_2[[#This Row],[Customer ID]],Medical_Examinations!$1:$1048576,11,FALSE)</f>
        <v>Yes</v>
      </c>
    </row>
    <row r="583" spans="1:9" x14ac:dyDescent="0.25">
      <c r="A583" s="11" t="s">
        <v>613</v>
      </c>
      <c r="B583" t="str">
        <f>VLOOKUP(Customer_Names!A583,Customer_Names!$1:$1048576,4,FALSE)</f>
        <v>Phil</v>
      </c>
      <c r="C583">
        <f>VLOOKUP(Medical_Examinations_2[[#This Row],[Customer ID]],Medical_Examinations!$1:$1048576,2,FALSE)</f>
        <v>47.13</v>
      </c>
      <c r="D583">
        <f>VLOOKUP(Medical_Examinations_2[[#This Row],[Customer ID]],Medical_Examinations!$1:$1048576,4,FALSE)</f>
        <v>8.6999999999999993</v>
      </c>
      <c r="E583" t="str">
        <f>VLOOKUP(Medical_Examinations_2[[#This Row],[Customer ID]],Medical_Examinations!$1:$1048576,6,FALSE)</f>
        <v>No</v>
      </c>
      <c r="H583" t="str">
        <f>VLOOKUP(Medical_Examinations_2[[#This Row],[Customer ID]],Medical_Examinations!$1:$1048576,9,FALSE)</f>
        <v>No major surgery</v>
      </c>
      <c r="I583" t="str">
        <f>VLOOKUP(Medical_Examinations_2[[#This Row],[Customer ID]],Medical_Examinations!$1:$1048576,11,FALSE)</f>
        <v>No</v>
      </c>
    </row>
    <row r="584" spans="1:9" x14ac:dyDescent="0.25">
      <c r="A584" s="10" t="s">
        <v>614</v>
      </c>
      <c r="B584" t="str">
        <f>VLOOKUP(Customer_Names!A584,Customer_Names!$1:$1048576,4,FALSE)</f>
        <v>Benjamina C</v>
      </c>
      <c r="C584">
        <f>VLOOKUP(Medical_Examinations_2[[#This Row],[Customer ID]],Medical_Examinations!$1:$1048576,2,FALSE)</f>
        <v>51.72</v>
      </c>
      <c r="D584">
        <f>VLOOKUP(Medical_Examinations_2[[#This Row],[Customer ID]],Medical_Examinations!$1:$1048576,4,FALSE)</f>
        <v>5.09</v>
      </c>
      <c r="E584" t="str">
        <f>VLOOKUP(Medical_Examinations_2[[#This Row],[Customer ID]],Medical_Examinations!$1:$1048576,6,FALSE)</f>
        <v>No</v>
      </c>
      <c r="H584" t="str">
        <f>VLOOKUP(Medical_Examinations_2[[#This Row],[Customer ID]],Medical_Examinations!$1:$1048576,9,FALSE)</f>
        <v>No major surgery</v>
      </c>
      <c r="I584" t="str">
        <f>VLOOKUP(Medical_Examinations_2[[#This Row],[Customer ID]],Medical_Examinations!$1:$1048576,11,FALSE)</f>
        <v>No</v>
      </c>
    </row>
    <row r="585" spans="1:9" x14ac:dyDescent="0.25">
      <c r="A585" s="11" t="s">
        <v>615</v>
      </c>
      <c r="B585" t="str">
        <f>VLOOKUP(Customer_Names!A585,Customer_Names!$1:$1048576,4,FALSE)</f>
        <v>Christopher</v>
      </c>
      <c r="C585">
        <f>VLOOKUP(Medical_Examinations_2[[#This Row],[Customer ID]],Medical_Examinations!$1:$1048576,2,FALSE)</f>
        <v>48.59</v>
      </c>
      <c r="D585">
        <f>VLOOKUP(Medical_Examinations_2[[#This Row],[Customer ID]],Medical_Examinations!$1:$1048576,4,FALSE)</f>
        <v>5.57</v>
      </c>
      <c r="E585" t="str">
        <f>VLOOKUP(Medical_Examinations_2[[#This Row],[Customer ID]],Medical_Examinations!$1:$1048576,6,FALSE)</f>
        <v>No</v>
      </c>
      <c r="H585" t="str">
        <f>VLOOKUP(Medical_Examinations_2[[#This Row],[Customer ID]],Medical_Examinations!$1:$1048576,9,FALSE)</f>
        <v>No major surgery</v>
      </c>
      <c r="I585" t="str">
        <f>VLOOKUP(Medical_Examinations_2[[#This Row],[Customer ID]],Medical_Examinations!$1:$1048576,11,FALSE)</f>
        <v>No</v>
      </c>
    </row>
    <row r="586" spans="1:9" x14ac:dyDescent="0.25">
      <c r="A586" s="10" t="s">
        <v>616</v>
      </c>
      <c r="B586" t="str">
        <f>VLOOKUP(Customer_Names!A586,Customer_Names!$1:$1048576,4,FALSE)</f>
        <v>Alison B</v>
      </c>
      <c r="C586">
        <f>VLOOKUP(Medical_Examinations_2[[#This Row],[Customer ID]],Medical_Examinations!$1:$1048576,2,FALSE)</f>
        <v>45.18</v>
      </c>
      <c r="D586">
        <f>VLOOKUP(Medical_Examinations_2[[#This Row],[Customer ID]],Medical_Examinations!$1:$1048576,4,FALSE)</f>
        <v>10.87</v>
      </c>
      <c r="E586" t="str">
        <f>VLOOKUP(Medical_Examinations_2[[#This Row],[Customer ID]],Medical_Examinations!$1:$1048576,6,FALSE)</f>
        <v>No</v>
      </c>
      <c r="H586" t="str">
        <f>VLOOKUP(Medical_Examinations_2[[#This Row],[Customer ID]],Medical_Examinations!$1:$1048576,9,FALSE)</f>
        <v>No major surgery</v>
      </c>
      <c r="I586" t="str">
        <f>VLOOKUP(Medical_Examinations_2[[#This Row],[Customer ID]],Medical_Examinations!$1:$1048576,11,FALSE)</f>
        <v>No</v>
      </c>
    </row>
    <row r="587" spans="1:9" x14ac:dyDescent="0.25">
      <c r="A587" s="11" t="s">
        <v>617</v>
      </c>
      <c r="B587" t="str">
        <f>VLOOKUP(Customer_Names!A587,Customer_Names!$1:$1048576,4,FALSE)</f>
        <v>Caroline</v>
      </c>
      <c r="C587">
        <f>VLOOKUP(Medical_Examinations_2[[#This Row],[Customer ID]],Medical_Examinations!$1:$1048576,2,FALSE)</f>
        <v>27.9</v>
      </c>
      <c r="D587">
        <f>VLOOKUP(Medical_Examinations_2[[#This Row],[Customer ID]],Medical_Examinations!$1:$1048576,4,FALSE)</f>
        <v>6.02</v>
      </c>
      <c r="E587" t="str">
        <f>VLOOKUP(Medical_Examinations_2[[#This Row],[Customer ID]],Medical_Examinations!$1:$1048576,6,FALSE)</f>
        <v>No</v>
      </c>
      <c r="H587">
        <f>VLOOKUP(Medical_Examinations_2[[#This Row],[Customer ID]],Medical_Examinations!$1:$1048576,9,FALSE)</f>
        <v>1</v>
      </c>
      <c r="I587" t="str">
        <f>VLOOKUP(Medical_Examinations_2[[#This Row],[Customer ID]],Medical_Examinations!$1:$1048576,11,FALSE)</f>
        <v>Yes</v>
      </c>
    </row>
    <row r="588" spans="1:9" x14ac:dyDescent="0.25">
      <c r="A588" s="10" t="s">
        <v>618</v>
      </c>
      <c r="B588" t="str">
        <f>VLOOKUP(Customer_Names!A588,Customer_Names!$1:$1048576,4,FALSE)</f>
        <v>Alexis N</v>
      </c>
      <c r="C588">
        <f>VLOOKUP(Medical_Examinations_2[[#This Row],[Customer ID]],Medical_Examinations!$1:$1048576,2,FALSE)</f>
        <v>51.33</v>
      </c>
      <c r="D588">
        <f>VLOOKUP(Medical_Examinations_2[[#This Row],[Customer ID]],Medical_Examinations!$1:$1048576,4,FALSE)</f>
        <v>7</v>
      </c>
      <c r="E588" t="str">
        <f>VLOOKUP(Medical_Examinations_2[[#This Row],[Customer ID]],Medical_Examinations!$1:$1048576,6,FALSE)</f>
        <v>No</v>
      </c>
      <c r="H588" t="str">
        <f>VLOOKUP(Medical_Examinations_2[[#This Row],[Customer ID]],Medical_Examinations!$1:$1048576,9,FALSE)</f>
        <v>No major surgery</v>
      </c>
      <c r="I588" t="str">
        <f>VLOOKUP(Medical_Examinations_2[[#This Row],[Customer ID]],Medical_Examinations!$1:$1048576,11,FALSE)</f>
        <v>No</v>
      </c>
    </row>
    <row r="589" spans="1:9" x14ac:dyDescent="0.25">
      <c r="A589" s="11" t="s">
        <v>619</v>
      </c>
      <c r="B589" t="str">
        <f>VLOOKUP(Customer_Names!A589,Customer_Names!$1:$1048576,4,FALSE)</f>
        <v>Shanda L</v>
      </c>
      <c r="C589">
        <f>VLOOKUP(Medical_Examinations_2[[#This Row],[Customer ID]],Medical_Examinations!$1:$1048576,2,FALSE)</f>
        <v>30.59</v>
      </c>
      <c r="D589">
        <f>VLOOKUP(Medical_Examinations_2[[#This Row],[Customer ID]],Medical_Examinations!$1:$1048576,4,FALSE)</f>
        <v>5.56</v>
      </c>
      <c r="E589" t="str">
        <f>VLOOKUP(Medical_Examinations_2[[#This Row],[Customer ID]],Medical_Examinations!$1:$1048576,6,FALSE)</f>
        <v>Yes</v>
      </c>
      <c r="H589">
        <f>VLOOKUP(Medical_Examinations_2[[#This Row],[Customer ID]],Medical_Examinations!$1:$1048576,9,FALSE)</f>
        <v>1</v>
      </c>
      <c r="I589" t="str">
        <f>VLOOKUP(Medical_Examinations_2[[#This Row],[Customer ID]],Medical_Examinations!$1:$1048576,11,FALSE)</f>
        <v>No</v>
      </c>
    </row>
    <row r="590" spans="1:9" x14ac:dyDescent="0.25">
      <c r="A590" s="10" t="s">
        <v>620</v>
      </c>
      <c r="B590" t="str">
        <f>VLOOKUP(Customer_Names!A590,Customer_Names!$1:$1048576,4,FALSE)</f>
        <v>Lacey</v>
      </c>
      <c r="C590">
        <f>VLOOKUP(Medical_Examinations_2[[#This Row],[Customer ID]],Medical_Examinations!$1:$1048576,2,FALSE)</f>
        <v>39.229999999999997</v>
      </c>
      <c r="D590">
        <f>VLOOKUP(Medical_Examinations_2[[#This Row],[Customer ID]],Medical_Examinations!$1:$1048576,4,FALSE)</f>
        <v>8.4499999999999993</v>
      </c>
      <c r="E590" t="str">
        <f>VLOOKUP(Medical_Examinations_2[[#This Row],[Customer ID]],Medical_Examinations!$1:$1048576,6,FALSE)</f>
        <v>No</v>
      </c>
      <c r="H590" t="str">
        <f>VLOOKUP(Medical_Examinations_2[[#This Row],[Customer ID]],Medical_Examinations!$1:$1048576,9,FALSE)</f>
        <v>No major surgery</v>
      </c>
      <c r="I590" t="str">
        <f>VLOOKUP(Medical_Examinations_2[[#This Row],[Customer ID]],Medical_Examinations!$1:$1048576,11,FALSE)</f>
        <v>No</v>
      </c>
    </row>
    <row r="591" spans="1:9" x14ac:dyDescent="0.25">
      <c r="A591" s="11" t="s">
        <v>621</v>
      </c>
      <c r="B591" t="str">
        <f>VLOOKUP(Customer_Names!A591,Customer_Names!$1:$1048576,4,FALSE)</f>
        <v>Laurette</v>
      </c>
      <c r="C591">
        <f>VLOOKUP(Medical_Examinations_2[[#This Row],[Customer ID]],Medical_Examinations!$1:$1048576,2,FALSE)</f>
        <v>19.094999999999999</v>
      </c>
      <c r="D591">
        <f>VLOOKUP(Medical_Examinations_2[[#This Row],[Customer ID]],Medical_Examinations!$1:$1048576,4,FALSE)</f>
        <v>6.19</v>
      </c>
      <c r="E591" t="str">
        <f>VLOOKUP(Medical_Examinations_2[[#This Row],[Customer ID]],Medical_Examinations!$1:$1048576,6,FALSE)</f>
        <v>No</v>
      </c>
      <c r="H591" t="str">
        <f>VLOOKUP(Medical_Examinations_2[[#This Row],[Customer ID]],Medical_Examinations!$1:$1048576,9,FALSE)</f>
        <v>No major surgery</v>
      </c>
      <c r="I591" t="str">
        <f>VLOOKUP(Medical_Examinations_2[[#This Row],[Customer ID]],Medical_Examinations!$1:$1048576,11,FALSE)</f>
        <v>Yes</v>
      </c>
    </row>
    <row r="592" spans="1:9" x14ac:dyDescent="0.25">
      <c r="A592" s="10" t="s">
        <v>622</v>
      </c>
      <c r="B592" t="str">
        <f>VLOOKUP(Customer_Names!A592,Customer_Names!$1:$1048576,4,FALSE)</f>
        <v>Jason</v>
      </c>
      <c r="C592">
        <f>VLOOKUP(Medical_Examinations_2[[#This Row],[Customer ID]],Medical_Examinations!$1:$1048576,2,FALSE)</f>
        <v>49.72</v>
      </c>
      <c r="D592">
        <f>VLOOKUP(Medical_Examinations_2[[#This Row],[Customer ID]],Medical_Examinations!$1:$1048576,4,FALSE)</f>
        <v>7.71</v>
      </c>
      <c r="E592" t="str">
        <f>VLOOKUP(Medical_Examinations_2[[#This Row],[Customer ID]],Medical_Examinations!$1:$1048576,6,FALSE)</f>
        <v>No</v>
      </c>
      <c r="H592" t="str">
        <f>VLOOKUP(Medical_Examinations_2[[#This Row],[Customer ID]],Medical_Examinations!$1:$1048576,9,FALSE)</f>
        <v>No major surgery</v>
      </c>
      <c r="I592" t="str">
        <f>VLOOKUP(Medical_Examinations_2[[#This Row],[Customer ID]],Medical_Examinations!$1:$1048576,11,FALSE)</f>
        <v>No</v>
      </c>
    </row>
    <row r="593" spans="1:9" x14ac:dyDescent="0.25">
      <c r="A593" s="11" t="s">
        <v>623</v>
      </c>
      <c r="B593" t="str">
        <f>VLOOKUP(Customer_Names!A593,Customer_Names!$1:$1048576,4,FALSE)</f>
        <v>Mary</v>
      </c>
      <c r="C593">
        <f>VLOOKUP(Medical_Examinations_2[[#This Row],[Customer ID]],Medical_Examinations!$1:$1048576,2,FALSE)</f>
        <v>21.754999999999999</v>
      </c>
      <c r="D593">
        <f>VLOOKUP(Medical_Examinations_2[[#This Row],[Customer ID]],Medical_Examinations!$1:$1048576,4,FALSE)</f>
        <v>4.63</v>
      </c>
      <c r="E593" t="str">
        <f>VLOOKUP(Medical_Examinations_2[[#This Row],[Customer ID]],Medical_Examinations!$1:$1048576,6,FALSE)</f>
        <v>No</v>
      </c>
      <c r="H593">
        <f>VLOOKUP(Medical_Examinations_2[[#This Row],[Customer ID]],Medical_Examinations!$1:$1048576,9,FALSE)</f>
        <v>1</v>
      </c>
      <c r="I593" t="str">
        <f>VLOOKUP(Medical_Examinations_2[[#This Row],[Customer ID]],Medical_Examinations!$1:$1048576,11,FALSE)</f>
        <v>Yes</v>
      </c>
    </row>
    <row r="594" spans="1:9" x14ac:dyDescent="0.25">
      <c r="A594" s="10" t="s">
        <v>624</v>
      </c>
      <c r="B594" t="str">
        <f>VLOOKUP(Customer_Names!A594,Customer_Names!$1:$1048576,4,FALSE)</f>
        <v>Kati A</v>
      </c>
      <c r="C594">
        <f>VLOOKUP(Medical_Examinations_2[[#This Row],[Customer ID]],Medical_Examinations!$1:$1048576,2,FALSE)</f>
        <v>48.39</v>
      </c>
      <c r="D594">
        <f>VLOOKUP(Medical_Examinations_2[[#This Row],[Customer ID]],Medical_Examinations!$1:$1048576,4,FALSE)</f>
        <v>4.6100000000000003</v>
      </c>
      <c r="E594" t="str">
        <f>VLOOKUP(Medical_Examinations_2[[#This Row],[Customer ID]],Medical_Examinations!$1:$1048576,6,FALSE)</f>
        <v>No</v>
      </c>
      <c r="H594" t="str">
        <f>VLOOKUP(Medical_Examinations_2[[#This Row],[Customer ID]],Medical_Examinations!$1:$1048576,9,FALSE)</f>
        <v>No major surgery</v>
      </c>
      <c r="I594" t="str">
        <f>VLOOKUP(Medical_Examinations_2[[#This Row],[Customer ID]],Medical_Examinations!$1:$1048576,11,FALSE)</f>
        <v>No</v>
      </c>
    </row>
    <row r="595" spans="1:9" x14ac:dyDescent="0.25">
      <c r="A595" s="11" t="s">
        <v>625</v>
      </c>
      <c r="B595" t="str">
        <f>VLOOKUP(Customer_Names!A595,Customer_Names!$1:$1048576,4,FALSE)</f>
        <v>Kelly J</v>
      </c>
      <c r="C595">
        <f>VLOOKUP(Medical_Examinations_2[[#This Row],[Customer ID]],Medical_Examinations!$1:$1048576,2,FALSE)</f>
        <v>47.15</v>
      </c>
      <c r="D595">
        <f>VLOOKUP(Medical_Examinations_2[[#This Row],[Customer ID]],Medical_Examinations!$1:$1048576,4,FALSE)</f>
        <v>9.5299999999999994</v>
      </c>
      <c r="E595" t="str">
        <f>VLOOKUP(Medical_Examinations_2[[#This Row],[Customer ID]],Medical_Examinations!$1:$1048576,6,FALSE)</f>
        <v>Yes</v>
      </c>
      <c r="H595">
        <f>VLOOKUP(Medical_Examinations_2[[#This Row],[Customer ID]],Medical_Examinations!$1:$1048576,9,FALSE)</f>
        <v>1</v>
      </c>
      <c r="I595" t="str">
        <f>VLOOKUP(Medical_Examinations_2[[#This Row],[Customer ID]],Medical_Examinations!$1:$1048576,11,FALSE)</f>
        <v>No</v>
      </c>
    </row>
    <row r="596" spans="1:9" x14ac:dyDescent="0.25">
      <c r="A596" s="10" t="s">
        <v>626</v>
      </c>
      <c r="B596" t="str">
        <f>VLOOKUP(Customer_Names!A596,Customer_Names!$1:$1048576,4,FALSE)</f>
        <v>Greer D</v>
      </c>
      <c r="C596">
        <f>VLOOKUP(Medical_Examinations_2[[#This Row],[Customer ID]],Medical_Examinations!$1:$1048576,2,FALSE)</f>
        <v>47.59</v>
      </c>
      <c r="D596">
        <f>VLOOKUP(Medical_Examinations_2[[#This Row],[Customer ID]],Medical_Examinations!$1:$1048576,4,FALSE)</f>
        <v>11.43</v>
      </c>
      <c r="E596" t="str">
        <f>VLOOKUP(Medical_Examinations_2[[#This Row],[Customer ID]],Medical_Examinations!$1:$1048576,6,FALSE)</f>
        <v>Yes</v>
      </c>
      <c r="H596">
        <f>VLOOKUP(Medical_Examinations_2[[#This Row],[Customer ID]],Medical_Examinations!$1:$1048576,9,FALSE)</f>
        <v>2</v>
      </c>
      <c r="I596" t="str">
        <f>VLOOKUP(Medical_Examinations_2[[#This Row],[Customer ID]],Medical_Examinations!$1:$1048576,11,FALSE)</f>
        <v>No</v>
      </c>
    </row>
    <row r="597" spans="1:9" x14ac:dyDescent="0.25">
      <c r="A597" s="11" t="s">
        <v>627</v>
      </c>
      <c r="B597" t="str">
        <f>VLOOKUP(Customer_Names!A597,Customer_Names!$1:$1048576,4,FALSE)</f>
        <v>Brent</v>
      </c>
      <c r="C597">
        <f>VLOOKUP(Medical_Examinations_2[[#This Row],[Customer ID]],Medical_Examinations!$1:$1048576,2,FALSE)</f>
        <v>39.81</v>
      </c>
      <c r="D597">
        <f>VLOOKUP(Medical_Examinations_2[[#This Row],[Customer ID]],Medical_Examinations!$1:$1048576,4,FALSE)</f>
        <v>7.65</v>
      </c>
      <c r="E597" t="str">
        <f>VLOOKUP(Medical_Examinations_2[[#This Row],[Customer ID]],Medical_Examinations!$1:$1048576,6,FALSE)</f>
        <v>Yes</v>
      </c>
      <c r="H597">
        <f>VLOOKUP(Medical_Examinations_2[[#This Row],[Customer ID]],Medical_Examinations!$1:$1048576,9,FALSE)</f>
        <v>1</v>
      </c>
      <c r="I597" t="str">
        <f>VLOOKUP(Medical_Examinations_2[[#This Row],[Customer ID]],Medical_Examinations!$1:$1048576,11,FALSE)</f>
        <v>No</v>
      </c>
    </row>
    <row r="598" spans="1:9" x14ac:dyDescent="0.25">
      <c r="A598" s="10" t="s">
        <v>628</v>
      </c>
      <c r="B598" t="str">
        <f>VLOOKUP(Customer_Names!A598,Customer_Names!$1:$1048576,4,FALSE)</f>
        <v>Eugene M</v>
      </c>
      <c r="C598">
        <f>VLOOKUP(Medical_Examinations_2[[#This Row],[Customer ID]],Medical_Examinations!$1:$1048576,2,FALSE)</f>
        <v>31.02</v>
      </c>
      <c r="D598">
        <f>VLOOKUP(Medical_Examinations_2[[#This Row],[Customer ID]],Medical_Examinations!$1:$1048576,4,FALSE)</f>
        <v>5.87</v>
      </c>
      <c r="E598" t="str">
        <f>VLOOKUP(Medical_Examinations_2[[#This Row],[Customer ID]],Medical_Examinations!$1:$1048576,6,FALSE)</f>
        <v>Yes</v>
      </c>
      <c r="H598" t="str">
        <f>VLOOKUP(Medical_Examinations_2[[#This Row],[Customer ID]],Medical_Examinations!$1:$1048576,9,FALSE)</f>
        <v>No major surgery</v>
      </c>
      <c r="I598" t="str">
        <f>VLOOKUP(Medical_Examinations_2[[#This Row],[Customer ID]],Medical_Examinations!$1:$1048576,11,FALSE)</f>
        <v>No</v>
      </c>
    </row>
    <row r="599" spans="1:9" x14ac:dyDescent="0.25">
      <c r="A599" s="11" t="s">
        <v>629</v>
      </c>
      <c r="B599" t="str">
        <f>VLOOKUP(Customer_Names!A599,Customer_Names!$1:$1048576,4,FALSE)</f>
        <v>Erin D</v>
      </c>
      <c r="C599">
        <f>VLOOKUP(Medical_Examinations_2[[#This Row],[Customer ID]],Medical_Examinations!$1:$1048576,2,FALSE)</f>
        <v>24.75</v>
      </c>
      <c r="D599">
        <f>VLOOKUP(Medical_Examinations_2[[#This Row],[Customer ID]],Medical_Examinations!$1:$1048576,4,FALSE)</f>
        <v>4.3600000000000003</v>
      </c>
      <c r="E599" t="str">
        <f>VLOOKUP(Medical_Examinations_2[[#This Row],[Customer ID]],Medical_Examinations!$1:$1048576,6,FALSE)</f>
        <v>Yes</v>
      </c>
      <c r="H599">
        <f>VLOOKUP(Medical_Examinations_2[[#This Row],[Customer ID]],Medical_Examinations!$1:$1048576,9,FALSE)</f>
        <v>1</v>
      </c>
      <c r="I599" t="str">
        <f>VLOOKUP(Medical_Examinations_2[[#This Row],[Customer ID]],Medical_Examinations!$1:$1048576,11,FALSE)</f>
        <v>Yes</v>
      </c>
    </row>
    <row r="600" spans="1:9" x14ac:dyDescent="0.25">
      <c r="A600" s="10" t="s">
        <v>630</v>
      </c>
      <c r="B600" t="str">
        <f>VLOOKUP(Customer_Names!A600,Customer_Names!$1:$1048576,4,FALSE)</f>
        <v>Kamilla</v>
      </c>
      <c r="C600">
        <f>VLOOKUP(Medical_Examinations_2[[#This Row],[Customer ID]],Medical_Examinations!$1:$1048576,2,FALSE)</f>
        <v>30.114999999999998</v>
      </c>
      <c r="D600">
        <f>VLOOKUP(Medical_Examinations_2[[#This Row],[Customer ID]],Medical_Examinations!$1:$1048576,4,FALSE)</f>
        <v>10.119999999999999</v>
      </c>
      <c r="E600" t="str">
        <f>VLOOKUP(Medical_Examinations_2[[#This Row],[Customer ID]],Medical_Examinations!$1:$1048576,6,FALSE)</f>
        <v>No</v>
      </c>
      <c r="H600">
        <f>VLOOKUP(Medical_Examinations_2[[#This Row],[Customer ID]],Medical_Examinations!$1:$1048576,9,FALSE)</f>
        <v>3</v>
      </c>
      <c r="I600" t="str">
        <f>VLOOKUP(Medical_Examinations_2[[#This Row],[Customer ID]],Medical_Examinations!$1:$1048576,11,FALSE)</f>
        <v>No</v>
      </c>
    </row>
    <row r="601" spans="1:9" x14ac:dyDescent="0.25">
      <c r="A601" s="11" t="s">
        <v>632</v>
      </c>
      <c r="B601" t="str">
        <f>VLOOKUP(Customer_Names!A601,Customer_Names!$1:$1048576,4,FALSE)</f>
        <v>Wayne I.</v>
      </c>
      <c r="C601">
        <f>VLOOKUP(Medical_Examinations_2[[#This Row],[Customer ID]],Medical_Examinations!$1:$1048576,2,FALSE)</f>
        <v>26.03</v>
      </c>
      <c r="D601">
        <f>VLOOKUP(Medical_Examinations_2[[#This Row],[Customer ID]],Medical_Examinations!$1:$1048576,4,FALSE)</f>
        <v>4.01</v>
      </c>
      <c r="E601" t="str">
        <f>VLOOKUP(Medical_Examinations_2[[#This Row],[Customer ID]],Medical_Examinations!$1:$1048576,6,FALSE)</f>
        <v>No</v>
      </c>
      <c r="H601">
        <f>VLOOKUP(Medical_Examinations_2[[#This Row],[Customer ID]],Medical_Examinations!$1:$1048576,9,FALSE)</f>
        <v>1</v>
      </c>
      <c r="I601" t="str">
        <f>VLOOKUP(Medical_Examinations_2[[#This Row],[Customer ID]],Medical_Examinations!$1:$1048576,11,FALSE)</f>
        <v>Yes</v>
      </c>
    </row>
    <row r="602" spans="1:9" x14ac:dyDescent="0.25">
      <c r="A602" s="10" t="s">
        <v>633</v>
      </c>
      <c r="B602" t="str">
        <f>VLOOKUP(Customer_Names!A602,Customer_Names!$1:$1048576,4,FALSE)</f>
        <v>Tracy L</v>
      </c>
      <c r="C602">
        <f>VLOOKUP(Medical_Examinations_2[[#This Row],[Customer ID]],Medical_Examinations!$1:$1048576,2,FALSE)</f>
        <v>20.045000000000002</v>
      </c>
      <c r="D602">
        <f>VLOOKUP(Medical_Examinations_2[[#This Row],[Customer ID]],Medical_Examinations!$1:$1048576,4,FALSE)</f>
        <v>4.7699999999999996</v>
      </c>
      <c r="E602" t="str">
        <f>VLOOKUP(Medical_Examinations_2[[#This Row],[Customer ID]],Medical_Examinations!$1:$1048576,6,FALSE)</f>
        <v>Yes</v>
      </c>
      <c r="H602">
        <f>VLOOKUP(Medical_Examinations_2[[#This Row],[Customer ID]],Medical_Examinations!$1:$1048576,9,FALSE)</f>
        <v>1</v>
      </c>
      <c r="I602" t="str">
        <f>VLOOKUP(Medical_Examinations_2[[#This Row],[Customer ID]],Medical_Examinations!$1:$1048576,11,FALSE)</f>
        <v>Yes</v>
      </c>
    </row>
    <row r="603" spans="1:9" x14ac:dyDescent="0.25">
      <c r="A603" s="11" t="s">
        <v>634</v>
      </c>
      <c r="B603" t="str">
        <f>VLOOKUP(Customer_Names!A603,Customer_Names!$1:$1048576,4,FALSE)</f>
        <v>Heather</v>
      </c>
      <c r="C603">
        <f>VLOOKUP(Medical_Examinations_2[[#This Row],[Customer ID]],Medical_Examinations!$1:$1048576,2,FALSE)</f>
        <v>40.24</v>
      </c>
      <c r="D603">
        <f>VLOOKUP(Medical_Examinations_2[[#This Row],[Customer ID]],Medical_Examinations!$1:$1048576,4,FALSE)</f>
        <v>6.83</v>
      </c>
      <c r="E603" t="str">
        <f>VLOOKUP(Medical_Examinations_2[[#This Row],[Customer ID]],Medical_Examinations!$1:$1048576,6,FALSE)</f>
        <v>No</v>
      </c>
      <c r="H603" t="str">
        <f>VLOOKUP(Medical_Examinations_2[[#This Row],[Customer ID]],Medical_Examinations!$1:$1048576,9,FALSE)</f>
        <v>No major surgery</v>
      </c>
      <c r="I603" t="str">
        <f>VLOOKUP(Medical_Examinations_2[[#This Row],[Customer ID]],Medical_Examinations!$1:$1048576,11,FALSE)</f>
        <v>No</v>
      </c>
    </row>
    <row r="604" spans="1:9" x14ac:dyDescent="0.25">
      <c r="A604" s="10" t="s">
        <v>635</v>
      </c>
      <c r="B604" t="str">
        <f>VLOOKUP(Customer_Names!A604,Customer_Names!$1:$1048576,4,FALSE)</f>
        <v>Megan C</v>
      </c>
      <c r="C604">
        <f>VLOOKUP(Medical_Examinations_2[[#This Row],[Customer ID]],Medical_Examinations!$1:$1048576,2,FALSE)</f>
        <v>43.15</v>
      </c>
      <c r="D604">
        <f>VLOOKUP(Medical_Examinations_2[[#This Row],[Customer ID]],Medical_Examinations!$1:$1048576,4,FALSE)</f>
        <v>6.14</v>
      </c>
      <c r="E604" t="str">
        <f>VLOOKUP(Medical_Examinations_2[[#This Row],[Customer ID]],Medical_Examinations!$1:$1048576,6,FALSE)</f>
        <v>Yes</v>
      </c>
      <c r="H604">
        <f>VLOOKUP(Medical_Examinations_2[[#This Row],[Customer ID]],Medical_Examinations!$1:$1048576,9,FALSE)</f>
        <v>1</v>
      </c>
      <c r="I604" t="str">
        <f>VLOOKUP(Medical_Examinations_2[[#This Row],[Customer ID]],Medical_Examinations!$1:$1048576,11,FALSE)</f>
        <v>No</v>
      </c>
    </row>
    <row r="605" spans="1:9" x14ac:dyDescent="0.25">
      <c r="A605" s="11" t="s">
        <v>636</v>
      </c>
      <c r="B605" t="str">
        <f>VLOOKUP(Customer_Names!A605,Customer_Names!$1:$1048576,4,FALSE)</f>
        <v>Jonathan</v>
      </c>
      <c r="C605">
        <f>VLOOKUP(Medical_Examinations_2[[#This Row],[Customer ID]],Medical_Examinations!$1:$1048576,2,FALSE)</f>
        <v>27.7</v>
      </c>
      <c r="D605">
        <f>VLOOKUP(Medical_Examinations_2[[#This Row],[Customer ID]],Medical_Examinations!$1:$1048576,4,FALSE)</f>
        <v>5.6</v>
      </c>
      <c r="E605" t="str">
        <f>VLOOKUP(Medical_Examinations_2[[#This Row],[Customer ID]],Medical_Examinations!$1:$1048576,6,FALSE)</f>
        <v>No</v>
      </c>
      <c r="H605">
        <f>VLOOKUP(Medical_Examinations_2[[#This Row],[Customer ID]],Medical_Examinations!$1:$1048576,9,FALSE)</f>
        <v>1</v>
      </c>
      <c r="I605" t="str">
        <f>VLOOKUP(Medical_Examinations_2[[#This Row],[Customer ID]],Medical_Examinations!$1:$1048576,11,FALSE)</f>
        <v>Yes</v>
      </c>
    </row>
    <row r="606" spans="1:9" x14ac:dyDescent="0.25">
      <c r="A606" s="10" t="s">
        <v>637</v>
      </c>
      <c r="B606" t="str">
        <f>VLOOKUP(Customer_Names!A606,Customer_Names!$1:$1048576,4,FALSE)</f>
        <v>Greg D.</v>
      </c>
      <c r="C606">
        <f>VLOOKUP(Medical_Examinations_2[[#This Row],[Customer ID]],Medical_Examinations!$1:$1048576,2,FALSE)</f>
        <v>45.68</v>
      </c>
      <c r="D606">
        <f>VLOOKUP(Medical_Examinations_2[[#This Row],[Customer ID]],Medical_Examinations!$1:$1048576,4,FALSE)</f>
        <v>4.8</v>
      </c>
      <c r="E606" t="str">
        <f>VLOOKUP(Medical_Examinations_2[[#This Row],[Customer ID]],Medical_Examinations!$1:$1048576,6,FALSE)</f>
        <v>No</v>
      </c>
      <c r="H606">
        <f>VLOOKUP(Medical_Examinations_2[[#This Row],[Customer ID]],Medical_Examinations!$1:$1048576,9,FALSE)</f>
        <v>2</v>
      </c>
      <c r="I606" t="str">
        <f>VLOOKUP(Medical_Examinations_2[[#This Row],[Customer ID]],Medical_Examinations!$1:$1048576,11,FALSE)</f>
        <v>No</v>
      </c>
    </row>
    <row r="607" spans="1:9" x14ac:dyDescent="0.25">
      <c r="A607" s="11" t="s">
        <v>638</v>
      </c>
      <c r="B607" t="str">
        <f>VLOOKUP(Customer_Names!A607,Customer_Names!$1:$1048576,4,FALSE)</f>
        <v>Steven L.</v>
      </c>
      <c r="C607">
        <f>VLOOKUP(Medical_Examinations_2[[#This Row],[Customer ID]],Medical_Examinations!$1:$1048576,2,FALSE)</f>
        <v>27.3</v>
      </c>
      <c r="D607">
        <f>VLOOKUP(Medical_Examinations_2[[#This Row],[Customer ID]],Medical_Examinations!$1:$1048576,4,FALSE)</f>
        <v>11.89</v>
      </c>
      <c r="E607" t="str">
        <f>VLOOKUP(Medical_Examinations_2[[#This Row],[Customer ID]],Medical_Examinations!$1:$1048576,6,FALSE)</f>
        <v>No</v>
      </c>
      <c r="H607" t="str">
        <f>VLOOKUP(Medical_Examinations_2[[#This Row],[Customer ID]],Medical_Examinations!$1:$1048576,9,FALSE)</f>
        <v>No major surgery</v>
      </c>
      <c r="I607" t="str">
        <f>VLOOKUP(Medical_Examinations_2[[#This Row],[Customer ID]],Medical_Examinations!$1:$1048576,11,FALSE)</f>
        <v>Yes</v>
      </c>
    </row>
    <row r="608" spans="1:9" x14ac:dyDescent="0.25">
      <c r="A608" s="10" t="s">
        <v>639</v>
      </c>
      <c r="B608" t="str">
        <f>VLOOKUP(Customer_Names!A608,Customer_Names!$1:$1048576,4,FALSE)</f>
        <v>Gianfilippo</v>
      </c>
      <c r="C608">
        <f>VLOOKUP(Medical_Examinations_2[[#This Row],[Customer ID]],Medical_Examinations!$1:$1048576,2,FALSE)</f>
        <v>54.45</v>
      </c>
      <c r="D608">
        <f>VLOOKUP(Medical_Examinations_2[[#This Row],[Customer ID]],Medical_Examinations!$1:$1048576,4,FALSE)</f>
        <v>4.7300000000000004</v>
      </c>
      <c r="E608" t="str">
        <f>VLOOKUP(Medical_Examinations_2[[#This Row],[Customer ID]],Medical_Examinations!$1:$1048576,6,FALSE)</f>
        <v>Yes</v>
      </c>
      <c r="H608">
        <f>VLOOKUP(Medical_Examinations_2[[#This Row],[Customer ID]],Medical_Examinations!$1:$1048576,9,FALSE)</f>
        <v>1</v>
      </c>
      <c r="I608" t="str">
        <f>VLOOKUP(Medical_Examinations_2[[#This Row],[Customer ID]],Medical_Examinations!$1:$1048576,11,FALSE)</f>
        <v>No</v>
      </c>
    </row>
    <row r="609" spans="1:9" x14ac:dyDescent="0.25">
      <c r="A609" s="11" t="s">
        <v>640</v>
      </c>
      <c r="B609" t="str">
        <f>VLOOKUP(Customer_Names!A609,Customer_Names!$1:$1048576,4,FALSE)</f>
        <v>Hector</v>
      </c>
      <c r="C609">
        <f>VLOOKUP(Medical_Examinations_2[[#This Row],[Customer ID]],Medical_Examinations!$1:$1048576,2,FALSE)</f>
        <v>54.43</v>
      </c>
      <c r="D609">
        <f>VLOOKUP(Medical_Examinations_2[[#This Row],[Customer ID]],Medical_Examinations!$1:$1048576,4,FALSE)</f>
        <v>4.6100000000000003</v>
      </c>
      <c r="E609" t="str">
        <f>VLOOKUP(Medical_Examinations_2[[#This Row],[Customer ID]],Medical_Examinations!$1:$1048576,6,FALSE)</f>
        <v>Yes</v>
      </c>
      <c r="H609">
        <f>VLOOKUP(Medical_Examinations_2[[#This Row],[Customer ID]],Medical_Examinations!$1:$1048576,9,FALSE)</f>
        <v>1</v>
      </c>
      <c r="I609" t="str">
        <f>VLOOKUP(Medical_Examinations_2[[#This Row],[Customer ID]],Medical_Examinations!$1:$1048576,11,FALSE)</f>
        <v>No</v>
      </c>
    </row>
    <row r="610" spans="1:9" x14ac:dyDescent="0.25">
      <c r="A610" s="10" t="s">
        <v>641</v>
      </c>
      <c r="B610" t="str">
        <f>VLOOKUP(Customer_Names!A610,Customer_Names!$1:$1048576,4,FALSE)</f>
        <v>Mark W.</v>
      </c>
      <c r="C610">
        <f>VLOOKUP(Medical_Examinations_2[[#This Row],[Customer ID]],Medical_Examinations!$1:$1048576,2,FALSE)</f>
        <v>48.01</v>
      </c>
      <c r="D610">
        <f>VLOOKUP(Medical_Examinations_2[[#This Row],[Customer ID]],Medical_Examinations!$1:$1048576,4,FALSE)</f>
        <v>7.3</v>
      </c>
      <c r="E610" t="str">
        <f>VLOOKUP(Medical_Examinations_2[[#This Row],[Customer ID]],Medical_Examinations!$1:$1048576,6,FALSE)</f>
        <v>No</v>
      </c>
      <c r="H610" t="str">
        <f>VLOOKUP(Medical_Examinations_2[[#This Row],[Customer ID]],Medical_Examinations!$1:$1048576,9,FALSE)</f>
        <v>No major surgery</v>
      </c>
      <c r="I610" t="str">
        <f>VLOOKUP(Medical_Examinations_2[[#This Row],[Customer ID]],Medical_Examinations!$1:$1048576,11,FALSE)</f>
        <v>No</v>
      </c>
    </row>
    <row r="611" spans="1:9" x14ac:dyDescent="0.25">
      <c r="A611" s="11" t="s">
        <v>642</v>
      </c>
      <c r="B611" t="str">
        <f>VLOOKUP(Customer_Names!A611,Customer_Names!$1:$1048576,4,FALSE)</f>
        <v>Aubri</v>
      </c>
      <c r="C611">
        <f>VLOOKUP(Medical_Examinations_2[[#This Row],[Customer ID]],Medical_Examinations!$1:$1048576,2,FALSE)</f>
        <v>48.32</v>
      </c>
      <c r="D611">
        <f>VLOOKUP(Medical_Examinations_2[[#This Row],[Customer ID]],Medical_Examinations!$1:$1048576,4,FALSE)</f>
        <v>5.88</v>
      </c>
      <c r="E611" t="str">
        <f>VLOOKUP(Medical_Examinations_2[[#This Row],[Customer ID]],Medical_Examinations!$1:$1048576,6,FALSE)</f>
        <v>No</v>
      </c>
      <c r="H611" t="str">
        <f>VLOOKUP(Medical_Examinations_2[[#This Row],[Customer ID]],Medical_Examinations!$1:$1048576,9,FALSE)</f>
        <v>No major surgery</v>
      </c>
      <c r="I611" t="str">
        <f>VLOOKUP(Medical_Examinations_2[[#This Row],[Customer ID]],Medical_Examinations!$1:$1048576,11,FALSE)</f>
        <v>No</v>
      </c>
    </row>
    <row r="612" spans="1:9" x14ac:dyDescent="0.25">
      <c r="A612" s="10" t="s">
        <v>643</v>
      </c>
      <c r="B612" t="str">
        <f>VLOOKUP(Customer_Names!A612,Customer_Names!$1:$1048576,4,FALSE)</f>
        <v>Justin</v>
      </c>
      <c r="C612">
        <f>VLOOKUP(Medical_Examinations_2[[#This Row],[Customer ID]],Medical_Examinations!$1:$1048576,2,FALSE)</f>
        <v>22.895</v>
      </c>
      <c r="D612">
        <f>VLOOKUP(Medical_Examinations_2[[#This Row],[Customer ID]],Medical_Examinations!$1:$1048576,4,FALSE)</f>
        <v>4.0599999999999996</v>
      </c>
      <c r="E612" t="str">
        <f>VLOOKUP(Medical_Examinations_2[[#This Row],[Customer ID]],Medical_Examinations!$1:$1048576,6,FALSE)</f>
        <v>No</v>
      </c>
      <c r="H612">
        <f>VLOOKUP(Medical_Examinations_2[[#This Row],[Customer ID]],Medical_Examinations!$1:$1048576,9,FALSE)</f>
        <v>1</v>
      </c>
      <c r="I612" t="str">
        <f>VLOOKUP(Medical_Examinations_2[[#This Row],[Customer ID]],Medical_Examinations!$1:$1048576,11,FALSE)</f>
        <v>Yes</v>
      </c>
    </row>
    <row r="613" spans="1:9" x14ac:dyDescent="0.25">
      <c r="A613" s="11" t="s">
        <v>644</v>
      </c>
      <c r="B613" t="str">
        <f>VLOOKUP(Customer_Names!A613,Customer_Names!$1:$1048576,4,FALSE)</f>
        <v>Megan A.</v>
      </c>
      <c r="C613">
        <f>VLOOKUP(Medical_Examinations_2[[#This Row],[Customer ID]],Medical_Examinations!$1:$1048576,2,FALSE)</f>
        <v>54.85</v>
      </c>
      <c r="D613">
        <f>VLOOKUP(Medical_Examinations_2[[#This Row],[Customer ID]],Medical_Examinations!$1:$1048576,4,FALSE)</f>
        <v>4.9000000000000004</v>
      </c>
      <c r="E613" t="str">
        <f>VLOOKUP(Medical_Examinations_2[[#This Row],[Customer ID]],Medical_Examinations!$1:$1048576,6,FALSE)</f>
        <v>No</v>
      </c>
      <c r="H613">
        <f>VLOOKUP(Medical_Examinations_2[[#This Row],[Customer ID]],Medical_Examinations!$1:$1048576,9,FALSE)</f>
        <v>1</v>
      </c>
      <c r="I613" t="str">
        <f>VLOOKUP(Medical_Examinations_2[[#This Row],[Customer ID]],Medical_Examinations!$1:$1048576,11,FALSE)</f>
        <v>No</v>
      </c>
    </row>
    <row r="614" spans="1:9" x14ac:dyDescent="0.25">
      <c r="A614" s="10" t="s">
        <v>645</v>
      </c>
      <c r="B614" t="str">
        <f>VLOOKUP(Customer_Names!A614,Customer_Names!$1:$1048576,4,FALSE)</f>
        <v>Erika M.</v>
      </c>
      <c r="C614">
        <f>VLOOKUP(Medical_Examinations_2[[#This Row],[Customer ID]],Medical_Examinations!$1:$1048576,2,FALSE)</f>
        <v>21.85</v>
      </c>
      <c r="D614">
        <f>VLOOKUP(Medical_Examinations_2[[#This Row],[Customer ID]],Medical_Examinations!$1:$1048576,4,FALSE)</f>
        <v>5.52</v>
      </c>
      <c r="E614" t="str">
        <f>VLOOKUP(Medical_Examinations_2[[#This Row],[Customer ID]],Medical_Examinations!$1:$1048576,6,FALSE)</f>
        <v>No</v>
      </c>
      <c r="H614">
        <f>VLOOKUP(Medical_Examinations_2[[#This Row],[Customer ID]],Medical_Examinations!$1:$1048576,9,FALSE)</f>
        <v>1</v>
      </c>
      <c r="I614" t="str">
        <f>VLOOKUP(Medical_Examinations_2[[#This Row],[Customer ID]],Medical_Examinations!$1:$1048576,11,FALSE)</f>
        <v>Yes</v>
      </c>
    </row>
    <row r="615" spans="1:9" x14ac:dyDescent="0.25">
      <c r="A615" s="11" t="s">
        <v>646</v>
      </c>
      <c r="B615" t="str">
        <f>VLOOKUP(Customer_Names!A615,Customer_Names!$1:$1048576,4,FALSE)</f>
        <v>Daniel G.</v>
      </c>
      <c r="C615">
        <f>VLOOKUP(Medical_Examinations_2[[#This Row],[Customer ID]],Medical_Examinations!$1:$1048576,2,FALSE)</f>
        <v>51.86</v>
      </c>
      <c r="D615">
        <f>VLOOKUP(Medical_Examinations_2[[#This Row],[Customer ID]],Medical_Examinations!$1:$1048576,4,FALSE)</f>
        <v>5.2</v>
      </c>
      <c r="E615" t="str">
        <f>VLOOKUP(Medical_Examinations_2[[#This Row],[Customer ID]],Medical_Examinations!$1:$1048576,6,FALSE)</f>
        <v>Yes</v>
      </c>
      <c r="H615" t="str">
        <f>VLOOKUP(Medical_Examinations_2[[#This Row],[Customer ID]],Medical_Examinations!$1:$1048576,9,FALSE)</f>
        <v>No major surgery</v>
      </c>
      <c r="I615" t="str">
        <f>VLOOKUP(Medical_Examinations_2[[#This Row],[Customer ID]],Medical_Examinations!$1:$1048576,11,FALSE)</f>
        <v>No</v>
      </c>
    </row>
    <row r="616" spans="1:9" x14ac:dyDescent="0.25">
      <c r="A616" s="10" t="s">
        <v>647</v>
      </c>
      <c r="B616" t="str">
        <f>VLOOKUP(Customer_Names!A616,Customer_Names!$1:$1048576,4,FALSE)</f>
        <v>Devin C.</v>
      </c>
      <c r="C616">
        <f>VLOOKUP(Medical_Examinations_2[[#This Row],[Customer ID]],Medical_Examinations!$1:$1048576,2,FALSE)</f>
        <v>39.049999999999997</v>
      </c>
      <c r="D616">
        <f>VLOOKUP(Medical_Examinations_2[[#This Row],[Customer ID]],Medical_Examinations!$1:$1048576,4,FALSE)</f>
        <v>7.59</v>
      </c>
      <c r="E616" t="str">
        <f>VLOOKUP(Medical_Examinations_2[[#This Row],[Customer ID]],Medical_Examinations!$1:$1048576,6,FALSE)</f>
        <v>No</v>
      </c>
      <c r="H616">
        <f>VLOOKUP(Medical_Examinations_2[[#This Row],[Customer ID]],Medical_Examinations!$1:$1048576,9,FALSE)</f>
        <v>3</v>
      </c>
      <c r="I616" t="str">
        <f>VLOOKUP(Medical_Examinations_2[[#This Row],[Customer ID]],Medical_Examinations!$1:$1048576,11,FALSE)</f>
        <v>No</v>
      </c>
    </row>
    <row r="617" spans="1:9" x14ac:dyDescent="0.25">
      <c r="A617" s="11" t="s">
        <v>648</v>
      </c>
      <c r="B617" t="str">
        <f>VLOOKUP(Customer_Names!A617,Customer_Names!$1:$1048576,4,FALSE)</f>
        <v>Louise A</v>
      </c>
      <c r="C617">
        <f>VLOOKUP(Medical_Examinations_2[[#This Row],[Customer ID]],Medical_Examinations!$1:$1048576,2,FALSE)</f>
        <v>31.824999999999999</v>
      </c>
      <c r="D617">
        <f>VLOOKUP(Medical_Examinations_2[[#This Row],[Customer ID]],Medical_Examinations!$1:$1048576,4,FALSE)</f>
        <v>8.2799999999999994</v>
      </c>
      <c r="E617" t="str">
        <f>VLOOKUP(Medical_Examinations_2[[#This Row],[Customer ID]],Medical_Examinations!$1:$1048576,6,FALSE)</f>
        <v>No</v>
      </c>
      <c r="H617">
        <f>VLOOKUP(Medical_Examinations_2[[#This Row],[Customer ID]],Medical_Examinations!$1:$1048576,9,FALSE)</f>
        <v>3</v>
      </c>
      <c r="I617" t="str">
        <f>VLOOKUP(Medical_Examinations_2[[#This Row],[Customer ID]],Medical_Examinations!$1:$1048576,11,FALSE)</f>
        <v>No</v>
      </c>
    </row>
    <row r="618" spans="1:9" x14ac:dyDescent="0.25">
      <c r="A618" s="10" t="s">
        <v>649</v>
      </c>
      <c r="B618" t="str">
        <f>VLOOKUP(Customer_Names!A618,Customer_Names!$1:$1048576,4,FALSE)</f>
        <v>Sarah</v>
      </c>
      <c r="C618">
        <f>VLOOKUP(Medical_Examinations_2[[#This Row],[Customer ID]],Medical_Examinations!$1:$1048576,2,FALSE)</f>
        <v>46.43</v>
      </c>
      <c r="D618">
        <f>VLOOKUP(Medical_Examinations_2[[#This Row],[Customer ID]],Medical_Examinations!$1:$1048576,4,FALSE)</f>
        <v>6.72</v>
      </c>
      <c r="E618" t="str">
        <f>VLOOKUP(Medical_Examinations_2[[#This Row],[Customer ID]],Medical_Examinations!$1:$1048576,6,FALSE)</f>
        <v>No</v>
      </c>
      <c r="H618" t="str">
        <f>VLOOKUP(Medical_Examinations_2[[#This Row],[Customer ID]],Medical_Examinations!$1:$1048576,9,FALSE)</f>
        <v>No major surgery</v>
      </c>
      <c r="I618" t="str">
        <f>VLOOKUP(Medical_Examinations_2[[#This Row],[Customer ID]],Medical_Examinations!$1:$1048576,11,FALSE)</f>
        <v>No</v>
      </c>
    </row>
    <row r="619" spans="1:9" x14ac:dyDescent="0.25">
      <c r="A619" s="11" t="s">
        <v>650</v>
      </c>
      <c r="B619" t="str">
        <f>VLOOKUP(Customer_Names!A619,Customer_Names!$1:$1048576,4,FALSE)</f>
        <v>Amy</v>
      </c>
      <c r="C619">
        <f>VLOOKUP(Medical_Examinations_2[[#This Row],[Customer ID]],Medical_Examinations!$1:$1048576,2,FALSE)</f>
        <v>53.63</v>
      </c>
      <c r="D619">
        <f>VLOOKUP(Medical_Examinations_2[[#This Row],[Customer ID]],Medical_Examinations!$1:$1048576,4,FALSE)</f>
        <v>5.47</v>
      </c>
      <c r="E619" t="str">
        <f>VLOOKUP(Medical_Examinations_2[[#This Row],[Customer ID]],Medical_Examinations!$1:$1048576,6,FALSE)</f>
        <v>Yes</v>
      </c>
      <c r="H619">
        <f>VLOOKUP(Medical_Examinations_2[[#This Row],[Customer ID]],Medical_Examinations!$1:$1048576,9,FALSE)</f>
        <v>1</v>
      </c>
      <c r="I619" t="str">
        <f>VLOOKUP(Medical_Examinations_2[[#This Row],[Customer ID]],Medical_Examinations!$1:$1048576,11,FALSE)</f>
        <v>No</v>
      </c>
    </row>
    <row r="620" spans="1:9" x14ac:dyDescent="0.25">
      <c r="A620" s="10" t="s">
        <v>651</v>
      </c>
      <c r="B620" t="str">
        <f>VLOOKUP(Customer_Names!A620,Customer_Names!$1:$1048576,4,FALSE)</f>
        <v>Brittany L.</v>
      </c>
      <c r="C620">
        <f>VLOOKUP(Medical_Examinations_2[[#This Row],[Customer ID]],Medical_Examinations!$1:$1048576,2,FALSE)</f>
        <v>48.7</v>
      </c>
      <c r="D620">
        <f>VLOOKUP(Medical_Examinations_2[[#This Row],[Customer ID]],Medical_Examinations!$1:$1048576,4,FALSE)</f>
        <v>4.71</v>
      </c>
      <c r="E620" t="str">
        <f>VLOOKUP(Medical_Examinations_2[[#This Row],[Customer ID]],Medical_Examinations!$1:$1048576,6,FALSE)</f>
        <v>No</v>
      </c>
      <c r="H620" t="str">
        <f>VLOOKUP(Medical_Examinations_2[[#This Row],[Customer ID]],Medical_Examinations!$1:$1048576,9,FALSE)</f>
        <v>No major surgery</v>
      </c>
      <c r="I620" t="str">
        <f>VLOOKUP(Medical_Examinations_2[[#This Row],[Customer ID]],Medical_Examinations!$1:$1048576,11,FALSE)</f>
        <v>No</v>
      </c>
    </row>
    <row r="621" spans="1:9" x14ac:dyDescent="0.25">
      <c r="A621" s="11" t="s">
        <v>652</v>
      </c>
      <c r="B621" t="str">
        <f>VLOOKUP(Customer_Names!A621,Customer_Names!$1:$1048576,4,FALSE)</f>
        <v>Jessica L</v>
      </c>
      <c r="C621">
        <f>VLOOKUP(Medical_Examinations_2[[#This Row],[Customer ID]],Medical_Examinations!$1:$1048576,2,FALSE)</f>
        <v>48.81</v>
      </c>
      <c r="D621">
        <f>VLOOKUP(Medical_Examinations_2[[#This Row],[Customer ID]],Medical_Examinations!$1:$1048576,4,FALSE)</f>
        <v>5.49</v>
      </c>
      <c r="E621" t="str">
        <f>VLOOKUP(Medical_Examinations_2[[#This Row],[Customer ID]],Medical_Examinations!$1:$1048576,6,FALSE)</f>
        <v>No</v>
      </c>
      <c r="H621" t="str">
        <f>VLOOKUP(Medical_Examinations_2[[#This Row],[Customer ID]],Medical_Examinations!$1:$1048576,9,FALSE)</f>
        <v>No major surgery</v>
      </c>
      <c r="I621" t="str">
        <f>VLOOKUP(Medical_Examinations_2[[#This Row],[Customer ID]],Medical_Examinations!$1:$1048576,11,FALSE)</f>
        <v>No</v>
      </c>
    </row>
    <row r="622" spans="1:9" x14ac:dyDescent="0.25">
      <c r="A622" s="10" t="s">
        <v>653</v>
      </c>
      <c r="B622" t="str">
        <f>VLOOKUP(Customer_Names!A622,Customer_Names!$1:$1048576,4,FALSE)</f>
        <v>Kristina K</v>
      </c>
      <c r="C622">
        <f>VLOOKUP(Medical_Examinations_2[[#This Row],[Customer ID]],Medical_Examinations!$1:$1048576,2,FALSE)</f>
        <v>47.53</v>
      </c>
      <c r="D622">
        <f>VLOOKUP(Medical_Examinations_2[[#This Row],[Customer ID]],Medical_Examinations!$1:$1048576,4,FALSE)</f>
        <v>4.72</v>
      </c>
      <c r="E622" t="str">
        <f>VLOOKUP(Medical_Examinations_2[[#This Row],[Customer ID]],Medical_Examinations!$1:$1048576,6,FALSE)</f>
        <v>No</v>
      </c>
      <c r="H622" t="str">
        <f>VLOOKUP(Medical_Examinations_2[[#This Row],[Customer ID]],Medical_Examinations!$1:$1048576,9,FALSE)</f>
        <v>No major surgery</v>
      </c>
      <c r="I622" t="str">
        <f>VLOOKUP(Medical_Examinations_2[[#This Row],[Customer ID]],Medical_Examinations!$1:$1048576,11,FALSE)</f>
        <v>No</v>
      </c>
    </row>
    <row r="623" spans="1:9" x14ac:dyDescent="0.25">
      <c r="A623" s="11" t="s">
        <v>654</v>
      </c>
      <c r="B623" t="str">
        <f>VLOOKUP(Customer_Names!A623,Customer_Names!$1:$1048576,4,FALSE)</f>
        <v>Brad</v>
      </c>
      <c r="C623">
        <f>VLOOKUP(Medical_Examinations_2[[#This Row],[Customer ID]],Medical_Examinations!$1:$1048576,2,FALSE)</f>
        <v>36.85</v>
      </c>
      <c r="D623">
        <f>VLOOKUP(Medical_Examinations_2[[#This Row],[Customer ID]],Medical_Examinations!$1:$1048576,4,FALSE)</f>
        <v>6.7</v>
      </c>
      <c r="E623" t="str">
        <f>VLOOKUP(Medical_Examinations_2[[#This Row],[Customer ID]],Medical_Examinations!$1:$1048576,6,FALSE)</f>
        <v>No</v>
      </c>
      <c r="H623" t="str">
        <f>VLOOKUP(Medical_Examinations_2[[#This Row],[Customer ID]],Medical_Examinations!$1:$1048576,9,FALSE)</f>
        <v>No major surgery</v>
      </c>
      <c r="I623" t="str">
        <f>VLOOKUP(Medical_Examinations_2[[#This Row],[Customer ID]],Medical_Examinations!$1:$1048576,11,FALSE)</f>
        <v>No</v>
      </c>
    </row>
    <row r="624" spans="1:9" x14ac:dyDescent="0.25">
      <c r="A624" s="10" t="s">
        <v>655</v>
      </c>
      <c r="B624" t="str">
        <f>VLOOKUP(Customer_Names!A624,Customer_Names!$1:$1048576,4,FALSE)</f>
        <v>Margaret O</v>
      </c>
      <c r="C624">
        <f>VLOOKUP(Medical_Examinations_2[[#This Row],[Customer ID]],Medical_Examinations!$1:$1048576,2,FALSE)</f>
        <v>29.3</v>
      </c>
      <c r="D624">
        <f>VLOOKUP(Medical_Examinations_2[[#This Row],[Customer ID]],Medical_Examinations!$1:$1048576,4,FALSE)</f>
        <v>5.5</v>
      </c>
      <c r="E624" t="str">
        <f>VLOOKUP(Medical_Examinations_2[[#This Row],[Customer ID]],Medical_Examinations!$1:$1048576,6,FALSE)</f>
        <v>No</v>
      </c>
      <c r="H624" t="str">
        <f>VLOOKUP(Medical_Examinations_2[[#This Row],[Customer ID]],Medical_Examinations!$1:$1048576,9,FALSE)</f>
        <v>No major surgery</v>
      </c>
      <c r="I624" t="str">
        <f>VLOOKUP(Medical_Examinations_2[[#This Row],[Customer ID]],Medical_Examinations!$1:$1048576,11,FALSE)</f>
        <v>No</v>
      </c>
    </row>
    <row r="625" spans="1:9" x14ac:dyDescent="0.25">
      <c r="A625" s="11" t="s">
        <v>656</v>
      </c>
      <c r="B625" t="str">
        <f>VLOOKUP(Customer_Names!A625,Customer_Names!$1:$1048576,4,FALSE)</f>
        <v>Craig R.</v>
      </c>
      <c r="C625">
        <f>VLOOKUP(Medical_Examinations_2[[#This Row],[Customer ID]],Medical_Examinations!$1:$1048576,2,FALSE)</f>
        <v>19.3</v>
      </c>
      <c r="D625">
        <f>VLOOKUP(Medical_Examinations_2[[#This Row],[Customer ID]],Medical_Examinations!$1:$1048576,4,FALSE)</f>
        <v>4.46</v>
      </c>
      <c r="E625" t="str">
        <f>VLOOKUP(Medical_Examinations_2[[#This Row],[Customer ID]],Medical_Examinations!$1:$1048576,6,FALSE)</f>
        <v>No</v>
      </c>
      <c r="H625">
        <f>VLOOKUP(Medical_Examinations_2[[#This Row],[Customer ID]],Medical_Examinations!$1:$1048576,9,FALSE)</f>
        <v>1</v>
      </c>
      <c r="I625" t="str">
        <f>VLOOKUP(Medical_Examinations_2[[#This Row],[Customer ID]],Medical_Examinations!$1:$1048576,11,FALSE)</f>
        <v>Yes</v>
      </c>
    </row>
    <row r="626" spans="1:9" x14ac:dyDescent="0.25">
      <c r="A626" s="10" t="s">
        <v>657</v>
      </c>
      <c r="B626" t="str">
        <f>VLOOKUP(Customer_Names!A626,Customer_Names!$1:$1048576,4,FALSE)</f>
        <v>Simo</v>
      </c>
      <c r="C626">
        <f>VLOOKUP(Medical_Examinations_2[[#This Row],[Customer ID]],Medical_Examinations!$1:$1048576,2,FALSE)</f>
        <v>24.13</v>
      </c>
      <c r="D626">
        <f>VLOOKUP(Medical_Examinations_2[[#This Row],[Customer ID]],Medical_Examinations!$1:$1048576,4,FALSE)</f>
        <v>5.29</v>
      </c>
      <c r="E626" t="str">
        <f>VLOOKUP(Medical_Examinations_2[[#This Row],[Customer ID]],Medical_Examinations!$1:$1048576,6,FALSE)</f>
        <v>Yes</v>
      </c>
      <c r="H626">
        <f>VLOOKUP(Medical_Examinations_2[[#This Row],[Customer ID]],Medical_Examinations!$1:$1048576,9,FALSE)</f>
        <v>1</v>
      </c>
      <c r="I626" t="str">
        <f>VLOOKUP(Medical_Examinations_2[[#This Row],[Customer ID]],Medical_Examinations!$1:$1048576,11,FALSE)</f>
        <v>Yes</v>
      </c>
    </row>
    <row r="627" spans="1:9" x14ac:dyDescent="0.25">
      <c r="A627" s="11" t="s">
        <v>658</v>
      </c>
      <c r="B627" t="str">
        <f>VLOOKUP(Customer_Names!A627,Customer_Names!$1:$1048576,4,FALSE)</f>
        <v>Christopher J</v>
      </c>
      <c r="C627">
        <f>VLOOKUP(Medical_Examinations_2[[#This Row],[Customer ID]],Medical_Examinations!$1:$1048576,2,FALSE)</f>
        <v>46.7</v>
      </c>
      <c r="D627">
        <f>VLOOKUP(Medical_Examinations_2[[#This Row],[Customer ID]],Medical_Examinations!$1:$1048576,4,FALSE)</f>
        <v>10.99</v>
      </c>
      <c r="E627" t="str">
        <f>VLOOKUP(Medical_Examinations_2[[#This Row],[Customer ID]],Medical_Examinations!$1:$1048576,6,FALSE)</f>
        <v>No</v>
      </c>
      <c r="H627" t="str">
        <f>VLOOKUP(Medical_Examinations_2[[#This Row],[Customer ID]],Medical_Examinations!$1:$1048576,9,FALSE)</f>
        <v>No major surgery</v>
      </c>
      <c r="I627" t="str">
        <f>VLOOKUP(Medical_Examinations_2[[#This Row],[Customer ID]],Medical_Examinations!$1:$1048576,11,FALSE)</f>
        <v>No</v>
      </c>
    </row>
    <row r="628" spans="1:9" x14ac:dyDescent="0.25">
      <c r="A628" s="10" t="s">
        <v>659</v>
      </c>
      <c r="B628" t="str">
        <f>VLOOKUP(Customer_Names!A628,Customer_Names!$1:$1048576,4,FALSE)</f>
        <v>Mario Sr.</v>
      </c>
      <c r="C628">
        <f>VLOOKUP(Medical_Examinations_2[[#This Row],[Customer ID]],Medical_Examinations!$1:$1048576,2,FALSE)</f>
        <v>45.27</v>
      </c>
      <c r="D628">
        <f>VLOOKUP(Medical_Examinations_2[[#This Row],[Customer ID]],Medical_Examinations!$1:$1048576,4,FALSE)</f>
        <v>5.2</v>
      </c>
      <c r="E628" t="str">
        <f>VLOOKUP(Medical_Examinations_2[[#This Row],[Customer ID]],Medical_Examinations!$1:$1048576,6,FALSE)</f>
        <v>Yes</v>
      </c>
      <c r="H628" t="str">
        <f>VLOOKUP(Medical_Examinations_2[[#This Row],[Customer ID]],Medical_Examinations!$1:$1048576,9,FALSE)</f>
        <v>No major surgery</v>
      </c>
      <c r="I628" t="str">
        <f>VLOOKUP(Medical_Examinations_2[[#This Row],[Customer ID]],Medical_Examinations!$1:$1048576,11,FALSE)</f>
        <v>No</v>
      </c>
    </row>
    <row r="629" spans="1:9" x14ac:dyDescent="0.25">
      <c r="A629" s="11" t="s">
        <v>660</v>
      </c>
      <c r="B629" t="str">
        <f>VLOOKUP(Customer_Names!A629,Customer_Names!$1:$1048576,4,FALSE)</f>
        <v>Meghann R.</v>
      </c>
      <c r="C629">
        <f>VLOOKUP(Medical_Examinations_2[[#This Row],[Customer ID]],Medical_Examinations!$1:$1048576,2,FALSE)</f>
        <v>44.29</v>
      </c>
      <c r="D629">
        <f>VLOOKUP(Medical_Examinations_2[[#This Row],[Customer ID]],Medical_Examinations!$1:$1048576,4,FALSE)</f>
        <v>9.66</v>
      </c>
      <c r="E629" t="str">
        <f>VLOOKUP(Medical_Examinations_2[[#This Row],[Customer ID]],Medical_Examinations!$1:$1048576,6,FALSE)</f>
        <v>No</v>
      </c>
      <c r="H629">
        <f>VLOOKUP(Medical_Examinations_2[[#This Row],[Customer ID]],Medical_Examinations!$1:$1048576,9,FALSE)</f>
        <v>2</v>
      </c>
      <c r="I629" t="str">
        <f>VLOOKUP(Medical_Examinations_2[[#This Row],[Customer ID]],Medical_Examinations!$1:$1048576,11,FALSE)</f>
        <v>No</v>
      </c>
    </row>
    <row r="630" spans="1:9" x14ac:dyDescent="0.25">
      <c r="A630" s="10" t="s">
        <v>661</v>
      </c>
      <c r="B630" t="str">
        <f>VLOOKUP(Customer_Names!A630,Customer_Names!$1:$1048576,4,FALSE)</f>
        <v>Scott M</v>
      </c>
      <c r="C630">
        <f>VLOOKUP(Medical_Examinations_2[[#This Row],[Customer ID]],Medical_Examinations!$1:$1048576,2,FALSE)</f>
        <v>54.59</v>
      </c>
      <c r="D630">
        <f>VLOOKUP(Medical_Examinations_2[[#This Row],[Customer ID]],Medical_Examinations!$1:$1048576,4,FALSE)</f>
        <v>4.22</v>
      </c>
      <c r="E630" t="str">
        <f>VLOOKUP(Medical_Examinations_2[[#This Row],[Customer ID]],Medical_Examinations!$1:$1048576,6,FALSE)</f>
        <v>Yes</v>
      </c>
      <c r="H630">
        <f>VLOOKUP(Medical_Examinations_2[[#This Row],[Customer ID]],Medical_Examinations!$1:$1048576,9,FALSE)</f>
        <v>1</v>
      </c>
      <c r="I630" t="str">
        <f>VLOOKUP(Medical_Examinations_2[[#This Row],[Customer ID]],Medical_Examinations!$1:$1048576,11,FALSE)</f>
        <v>No</v>
      </c>
    </row>
    <row r="631" spans="1:9" x14ac:dyDescent="0.25">
      <c r="A631" s="11" t="s">
        <v>662</v>
      </c>
      <c r="B631" t="str">
        <f>VLOOKUP(Customer_Names!A631,Customer_Names!$1:$1048576,4,FALSE)</f>
        <v>Caitlin E.</v>
      </c>
      <c r="C631">
        <f>VLOOKUP(Medical_Examinations_2[[#This Row],[Customer ID]],Medical_Examinations!$1:$1048576,2,FALSE)</f>
        <v>32.965000000000003</v>
      </c>
      <c r="D631">
        <f>VLOOKUP(Medical_Examinations_2[[#This Row],[Customer ID]],Medical_Examinations!$1:$1048576,4,FALSE)</f>
        <v>11.78</v>
      </c>
      <c r="E631" t="str">
        <f>VLOOKUP(Medical_Examinations_2[[#This Row],[Customer ID]],Medical_Examinations!$1:$1048576,6,FALSE)</f>
        <v>No</v>
      </c>
      <c r="H631" t="str">
        <f>VLOOKUP(Medical_Examinations_2[[#This Row],[Customer ID]],Medical_Examinations!$1:$1048576,9,FALSE)</f>
        <v>No major surgery</v>
      </c>
      <c r="I631" t="str">
        <f>VLOOKUP(Medical_Examinations_2[[#This Row],[Customer ID]],Medical_Examinations!$1:$1048576,11,FALSE)</f>
        <v>No</v>
      </c>
    </row>
    <row r="632" spans="1:9" x14ac:dyDescent="0.25">
      <c r="A632" s="10" t="s">
        <v>663</v>
      </c>
      <c r="B632" t="str">
        <f>VLOOKUP(Customer_Names!A632,Customer_Names!$1:$1048576,4,FALSE)</f>
        <v>Samantha A.</v>
      </c>
      <c r="C632">
        <f>VLOOKUP(Medical_Examinations_2[[#This Row],[Customer ID]],Medical_Examinations!$1:$1048576,2,FALSE)</f>
        <v>38.049999999999997</v>
      </c>
      <c r="D632">
        <f>VLOOKUP(Medical_Examinations_2[[#This Row],[Customer ID]],Medical_Examinations!$1:$1048576,4,FALSE)</f>
        <v>9.6199999999999992</v>
      </c>
      <c r="E632" t="str">
        <f>VLOOKUP(Medical_Examinations_2[[#This Row],[Customer ID]],Medical_Examinations!$1:$1048576,6,FALSE)</f>
        <v>No</v>
      </c>
      <c r="H632" t="str">
        <f>VLOOKUP(Medical_Examinations_2[[#This Row],[Customer ID]],Medical_Examinations!$1:$1048576,9,FALSE)</f>
        <v>No major surgery</v>
      </c>
      <c r="I632" t="str">
        <f>VLOOKUP(Medical_Examinations_2[[#This Row],[Customer ID]],Medical_Examinations!$1:$1048576,11,FALSE)</f>
        <v>No</v>
      </c>
    </row>
    <row r="633" spans="1:9" x14ac:dyDescent="0.25">
      <c r="A633" s="11" t="s">
        <v>664</v>
      </c>
      <c r="B633" t="str">
        <f>VLOOKUP(Customer_Names!A633,Customer_Names!$1:$1048576,4,FALSE)</f>
        <v>Erik</v>
      </c>
      <c r="C633">
        <f>VLOOKUP(Medical_Examinations_2[[#This Row],[Customer ID]],Medical_Examinations!$1:$1048576,2,FALSE)</f>
        <v>46.14</v>
      </c>
      <c r="D633">
        <f>VLOOKUP(Medical_Examinations_2[[#This Row],[Customer ID]],Medical_Examinations!$1:$1048576,4,FALSE)</f>
        <v>10.78</v>
      </c>
      <c r="E633" t="str">
        <f>VLOOKUP(Medical_Examinations_2[[#This Row],[Customer ID]],Medical_Examinations!$1:$1048576,6,FALSE)</f>
        <v>No</v>
      </c>
      <c r="H633" t="str">
        <f>VLOOKUP(Medical_Examinations_2[[#This Row],[Customer ID]],Medical_Examinations!$1:$1048576,9,FALSE)</f>
        <v>No major surgery</v>
      </c>
      <c r="I633" t="str">
        <f>VLOOKUP(Medical_Examinations_2[[#This Row],[Customer ID]],Medical_Examinations!$1:$1048576,11,FALSE)</f>
        <v>No</v>
      </c>
    </row>
    <row r="634" spans="1:9" x14ac:dyDescent="0.25">
      <c r="A634" s="10" t="s">
        <v>665</v>
      </c>
      <c r="B634" t="str">
        <f>VLOOKUP(Customer_Names!A634,Customer_Names!$1:$1048576,4,FALSE)</f>
        <v>Christopher</v>
      </c>
      <c r="C634">
        <f>VLOOKUP(Medical_Examinations_2[[#This Row],[Customer ID]],Medical_Examinations!$1:$1048576,2,FALSE)</f>
        <v>41.325000000000003</v>
      </c>
      <c r="D634">
        <f>VLOOKUP(Medical_Examinations_2[[#This Row],[Customer ID]],Medical_Examinations!$1:$1048576,4,FALSE)</f>
        <v>5.1100000000000003</v>
      </c>
      <c r="E634" t="str">
        <f>VLOOKUP(Medical_Examinations_2[[#This Row],[Customer ID]],Medical_Examinations!$1:$1048576,6,FALSE)</f>
        <v>Yes</v>
      </c>
      <c r="H634">
        <f>VLOOKUP(Medical_Examinations_2[[#This Row],[Customer ID]],Medical_Examinations!$1:$1048576,9,FALSE)</f>
        <v>2</v>
      </c>
      <c r="I634" t="str">
        <f>VLOOKUP(Medical_Examinations_2[[#This Row],[Customer ID]],Medical_Examinations!$1:$1048576,11,FALSE)</f>
        <v>No</v>
      </c>
    </row>
    <row r="635" spans="1:9" x14ac:dyDescent="0.25">
      <c r="A635" s="11" t="s">
        <v>666</v>
      </c>
      <c r="B635" t="str">
        <f>VLOOKUP(Customer_Names!A635,Customer_Names!$1:$1048576,4,FALSE)</f>
        <v>Maya</v>
      </c>
      <c r="C635">
        <f>VLOOKUP(Medical_Examinations_2[[#This Row],[Customer ID]],Medical_Examinations!$1:$1048576,2,FALSE)</f>
        <v>44.64</v>
      </c>
      <c r="D635">
        <f>VLOOKUP(Medical_Examinations_2[[#This Row],[Customer ID]],Medical_Examinations!$1:$1048576,4,FALSE)</f>
        <v>7.18</v>
      </c>
      <c r="E635" t="str">
        <f>VLOOKUP(Medical_Examinations_2[[#This Row],[Customer ID]],Medical_Examinations!$1:$1048576,6,FALSE)</f>
        <v>No</v>
      </c>
      <c r="H635" t="str">
        <f>VLOOKUP(Medical_Examinations_2[[#This Row],[Customer ID]],Medical_Examinations!$1:$1048576,9,FALSE)</f>
        <v>No major surgery</v>
      </c>
      <c r="I635" t="str">
        <f>VLOOKUP(Medical_Examinations_2[[#This Row],[Customer ID]],Medical_Examinations!$1:$1048576,11,FALSE)</f>
        <v>No</v>
      </c>
    </row>
    <row r="636" spans="1:9" x14ac:dyDescent="0.25">
      <c r="A636" s="10" t="s">
        <v>667</v>
      </c>
      <c r="B636" t="str">
        <f>VLOOKUP(Customer_Names!A636,Customer_Names!$1:$1048576,4,FALSE)</f>
        <v>Zachary T</v>
      </c>
      <c r="C636">
        <f>VLOOKUP(Medical_Examinations_2[[#This Row],[Customer ID]],Medical_Examinations!$1:$1048576,2,FALSE)</f>
        <v>25.175000000000001</v>
      </c>
      <c r="D636">
        <f>VLOOKUP(Medical_Examinations_2[[#This Row],[Customer ID]],Medical_Examinations!$1:$1048576,4,FALSE)</f>
        <v>4.96</v>
      </c>
      <c r="E636" t="str">
        <f>VLOOKUP(Medical_Examinations_2[[#This Row],[Customer ID]],Medical_Examinations!$1:$1048576,6,FALSE)</f>
        <v>No</v>
      </c>
      <c r="H636">
        <f>VLOOKUP(Medical_Examinations_2[[#This Row],[Customer ID]],Medical_Examinations!$1:$1048576,9,FALSE)</f>
        <v>1</v>
      </c>
      <c r="I636" t="str">
        <f>VLOOKUP(Medical_Examinations_2[[#This Row],[Customer ID]],Medical_Examinations!$1:$1048576,11,FALSE)</f>
        <v>No</v>
      </c>
    </row>
    <row r="637" spans="1:9" x14ac:dyDescent="0.25">
      <c r="A637" s="11" t="s">
        <v>668</v>
      </c>
      <c r="B637" t="str">
        <f>VLOOKUP(Customer_Names!A637,Customer_Names!$1:$1048576,4,FALSE)</f>
        <v>Hilda</v>
      </c>
      <c r="C637">
        <f>VLOOKUP(Medical_Examinations_2[[#This Row],[Customer ID]],Medical_Examinations!$1:$1048576,2,FALSE)</f>
        <v>43.11</v>
      </c>
      <c r="D637">
        <f>VLOOKUP(Medical_Examinations_2[[#This Row],[Customer ID]],Medical_Examinations!$1:$1048576,4,FALSE)</f>
        <v>4.67</v>
      </c>
      <c r="E637" t="str">
        <f>VLOOKUP(Medical_Examinations_2[[#This Row],[Customer ID]],Medical_Examinations!$1:$1048576,6,FALSE)</f>
        <v>Yes</v>
      </c>
      <c r="H637" t="str">
        <f>VLOOKUP(Medical_Examinations_2[[#This Row],[Customer ID]],Medical_Examinations!$1:$1048576,9,FALSE)</f>
        <v>No major surgery</v>
      </c>
      <c r="I637" t="str">
        <f>VLOOKUP(Medical_Examinations_2[[#This Row],[Customer ID]],Medical_Examinations!$1:$1048576,11,FALSE)</f>
        <v>No</v>
      </c>
    </row>
    <row r="638" spans="1:9" x14ac:dyDescent="0.25">
      <c r="A638" s="10" t="s">
        <v>669</v>
      </c>
      <c r="B638" t="str">
        <f>VLOOKUP(Customer_Names!A638,Customer_Names!$1:$1048576,4,FALSE)</f>
        <v>Stephanie</v>
      </c>
      <c r="C638">
        <f>VLOOKUP(Medical_Examinations_2[[#This Row],[Customer ID]],Medical_Examinations!$1:$1048576,2,FALSE)</f>
        <v>53.32</v>
      </c>
      <c r="D638">
        <f>VLOOKUP(Medical_Examinations_2[[#This Row],[Customer ID]],Medical_Examinations!$1:$1048576,4,FALSE)</f>
        <v>5.0599999999999996</v>
      </c>
      <c r="E638" t="str">
        <f>VLOOKUP(Medical_Examinations_2[[#This Row],[Customer ID]],Medical_Examinations!$1:$1048576,6,FALSE)</f>
        <v>No</v>
      </c>
      <c r="H638" t="str">
        <f>VLOOKUP(Medical_Examinations_2[[#This Row],[Customer ID]],Medical_Examinations!$1:$1048576,9,FALSE)</f>
        <v>No major surgery</v>
      </c>
      <c r="I638" t="str">
        <f>VLOOKUP(Medical_Examinations_2[[#This Row],[Customer ID]],Medical_Examinations!$1:$1048576,11,FALSE)</f>
        <v>No</v>
      </c>
    </row>
    <row r="639" spans="1:9" x14ac:dyDescent="0.25">
      <c r="A639" s="11" t="s">
        <v>670</v>
      </c>
      <c r="B639" t="str">
        <f>VLOOKUP(Customer_Names!A639,Customer_Names!$1:$1048576,4,FALSE)</f>
        <v>Doug</v>
      </c>
      <c r="C639">
        <f>VLOOKUP(Medical_Examinations_2[[#This Row],[Customer ID]],Medical_Examinations!$1:$1048576,2,FALSE)</f>
        <v>38.04</v>
      </c>
      <c r="D639">
        <f>VLOOKUP(Medical_Examinations_2[[#This Row],[Customer ID]],Medical_Examinations!$1:$1048576,4,FALSE)</f>
        <v>5.0199999999999996</v>
      </c>
      <c r="E639" t="str">
        <f>VLOOKUP(Medical_Examinations_2[[#This Row],[Customer ID]],Medical_Examinations!$1:$1048576,6,FALSE)</f>
        <v>Yes</v>
      </c>
      <c r="H639">
        <f>VLOOKUP(Medical_Examinations_2[[#This Row],[Customer ID]],Medical_Examinations!$1:$1048576,9,FALSE)</f>
        <v>1</v>
      </c>
      <c r="I639" t="str">
        <f>VLOOKUP(Medical_Examinations_2[[#This Row],[Customer ID]],Medical_Examinations!$1:$1048576,11,FALSE)</f>
        <v>No</v>
      </c>
    </row>
    <row r="640" spans="1:9" x14ac:dyDescent="0.25">
      <c r="A640" s="10" t="s">
        <v>671</v>
      </c>
      <c r="B640" t="str">
        <f>VLOOKUP(Customer_Names!A640,Customer_Names!$1:$1048576,4,FALSE)</f>
        <v>Bethany N.</v>
      </c>
      <c r="C640">
        <f>VLOOKUP(Medical_Examinations_2[[#This Row],[Customer ID]],Medical_Examinations!$1:$1048576,2,FALSE)</f>
        <v>37.9</v>
      </c>
      <c r="D640">
        <f>VLOOKUP(Medical_Examinations_2[[#This Row],[Customer ID]],Medical_Examinations!$1:$1048576,4,FALSE)</f>
        <v>7.76</v>
      </c>
      <c r="E640" t="str">
        <f>VLOOKUP(Medical_Examinations_2[[#This Row],[Customer ID]],Medical_Examinations!$1:$1048576,6,FALSE)</f>
        <v>No</v>
      </c>
      <c r="H640" t="str">
        <f>VLOOKUP(Medical_Examinations_2[[#This Row],[Customer ID]],Medical_Examinations!$1:$1048576,9,FALSE)</f>
        <v>No major surgery</v>
      </c>
      <c r="I640" t="str">
        <f>VLOOKUP(Medical_Examinations_2[[#This Row],[Customer ID]],Medical_Examinations!$1:$1048576,11,FALSE)</f>
        <v>No</v>
      </c>
    </row>
    <row r="641" spans="1:9" x14ac:dyDescent="0.25">
      <c r="A641" s="11" t="s">
        <v>672</v>
      </c>
      <c r="B641" t="str">
        <f>VLOOKUP(Customer_Names!A641,Customer_Names!$1:$1048576,4,FALSE)</f>
        <v>Sandra H</v>
      </c>
      <c r="C641">
        <f>VLOOKUP(Medical_Examinations_2[[#This Row],[Customer ID]],Medical_Examinations!$1:$1048576,2,FALSE)</f>
        <v>39.6</v>
      </c>
      <c r="D641">
        <f>VLOOKUP(Medical_Examinations_2[[#This Row],[Customer ID]],Medical_Examinations!$1:$1048576,4,FALSE)</f>
        <v>9.32</v>
      </c>
      <c r="E641" t="str">
        <f>VLOOKUP(Medical_Examinations_2[[#This Row],[Customer ID]],Medical_Examinations!$1:$1048576,6,FALSE)</f>
        <v>No</v>
      </c>
      <c r="H641" t="str">
        <f>VLOOKUP(Medical_Examinations_2[[#This Row],[Customer ID]],Medical_Examinations!$1:$1048576,9,FALSE)</f>
        <v>No major surgery</v>
      </c>
      <c r="I641" t="str">
        <f>VLOOKUP(Medical_Examinations_2[[#This Row],[Customer ID]],Medical_Examinations!$1:$1048576,11,FALSE)</f>
        <v>No</v>
      </c>
    </row>
    <row r="642" spans="1:9" x14ac:dyDescent="0.25">
      <c r="A642" s="10" t="s">
        <v>673</v>
      </c>
      <c r="B642" t="str">
        <f>VLOOKUP(Customer_Names!A642,Customer_Names!$1:$1048576,4,FALSE)</f>
        <v>Takuo</v>
      </c>
      <c r="C642">
        <f>VLOOKUP(Medical_Examinations_2[[#This Row],[Customer ID]],Medical_Examinations!$1:$1048576,2,FALSE)</f>
        <v>50.92</v>
      </c>
      <c r="D642">
        <f>VLOOKUP(Medical_Examinations_2[[#This Row],[Customer ID]],Medical_Examinations!$1:$1048576,4,FALSE)</f>
        <v>5.31</v>
      </c>
      <c r="E642" t="str">
        <f>VLOOKUP(Medical_Examinations_2[[#This Row],[Customer ID]],Medical_Examinations!$1:$1048576,6,FALSE)</f>
        <v>Yes</v>
      </c>
      <c r="H642">
        <f>VLOOKUP(Medical_Examinations_2[[#This Row],[Customer ID]],Medical_Examinations!$1:$1048576,9,FALSE)</f>
        <v>1</v>
      </c>
      <c r="I642" t="str">
        <f>VLOOKUP(Medical_Examinations_2[[#This Row],[Customer ID]],Medical_Examinations!$1:$1048576,11,FALSE)</f>
        <v>No</v>
      </c>
    </row>
    <row r="643" spans="1:9" x14ac:dyDescent="0.25">
      <c r="A643" s="11" t="s">
        <v>674</v>
      </c>
      <c r="B643" t="str">
        <f>VLOOKUP(Customer_Names!A643,Customer_Names!$1:$1048576,4,FALSE)</f>
        <v>Kelly A.</v>
      </c>
      <c r="C643">
        <f>VLOOKUP(Medical_Examinations_2[[#This Row],[Customer ID]],Medical_Examinations!$1:$1048576,2,FALSE)</f>
        <v>21.85</v>
      </c>
      <c r="D643">
        <f>VLOOKUP(Medical_Examinations_2[[#This Row],[Customer ID]],Medical_Examinations!$1:$1048576,4,FALSE)</f>
        <v>5.56</v>
      </c>
      <c r="E643" t="str">
        <f>VLOOKUP(Medical_Examinations_2[[#This Row],[Customer ID]],Medical_Examinations!$1:$1048576,6,FALSE)</f>
        <v>Yes</v>
      </c>
      <c r="H643" t="str">
        <f>VLOOKUP(Medical_Examinations_2[[#This Row],[Customer ID]],Medical_Examinations!$1:$1048576,9,FALSE)</f>
        <v>No major surgery</v>
      </c>
      <c r="I643" t="str">
        <f>VLOOKUP(Medical_Examinations_2[[#This Row],[Customer ID]],Medical_Examinations!$1:$1048576,11,FALSE)</f>
        <v>Yes</v>
      </c>
    </row>
    <row r="644" spans="1:9" x14ac:dyDescent="0.25">
      <c r="A644" s="10" t="s">
        <v>675</v>
      </c>
      <c r="B644" t="str">
        <f>VLOOKUP(Customer_Names!A644,Customer_Names!$1:$1048576,4,FALSE)</f>
        <v>Scott</v>
      </c>
      <c r="C644">
        <f>VLOOKUP(Medical_Examinations_2[[#This Row],[Customer ID]],Medical_Examinations!$1:$1048576,2,FALSE)</f>
        <v>36.08</v>
      </c>
      <c r="D644">
        <f>VLOOKUP(Medical_Examinations_2[[#This Row],[Customer ID]],Medical_Examinations!$1:$1048576,4,FALSE)</f>
        <v>7.11</v>
      </c>
      <c r="E644" t="str">
        <f>VLOOKUP(Medical_Examinations_2[[#This Row],[Customer ID]],Medical_Examinations!$1:$1048576,6,FALSE)</f>
        <v>Yes</v>
      </c>
      <c r="H644">
        <f>VLOOKUP(Medical_Examinations_2[[#This Row],[Customer ID]],Medical_Examinations!$1:$1048576,9,FALSE)</f>
        <v>1</v>
      </c>
      <c r="I644" t="str">
        <f>VLOOKUP(Medical_Examinations_2[[#This Row],[Customer ID]],Medical_Examinations!$1:$1048576,11,FALSE)</f>
        <v>No</v>
      </c>
    </row>
    <row r="645" spans="1:9" x14ac:dyDescent="0.25">
      <c r="A645" s="11" t="s">
        <v>676</v>
      </c>
      <c r="B645" t="str">
        <f>VLOOKUP(Customer_Names!A645,Customer_Names!$1:$1048576,4,FALSE)</f>
        <v>Benoit</v>
      </c>
      <c r="C645">
        <f>VLOOKUP(Medical_Examinations_2[[#This Row],[Customer ID]],Medical_Examinations!$1:$1048576,2,FALSE)</f>
        <v>40.44</v>
      </c>
      <c r="D645">
        <f>VLOOKUP(Medical_Examinations_2[[#This Row],[Customer ID]],Medical_Examinations!$1:$1048576,4,FALSE)</f>
        <v>5.13</v>
      </c>
      <c r="E645" t="str">
        <f>VLOOKUP(Medical_Examinations_2[[#This Row],[Customer ID]],Medical_Examinations!$1:$1048576,6,FALSE)</f>
        <v>Yes</v>
      </c>
      <c r="H645">
        <f>VLOOKUP(Medical_Examinations_2[[#This Row],[Customer ID]],Medical_Examinations!$1:$1048576,9,FALSE)</f>
        <v>1</v>
      </c>
      <c r="I645" t="str">
        <f>VLOOKUP(Medical_Examinations_2[[#This Row],[Customer ID]],Medical_Examinations!$1:$1048576,11,FALSE)</f>
        <v>No</v>
      </c>
    </row>
    <row r="646" spans="1:9" x14ac:dyDescent="0.25">
      <c r="A646" s="10" t="s">
        <v>677</v>
      </c>
      <c r="B646" t="str">
        <f>VLOOKUP(Customer_Names!A646,Customer_Names!$1:$1048576,4,FALSE)</f>
        <v>Elizabeth M.</v>
      </c>
      <c r="C646">
        <f>VLOOKUP(Medical_Examinations_2[[#This Row],[Customer ID]],Medical_Examinations!$1:$1048576,2,FALSE)</f>
        <v>38.094999999999999</v>
      </c>
      <c r="D646">
        <f>VLOOKUP(Medical_Examinations_2[[#This Row],[Customer ID]],Medical_Examinations!$1:$1048576,4,FALSE)</f>
        <v>10.199999999999999</v>
      </c>
      <c r="E646" t="str">
        <f>VLOOKUP(Medical_Examinations_2[[#This Row],[Customer ID]],Medical_Examinations!$1:$1048576,6,FALSE)</f>
        <v>No</v>
      </c>
      <c r="H646" t="str">
        <f>VLOOKUP(Medical_Examinations_2[[#This Row],[Customer ID]],Medical_Examinations!$1:$1048576,9,FALSE)</f>
        <v>No major surgery</v>
      </c>
      <c r="I646" t="str">
        <f>VLOOKUP(Medical_Examinations_2[[#This Row],[Customer ID]],Medical_Examinations!$1:$1048576,11,FALSE)</f>
        <v>No</v>
      </c>
    </row>
    <row r="647" spans="1:9" x14ac:dyDescent="0.25">
      <c r="A647" s="11" t="s">
        <v>678</v>
      </c>
      <c r="B647" t="str">
        <f>VLOOKUP(Customer_Names!A647,Customer_Names!$1:$1048576,4,FALSE)</f>
        <v>Jessica A.</v>
      </c>
      <c r="C647">
        <f>VLOOKUP(Medical_Examinations_2[[#This Row],[Customer ID]],Medical_Examinations!$1:$1048576,2,FALSE)</f>
        <v>44.95</v>
      </c>
      <c r="D647">
        <f>VLOOKUP(Medical_Examinations_2[[#This Row],[Customer ID]],Medical_Examinations!$1:$1048576,4,FALSE)</f>
        <v>10.4</v>
      </c>
      <c r="E647" t="str">
        <f>VLOOKUP(Medical_Examinations_2[[#This Row],[Customer ID]],Medical_Examinations!$1:$1048576,6,FALSE)</f>
        <v>No</v>
      </c>
      <c r="H647" t="str">
        <f>VLOOKUP(Medical_Examinations_2[[#This Row],[Customer ID]],Medical_Examinations!$1:$1048576,9,FALSE)</f>
        <v>No major surgery</v>
      </c>
      <c r="I647" t="str">
        <f>VLOOKUP(Medical_Examinations_2[[#This Row],[Customer ID]],Medical_Examinations!$1:$1048576,11,FALSE)</f>
        <v>No</v>
      </c>
    </row>
    <row r="648" spans="1:9" x14ac:dyDescent="0.25">
      <c r="A648" s="10" t="s">
        <v>679</v>
      </c>
      <c r="B648" t="str">
        <f>VLOOKUP(Customer_Names!A648,Customer_Names!$1:$1048576,4,FALSE)</f>
        <v>Monica K</v>
      </c>
      <c r="C648">
        <f>VLOOKUP(Medical_Examinations_2[[#This Row],[Customer ID]],Medical_Examinations!$1:$1048576,2,FALSE)</f>
        <v>35.54</v>
      </c>
      <c r="D648">
        <f>VLOOKUP(Medical_Examinations_2[[#This Row],[Customer ID]],Medical_Examinations!$1:$1048576,4,FALSE)</f>
        <v>10.67</v>
      </c>
      <c r="E648" t="str">
        <f>VLOOKUP(Medical_Examinations_2[[#This Row],[Customer ID]],Medical_Examinations!$1:$1048576,6,FALSE)</f>
        <v>No</v>
      </c>
      <c r="H648" t="str">
        <f>VLOOKUP(Medical_Examinations_2[[#This Row],[Customer ID]],Medical_Examinations!$1:$1048576,9,FALSE)</f>
        <v>No major surgery</v>
      </c>
      <c r="I648" t="str">
        <f>VLOOKUP(Medical_Examinations_2[[#This Row],[Customer ID]],Medical_Examinations!$1:$1048576,11,FALSE)</f>
        <v>No</v>
      </c>
    </row>
    <row r="649" spans="1:9" x14ac:dyDescent="0.25">
      <c r="A649" s="11" t="s">
        <v>680</v>
      </c>
      <c r="B649" t="str">
        <f>VLOOKUP(Customer_Names!A649,Customer_Names!$1:$1048576,4,FALSE)</f>
        <v>Kevin L</v>
      </c>
      <c r="C649">
        <f>VLOOKUP(Medical_Examinations_2[[#This Row],[Customer ID]],Medical_Examinations!$1:$1048576,2,FALSE)</f>
        <v>39.799999999999997</v>
      </c>
      <c r="D649">
        <f>VLOOKUP(Medical_Examinations_2[[#This Row],[Customer ID]],Medical_Examinations!$1:$1048576,4,FALSE)</f>
        <v>4.6500000000000004</v>
      </c>
      <c r="E649" t="str">
        <f>VLOOKUP(Medical_Examinations_2[[#This Row],[Customer ID]],Medical_Examinations!$1:$1048576,6,FALSE)</f>
        <v>Yes</v>
      </c>
      <c r="H649">
        <f>VLOOKUP(Medical_Examinations_2[[#This Row],[Customer ID]],Medical_Examinations!$1:$1048576,9,FALSE)</f>
        <v>2</v>
      </c>
      <c r="I649" t="str">
        <f>VLOOKUP(Medical_Examinations_2[[#This Row],[Customer ID]],Medical_Examinations!$1:$1048576,11,FALSE)</f>
        <v>No</v>
      </c>
    </row>
    <row r="650" spans="1:9" x14ac:dyDescent="0.25">
      <c r="A650" s="10" t="s">
        <v>681</v>
      </c>
      <c r="B650" t="str">
        <f>VLOOKUP(Customer_Names!A650,Customer_Names!$1:$1048576,4,FALSE)</f>
        <v>Gregory</v>
      </c>
      <c r="C650">
        <f>VLOOKUP(Medical_Examinations_2[[#This Row],[Customer ID]],Medical_Examinations!$1:$1048576,2,FALSE)</f>
        <v>33.659999999999997</v>
      </c>
      <c r="D650">
        <f>VLOOKUP(Medical_Examinations_2[[#This Row],[Customer ID]],Medical_Examinations!$1:$1048576,4,FALSE)</f>
        <v>5.65</v>
      </c>
      <c r="E650" t="str">
        <f>VLOOKUP(Medical_Examinations_2[[#This Row],[Customer ID]],Medical_Examinations!$1:$1048576,6,FALSE)</f>
        <v>Yes</v>
      </c>
      <c r="H650">
        <f>VLOOKUP(Medical_Examinations_2[[#This Row],[Customer ID]],Medical_Examinations!$1:$1048576,9,FALSE)</f>
        <v>2</v>
      </c>
      <c r="I650" t="str">
        <f>VLOOKUP(Medical_Examinations_2[[#This Row],[Customer ID]],Medical_Examinations!$1:$1048576,11,FALSE)</f>
        <v>No</v>
      </c>
    </row>
    <row r="651" spans="1:9" x14ac:dyDescent="0.25">
      <c r="A651" s="11" t="s">
        <v>682</v>
      </c>
      <c r="B651" t="str">
        <f>VLOOKUP(Customer_Names!A651,Customer_Names!$1:$1048576,4,FALSE)</f>
        <v>Della</v>
      </c>
      <c r="C651">
        <f>VLOOKUP(Medical_Examinations_2[[#This Row],[Customer ID]],Medical_Examinations!$1:$1048576,2,FALSE)</f>
        <v>35.5</v>
      </c>
      <c r="D651">
        <f>VLOOKUP(Medical_Examinations_2[[#This Row],[Customer ID]],Medical_Examinations!$1:$1048576,4,FALSE)</f>
        <v>11.97</v>
      </c>
      <c r="E651" t="str">
        <f>VLOOKUP(Medical_Examinations_2[[#This Row],[Customer ID]],Medical_Examinations!$1:$1048576,6,FALSE)</f>
        <v>No</v>
      </c>
      <c r="H651" t="str">
        <f>VLOOKUP(Medical_Examinations_2[[#This Row],[Customer ID]],Medical_Examinations!$1:$1048576,9,FALSE)</f>
        <v>No major surgery</v>
      </c>
      <c r="I651" t="str">
        <f>VLOOKUP(Medical_Examinations_2[[#This Row],[Customer ID]],Medical_Examinations!$1:$1048576,11,FALSE)</f>
        <v>No</v>
      </c>
    </row>
    <row r="652" spans="1:9" x14ac:dyDescent="0.25">
      <c r="A652" s="10" t="s">
        <v>683</v>
      </c>
      <c r="B652" t="str">
        <f>VLOOKUP(Customer_Names!A652,Customer_Names!$1:$1048576,4,FALSE)</f>
        <v>David</v>
      </c>
      <c r="C652">
        <f>VLOOKUP(Medical_Examinations_2[[#This Row],[Customer ID]],Medical_Examinations!$1:$1048576,2,FALSE)</f>
        <v>41.63</v>
      </c>
      <c r="D652">
        <f>VLOOKUP(Medical_Examinations_2[[#This Row],[Customer ID]],Medical_Examinations!$1:$1048576,4,FALSE)</f>
        <v>6.71</v>
      </c>
      <c r="E652" t="str">
        <f>VLOOKUP(Medical_Examinations_2[[#This Row],[Customer ID]],Medical_Examinations!$1:$1048576,6,FALSE)</f>
        <v>No</v>
      </c>
      <c r="H652" t="str">
        <f>VLOOKUP(Medical_Examinations_2[[#This Row],[Customer ID]],Medical_Examinations!$1:$1048576,9,FALSE)</f>
        <v>No major surgery</v>
      </c>
      <c r="I652" t="str">
        <f>VLOOKUP(Medical_Examinations_2[[#This Row],[Customer ID]],Medical_Examinations!$1:$1048576,11,FALSE)</f>
        <v>No</v>
      </c>
    </row>
    <row r="653" spans="1:9" x14ac:dyDescent="0.25">
      <c r="A653" s="11" t="s">
        <v>684</v>
      </c>
      <c r="B653" t="str">
        <f>VLOOKUP(Customer_Names!A653,Customer_Names!$1:$1048576,4,FALSE)</f>
        <v>Victoria</v>
      </c>
      <c r="C653">
        <f>VLOOKUP(Medical_Examinations_2[[#This Row],[Customer ID]],Medical_Examinations!$1:$1048576,2,FALSE)</f>
        <v>46.49</v>
      </c>
      <c r="D653">
        <f>VLOOKUP(Medical_Examinations_2[[#This Row],[Customer ID]],Medical_Examinations!$1:$1048576,4,FALSE)</f>
        <v>11.92</v>
      </c>
      <c r="E653" t="str">
        <f>VLOOKUP(Medical_Examinations_2[[#This Row],[Customer ID]],Medical_Examinations!$1:$1048576,6,FALSE)</f>
        <v>No</v>
      </c>
      <c r="H653" t="str">
        <f>VLOOKUP(Medical_Examinations_2[[#This Row],[Customer ID]],Medical_Examinations!$1:$1048576,9,FALSE)</f>
        <v>No major surgery</v>
      </c>
      <c r="I653" t="str">
        <f>VLOOKUP(Medical_Examinations_2[[#This Row],[Customer ID]],Medical_Examinations!$1:$1048576,11,FALSE)</f>
        <v>No</v>
      </c>
    </row>
    <row r="654" spans="1:9" x14ac:dyDescent="0.25">
      <c r="A654" s="10" t="s">
        <v>685</v>
      </c>
      <c r="B654" t="str">
        <f>VLOOKUP(Customer_Names!A654,Customer_Names!$1:$1048576,4,FALSE)</f>
        <v>Tasos</v>
      </c>
      <c r="C654">
        <f>VLOOKUP(Medical_Examinations_2[[#This Row],[Customer ID]],Medical_Examinations!$1:$1048576,2,FALSE)</f>
        <v>43.29</v>
      </c>
      <c r="D654">
        <f>VLOOKUP(Medical_Examinations_2[[#This Row],[Customer ID]],Medical_Examinations!$1:$1048576,4,FALSE)</f>
        <v>5.35</v>
      </c>
      <c r="E654" t="str">
        <f>VLOOKUP(Medical_Examinations_2[[#This Row],[Customer ID]],Medical_Examinations!$1:$1048576,6,FALSE)</f>
        <v>No</v>
      </c>
      <c r="H654">
        <f>VLOOKUP(Medical_Examinations_2[[#This Row],[Customer ID]],Medical_Examinations!$1:$1048576,9,FALSE)</f>
        <v>2</v>
      </c>
      <c r="I654" t="str">
        <f>VLOOKUP(Medical_Examinations_2[[#This Row],[Customer ID]],Medical_Examinations!$1:$1048576,11,FALSE)</f>
        <v>No</v>
      </c>
    </row>
    <row r="655" spans="1:9" x14ac:dyDescent="0.25">
      <c r="A655" s="11" t="s">
        <v>686</v>
      </c>
      <c r="B655" t="str">
        <f>VLOOKUP(Customer_Names!A655,Customer_Names!$1:$1048576,4,FALSE)</f>
        <v>Thomas</v>
      </c>
      <c r="C655">
        <f>VLOOKUP(Medical_Examinations_2[[#This Row],[Customer ID]],Medical_Examinations!$1:$1048576,2,FALSE)</f>
        <v>43.08</v>
      </c>
      <c r="D655">
        <f>VLOOKUP(Medical_Examinations_2[[#This Row],[Customer ID]],Medical_Examinations!$1:$1048576,4,FALSE)</f>
        <v>8.9600000000000009</v>
      </c>
      <c r="E655" t="str">
        <f>VLOOKUP(Medical_Examinations_2[[#This Row],[Customer ID]],Medical_Examinations!$1:$1048576,6,FALSE)</f>
        <v>Yes</v>
      </c>
      <c r="H655">
        <f>VLOOKUP(Medical_Examinations_2[[#This Row],[Customer ID]],Medical_Examinations!$1:$1048576,9,FALSE)</f>
        <v>1</v>
      </c>
      <c r="I655" t="str">
        <f>VLOOKUP(Medical_Examinations_2[[#This Row],[Customer ID]],Medical_Examinations!$1:$1048576,11,FALSE)</f>
        <v>No</v>
      </c>
    </row>
    <row r="656" spans="1:9" x14ac:dyDescent="0.25">
      <c r="A656" s="10" t="s">
        <v>687</v>
      </c>
      <c r="B656" t="str">
        <f>VLOOKUP(Customer_Names!A656,Customer_Names!$1:$1048576,4,FALSE)</f>
        <v>Lukasz</v>
      </c>
      <c r="C656">
        <f>VLOOKUP(Medical_Examinations_2[[#This Row],[Customer ID]],Medical_Examinations!$1:$1048576,2,FALSE)</f>
        <v>39.07</v>
      </c>
      <c r="D656">
        <f>VLOOKUP(Medical_Examinations_2[[#This Row],[Customer ID]],Medical_Examinations!$1:$1048576,4,FALSE)</f>
        <v>11.93</v>
      </c>
      <c r="E656" t="str">
        <f>VLOOKUP(Medical_Examinations_2[[#This Row],[Customer ID]],Medical_Examinations!$1:$1048576,6,FALSE)</f>
        <v>No</v>
      </c>
      <c r="H656" t="str">
        <f>VLOOKUP(Medical_Examinations_2[[#This Row],[Customer ID]],Medical_Examinations!$1:$1048576,9,FALSE)</f>
        <v>No major surgery</v>
      </c>
      <c r="I656" t="str">
        <f>VLOOKUP(Medical_Examinations_2[[#This Row],[Customer ID]],Medical_Examinations!$1:$1048576,11,FALSE)</f>
        <v>No</v>
      </c>
    </row>
    <row r="657" spans="1:9" x14ac:dyDescent="0.25">
      <c r="A657" s="11" t="s">
        <v>688</v>
      </c>
      <c r="B657" t="str">
        <f>VLOOKUP(Customer_Names!A657,Customer_Names!$1:$1048576,4,FALSE)</f>
        <v>Matthew A.</v>
      </c>
      <c r="C657">
        <f>VLOOKUP(Medical_Examinations_2[[#This Row],[Customer ID]],Medical_Examinations!$1:$1048576,2,FALSE)</f>
        <v>41.3</v>
      </c>
      <c r="D657">
        <f>VLOOKUP(Medical_Examinations_2[[#This Row],[Customer ID]],Medical_Examinations!$1:$1048576,4,FALSE)</f>
        <v>9.59</v>
      </c>
      <c r="E657" t="str">
        <f>VLOOKUP(Medical_Examinations_2[[#This Row],[Customer ID]],Medical_Examinations!$1:$1048576,6,FALSE)</f>
        <v>No</v>
      </c>
      <c r="H657" t="str">
        <f>VLOOKUP(Medical_Examinations_2[[#This Row],[Customer ID]],Medical_Examinations!$1:$1048576,9,FALSE)</f>
        <v>No major surgery</v>
      </c>
      <c r="I657" t="str">
        <f>VLOOKUP(Medical_Examinations_2[[#This Row],[Customer ID]],Medical_Examinations!$1:$1048576,11,FALSE)</f>
        <v>No</v>
      </c>
    </row>
    <row r="658" spans="1:9" x14ac:dyDescent="0.25">
      <c r="A658" s="10" t="s">
        <v>689</v>
      </c>
      <c r="B658" t="str">
        <f>VLOOKUP(Customer_Names!A658,Customer_Names!$1:$1048576,4,FALSE)</f>
        <v>Meta</v>
      </c>
      <c r="C658">
        <f>VLOOKUP(Medical_Examinations_2[[#This Row],[Customer ID]],Medical_Examinations!$1:$1048576,2,FALSE)</f>
        <v>42.95</v>
      </c>
      <c r="D658">
        <f>VLOOKUP(Medical_Examinations_2[[#This Row],[Customer ID]],Medical_Examinations!$1:$1048576,4,FALSE)</f>
        <v>11.88</v>
      </c>
      <c r="E658" t="str">
        <f>VLOOKUP(Medical_Examinations_2[[#This Row],[Customer ID]],Medical_Examinations!$1:$1048576,6,FALSE)</f>
        <v>Yes</v>
      </c>
      <c r="H658">
        <f>VLOOKUP(Medical_Examinations_2[[#This Row],[Customer ID]],Medical_Examinations!$1:$1048576,9,FALSE)</f>
        <v>2</v>
      </c>
      <c r="I658" t="str">
        <f>VLOOKUP(Medical_Examinations_2[[#This Row],[Customer ID]],Medical_Examinations!$1:$1048576,11,FALSE)</f>
        <v>No</v>
      </c>
    </row>
    <row r="659" spans="1:9" x14ac:dyDescent="0.25">
      <c r="A659" s="11" t="s">
        <v>690</v>
      </c>
      <c r="B659" t="str">
        <f>VLOOKUP(Customer_Names!A659,Customer_Names!$1:$1048576,4,FALSE)</f>
        <v>Rachel E</v>
      </c>
      <c r="C659">
        <f>VLOOKUP(Medical_Examinations_2[[#This Row],[Customer ID]],Medical_Examinations!$1:$1048576,2,FALSE)</f>
        <v>46.96</v>
      </c>
      <c r="D659">
        <f>VLOOKUP(Medical_Examinations_2[[#This Row],[Customer ID]],Medical_Examinations!$1:$1048576,4,FALSE)</f>
        <v>4.6399999999999997</v>
      </c>
      <c r="E659" t="str">
        <f>VLOOKUP(Medical_Examinations_2[[#This Row],[Customer ID]],Medical_Examinations!$1:$1048576,6,FALSE)</f>
        <v>No</v>
      </c>
      <c r="H659">
        <f>VLOOKUP(Medical_Examinations_2[[#This Row],[Customer ID]],Medical_Examinations!$1:$1048576,9,FALSE)</f>
        <v>1</v>
      </c>
      <c r="I659" t="str">
        <f>VLOOKUP(Medical_Examinations_2[[#This Row],[Customer ID]],Medical_Examinations!$1:$1048576,11,FALSE)</f>
        <v>No</v>
      </c>
    </row>
    <row r="660" spans="1:9" x14ac:dyDescent="0.25">
      <c r="A660" s="10" t="s">
        <v>691</v>
      </c>
      <c r="B660" t="str">
        <f>VLOOKUP(Customer_Names!A660,Customer_Names!$1:$1048576,4,FALSE)</f>
        <v>Angelica</v>
      </c>
      <c r="C660">
        <f>VLOOKUP(Medical_Examinations_2[[#This Row],[Customer ID]],Medical_Examinations!$1:$1048576,2,FALSE)</f>
        <v>30.495000000000001</v>
      </c>
      <c r="D660">
        <f>VLOOKUP(Medical_Examinations_2[[#This Row],[Customer ID]],Medical_Examinations!$1:$1048576,4,FALSE)</f>
        <v>9.5299999999999994</v>
      </c>
      <c r="E660" t="str">
        <f>VLOOKUP(Medical_Examinations_2[[#This Row],[Customer ID]],Medical_Examinations!$1:$1048576,6,FALSE)</f>
        <v>No</v>
      </c>
      <c r="H660" t="str">
        <f>VLOOKUP(Medical_Examinations_2[[#This Row],[Customer ID]],Medical_Examinations!$1:$1048576,9,FALSE)</f>
        <v>No major surgery</v>
      </c>
      <c r="I660" t="str">
        <f>VLOOKUP(Medical_Examinations_2[[#This Row],[Customer ID]],Medical_Examinations!$1:$1048576,11,FALSE)</f>
        <v>No</v>
      </c>
    </row>
    <row r="661" spans="1:9" x14ac:dyDescent="0.25">
      <c r="A661" s="11" t="s">
        <v>692</v>
      </c>
      <c r="B661" t="str">
        <f>VLOOKUP(Customer_Names!A661,Customer_Names!$1:$1048576,4,FALSE)</f>
        <v>Kathleen</v>
      </c>
      <c r="C661">
        <f>VLOOKUP(Medical_Examinations_2[[#This Row],[Customer ID]],Medical_Examinations!$1:$1048576,2,FALSE)</f>
        <v>17.954999999999998</v>
      </c>
      <c r="D661">
        <f>VLOOKUP(Medical_Examinations_2[[#This Row],[Customer ID]],Medical_Examinations!$1:$1048576,4,FALSE)</f>
        <v>5.29</v>
      </c>
      <c r="E661" t="str">
        <f>VLOOKUP(Medical_Examinations_2[[#This Row],[Customer ID]],Medical_Examinations!$1:$1048576,6,FALSE)</f>
        <v>Yes</v>
      </c>
      <c r="H661">
        <f>VLOOKUP(Medical_Examinations_2[[#This Row],[Customer ID]],Medical_Examinations!$1:$1048576,9,FALSE)</f>
        <v>1</v>
      </c>
      <c r="I661" t="str">
        <f>VLOOKUP(Medical_Examinations_2[[#This Row],[Customer ID]],Medical_Examinations!$1:$1048576,11,FALSE)</f>
        <v>Yes</v>
      </c>
    </row>
    <row r="662" spans="1:9" x14ac:dyDescent="0.25">
      <c r="A662" s="10" t="s">
        <v>693</v>
      </c>
      <c r="B662" t="str">
        <f>VLOOKUP(Customer_Names!A662,Customer_Names!$1:$1048576,4,FALSE)</f>
        <v>Gabriel D.</v>
      </c>
      <c r="C662">
        <f>VLOOKUP(Medical_Examinations_2[[#This Row],[Customer ID]],Medical_Examinations!$1:$1048576,2,FALSE)</f>
        <v>25.6</v>
      </c>
      <c r="D662">
        <f>VLOOKUP(Medical_Examinations_2[[#This Row],[Customer ID]],Medical_Examinations!$1:$1048576,4,FALSE)</f>
        <v>10.95</v>
      </c>
      <c r="E662" t="str">
        <f>VLOOKUP(Medical_Examinations_2[[#This Row],[Customer ID]],Medical_Examinations!$1:$1048576,6,FALSE)</f>
        <v>No</v>
      </c>
      <c r="H662">
        <f>VLOOKUP(Medical_Examinations_2[[#This Row],[Customer ID]],Medical_Examinations!$1:$1048576,9,FALSE)</f>
        <v>3</v>
      </c>
      <c r="I662" t="str">
        <f>VLOOKUP(Medical_Examinations_2[[#This Row],[Customer ID]],Medical_Examinations!$1:$1048576,11,FALSE)</f>
        <v>No</v>
      </c>
    </row>
    <row r="663" spans="1:9" x14ac:dyDescent="0.25">
      <c r="A663" s="11" t="s">
        <v>694</v>
      </c>
      <c r="B663" t="str">
        <f>VLOOKUP(Customer_Names!A663,Customer_Names!$1:$1048576,4,FALSE)</f>
        <v>Jeff T</v>
      </c>
      <c r="C663">
        <f>VLOOKUP(Medical_Examinations_2[[#This Row],[Customer ID]],Medical_Examinations!$1:$1048576,2,FALSE)</f>
        <v>34.21</v>
      </c>
      <c r="D663">
        <f>VLOOKUP(Medical_Examinations_2[[#This Row],[Customer ID]],Medical_Examinations!$1:$1048576,4,FALSE)</f>
        <v>9.17</v>
      </c>
      <c r="E663" t="str">
        <f>VLOOKUP(Medical_Examinations_2[[#This Row],[Customer ID]],Medical_Examinations!$1:$1048576,6,FALSE)</f>
        <v>No</v>
      </c>
      <c r="H663" t="str">
        <f>VLOOKUP(Medical_Examinations_2[[#This Row],[Customer ID]],Medical_Examinations!$1:$1048576,9,FALSE)</f>
        <v>No major surgery</v>
      </c>
      <c r="I663" t="str">
        <f>VLOOKUP(Medical_Examinations_2[[#This Row],[Customer ID]],Medical_Examinations!$1:$1048576,11,FALSE)</f>
        <v>No</v>
      </c>
    </row>
    <row r="664" spans="1:9" x14ac:dyDescent="0.25">
      <c r="A664" s="10" t="s">
        <v>695</v>
      </c>
      <c r="B664" t="str">
        <f>VLOOKUP(Customer_Names!A664,Customer_Names!$1:$1048576,4,FALSE)</f>
        <v>Neil D</v>
      </c>
      <c r="C664">
        <f>VLOOKUP(Medical_Examinations_2[[#This Row],[Customer ID]],Medical_Examinations!$1:$1048576,2,FALSE)</f>
        <v>39.74</v>
      </c>
      <c r="D664">
        <f>VLOOKUP(Medical_Examinations_2[[#This Row],[Customer ID]],Medical_Examinations!$1:$1048576,4,FALSE)</f>
        <v>7.39</v>
      </c>
      <c r="E664" t="str">
        <f>VLOOKUP(Medical_Examinations_2[[#This Row],[Customer ID]],Medical_Examinations!$1:$1048576,6,FALSE)</f>
        <v>No</v>
      </c>
      <c r="H664" t="str">
        <f>VLOOKUP(Medical_Examinations_2[[#This Row],[Customer ID]],Medical_Examinations!$1:$1048576,9,FALSE)</f>
        <v>No major surgery</v>
      </c>
      <c r="I664" t="str">
        <f>VLOOKUP(Medical_Examinations_2[[#This Row],[Customer ID]],Medical_Examinations!$1:$1048576,11,FALSE)</f>
        <v>No</v>
      </c>
    </row>
    <row r="665" spans="1:9" x14ac:dyDescent="0.25">
      <c r="A665" s="11" t="s">
        <v>696</v>
      </c>
      <c r="B665" t="str">
        <f>VLOOKUP(Customer_Names!A665,Customer_Names!$1:$1048576,4,FALSE)</f>
        <v>Katherine L.</v>
      </c>
      <c r="C665">
        <f>VLOOKUP(Medical_Examinations_2[[#This Row],[Customer ID]],Medical_Examinations!$1:$1048576,2,FALSE)</f>
        <v>49.53</v>
      </c>
      <c r="D665">
        <f>VLOOKUP(Medical_Examinations_2[[#This Row],[Customer ID]],Medical_Examinations!$1:$1048576,4,FALSE)</f>
        <v>9.1300000000000008</v>
      </c>
      <c r="E665" t="str">
        <f>VLOOKUP(Medical_Examinations_2[[#This Row],[Customer ID]],Medical_Examinations!$1:$1048576,6,FALSE)</f>
        <v>Yes</v>
      </c>
      <c r="H665" t="str">
        <f>VLOOKUP(Medical_Examinations_2[[#This Row],[Customer ID]],Medical_Examinations!$1:$1048576,9,FALSE)</f>
        <v>No major surgery</v>
      </c>
      <c r="I665" t="str">
        <f>VLOOKUP(Medical_Examinations_2[[#This Row],[Customer ID]],Medical_Examinations!$1:$1048576,11,FALSE)</f>
        <v>No</v>
      </c>
    </row>
    <row r="666" spans="1:9" x14ac:dyDescent="0.25">
      <c r="A666" s="10" t="s">
        <v>697</v>
      </c>
      <c r="B666" t="str">
        <f>VLOOKUP(Customer_Names!A666,Customer_Names!$1:$1048576,4,FALSE)</f>
        <v>Ariel E</v>
      </c>
      <c r="C666">
        <f>VLOOKUP(Medical_Examinations_2[[#This Row],[Customer ID]],Medical_Examinations!$1:$1048576,2,FALSE)</f>
        <v>39.33</v>
      </c>
      <c r="D666">
        <f>VLOOKUP(Medical_Examinations_2[[#This Row],[Customer ID]],Medical_Examinations!$1:$1048576,4,FALSE)</f>
        <v>10.4</v>
      </c>
      <c r="E666" t="str">
        <f>VLOOKUP(Medical_Examinations_2[[#This Row],[Customer ID]],Medical_Examinations!$1:$1048576,6,FALSE)</f>
        <v>No</v>
      </c>
      <c r="H666">
        <f>VLOOKUP(Medical_Examinations_2[[#This Row],[Customer ID]],Medical_Examinations!$1:$1048576,9,FALSE)</f>
        <v>3</v>
      </c>
      <c r="I666" t="str">
        <f>VLOOKUP(Medical_Examinations_2[[#This Row],[Customer ID]],Medical_Examinations!$1:$1048576,11,FALSE)</f>
        <v>No</v>
      </c>
    </row>
    <row r="667" spans="1:9" x14ac:dyDescent="0.25">
      <c r="A667" s="11" t="s">
        <v>698</v>
      </c>
      <c r="B667" t="str">
        <f>VLOOKUP(Customer_Names!A667,Customer_Names!$1:$1048576,4,FALSE)</f>
        <v>Christopher P</v>
      </c>
      <c r="C667">
        <f>VLOOKUP(Medical_Examinations_2[[#This Row],[Customer ID]],Medical_Examinations!$1:$1048576,2,FALSE)</f>
        <v>39.979999999999997</v>
      </c>
      <c r="D667">
        <f>VLOOKUP(Medical_Examinations_2[[#This Row],[Customer ID]],Medical_Examinations!$1:$1048576,4,FALSE)</f>
        <v>9.4600000000000009</v>
      </c>
      <c r="E667" t="str">
        <f>VLOOKUP(Medical_Examinations_2[[#This Row],[Customer ID]],Medical_Examinations!$1:$1048576,6,FALSE)</f>
        <v>Yes</v>
      </c>
      <c r="H667">
        <f>VLOOKUP(Medical_Examinations_2[[#This Row],[Customer ID]],Medical_Examinations!$1:$1048576,9,FALSE)</f>
        <v>2</v>
      </c>
      <c r="I667" t="str">
        <f>VLOOKUP(Medical_Examinations_2[[#This Row],[Customer ID]],Medical_Examinations!$1:$1048576,11,FALSE)</f>
        <v>No</v>
      </c>
    </row>
    <row r="668" spans="1:9" x14ac:dyDescent="0.25">
      <c r="A668" s="10" t="s">
        <v>699</v>
      </c>
      <c r="B668" t="str">
        <f>VLOOKUP(Customer_Names!A668,Customer_Names!$1:$1048576,4,FALSE)</f>
        <v>Erin M.</v>
      </c>
      <c r="C668">
        <f>VLOOKUP(Medical_Examinations_2[[#This Row],[Customer ID]],Medical_Examinations!$1:$1048576,2,FALSE)</f>
        <v>46.51</v>
      </c>
      <c r="D668">
        <f>VLOOKUP(Medical_Examinations_2[[#This Row],[Customer ID]],Medical_Examinations!$1:$1048576,4,FALSE)</f>
        <v>8.69</v>
      </c>
      <c r="E668" t="str">
        <f>VLOOKUP(Medical_Examinations_2[[#This Row],[Customer ID]],Medical_Examinations!$1:$1048576,6,FALSE)</f>
        <v>Yes</v>
      </c>
      <c r="H668" t="str">
        <f>VLOOKUP(Medical_Examinations_2[[#This Row],[Customer ID]],Medical_Examinations!$1:$1048576,9,FALSE)</f>
        <v>No major surgery</v>
      </c>
      <c r="I668" t="str">
        <f>VLOOKUP(Medical_Examinations_2[[#This Row],[Customer ID]],Medical_Examinations!$1:$1048576,11,FALSE)</f>
        <v>No</v>
      </c>
    </row>
    <row r="669" spans="1:9" x14ac:dyDescent="0.25">
      <c r="A669" s="11" t="s">
        <v>700</v>
      </c>
      <c r="B669" t="str">
        <f>VLOOKUP(Customer_Names!A669,Customer_Names!$1:$1048576,4,FALSE)</f>
        <v>Molly K.</v>
      </c>
      <c r="C669">
        <f>VLOOKUP(Medical_Examinations_2[[#This Row],[Customer ID]],Medical_Examinations!$1:$1048576,2,FALSE)</f>
        <v>43.58</v>
      </c>
      <c r="D669">
        <f>VLOOKUP(Medical_Examinations_2[[#This Row],[Customer ID]],Medical_Examinations!$1:$1048576,4,FALSE)</f>
        <v>4.2300000000000004</v>
      </c>
      <c r="E669" t="str">
        <f>VLOOKUP(Medical_Examinations_2[[#This Row],[Customer ID]],Medical_Examinations!$1:$1048576,6,FALSE)</f>
        <v>No</v>
      </c>
      <c r="H669">
        <f>VLOOKUP(Medical_Examinations_2[[#This Row],[Customer ID]],Medical_Examinations!$1:$1048576,9,FALSE)</f>
        <v>1</v>
      </c>
      <c r="I669" t="str">
        <f>VLOOKUP(Medical_Examinations_2[[#This Row],[Customer ID]],Medical_Examinations!$1:$1048576,11,FALSE)</f>
        <v>No</v>
      </c>
    </row>
    <row r="670" spans="1:9" x14ac:dyDescent="0.25">
      <c r="A670" s="10" t="s">
        <v>701</v>
      </c>
      <c r="B670" t="str">
        <f>VLOOKUP(Customer_Names!A670,Customer_Names!$1:$1048576,4,FALSE)</f>
        <v>Ryan J.</v>
      </c>
      <c r="C670">
        <f>VLOOKUP(Medical_Examinations_2[[#This Row],[Customer ID]],Medical_Examinations!$1:$1048576,2,FALSE)</f>
        <v>42.28</v>
      </c>
      <c r="D670">
        <f>VLOOKUP(Medical_Examinations_2[[#This Row],[Customer ID]],Medical_Examinations!$1:$1048576,4,FALSE)</f>
        <v>9.16</v>
      </c>
      <c r="E670" t="str">
        <f>VLOOKUP(Medical_Examinations_2[[#This Row],[Customer ID]],Medical_Examinations!$1:$1048576,6,FALSE)</f>
        <v>Yes</v>
      </c>
      <c r="H670">
        <f>VLOOKUP(Medical_Examinations_2[[#This Row],[Customer ID]],Medical_Examinations!$1:$1048576,9,FALSE)</f>
        <v>1</v>
      </c>
      <c r="I670" t="str">
        <f>VLOOKUP(Medical_Examinations_2[[#This Row],[Customer ID]],Medical_Examinations!$1:$1048576,11,FALSE)</f>
        <v>No</v>
      </c>
    </row>
    <row r="671" spans="1:9" x14ac:dyDescent="0.25">
      <c r="A671" s="11" t="s">
        <v>702</v>
      </c>
      <c r="B671" t="str">
        <f>VLOOKUP(Customer_Names!A671,Customer_Names!$1:$1048576,4,FALSE)</f>
        <v>Jennifer</v>
      </c>
      <c r="C671">
        <f>VLOOKUP(Medical_Examinations_2[[#This Row],[Customer ID]],Medical_Examinations!$1:$1048576,2,FALSE)</f>
        <v>35.520000000000003</v>
      </c>
      <c r="D671">
        <f>VLOOKUP(Medical_Examinations_2[[#This Row],[Customer ID]],Medical_Examinations!$1:$1048576,4,FALSE)</f>
        <v>8.26</v>
      </c>
      <c r="E671" t="str">
        <f>VLOOKUP(Medical_Examinations_2[[#This Row],[Customer ID]],Medical_Examinations!$1:$1048576,6,FALSE)</f>
        <v>No</v>
      </c>
      <c r="H671" t="str">
        <f>VLOOKUP(Medical_Examinations_2[[#This Row],[Customer ID]],Medical_Examinations!$1:$1048576,9,FALSE)</f>
        <v>No major surgery</v>
      </c>
      <c r="I671" t="str">
        <f>VLOOKUP(Medical_Examinations_2[[#This Row],[Customer ID]],Medical_Examinations!$1:$1048576,11,FALSE)</f>
        <v>No</v>
      </c>
    </row>
    <row r="672" spans="1:9" x14ac:dyDescent="0.25">
      <c r="A672" s="10" t="s">
        <v>703</v>
      </c>
      <c r="B672" t="str">
        <f>VLOOKUP(Customer_Names!A672,Customer_Names!$1:$1048576,4,FALSE)</f>
        <v>Daniel M</v>
      </c>
      <c r="C672">
        <f>VLOOKUP(Medical_Examinations_2[[#This Row],[Customer ID]],Medical_Examinations!$1:$1048576,2,FALSE)</f>
        <v>33.6</v>
      </c>
      <c r="D672">
        <f>VLOOKUP(Medical_Examinations_2[[#This Row],[Customer ID]],Medical_Examinations!$1:$1048576,4,FALSE)</f>
        <v>11.25</v>
      </c>
      <c r="E672" t="str">
        <f>VLOOKUP(Medical_Examinations_2[[#This Row],[Customer ID]],Medical_Examinations!$1:$1048576,6,FALSE)</f>
        <v>No</v>
      </c>
      <c r="H672" t="str">
        <f>VLOOKUP(Medical_Examinations_2[[#This Row],[Customer ID]],Medical_Examinations!$1:$1048576,9,FALSE)</f>
        <v>No major surgery</v>
      </c>
      <c r="I672" t="str">
        <f>VLOOKUP(Medical_Examinations_2[[#This Row],[Customer ID]],Medical_Examinations!$1:$1048576,11,FALSE)</f>
        <v>No</v>
      </c>
    </row>
    <row r="673" spans="1:9" x14ac:dyDescent="0.25">
      <c r="A673" s="11" t="s">
        <v>704</v>
      </c>
      <c r="B673" t="str">
        <f>VLOOKUP(Customer_Names!A673,Customer_Names!$1:$1048576,4,FALSE)</f>
        <v>Hiruni</v>
      </c>
      <c r="C673">
        <f>VLOOKUP(Medical_Examinations_2[[#This Row],[Customer ID]],Medical_Examinations!$1:$1048576,2,FALSE)</f>
        <v>22.42</v>
      </c>
      <c r="D673">
        <f>VLOOKUP(Medical_Examinations_2[[#This Row],[Customer ID]],Medical_Examinations!$1:$1048576,4,FALSE)</f>
        <v>6.74</v>
      </c>
      <c r="E673" t="str">
        <f>VLOOKUP(Medical_Examinations_2[[#This Row],[Customer ID]],Medical_Examinations!$1:$1048576,6,FALSE)</f>
        <v>No</v>
      </c>
      <c r="H673" t="str">
        <f>VLOOKUP(Medical_Examinations_2[[#This Row],[Customer ID]],Medical_Examinations!$1:$1048576,9,FALSE)</f>
        <v>No major surgery</v>
      </c>
      <c r="I673" t="str">
        <f>VLOOKUP(Medical_Examinations_2[[#This Row],[Customer ID]],Medical_Examinations!$1:$1048576,11,FALSE)</f>
        <v>Yes</v>
      </c>
    </row>
    <row r="674" spans="1:9" x14ac:dyDescent="0.25">
      <c r="A674" s="10" t="s">
        <v>705</v>
      </c>
      <c r="B674" t="str">
        <f>VLOOKUP(Customer_Names!A674,Customer_Names!$1:$1048576,4,FALSE)</f>
        <v>Reina H.</v>
      </c>
      <c r="C674">
        <f>VLOOKUP(Medical_Examinations_2[[#This Row],[Customer ID]],Medical_Examinations!$1:$1048576,2,FALSE)</f>
        <v>46.86</v>
      </c>
      <c r="D674">
        <f>VLOOKUP(Medical_Examinations_2[[#This Row],[Customer ID]],Medical_Examinations!$1:$1048576,4,FALSE)</f>
        <v>4.87</v>
      </c>
      <c r="E674" t="str">
        <f>VLOOKUP(Medical_Examinations_2[[#This Row],[Customer ID]],Medical_Examinations!$1:$1048576,6,FALSE)</f>
        <v>No</v>
      </c>
      <c r="H674" t="str">
        <f>VLOOKUP(Medical_Examinations_2[[#This Row],[Customer ID]],Medical_Examinations!$1:$1048576,9,FALSE)</f>
        <v>No major surgery</v>
      </c>
      <c r="I674" t="str">
        <f>VLOOKUP(Medical_Examinations_2[[#This Row],[Customer ID]],Medical_Examinations!$1:$1048576,11,FALSE)</f>
        <v>No</v>
      </c>
    </row>
    <row r="675" spans="1:9" x14ac:dyDescent="0.25">
      <c r="A675" s="11" t="s">
        <v>706</v>
      </c>
      <c r="B675" t="str">
        <f>VLOOKUP(Customer_Names!A675,Customer_Names!$1:$1048576,4,FALSE)</f>
        <v>Kristi</v>
      </c>
      <c r="C675">
        <f>VLOOKUP(Medical_Examinations_2[[#This Row],[Customer ID]],Medical_Examinations!$1:$1048576,2,FALSE)</f>
        <v>32.965000000000003</v>
      </c>
      <c r="D675">
        <f>VLOOKUP(Medical_Examinations_2[[#This Row],[Customer ID]],Medical_Examinations!$1:$1048576,4,FALSE)</f>
        <v>6.68</v>
      </c>
      <c r="E675" t="str">
        <f>VLOOKUP(Medical_Examinations_2[[#This Row],[Customer ID]],Medical_Examinations!$1:$1048576,6,FALSE)</f>
        <v>No</v>
      </c>
      <c r="H675">
        <f>VLOOKUP(Medical_Examinations_2[[#This Row],[Customer ID]],Medical_Examinations!$1:$1048576,9,FALSE)</f>
        <v>3</v>
      </c>
      <c r="I675" t="str">
        <f>VLOOKUP(Medical_Examinations_2[[#This Row],[Customer ID]],Medical_Examinations!$1:$1048576,11,FALSE)</f>
        <v>No</v>
      </c>
    </row>
    <row r="676" spans="1:9" x14ac:dyDescent="0.25">
      <c r="A676" s="10" t="s">
        <v>707</v>
      </c>
      <c r="B676" t="str">
        <f>VLOOKUP(Customer_Names!A676,Customer_Names!$1:$1048576,4,FALSE)</f>
        <v>Meredith L.</v>
      </c>
      <c r="C676">
        <f>VLOOKUP(Medical_Examinations_2[[#This Row],[Customer ID]],Medical_Examinations!$1:$1048576,2,FALSE)</f>
        <v>39.340000000000003</v>
      </c>
      <c r="D676">
        <f>VLOOKUP(Medical_Examinations_2[[#This Row],[Customer ID]],Medical_Examinations!$1:$1048576,4,FALSE)</f>
        <v>5.0199999999999996</v>
      </c>
      <c r="E676" t="str">
        <f>VLOOKUP(Medical_Examinations_2[[#This Row],[Customer ID]],Medical_Examinations!$1:$1048576,6,FALSE)</f>
        <v>Yes</v>
      </c>
      <c r="H676">
        <f>VLOOKUP(Medical_Examinations_2[[#This Row],[Customer ID]],Medical_Examinations!$1:$1048576,9,FALSE)</f>
        <v>1</v>
      </c>
      <c r="I676" t="str">
        <f>VLOOKUP(Medical_Examinations_2[[#This Row],[Customer ID]],Medical_Examinations!$1:$1048576,11,FALSE)</f>
        <v>No</v>
      </c>
    </row>
    <row r="677" spans="1:9" x14ac:dyDescent="0.25">
      <c r="A677" s="11" t="s">
        <v>708</v>
      </c>
      <c r="B677" t="str">
        <f>VLOOKUP(Customer_Names!A677,Customer_Names!$1:$1048576,4,FALSE)</f>
        <v>Jocelyn</v>
      </c>
      <c r="C677">
        <f>VLOOKUP(Medical_Examinations_2[[#This Row],[Customer ID]],Medical_Examinations!$1:$1048576,2,FALSE)</f>
        <v>47</v>
      </c>
      <c r="D677">
        <f>VLOOKUP(Medical_Examinations_2[[#This Row],[Customer ID]],Medical_Examinations!$1:$1048576,4,FALSE)</f>
        <v>10.64</v>
      </c>
      <c r="E677" t="str">
        <f>VLOOKUP(Medical_Examinations_2[[#This Row],[Customer ID]],Medical_Examinations!$1:$1048576,6,FALSE)</f>
        <v>Yes</v>
      </c>
      <c r="H677" t="str">
        <f>VLOOKUP(Medical_Examinations_2[[#This Row],[Customer ID]],Medical_Examinations!$1:$1048576,9,FALSE)</f>
        <v>No major surgery</v>
      </c>
      <c r="I677" t="str">
        <f>VLOOKUP(Medical_Examinations_2[[#This Row],[Customer ID]],Medical_Examinations!$1:$1048576,11,FALSE)</f>
        <v>No</v>
      </c>
    </row>
    <row r="678" spans="1:9" x14ac:dyDescent="0.25">
      <c r="A678" s="10" t="s">
        <v>709</v>
      </c>
      <c r="B678" t="str">
        <f>VLOOKUP(Customer_Names!A678,Customer_Names!$1:$1048576,4,FALSE)</f>
        <v>Daphne</v>
      </c>
      <c r="C678">
        <f>VLOOKUP(Medical_Examinations_2[[#This Row],[Customer ID]],Medical_Examinations!$1:$1048576,2,FALSE)</f>
        <v>36.71</v>
      </c>
      <c r="D678">
        <f>VLOOKUP(Medical_Examinations_2[[#This Row],[Customer ID]],Medical_Examinations!$1:$1048576,4,FALSE)</f>
        <v>8.74</v>
      </c>
      <c r="E678" t="str">
        <f>VLOOKUP(Medical_Examinations_2[[#This Row],[Customer ID]],Medical_Examinations!$1:$1048576,6,FALSE)</f>
        <v>Yes</v>
      </c>
      <c r="H678" t="str">
        <f>VLOOKUP(Medical_Examinations_2[[#This Row],[Customer ID]],Medical_Examinations!$1:$1048576,9,FALSE)</f>
        <v>No major surgery</v>
      </c>
      <c r="I678" t="str">
        <f>VLOOKUP(Medical_Examinations_2[[#This Row],[Customer ID]],Medical_Examinations!$1:$1048576,11,FALSE)</f>
        <v>No</v>
      </c>
    </row>
    <row r="679" spans="1:9" x14ac:dyDescent="0.25">
      <c r="A679" s="11" t="s">
        <v>710</v>
      </c>
      <c r="B679" t="str">
        <f>VLOOKUP(Customer_Names!A679,Customer_Names!$1:$1048576,4,FALSE)</f>
        <v>Margaret E</v>
      </c>
      <c r="C679">
        <f>VLOOKUP(Medical_Examinations_2[[#This Row],[Customer ID]],Medical_Examinations!$1:$1048576,2,FALSE)</f>
        <v>53.48</v>
      </c>
      <c r="D679">
        <f>VLOOKUP(Medical_Examinations_2[[#This Row],[Customer ID]],Medical_Examinations!$1:$1048576,4,FALSE)</f>
        <v>5.64</v>
      </c>
      <c r="E679" t="str">
        <f>VLOOKUP(Medical_Examinations_2[[#This Row],[Customer ID]],Medical_Examinations!$1:$1048576,6,FALSE)</f>
        <v>No</v>
      </c>
      <c r="H679" t="str">
        <f>VLOOKUP(Medical_Examinations_2[[#This Row],[Customer ID]],Medical_Examinations!$1:$1048576,9,FALSE)</f>
        <v>No major surgery</v>
      </c>
      <c r="I679" t="str">
        <f>VLOOKUP(Medical_Examinations_2[[#This Row],[Customer ID]],Medical_Examinations!$1:$1048576,11,FALSE)</f>
        <v>No</v>
      </c>
    </row>
    <row r="680" spans="1:9" x14ac:dyDescent="0.25">
      <c r="A680" s="10" t="s">
        <v>711</v>
      </c>
      <c r="B680" t="str">
        <f>VLOOKUP(Customer_Names!A680,Customer_Names!$1:$1048576,4,FALSE)</f>
        <v>Mario J.</v>
      </c>
      <c r="C680">
        <f>VLOOKUP(Medical_Examinations_2[[#This Row],[Customer ID]],Medical_Examinations!$1:$1048576,2,FALSE)</f>
        <v>35.5</v>
      </c>
      <c r="D680">
        <f>VLOOKUP(Medical_Examinations_2[[#This Row],[Customer ID]],Medical_Examinations!$1:$1048576,4,FALSE)</f>
        <v>10.37</v>
      </c>
      <c r="E680" t="str">
        <f>VLOOKUP(Medical_Examinations_2[[#This Row],[Customer ID]],Medical_Examinations!$1:$1048576,6,FALSE)</f>
        <v>No</v>
      </c>
      <c r="H680" t="str">
        <f>VLOOKUP(Medical_Examinations_2[[#This Row],[Customer ID]],Medical_Examinations!$1:$1048576,9,FALSE)</f>
        <v>No major surgery</v>
      </c>
      <c r="I680" t="str">
        <f>VLOOKUP(Medical_Examinations_2[[#This Row],[Customer ID]],Medical_Examinations!$1:$1048576,11,FALSE)</f>
        <v>No</v>
      </c>
    </row>
    <row r="681" spans="1:9" x14ac:dyDescent="0.25">
      <c r="A681" s="11" t="s">
        <v>712</v>
      </c>
      <c r="B681" t="str">
        <f>VLOOKUP(Customer_Names!A681,Customer_Names!$1:$1048576,4,FALSE)</f>
        <v>Peter</v>
      </c>
      <c r="C681">
        <f>VLOOKUP(Medical_Examinations_2[[#This Row],[Customer ID]],Medical_Examinations!$1:$1048576,2,FALSE)</f>
        <v>36.979999999999997</v>
      </c>
      <c r="D681">
        <f>VLOOKUP(Medical_Examinations_2[[#This Row],[Customer ID]],Medical_Examinations!$1:$1048576,4,FALSE)</f>
        <v>9.56</v>
      </c>
      <c r="E681" t="str">
        <f>VLOOKUP(Medical_Examinations_2[[#This Row],[Customer ID]],Medical_Examinations!$1:$1048576,6,FALSE)</f>
        <v>Yes</v>
      </c>
      <c r="H681" t="str">
        <f>VLOOKUP(Medical_Examinations_2[[#This Row],[Customer ID]],Medical_Examinations!$1:$1048576,9,FALSE)</f>
        <v>No major surgery</v>
      </c>
      <c r="I681" t="str">
        <f>VLOOKUP(Medical_Examinations_2[[#This Row],[Customer ID]],Medical_Examinations!$1:$1048576,11,FALSE)</f>
        <v>No</v>
      </c>
    </row>
    <row r="682" spans="1:9" x14ac:dyDescent="0.25">
      <c r="A682" s="10" t="s">
        <v>713</v>
      </c>
      <c r="B682" t="str">
        <f>VLOOKUP(Customer_Names!A682,Customer_Names!$1:$1048576,4,FALSE)</f>
        <v>Carolina</v>
      </c>
      <c r="C682">
        <f>VLOOKUP(Medical_Examinations_2[[#This Row],[Customer ID]],Medical_Examinations!$1:$1048576,2,FALSE)</f>
        <v>32.395000000000003</v>
      </c>
      <c r="D682">
        <f>VLOOKUP(Medical_Examinations_2[[#This Row],[Customer ID]],Medical_Examinations!$1:$1048576,4,FALSE)</f>
        <v>8.23</v>
      </c>
      <c r="E682" t="str">
        <f>VLOOKUP(Medical_Examinations_2[[#This Row],[Customer ID]],Medical_Examinations!$1:$1048576,6,FALSE)</f>
        <v>Yes</v>
      </c>
      <c r="H682">
        <f>VLOOKUP(Medical_Examinations_2[[#This Row],[Customer ID]],Medical_Examinations!$1:$1048576,9,FALSE)</f>
        <v>1</v>
      </c>
      <c r="I682" t="str">
        <f>VLOOKUP(Medical_Examinations_2[[#This Row],[Customer ID]],Medical_Examinations!$1:$1048576,11,FALSE)</f>
        <v>No</v>
      </c>
    </row>
    <row r="683" spans="1:9" x14ac:dyDescent="0.25">
      <c r="A683" s="11" t="s">
        <v>714</v>
      </c>
      <c r="B683" t="str">
        <f>VLOOKUP(Customer_Names!A683,Customer_Names!$1:$1048576,4,FALSE)</f>
        <v>Jenny K.</v>
      </c>
      <c r="C683">
        <f>VLOOKUP(Medical_Examinations_2[[#This Row],[Customer ID]],Medical_Examinations!$1:$1048576,2,FALSE)</f>
        <v>32.729999999999997</v>
      </c>
      <c r="D683">
        <f>VLOOKUP(Medical_Examinations_2[[#This Row],[Customer ID]],Medical_Examinations!$1:$1048576,4,FALSE)</f>
        <v>7.03</v>
      </c>
      <c r="E683" t="str">
        <f>VLOOKUP(Medical_Examinations_2[[#This Row],[Customer ID]],Medical_Examinations!$1:$1048576,6,FALSE)</f>
        <v>No</v>
      </c>
      <c r="H683" t="str">
        <f>VLOOKUP(Medical_Examinations_2[[#This Row],[Customer ID]],Medical_Examinations!$1:$1048576,9,FALSE)</f>
        <v>No major surgery</v>
      </c>
      <c r="I683" t="str">
        <f>VLOOKUP(Medical_Examinations_2[[#This Row],[Customer ID]],Medical_Examinations!$1:$1048576,11,FALSE)</f>
        <v>No</v>
      </c>
    </row>
    <row r="684" spans="1:9" x14ac:dyDescent="0.25">
      <c r="A684" s="10" t="s">
        <v>715</v>
      </c>
      <c r="B684" t="str">
        <f>VLOOKUP(Customer_Names!A684,Customer_Names!$1:$1048576,4,FALSE)</f>
        <v>Jessica</v>
      </c>
      <c r="C684">
        <f>VLOOKUP(Medical_Examinations_2[[#This Row],[Customer ID]],Medical_Examinations!$1:$1048576,2,FALSE)</f>
        <v>20.52</v>
      </c>
      <c r="D684">
        <f>VLOOKUP(Medical_Examinations_2[[#This Row],[Customer ID]],Medical_Examinations!$1:$1048576,4,FALSE)</f>
        <v>5.45</v>
      </c>
      <c r="E684" t="str">
        <f>VLOOKUP(Medical_Examinations_2[[#This Row],[Customer ID]],Medical_Examinations!$1:$1048576,6,FALSE)</f>
        <v>No</v>
      </c>
      <c r="H684">
        <f>VLOOKUP(Medical_Examinations_2[[#This Row],[Customer ID]],Medical_Examinations!$1:$1048576,9,FALSE)</f>
        <v>1</v>
      </c>
      <c r="I684" t="str">
        <f>VLOOKUP(Medical_Examinations_2[[#This Row],[Customer ID]],Medical_Examinations!$1:$1048576,11,FALSE)</f>
        <v>Yes</v>
      </c>
    </row>
    <row r="685" spans="1:9" x14ac:dyDescent="0.25">
      <c r="A685" s="11" t="s">
        <v>716</v>
      </c>
      <c r="B685" t="str">
        <f>VLOOKUP(Customer_Names!A685,Customer_Names!$1:$1048576,4,FALSE)</f>
        <v>Kimberly D</v>
      </c>
      <c r="C685">
        <f>VLOOKUP(Medical_Examinations_2[[#This Row],[Customer ID]],Medical_Examinations!$1:$1048576,2,FALSE)</f>
        <v>51.72</v>
      </c>
      <c r="D685">
        <f>VLOOKUP(Medical_Examinations_2[[#This Row],[Customer ID]],Medical_Examinations!$1:$1048576,4,FALSE)</f>
        <v>5.76</v>
      </c>
      <c r="E685" t="str">
        <f>VLOOKUP(Medical_Examinations_2[[#This Row],[Customer ID]],Medical_Examinations!$1:$1048576,6,FALSE)</f>
        <v>No</v>
      </c>
      <c r="H685" t="str">
        <f>VLOOKUP(Medical_Examinations_2[[#This Row],[Customer ID]],Medical_Examinations!$1:$1048576,9,FALSE)</f>
        <v>No major surgery</v>
      </c>
      <c r="I685" t="str">
        <f>VLOOKUP(Medical_Examinations_2[[#This Row],[Customer ID]],Medical_Examinations!$1:$1048576,11,FALSE)</f>
        <v>No</v>
      </c>
    </row>
    <row r="686" spans="1:9" x14ac:dyDescent="0.25">
      <c r="A686" s="10" t="s">
        <v>717</v>
      </c>
      <c r="B686" t="str">
        <f>VLOOKUP(Customer_Names!A686,Customer_Names!$1:$1048576,4,FALSE)</f>
        <v>Marc-Olivier</v>
      </c>
      <c r="C686">
        <f>VLOOKUP(Medical_Examinations_2[[#This Row],[Customer ID]],Medical_Examinations!$1:$1048576,2,FALSE)</f>
        <v>50.2</v>
      </c>
      <c r="D686">
        <f>VLOOKUP(Medical_Examinations_2[[#This Row],[Customer ID]],Medical_Examinations!$1:$1048576,4,FALSE)</f>
        <v>5.4</v>
      </c>
      <c r="E686" t="str">
        <f>VLOOKUP(Medical_Examinations_2[[#This Row],[Customer ID]],Medical_Examinations!$1:$1048576,6,FALSE)</f>
        <v>No</v>
      </c>
      <c r="H686" t="str">
        <f>VLOOKUP(Medical_Examinations_2[[#This Row],[Customer ID]],Medical_Examinations!$1:$1048576,9,FALSE)</f>
        <v>No major surgery</v>
      </c>
      <c r="I686" t="str">
        <f>VLOOKUP(Medical_Examinations_2[[#This Row],[Customer ID]],Medical_Examinations!$1:$1048576,11,FALSE)</f>
        <v>No</v>
      </c>
    </row>
    <row r="687" spans="1:9" x14ac:dyDescent="0.25">
      <c r="A687" s="11" t="s">
        <v>718</v>
      </c>
      <c r="B687" t="str">
        <f>VLOOKUP(Customer_Names!A687,Customer_Names!$1:$1048576,4,FALSE)</f>
        <v>Russell J</v>
      </c>
      <c r="C687">
        <f>VLOOKUP(Medical_Examinations_2[[#This Row],[Customer ID]],Medical_Examinations!$1:$1048576,2,FALSE)</f>
        <v>25.52</v>
      </c>
      <c r="D687">
        <f>VLOOKUP(Medical_Examinations_2[[#This Row],[Customer ID]],Medical_Examinations!$1:$1048576,4,FALSE)</f>
        <v>6.35</v>
      </c>
      <c r="E687" t="str">
        <f>VLOOKUP(Medical_Examinations_2[[#This Row],[Customer ID]],Medical_Examinations!$1:$1048576,6,FALSE)</f>
        <v>No</v>
      </c>
      <c r="H687">
        <f>VLOOKUP(Medical_Examinations_2[[#This Row],[Customer ID]],Medical_Examinations!$1:$1048576,9,FALSE)</f>
        <v>1</v>
      </c>
      <c r="I687" t="str">
        <f>VLOOKUP(Medical_Examinations_2[[#This Row],[Customer ID]],Medical_Examinations!$1:$1048576,11,FALSE)</f>
        <v>No</v>
      </c>
    </row>
    <row r="688" spans="1:9" x14ac:dyDescent="0.25">
      <c r="A688" s="10" t="s">
        <v>719</v>
      </c>
      <c r="B688" t="str">
        <f>VLOOKUP(Customer_Names!A688,Customer_Names!$1:$1048576,4,FALSE)</f>
        <v>Karine</v>
      </c>
      <c r="C688">
        <f>VLOOKUP(Medical_Examinations_2[[#This Row],[Customer ID]],Medical_Examinations!$1:$1048576,2,FALSE)</f>
        <v>35.200000000000003</v>
      </c>
      <c r="D688">
        <f>VLOOKUP(Medical_Examinations_2[[#This Row],[Customer ID]],Medical_Examinations!$1:$1048576,4,FALSE)</f>
        <v>6.26</v>
      </c>
      <c r="E688" t="str">
        <f>VLOOKUP(Medical_Examinations_2[[#This Row],[Customer ID]],Medical_Examinations!$1:$1048576,6,FALSE)</f>
        <v>Yes</v>
      </c>
      <c r="H688">
        <f>VLOOKUP(Medical_Examinations_2[[#This Row],[Customer ID]],Medical_Examinations!$1:$1048576,9,FALSE)</f>
        <v>2</v>
      </c>
      <c r="I688" t="str">
        <f>VLOOKUP(Medical_Examinations_2[[#This Row],[Customer ID]],Medical_Examinations!$1:$1048576,11,FALSE)</f>
        <v>No</v>
      </c>
    </row>
    <row r="689" spans="1:9" x14ac:dyDescent="0.25">
      <c r="A689" s="11" t="s">
        <v>720</v>
      </c>
      <c r="B689" t="str">
        <f>VLOOKUP(Customer_Names!A689,Customer_Names!$1:$1048576,4,FALSE)</f>
        <v>Ms.  Cheryl</v>
      </c>
      <c r="C689">
        <f>VLOOKUP(Medical_Examinations_2[[#This Row],[Customer ID]],Medical_Examinations!$1:$1048576,2,FALSE)</f>
        <v>41.26</v>
      </c>
      <c r="D689">
        <f>VLOOKUP(Medical_Examinations_2[[#This Row],[Customer ID]],Medical_Examinations!$1:$1048576,4,FALSE)</f>
        <v>5.97</v>
      </c>
      <c r="E689" t="str">
        <f>VLOOKUP(Medical_Examinations_2[[#This Row],[Customer ID]],Medical_Examinations!$1:$1048576,6,FALSE)</f>
        <v>Yes</v>
      </c>
      <c r="H689" t="str">
        <f>VLOOKUP(Medical_Examinations_2[[#This Row],[Customer ID]],Medical_Examinations!$1:$1048576,9,FALSE)</f>
        <v>No major surgery</v>
      </c>
      <c r="I689" t="str">
        <f>VLOOKUP(Medical_Examinations_2[[#This Row],[Customer ID]],Medical_Examinations!$1:$1048576,11,FALSE)</f>
        <v>No</v>
      </c>
    </row>
    <row r="690" spans="1:9" x14ac:dyDescent="0.25">
      <c r="A690" s="10" t="s">
        <v>721</v>
      </c>
      <c r="B690" t="str">
        <f>VLOOKUP(Customer_Names!A690,Customer_Names!$1:$1048576,4,FALSE)</f>
        <v>Allison M.</v>
      </c>
      <c r="C690">
        <f>VLOOKUP(Medical_Examinations_2[[#This Row],[Customer ID]],Medical_Examinations!$1:$1048576,2,FALSE)</f>
        <v>17.195</v>
      </c>
      <c r="D690">
        <f>VLOOKUP(Medical_Examinations_2[[#This Row],[Customer ID]],Medical_Examinations!$1:$1048576,4,FALSE)</f>
        <v>5.29</v>
      </c>
      <c r="E690" t="str">
        <f>VLOOKUP(Medical_Examinations_2[[#This Row],[Customer ID]],Medical_Examinations!$1:$1048576,6,FALSE)</f>
        <v>Yes</v>
      </c>
      <c r="H690" t="str">
        <f>VLOOKUP(Medical_Examinations_2[[#This Row],[Customer ID]],Medical_Examinations!$1:$1048576,9,FALSE)</f>
        <v>No major surgery</v>
      </c>
      <c r="I690" t="str">
        <f>VLOOKUP(Medical_Examinations_2[[#This Row],[Customer ID]],Medical_Examinations!$1:$1048576,11,FALSE)</f>
        <v>Yes</v>
      </c>
    </row>
    <row r="691" spans="1:9" x14ac:dyDescent="0.25">
      <c r="A691" s="11" t="s">
        <v>722</v>
      </c>
      <c r="B691" t="str">
        <f>VLOOKUP(Customer_Names!A691,Customer_Names!$1:$1048576,4,FALSE)</f>
        <v>Adriana</v>
      </c>
      <c r="C691">
        <f>VLOOKUP(Medical_Examinations_2[[#This Row],[Customer ID]],Medical_Examinations!$1:$1048576,2,FALSE)</f>
        <v>23.085000000000001</v>
      </c>
      <c r="D691">
        <f>VLOOKUP(Medical_Examinations_2[[#This Row],[Customer ID]],Medical_Examinations!$1:$1048576,4,FALSE)</f>
        <v>4.2699999999999996</v>
      </c>
      <c r="E691" t="str">
        <f>VLOOKUP(Medical_Examinations_2[[#This Row],[Customer ID]],Medical_Examinations!$1:$1048576,6,FALSE)</f>
        <v>Yes</v>
      </c>
      <c r="H691">
        <f>VLOOKUP(Medical_Examinations_2[[#This Row],[Customer ID]],Medical_Examinations!$1:$1048576,9,FALSE)</f>
        <v>2</v>
      </c>
      <c r="I691" t="str">
        <f>VLOOKUP(Medical_Examinations_2[[#This Row],[Customer ID]],Medical_Examinations!$1:$1048576,11,FALSE)</f>
        <v>No</v>
      </c>
    </row>
    <row r="692" spans="1:9" x14ac:dyDescent="0.25">
      <c r="A692" s="10" t="s">
        <v>723</v>
      </c>
      <c r="B692" t="str">
        <f>VLOOKUP(Customer_Names!A692,Customer_Names!$1:$1048576,4,FALSE)</f>
        <v>Miranda J</v>
      </c>
      <c r="C692">
        <f>VLOOKUP(Medical_Examinations_2[[#This Row],[Customer ID]],Medical_Examinations!$1:$1048576,2,FALSE)</f>
        <v>21.66</v>
      </c>
      <c r="D692">
        <f>VLOOKUP(Medical_Examinations_2[[#This Row],[Customer ID]],Medical_Examinations!$1:$1048576,4,FALSE)</f>
        <v>5.2</v>
      </c>
      <c r="E692" t="str">
        <f>VLOOKUP(Medical_Examinations_2[[#This Row],[Customer ID]],Medical_Examinations!$1:$1048576,6,FALSE)</f>
        <v>Yes</v>
      </c>
      <c r="H692">
        <f>VLOOKUP(Medical_Examinations_2[[#This Row],[Customer ID]],Medical_Examinations!$1:$1048576,9,FALSE)</f>
        <v>2</v>
      </c>
      <c r="I692" t="str">
        <f>VLOOKUP(Medical_Examinations_2[[#This Row],[Customer ID]],Medical_Examinations!$1:$1048576,11,FALSE)</f>
        <v>No</v>
      </c>
    </row>
    <row r="693" spans="1:9" x14ac:dyDescent="0.25">
      <c r="A693" s="11" t="s">
        <v>724</v>
      </c>
      <c r="B693" t="str">
        <f>VLOOKUP(Customer_Names!A693,Customer_Names!$1:$1048576,4,FALSE)</f>
        <v>Mr.  Roberto</v>
      </c>
      <c r="C693">
        <f>VLOOKUP(Medical_Examinations_2[[#This Row],[Customer ID]],Medical_Examinations!$1:$1048576,2,FALSE)</f>
        <v>36.47</v>
      </c>
      <c r="D693">
        <f>VLOOKUP(Medical_Examinations_2[[#This Row],[Customer ID]],Medical_Examinations!$1:$1048576,4,FALSE)</f>
        <v>8.23</v>
      </c>
      <c r="E693" t="str">
        <f>VLOOKUP(Medical_Examinations_2[[#This Row],[Customer ID]],Medical_Examinations!$1:$1048576,6,FALSE)</f>
        <v>Yes</v>
      </c>
      <c r="H693" t="str">
        <f>VLOOKUP(Medical_Examinations_2[[#This Row],[Customer ID]],Medical_Examinations!$1:$1048576,9,FALSE)</f>
        <v>No major surgery</v>
      </c>
      <c r="I693" t="str">
        <f>VLOOKUP(Medical_Examinations_2[[#This Row],[Customer ID]],Medical_Examinations!$1:$1048576,11,FALSE)</f>
        <v>No</v>
      </c>
    </row>
    <row r="694" spans="1:9" x14ac:dyDescent="0.25">
      <c r="A694" s="10" t="s">
        <v>725</v>
      </c>
      <c r="B694" t="str">
        <f>VLOOKUP(Customer_Names!A694,Customer_Names!$1:$1048576,4,FALSE)</f>
        <v>Rebecca B.</v>
      </c>
      <c r="C694">
        <f>VLOOKUP(Medical_Examinations_2[[#This Row],[Customer ID]],Medical_Examinations!$1:$1048576,2,FALSE)</f>
        <v>36.08</v>
      </c>
      <c r="D694">
        <f>VLOOKUP(Medical_Examinations_2[[#This Row],[Customer ID]],Medical_Examinations!$1:$1048576,4,FALSE)</f>
        <v>10.33</v>
      </c>
      <c r="E694" t="str">
        <f>VLOOKUP(Medical_Examinations_2[[#This Row],[Customer ID]],Medical_Examinations!$1:$1048576,6,FALSE)</f>
        <v>Yes</v>
      </c>
      <c r="H694" t="str">
        <f>VLOOKUP(Medical_Examinations_2[[#This Row],[Customer ID]],Medical_Examinations!$1:$1048576,9,FALSE)</f>
        <v>No major surgery</v>
      </c>
      <c r="I694" t="str">
        <f>VLOOKUP(Medical_Examinations_2[[#This Row],[Customer ID]],Medical_Examinations!$1:$1048576,11,FALSE)</f>
        <v>No</v>
      </c>
    </row>
    <row r="695" spans="1:9" x14ac:dyDescent="0.25">
      <c r="A695" s="11" t="s">
        <v>726</v>
      </c>
      <c r="B695" t="str">
        <f>VLOOKUP(Customer_Names!A695,Customer_Names!$1:$1048576,4,FALSE)</f>
        <v>Tiffany</v>
      </c>
      <c r="C695">
        <f>VLOOKUP(Medical_Examinations_2[[#This Row],[Customer ID]],Medical_Examinations!$1:$1048576,2,FALSE)</f>
        <v>23.18</v>
      </c>
      <c r="D695">
        <f>VLOOKUP(Medical_Examinations_2[[#This Row],[Customer ID]],Medical_Examinations!$1:$1048576,4,FALSE)</f>
        <v>6.13</v>
      </c>
      <c r="E695" t="str">
        <f>VLOOKUP(Medical_Examinations_2[[#This Row],[Customer ID]],Medical_Examinations!$1:$1048576,6,FALSE)</f>
        <v>No</v>
      </c>
      <c r="H695" t="str">
        <f>VLOOKUP(Medical_Examinations_2[[#This Row],[Customer ID]],Medical_Examinations!$1:$1048576,9,FALSE)</f>
        <v>No major surgery</v>
      </c>
      <c r="I695" t="str">
        <f>VLOOKUP(Medical_Examinations_2[[#This Row],[Customer ID]],Medical_Examinations!$1:$1048576,11,FALSE)</f>
        <v>No</v>
      </c>
    </row>
    <row r="696" spans="1:9" x14ac:dyDescent="0.25">
      <c r="A696" s="10" t="s">
        <v>727</v>
      </c>
      <c r="B696" t="str">
        <f>VLOOKUP(Customer_Names!A696,Customer_Names!$1:$1048576,4,FALSE)</f>
        <v>Alexander</v>
      </c>
      <c r="C696">
        <f>VLOOKUP(Medical_Examinations_2[[#This Row],[Customer ID]],Medical_Examinations!$1:$1048576,2,FALSE)</f>
        <v>39.159999999999997</v>
      </c>
      <c r="D696">
        <f>VLOOKUP(Medical_Examinations_2[[#This Row],[Customer ID]],Medical_Examinations!$1:$1048576,4,FALSE)</f>
        <v>8.08</v>
      </c>
      <c r="E696" t="str">
        <f>VLOOKUP(Medical_Examinations_2[[#This Row],[Customer ID]],Medical_Examinations!$1:$1048576,6,FALSE)</f>
        <v>No</v>
      </c>
      <c r="H696">
        <f>VLOOKUP(Medical_Examinations_2[[#This Row],[Customer ID]],Medical_Examinations!$1:$1048576,9,FALSE)</f>
        <v>3</v>
      </c>
      <c r="I696" t="str">
        <f>VLOOKUP(Medical_Examinations_2[[#This Row],[Customer ID]],Medical_Examinations!$1:$1048576,11,FALSE)</f>
        <v>No</v>
      </c>
    </row>
    <row r="697" spans="1:9" x14ac:dyDescent="0.25">
      <c r="A697" s="11" t="s">
        <v>728</v>
      </c>
      <c r="B697" t="str">
        <f>VLOOKUP(Customer_Names!A697,Customer_Names!$1:$1048576,4,FALSE)</f>
        <v>Rich M</v>
      </c>
      <c r="C697">
        <f>VLOOKUP(Medical_Examinations_2[[#This Row],[Customer ID]],Medical_Examinations!$1:$1048576,2,FALSE)</f>
        <v>38.19</v>
      </c>
      <c r="D697">
        <f>VLOOKUP(Medical_Examinations_2[[#This Row],[Customer ID]],Medical_Examinations!$1:$1048576,4,FALSE)</f>
        <v>10.49</v>
      </c>
      <c r="E697" t="str">
        <f>VLOOKUP(Medical_Examinations_2[[#This Row],[Customer ID]],Medical_Examinations!$1:$1048576,6,FALSE)</f>
        <v>No</v>
      </c>
      <c r="H697">
        <f>VLOOKUP(Medical_Examinations_2[[#This Row],[Customer ID]],Medical_Examinations!$1:$1048576,9,FALSE)</f>
        <v>3</v>
      </c>
      <c r="I697" t="str">
        <f>VLOOKUP(Medical_Examinations_2[[#This Row],[Customer ID]],Medical_Examinations!$1:$1048576,11,FALSE)</f>
        <v>No</v>
      </c>
    </row>
    <row r="698" spans="1:9" x14ac:dyDescent="0.25">
      <c r="A698" s="10" t="s">
        <v>729</v>
      </c>
      <c r="B698" t="str">
        <f>VLOOKUP(Customer_Names!A698,Customer_Names!$1:$1048576,4,FALSE)</f>
        <v>Aaron C</v>
      </c>
      <c r="C698">
        <f>VLOOKUP(Medical_Examinations_2[[#This Row],[Customer ID]],Medical_Examinations!$1:$1048576,2,FALSE)</f>
        <v>26.41</v>
      </c>
      <c r="D698">
        <f>VLOOKUP(Medical_Examinations_2[[#This Row],[Customer ID]],Medical_Examinations!$1:$1048576,4,FALSE)</f>
        <v>8.11</v>
      </c>
      <c r="E698" t="str">
        <f>VLOOKUP(Medical_Examinations_2[[#This Row],[Customer ID]],Medical_Examinations!$1:$1048576,6,FALSE)</f>
        <v>No</v>
      </c>
      <c r="H698">
        <f>VLOOKUP(Medical_Examinations_2[[#This Row],[Customer ID]],Medical_Examinations!$1:$1048576,9,FALSE)</f>
        <v>3</v>
      </c>
      <c r="I698" t="str">
        <f>VLOOKUP(Medical_Examinations_2[[#This Row],[Customer ID]],Medical_Examinations!$1:$1048576,11,FALSE)</f>
        <v>No</v>
      </c>
    </row>
    <row r="699" spans="1:9" x14ac:dyDescent="0.25">
      <c r="A699" s="11" t="s">
        <v>730</v>
      </c>
      <c r="B699" t="str">
        <f>VLOOKUP(Customer_Names!A699,Customer_Names!$1:$1048576,4,FALSE)</f>
        <v>Kate</v>
      </c>
      <c r="C699">
        <f>VLOOKUP(Medical_Examinations_2[[#This Row],[Customer ID]],Medical_Examinations!$1:$1048576,2,FALSE)</f>
        <v>28.785</v>
      </c>
      <c r="D699">
        <f>VLOOKUP(Medical_Examinations_2[[#This Row],[Customer ID]],Medical_Examinations!$1:$1048576,4,FALSE)</f>
        <v>6.6</v>
      </c>
      <c r="E699" t="str">
        <f>VLOOKUP(Medical_Examinations_2[[#This Row],[Customer ID]],Medical_Examinations!$1:$1048576,6,FALSE)</f>
        <v>No</v>
      </c>
      <c r="H699" t="str">
        <f>VLOOKUP(Medical_Examinations_2[[#This Row],[Customer ID]],Medical_Examinations!$1:$1048576,9,FALSE)</f>
        <v>No major surgery</v>
      </c>
      <c r="I699" t="str">
        <f>VLOOKUP(Medical_Examinations_2[[#This Row],[Customer ID]],Medical_Examinations!$1:$1048576,11,FALSE)</f>
        <v>No</v>
      </c>
    </row>
    <row r="700" spans="1:9" x14ac:dyDescent="0.25">
      <c r="A700" s="10" t="s">
        <v>731</v>
      </c>
      <c r="B700" t="str">
        <f>VLOOKUP(Customer_Names!A700,Customer_Names!$1:$1048576,4,FALSE)</f>
        <v>Maria M</v>
      </c>
      <c r="C700">
        <f>VLOOKUP(Medical_Examinations_2[[#This Row],[Customer ID]],Medical_Examinations!$1:$1048576,2,FALSE)</f>
        <v>26.695</v>
      </c>
      <c r="D700">
        <f>VLOOKUP(Medical_Examinations_2[[#This Row],[Customer ID]],Medical_Examinations!$1:$1048576,4,FALSE)</f>
        <v>10.14</v>
      </c>
      <c r="E700" t="str">
        <f>VLOOKUP(Medical_Examinations_2[[#This Row],[Customer ID]],Medical_Examinations!$1:$1048576,6,FALSE)</f>
        <v>Yes</v>
      </c>
      <c r="H700">
        <f>VLOOKUP(Medical_Examinations_2[[#This Row],[Customer ID]],Medical_Examinations!$1:$1048576,9,FALSE)</f>
        <v>1</v>
      </c>
      <c r="I700" t="str">
        <f>VLOOKUP(Medical_Examinations_2[[#This Row],[Customer ID]],Medical_Examinations!$1:$1048576,11,FALSE)</f>
        <v>No</v>
      </c>
    </row>
    <row r="701" spans="1:9" x14ac:dyDescent="0.25">
      <c r="A701" s="11" t="s">
        <v>732</v>
      </c>
      <c r="B701" t="str">
        <f>VLOOKUP(Customer_Names!A701,Customer_Names!$1:$1048576,4,FALSE)</f>
        <v>Daven W</v>
      </c>
      <c r="C701">
        <f>VLOOKUP(Medical_Examinations_2[[#This Row],[Customer ID]],Medical_Examinations!$1:$1048576,2,FALSE)</f>
        <v>32.799999999999997</v>
      </c>
      <c r="D701">
        <f>VLOOKUP(Medical_Examinations_2[[#This Row],[Customer ID]],Medical_Examinations!$1:$1048576,4,FALSE)</f>
        <v>6.06</v>
      </c>
      <c r="E701" t="str">
        <f>VLOOKUP(Medical_Examinations_2[[#This Row],[Customer ID]],Medical_Examinations!$1:$1048576,6,FALSE)</f>
        <v>Yes</v>
      </c>
      <c r="H701">
        <f>VLOOKUP(Medical_Examinations_2[[#This Row],[Customer ID]],Medical_Examinations!$1:$1048576,9,FALSE)</f>
        <v>1</v>
      </c>
      <c r="I701" t="str">
        <f>VLOOKUP(Medical_Examinations_2[[#This Row],[Customer ID]],Medical_Examinations!$1:$1048576,11,FALSE)</f>
        <v>No</v>
      </c>
    </row>
    <row r="702" spans="1:9" x14ac:dyDescent="0.25">
      <c r="A702" s="10" t="s">
        <v>733</v>
      </c>
      <c r="B702" t="str">
        <f>VLOOKUP(Customer_Names!A702,Customer_Names!$1:$1048576,4,FALSE)</f>
        <v>Mrs.  Brianne</v>
      </c>
      <c r="C702">
        <f>VLOOKUP(Medical_Examinations_2[[#This Row],[Customer ID]],Medical_Examinations!$1:$1048576,2,FALSE)</f>
        <v>35.869999999999997</v>
      </c>
      <c r="D702">
        <f>VLOOKUP(Medical_Examinations_2[[#This Row],[Customer ID]],Medical_Examinations!$1:$1048576,4,FALSE)</f>
        <v>9.91</v>
      </c>
      <c r="E702" t="str">
        <f>VLOOKUP(Medical_Examinations_2[[#This Row],[Customer ID]],Medical_Examinations!$1:$1048576,6,FALSE)</f>
        <v>Yes</v>
      </c>
      <c r="H702" t="str">
        <f>VLOOKUP(Medical_Examinations_2[[#This Row],[Customer ID]],Medical_Examinations!$1:$1048576,9,FALSE)</f>
        <v>No major surgery</v>
      </c>
      <c r="I702" t="str">
        <f>VLOOKUP(Medical_Examinations_2[[#This Row],[Customer ID]],Medical_Examinations!$1:$1048576,11,FALSE)</f>
        <v>No</v>
      </c>
    </row>
    <row r="703" spans="1:9" x14ac:dyDescent="0.25">
      <c r="A703" s="11" t="s">
        <v>734</v>
      </c>
      <c r="B703" t="str">
        <f>VLOOKUP(Customer_Names!A703,Customer_Names!$1:$1048576,4,FALSE)</f>
        <v>Hiroki</v>
      </c>
      <c r="C703">
        <f>VLOOKUP(Medical_Examinations_2[[#This Row],[Customer ID]],Medical_Examinations!$1:$1048576,2,FALSE)</f>
        <v>21.66</v>
      </c>
      <c r="D703">
        <f>VLOOKUP(Medical_Examinations_2[[#This Row],[Customer ID]],Medical_Examinations!$1:$1048576,4,FALSE)</f>
        <v>4.1399999999999997</v>
      </c>
      <c r="E703" t="str">
        <f>VLOOKUP(Medical_Examinations_2[[#This Row],[Customer ID]],Medical_Examinations!$1:$1048576,6,FALSE)</f>
        <v>Yes</v>
      </c>
      <c r="H703">
        <f>VLOOKUP(Medical_Examinations_2[[#This Row],[Customer ID]],Medical_Examinations!$1:$1048576,9,FALSE)</f>
        <v>2</v>
      </c>
      <c r="I703" t="str">
        <f>VLOOKUP(Medical_Examinations_2[[#This Row],[Customer ID]],Medical_Examinations!$1:$1048576,11,FALSE)</f>
        <v>No</v>
      </c>
    </row>
    <row r="704" spans="1:9" x14ac:dyDescent="0.25">
      <c r="A704" s="10" t="s">
        <v>735</v>
      </c>
      <c r="B704" t="str">
        <f>VLOOKUP(Customer_Names!A704,Customer_Names!$1:$1048576,4,FALSE)</f>
        <v>Anders</v>
      </c>
      <c r="C704">
        <f>VLOOKUP(Medical_Examinations_2[[#This Row],[Customer ID]],Medical_Examinations!$1:$1048576,2,FALSE)</f>
        <v>37.72</v>
      </c>
      <c r="D704">
        <f>VLOOKUP(Medical_Examinations_2[[#This Row],[Customer ID]],Medical_Examinations!$1:$1048576,4,FALSE)</f>
        <v>4.38</v>
      </c>
      <c r="E704" t="str">
        <f>VLOOKUP(Medical_Examinations_2[[#This Row],[Customer ID]],Medical_Examinations!$1:$1048576,6,FALSE)</f>
        <v>Yes</v>
      </c>
      <c r="H704">
        <f>VLOOKUP(Medical_Examinations_2[[#This Row],[Customer ID]],Medical_Examinations!$1:$1048576,9,FALSE)</f>
        <v>1</v>
      </c>
      <c r="I704" t="str">
        <f>VLOOKUP(Medical_Examinations_2[[#This Row],[Customer ID]],Medical_Examinations!$1:$1048576,11,FALSE)</f>
        <v>No</v>
      </c>
    </row>
    <row r="705" spans="1:9" x14ac:dyDescent="0.25">
      <c r="A705" s="11" t="s">
        <v>736</v>
      </c>
      <c r="B705" t="str">
        <f>VLOOKUP(Customer_Names!A705,Customer_Names!$1:$1048576,4,FALSE)</f>
        <v>Danielle</v>
      </c>
      <c r="C705">
        <f>VLOOKUP(Medical_Examinations_2[[#This Row],[Customer ID]],Medical_Examinations!$1:$1048576,2,FALSE)</f>
        <v>39.700000000000003</v>
      </c>
      <c r="D705">
        <f>VLOOKUP(Medical_Examinations_2[[#This Row],[Customer ID]],Medical_Examinations!$1:$1048576,4,FALSE)</f>
        <v>9.83</v>
      </c>
      <c r="E705" t="str">
        <f>VLOOKUP(Medical_Examinations_2[[#This Row],[Customer ID]],Medical_Examinations!$1:$1048576,6,FALSE)</f>
        <v>No</v>
      </c>
      <c r="H705">
        <f>VLOOKUP(Medical_Examinations_2[[#This Row],[Customer ID]],Medical_Examinations!$1:$1048576,9,FALSE)</f>
        <v>3</v>
      </c>
      <c r="I705" t="str">
        <f>VLOOKUP(Medical_Examinations_2[[#This Row],[Customer ID]],Medical_Examinations!$1:$1048576,11,FALSE)</f>
        <v>No</v>
      </c>
    </row>
    <row r="706" spans="1:9" x14ac:dyDescent="0.25">
      <c r="A706" s="10" t="s">
        <v>737</v>
      </c>
      <c r="B706" t="str">
        <f>VLOOKUP(Customer_Names!A706,Customer_Names!$1:$1048576,4,FALSE)</f>
        <v>Candace N</v>
      </c>
      <c r="C706">
        <f>VLOOKUP(Medical_Examinations_2[[#This Row],[Customer ID]],Medical_Examinations!$1:$1048576,2,FALSE)</f>
        <v>35.97</v>
      </c>
      <c r="D706">
        <f>VLOOKUP(Medical_Examinations_2[[#This Row],[Customer ID]],Medical_Examinations!$1:$1048576,4,FALSE)</f>
        <v>11.08</v>
      </c>
      <c r="E706" t="str">
        <f>VLOOKUP(Medical_Examinations_2[[#This Row],[Customer ID]],Medical_Examinations!$1:$1048576,6,FALSE)</f>
        <v>No</v>
      </c>
      <c r="H706">
        <f>VLOOKUP(Medical_Examinations_2[[#This Row],[Customer ID]],Medical_Examinations!$1:$1048576,9,FALSE)</f>
        <v>3</v>
      </c>
      <c r="I706" t="str">
        <f>VLOOKUP(Medical_Examinations_2[[#This Row],[Customer ID]],Medical_Examinations!$1:$1048576,11,FALSE)</f>
        <v>No</v>
      </c>
    </row>
    <row r="707" spans="1:9" x14ac:dyDescent="0.25">
      <c r="A707" s="11" t="s">
        <v>738</v>
      </c>
      <c r="B707" t="str">
        <f>VLOOKUP(Customer_Names!A707,Customer_Names!$1:$1048576,4,FALSE)</f>
        <v>Bruno F.</v>
      </c>
      <c r="C707">
        <f>VLOOKUP(Medical_Examinations_2[[#This Row],[Customer ID]],Medical_Examinations!$1:$1048576,2,FALSE)</f>
        <v>37.85</v>
      </c>
      <c r="D707">
        <f>VLOOKUP(Medical_Examinations_2[[#This Row],[Customer ID]],Medical_Examinations!$1:$1048576,4,FALSE)</f>
        <v>11.01</v>
      </c>
      <c r="E707" t="str">
        <f>VLOOKUP(Medical_Examinations_2[[#This Row],[Customer ID]],Medical_Examinations!$1:$1048576,6,FALSE)</f>
        <v>No</v>
      </c>
      <c r="H707" t="str">
        <f>VLOOKUP(Medical_Examinations_2[[#This Row],[Customer ID]],Medical_Examinations!$1:$1048576,9,FALSE)</f>
        <v>No major surgery</v>
      </c>
      <c r="I707" t="str">
        <f>VLOOKUP(Medical_Examinations_2[[#This Row],[Customer ID]],Medical_Examinations!$1:$1048576,11,FALSE)</f>
        <v>No</v>
      </c>
    </row>
    <row r="708" spans="1:9" x14ac:dyDescent="0.25">
      <c r="A708" s="10" t="s">
        <v>739</v>
      </c>
      <c r="B708" t="str">
        <f>VLOOKUP(Customer_Names!A708,Customer_Names!$1:$1048576,4,FALSE)</f>
        <v>Emily</v>
      </c>
      <c r="C708">
        <f>VLOOKUP(Medical_Examinations_2[[#This Row],[Customer ID]],Medical_Examinations!$1:$1048576,2,FALSE)</f>
        <v>21.66</v>
      </c>
      <c r="D708">
        <f>VLOOKUP(Medical_Examinations_2[[#This Row],[Customer ID]],Medical_Examinations!$1:$1048576,4,FALSE)</f>
        <v>4.37</v>
      </c>
      <c r="E708" t="str">
        <f>VLOOKUP(Medical_Examinations_2[[#This Row],[Customer ID]],Medical_Examinations!$1:$1048576,6,FALSE)</f>
        <v>No</v>
      </c>
      <c r="H708">
        <f>VLOOKUP(Medical_Examinations_2[[#This Row],[Customer ID]],Medical_Examinations!$1:$1048576,9,FALSE)</f>
        <v>1</v>
      </c>
      <c r="I708" t="str">
        <f>VLOOKUP(Medical_Examinations_2[[#This Row],[Customer ID]],Medical_Examinations!$1:$1048576,11,FALSE)</f>
        <v>Yes</v>
      </c>
    </row>
    <row r="709" spans="1:9" x14ac:dyDescent="0.25">
      <c r="A709" s="11" t="s">
        <v>740</v>
      </c>
      <c r="B709" t="str">
        <f>VLOOKUP(Customer_Names!A709,Customer_Names!$1:$1048576,4,FALSE)</f>
        <v>Katie</v>
      </c>
      <c r="C709">
        <f>VLOOKUP(Medical_Examinations_2[[#This Row],[Customer ID]],Medical_Examinations!$1:$1048576,2,FALSE)</f>
        <v>39.369999999999997</v>
      </c>
      <c r="D709">
        <f>VLOOKUP(Medical_Examinations_2[[#This Row],[Customer ID]],Medical_Examinations!$1:$1048576,4,FALSE)</f>
        <v>5.91</v>
      </c>
      <c r="E709" t="str">
        <f>VLOOKUP(Medical_Examinations_2[[#This Row],[Customer ID]],Medical_Examinations!$1:$1048576,6,FALSE)</f>
        <v>No</v>
      </c>
      <c r="H709">
        <f>VLOOKUP(Medical_Examinations_2[[#This Row],[Customer ID]],Medical_Examinations!$1:$1048576,9,FALSE)</f>
        <v>2</v>
      </c>
      <c r="I709" t="str">
        <f>VLOOKUP(Medical_Examinations_2[[#This Row],[Customer ID]],Medical_Examinations!$1:$1048576,11,FALSE)</f>
        <v>No</v>
      </c>
    </row>
    <row r="710" spans="1:9" x14ac:dyDescent="0.25">
      <c r="A710" s="10" t="s">
        <v>741</v>
      </c>
      <c r="B710" t="str">
        <f>VLOOKUP(Customer_Names!A710,Customer_Names!$1:$1048576,4,FALSE)</f>
        <v>Sally</v>
      </c>
      <c r="C710">
        <f>VLOOKUP(Medical_Examinations_2[[#This Row],[Customer ID]],Medical_Examinations!$1:$1048576,2,FALSE)</f>
        <v>40.880000000000003</v>
      </c>
      <c r="D710">
        <f>VLOOKUP(Medical_Examinations_2[[#This Row],[Customer ID]],Medical_Examinations!$1:$1048576,4,FALSE)</f>
        <v>7.65</v>
      </c>
      <c r="E710" t="str">
        <f>VLOOKUP(Medical_Examinations_2[[#This Row],[Customer ID]],Medical_Examinations!$1:$1048576,6,FALSE)</f>
        <v>No</v>
      </c>
      <c r="H710" t="str">
        <f>VLOOKUP(Medical_Examinations_2[[#This Row],[Customer ID]],Medical_Examinations!$1:$1048576,9,FALSE)</f>
        <v>No major surgery</v>
      </c>
      <c r="I710" t="str">
        <f>VLOOKUP(Medical_Examinations_2[[#This Row],[Customer ID]],Medical_Examinations!$1:$1048576,11,FALSE)</f>
        <v>No</v>
      </c>
    </row>
    <row r="711" spans="1:9" x14ac:dyDescent="0.25">
      <c r="A711" s="11" t="s">
        <v>742</v>
      </c>
      <c r="B711" t="str">
        <f>VLOOKUP(Customer_Names!A711,Customer_Names!$1:$1048576,4,FALSE)</f>
        <v>Meaghan J</v>
      </c>
      <c r="C711">
        <f>VLOOKUP(Medical_Examinations_2[[#This Row],[Customer ID]],Medical_Examinations!$1:$1048576,2,FALSE)</f>
        <v>26.22</v>
      </c>
      <c r="D711">
        <f>VLOOKUP(Medical_Examinations_2[[#This Row],[Customer ID]],Medical_Examinations!$1:$1048576,4,FALSE)</f>
        <v>5.37</v>
      </c>
      <c r="E711" t="str">
        <f>VLOOKUP(Medical_Examinations_2[[#This Row],[Customer ID]],Medical_Examinations!$1:$1048576,6,FALSE)</f>
        <v>Yes</v>
      </c>
      <c r="H711">
        <f>VLOOKUP(Medical_Examinations_2[[#This Row],[Customer ID]],Medical_Examinations!$1:$1048576,9,FALSE)</f>
        <v>2</v>
      </c>
      <c r="I711" t="str">
        <f>VLOOKUP(Medical_Examinations_2[[#This Row],[Customer ID]],Medical_Examinations!$1:$1048576,11,FALSE)</f>
        <v>No</v>
      </c>
    </row>
    <row r="712" spans="1:9" x14ac:dyDescent="0.25">
      <c r="A712" s="10" t="s">
        <v>743</v>
      </c>
      <c r="B712" t="str">
        <f>VLOOKUP(Customer_Names!A712,Customer_Names!$1:$1048576,4,FALSE)</f>
        <v>Rina</v>
      </c>
      <c r="C712">
        <f>VLOOKUP(Medical_Examinations_2[[#This Row],[Customer ID]],Medical_Examinations!$1:$1048576,2,FALSE)</f>
        <v>25.08</v>
      </c>
      <c r="D712">
        <f>VLOOKUP(Medical_Examinations_2[[#This Row],[Customer ID]],Medical_Examinations!$1:$1048576,4,FALSE)</f>
        <v>5.75</v>
      </c>
      <c r="E712" t="str">
        <f>VLOOKUP(Medical_Examinations_2[[#This Row],[Customer ID]],Medical_Examinations!$1:$1048576,6,FALSE)</f>
        <v>Yes</v>
      </c>
      <c r="H712">
        <f>VLOOKUP(Medical_Examinations_2[[#This Row],[Customer ID]],Medical_Examinations!$1:$1048576,9,FALSE)</f>
        <v>2</v>
      </c>
      <c r="I712" t="str">
        <f>VLOOKUP(Medical_Examinations_2[[#This Row],[Customer ID]],Medical_Examinations!$1:$1048576,11,FALSE)</f>
        <v>No</v>
      </c>
    </row>
    <row r="713" spans="1:9" x14ac:dyDescent="0.25">
      <c r="A713" s="11" t="s">
        <v>744</v>
      </c>
      <c r="B713" t="str">
        <f>VLOOKUP(Customer_Names!A713,Customer_Names!$1:$1048576,4,FALSE)</f>
        <v>Kristin P.</v>
      </c>
      <c r="C713">
        <f>VLOOKUP(Medical_Examinations_2[[#This Row],[Customer ID]],Medical_Examinations!$1:$1048576,2,FALSE)</f>
        <v>39.1</v>
      </c>
      <c r="D713">
        <f>VLOOKUP(Medical_Examinations_2[[#This Row],[Customer ID]],Medical_Examinations!$1:$1048576,4,FALSE)</f>
        <v>6.79</v>
      </c>
      <c r="E713" t="str">
        <f>VLOOKUP(Medical_Examinations_2[[#This Row],[Customer ID]],Medical_Examinations!$1:$1048576,6,FALSE)</f>
        <v>Yes</v>
      </c>
      <c r="H713">
        <f>VLOOKUP(Medical_Examinations_2[[#This Row],[Customer ID]],Medical_Examinations!$1:$1048576,9,FALSE)</f>
        <v>2</v>
      </c>
      <c r="I713" t="str">
        <f>VLOOKUP(Medical_Examinations_2[[#This Row],[Customer ID]],Medical_Examinations!$1:$1048576,11,FALSE)</f>
        <v>No</v>
      </c>
    </row>
    <row r="714" spans="1:9" x14ac:dyDescent="0.25">
      <c r="A714" s="10" t="s">
        <v>745</v>
      </c>
      <c r="B714" t="str">
        <f>VLOOKUP(Customer_Names!A714,Customer_Names!$1:$1048576,4,FALSE)</f>
        <v>Albert</v>
      </c>
      <c r="C714">
        <f>VLOOKUP(Medical_Examinations_2[[#This Row],[Customer ID]],Medical_Examinations!$1:$1048576,2,FALSE)</f>
        <v>37.905000000000001</v>
      </c>
      <c r="D714">
        <f>VLOOKUP(Medical_Examinations_2[[#This Row],[Customer ID]],Medical_Examinations!$1:$1048576,4,FALSE)</f>
        <v>7.03</v>
      </c>
      <c r="E714" t="str">
        <f>VLOOKUP(Medical_Examinations_2[[#This Row],[Customer ID]],Medical_Examinations!$1:$1048576,6,FALSE)</f>
        <v>No</v>
      </c>
      <c r="H714">
        <f>VLOOKUP(Medical_Examinations_2[[#This Row],[Customer ID]],Medical_Examinations!$1:$1048576,9,FALSE)</f>
        <v>3</v>
      </c>
      <c r="I714" t="str">
        <f>VLOOKUP(Medical_Examinations_2[[#This Row],[Customer ID]],Medical_Examinations!$1:$1048576,11,FALSE)</f>
        <v>No</v>
      </c>
    </row>
    <row r="715" spans="1:9" x14ac:dyDescent="0.25">
      <c r="A715" s="11" t="s">
        <v>746</v>
      </c>
      <c r="B715" t="str">
        <f>VLOOKUP(Customer_Names!A715,Customer_Names!$1:$1048576,4,FALSE)</f>
        <v>Ashley</v>
      </c>
      <c r="C715">
        <f>VLOOKUP(Medical_Examinations_2[[#This Row],[Customer ID]],Medical_Examinations!$1:$1048576,2,FALSE)</f>
        <v>43.35</v>
      </c>
      <c r="D715">
        <f>VLOOKUP(Medical_Examinations_2[[#This Row],[Customer ID]],Medical_Examinations!$1:$1048576,4,FALSE)</f>
        <v>5.41</v>
      </c>
      <c r="E715" t="str">
        <f>VLOOKUP(Medical_Examinations_2[[#This Row],[Customer ID]],Medical_Examinations!$1:$1048576,6,FALSE)</f>
        <v>Yes</v>
      </c>
      <c r="H715">
        <f>VLOOKUP(Medical_Examinations_2[[#This Row],[Customer ID]],Medical_Examinations!$1:$1048576,9,FALSE)</f>
        <v>1</v>
      </c>
      <c r="I715" t="str">
        <f>VLOOKUP(Medical_Examinations_2[[#This Row],[Customer ID]],Medical_Examinations!$1:$1048576,11,FALSE)</f>
        <v>No</v>
      </c>
    </row>
    <row r="716" spans="1:9" x14ac:dyDescent="0.25">
      <c r="A716" s="10" t="s">
        <v>747</v>
      </c>
      <c r="B716" t="str">
        <f>VLOOKUP(Customer_Names!A716,Customer_Names!$1:$1048576,4,FALSE)</f>
        <v>Shannon L</v>
      </c>
      <c r="C716">
        <f>VLOOKUP(Medical_Examinations_2[[#This Row],[Customer ID]],Medical_Examinations!$1:$1048576,2,FALSE)</f>
        <v>36.15</v>
      </c>
      <c r="D716">
        <f>VLOOKUP(Medical_Examinations_2[[#This Row],[Customer ID]],Medical_Examinations!$1:$1048576,4,FALSE)</f>
        <v>8.0500000000000007</v>
      </c>
      <c r="E716" t="str">
        <f>VLOOKUP(Medical_Examinations_2[[#This Row],[Customer ID]],Medical_Examinations!$1:$1048576,6,FALSE)</f>
        <v>No</v>
      </c>
      <c r="H716" t="str">
        <f>VLOOKUP(Medical_Examinations_2[[#This Row],[Customer ID]],Medical_Examinations!$1:$1048576,9,FALSE)</f>
        <v>No major surgery</v>
      </c>
      <c r="I716" t="str">
        <f>VLOOKUP(Medical_Examinations_2[[#This Row],[Customer ID]],Medical_Examinations!$1:$1048576,11,FALSE)</f>
        <v>No</v>
      </c>
    </row>
    <row r="717" spans="1:9" x14ac:dyDescent="0.25">
      <c r="A717" s="11" t="s">
        <v>748</v>
      </c>
      <c r="B717" t="str">
        <f>VLOOKUP(Customer_Names!A717,Customer_Names!$1:$1048576,4,FALSE)</f>
        <v>Amy B</v>
      </c>
      <c r="C717">
        <f>VLOOKUP(Medical_Examinations_2[[#This Row],[Customer ID]],Medical_Examinations!$1:$1048576,2,FALSE)</f>
        <v>44.98</v>
      </c>
      <c r="D717">
        <f>VLOOKUP(Medical_Examinations_2[[#This Row],[Customer ID]],Medical_Examinations!$1:$1048576,4,FALSE)</f>
        <v>5.94</v>
      </c>
      <c r="E717" t="str">
        <f>VLOOKUP(Medical_Examinations_2[[#This Row],[Customer ID]],Medical_Examinations!$1:$1048576,6,FALSE)</f>
        <v>No</v>
      </c>
      <c r="H717">
        <f>VLOOKUP(Medical_Examinations_2[[#This Row],[Customer ID]],Medical_Examinations!$1:$1048576,9,FALSE)</f>
        <v>1</v>
      </c>
      <c r="I717" t="str">
        <f>VLOOKUP(Medical_Examinations_2[[#This Row],[Customer ID]],Medical_Examinations!$1:$1048576,11,FALSE)</f>
        <v>No</v>
      </c>
    </row>
    <row r="718" spans="1:9" x14ac:dyDescent="0.25">
      <c r="A718" s="10" t="s">
        <v>749</v>
      </c>
      <c r="B718" t="str">
        <f>VLOOKUP(Customer_Names!A718,Customer_Names!$1:$1048576,4,FALSE)</f>
        <v>A Danielle</v>
      </c>
      <c r="C718">
        <f>VLOOKUP(Medical_Examinations_2[[#This Row],[Customer ID]],Medical_Examinations!$1:$1048576,2,FALSE)</f>
        <v>38.28</v>
      </c>
      <c r="D718">
        <f>VLOOKUP(Medical_Examinations_2[[#This Row],[Customer ID]],Medical_Examinations!$1:$1048576,4,FALSE)</f>
        <v>5.51</v>
      </c>
      <c r="E718" t="str">
        <f>VLOOKUP(Medical_Examinations_2[[#This Row],[Customer ID]],Medical_Examinations!$1:$1048576,6,FALSE)</f>
        <v>No</v>
      </c>
      <c r="H718">
        <f>VLOOKUP(Medical_Examinations_2[[#This Row],[Customer ID]],Medical_Examinations!$1:$1048576,9,FALSE)</f>
        <v>1</v>
      </c>
      <c r="I718" t="str">
        <f>VLOOKUP(Medical_Examinations_2[[#This Row],[Customer ID]],Medical_Examinations!$1:$1048576,11,FALSE)</f>
        <v>No</v>
      </c>
    </row>
    <row r="719" spans="1:9" x14ac:dyDescent="0.25">
      <c r="A719" s="11" t="s">
        <v>750</v>
      </c>
      <c r="B719" t="str">
        <f>VLOOKUP(Customer_Names!A719,Customer_Names!$1:$1048576,4,FALSE)</f>
        <v>Conrad F</v>
      </c>
      <c r="C719">
        <f>VLOOKUP(Medical_Examinations_2[[#This Row],[Customer ID]],Medical_Examinations!$1:$1048576,2,FALSE)</f>
        <v>32.299999999999997</v>
      </c>
      <c r="D719">
        <f>VLOOKUP(Medical_Examinations_2[[#This Row],[Customer ID]],Medical_Examinations!$1:$1048576,4,FALSE)</f>
        <v>6.55</v>
      </c>
      <c r="E719" t="str">
        <f>VLOOKUP(Medical_Examinations_2[[#This Row],[Customer ID]],Medical_Examinations!$1:$1048576,6,FALSE)</f>
        <v>Yes</v>
      </c>
      <c r="H719">
        <f>VLOOKUP(Medical_Examinations_2[[#This Row],[Customer ID]],Medical_Examinations!$1:$1048576,9,FALSE)</f>
        <v>2</v>
      </c>
      <c r="I719" t="str">
        <f>VLOOKUP(Medical_Examinations_2[[#This Row],[Customer ID]],Medical_Examinations!$1:$1048576,11,FALSE)</f>
        <v>No</v>
      </c>
    </row>
    <row r="720" spans="1:9" x14ac:dyDescent="0.25">
      <c r="A720" s="10" t="s">
        <v>751</v>
      </c>
      <c r="B720" t="str">
        <f>VLOOKUP(Customer_Names!A720,Customer_Names!$1:$1048576,4,FALSE)</f>
        <v>Josh</v>
      </c>
      <c r="C720">
        <f>VLOOKUP(Medical_Examinations_2[[#This Row],[Customer ID]],Medical_Examinations!$1:$1048576,2,FALSE)</f>
        <v>39.51</v>
      </c>
      <c r="D720">
        <f>VLOOKUP(Medical_Examinations_2[[#This Row],[Customer ID]],Medical_Examinations!$1:$1048576,4,FALSE)</f>
        <v>5.79</v>
      </c>
      <c r="E720" t="str">
        <f>VLOOKUP(Medical_Examinations_2[[#This Row],[Customer ID]],Medical_Examinations!$1:$1048576,6,FALSE)</f>
        <v>Yes</v>
      </c>
      <c r="H720" t="str">
        <f>VLOOKUP(Medical_Examinations_2[[#This Row],[Customer ID]],Medical_Examinations!$1:$1048576,9,FALSE)</f>
        <v>No major surgery</v>
      </c>
      <c r="I720" t="str">
        <f>VLOOKUP(Medical_Examinations_2[[#This Row],[Customer ID]],Medical_Examinations!$1:$1048576,11,FALSE)</f>
        <v>No</v>
      </c>
    </row>
    <row r="721" spans="1:9" x14ac:dyDescent="0.25">
      <c r="A721" s="11" t="s">
        <v>752</v>
      </c>
      <c r="B721" t="str">
        <f>VLOOKUP(Customer_Names!A721,Customer_Names!$1:$1048576,4,FALSE)</f>
        <v>Maxime</v>
      </c>
      <c r="C721">
        <f>VLOOKUP(Medical_Examinations_2[[#This Row],[Customer ID]],Medical_Examinations!$1:$1048576,2,FALSE)</f>
        <v>50.46</v>
      </c>
      <c r="D721">
        <f>VLOOKUP(Medical_Examinations_2[[#This Row],[Customer ID]],Medical_Examinations!$1:$1048576,4,FALSE)</f>
        <v>4.5599999999999996</v>
      </c>
      <c r="E721" t="str">
        <f>VLOOKUP(Medical_Examinations_2[[#This Row],[Customer ID]],Medical_Examinations!$1:$1048576,6,FALSE)</f>
        <v>No</v>
      </c>
      <c r="H721" t="str">
        <f>VLOOKUP(Medical_Examinations_2[[#This Row],[Customer ID]],Medical_Examinations!$1:$1048576,9,FALSE)</f>
        <v>No major surgery</v>
      </c>
      <c r="I721" t="str">
        <f>VLOOKUP(Medical_Examinations_2[[#This Row],[Customer ID]],Medical_Examinations!$1:$1048576,11,FALSE)</f>
        <v>No</v>
      </c>
    </row>
    <row r="722" spans="1:9" x14ac:dyDescent="0.25">
      <c r="A722" s="10" t="s">
        <v>753</v>
      </c>
      <c r="B722" t="str">
        <f>VLOOKUP(Customer_Names!A722,Customer_Names!$1:$1048576,4,FALSE)</f>
        <v>Natalie</v>
      </c>
      <c r="C722">
        <f>VLOOKUP(Medical_Examinations_2[[#This Row],[Customer ID]],Medical_Examinations!$1:$1048576,2,FALSE)</f>
        <v>31.73</v>
      </c>
      <c r="D722">
        <f>VLOOKUP(Medical_Examinations_2[[#This Row],[Customer ID]],Medical_Examinations!$1:$1048576,4,FALSE)</f>
        <v>7</v>
      </c>
      <c r="E722" t="str">
        <f>VLOOKUP(Medical_Examinations_2[[#This Row],[Customer ID]],Medical_Examinations!$1:$1048576,6,FALSE)</f>
        <v>No</v>
      </c>
      <c r="H722" t="str">
        <f>VLOOKUP(Medical_Examinations_2[[#This Row],[Customer ID]],Medical_Examinations!$1:$1048576,9,FALSE)</f>
        <v>No major surgery</v>
      </c>
      <c r="I722" t="str">
        <f>VLOOKUP(Medical_Examinations_2[[#This Row],[Customer ID]],Medical_Examinations!$1:$1048576,11,FALSE)</f>
        <v>No</v>
      </c>
    </row>
    <row r="723" spans="1:9" x14ac:dyDescent="0.25">
      <c r="A723" s="11" t="s">
        <v>754</v>
      </c>
      <c r="B723" t="str">
        <f>VLOOKUP(Customer_Names!A723,Customer_Names!$1:$1048576,4,FALSE)</f>
        <v>Melissa</v>
      </c>
      <c r="C723">
        <f>VLOOKUP(Medical_Examinations_2[[#This Row],[Customer ID]],Medical_Examinations!$1:$1048576,2,FALSE)</f>
        <v>32.1</v>
      </c>
      <c r="D723">
        <f>VLOOKUP(Medical_Examinations_2[[#This Row],[Customer ID]],Medical_Examinations!$1:$1048576,4,FALSE)</f>
        <v>6.57</v>
      </c>
      <c r="E723" t="str">
        <f>VLOOKUP(Medical_Examinations_2[[#This Row],[Customer ID]],Medical_Examinations!$1:$1048576,6,FALSE)</f>
        <v>Yes</v>
      </c>
      <c r="H723">
        <f>VLOOKUP(Medical_Examinations_2[[#This Row],[Customer ID]],Medical_Examinations!$1:$1048576,9,FALSE)</f>
        <v>1</v>
      </c>
      <c r="I723" t="str">
        <f>VLOOKUP(Medical_Examinations_2[[#This Row],[Customer ID]],Medical_Examinations!$1:$1048576,11,FALSE)</f>
        <v>No</v>
      </c>
    </row>
    <row r="724" spans="1:9" x14ac:dyDescent="0.25">
      <c r="A724" s="10" t="s">
        <v>755</v>
      </c>
      <c r="B724" t="str">
        <f>VLOOKUP(Customer_Names!A724,Customer_Names!$1:$1048576,4,FALSE)</f>
        <v>Laura P.</v>
      </c>
      <c r="C724">
        <f>VLOOKUP(Medical_Examinations_2[[#This Row],[Customer ID]],Medical_Examinations!$1:$1048576,2,FALSE)</f>
        <v>27.83</v>
      </c>
      <c r="D724">
        <f>VLOOKUP(Medical_Examinations_2[[#This Row],[Customer ID]],Medical_Examinations!$1:$1048576,4,FALSE)</f>
        <v>11.61</v>
      </c>
      <c r="E724" t="str">
        <f>VLOOKUP(Medical_Examinations_2[[#This Row],[Customer ID]],Medical_Examinations!$1:$1048576,6,FALSE)</f>
        <v>Yes</v>
      </c>
      <c r="H724">
        <f>VLOOKUP(Medical_Examinations_2[[#This Row],[Customer ID]],Medical_Examinations!$1:$1048576,9,FALSE)</f>
        <v>1</v>
      </c>
      <c r="I724" t="str">
        <f>VLOOKUP(Medical_Examinations_2[[#This Row],[Customer ID]],Medical_Examinations!$1:$1048576,11,FALSE)</f>
        <v>No</v>
      </c>
    </row>
    <row r="725" spans="1:9" x14ac:dyDescent="0.25">
      <c r="A725" s="11" t="s">
        <v>756</v>
      </c>
      <c r="B725" t="str">
        <f>VLOOKUP(Customer_Names!A725,Customer_Names!$1:$1048576,4,FALSE)</f>
        <v>Lisa</v>
      </c>
      <c r="C725">
        <f>VLOOKUP(Medical_Examinations_2[[#This Row],[Customer ID]],Medical_Examinations!$1:$1048576,2,FALSE)</f>
        <v>27.72</v>
      </c>
      <c r="D725">
        <f>VLOOKUP(Medical_Examinations_2[[#This Row],[Customer ID]],Medical_Examinations!$1:$1048576,4,FALSE)</f>
        <v>8.16</v>
      </c>
      <c r="E725" t="str">
        <f>VLOOKUP(Medical_Examinations_2[[#This Row],[Customer ID]],Medical_Examinations!$1:$1048576,6,FALSE)</f>
        <v>Yes</v>
      </c>
      <c r="H725">
        <f>VLOOKUP(Medical_Examinations_2[[#This Row],[Customer ID]],Medical_Examinations!$1:$1048576,9,FALSE)</f>
        <v>1</v>
      </c>
      <c r="I725" t="str">
        <f>VLOOKUP(Medical_Examinations_2[[#This Row],[Customer ID]],Medical_Examinations!$1:$1048576,11,FALSE)</f>
        <v>No</v>
      </c>
    </row>
    <row r="726" spans="1:9" x14ac:dyDescent="0.25">
      <c r="A726" s="10" t="s">
        <v>757</v>
      </c>
      <c r="B726" t="str">
        <f>VLOOKUP(Customer_Names!A726,Customer_Names!$1:$1048576,4,FALSE)</f>
        <v>William D. Jr.</v>
      </c>
      <c r="C726">
        <f>VLOOKUP(Medical_Examinations_2[[#This Row],[Customer ID]],Medical_Examinations!$1:$1048576,2,FALSE)</f>
        <v>36.765000000000001</v>
      </c>
      <c r="D726">
        <f>VLOOKUP(Medical_Examinations_2[[#This Row],[Customer ID]],Medical_Examinations!$1:$1048576,4,FALSE)</f>
        <v>4.4800000000000004</v>
      </c>
      <c r="E726" t="str">
        <f>VLOOKUP(Medical_Examinations_2[[#This Row],[Customer ID]],Medical_Examinations!$1:$1048576,6,FALSE)</f>
        <v>Yes</v>
      </c>
      <c r="H726">
        <f>VLOOKUP(Medical_Examinations_2[[#This Row],[Customer ID]],Medical_Examinations!$1:$1048576,9,FALSE)</f>
        <v>2</v>
      </c>
      <c r="I726" t="str">
        <f>VLOOKUP(Medical_Examinations_2[[#This Row],[Customer ID]],Medical_Examinations!$1:$1048576,11,FALSE)</f>
        <v>No</v>
      </c>
    </row>
    <row r="727" spans="1:9" x14ac:dyDescent="0.25">
      <c r="A727" s="11" t="s">
        <v>758</v>
      </c>
      <c r="B727" t="str">
        <f>VLOOKUP(Customer_Names!A727,Customer_Names!$1:$1048576,4,FALSE)</f>
        <v>James</v>
      </c>
      <c r="C727">
        <f>VLOOKUP(Medical_Examinations_2[[#This Row],[Customer ID]],Medical_Examinations!$1:$1048576,2,FALSE)</f>
        <v>48.36</v>
      </c>
      <c r="D727">
        <f>VLOOKUP(Medical_Examinations_2[[#This Row],[Customer ID]],Medical_Examinations!$1:$1048576,4,FALSE)</f>
        <v>4.08</v>
      </c>
      <c r="E727" t="str">
        <f>VLOOKUP(Medical_Examinations_2[[#This Row],[Customer ID]],Medical_Examinations!$1:$1048576,6,FALSE)</f>
        <v>No</v>
      </c>
      <c r="H727" t="str">
        <f>VLOOKUP(Medical_Examinations_2[[#This Row],[Customer ID]],Medical_Examinations!$1:$1048576,9,FALSE)</f>
        <v>No major surgery</v>
      </c>
      <c r="I727" t="str">
        <f>VLOOKUP(Medical_Examinations_2[[#This Row],[Customer ID]],Medical_Examinations!$1:$1048576,11,FALSE)</f>
        <v>No</v>
      </c>
    </row>
    <row r="728" spans="1:9" x14ac:dyDescent="0.25">
      <c r="A728" s="10" t="s">
        <v>759</v>
      </c>
      <c r="B728" t="str">
        <f>VLOOKUP(Customer_Names!A728,Customer_Names!$1:$1048576,4,FALSE)</f>
        <v>John</v>
      </c>
      <c r="C728">
        <f>VLOOKUP(Medical_Examinations_2[[#This Row],[Customer ID]],Medical_Examinations!$1:$1048576,2,FALSE)</f>
        <v>31.445</v>
      </c>
      <c r="D728">
        <f>VLOOKUP(Medical_Examinations_2[[#This Row],[Customer ID]],Medical_Examinations!$1:$1048576,4,FALSE)</f>
        <v>4.4000000000000004</v>
      </c>
      <c r="E728" t="str">
        <f>VLOOKUP(Medical_Examinations_2[[#This Row],[Customer ID]],Medical_Examinations!$1:$1048576,6,FALSE)</f>
        <v>Yes</v>
      </c>
      <c r="H728">
        <f>VLOOKUP(Medical_Examinations_2[[#This Row],[Customer ID]],Medical_Examinations!$1:$1048576,9,FALSE)</f>
        <v>2</v>
      </c>
      <c r="I728" t="str">
        <f>VLOOKUP(Medical_Examinations_2[[#This Row],[Customer ID]],Medical_Examinations!$1:$1048576,11,FALSE)</f>
        <v>No</v>
      </c>
    </row>
    <row r="729" spans="1:9" x14ac:dyDescent="0.25">
      <c r="A729" s="11" t="s">
        <v>760</v>
      </c>
      <c r="B729" t="str">
        <f>VLOOKUP(Customer_Names!A729,Customer_Names!$1:$1048576,4,FALSE)</f>
        <v>Adam S</v>
      </c>
      <c r="C729">
        <f>VLOOKUP(Medical_Examinations_2[[#This Row],[Customer ID]],Medical_Examinations!$1:$1048576,2,FALSE)</f>
        <v>27.55</v>
      </c>
      <c r="D729">
        <f>VLOOKUP(Medical_Examinations_2[[#This Row],[Customer ID]],Medical_Examinations!$1:$1048576,4,FALSE)</f>
        <v>9.02</v>
      </c>
      <c r="E729" t="str">
        <f>VLOOKUP(Medical_Examinations_2[[#This Row],[Customer ID]],Medical_Examinations!$1:$1048576,6,FALSE)</f>
        <v>No</v>
      </c>
      <c r="H729" t="str">
        <f>VLOOKUP(Medical_Examinations_2[[#This Row],[Customer ID]],Medical_Examinations!$1:$1048576,9,FALSE)</f>
        <v>No major surgery</v>
      </c>
      <c r="I729" t="str">
        <f>VLOOKUP(Medical_Examinations_2[[#This Row],[Customer ID]],Medical_Examinations!$1:$1048576,11,FALSE)</f>
        <v>No</v>
      </c>
    </row>
    <row r="730" spans="1:9" x14ac:dyDescent="0.25">
      <c r="A730" s="10" t="s">
        <v>761</v>
      </c>
      <c r="B730" t="str">
        <f>VLOOKUP(Customer_Names!A730,Customer_Names!$1:$1048576,4,FALSE)</f>
        <v>Armando</v>
      </c>
      <c r="C730">
        <f>VLOOKUP(Medical_Examinations_2[[#This Row],[Customer ID]],Medical_Examinations!$1:$1048576,2,FALSE)</f>
        <v>33.11</v>
      </c>
      <c r="D730">
        <f>VLOOKUP(Medical_Examinations_2[[#This Row],[Customer ID]],Medical_Examinations!$1:$1048576,4,FALSE)</f>
        <v>8.06</v>
      </c>
      <c r="E730" t="str">
        <f>VLOOKUP(Medical_Examinations_2[[#This Row],[Customer ID]],Medical_Examinations!$1:$1048576,6,FALSE)</f>
        <v>No</v>
      </c>
      <c r="H730" t="str">
        <f>VLOOKUP(Medical_Examinations_2[[#This Row],[Customer ID]],Medical_Examinations!$1:$1048576,9,FALSE)</f>
        <v>No major surgery</v>
      </c>
      <c r="I730" t="str">
        <f>VLOOKUP(Medical_Examinations_2[[#This Row],[Customer ID]],Medical_Examinations!$1:$1048576,11,FALSE)</f>
        <v>No</v>
      </c>
    </row>
    <row r="731" spans="1:9" x14ac:dyDescent="0.25">
      <c r="A731" s="11" t="s">
        <v>762</v>
      </c>
      <c r="B731" t="str">
        <f>VLOOKUP(Customer_Names!A731,Customer_Names!$1:$1048576,4,FALSE)</f>
        <v>Ms.  Dana</v>
      </c>
      <c r="C731">
        <f>VLOOKUP(Medical_Examinations_2[[#This Row],[Customer ID]],Medical_Examinations!$1:$1048576,2,FALSE)</f>
        <v>36.85</v>
      </c>
      <c r="D731">
        <f>VLOOKUP(Medical_Examinations_2[[#This Row],[Customer ID]],Medical_Examinations!$1:$1048576,4,FALSE)</f>
        <v>6.21</v>
      </c>
      <c r="E731" t="str">
        <f>VLOOKUP(Medical_Examinations_2[[#This Row],[Customer ID]],Medical_Examinations!$1:$1048576,6,FALSE)</f>
        <v>Yes</v>
      </c>
      <c r="H731">
        <f>VLOOKUP(Medical_Examinations_2[[#This Row],[Customer ID]],Medical_Examinations!$1:$1048576,9,FALSE)</f>
        <v>2</v>
      </c>
      <c r="I731" t="str">
        <f>VLOOKUP(Medical_Examinations_2[[#This Row],[Customer ID]],Medical_Examinations!$1:$1048576,11,FALSE)</f>
        <v>No</v>
      </c>
    </row>
    <row r="732" spans="1:9" x14ac:dyDescent="0.25">
      <c r="A732" s="10" t="s">
        <v>763</v>
      </c>
      <c r="B732" t="str">
        <f>VLOOKUP(Customer_Names!A732,Customer_Names!$1:$1048576,4,FALSE)</f>
        <v>Jennifer L</v>
      </c>
      <c r="C732">
        <f>VLOOKUP(Medical_Examinations_2[[#This Row],[Customer ID]],Medical_Examinations!$1:$1048576,2,FALSE)</f>
        <v>36.299999999999997</v>
      </c>
      <c r="D732">
        <f>VLOOKUP(Medical_Examinations_2[[#This Row],[Customer ID]],Medical_Examinations!$1:$1048576,4,FALSE)</f>
        <v>5.79</v>
      </c>
      <c r="E732" t="str">
        <f>VLOOKUP(Medical_Examinations_2[[#This Row],[Customer ID]],Medical_Examinations!$1:$1048576,6,FALSE)</f>
        <v>Yes</v>
      </c>
      <c r="H732">
        <f>VLOOKUP(Medical_Examinations_2[[#This Row],[Customer ID]],Medical_Examinations!$1:$1048576,9,FALSE)</f>
        <v>2</v>
      </c>
      <c r="I732" t="str">
        <f>VLOOKUP(Medical_Examinations_2[[#This Row],[Customer ID]],Medical_Examinations!$1:$1048576,11,FALSE)</f>
        <v>No</v>
      </c>
    </row>
    <row r="733" spans="1:9" x14ac:dyDescent="0.25">
      <c r="A733" s="11" t="s">
        <v>30</v>
      </c>
      <c r="B733" t="str">
        <f>VLOOKUP(Customer_Names!A733,Customer_Names!$1:$1048576,4,FALSE)</f>
        <v>Benjamin</v>
      </c>
      <c r="C733">
        <f>VLOOKUP(Medical_Examinations_2[[#This Row],[Customer ID]],Medical_Examinations!$1:$1048576,2,FALSE)</f>
        <v>45.34</v>
      </c>
      <c r="D733">
        <f>VLOOKUP(Medical_Examinations_2[[#This Row],[Customer ID]],Medical_Examinations!$1:$1048576,4,FALSE)</f>
        <v>5.69</v>
      </c>
      <c r="E733" t="str">
        <f>VLOOKUP(Medical_Examinations_2[[#This Row],[Customer ID]],Medical_Examinations!$1:$1048576,6,FALSE)</f>
        <v>Yes</v>
      </c>
      <c r="H733" t="str">
        <f>VLOOKUP(Medical_Examinations_2[[#This Row],[Customer ID]],Medical_Examinations!$1:$1048576,9,FALSE)</f>
        <v>No major surgery</v>
      </c>
      <c r="I733" t="str">
        <f>VLOOKUP(Medical_Examinations_2[[#This Row],[Customer ID]],Medical_Examinations!$1:$1048576,11,FALSE)</f>
        <v>No</v>
      </c>
    </row>
    <row r="734" spans="1:9" x14ac:dyDescent="0.25">
      <c r="A734" s="10" t="s">
        <v>764</v>
      </c>
      <c r="B734" t="str">
        <f>VLOOKUP(Customer_Names!A734,Customer_Names!$1:$1048576,4,FALSE)</f>
        <v>Tanya</v>
      </c>
      <c r="C734">
        <f>VLOOKUP(Medical_Examinations_2[[#This Row],[Customer ID]],Medical_Examinations!$1:$1048576,2,FALSE)</f>
        <v>31.8</v>
      </c>
      <c r="D734">
        <f>VLOOKUP(Medical_Examinations_2[[#This Row],[Customer ID]],Medical_Examinations!$1:$1048576,4,FALSE)</f>
        <v>5.36</v>
      </c>
      <c r="E734" t="str">
        <f>VLOOKUP(Medical_Examinations_2[[#This Row],[Customer ID]],Medical_Examinations!$1:$1048576,6,FALSE)</f>
        <v>Yes</v>
      </c>
      <c r="H734">
        <f>VLOOKUP(Medical_Examinations_2[[#This Row],[Customer ID]],Medical_Examinations!$1:$1048576,9,FALSE)</f>
        <v>2</v>
      </c>
      <c r="I734" t="str">
        <f>VLOOKUP(Medical_Examinations_2[[#This Row],[Customer ID]],Medical_Examinations!$1:$1048576,11,FALSE)</f>
        <v>No</v>
      </c>
    </row>
    <row r="735" spans="1:9" x14ac:dyDescent="0.25">
      <c r="A735" s="11" t="s">
        <v>765</v>
      </c>
      <c r="B735" t="str">
        <f>VLOOKUP(Customer_Names!A735,Customer_Names!$1:$1048576,4,FALSE)</f>
        <v>Tracy</v>
      </c>
      <c r="C735">
        <f>VLOOKUP(Medical_Examinations_2[[#This Row],[Customer ID]],Medical_Examinations!$1:$1048576,2,FALSE)</f>
        <v>41.02</v>
      </c>
      <c r="D735">
        <f>VLOOKUP(Medical_Examinations_2[[#This Row],[Customer ID]],Medical_Examinations!$1:$1048576,4,FALSE)</f>
        <v>11.37</v>
      </c>
      <c r="E735" t="str">
        <f>VLOOKUP(Medical_Examinations_2[[#This Row],[Customer ID]],Medical_Examinations!$1:$1048576,6,FALSE)</f>
        <v>No</v>
      </c>
      <c r="H735" t="str">
        <f>VLOOKUP(Medical_Examinations_2[[#This Row],[Customer ID]],Medical_Examinations!$1:$1048576,9,FALSE)</f>
        <v>No major surgery</v>
      </c>
      <c r="I735" t="str">
        <f>VLOOKUP(Medical_Examinations_2[[#This Row],[Customer ID]],Medical_Examinations!$1:$1048576,11,FALSE)</f>
        <v>No</v>
      </c>
    </row>
    <row r="736" spans="1:9" x14ac:dyDescent="0.25">
      <c r="A736" s="10" t="s">
        <v>766</v>
      </c>
      <c r="B736" t="str">
        <f>VLOOKUP(Customer_Names!A736,Customer_Names!$1:$1048576,4,FALSE)</f>
        <v>Emily S</v>
      </c>
      <c r="C736">
        <f>VLOOKUP(Medical_Examinations_2[[#This Row],[Customer ID]],Medical_Examinations!$1:$1048576,2,FALSE)</f>
        <v>32.68</v>
      </c>
      <c r="D736">
        <f>VLOOKUP(Medical_Examinations_2[[#This Row],[Customer ID]],Medical_Examinations!$1:$1048576,4,FALSE)</f>
        <v>11.87</v>
      </c>
      <c r="E736" t="str">
        <f>VLOOKUP(Medical_Examinations_2[[#This Row],[Customer ID]],Medical_Examinations!$1:$1048576,6,FALSE)</f>
        <v>No</v>
      </c>
      <c r="H736" t="str">
        <f>VLOOKUP(Medical_Examinations_2[[#This Row],[Customer ID]],Medical_Examinations!$1:$1048576,9,FALSE)</f>
        <v>No major surgery</v>
      </c>
      <c r="I736" t="str">
        <f>VLOOKUP(Medical_Examinations_2[[#This Row],[Customer ID]],Medical_Examinations!$1:$1048576,11,FALSE)</f>
        <v>No</v>
      </c>
    </row>
    <row r="737" spans="1:9" x14ac:dyDescent="0.25">
      <c r="A737" s="11" t="s">
        <v>767</v>
      </c>
      <c r="B737" t="str">
        <f>VLOOKUP(Customer_Names!A737,Customer_Names!$1:$1048576,4,FALSE)</f>
        <v>Kelly R</v>
      </c>
      <c r="C737">
        <f>VLOOKUP(Medical_Examinations_2[[#This Row],[Customer ID]],Medical_Examinations!$1:$1048576,2,FALSE)</f>
        <v>21.7</v>
      </c>
      <c r="D737">
        <f>VLOOKUP(Medical_Examinations_2[[#This Row],[Customer ID]],Medical_Examinations!$1:$1048576,4,FALSE)</f>
        <v>4.9000000000000004</v>
      </c>
      <c r="E737" t="str">
        <f>VLOOKUP(Medical_Examinations_2[[#This Row],[Customer ID]],Medical_Examinations!$1:$1048576,6,FALSE)</f>
        <v>No</v>
      </c>
      <c r="H737">
        <f>VLOOKUP(Medical_Examinations_2[[#This Row],[Customer ID]],Medical_Examinations!$1:$1048576,9,FALSE)</f>
        <v>1</v>
      </c>
      <c r="I737" t="str">
        <f>VLOOKUP(Medical_Examinations_2[[#This Row],[Customer ID]],Medical_Examinations!$1:$1048576,11,FALSE)</f>
        <v>Yes</v>
      </c>
    </row>
    <row r="738" spans="1:9" x14ac:dyDescent="0.25">
      <c r="A738" s="10" t="s">
        <v>768</v>
      </c>
      <c r="B738" t="str">
        <f>VLOOKUP(Customer_Names!A738,Customer_Names!$1:$1048576,4,FALSE)</f>
        <v>Kyle</v>
      </c>
      <c r="C738">
        <f>VLOOKUP(Medical_Examinations_2[[#This Row],[Customer ID]],Medical_Examinations!$1:$1048576,2,FALSE)</f>
        <v>40.479999999999997</v>
      </c>
      <c r="D738">
        <f>VLOOKUP(Medical_Examinations_2[[#This Row],[Customer ID]],Medical_Examinations!$1:$1048576,4,FALSE)</f>
        <v>6.7</v>
      </c>
      <c r="E738" t="str">
        <f>VLOOKUP(Medical_Examinations_2[[#This Row],[Customer ID]],Medical_Examinations!$1:$1048576,6,FALSE)</f>
        <v>No</v>
      </c>
      <c r="H738">
        <f>VLOOKUP(Medical_Examinations_2[[#This Row],[Customer ID]],Medical_Examinations!$1:$1048576,9,FALSE)</f>
        <v>3</v>
      </c>
      <c r="I738" t="str">
        <f>VLOOKUP(Medical_Examinations_2[[#This Row],[Customer ID]],Medical_Examinations!$1:$1048576,11,FALSE)</f>
        <v>No</v>
      </c>
    </row>
    <row r="739" spans="1:9" x14ac:dyDescent="0.25">
      <c r="A739" s="11" t="s">
        <v>769</v>
      </c>
      <c r="B739" t="str">
        <f>VLOOKUP(Customer_Names!A739,Customer_Names!$1:$1048576,4,FALSE)</f>
        <v>Bruce A Jr.</v>
      </c>
      <c r="C739">
        <f>VLOOKUP(Medical_Examinations_2[[#This Row],[Customer ID]],Medical_Examinations!$1:$1048576,2,FALSE)</f>
        <v>34.5</v>
      </c>
      <c r="D739">
        <f>VLOOKUP(Medical_Examinations_2[[#This Row],[Customer ID]],Medical_Examinations!$1:$1048576,4,FALSE)</f>
        <v>10.3</v>
      </c>
      <c r="E739" t="str">
        <f>VLOOKUP(Medical_Examinations_2[[#This Row],[Customer ID]],Medical_Examinations!$1:$1048576,6,FALSE)</f>
        <v>No</v>
      </c>
      <c r="H739">
        <f>VLOOKUP(Medical_Examinations_2[[#This Row],[Customer ID]],Medical_Examinations!$1:$1048576,9,FALSE)</f>
        <v>3</v>
      </c>
      <c r="I739" t="str">
        <f>VLOOKUP(Medical_Examinations_2[[#This Row],[Customer ID]],Medical_Examinations!$1:$1048576,11,FALSE)</f>
        <v>No</v>
      </c>
    </row>
    <row r="740" spans="1:9" x14ac:dyDescent="0.25">
      <c r="A740" s="10" t="s">
        <v>770</v>
      </c>
      <c r="B740" t="str">
        <f>VLOOKUP(Customer_Names!A740,Customer_Names!$1:$1048576,4,FALSE)</f>
        <v>Cary J</v>
      </c>
      <c r="C740">
        <f>VLOOKUP(Medical_Examinations_2[[#This Row],[Customer ID]],Medical_Examinations!$1:$1048576,2,FALSE)</f>
        <v>45.9</v>
      </c>
      <c r="D740">
        <f>VLOOKUP(Medical_Examinations_2[[#This Row],[Customer ID]],Medical_Examinations!$1:$1048576,4,FALSE)</f>
        <v>11.14</v>
      </c>
      <c r="E740" t="str">
        <f>VLOOKUP(Medical_Examinations_2[[#This Row],[Customer ID]],Medical_Examinations!$1:$1048576,6,FALSE)</f>
        <v>Yes</v>
      </c>
      <c r="H740">
        <f>VLOOKUP(Medical_Examinations_2[[#This Row],[Customer ID]],Medical_Examinations!$1:$1048576,9,FALSE)</f>
        <v>1</v>
      </c>
      <c r="I740" t="str">
        <f>VLOOKUP(Medical_Examinations_2[[#This Row],[Customer ID]],Medical_Examinations!$1:$1048576,11,FALSE)</f>
        <v>No</v>
      </c>
    </row>
    <row r="741" spans="1:9" x14ac:dyDescent="0.25">
      <c r="A741" s="11" t="s">
        <v>771</v>
      </c>
      <c r="B741" t="str">
        <f>VLOOKUP(Customer_Names!A741,Customer_Names!$1:$1048576,4,FALSE)</f>
        <v>Jill M</v>
      </c>
      <c r="C741">
        <f>VLOOKUP(Medical_Examinations_2[[#This Row],[Customer ID]],Medical_Examinations!$1:$1048576,2,FALSE)</f>
        <v>33.479999999999997</v>
      </c>
      <c r="D741">
        <f>VLOOKUP(Medical_Examinations_2[[#This Row],[Customer ID]],Medical_Examinations!$1:$1048576,4,FALSE)</f>
        <v>4.74</v>
      </c>
      <c r="E741" t="str">
        <f>VLOOKUP(Medical_Examinations_2[[#This Row],[Customer ID]],Medical_Examinations!$1:$1048576,6,FALSE)</f>
        <v>Yes</v>
      </c>
      <c r="H741">
        <f>VLOOKUP(Medical_Examinations_2[[#This Row],[Customer ID]],Medical_Examinations!$1:$1048576,9,FALSE)</f>
        <v>2</v>
      </c>
      <c r="I741" t="str">
        <f>VLOOKUP(Medical_Examinations_2[[#This Row],[Customer ID]],Medical_Examinations!$1:$1048576,11,FALSE)</f>
        <v>No</v>
      </c>
    </row>
    <row r="742" spans="1:9" x14ac:dyDescent="0.25">
      <c r="A742" s="10" t="s">
        <v>772</v>
      </c>
      <c r="B742" t="str">
        <f>VLOOKUP(Customer_Names!A742,Customer_Names!$1:$1048576,4,FALSE)</f>
        <v>Chris</v>
      </c>
      <c r="C742">
        <f>VLOOKUP(Medical_Examinations_2[[#This Row],[Customer ID]],Medical_Examinations!$1:$1048576,2,FALSE)</f>
        <v>28.31</v>
      </c>
      <c r="D742">
        <f>VLOOKUP(Medical_Examinations_2[[#This Row],[Customer ID]],Medical_Examinations!$1:$1048576,4,FALSE)</f>
        <v>5.96</v>
      </c>
      <c r="E742" t="str">
        <f>VLOOKUP(Medical_Examinations_2[[#This Row],[Customer ID]],Medical_Examinations!$1:$1048576,6,FALSE)</f>
        <v>Yes</v>
      </c>
      <c r="H742">
        <f>VLOOKUP(Medical_Examinations_2[[#This Row],[Customer ID]],Medical_Examinations!$1:$1048576,9,FALSE)</f>
        <v>2</v>
      </c>
      <c r="I742" t="str">
        <f>VLOOKUP(Medical_Examinations_2[[#This Row],[Customer ID]],Medical_Examinations!$1:$1048576,11,FALSE)</f>
        <v>No</v>
      </c>
    </row>
    <row r="743" spans="1:9" x14ac:dyDescent="0.25">
      <c r="A743" s="11" t="s">
        <v>773</v>
      </c>
      <c r="B743" t="str">
        <f>VLOOKUP(Customer_Names!A743,Customer_Names!$1:$1048576,4,FALSE)</f>
        <v>Michael E.</v>
      </c>
      <c r="C743">
        <f>VLOOKUP(Medical_Examinations_2[[#This Row],[Customer ID]],Medical_Examinations!$1:$1048576,2,FALSE)</f>
        <v>21.565000000000001</v>
      </c>
      <c r="D743">
        <f>VLOOKUP(Medical_Examinations_2[[#This Row],[Customer ID]],Medical_Examinations!$1:$1048576,4,FALSE)</f>
        <v>4.95</v>
      </c>
      <c r="E743" t="str">
        <f>VLOOKUP(Medical_Examinations_2[[#This Row],[Customer ID]],Medical_Examinations!$1:$1048576,6,FALSE)</f>
        <v>No</v>
      </c>
      <c r="H743">
        <f>VLOOKUP(Medical_Examinations_2[[#This Row],[Customer ID]],Medical_Examinations!$1:$1048576,9,FALSE)</f>
        <v>1</v>
      </c>
      <c r="I743" t="str">
        <f>VLOOKUP(Medical_Examinations_2[[#This Row],[Customer ID]],Medical_Examinations!$1:$1048576,11,FALSE)</f>
        <v>Yes</v>
      </c>
    </row>
    <row r="744" spans="1:9" x14ac:dyDescent="0.25">
      <c r="A744" s="10" t="s">
        <v>774</v>
      </c>
      <c r="B744" t="str">
        <f>VLOOKUP(Customer_Names!A744,Customer_Names!$1:$1048576,4,FALSE)</f>
        <v>Lauren</v>
      </c>
      <c r="C744">
        <f>VLOOKUP(Medical_Examinations_2[[#This Row],[Customer ID]],Medical_Examinations!$1:$1048576,2,FALSE)</f>
        <v>35.590000000000003</v>
      </c>
      <c r="D744">
        <f>VLOOKUP(Medical_Examinations_2[[#This Row],[Customer ID]],Medical_Examinations!$1:$1048576,4,FALSE)</f>
        <v>5.21</v>
      </c>
      <c r="E744" t="str">
        <f>VLOOKUP(Medical_Examinations_2[[#This Row],[Customer ID]],Medical_Examinations!$1:$1048576,6,FALSE)</f>
        <v>Yes</v>
      </c>
      <c r="H744">
        <f>VLOOKUP(Medical_Examinations_2[[#This Row],[Customer ID]],Medical_Examinations!$1:$1048576,9,FALSE)</f>
        <v>1</v>
      </c>
      <c r="I744" t="str">
        <f>VLOOKUP(Medical_Examinations_2[[#This Row],[Customer ID]],Medical_Examinations!$1:$1048576,11,FALSE)</f>
        <v>No</v>
      </c>
    </row>
    <row r="745" spans="1:9" x14ac:dyDescent="0.25">
      <c r="A745" s="11" t="s">
        <v>775</v>
      </c>
      <c r="B745" t="str">
        <f>VLOOKUP(Customer_Names!A745,Customer_Names!$1:$1048576,4,FALSE)</f>
        <v>Kathryn E</v>
      </c>
      <c r="C745">
        <f>VLOOKUP(Medical_Examinations_2[[#This Row],[Customer ID]],Medical_Examinations!$1:$1048576,2,FALSE)</f>
        <v>43.44</v>
      </c>
      <c r="D745">
        <f>VLOOKUP(Medical_Examinations_2[[#This Row],[Customer ID]],Medical_Examinations!$1:$1048576,4,FALSE)</f>
        <v>4.8600000000000003</v>
      </c>
      <c r="E745" t="str">
        <f>VLOOKUP(Medical_Examinations_2[[#This Row],[Customer ID]],Medical_Examinations!$1:$1048576,6,FALSE)</f>
        <v>Yes</v>
      </c>
      <c r="H745" t="str">
        <f>VLOOKUP(Medical_Examinations_2[[#This Row],[Customer ID]],Medical_Examinations!$1:$1048576,9,FALSE)</f>
        <v>No major surgery</v>
      </c>
      <c r="I745" t="str">
        <f>VLOOKUP(Medical_Examinations_2[[#This Row],[Customer ID]],Medical_Examinations!$1:$1048576,11,FALSE)</f>
        <v>No</v>
      </c>
    </row>
    <row r="746" spans="1:9" x14ac:dyDescent="0.25">
      <c r="A746" s="10" t="s">
        <v>776</v>
      </c>
      <c r="B746" t="str">
        <f>VLOOKUP(Customer_Names!A746,Customer_Names!$1:$1048576,4,FALSE)</f>
        <v>Polly</v>
      </c>
      <c r="C746">
        <f>VLOOKUP(Medical_Examinations_2[[#This Row],[Customer ID]],Medical_Examinations!$1:$1048576,2,FALSE)</f>
        <v>21.754999999999999</v>
      </c>
      <c r="D746">
        <f>VLOOKUP(Medical_Examinations_2[[#This Row],[Customer ID]],Medical_Examinations!$1:$1048576,4,FALSE)</f>
        <v>7.79</v>
      </c>
      <c r="E746" t="str">
        <f>VLOOKUP(Medical_Examinations_2[[#This Row],[Customer ID]],Medical_Examinations!$1:$1048576,6,FALSE)</f>
        <v>Yes</v>
      </c>
      <c r="H746" t="str">
        <f>VLOOKUP(Medical_Examinations_2[[#This Row],[Customer ID]],Medical_Examinations!$1:$1048576,9,FALSE)</f>
        <v>No major surgery</v>
      </c>
      <c r="I746" t="str">
        <f>VLOOKUP(Medical_Examinations_2[[#This Row],[Customer ID]],Medical_Examinations!$1:$1048576,11,FALSE)</f>
        <v>No</v>
      </c>
    </row>
    <row r="747" spans="1:9" x14ac:dyDescent="0.25">
      <c r="A747" s="11" t="s">
        <v>777</v>
      </c>
      <c r="B747" t="str">
        <f>VLOOKUP(Customer_Names!A747,Customer_Names!$1:$1048576,4,FALSE)</f>
        <v>Mark H.</v>
      </c>
      <c r="C747">
        <f>VLOOKUP(Medical_Examinations_2[[#This Row],[Customer ID]],Medical_Examinations!$1:$1048576,2,FALSE)</f>
        <v>44.55</v>
      </c>
      <c r="D747">
        <f>VLOOKUP(Medical_Examinations_2[[#This Row],[Customer ID]],Medical_Examinations!$1:$1048576,4,FALSE)</f>
        <v>7.12</v>
      </c>
      <c r="E747" t="str">
        <f>VLOOKUP(Medical_Examinations_2[[#This Row],[Customer ID]],Medical_Examinations!$1:$1048576,6,FALSE)</f>
        <v>Yes</v>
      </c>
      <c r="H747">
        <f>VLOOKUP(Medical_Examinations_2[[#This Row],[Customer ID]],Medical_Examinations!$1:$1048576,9,FALSE)</f>
        <v>1</v>
      </c>
      <c r="I747" t="str">
        <f>VLOOKUP(Medical_Examinations_2[[#This Row],[Customer ID]],Medical_Examinations!$1:$1048576,11,FALSE)</f>
        <v>No</v>
      </c>
    </row>
    <row r="748" spans="1:9" x14ac:dyDescent="0.25">
      <c r="A748" s="10" t="s">
        <v>778</v>
      </c>
      <c r="B748" t="str">
        <f>VLOOKUP(Customer_Names!A748,Customer_Names!$1:$1048576,4,FALSE)</f>
        <v>Jessie M.</v>
      </c>
      <c r="C748">
        <f>VLOOKUP(Medical_Examinations_2[[#This Row],[Customer ID]],Medical_Examinations!$1:$1048576,2,FALSE)</f>
        <v>43.32</v>
      </c>
      <c r="D748">
        <f>VLOOKUP(Medical_Examinations_2[[#This Row],[Customer ID]],Medical_Examinations!$1:$1048576,4,FALSE)</f>
        <v>4.67</v>
      </c>
      <c r="E748" t="str">
        <f>VLOOKUP(Medical_Examinations_2[[#This Row],[Customer ID]],Medical_Examinations!$1:$1048576,6,FALSE)</f>
        <v>Yes</v>
      </c>
      <c r="H748" t="str">
        <f>VLOOKUP(Medical_Examinations_2[[#This Row],[Customer ID]],Medical_Examinations!$1:$1048576,9,FALSE)</f>
        <v>No major surgery</v>
      </c>
      <c r="I748" t="str">
        <f>VLOOKUP(Medical_Examinations_2[[#This Row],[Customer ID]],Medical_Examinations!$1:$1048576,11,FALSE)</f>
        <v>No</v>
      </c>
    </row>
    <row r="749" spans="1:9" x14ac:dyDescent="0.25">
      <c r="A749" s="11" t="s">
        <v>779</v>
      </c>
      <c r="B749" t="str">
        <f>VLOOKUP(Customer_Names!A749,Customer_Names!$1:$1048576,4,FALSE)</f>
        <v>Chris</v>
      </c>
      <c r="C749">
        <f>VLOOKUP(Medical_Examinations_2[[#This Row],[Customer ID]],Medical_Examinations!$1:$1048576,2,FALSE)</f>
        <v>31.23</v>
      </c>
      <c r="D749">
        <f>VLOOKUP(Medical_Examinations_2[[#This Row],[Customer ID]],Medical_Examinations!$1:$1048576,4,FALSE)</f>
        <v>9.1199999999999992</v>
      </c>
      <c r="E749" t="str">
        <f>VLOOKUP(Medical_Examinations_2[[#This Row],[Customer ID]],Medical_Examinations!$1:$1048576,6,FALSE)</f>
        <v>Yes</v>
      </c>
      <c r="H749">
        <f>VLOOKUP(Medical_Examinations_2[[#This Row],[Customer ID]],Medical_Examinations!$1:$1048576,9,FALSE)</f>
        <v>1</v>
      </c>
      <c r="I749" t="str">
        <f>VLOOKUP(Medical_Examinations_2[[#This Row],[Customer ID]],Medical_Examinations!$1:$1048576,11,FALSE)</f>
        <v>No</v>
      </c>
    </row>
    <row r="750" spans="1:9" x14ac:dyDescent="0.25">
      <c r="A750" s="10" t="s">
        <v>780</v>
      </c>
      <c r="B750" t="str">
        <f>VLOOKUP(Customer_Names!A750,Customer_Names!$1:$1048576,4,FALSE)</f>
        <v>Daniel</v>
      </c>
      <c r="C750">
        <f>VLOOKUP(Medical_Examinations_2[[#This Row],[Customer ID]],Medical_Examinations!$1:$1048576,2,FALSE)</f>
        <v>42.81</v>
      </c>
      <c r="D750">
        <f>VLOOKUP(Medical_Examinations_2[[#This Row],[Customer ID]],Medical_Examinations!$1:$1048576,4,FALSE)</f>
        <v>4.1500000000000004</v>
      </c>
      <c r="E750" t="str">
        <f>VLOOKUP(Medical_Examinations_2[[#This Row],[Customer ID]],Medical_Examinations!$1:$1048576,6,FALSE)</f>
        <v>No</v>
      </c>
      <c r="H750">
        <f>VLOOKUP(Medical_Examinations_2[[#This Row],[Customer ID]],Medical_Examinations!$1:$1048576,9,FALSE)</f>
        <v>1</v>
      </c>
      <c r="I750" t="str">
        <f>VLOOKUP(Medical_Examinations_2[[#This Row],[Customer ID]],Medical_Examinations!$1:$1048576,11,FALSE)</f>
        <v>No</v>
      </c>
    </row>
    <row r="751" spans="1:9" x14ac:dyDescent="0.25">
      <c r="A751" s="11" t="s">
        <v>781</v>
      </c>
      <c r="B751" t="str">
        <f>VLOOKUP(Customer_Names!A751,Customer_Names!$1:$1048576,4,FALSE)</f>
        <v>Megan</v>
      </c>
      <c r="C751">
        <f>VLOOKUP(Medical_Examinations_2[[#This Row],[Customer ID]],Medical_Examinations!$1:$1048576,2,FALSE)</f>
        <v>35.909999999999997</v>
      </c>
      <c r="D751">
        <f>VLOOKUP(Medical_Examinations_2[[#This Row],[Customer ID]],Medical_Examinations!$1:$1048576,4,FALSE)</f>
        <v>6.72</v>
      </c>
      <c r="E751" t="str">
        <f>VLOOKUP(Medical_Examinations_2[[#This Row],[Customer ID]],Medical_Examinations!$1:$1048576,6,FALSE)</f>
        <v>Yes</v>
      </c>
      <c r="H751">
        <f>VLOOKUP(Medical_Examinations_2[[#This Row],[Customer ID]],Medical_Examinations!$1:$1048576,9,FALSE)</f>
        <v>2</v>
      </c>
      <c r="I751" t="str">
        <f>VLOOKUP(Medical_Examinations_2[[#This Row],[Customer ID]],Medical_Examinations!$1:$1048576,11,FALSE)</f>
        <v>No</v>
      </c>
    </row>
    <row r="752" spans="1:9" x14ac:dyDescent="0.25">
      <c r="A752" s="10" t="s">
        <v>782</v>
      </c>
      <c r="B752" t="str">
        <f>VLOOKUP(Customer_Names!A752,Customer_Names!$1:$1048576,4,FALSE)</f>
        <v>Kevin</v>
      </c>
      <c r="C752">
        <f>VLOOKUP(Medical_Examinations_2[[#This Row],[Customer ID]],Medical_Examinations!$1:$1048576,2,FALSE)</f>
        <v>36.65</v>
      </c>
      <c r="D752">
        <f>VLOOKUP(Medical_Examinations_2[[#This Row],[Customer ID]],Medical_Examinations!$1:$1048576,4,FALSE)</f>
        <v>5.01</v>
      </c>
      <c r="E752" t="str">
        <f>VLOOKUP(Medical_Examinations_2[[#This Row],[Customer ID]],Medical_Examinations!$1:$1048576,6,FALSE)</f>
        <v>Yes</v>
      </c>
      <c r="H752">
        <f>VLOOKUP(Medical_Examinations_2[[#This Row],[Customer ID]],Medical_Examinations!$1:$1048576,9,FALSE)</f>
        <v>1</v>
      </c>
      <c r="I752" t="str">
        <f>VLOOKUP(Medical_Examinations_2[[#This Row],[Customer ID]],Medical_Examinations!$1:$1048576,11,FALSE)</f>
        <v>No</v>
      </c>
    </row>
    <row r="753" spans="1:9" x14ac:dyDescent="0.25">
      <c r="A753" s="11" t="s">
        <v>783</v>
      </c>
      <c r="B753" t="str">
        <f>VLOOKUP(Customer_Names!A753,Customer_Names!$1:$1048576,4,FALSE)</f>
        <v>Caroline S.</v>
      </c>
      <c r="C753">
        <f>VLOOKUP(Medical_Examinations_2[[#This Row],[Customer ID]],Medical_Examinations!$1:$1048576,2,FALSE)</f>
        <v>22.04</v>
      </c>
      <c r="D753">
        <f>VLOOKUP(Medical_Examinations_2[[#This Row],[Customer ID]],Medical_Examinations!$1:$1048576,4,FALSE)</f>
        <v>10.9</v>
      </c>
      <c r="E753" t="str">
        <f>VLOOKUP(Medical_Examinations_2[[#This Row],[Customer ID]],Medical_Examinations!$1:$1048576,6,FALSE)</f>
        <v>Yes</v>
      </c>
      <c r="H753">
        <f>VLOOKUP(Medical_Examinations_2[[#This Row],[Customer ID]],Medical_Examinations!$1:$1048576,9,FALSE)</f>
        <v>2</v>
      </c>
      <c r="I753" t="str">
        <f>VLOOKUP(Medical_Examinations_2[[#This Row],[Customer ID]],Medical_Examinations!$1:$1048576,11,FALSE)</f>
        <v>No</v>
      </c>
    </row>
    <row r="754" spans="1:9" x14ac:dyDescent="0.25">
      <c r="A754" s="10" t="s">
        <v>784</v>
      </c>
      <c r="B754" t="str">
        <f>VLOOKUP(Customer_Names!A754,Customer_Names!$1:$1048576,4,FALSE)</f>
        <v>Nuta</v>
      </c>
      <c r="C754">
        <f>VLOOKUP(Medical_Examinations_2[[#This Row],[Customer ID]],Medical_Examinations!$1:$1048576,2,FALSE)</f>
        <v>31.824999999999999</v>
      </c>
      <c r="D754">
        <f>VLOOKUP(Medical_Examinations_2[[#This Row],[Customer ID]],Medical_Examinations!$1:$1048576,4,FALSE)</f>
        <v>5.52</v>
      </c>
      <c r="E754" t="str">
        <f>VLOOKUP(Medical_Examinations_2[[#This Row],[Customer ID]],Medical_Examinations!$1:$1048576,6,FALSE)</f>
        <v>Yes</v>
      </c>
      <c r="H754">
        <f>VLOOKUP(Medical_Examinations_2[[#This Row],[Customer ID]],Medical_Examinations!$1:$1048576,9,FALSE)</f>
        <v>1</v>
      </c>
      <c r="I754" t="str">
        <f>VLOOKUP(Medical_Examinations_2[[#This Row],[Customer ID]],Medical_Examinations!$1:$1048576,11,FALSE)</f>
        <v>No</v>
      </c>
    </row>
    <row r="755" spans="1:9" x14ac:dyDescent="0.25">
      <c r="A755" s="11" t="s">
        <v>785</v>
      </c>
      <c r="B755" t="str">
        <f>VLOOKUP(Customer_Names!A755,Customer_Names!$1:$1048576,4,FALSE)</f>
        <v>Margie</v>
      </c>
      <c r="C755">
        <f>VLOOKUP(Medical_Examinations_2[[#This Row],[Customer ID]],Medical_Examinations!$1:$1048576,2,FALSE)</f>
        <v>53.58</v>
      </c>
      <c r="D755">
        <f>VLOOKUP(Medical_Examinations_2[[#This Row],[Customer ID]],Medical_Examinations!$1:$1048576,4,FALSE)</f>
        <v>4.55</v>
      </c>
      <c r="E755" t="str">
        <f>VLOOKUP(Medical_Examinations_2[[#This Row],[Customer ID]],Medical_Examinations!$1:$1048576,6,FALSE)</f>
        <v>No</v>
      </c>
      <c r="H755">
        <f>VLOOKUP(Medical_Examinations_2[[#This Row],[Customer ID]],Medical_Examinations!$1:$1048576,9,FALSE)</f>
        <v>1</v>
      </c>
      <c r="I755" t="str">
        <f>VLOOKUP(Medical_Examinations_2[[#This Row],[Customer ID]],Medical_Examinations!$1:$1048576,11,FALSE)</f>
        <v>No</v>
      </c>
    </row>
    <row r="756" spans="1:9" x14ac:dyDescent="0.25">
      <c r="A756" s="10" t="s">
        <v>786</v>
      </c>
      <c r="B756" t="str">
        <f>VLOOKUP(Customer_Names!A756,Customer_Names!$1:$1048576,4,FALSE)</f>
        <v>Heidi</v>
      </c>
      <c r="C756">
        <f>VLOOKUP(Medical_Examinations_2[[#This Row],[Customer ID]],Medical_Examinations!$1:$1048576,2,FALSE)</f>
        <v>34.299999999999997</v>
      </c>
      <c r="D756">
        <f>VLOOKUP(Medical_Examinations_2[[#This Row],[Customer ID]],Medical_Examinations!$1:$1048576,4,FALSE)</f>
        <v>11.76</v>
      </c>
      <c r="E756" t="str">
        <f>VLOOKUP(Medical_Examinations_2[[#This Row],[Customer ID]],Medical_Examinations!$1:$1048576,6,FALSE)</f>
        <v>No</v>
      </c>
      <c r="H756" t="str">
        <f>VLOOKUP(Medical_Examinations_2[[#This Row],[Customer ID]],Medical_Examinations!$1:$1048576,9,FALSE)</f>
        <v>No major surgery</v>
      </c>
      <c r="I756" t="str">
        <f>VLOOKUP(Medical_Examinations_2[[#This Row],[Customer ID]],Medical_Examinations!$1:$1048576,11,FALSE)</f>
        <v>No</v>
      </c>
    </row>
    <row r="757" spans="1:9" x14ac:dyDescent="0.25">
      <c r="A757" s="11" t="s">
        <v>787</v>
      </c>
      <c r="B757" t="str">
        <f>VLOOKUP(Customer_Names!A757,Customer_Names!$1:$1048576,4,FALSE)</f>
        <v>Diego J</v>
      </c>
      <c r="C757">
        <f>VLOOKUP(Medical_Examinations_2[[#This Row],[Customer ID]],Medical_Examinations!$1:$1048576,2,FALSE)</f>
        <v>32.11</v>
      </c>
      <c r="D757">
        <f>VLOOKUP(Medical_Examinations_2[[#This Row],[Customer ID]],Medical_Examinations!$1:$1048576,4,FALSE)</f>
        <v>7.06</v>
      </c>
      <c r="E757" t="str">
        <f>VLOOKUP(Medical_Examinations_2[[#This Row],[Customer ID]],Medical_Examinations!$1:$1048576,6,FALSE)</f>
        <v>No</v>
      </c>
      <c r="H757" t="str">
        <f>VLOOKUP(Medical_Examinations_2[[#This Row],[Customer ID]],Medical_Examinations!$1:$1048576,9,FALSE)</f>
        <v>No major surgery</v>
      </c>
      <c r="I757" t="str">
        <f>VLOOKUP(Medical_Examinations_2[[#This Row],[Customer ID]],Medical_Examinations!$1:$1048576,11,FALSE)</f>
        <v>No</v>
      </c>
    </row>
    <row r="758" spans="1:9" x14ac:dyDescent="0.25">
      <c r="A758" s="10" t="s">
        <v>788</v>
      </c>
      <c r="B758" t="str">
        <f>VLOOKUP(Customer_Names!A758,Customer_Names!$1:$1048576,4,FALSE)</f>
        <v>Enrique M Sr.</v>
      </c>
      <c r="C758">
        <f>VLOOKUP(Medical_Examinations_2[[#This Row],[Customer ID]],Medical_Examinations!$1:$1048576,2,FALSE)</f>
        <v>31.78</v>
      </c>
      <c r="D758">
        <f>VLOOKUP(Medical_Examinations_2[[#This Row],[Customer ID]],Medical_Examinations!$1:$1048576,4,FALSE)</f>
        <v>11.35</v>
      </c>
      <c r="E758" t="str">
        <f>VLOOKUP(Medical_Examinations_2[[#This Row],[Customer ID]],Medical_Examinations!$1:$1048576,6,FALSE)</f>
        <v>Yes</v>
      </c>
      <c r="H758">
        <f>VLOOKUP(Medical_Examinations_2[[#This Row],[Customer ID]],Medical_Examinations!$1:$1048576,9,FALSE)</f>
        <v>1</v>
      </c>
      <c r="I758" t="str">
        <f>VLOOKUP(Medical_Examinations_2[[#This Row],[Customer ID]],Medical_Examinations!$1:$1048576,11,FALSE)</f>
        <v>No</v>
      </c>
    </row>
    <row r="759" spans="1:9" x14ac:dyDescent="0.25">
      <c r="A759" s="11" t="s">
        <v>789</v>
      </c>
      <c r="B759" t="str">
        <f>VLOOKUP(Customer_Names!A759,Customer_Names!$1:$1048576,4,FALSE)</f>
        <v>Greg</v>
      </c>
      <c r="C759">
        <f>VLOOKUP(Medical_Examinations_2[[#This Row],[Customer ID]],Medical_Examinations!$1:$1048576,2,FALSE)</f>
        <v>46.89</v>
      </c>
      <c r="D759">
        <f>VLOOKUP(Medical_Examinations_2[[#This Row],[Customer ID]],Medical_Examinations!$1:$1048576,4,FALSE)</f>
        <v>5.52</v>
      </c>
      <c r="E759" t="str">
        <f>VLOOKUP(Medical_Examinations_2[[#This Row],[Customer ID]],Medical_Examinations!$1:$1048576,6,FALSE)</f>
        <v>No</v>
      </c>
      <c r="H759" t="str">
        <f>VLOOKUP(Medical_Examinations_2[[#This Row],[Customer ID]],Medical_Examinations!$1:$1048576,9,FALSE)</f>
        <v>No major surgery</v>
      </c>
      <c r="I759" t="str">
        <f>VLOOKUP(Medical_Examinations_2[[#This Row],[Customer ID]],Medical_Examinations!$1:$1048576,11,FALSE)</f>
        <v>No</v>
      </c>
    </row>
    <row r="760" spans="1:9" x14ac:dyDescent="0.25">
      <c r="A760" s="10" t="s">
        <v>790</v>
      </c>
      <c r="B760" t="str">
        <f>VLOOKUP(Customer_Names!A760,Customer_Names!$1:$1048576,4,FALSE)</f>
        <v>Filip</v>
      </c>
      <c r="C760">
        <f>VLOOKUP(Medical_Examinations_2[[#This Row],[Customer ID]],Medical_Examinations!$1:$1048576,2,FALSE)</f>
        <v>39.35</v>
      </c>
      <c r="D760">
        <f>VLOOKUP(Medical_Examinations_2[[#This Row],[Customer ID]],Medical_Examinations!$1:$1048576,4,FALSE)</f>
        <v>7.86</v>
      </c>
      <c r="E760" t="str">
        <f>VLOOKUP(Medical_Examinations_2[[#This Row],[Customer ID]],Medical_Examinations!$1:$1048576,6,FALSE)</f>
        <v>Yes</v>
      </c>
      <c r="H760">
        <f>VLOOKUP(Medical_Examinations_2[[#This Row],[Customer ID]],Medical_Examinations!$1:$1048576,9,FALSE)</f>
        <v>1</v>
      </c>
      <c r="I760" t="str">
        <f>VLOOKUP(Medical_Examinations_2[[#This Row],[Customer ID]],Medical_Examinations!$1:$1048576,11,FALSE)</f>
        <v>No</v>
      </c>
    </row>
    <row r="761" spans="1:9" x14ac:dyDescent="0.25">
      <c r="A761" s="11" t="s">
        <v>791</v>
      </c>
      <c r="B761" t="str">
        <f>VLOOKUP(Customer_Names!A761,Customer_Names!$1:$1048576,4,FALSE)</f>
        <v>Rosemary E.</v>
      </c>
      <c r="C761">
        <f>VLOOKUP(Medical_Examinations_2[[#This Row],[Customer ID]],Medical_Examinations!$1:$1048576,2,FALSE)</f>
        <v>39.200000000000003</v>
      </c>
      <c r="D761">
        <f>VLOOKUP(Medical_Examinations_2[[#This Row],[Customer ID]],Medical_Examinations!$1:$1048576,4,FALSE)</f>
        <v>11.38</v>
      </c>
      <c r="E761" t="str">
        <f>VLOOKUP(Medical_Examinations_2[[#This Row],[Customer ID]],Medical_Examinations!$1:$1048576,6,FALSE)</f>
        <v>No</v>
      </c>
      <c r="H761" t="str">
        <f>VLOOKUP(Medical_Examinations_2[[#This Row],[Customer ID]],Medical_Examinations!$1:$1048576,9,FALSE)</f>
        <v>No major surgery</v>
      </c>
      <c r="I761" t="str">
        <f>VLOOKUP(Medical_Examinations_2[[#This Row],[Customer ID]],Medical_Examinations!$1:$1048576,11,FALSE)</f>
        <v>No</v>
      </c>
    </row>
    <row r="762" spans="1:9" x14ac:dyDescent="0.25">
      <c r="A762" s="10" t="s">
        <v>792</v>
      </c>
      <c r="B762" t="str">
        <f>VLOOKUP(Customer_Names!A762,Customer_Names!$1:$1048576,4,FALSE)</f>
        <v>Lisa</v>
      </c>
      <c r="C762">
        <f>VLOOKUP(Medical_Examinations_2[[#This Row],[Customer ID]],Medical_Examinations!$1:$1048576,2,FALSE)</f>
        <v>39.159999999999997</v>
      </c>
      <c r="D762">
        <f>VLOOKUP(Medical_Examinations_2[[#This Row],[Customer ID]],Medical_Examinations!$1:$1048576,4,FALSE)</f>
        <v>10.48</v>
      </c>
      <c r="E762" t="str">
        <f>VLOOKUP(Medical_Examinations_2[[#This Row],[Customer ID]],Medical_Examinations!$1:$1048576,6,FALSE)</f>
        <v>No</v>
      </c>
      <c r="H762" t="str">
        <f>VLOOKUP(Medical_Examinations_2[[#This Row],[Customer ID]],Medical_Examinations!$1:$1048576,9,FALSE)</f>
        <v>No major surgery</v>
      </c>
      <c r="I762" t="str">
        <f>VLOOKUP(Medical_Examinations_2[[#This Row],[Customer ID]],Medical_Examinations!$1:$1048576,11,FALSE)</f>
        <v>No</v>
      </c>
    </row>
    <row r="763" spans="1:9" x14ac:dyDescent="0.25">
      <c r="A763" s="11" t="s">
        <v>793</v>
      </c>
      <c r="B763" t="str">
        <f>VLOOKUP(Customer_Names!A763,Customer_Names!$1:$1048576,4,FALSE)</f>
        <v>Jason</v>
      </c>
      <c r="C763">
        <f>VLOOKUP(Medical_Examinations_2[[#This Row],[Customer ID]],Medical_Examinations!$1:$1048576,2,FALSE)</f>
        <v>44.1</v>
      </c>
      <c r="D763">
        <f>VLOOKUP(Medical_Examinations_2[[#This Row],[Customer ID]],Medical_Examinations!$1:$1048576,4,FALSE)</f>
        <v>5.04</v>
      </c>
      <c r="E763" t="str">
        <f>VLOOKUP(Medical_Examinations_2[[#This Row],[Customer ID]],Medical_Examinations!$1:$1048576,6,FALSE)</f>
        <v>Yes</v>
      </c>
      <c r="H763" t="str">
        <f>VLOOKUP(Medical_Examinations_2[[#This Row],[Customer ID]],Medical_Examinations!$1:$1048576,9,FALSE)</f>
        <v>No major surgery</v>
      </c>
      <c r="I763" t="str">
        <f>VLOOKUP(Medical_Examinations_2[[#This Row],[Customer ID]],Medical_Examinations!$1:$1048576,11,FALSE)</f>
        <v>No</v>
      </c>
    </row>
    <row r="764" spans="1:9" x14ac:dyDescent="0.25">
      <c r="A764" s="10" t="s">
        <v>794</v>
      </c>
      <c r="B764" t="str">
        <f>VLOOKUP(Customer_Names!A764,Customer_Names!$1:$1048576,4,FALSE)</f>
        <v>Courtney</v>
      </c>
      <c r="C764">
        <f>VLOOKUP(Medical_Examinations_2[[#This Row],[Customer ID]],Medical_Examinations!$1:$1048576,2,FALSE)</f>
        <v>33.200000000000003</v>
      </c>
      <c r="D764">
        <f>VLOOKUP(Medical_Examinations_2[[#This Row],[Customer ID]],Medical_Examinations!$1:$1048576,4,FALSE)</f>
        <v>9.06</v>
      </c>
      <c r="E764" t="str">
        <f>VLOOKUP(Medical_Examinations_2[[#This Row],[Customer ID]],Medical_Examinations!$1:$1048576,6,FALSE)</f>
        <v>No</v>
      </c>
      <c r="H764" t="str">
        <f>VLOOKUP(Medical_Examinations_2[[#This Row],[Customer ID]],Medical_Examinations!$1:$1048576,9,FALSE)</f>
        <v>No major surgery</v>
      </c>
      <c r="I764" t="str">
        <f>VLOOKUP(Medical_Examinations_2[[#This Row],[Customer ID]],Medical_Examinations!$1:$1048576,11,FALSE)</f>
        <v>No</v>
      </c>
    </row>
    <row r="765" spans="1:9" x14ac:dyDescent="0.25">
      <c r="A765" s="11" t="s">
        <v>795</v>
      </c>
      <c r="B765" t="str">
        <f>VLOOKUP(Customer_Names!A765,Customer_Names!$1:$1048576,4,FALSE)</f>
        <v>Jennifer R.</v>
      </c>
      <c r="C765">
        <f>VLOOKUP(Medical_Examinations_2[[#This Row],[Customer ID]],Medical_Examinations!$1:$1048576,2,FALSE)</f>
        <v>29.92</v>
      </c>
      <c r="D765">
        <f>VLOOKUP(Medical_Examinations_2[[#This Row],[Customer ID]],Medical_Examinations!$1:$1048576,4,FALSE)</f>
        <v>11.07</v>
      </c>
      <c r="E765" t="str">
        <f>VLOOKUP(Medical_Examinations_2[[#This Row],[Customer ID]],Medical_Examinations!$1:$1048576,6,FALSE)</f>
        <v>No</v>
      </c>
      <c r="H765" t="str">
        <f>VLOOKUP(Medical_Examinations_2[[#This Row],[Customer ID]],Medical_Examinations!$1:$1048576,9,FALSE)</f>
        <v>No major surgery</v>
      </c>
      <c r="I765" t="str">
        <f>VLOOKUP(Medical_Examinations_2[[#This Row],[Customer ID]],Medical_Examinations!$1:$1048576,11,FALSE)</f>
        <v>No</v>
      </c>
    </row>
    <row r="766" spans="1:9" x14ac:dyDescent="0.25">
      <c r="A766" s="10" t="s">
        <v>796</v>
      </c>
      <c r="B766" t="str">
        <f>VLOOKUP(Customer_Names!A766,Customer_Names!$1:$1048576,4,FALSE)</f>
        <v>Lauren E</v>
      </c>
      <c r="C766">
        <f>VLOOKUP(Medical_Examinations_2[[#This Row],[Customer ID]],Medical_Examinations!$1:$1048576,2,FALSE)</f>
        <v>25</v>
      </c>
      <c r="D766">
        <f>VLOOKUP(Medical_Examinations_2[[#This Row],[Customer ID]],Medical_Examinations!$1:$1048576,4,FALSE)</f>
        <v>10.45</v>
      </c>
      <c r="E766" t="str">
        <f>VLOOKUP(Medical_Examinations_2[[#This Row],[Customer ID]],Medical_Examinations!$1:$1048576,6,FALSE)</f>
        <v>No</v>
      </c>
      <c r="H766" t="str">
        <f>VLOOKUP(Medical_Examinations_2[[#This Row],[Customer ID]],Medical_Examinations!$1:$1048576,9,FALSE)</f>
        <v>No major surgery</v>
      </c>
      <c r="I766" t="str">
        <f>VLOOKUP(Medical_Examinations_2[[#This Row],[Customer ID]],Medical_Examinations!$1:$1048576,11,FALSE)</f>
        <v>No</v>
      </c>
    </row>
    <row r="767" spans="1:9" x14ac:dyDescent="0.25">
      <c r="A767" s="11" t="s">
        <v>797</v>
      </c>
      <c r="B767" t="str">
        <f>VLOOKUP(Customer_Names!A767,Customer_Names!$1:$1048576,4,FALSE)</f>
        <v>Ashley M.</v>
      </c>
      <c r="C767">
        <f>VLOOKUP(Medical_Examinations_2[[#This Row],[Customer ID]],Medical_Examinations!$1:$1048576,2,FALSE)</f>
        <v>38.869999999999997</v>
      </c>
      <c r="D767">
        <f>VLOOKUP(Medical_Examinations_2[[#This Row],[Customer ID]],Medical_Examinations!$1:$1048576,4,FALSE)</f>
        <v>8.6300000000000008</v>
      </c>
      <c r="E767" t="str">
        <f>VLOOKUP(Medical_Examinations_2[[#This Row],[Customer ID]],Medical_Examinations!$1:$1048576,6,FALSE)</f>
        <v>Yes</v>
      </c>
      <c r="H767">
        <f>VLOOKUP(Medical_Examinations_2[[#This Row],[Customer ID]],Medical_Examinations!$1:$1048576,9,FALSE)</f>
        <v>1</v>
      </c>
      <c r="I767" t="str">
        <f>VLOOKUP(Medical_Examinations_2[[#This Row],[Customer ID]],Medical_Examinations!$1:$1048576,11,FALSE)</f>
        <v>No</v>
      </c>
    </row>
    <row r="768" spans="1:9" x14ac:dyDescent="0.25">
      <c r="A768" s="10" t="s">
        <v>798</v>
      </c>
      <c r="B768" t="str">
        <f>VLOOKUP(Customer_Names!A768,Customer_Names!$1:$1048576,4,FALSE)</f>
        <v>Alison R.</v>
      </c>
      <c r="C768">
        <f>VLOOKUP(Medical_Examinations_2[[#This Row],[Customer ID]],Medical_Examinations!$1:$1048576,2,FALSE)</f>
        <v>32.299999999999997</v>
      </c>
      <c r="D768">
        <f>VLOOKUP(Medical_Examinations_2[[#This Row],[Customer ID]],Medical_Examinations!$1:$1048576,4,FALSE)</f>
        <v>5.28</v>
      </c>
      <c r="E768" t="str">
        <f>VLOOKUP(Medical_Examinations_2[[#This Row],[Customer ID]],Medical_Examinations!$1:$1048576,6,FALSE)</f>
        <v>Yes</v>
      </c>
      <c r="H768">
        <f>VLOOKUP(Medical_Examinations_2[[#This Row],[Customer ID]],Medical_Examinations!$1:$1048576,9,FALSE)</f>
        <v>2</v>
      </c>
      <c r="I768" t="str">
        <f>VLOOKUP(Medical_Examinations_2[[#This Row],[Customer ID]],Medical_Examinations!$1:$1048576,11,FALSE)</f>
        <v>No</v>
      </c>
    </row>
    <row r="769" spans="1:9" x14ac:dyDescent="0.25">
      <c r="A769" s="11" t="s">
        <v>799</v>
      </c>
      <c r="B769" t="str">
        <f>VLOOKUP(Customer_Names!A769,Customer_Names!$1:$1048576,4,FALSE)</f>
        <v>Madeleine</v>
      </c>
      <c r="C769">
        <f>VLOOKUP(Medical_Examinations_2[[#This Row],[Customer ID]],Medical_Examinations!$1:$1048576,2,FALSE)</f>
        <v>31.16</v>
      </c>
      <c r="D769">
        <f>VLOOKUP(Medical_Examinations_2[[#This Row],[Customer ID]],Medical_Examinations!$1:$1048576,4,FALSE)</f>
        <v>7.49</v>
      </c>
      <c r="E769" t="str">
        <f>VLOOKUP(Medical_Examinations_2[[#This Row],[Customer ID]],Medical_Examinations!$1:$1048576,6,FALSE)</f>
        <v>Yes</v>
      </c>
      <c r="H769">
        <f>VLOOKUP(Medical_Examinations_2[[#This Row],[Customer ID]],Medical_Examinations!$1:$1048576,9,FALSE)</f>
        <v>2</v>
      </c>
      <c r="I769" t="str">
        <f>VLOOKUP(Medical_Examinations_2[[#This Row],[Customer ID]],Medical_Examinations!$1:$1048576,11,FALSE)</f>
        <v>No</v>
      </c>
    </row>
    <row r="770" spans="1:9" x14ac:dyDescent="0.25">
      <c r="A770" s="10" t="s">
        <v>800</v>
      </c>
      <c r="B770" t="str">
        <f>VLOOKUP(Customer_Names!A770,Customer_Names!$1:$1048576,4,FALSE)</f>
        <v>Stacey</v>
      </c>
      <c r="C770">
        <f>VLOOKUP(Medical_Examinations_2[[#This Row],[Customer ID]],Medical_Examinations!$1:$1048576,2,FALSE)</f>
        <v>54.59</v>
      </c>
      <c r="D770">
        <f>VLOOKUP(Medical_Examinations_2[[#This Row],[Customer ID]],Medical_Examinations!$1:$1048576,4,FALSE)</f>
        <v>4.2699999999999996</v>
      </c>
      <c r="E770" t="str">
        <f>VLOOKUP(Medical_Examinations_2[[#This Row],[Customer ID]],Medical_Examinations!$1:$1048576,6,FALSE)</f>
        <v>No</v>
      </c>
      <c r="H770" t="str">
        <f>VLOOKUP(Medical_Examinations_2[[#This Row],[Customer ID]],Medical_Examinations!$1:$1048576,9,FALSE)</f>
        <v>No major surgery</v>
      </c>
      <c r="I770" t="str">
        <f>VLOOKUP(Medical_Examinations_2[[#This Row],[Customer ID]],Medical_Examinations!$1:$1048576,11,FALSE)</f>
        <v>No</v>
      </c>
    </row>
    <row r="771" spans="1:9" x14ac:dyDescent="0.25">
      <c r="A771" s="11" t="s">
        <v>801</v>
      </c>
      <c r="B771" t="str">
        <f>VLOOKUP(Customer_Names!A771,Customer_Names!$1:$1048576,4,FALSE)</f>
        <v>Kimberly</v>
      </c>
      <c r="C771">
        <f>VLOOKUP(Medical_Examinations_2[[#This Row],[Customer ID]],Medical_Examinations!$1:$1048576,2,FALSE)</f>
        <v>21.09</v>
      </c>
      <c r="D771">
        <f>VLOOKUP(Medical_Examinations_2[[#This Row],[Customer ID]],Medical_Examinations!$1:$1048576,4,FALSE)</f>
        <v>9.2200000000000006</v>
      </c>
      <c r="E771" t="str">
        <f>VLOOKUP(Medical_Examinations_2[[#This Row],[Customer ID]],Medical_Examinations!$1:$1048576,6,FALSE)</f>
        <v>Yes</v>
      </c>
      <c r="H771">
        <f>VLOOKUP(Medical_Examinations_2[[#This Row],[Customer ID]],Medical_Examinations!$1:$1048576,9,FALSE)</f>
        <v>2</v>
      </c>
      <c r="I771" t="str">
        <f>VLOOKUP(Medical_Examinations_2[[#This Row],[Customer ID]],Medical_Examinations!$1:$1048576,11,FALSE)</f>
        <v>No</v>
      </c>
    </row>
    <row r="772" spans="1:9" x14ac:dyDescent="0.25">
      <c r="A772" s="10" t="s">
        <v>802</v>
      </c>
      <c r="B772" t="str">
        <f>VLOOKUP(Customer_Names!A772,Customer_Names!$1:$1048576,4,FALSE)</f>
        <v>Matthew D</v>
      </c>
      <c r="C772">
        <f>VLOOKUP(Medical_Examinations_2[[#This Row],[Customer ID]],Medical_Examinations!$1:$1048576,2,FALSE)</f>
        <v>52.41</v>
      </c>
      <c r="D772">
        <f>VLOOKUP(Medical_Examinations_2[[#This Row],[Customer ID]],Medical_Examinations!$1:$1048576,4,FALSE)</f>
        <v>5.99</v>
      </c>
      <c r="E772" t="str">
        <f>VLOOKUP(Medical_Examinations_2[[#This Row],[Customer ID]],Medical_Examinations!$1:$1048576,6,FALSE)</f>
        <v>No</v>
      </c>
      <c r="H772">
        <f>VLOOKUP(Medical_Examinations_2[[#This Row],[Customer ID]],Medical_Examinations!$1:$1048576,9,FALSE)</f>
        <v>1</v>
      </c>
      <c r="I772" t="str">
        <f>VLOOKUP(Medical_Examinations_2[[#This Row],[Customer ID]],Medical_Examinations!$1:$1048576,11,FALSE)</f>
        <v>No</v>
      </c>
    </row>
    <row r="773" spans="1:9" x14ac:dyDescent="0.25">
      <c r="A773" s="11" t="s">
        <v>803</v>
      </c>
      <c r="B773" t="str">
        <f>VLOOKUP(Customer_Names!A773,Customer_Names!$1:$1048576,4,FALSE)</f>
        <v>Michael</v>
      </c>
      <c r="C773">
        <f>VLOOKUP(Medical_Examinations_2[[#This Row],[Customer ID]],Medical_Examinations!$1:$1048576,2,FALSE)</f>
        <v>41.47</v>
      </c>
      <c r="D773">
        <f>VLOOKUP(Medical_Examinations_2[[#This Row],[Customer ID]],Medical_Examinations!$1:$1048576,4,FALSE)</f>
        <v>5.86</v>
      </c>
      <c r="E773" t="str">
        <f>VLOOKUP(Medical_Examinations_2[[#This Row],[Customer ID]],Medical_Examinations!$1:$1048576,6,FALSE)</f>
        <v>Yes</v>
      </c>
      <c r="H773">
        <f>VLOOKUP(Medical_Examinations_2[[#This Row],[Customer ID]],Medical_Examinations!$1:$1048576,9,FALSE)</f>
        <v>2</v>
      </c>
      <c r="I773" t="str">
        <f>VLOOKUP(Medical_Examinations_2[[#This Row],[Customer ID]],Medical_Examinations!$1:$1048576,11,FALSE)</f>
        <v>No</v>
      </c>
    </row>
    <row r="774" spans="1:9" x14ac:dyDescent="0.25">
      <c r="A774" s="10" t="s">
        <v>804</v>
      </c>
      <c r="B774" t="str">
        <f>VLOOKUP(Customer_Names!A774,Customer_Names!$1:$1048576,4,FALSE)</f>
        <v>Ben</v>
      </c>
      <c r="C774">
        <f>VLOOKUP(Medical_Examinations_2[[#This Row],[Customer ID]],Medical_Examinations!$1:$1048576,2,FALSE)</f>
        <v>33.1</v>
      </c>
      <c r="D774">
        <f>VLOOKUP(Medical_Examinations_2[[#This Row],[Customer ID]],Medical_Examinations!$1:$1048576,4,FALSE)</f>
        <v>5.19</v>
      </c>
      <c r="E774" t="str">
        <f>VLOOKUP(Medical_Examinations_2[[#This Row],[Customer ID]],Medical_Examinations!$1:$1048576,6,FALSE)</f>
        <v>Yes</v>
      </c>
      <c r="H774">
        <f>VLOOKUP(Medical_Examinations_2[[#This Row],[Customer ID]],Medical_Examinations!$1:$1048576,9,FALSE)</f>
        <v>2</v>
      </c>
      <c r="I774" t="str">
        <f>VLOOKUP(Medical_Examinations_2[[#This Row],[Customer ID]],Medical_Examinations!$1:$1048576,11,FALSE)</f>
        <v>No</v>
      </c>
    </row>
    <row r="775" spans="1:9" x14ac:dyDescent="0.25">
      <c r="A775" s="11" t="s">
        <v>805</v>
      </c>
      <c r="B775" t="str">
        <f>VLOOKUP(Customer_Names!A775,Customer_Names!$1:$1048576,4,FALSE)</f>
        <v>Chris</v>
      </c>
      <c r="C775">
        <f>VLOOKUP(Medical_Examinations_2[[#This Row],[Customer ID]],Medical_Examinations!$1:$1048576,2,FALSE)</f>
        <v>30.8</v>
      </c>
      <c r="D775">
        <f>VLOOKUP(Medical_Examinations_2[[#This Row],[Customer ID]],Medical_Examinations!$1:$1048576,4,FALSE)</f>
        <v>4.37</v>
      </c>
      <c r="E775" t="str">
        <f>VLOOKUP(Medical_Examinations_2[[#This Row],[Customer ID]],Medical_Examinations!$1:$1048576,6,FALSE)</f>
        <v>Yes</v>
      </c>
      <c r="H775">
        <f>VLOOKUP(Medical_Examinations_2[[#This Row],[Customer ID]],Medical_Examinations!$1:$1048576,9,FALSE)</f>
        <v>2</v>
      </c>
      <c r="I775" t="str">
        <f>VLOOKUP(Medical_Examinations_2[[#This Row],[Customer ID]],Medical_Examinations!$1:$1048576,11,FALSE)</f>
        <v>No</v>
      </c>
    </row>
    <row r="776" spans="1:9" x14ac:dyDescent="0.25">
      <c r="A776" s="10" t="s">
        <v>806</v>
      </c>
      <c r="B776" t="str">
        <f>VLOOKUP(Customer_Names!A776,Customer_Names!$1:$1048576,4,FALSE)</f>
        <v>Jeremy J</v>
      </c>
      <c r="C776">
        <f>VLOOKUP(Medical_Examinations_2[[#This Row],[Customer ID]],Medical_Examinations!$1:$1048576,2,FALSE)</f>
        <v>42.06</v>
      </c>
      <c r="D776">
        <f>VLOOKUP(Medical_Examinations_2[[#This Row],[Customer ID]],Medical_Examinations!$1:$1048576,4,FALSE)</f>
        <v>5.32</v>
      </c>
      <c r="E776" t="str">
        <f>VLOOKUP(Medical_Examinations_2[[#This Row],[Customer ID]],Medical_Examinations!$1:$1048576,6,FALSE)</f>
        <v>No</v>
      </c>
      <c r="H776">
        <f>VLOOKUP(Medical_Examinations_2[[#This Row],[Customer ID]],Medical_Examinations!$1:$1048576,9,FALSE)</f>
        <v>1</v>
      </c>
      <c r="I776" t="str">
        <f>VLOOKUP(Medical_Examinations_2[[#This Row],[Customer ID]],Medical_Examinations!$1:$1048576,11,FALSE)</f>
        <v>No</v>
      </c>
    </row>
    <row r="777" spans="1:9" x14ac:dyDescent="0.25">
      <c r="A777" s="11" t="s">
        <v>807</v>
      </c>
      <c r="B777" t="str">
        <f>VLOOKUP(Customer_Names!A777,Customer_Names!$1:$1048576,4,FALSE)</f>
        <v>Amy L.</v>
      </c>
      <c r="C777">
        <f>VLOOKUP(Medical_Examinations_2[[#This Row],[Customer ID]],Medical_Examinations!$1:$1048576,2,FALSE)</f>
        <v>39.270000000000003</v>
      </c>
      <c r="D777">
        <f>VLOOKUP(Medical_Examinations_2[[#This Row],[Customer ID]],Medical_Examinations!$1:$1048576,4,FALSE)</f>
        <v>5.64</v>
      </c>
      <c r="E777" t="str">
        <f>VLOOKUP(Medical_Examinations_2[[#This Row],[Customer ID]],Medical_Examinations!$1:$1048576,6,FALSE)</f>
        <v>No</v>
      </c>
      <c r="H777">
        <f>VLOOKUP(Medical_Examinations_2[[#This Row],[Customer ID]],Medical_Examinations!$1:$1048576,9,FALSE)</f>
        <v>1</v>
      </c>
      <c r="I777" t="str">
        <f>VLOOKUP(Medical_Examinations_2[[#This Row],[Customer ID]],Medical_Examinations!$1:$1048576,11,FALSE)</f>
        <v>No</v>
      </c>
    </row>
    <row r="778" spans="1:9" x14ac:dyDescent="0.25">
      <c r="A778" s="10" t="s">
        <v>808</v>
      </c>
      <c r="B778" t="str">
        <f>VLOOKUP(Customer_Names!A778,Customer_Names!$1:$1048576,4,FALSE)</f>
        <v>Karen L.</v>
      </c>
      <c r="C778">
        <f>VLOOKUP(Medical_Examinations_2[[#This Row],[Customer ID]],Medical_Examinations!$1:$1048576,2,FALSE)</f>
        <v>30.71</v>
      </c>
      <c r="D778">
        <f>VLOOKUP(Medical_Examinations_2[[#This Row],[Customer ID]],Medical_Examinations!$1:$1048576,4,FALSE)</f>
        <v>5.59</v>
      </c>
      <c r="E778" t="str">
        <f>VLOOKUP(Medical_Examinations_2[[#This Row],[Customer ID]],Medical_Examinations!$1:$1048576,6,FALSE)</f>
        <v>Yes</v>
      </c>
      <c r="H778">
        <f>VLOOKUP(Medical_Examinations_2[[#This Row],[Customer ID]],Medical_Examinations!$1:$1048576,9,FALSE)</f>
        <v>1</v>
      </c>
      <c r="I778" t="str">
        <f>VLOOKUP(Medical_Examinations_2[[#This Row],[Customer ID]],Medical_Examinations!$1:$1048576,11,FALSE)</f>
        <v>No</v>
      </c>
    </row>
    <row r="779" spans="1:9" x14ac:dyDescent="0.25">
      <c r="A779" s="11" t="s">
        <v>809</v>
      </c>
      <c r="B779" t="str">
        <f>VLOOKUP(Customer_Names!A779,Customer_Names!$1:$1048576,4,FALSE)</f>
        <v>Tennille</v>
      </c>
      <c r="C779">
        <f>VLOOKUP(Medical_Examinations_2[[#This Row],[Customer ID]],Medical_Examinations!$1:$1048576,2,FALSE)</f>
        <v>47.19</v>
      </c>
      <c r="D779">
        <f>VLOOKUP(Medical_Examinations_2[[#This Row],[Customer ID]],Medical_Examinations!$1:$1048576,4,FALSE)</f>
        <v>5.29</v>
      </c>
      <c r="E779" t="str">
        <f>VLOOKUP(Medical_Examinations_2[[#This Row],[Customer ID]],Medical_Examinations!$1:$1048576,6,FALSE)</f>
        <v>No</v>
      </c>
      <c r="H779" t="str">
        <f>VLOOKUP(Medical_Examinations_2[[#This Row],[Customer ID]],Medical_Examinations!$1:$1048576,9,FALSE)</f>
        <v>No major surgery</v>
      </c>
      <c r="I779" t="str">
        <f>VLOOKUP(Medical_Examinations_2[[#This Row],[Customer ID]],Medical_Examinations!$1:$1048576,11,FALSE)</f>
        <v>No</v>
      </c>
    </row>
    <row r="780" spans="1:9" x14ac:dyDescent="0.25">
      <c r="A780" s="10" t="s">
        <v>810</v>
      </c>
      <c r="B780" t="str">
        <f>VLOOKUP(Customer_Names!A780,Customer_Names!$1:$1048576,4,FALSE)</f>
        <v>Matt</v>
      </c>
      <c r="C780">
        <f>VLOOKUP(Medical_Examinations_2[[#This Row],[Customer ID]],Medical_Examinations!$1:$1048576,2,FALSE)</f>
        <v>30.02</v>
      </c>
      <c r="D780">
        <f>VLOOKUP(Medical_Examinations_2[[#This Row],[Customer ID]],Medical_Examinations!$1:$1048576,4,FALSE)</f>
        <v>6.65</v>
      </c>
      <c r="E780" t="str">
        <f>VLOOKUP(Medical_Examinations_2[[#This Row],[Customer ID]],Medical_Examinations!$1:$1048576,6,FALSE)</f>
        <v>No</v>
      </c>
      <c r="H780" t="str">
        <f>VLOOKUP(Medical_Examinations_2[[#This Row],[Customer ID]],Medical_Examinations!$1:$1048576,9,FALSE)</f>
        <v>No major surgery</v>
      </c>
      <c r="I780" t="str">
        <f>VLOOKUP(Medical_Examinations_2[[#This Row],[Customer ID]],Medical_Examinations!$1:$1048576,11,FALSE)</f>
        <v>No</v>
      </c>
    </row>
    <row r="781" spans="1:9" x14ac:dyDescent="0.25">
      <c r="A781" s="11" t="s">
        <v>811</v>
      </c>
      <c r="B781" t="str">
        <f>VLOOKUP(Customer_Names!A781,Customer_Names!$1:$1048576,4,FALSE)</f>
        <v>Emily</v>
      </c>
      <c r="C781">
        <f>VLOOKUP(Medical_Examinations_2[[#This Row],[Customer ID]],Medical_Examinations!$1:$1048576,2,FALSE)</f>
        <v>37.909999999999997</v>
      </c>
      <c r="D781">
        <f>VLOOKUP(Medical_Examinations_2[[#This Row],[Customer ID]],Medical_Examinations!$1:$1048576,4,FALSE)</f>
        <v>5.68</v>
      </c>
      <c r="E781" t="str">
        <f>VLOOKUP(Medical_Examinations_2[[#This Row],[Customer ID]],Medical_Examinations!$1:$1048576,6,FALSE)</f>
        <v>Yes</v>
      </c>
      <c r="H781" t="str">
        <f>VLOOKUP(Medical_Examinations_2[[#This Row],[Customer ID]],Medical_Examinations!$1:$1048576,9,FALSE)</f>
        <v>No major surgery</v>
      </c>
      <c r="I781" t="str">
        <f>VLOOKUP(Medical_Examinations_2[[#This Row],[Customer ID]],Medical_Examinations!$1:$1048576,11,FALSE)</f>
        <v>No</v>
      </c>
    </row>
    <row r="782" spans="1:9" x14ac:dyDescent="0.25">
      <c r="A782" s="10" t="s">
        <v>812</v>
      </c>
      <c r="B782" t="str">
        <f>VLOOKUP(Customer_Names!A782,Customer_Names!$1:$1048576,4,FALSE)</f>
        <v>Justin E</v>
      </c>
      <c r="C782">
        <f>VLOOKUP(Medical_Examinations_2[[#This Row],[Customer ID]],Medical_Examinations!$1:$1048576,2,FALSE)</f>
        <v>54.61</v>
      </c>
      <c r="D782">
        <f>VLOOKUP(Medical_Examinations_2[[#This Row],[Customer ID]],Medical_Examinations!$1:$1048576,4,FALSE)</f>
        <v>4.49</v>
      </c>
      <c r="E782" t="str">
        <f>VLOOKUP(Medical_Examinations_2[[#This Row],[Customer ID]],Medical_Examinations!$1:$1048576,6,FALSE)</f>
        <v>No</v>
      </c>
      <c r="H782" t="str">
        <f>VLOOKUP(Medical_Examinations_2[[#This Row],[Customer ID]],Medical_Examinations!$1:$1048576,9,FALSE)</f>
        <v>No major surgery</v>
      </c>
      <c r="I782" t="str">
        <f>VLOOKUP(Medical_Examinations_2[[#This Row],[Customer ID]],Medical_Examinations!$1:$1048576,11,FALSE)</f>
        <v>No</v>
      </c>
    </row>
    <row r="783" spans="1:9" x14ac:dyDescent="0.25">
      <c r="A783" s="11" t="s">
        <v>813</v>
      </c>
      <c r="B783" t="str">
        <f>VLOOKUP(Customer_Names!A783,Customer_Names!$1:$1048576,4,FALSE)</f>
        <v>Shalane</v>
      </c>
      <c r="C783">
        <f>VLOOKUP(Medical_Examinations_2[[#This Row],[Customer ID]],Medical_Examinations!$1:$1048576,2,FALSE)</f>
        <v>36.005000000000003</v>
      </c>
      <c r="D783">
        <f>VLOOKUP(Medical_Examinations_2[[#This Row],[Customer ID]],Medical_Examinations!$1:$1048576,4,FALSE)</f>
        <v>6.9</v>
      </c>
      <c r="E783" t="str">
        <f>VLOOKUP(Medical_Examinations_2[[#This Row],[Customer ID]],Medical_Examinations!$1:$1048576,6,FALSE)</f>
        <v>No</v>
      </c>
      <c r="H783" t="str">
        <f>VLOOKUP(Medical_Examinations_2[[#This Row],[Customer ID]],Medical_Examinations!$1:$1048576,9,FALSE)</f>
        <v>No major surgery</v>
      </c>
      <c r="I783" t="str">
        <f>VLOOKUP(Medical_Examinations_2[[#This Row],[Customer ID]],Medical_Examinations!$1:$1048576,11,FALSE)</f>
        <v>No</v>
      </c>
    </row>
    <row r="784" spans="1:9" x14ac:dyDescent="0.25">
      <c r="A784" s="10" t="s">
        <v>814</v>
      </c>
      <c r="B784" t="str">
        <f>VLOOKUP(Customer_Names!A784,Customer_Names!$1:$1048576,4,FALSE)</f>
        <v>Jessica N.</v>
      </c>
      <c r="C784">
        <f>VLOOKUP(Medical_Examinations_2[[#This Row],[Customer ID]],Medical_Examinations!$1:$1048576,2,FALSE)</f>
        <v>28.7</v>
      </c>
      <c r="D784">
        <f>VLOOKUP(Medical_Examinations_2[[#This Row],[Customer ID]],Medical_Examinations!$1:$1048576,4,FALSE)</f>
        <v>11.52</v>
      </c>
      <c r="E784" t="str">
        <f>VLOOKUP(Medical_Examinations_2[[#This Row],[Customer ID]],Medical_Examinations!$1:$1048576,6,FALSE)</f>
        <v>No</v>
      </c>
      <c r="H784" t="str">
        <f>VLOOKUP(Medical_Examinations_2[[#This Row],[Customer ID]],Medical_Examinations!$1:$1048576,9,FALSE)</f>
        <v>No major surgery</v>
      </c>
      <c r="I784" t="str">
        <f>VLOOKUP(Medical_Examinations_2[[#This Row],[Customer ID]],Medical_Examinations!$1:$1048576,11,FALSE)</f>
        <v>No</v>
      </c>
    </row>
    <row r="785" spans="1:9" x14ac:dyDescent="0.25">
      <c r="A785" s="11" t="s">
        <v>815</v>
      </c>
      <c r="B785" t="str">
        <f>VLOOKUP(Customer_Names!A785,Customer_Names!$1:$1048576,4,FALSE)</f>
        <v>Melanie</v>
      </c>
      <c r="C785">
        <f>VLOOKUP(Medical_Examinations_2[[#This Row],[Customer ID]],Medical_Examinations!$1:$1048576,2,FALSE)</f>
        <v>34.295000000000002</v>
      </c>
      <c r="D785">
        <f>VLOOKUP(Medical_Examinations_2[[#This Row],[Customer ID]],Medical_Examinations!$1:$1048576,4,FALSE)</f>
        <v>11.24</v>
      </c>
      <c r="E785" t="str">
        <f>VLOOKUP(Medical_Examinations_2[[#This Row],[Customer ID]],Medical_Examinations!$1:$1048576,6,FALSE)</f>
        <v>No</v>
      </c>
      <c r="H785" t="str">
        <f>VLOOKUP(Medical_Examinations_2[[#This Row],[Customer ID]],Medical_Examinations!$1:$1048576,9,FALSE)</f>
        <v>No major surgery</v>
      </c>
      <c r="I785" t="str">
        <f>VLOOKUP(Medical_Examinations_2[[#This Row],[Customer ID]],Medical_Examinations!$1:$1048576,11,FALSE)</f>
        <v>No</v>
      </c>
    </row>
    <row r="786" spans="1:9" x14ac:dyDescent="0.25">
      <c r="A786" s="10" t="s">
        <v>816</v>
      </c>
      <c r="B786" t="str">
        <f>VLOOKUP(Customer_Names!A786,Customer_Names!$1:$1048576,4,FALSE)</f>
        <v>Ms.  Ruth Angelica</v>
      </c>
      <c r="C786">
        <f>VLOOKUP(Medical_Examinations_2[[#This Row],[Customer ID]],Medical_Examinations!$1:$1048576,2,FALSE)</f>
        <v>27.55</v>
      </c>
      <c r="D786">
        <f>VLOOKUP(Medical_Examinations_2[[#This Row],[Customer ID]],Medical_Examinations!$1:$1048576,4,FALSE)</f>
        <v>10.98</v>
      </c>
      <c r="E786" t="str">
        <f>VLOOKUP(Medical_Examinations_2[[#This Row],[Customer ID]],Medical_Examinations!$1:$1048576,6,FALSE)</f>
        <v>No</v>
      </c>
      <c r="H786" t="str">
        <f>VLOOKUP(Medical_Examinations_2[[#This Row],[Customer ID]],Medical_Examinations!$1:$1048576,9,FALSE)</f>
        <v>No major surgery</v>
      </c>
      <c r="I786" t="str">
        <f>VLOOKUP(Medical_Examinations_2[[#This Row],[Customer ID]],Medical_Examinations!$1:$1048576,11,FALSE)</f>
        <v>No</v>
      </c>
    </row>
    <row r="787" spans="1:9" x14ac:dyDescent="0.25">
      <c r="A787" s="11" t="s">
        <v>817</v>
      </c>
      <c r="B787" t="str">
        <f>VLOOKUP(Customer_Names!A787,Customer_Names!$1:$1048576,4,FALSE)</f>
        <v>Una M</v>
      </c>
      <c r="C787">
        <f>VLOOKUP(Medical_Examinations_2[[#This Row],[Customer ID]],Medical_Examinations!$1:$1048576,2,FALSE)</f>
        <v>40.700000000000003</v>
      </c>
      <c r="D787">
        <f>VLOOKUP(Medical_Examinations_2[[#This Row],[Customer ID]],Medical_Examinations!$1:$1048576,4,FALSE)</f>
        <v>5.42</v>
      </c>
      <c r="E787" t="str">
        <f>VLOOKUP(Medical_Examinations_2[[#This Row],[Customer ID]],Medical_Examinations!$1:$1048576,6,FALSE)</f>
        <v>No</v>
      </c>
      <c r="H787" t="str">
        <f>VLOOKUP(Medical_Examinations_2[[#This Row],[Customer ID]],Medical_Examinations!$1:$1048576,9,FALSE)</f>
        <v>No major surgery</v>
      </c>
      <c r="I787" t="str">
        <f>VLOOKUP(Medical_Examinations_2[[#This Row],[Customer ID]],Medical_Examinations!$1:$1048576,11,FALSE)</f>
        <v>No</v>
      </c>
    </row>
    <row r="788" spans="1:9" x14ac:dyDescent="0.25">
      <c r="A788" s="10" t="s">
        <v>818</v>
      </c>
      <c r="B788" t="str">
        <f>VLOOKUP(Customer_Names!A788,Customer_Names!$1:$1048576,4,FALSE)</f>
        <v>Taralyn</v>
      </c>
      <c r="C788">
        <f>VLOOKUP(Medical_Examinations_2[[#This Row],[Customer ID]],Medical_Examinations!$1:$1048576,2,FALSE)</f>
        <v>18.335000000000001</v>
      </c>
      <c r="D788">
        <f>VLOOKUP(Medical_Examinations_2[[#This Row],[Customer ID]],Medical_Examinations!$1:$1048576,4,FALSE)</f>
        <v>10.97</v>
      </c>
      <c r="E788" t="str">
        <f>VLOOKUP(Medical_Examinations_2[[#This Row],[Customer ID]],Medical_Examinations!$1:$1048576,6,FALSE)</f>
        <v>No</v>
      </c>
      <c r="H788" t="str">
        <f>VLOOKUP(Medical_Examinations_2[[#This Row],[Customer ID]],Medical_Examinations!$1:$1048576,9,FALSE)</f>
        <v>No major surgery</v>
      </c>
      <c r="I788" t="str">
        <f>VLOOKUP(Medical_Examinations_2[[#This Row],[Customer ID]],Medical_Examinations!$1:$1048576,11,FALSE)</f>
        <v>No</v>
      </c>
    </row>
    <row r="789" spans="1:9" x14ac:dyDescent="0.25">
      <c r="A789" s="11" t="s">
        <v>819</v>
      </c>
      <c r="B789" t="str">
        <f>VLOOKUP(Customer_Names!A789,Customer_Names!$1:$1048576,4,FALSE)</f>
        <v>James A</v>
      </c>
      <c r="C789">
        <f>VLOOKUP(Medical_Examinations_2[[#This Row],[Customer ID]],Medical_Examinations!$1:$1048576,2,FALSE)</f>
        <v>33.914999999999999</v>
      </c>
      <c r="D789">
        <f>VLOOKUP(Medical_Examinations_2[[#This Row],[Customer ID]],Medical_Examinations!$1:$1048576,4,FALSE)</f>
        <v>9.56</v>
      </c>
      <c r="E789" t="str">
        <f>VLOOKUP(Medical_Examinations_2[[#This Row],[Customer ID]],Medical_Examinations!$1:$1048576,6,FALSE)</f>
        <v>Yes</v>
      </c>
      <c r="H789">
        <f>VLOOKUP(Medical_Examinations_2[[#This Row],[Customer ID]],Medical_Examinations!$1:$1048576,9,FALSE)</f>
        <v>2</v>
      </c>
      <c r="I789" t="str">
        <f>VLOOKUP(Medical_Examinations_2[[#This Row],[Customer ID]],Medical_Examinations!$1:$1048576,11,FALSE)</f>
        <v>No</v>
      </c>
    </row>
    <row r="790" spans="1:9" x14ac:dyDescent="0.25">
      <c r="A790" s="10" t="s">
        <v>820</v>
      </c>
      <c r="B790" t="str">
        <f>VLOOKUP(Customer_Names!A790,Customer_Names!$1:$1048576,4,FALSE)</f>
        <v>Ning</v>
      </c>
      <c r="C790">
        <f>VLOOKUP(Medical_Examinations_2[[#This Row],[Customer ID]],Medical_Examinations!$1:$1048576,2,FALSE)</f>
        <v>33.534999999999997</v>
      </c>
      <c r="D790">
        <f>VLOOKUP(Medical_Examinations_2[[#This Row],[Customer ID]],Medical_Examinations!$1:$1048576,4,FALSE)</f>
        <v>9.4</v>
      </c>
      <c r="E790" t="str">
        <f>VLOOKUP(Medical_Examinations_2[[#This Row],[Customer ID]],Medical_Examinations!$1:$1048576,6,FALSE)</f>
        <v>Yes</v>
      </c>
      <c r="H790">
        <f>VLOOKUP(Medical_Examinations_2[[#This Row],[Customer ID]],Medical_Examinations!$1:$1048576,9,FALSE)</f>
        <v>2</v>
      </c>
      <c r="I790" t="str">
        <f>VLOOKUP(Medical_Examinations_2[[#This Row],[Customer ID]],Medical_Examinations!$1:$1048576,11,FALSE)</f>
        <v>No</v>
      </c>
    </row>
    <row r="791" spans="1:9" x14ac:dyDescent="0.25">
      <c r="A791" s="11" t="s">
        <v>821</v>
      </c>
      <c r="B791" t="str">
        <f>VLOOKUP(Customer_Names!A791,Customer_Names!$1:$1048576,4,FALSE)</f>
        <v>Mr.  Joel</v>
      </c>
      <c r="C791">
        <f>VLOOKUP(Medical_Examinations_2[[#This Row],[Customer ID]],Medical_Examinations!$1:$1048576,2,FALSE)</f>
        <v>23.655000000000001</v>
      </c>
      <c r="D791">
        <f>VLOOKUP(Medical_Examinations_2[[#This Row],[Customer ID]],Medical_Examinations!$1:$1048576,4,FALSE)</f>
        <v>8.48</v>
      </c>
      <c r="E791" t="str">
        <f>VLOOKUP(Medical_Examinations_2[[#This Row],[Customer ID]],Medical_Examinations!$1:$1048576,6,FALSE)</f>
        <v>Yes</v>
      </c>
      <c r="H791">
        <f>VLOOKUP(Medical_Examinations_2[[#This Row],[Customer ID]],Medical_Examinations!$1:$1048576,9,FALSE)</f>
        <v>2</v>
      </c>
      <c r="I791" t="str">
        <f>VLOOKUP(Medical_Examinations_2[[#This Row],[Customer ID]],Medical_Examinations!$1:$1048576,11,FALSE)</f>
        <v>No</v>
      </c>
    </row>
    <row r="792" spans="1:9" x14ac:dyDescent="0.25">
      <c r="A792" s="10" t="s">
        <v>822</v>
      </c>
      <c r="B792" t="str">
        <f>VLOOKUP(Customer_Names!A792,Customer_Names!$1:$1048576,4,FALSE)</f>
        <v>Pamela J.</v>
      </c>
      <c r="C792">
        <f>VLOOKUP(Medical_Examinations_2[[#This Row],[Customer ID]],Medical_Examinations!$1:$1048576,2,FALSE)</f>
        <v>28</v>
      </c>
      <c r="D792">
        <f>VLOOKUP(Medical_Examinations_2[[#This Row],[Customer ID]],Medical_Examinations!$1:$1048576,4,FALSE)</f>
        <v>5.57</v>
      </c>
      <c r="E792" t="str">
        <f>VLOOKUP(Medical_Examinations_2[[#This Row],[Customer ID]],Medical_Examinations!$1:$1048576,6,FALSE)</f>
        <v>No</v>
      </c>
      <c r="H792" t="str">
        <f>VLOOKUP(Medical_Examinations_2[[#This Row],[Customer ID]],Medical_Examinations!$1:$1048576,9,FALSE)</f>
        <v>No major surgery</v>
      </c>
      <c r="I792" t="str">
        <f>VLOOKUP(Medical_Examinations_2[[#This Row],[Customer ID]],Medical_Examinations!$1:$1048576,11,FALSE)</f>
        <v>No</v>
      </c>
    </row>
    <row r="793" spans="1:9" x14ac:dyDescent="0.25">
      <c r="A793" s="11" t="s">
        <v>823</v>
      </c>
      <c r="B793" t="str">
        <f>VLOOKUP(Customer_Names!A793,Customer_Names!$1:$1048576,4,FALSE)</f>
        <v>Brittney</v>
      </c>
      <c r="C793">
        <f>VLOOKUP(Medical_Examinations_2[[#This Row],[Customer ID]],Medical_Examinations!$1:$1048576,2,FALSE)</f>
        <v>30.23</v>
      </c>
      <c r="D793">
        <f>VLOOKUP(Medical_Examinations_2[[#This Row],[Customer ID]],Medical_Examinations!$1:$1048576,4,FALSE)</f>
        <v>6.94</v>
      </c>
      <c r="E793" t="str">
        <f>VLOOKUP(Medical_Examinations_2[[#This Row],[Customer ID]],Medical_Examinations!$1:$1048576,6,FALSE)</f>
        <v>Yes</v>
      </c>
      <c r="H793">
        <f>VLOOKUP(Medical_Examinations_2[[#This Row],[Customer ID]],Medical_Examinations!$1:$1048576,9,FALSE)</f>
        <v>1</v>
      </c>
      <c r="I793" t="str">
        <f>VLOOKUP(Medical_Examinations_2[[#This Row],[Customer ID]],Medical_Examinations!$1:$1048576,11,FALSE)</f>
        <v>No</v>
      </c>
    </row>
    <row r="794" spans="1:9" x14ac:dyDescent="0.25">
      <c r="A794" s="10" t="s">
        <v>824</v>
      </c>
      <c r="B794" t="str">
        <f>VLOOKUP(Customer_Names!A794,Customer_Names!$1:$1048576,4,FALSE)</f>
        <v>Sheila</v>
      </c>
      <c r="C794">
        <f>VLOOKUP(Medical_Examinations_2[[#This Row],[Customer ID]],Medical_Examinations!$1:$1048576,2,FALSE)</f>
        <v>51.14</v>
      </c>
      <c r="D794">
        <f>VLOOKUP(Medical_Examinations_2[[#This Row],[Customer ID]],Medical_Examinations!$1:$1048576,4,FALSE)</f>
        <v>4.05</v>
      </c>
      <c r="E794" t="str">
        <f>VLOOKUP(Medical_Examinations_2[[#This Row],[Customer ID]],Medical_Examinations!$1:$1048576,6,FALSE)</f>
        <v>No</v>
      </c>
      <c r="H794">
        <f>VLOOKUP(Medical_Examinations_2[[#This Row],[Customer ID]],Medical_Examinations!$1:$1048576,9,FALSE)</f>
        <v>1</v>
      </c>
      <c r="I794" t="str">
        <f>VLOOKUP(Medical_Examinations_2[[#This Row],[Customer ID]],Medical_Examinations!$1:$1048576,11,FALSE)</f>
        <v>No</v>
      </c>
    </row>
    <row r="795" spans="1:9" x14ac:dyDescent="0.25">
      <c r="A795" s="11" t="s">
        <v>825</v>
      </c>
      <c r="B795" t="str">
        <f>VLOOKUP(Customer_Names!A795,Customer_Names!$1:$1048576,4,FALSE)</f>
        <v>Koji</v>
      </c>
      <c r="C795">
        <f>VLOOKUP(Medical_Examinations_2[[#This Row],[Customer ID]],Medical_Examinations!$1:$1048576,2,FALSE)</f>
        <v>24.32</v>
      </c>
      <c r="D795">
        <f>VLOOKUP(Medical_Examinations_2[[#This Row],[Customer ID]],Medical_Examinations!$1:$1048576,4,FALSE)</f>
        <v>10.220000000000001</v>
      </c>
      <c r="E795" t="str">
        <f>VLOOKUP(Medical_Examinations_2[[#This Row],[Customer ID]],Medical_Examinations!$1:$1048576,6,FALSE)</f>
        <v>No</v>
      </c>
      <c r="H795" t="str">
        <f>VLOOKUP(Medical_Examinations_2[[#This Row],[Customer ID]],Medical_Examinations!$1:$1048576,9,FALSE)</f>
        <v>No major surgery</v>
      </c>
      <c r="I795" t="str">
        <f>VLOOKUP(Medical_Examinations_2[[#This Row],[Customer ID]],Medical_Examinations!$1:$1048576,11,FALSE)</f>
        <v>No</v>
      </c>
    </row>
    <row r="796" spans="1:9" x14ac:dyDescent="0.25">
      <c r="A796" s="10" t="s">
        <v>826</v>
      </c>
      <c r="B796" t="str">
        <f>VLOOKUP(Customer_Names!A796,Customer_Names!$1:$1048576,4,FALSE)</f>
        <v>Sarah</v>
      </c>
      <c r="C796">
        <f>VLOOKUP(Medical_Examinations_2[[#This Row],[Customer ID]],Medical_Examinations!$1:$1048576,2,FALSE)</f>
        <v>38.06</v>
      </c>
      <c r="D796">
        <f>VLOOKUP(Medical_Examinations_2[[#This Row],[Customer ID]],Medical_Examinations!$1:$1048576,4,FALSE)</f>
        <v>9.24</v>
      </c>
      <c r="E796" t="str">
        <f>VLOOKUP(Medical_Examinations_2[[#This Row],[Customer ID]],Medical_Examinations!$1:$1048576,6,FALSE)</f>
        <v>No</v>
      </c>
      <c r="H796" t="str">
        <f>VLOOKUP(Medical_Examinations_2[[#This Row],[Customer ID]],Medical_Examinations!$1:$1048576,9,FALSE)</f>
        <v>No major surgery</v>
      </c>
      <c r="I796" t="str">
        <f>VLOOKUP(Medical_Examinations_2[[#This Row],[Customer ID]],Medical_Examinations!$1:$1048576,11,FALSE)</f>
        <v>No</v>
      </c>
    </row>
    <row r="797" spans="1:9" x14ac:dyDescent="0.25">
      <c r="A797" s="11" t="s">
        <v>827</v>
      </c>
      <c r="B797" t="str">
        <f>VLOOKUP(Customer_Names!A797,Customer_Names!$1:$1048576,4,FALSE)</f>
        <v>Colleen M</v>
      </c>
      <c r="C797">
        <f>VLOOKUP(Medical_Examinations_2[[#This Row],[Customer ID]],Medical_Examinations!$1:$1048576,2,FALSE)</f>
        <v>37.700000000000003</v>
      </c>
      <c r="D797">
        <f>VLOOKUP(Medical_Examinations_2[[#This Row],[Customer ID]],Medical_Examinations!$1:$1048576,4,FALSE)</f>
        <v>8.6</v>
      </c>
      <c r="E797" t="str">
        <f>VLOOKUP(Medical_Examinations_2[[#This Row],[Customer ID]],Medical_Examinations!$1:$1048576,6,FALSE)</f>
        <v>No</v>
      </c>
      <c r="H797" t="str">
        <f>VLOOKUP(Medical_Examinations_2[[#This Row],[Customer ID]],Medical_Examinations!$1:$1048576,9,FALSE)</f>
        <v>No major surgery</v>
      </c>
      <c r="I797" t="str">
        <f>VLOOKUP(Medical_Examinations_2[[#This Row],[Customer ID]],Medical_Examinations!$1:$1048576,11,FALSE)</f>
        <v>No</v>
      </c>
    </row>
    <row r="798" spans="1:9" x14ac:dyDescent="0.25">
      <c r="A798" s="10" t="s">
        <v>828</v>
      </c>
      <c r="B798" t="str">
        <f>VLOOKUP(Customer_Names!A798,Customer_Names!$1:$1048576,4,FALSE)</f>
        <v>Deedra G.</v>
      </c>
      <c r="C798">
        <f>VLOOKUP(Medical_Examinations_2[[#This Row],[Customer ID]],Medical_Examinations!$1:$1048576,2,FALSE)</f>
        <v>44</v>
      </c>
      <c r="D798">
        <f>VLOOKUP(Medical_Examinations_2[[#This Row],[Customer ID]],Medical_Examinations!$1:$1048576,4,FALSE)</f>
        <v>9.32</v>
      </c>
      <c r="E798" t="str">
        <f>VLOOKUP(Medical_Examinations_2[[#This Row],[Customer ID]],Medical_Examinations!$1:$1048576,6,FALSE)</f>
        <v>Yes</v>
      </c>
      <c r="H798">
        <f>VLOOKUP(Medical_Examinations_2[[#This Row],[Customer ID]],Medical_Examinations!$1:$1048576,9,FALSE)</f>
        <v>2</v>
      </c>
      <c r="I798" t="str">
        <f>VLOOKUP(Medical_Examinations_2[[#This Row],[Customer ID]],Medical_Examinations!$1:$1048576,11,FALSE)</f>
        <v>No</v>
      </c>
    </row>
    <row r="799" spans="1:9" x14ac:dyDescent="0.25">
      <c r="A799" s="11" t="s">
        <v>829</v>
      </c>
      <c r="B799" t="str">
        <f>VLOOKUP(Customer_Names!A799,Customer_Names!$1:$1048576,4,FALSE)</f>
        <v>Kulwinder</v>
      </c>
      <c r="C799">
        <f>VLOOKUP(Medical_Examinations_2[[#This Row],[Customer ID]],Medical_Examinations!$1:$1048576,2,FALSE)</f>
        <v>41.45</v>
      </c>
      <c r="D799">
        <f>VLOOKUP(Medical_Examinations_2[[#This Row],[Customer ID]],Medical_Examinations!$1:$1048576,4,FALSE)</f>
        <v>6.12</v>
      </c>
      <c r="E799" t="str">
        <f>VLOOKUP(Medical_Examinations_2[[#This Row],[Customer ID]],Medical_Examinations!$1:$1048576,6,FALSE)</f>
        <v>Yes</v>
      </c>
      <c r="H799" t="str">
        <f>VLOOKUP(Medical_Examinations_2[[#This Row],[Customer ID]],Medical_Examinations!$1:$1048576,9,FALSE)</f>
        <v>No major surgery</v>
      </c>
      <c r="I799" t="str">
        <f>VLOOKUP(Medical_Examinations_2[[#This Row],[Customer ID]],Medical_Examinations!$1:$1048576,11,FALSE)</f>
        <v>No</v>
      </c>
    </row>
    <row r="800" spans="1:9" x14ac:dyDescent="0.25">
      <c r="A800" s="10" t="s">
        <v>830</v>
      </c>
      <c r="B800" t="str">
        <f>VLOOKUP(Customer_Names!A800,Customer_Names!$1:$1048576,4,FALSE)</f>
        <v>Ann M.</v>
      </c>
      <c r="C800">
        <f>VLOOKUP(Medical_Examinations_2[[#This Row],[Customer ID]],Medical_Examinations!$1:$1048576,2,FALSE)</f>
        <v>25.364999999999998</v>
      </c>
      <c r="D800">
        <f>VLOOKUP(Medical_Examinations_2[[#This Row],[Customer ID]],Medical_Examinations!$1:$1048576,4,FALSE)</f>
        <v>9.19</v>
      </c>
      <c r="E800" t="str">
        <f>VLOOKUP(Medical_Examinations_2[[#This Row],[Customer ID]],Medical_Examinations!$1:$1048576,6,FALSE)</f>
        <v>Yes</v>
      </c>
      <c r="H800" t="str">
        <f>VLOOKUP(Medical_Examinations_2[[#This Row],[Customer ID]],Medical_Examinations!$1:$1048576,9,FALSE)</f>
        <v>No major surgery</v>
      </c>
      <c r="I800" t="str">
        <f>VLOOKUP(Medical_Examinations_2[[#This Row],[Customer ID]],Medical_Examinations!$1:$1048576,11,FALSE)</f>
        <v>No</v>
      </c>
    </row>
    <row r="801" spans="1:9" x14ac:dyDescent="0.25">
      <c r="A801" s="11" t="s">
        <v>831</v>
      </c>
      <c r="B801" t="str">
        <f>VLOOKUP(Customer_Names!A801,Customer_Names!$1:$1048576,4,FALSE)</f>
        <v>Sarah E</v>
      </c>
      <c r="C801">
        <f>VLOOKUP(Medical_Examinations_2[[#This Row],[Customer ID]],Medical_Examinations!$1:$1048576,2,FALSE)</f>
        <v>34.56</v>
      </c>
      <c r="D801">
        <f>VLOOKUP(Medical_Examinations_2[[#This Row],[Customer ID]],Medical_Examinations!$1:$1048576,4,FALSE)</f>
        <v>5.84</v>
      </c>
      <c r="E801" t="str">
        <f>VLOOKUP(Medical_Examinations_2[[#This Row],[Customer ID]],Medical_Examinations!$1:$1048576,6,FALSE)</f>
        <v>Yes</v>
      </c>
      <c r="H801">
        <f>VLOOKUP(Medical_Examinations_2[[#This Row],[Customer ID]],Medical_Examinations!$1:$1048576,9,FALSE)</f>
        <v>1</v>
      </c>
      <c r="I801" t="str">
        <f>VLOOKUP(Medical_Examinations_2[[#This Row],[Customer ID]],Medical_Examinations!$1:$1048576,11,FALSE)</f>
        <v>No</v>
      </c>
    </row>
    <row r="802" spans="1:9" x14ac:dyDescent="0.25">
      <c r="A802" s="10" t="s">
        <v>832</v>
      </c>
      <c r="B802" t="str">
        <f>VLOOKUP(Customer_Names!A802,Customer_Names!$1:$1048576,4,FALSE)</f>
        <v>Apryl J.</v>
      </c>
      <c r="C802">
        <f>VLOOKUP(Medical_Examinations_2[[#This Row],[Customer ID]],Medical_Examinations!$1:$1048576,2,FALSE)</f>
        <v>28.2</v>
      </c>
      <c r="D802">
        <f>VLOOKUP(Medical_Examinations_2[[#This Row],[Customer ID]],Medical_Examinations!$1:$1048576,4,FALSE)</f>
        <v>7.19</v>
      </c>
      <c r="E802" t="str">
        <f>VLOOKUP(Medical_Examinations_2[[#This Row],[Customer ID]],Medical_Examinations!$1:$1048576,6,FALSE)</f>
        <v>Yes</v>
      </c>
      <c r="H802">
        <f>VLOOKUP(Medical_Examinations_2[[#This Row],[Customer ID]],Medical_Examinations!$1:$1048576,9,FALSE)</f>
        <v>2</v>
      </c>
      <c r="I802" t="str">
        <f>VLOOKUP(Medical_Examinations_2[[#This Row],[Customer ID]],Medical_Examinations!$1:$1048576,11,FALSE)</f>
        <v>No</v>
      </c>
    </row>
    <row r="803" spans="1:9" x14ac:dyDescent="0.25">
      <c r="A803" s="11" t="s">
        <v>833</v>
      </c>
      <c r="B803" t="str">
        <f>VLOOKUP(Customer_Names!A803,Customer_Names!$1:$1048576,4,FALSE)</f>
        <v>Ilana</v>
      </c>
      <c r="C803">
        <f>VLOOKUP(Medical_Examinations_2[[#This Row],[Customer ID]],Medical_Examinations!$1:$1048576,2,FALSE)</f>
        <v>30.43</v>
      </c>
      <c r="D803">
        <f>VLOOKUP(Medical_Examinations_2[[#This Row],[Customer ID]],Medical_Examinations!$1:$1048576,4,FALSE)</f>
        <v>9.39</v>
      </c>
      <c r="E803" t="str">
        <f>VLOOKUP(Medical_Examinations_2[[#This Row],[Customer ID]],Medical_Examinations!$1:$1048576,6,FALSE)</f>
        <v>No</v>
      </c>
      <c r="H803" t="str">
        <f>VLOOKUP(Medical_Examinations_2[[#This Row],[Customer ID]],Medical_Examinations!$1:$1048576,9,FALSE)</f>
        <v>No major surgery</v>
      </c>
      <c r="I803" t="str">
        <f>VLOOKUP(Medical_Examinations_2[[#This Row],[Customer ID]],Medical_Examinations!$1:$1048576,11,FALSE)</f>
        <v>No</v>
      </c>
    </row>
    <row r="804" spans="1:9" x14ac:dyDescent="0.25">
      <c r="A804" s="10" t="s">
        <v>834</v>
      </c>
      <c r="B804" t="str">
        <f>VLOOKUP(Customer_Names!A804,Customer_Names!$1:$1048576,4,FALSE)</f>
        <v>Katherine</v>
      </c>
      <c r="C804">
        <f>VLOOKUP(Medical_Examinations_2[[#This Row],[Customer ID]],Medical_Examinations!$1:$1048576,2,FALSE)</f>
        <v>32.395000000000003</v>
      </c>
      <c r="D804">
        <f>VLOOKUP(Medical_Examinations_2[[#This Row],[Customer ID]],Medical_Examinations!$1:$1048576,4,FALSE)</f>
        <v>4.2699999999999996</v>
      </c>
      <c r="E804" t="str">
        <f>VLOOKUP(Medical_Examinations_2[[#This Row],[Customer ID]],Medical_Examinations!$1:$1048576,6,FALSE)</f>
        <v>Yes</v>
      </c>
      <c r="H804">
        <f>VLOOKUP(Medical_Examinations_2[[#This Row],[Customer ID]],Medical_Examinations!$1:$1048576,9,FALSE)</f>
        <v>1</v>
      </c>
      <c r="I804" t="str">
        <f>VLOOKUP(Medical_Examinations_2[[#This Row],[Customer ID]],Medical_Examinations!$1:$1048576,11,FALSE)</f>
        <v>No</v>
      </c>
    </row>
    <row r="805" spans="1:9" x14ac:dyDescent="0.25">
      <c r="A805" s="11" t="s">
        <v>835</v>
      </c>
      <c r="B805" t="str">
        <f>VLOOKUP(Customer_Names!A805,Customer_Names!$1:$1048576,4,FALSE)</f>
        <v>Katherine</v>
      </c>
      <c r="C805">
        <f>VLOOKUP(Medical_Examinations_2[[#This Row],[Customer ID]],Medical_Examinations!$1:$1048576,2,FALSE)</f>
        <v>24.035</v>
      </c>
      <c r="D805">
        <f>VLOOKUP(Medical_Examinations_2[[#This Row],[Customer ID]],Medical_Examinations!$1:$1048576,4,FALSE)</f>
        <v>11.71</v>
      </c>
      <c r="E805" t="str">
        <f>VLOOKUP(Medical_Examinations_2[[#This Row],[Customer ID]],Medical_Examinations!$1:$1048576,6,FALSE)</f>
        <v>No</v>
      </c>
      <c r="H805" t="str">
        <f>VLOOKUP(Medical_Examinations_2[[#This Row],[Customer ID]],Medical_Examinations!$1:$1048576,9,FALSE)</f>
        <v>No major surgery</v>
      </c>
      <c r="I805" t="str">
        <f>VLOOKUP(Medical_Examinations_2[[#This Row],[Customer ID]],Medical_Examinations!$1:$1048576,11,FALSE)</f>
        <v>No</v>
      </c>
    </row>
    <row r="806" spans="1:9" x14ac:dyDescent="0.25">
      <c r="A806" s="10" t="s">
        <v>836</v>
      </c>
      <c r="B806" t="str">
        <f>VLOOKUP(Customer_Names!A806,Customer_Names!$1:$1048576,4,FALSE)</f>
        <v>Karl</v>
      </c>
      <c r="C806">
        <f>VLOOKUP(Medical_Examinations_2[[#This Row],[Customer ID]],Medical_Examinations!$1:$1048576,2,FALSE)</f>
        <v>37.119999999999997</v>
      </c>
      <c r="D806">
        <f>VLOOKUP(Medical_Examinations_2[[#This Row],[Customer ID]],Medical_Examinations!$1:$1048576,4,FALSE)</f>
        <v>5.29</v>
      </c>
      <c r="E806" t="str">
        <f>VLOOKUP(Medical_Examinations_2[[#This Row],[Customer ID]],Medical_Examinations!$1:$1048576,6,FALSE)</f>
        <v>No</v>
      </c>
      <c r="H806">
        <f>VLOOKUP(Medical_Examinations_2[[#This Row],[Customer ID]],Medical_Examinations!$1:$1048576,9,FALSE)</f>
        <v>2</v>
      </c>
      <c r="I806" t="str">
        <f>VLOOKUP(Medical_Examinations_2[[#This Row],[Customer ID]],Medical_Examinations!$1:$1048576,11,FALSE)</f>
        <v>No</v>
      </c>
    </row>
    <row r="807" spans="1:9" x14ac:dyDescent="0.25">
      <c r="A807" s="11" t="s">
        <v>837</v>
      </c>
      <c r="B807" t="str">
        <f>VLOOKUP(Customer_Names!A807,Customer_Names!$1:$1048576,4,FALSE)</f>
        <v>Stephen</v>
      </c>
      <c r="C807">
        <f>VLOOKUP(Medical_Examinations_2[[#This Row],[Customer ID]],Medical_Examinations!$1:$1048576,2,FALSE)</f>
        <v>34.840000000000003</v>
      </c>
      <c r="D807">
        <f>VLOOKUP(Medical_Examinations_2[[#This Row],[Customer ID]],Medical_Examinations!$1:$1048576,4,FALSE)</f>
        <v>6</v>
      </c>
      <c r="E807" t="str">
        <f>VLOOKUP(Medical_Examinations_2[[#This Row],[Customer ID]],Medical_Examinations!$1:$1048576,6,FALSE)</f>
        <v>Yes</v>
      </c>
      <c r="H807">
        <f>VLOOKUP(Medical_Examinations_2[[#This Row],[Customer ID]],Medical_Examinations!$1:$1048576,9,FALSE)</f>
        <v>1</v>
      </c>
      <c r="I807" t="str">
        <f>VLOOKUP(Medical_Examinations_2[[#This Row],[Customer ID]],Medical_Examinations!$1:$1048576,11,FALSE)</f>
        <v>No</v>
      </c>
    </row>
    <row r="808" spans="1:9" x14ac:dyDescent="0.25">
      <c r="A808" s="10" t="s">
        <v>838</v>
      </c>
      <c r="B808" t="str">
        <f>VLOOKUP(Customer_Names!A808,Customer_Names!$1:$1048576,4,FALSE)</f>
        <v>Will</v>
      </c>
      <c r="C808">
        <f>VLOOKUP(Medical_Examinations_2[[#This Row],[Customer ID]],Medical_Examinations!$1:$1048576,2,FALSE)</f>
        <v>29.53</v>
      </c>
      <c r="D808">
        <f>VLOOKUP(Medical_Examinations_2[[#This Row],[Customer ID]],Medical_Examinations!$1:$1048576,4,FALSE)</f>
        <v>10.64</v>
      </c>
      <c r="E808" t="str">
        <f>VLOOKUP(Medical_Examinations_2[[#This Row],[Customer ID]],Medical_Examinations!$1:$1048576,6,FALSE)</f>
        <v>No</v>
      </c>
      <c r="H808" t="str">
        <f>VLOOKUP(Medical_Examinations_2[[#This Row],[Customer ID]],Medical_Examinations!$1:$1048576,9,FALSE)</f>
        <v>No major surgery</v>
      </c>
      <c r="I808" t="str">
        <f>VLOOKUP(Medical_Examinations_2[[#This Row],[Customer ID]],Medical_Examinations!$1:$1048576,11,FALSE)</f>
        <v>No</v>
      </c>
    </row>
    <row r="809" spans="1:9" x14ac:dyDescent="0.25">
      <c r="A809" s="11" t="s">
        <v>839</v>
      </c>
      <c r="B809" t="str">
        <f>VLOOKUP(Customer_Names!A809,Customer_Names!$1:$1048576,4,FALSE)</f>
        <v>Bradley D</v>
      </c>
      <c r="C809">
        <f>VLOOKUP(Medical_Examinations_2[[#This Row],[Customer ID]],Medical_Examinations!$1:$1048576,2,FALSE)</f>
        <v>42.51</v>
      </c>
      <c r="D809">
        <f>VLOOKUP(Medical_Examinations_2[[#This Row],[Customer ID]],Medical_Examinations!$1:$1048576,4,FALSE)</f>
        <v>8.2100000000000009</v>
      </c>
      <c r="E809" t="str">
        <f>VLOOKUP(Medical_Examinations_2[[#This Row],[Customer ID]],Medical_Examinations!$1:$1048576,6,FALSE)</f>
        <v>Yes</v>
      </c>
      <c r="H809" t="str">
        <f>VLOOKUP(Medical_Examinations_2[[#This Row],[Customer ID]],Medical_Examinations!$1:$1048576,9,FALSE)</f>
        <v>No major surgery</v>
      </c>
      <c r="I809" t="str">
        <f>VLOOKUP(Medical_Examinations_2[[#This Row],[Customer ID]],Medical_Examinations!$1:$1048576,11,FALSE)</f>
        <v>No</v>
      </c>
    </row>
    <row r="810" spans="1:9" x14ac:dyDescent="0.25">
      <c r="A810" s="10" t="s">
        <v>840</v>
      </c>
      <c r="B810" t="str">
        <f>VLOOKUP(Customer_Names!A810,Customer_Names!$1:$1048576,4,FALSE)</f>
        <v>Amy M</v>
      </c>
      <c r="C810">
        <f>VLOOKUP(Medical_Examinations_2[[#This Row],[Customer ID]],Medical_Examinations!$1:$1048576,2,FALSE)</f>
        <v>38.14</v>
      </c>
      <c r="D810">
        <f>VLOOKUP(Medical_Examinations_2[[#This Row],[Customer ID]],Medical_Examinations!$1:$1048576,4,FALSE)</f>
        <v>5.58</v>
      </c>
      <c r="E810" t="str">
        <f>VLOOKUP(Medical_Examinations_2[[#This Row],[Customer ID]],Medical_Examinations!$1:$1048576,6,FALSE)</f>
        <v>No</v>
      </c>
      <c r="H810">
        <f>VLOOKUP(Medical_Examinations_2[[#This Row],[Customer ID]],Medical_Examinations!$1:$1048576,9,FALSE)</f>
        <v>1</v>
      </c>
      <c r="I810" t="str">
        <f>VLOOKUP(Medical_Examinations_2[[#This Row],[Customer ID]],Medical_Examinations!$1:$1048576,11,FALSE)</f>
        <v>No</v>
      </c>
    </row>
    <row r="811" spans="1:9" x14ac:dyDescent="0.25">
      <c r="A811" s="11" t="s">
        <v>841</v>
      </c>
      <c r="B811" t="str">
        <f>VLOOKUP(Customer_Names!A811,Customer_Names!$1:$1048576,4,FALSE)</f>
        <v>Matthew W.</v>
      </c>
      <c r="C811">
        <f>VLOOKUP(Medical_Examinations_2[[#This Row],[Customer ID]],Medical_Examinations!$1:$1048576,2,FALSE)</f>
        <v>39.93</v>
      </c>
      <c r="D811">
        <f>VLOOKUP(Medical_Examinations_2[[#This Row],[Customer ID]],Medical_Examinations!$1:$1048576,4,FALSE)</f>
        <v>8.75</v>
      </c>
      <c r="E811" t="str">
        <f>VLOOKUP(Medical_Examinations_2[[#This Row],[Customer ID]],Medical_Examinations!$1:$1048576,6,FALSE)</f>
        <v>No</v>
      </c>
      <c r="H811" t="str">
        <f>VLOOKUP(Medical_Examinations_2[[#This Row],[Customer ID]],Medical_Examinations!$1:$1048576,9,FALSE)</f>
        <v>No major surgery</v>
      </c>
      <c r="I811" t="str">
        <f>VLOOKUP(Medical_Examinations_2[[#This Row],[Customer ID]],Medical_Examinations!$1:$1048576,11,FALSE)</f>
        <v>No</v>
      </c>
    </row>
    <row r="812" spans="1:9" x14ac:dyDescent="0.25">
      <c r="A812" s="10" t="s">
        <v>842</v>
      </c>
      <c r="B812" t="str">
        <f>VLOOKUP(Customer_Names!A812,Customer_Names!$1:$1048576,4,FALSE)</f>
        <v>Doug</v>
      </c>
      <c r="C812">
        <f>VLOOKUP(Medical_Examinations_2[[#This Row],[Customer ID]],Medical_Examinations!$1:$1048576,2,FALSE)</f>
        <v>38.83</v>
      </c>
      <c r="D812">
        <f>VLOOKUP(Medical_Examinations_2[[#This Row],[Customer ID]],Medical_Examinations!$1:$1048576,4,FALSE)</f>
        <v>11.86</v>
      </c>
      <c r="E812" t="str">
        <f>VLOOKUP(Medical_Examinations_2[[#This Row],[Customer ID]],Medical_Examinations!$1:$1048576,6,FALSE)</f>
        <v>No</v>
      </c>
      <c r="H812" t="str">
        <f>VLOOKUP(Medical_Examinations_2[[#This Row],[Customer ID]],Medical_Examinations!$1:$1048576,9,FALSE)</f>
        <v>No major surgery</v>
      </c>
      <c r="I812" t="str">
        <f>VLOOKUP(Medical_Examinations_2[[#This Row],[Customer ID]],Medical_Examinations!$1:$1048576,11,FALSE)</f>
        <v>No</v>
      </c>
    </row>
    <row r="813" spans="1:9" x14ac:dyDescent="0.25">
      <c r="A813" s="11" t="s">
        <v>843</v>
      </c>
      <c r="B813" t="str">
        <f>VLOOKUP(Customer_Names!A813,Customer_Names!$1:$1048576,4,FALSE)</f>
        <v>Tom</v>
      </c>
      <c r="C813">
        <f>VLOOKUP(Medical_Examinations_2[[#This Row],[Customer ID]],Medical_Examinations!$1:$1048576,2,FALSE)</f>
        <v>37.4</v>
      </c>
      <c r="D813">
        <f>VLOOKUP(Medical_Examinations_2[[#This Row],[Customer ID]],Medical_Examinations!$1:$1048576,4,FALSE)</f>
        <v>11.46</v>
      </c>
      <c r="E813" t="str">
        <f>VLOOKUP(Medical_Examinations_2[[#This Row],[Customer ID]],Medical_Examinations!$1:$1048576,6,FALSE)</f>
        <v>No</v>
      </c>
      <c r="H813" t="str">
        <f>VLOOKUP(Medical_Examinations_2[[#This Row],[Customer ID]],Medical_Examinations!$1:$1048576,9,FALSE)</f>
        <v>No major surgery</v>
      </c>
      <c r="I813" t="str">
        <f>VLOOKUP(Medical_Examinations_2[[#This Row],[Customer ID]],Medical_Examinations!$1:$1048576,11,FALSE)</f>
        <v>No</v>
      </c>
    </row>
    <row r="814" spans="1:9" x14ac:dyDescent="0.25">
      <c r="A814" s="10" t="s">
        <v>844</v>
      </c>
      <c r="B814" t="str">
        <f>VLOOKUP(Customer_Names!A814,Customer_Names!$1:$1048576,4,FALSE)</f>
        <v>Jonathan</v>
      </c>
      <c r="C814">
        <f>VLOOKUP(Medical_Examinations_2[[#This Row],[Customer ID]],Medical_Examinations!$1:$1048576,2,FALSE)</f>
        <v>21.4</v>
      </c>
      <c r="D814">
        <f>VLOOKUP(Medical_Examinations_2[[#This Row],[Customer ID]],Medical_Examinations!$1:$1048576,4,FALSE)</f>
        <v>9.0299999999999994</v>
      </c>
      <c r="E814" t="str">
        <f>VLOOKUP(Medical_Examinations_2[[#This Row],[Customer ID]],Medical_Examinations!$1:$1048576,6,FALSE)</f>
        <v>No</v>
      </c>
      <c r="H814" t="str">
        <f>VLOOKUP(Medical_Examinations_2[[#This Row],[Customer ID]],Medical_Examinations!$1:$1048576,9,FALSE)</f>
        <v>No major surgery</v>
      </c>
      <c r="I814" t="str">
        <f>VLOOKUP(Medical_Examinations_2[[#This Row],[Customer ID]],Medical_Examinations!$1:$1048576,11,FALSE)</f>
        <v>No</v>
      </c>
    </row>
    <row r="815" spans="1:9" x14ac:dyDescent="0.25">
      <c r="A815" s="11" t="s">
        <v>845</v>
      </c>
      <c r="B815" t="str">
        <f>VLOOKUP(Customer_Names!A815,Customer_Names!$1:$1048576,4,FALSE)</f>
        <v>Wayne A.</v>
      </c>
      <c r="C815">
        <f>VLOOKUP(Medical_Examinations_2[[#This Row],[Customer ID]],Medical_Examinations!$1:$1048576,2,FALSE)</f>
        <v>38.380000000000003</v>
      </c>
      <c r="D815">
        <f>VLOOKUP(Medical_Examinations_2[[#This Row],[Customer ID]],Medical_Examinations!$1:$1048576,4,FALSE)</f>
        <v>8.26</v>
      </c>
      <c r="E815" t="str">
        <f>VLOOKUP(Medical_Examinations_2[[#This Row],[Customer ID]],Medical_Examinations!$1:$1048576,6,FALSE)</f>
        <v>Yes</v>
      </c>
      <c r="H815">
        <f>VLOOKUP(Medical_Examinations_2[[#This Row],[Customer ID]],Medical_Examinations!$1:$1048576,9,FALSE)</f>
        <v>2</v>
      </c>
      <c r="I815" t="str">
        <f>VLOOKUP(Medical_Examinations_2[[#This Row],[Customer ID]],Medical_Examinations!$1:$1048576,11,FALSE)</f>
        <v>No</v>
      </c>
    </row>
    <row r="816" spans="1:9" x14ac:dyDescent="0.25">
      <c r="A816" s="10" t="s">
        <v>846</v>
      </c>
      <c r="B816" t="str">
        <f>VLOOKUP(Customer_Names!A816,Customer_Names!$1:$1048576,4,FALSE)</f>
        <v>Nobuyori</v>
      </c>
      <c r="C816">
        <f>VLOOKUP(Medical_Examinations_2[[#This Row],[Customer ID]],Medical_Examinations!$1:$1048576,2,FALSE)</f>
        <v>33.659999999999997</v>
      </c>
      <c r="D816">
        <f>VLOOKUP(Medical_Examinations_2[[#This Row],[Customer ID]],Medical_Examinations!$1:$1048576,4,FALSE)</f>
        <v>5.42</v>
      </c>
      <c r="E816" t="str">
        <f>VLOOKUP(Medical_Examinations_2[[#This Row],[Customer ID]],Medical_Examinations!$1:$1048576,6,FALSE)</f>
        <v>Yes</v>
      </c>
      <c r="H816">
        <f>VLOOKUP(Medical_Examinations_2[[#This Row],[Customer ID]],Medical_Examinations!$1:$1048576,9,FALSE)</f>
        <v>2</v>
      </c>
      <c r="I816" t="str">
        <f>VLOOKUP(Medical_Examinations_2[[#This Row],[Customer ID]],Medical_Examinations!$1:$1048576,11,FALSE)</f>
        <v>No</v>
      </c>
    </row>
    <row r="817" spans="1:9" x14ac:dyDescent="0.25">
      <c r="A817" s="11" t="s">
        <v>847</v>
      </c>
      <c r="B817" t="str">
        <f>VLOOKUP(Customer_Names!A817,Customer_Names!$1:$1048576,4,FALSE)</f>
        <v>Rich</v>
      </c>
      <c r="C817">
        <f>VLOOKUP(Medical_Examinations_2[[#This Row],[Customer ID]],Medical_Examinations!$1:$1048576,2,FALSE)</f>
        <v>31.79</v>
      </c>
      <c r="D817">
        <f>VLOOKUP(Medical_Examinations_2[[#This Row],[Customer ID]],Medical_Examinations!$1:$1048576,4,FALSE)</f>
        <v>11.33</v>
      </c>
      <c r="E817" t="str">
        <f>VLOOKUP(Medical_Examinations_2[[#This Row],[Customer ID]],Medical_Examinations!$1:$1048576,6,FALSE)</f>
        <v>Yes</v>
      </c>
      <c r="H817">
        <f>VLOOKUP(Medical_Examinations_2[[#This Row],[Customer ID]],Medical_Examinations!$1:$1048576,9,FALSE)</f>
        <v>1</v>
      </c>
      <c r="I817" t="str">
        <f>VLOOKUP(Medical_Examinations_2[[#This Row],[Customer ID]],Medical_Examinations!$1:$1048576,11,FALSE)</f>
        <v>No</v>
      </c>
    </row>
    <row r="818" spans="1:9" x14ac:dyDescent="0.25">
      <c r="A818" s="10" t="s">
        <v>848</v>
      </c>
      <c r="B818" t="str">
        <f>VLOOKUP(Customer_Names!A818,Customer_Names!$1:$1048576,4,FALSE)</f>
        <v>Marcos S</v>
      </c>
      <c r="C818">
        <f>VLOOKUP(Medical_Examinations_2[[#This Row],[Customer ID]],Medical_Examinations!$1:$1048576,2,FALSE)</f>
        <v>29.7</v>
      </c>
      <c r="D818">
        <f>VLOOKUP(Medical_Examinations_2[[#This Row],[Customer ID]],Medical_Examinations!$1:$1048576,4,FALSE)</f>
        <v>7.69</v>
      </c>
      <c r="E818" t="str">
        <f>VLOOKUP(Medical_Examinations_2[[#This Row],[Customer ID]],Medical_Examinations!$1:$1048576,6,FALSE)</f>
        <v>Yes</v>
      </c>
      <c r="H818">
        <f>VLOOKUP(Medical_Examinations_2[[#This Row],[Customer ID]],Medical_Examinations!$1:$1048576,9,FALSE)</f>
        <v>1</v>
      </c>
      <c r="I818" t="str">
        <f>VLOOKUP(Medical_Examinations_2[[#This Row],[Customer ID]],Medical_Examinations!$1:$1048576,11,FALSE)</f>
        <v>No</v>
      </c>
    </row>
    <row r="819" spans="1:9" x14ac:dyDescent="0.25">
      <c r="A819" s="11" t="s">
        <v>849</v>
      </c>
      <c r="B819" t="str">
        <f>VLOOKUP(Customer_Names!A819,Customer_Names!$1:$1048576,4,FALSE)</f>
        <v>Dave</v>
      </c>
      <c r="C819">
        <f>VLOOKUP(Medical_Examinations_2[[#This Row],[Customer ID]],Medical_Examinations!$1:$1048576,2,FALSE)</f>
        <v>25.46</v>
      </c>
      <c r="D819">
        <f>VLOOKUP(Medical_Examinations_2[[#This Row],[Customer ID]],Medical_Examinations!$1:$1048576,4,FALSE)</f>
        <v>8.77</v>
      </c>
      <c r="E819" t="str">
        <f>VLOOKUP(Medical_Examinations_2[[#This Row],[Customer ID]],Medical_Examinations!$1:$1048576,6,FALSE)</f>
        <v>Yes</v>
      </c>
      <c r="H819">
        <f>VLOOKUP(Medical_Examinations_2[[#This Row],[Customer ID]],Medical_Examinations!$1:$1048576,9,FALSE)</f>
        <v>1</v>
      </c>
      <c r="I819" t="str">
        <f>VLOOKUP(Medical_Examinations_2[[#This Row],[Customer ID]],Medical_Examinations!$1:$1048576,11,FALSE)</f>
        <v>No</v>
      </c>
    </row>
    <row r="820" spans="1:9" x14ac:dyDescent="0.25">
      <c r="A820" s="10" t="s">
        <v>850</v>
      </c>
      <c r="B820" t="str">
        <f>VLOOKUP(Customer_Names!A820,Customer_Names!$1:$1048576,4,FALSE)</f>
        <v>Andy</v>
      </c>
      <c r="C820">
        <f>VLOOKUP(Medical_Examinations_2[[#This Row],[Customer ID]],Medical_Examinations!$1:$1048576,2,FALSE)</f>
        <v>39.14</v>
      </c>
      <c r="D820">
        <f>VLOOKUP(Medical_Examinations_2[[#This Row],[Customer ID]],Medical_Examinations!$1:$1048576,4,FALSE)</f>
        <v>4.91</v>
      </c>
      <c r="E820" t="str">
        <f>VLOOKUP(Medical_Examinations_2[[#This Row],[Customer ID]],Medical_Examinations!$1:$1048576,6,FALSE)</f>
        <v>No</v>
      </c>
      <c r="H820">
        <f>VLOOKUP(Medical_Examinations_2[[#This Row],[Customer ID]],Medical_Examinations!$1:$1048576,9,FALSE)</f>
        <v>1</v>
      </c>
      <c r="I820" t="str">
        <f>VLOOKUP(Medical_Examinations_2[[#This Row],[Customer ID]],Medical_Examinations!$1:$1048576,11,FALSE)</f>
        <v>No</v>
      </c>
    </row>
    <row r="821" spans="1:9" x14ac:dyDescent="0.25">
      <c r="A821" s="11" t="s">
        <v>851</v>
      </c>
      <c r="B821" t="str">
        <f>VLOOKUP(Customer_Names!A821,Customer_Names!$1:$1048576,4,FALSE)</f>
        <v>Mary</v>
      </c>
      <c r="C821">
        <f>VLOOKUP(Medical_Examinations_2[[#This Row],[Customer ID]],Medical_Examinations!$1:$1048576,2,FALSE)</f>
        <v>41.2</v>
      </c>
      <c r="D821">
        <f>VLOOKUP(Medical_Examinations_2[[#This Row],[Customer ID]],Medical_Examinations!$1:$1048576,4,FALSE)</f>
        <v>4.95</v>
      </c>
      <c r="E821" t="str">
        <f>VLOOKUP(Medical_Examinations_2[[#This Row],[Customer ID]],Medical_Examinations!$1:$1048576,6,FALSE)</f>
        <v>No</v>
      </c>
      <c r="H821">
        <f>VLOOKUP(Medical_Examinations_2[[#This Row],[Customer ID]],Medical_Examinations!$1:$1048576,9,FALSE)</f>
        <v>1</v>
      </c>
      <c r="I821" t="str">
        <f>VLOOKUP(Medical_Examinations_2[[#This Row],[Customer ID]],Medical_Examinations!$1:$1048576,11,FALSE)</f>
        <v>No</v>
      </c>
    </row>
    <row r="822" spans="1:9" x14ac:dyDescent="0.25">
      <c r="A822" s="10" t="s">
        <v>852</v>
      </c>
      <c r="B822" t="str">
        <f>VLOOKUP(Customer_Names!A822,Customer_Names!$1:$1048576,4,FALSE)</f>
        <v>Marcus B</v>
      </c>
      <c r="C822">
        <f>VLOOKUP(Medical_Examinations_2[[#This Row],[Customer ID]],Medical_Examinations!$1:$1048576,2,FALSE)</f>
        <v>28.81</v>
      </c>
      <c r="D822">
        <f>VLOOKUP(Medical_Examinations_2[[#This Row],[Customer ID]],Medical_Examinations!$1:$1048576,4,FALSE)</f>
        <v>10.8</v>
      </c>
      <c r="E822" t="str">
        <f>VLOOKUP(Medical_Examinations_2[[#This Row],[Customer ID]],Medical_Examinations!$1:$1048576,6,FALSE)</f>
        <v>Yes</v>
      </c>
      <c r="H822">
        <f>VLOOKUP(Medical_Examinations_2[[#This Row],[Customer ID]],Medical_Examinations!$1:$1048576,9,FALSE)</f>
        <v>1</v>
      </c>
      <c r="I822" t="str">
        <f>VLOOKUP(Medical_Examinations_2[[#This Row],[Customer ID]],Medical_Examinations!$1:$1048576,11,FALSE)</f>
        <v>No</v>
      </c>
    </row>
    <row r="823" spans="1:9" x14ac:dyDescent="0.25">
      <c r="A823" s="11" t="s">
        <v>853</v>
      </c>
      <c r="B823" t="str">
        <f>VLOOKUP(Customer_Names!A823,Customer_Names!$1:$1048576,4,FALSE)</f>
        <v>Thomas K.</v>
      </c>
      <c r="C823">
        <f>VLOOKUP(Medical_Examinations_2[[#This Row],[Customer ID]],Medical_Examinations!$1:$1048576,2,FALSE)</f>
        <v>37.409999999999997</v>
      </c>
      <c r="D823">
        <f>VLOOKUP(Medical_Examinations_2[[#This Row],[Customer ID]],Medical_Examinations!$1:$1048576,4,FALSE)</f>
        <v>7.21</v>
      </c>
      <c r="E823" t="str">
        <f>VLOOKUP(Medical_Examinations_2[[#This Row],[Customer ID]],Medical_Examinations!$1:$1048576,6,FALSE)</f>
        <v>No</v>
      </c>
      <c r="H823">
        <f>VLOOKUP(Medical_Examinations_2[[#This Row],[Customer ID]],Medical_Examinations!$1:$1048576,9,FALSE)</f>
        <v>2</v>
      </c>
      <c r="I823" t="str">
        <f>VLOOKUP(Medical_Examinations_2[[#This Row],[Customer ID]],Medical_Examinations!$1:$1048576,11,FALSE)</f>
        <v>No</v>
      </c>
    </row>
    <row r="824" spans="1:9" x14ac:dyDescent="0.25">
      <c r="A824" s="10" t="s">
        <v>854</v>
      </c>
      <c r="B824" t="str">
        <f>VLOOKUP(Customer_Names!A824,Customer_Names!$1:$1048576,4,FALSE)</f>
        <v>Robert</v>
      </c>
      <c r="C824">
        <f>VLOOKUP(Medical_Examinations_2[[#This Row],[Customer ID]],Medical_Examinations!$1:$1048576,2,FALSE)</f>
        <v>52.54</v>
      </c>
      <c r="D824">
        <f>VLOOKUP(Medical_Examinations_2[[#This Row],[Customer ID]],Medical_Examinations!$1:$1048576,4,FALSE)</f>
        <v>5.12</v>
      </c>
      <c r="E824" t="str">
        <f>VLOOKUP(Medical_Examinations_2[[#This Row],[Customer ID]],Medical_Examinations!$1:$1048576,6,FALSE)</f>
        <v>No</v>
      </c>
      <c r="H824">
        <f>VLOOKUP(Medical_Examinations_2[[#This Row],[Customer ID]],Medical_Examinations!$1:$1048576,9,FALSE)</f>
        <v>1</v>
      </c>
      <c r="I824" t="str">
        <f>VLOOKUP(Medical_Examinations_2[[#This Row],[Customer ID]],Medical_Examinations!$1:$1048576,11,FALSE)</f>
        <v>No</v>
      </c>
    </row>
    <row r="825" spans="1:9" x14ac:dyDescent="0.25">
      <c r="A825" s="11" t="s">
        <v>855</v>
      </c>
      <c r="B825" t="str">
        <f>VLOOKUP(Customer_Names!A825,Customer_Names!$1:$1048576,4,FALSE)</f>
        <v>Geoff</v>
      </c>
      <c r="C825">
        <f>VLOOKUP(Medical_Examinations_2[[#This Row],[Customer ID]],Medical_Examinations!$1:$1048576,2,FALSE)</f>
        <v>17.29</v>
      </c>
      <c r="D825">
        <f>VLOOKUP(Medical_Examinations_2[[#This Row],[Customer ID]],Medical_Examinations!$1:$1048576,4,FALSE)</f>
        <v>4.62</v>
      </c>
      <c r="E825" t="str">
        <f>VLOOKUP(Medical_Examinations_2[[#This Row],[Customer ID]],Medical_Examinations!$1:$1048576,6,FALSE)</f>
        <v>No</v>
      </c>
      <c r="H825">
        <f>VLOOKUP(Medical_Examinations_2[[#This Row],[Customer ID]],Medical_Examinations!$1:$1048576,9,FALSE)</f>
        <v>1</v>
      </c>
      <c r="I825" t="str">
        <f>VLOOKUP(Medical_Examinations_2[[#This Row],[Customer ID]],Medical_Examinations!$1:$1048576,11,FALSE)</f>
        <v>Yes</v>
      </c>
    </row>
    <row r="826" spans="1:9" x14ac:dyDescent="0.25">
      <c r="A826" s="10" t="s">
        <v>856</v>
      </c>
      <c r="B826" t="str">
        <f>VLOOKUP(Customer_Names!A826,Customer_Names!$1:$1048576,4,FALSE)</f>
        <v>Chris J.</v>
      </c>
      <c r="C826">
        <f>VLOOKUP(Medical_Examinations_2[[#This Row],[Customer ID]],Medical_Examinations!$1:$1048576,2,FALSE)</f>
        <v>31.74</v>
      </c>
      <c r="D826">
        <f>VLOOKUP(Medical_Examinations_2[[#This Row],[Customer ID]],Medical_Examinations!$1:$1048576,4,FALSE)</f>
        <v>7.68</v>
      </c>
      <c r="E826" t="str">
        <f>VLOOKUP(Medical_Examinations_2[[#This Row],[Customer ID]],Medical_Examinations!$1:$1048576,6,FALSE)</f>
        <v>Yes</v>
      </c>
      <c r="H826" t="str">
        <f>VLOOKUP(Medical_Examinations_2[[#This Row],[Customer ID]],Medical_Examinations!$1:$1048576,9,FALSE)</f>
        <v>No major surgery</v>
      </c>
      <c r="I826" t="str">
        <f>VLOOKUP(Medical_Examinations_2[[#This Row],[Customer ID]],Medical_Examinations!$1:$1048576,11,FALSE)</f>
        <v>No</v>
      </c>
    </row>
    <row r="827" spans="1:9" x14ac:dyDescent="0.25">
      <c r="A827" s="11" t="s">
        <v>857</v>
      </c>
      <c r="B827" t="str">
        <f>VLOOKUP(Customer_Names!A827,Customer_Names!$1:$1048576,4,FALSE)</f>
        <v>Kate A.</v>
      </c>
      <c r="C827">
        <f>VLOOKUP(Medical_Examinations_2[[#This Row],[Customer ID]],Medical_Examinations!$1:$1048576,2,FALSE)</f>
        <v>26.504999999999999</v>
      </c>
      <c r="D827">
        <f>VLOOKUP(Medical_Examinations_2[[#This Row],[Customer ID]],Medical_Examinations!$1:$1048576,4,FALSE)</f>
        <v>6.79</v>
      </c>
      <c r="E827" t="str">
        <f>VLOOKUP(Medical_Examinations_2[[#This Row],[Customer ID]],Medical_Examinations!$1:$1048576,6,FALSE)</f>
        <v>Yes</v>
      </c>
      <c r="H827">
        <f>VLOOKUP(Medical_Examinations_2[[#This Row],[Customer ID]],Medical_Examinations!$1:$1048576,9,FALSE)</f>
        <v>1</v>
      </c>
      <c r="I827" t="str">
        <f>VLOOKUP(Medical_Examinations_2[[#This Row],[Customer ID]],Medical_Examinations!$1:$1048576,11,FALSE)</f>
        <v>No</v>
      </c>
    </row>
    <row r="828" spans="1:9" x14ac:dyDescent="0.25">
      <c r="A828" s="10" t="s">
        <v>858</v>
      </c>
      <c r="B828" t="str">
        <f>VLOOKUP(Customer_Names!A828,Customer_Names!$1:$1048576,4,FALSE)</f>
        <v>Kelli</v>
      </c>
      <c r="C828">
        <f>VLOOKUP(Medical_Examinations_2[[#This Row],[Customer ID]],Medical_Examinations!$1:$1048576,2,FALSE)</f>
        <v>36.479999999999997</v>
      </c>
      <c r="D828">
        <f>VLOOKUP(Medical_Examinations_2[[#This Row],[Customer ID]],Medical_Examinations!$1:$1048576,4,FALSE)</f>
        <v>11.09</v>
      </c>
      <c r="E828" t="str">
        <f>VLOOKUP(Medical_Examinations_2[[#This Row],[Customer ID]],Medical_Examinations!$1:$1048576,6,FALSE)</f>
        <v>No</v>
      </c>
      <c r="H828" t="str">
        <f>VLOOKUP(Medical_Examinations_2[[#This Row],[Customer ID]],Medical_Examinations!$1:$1048576,9,FALSE)</f>
        <v>No major surgery</v>
      </c>
      <c r="I828" t="str">
        <f>VLOOKUP(Medical_Examinations_2[[#This Row],[Customer ID]],Medical_Examinations!$1:$1048576,11,FALSE)</f>
        <v>No</v>
      </c>
    </row>
    <row r="829" spans="1:9" x14ac:dyDescent="0.25">
      <c r="A829" s="11" t="s">
        <v>859</v>
      </c>
      <c r="B829" t="str">
        <f>VLOOKUP(Customer_Names!A829,Customer_Names!$1:$1048576,4,FALSE)</f>
        <v>Maggie M</v>
      </c>
      <c r="C829">
        <f>VLOOKUP(Medical_Examinations_2[[#This Row],[Customer ID]],Medical_Examinations!$1:$1048576,2,FALSE)</f>
        <v>39.159999999999997</v>
      </c>
      <c r="D829">
        <f>VLOOKUP(Medical_Examinations_2[[#This Row],[Customer ID]],Medical_Examinations!$1:$1048576,4,FALSE)</f>
        <v>5.24</v>
      </c>
      <c r="E829" t="str">
        <f>VLOOKUP(Medical_Examinations_2[[#This Row],[Customer ID]],Medical_Examinations!$1:$1048576,6,FALSE)</f>
        <v>Yes</v>
      </c>
      <c r="H829">
        <f>VLOOKUP(Medical_Examinations_2[[#This Row],[Customer ID]],Medical_Examinations!$1:$1048576,9,FALSE)</f>
        <v>1</v>
      </c>
      <c r="I829" t="str">
        <f>VLOOKUP(Medical_Examinations_2[[#This Row],[Customer ID]],Medical_Examinations!$1:$1048576,11,FALSE)</f>
        <v>No</v>
      </c>
    </row>
    <row r="830" spans="1:9" x14ac:dyDescent="0.25">
      <c r="A830" s="10" t="s">
        <v>860</v>
      </c>
      <c r="B830" t="str">
        <f>VLOOKUP(Customer_Names!A830,Customer_Names!$1:$1048576,4,FALSE)</f>
        <v>Michelle L.</v>
      </c>
      <c r="C830">
        <f>VLOOKUP(Medical_Examinations_2[[#This Row],[Customer ID]],Medical_Examinations!$1:$1048576,2,FALSE)</f>
        <v>28.22</v>
      </c>
      <c r="D830">
        <f>VLOOKUP(Medical_Examinations_2[[#This Row],[Customer ID]],Medical_Examinations!$1:$1048576,4,FALSE)</f>
        <v>7.51</v>
      </c>
      <c r="E830" t="str">
        <f>VLOOKUP(Medical_Examinations_2[[#This Row],[Customer ID]],Medical_Examinations!$1:$1048576,6,FALSE)</f>
        <v>Yes</v>
      </c>
      <c r="H830">
        <f>VLOOKUP(Medical_Examinations_2[[#This Row],[Customer ID]],Medical_Examinations!$1:$1048576,9,FALSE)</f>
        <v>1</v>
      </c>
      <c r="I830" t="str">
        <f>VLOOKUP(Medical_Examinations_2[[#This Row],[Customer ID]],Medical_Examinations!$1:$1048576,11,FALSE)</f>
        <v>No</v>
      </c>
    </row>
    <row r="831" spans="1:9" x14ac:dyDescent="0.25">
      <c r="A831" s="11" t="s">
        <v>861</v>
      </c>
      <c r="B831" t="str">
        <f>VLOOKUP(Customer_Names!A831,Customer_Names!$1:$1048576,4,FALSE)</f>
        <v>Ashley K</v>
      </c>
      <c r="C831">
        <f>VLOOKUP(Medical_Examinations_2[[#This Row],[Customer ID]],Medical_Examinations!$1:$1048576,2,FALSE)</f>
        <v>35</v>
      </c>
      <c r="D831">
        <f>VLOOKUP(Medical_Examinations_2[[#This Row],[Customer ID]],Medical_Examinations!$1:$1048576,4,FALSE)</f>
        <v>4.13</v>
      </c>
      <c r="E831" t="str">
        <f>VLOOKUP(Medical_Examinations_2[[#This Row],[Customer ID]],Medical_Examinations!$1:$1048576,6,FALSE)</f>
        <v>No</v>
      </c>
      <c r="H831">
        <f>VLOOKUP(Medical_Examinations_2[[#This Row],[Customer ID]],Medical_Examinations!$1:$1048576,9,FALSE)</f>
        <v>2</v>
      </c>
      <c r="I831" t="str">
        <f>VLOOKUP(Medical_Examinations_2[[#This Row],[Customer ID]],Medical_Examinations!$1:$1048576,11,FALSE)</f>
        <v>No</v>
      </c>
    </row>
    <row r="832" spans="1:9" x14ac:dyDescent="0.25">
      <c r="A832" s="10" t="s">
        <v>862</v>
      </c>
      <c r="B832" t="str">
        <f>VLOOKUP(Customer_Names!A832,Customer_Names!$1:$1048576,4,FALSE)</f>
        <v>Michael</v>
      </c>
      <c r="C832">
        <f>VLOOKUP(Medical_Examinations_2[[#This Row],[Customer ID]],Medical_Examinations!$1:$1048576,2,FALSE)</f>
        <v>36.24</v>
      </c>
      <c r="D832">
        <f>VLOOKUP(Medical_Examinations_2[[#This Row],[Customer ID]],Medical_Examinations!$1:$1048576,4,FALSE)</f>
        <v>8.3800000000000008</v>
      </c>
      <c r="E832" t="str">
        <f>VLOOKUP(Medical_Examinations_2[[#This Row],[Customer ID]],Medical_Examinations!$1:$1048576,6,FALSE)</f>
        <v>Yes</v>
      </c>
      <c r="H832">
        <f>VLOOKUP(Medical_Examinations_2[[#This Row],[Customer ID]],Medical_Examinations!$1:$1048576,9,FALSE)</f>
        <v>1</v>
      </c>
      <c r="I832" t="str">
        <f>VLOOKUP(Medical_Examinations_2[[#This Row],[Customer ID]],Medical_Examinations!$1:$1048576,11,FALSE)</f>
        <v>No</v>
      </c>
    </row>
    <row r="833" spans="1:9" x14ac:dyDescent="0.25">
      <c r="A833" s="11" t="s">
        <v>863</v>
      </c>
      <c r="B833" t="str">
        <f>VLOOKUP(Customer_Names!A833,Customer_Names!$1:$1048576,4,FALSE)</f>
        <v>Ryan K.</v>
      </c>
      <c r="C833">
        <f>VLOOKUP(Medical_Examinations_2[[#This Row],[Customer ID]],Medical_Examinations!$1:$1048576,2,FALSE)</f>
        <v>36.954999999999998</v>
      </c>
      <c r="D833">
        <f>VLOOKUP(Medical_Examinations_2[[#This Row],[Customer ID]],Medical_Examinations!$1:$1048576,4,FALSE)</f>
        <v>8.07</v>
      </c>
      <c r="E833" t="str">
        <f>VLOOKUP(Medical_Examinations_2[[#This Row],[Customer ID]],Medical_Examinations!$1:$1048576,6,FALSE)</f>
        <v>No</v>
      </c>
      <c r="H833" t="str">
        <f>VLOOKUP(Medical_Examinations_2[[#This Row],[Customer ID]],Medical_Examinations!$1:$1048576,9,FALSE)</f>
        <v>No major surgery</v>
      </c>
      <c r="I833" t="str">
        <f>VLOOKUP(Medical_Examinations_2[[#This Row],[Customer ID]],Medical_Examinations!$1:$1048576,11,FALSE)</f>
        <v>No</v>
      </c>
    </row>
    <row r="834" spans="1:9" x14ac:dyDescent="0.25">
      <c r="A834" s="10" t="s">
        <v>864</v>
      </c>
      <c r="B834" t="str">
        <f>VLOOKUP(Customer_Names!A834,Customer_Names!$1:$1048576,4,FALSE)</f>
        <v>Matthew J</v>
      </c>
      <c r="C834">
        <f>VLOOKUP(Medical_Examinations_2[[#This Row],[Customer ID]],Medical_Examinations!$1:$1048576,2,FALSE)</f>
        <v>29.64</v>
      </c>
      <c r="D834">
        <f>VLOOKUP(Medical_Examinations_2[[#This Row],[Customer ID]],Medical_Examinations!$1:$1048576,4,FALSE)</f>
        <v>8.9499999999999993</v>
      </c>
      <c r="E834" t="str">
        <f>VLOOKUP(Medical_Examinations_2[[#This Row],[Customer ID]],Medical_Examinations!$1:$1048576,6,FALSE)</f>
        <v>No</v>
      </c>
      <c r="H834" t="str">
        <f>VLOOKUP(Medical_Examinations_2[[#This Row],[Customer ID]],Medical_Examinations!$1:$1048576,9,FALSE)</f>
        <v>No major surgery</v>
      </c>
      <c r="I834" t="str">
        <f>VLOOKUP(Medical_Examinations_2[[#This Row],[Customer ID]],Medical_Examinations!$1:$1048576,11,FALSE)</f>
        <v>No</v>
      </c>
    </row>
    <row r="835" spans="1:9" x14ac:dyDescent="0.25">
      <c r="A835" s="11" t="s">
        <v>865</v>
      </c>
      <c r="B835" t="str">
        <f>VLOOKUP(Customer_Names!A835,Customer_Names!$1:$1048576,4,FALSE)</f>
        <v>Karine</v>
      </c>
      <c r="C835">
        <f>VLOOKUP(Medical_Examinations_2[[#This Row],[Customer ID]],Medical_Examinations!$1:$1048576,2,FALSE)</f>
        <v>42.74</v>
      </c>
      <c r="D835">
        <f>VLOOKUP(Medical_Examinations_2[[#This Row],[Customer ID]],Medical_Examinations!$1:$1048576,4,FALSE)</f>
        <v>6.31</v>
      </c>
      <c r="E835" t="str">
        <f>VLOOKUP(Medical_Examinations_2[[#This Row],[Customer ID]],Medical_Examinations!$1:$1048576,6,FALSE)</f>
        <v>Yes</v>
      </c>
      <c r="H835">
        <f>VLOOKUP(Medical_Examinations_2[[#This Row],[Customer ID]],Medical_Examinations!$1:$1048576,9,FALSE)</f>
        <v>1</v>
      </c>
      <c r="I835" t="str">
        <f>VLOOKUP(Medical_Examinations_2[[#This Row],[Customer ID]],Medical_Examinations!$1:$1048576,11,FALSE)</f>
        <v>No</v>
      </c>
    </row>
    <row r="836" spans="1:9" x14ac:dyDescent="0.25">
      <c r="A836" s="10" t="s">
        <v>866</v>
      </c>
      <c r="B836" t="str">
        <f>VLOOKUP(Customer_Names!A836,Customer_Names!$1:$1048576,4,FALSE)</f>
        <v>Antonia G</v>
      </c>
      <c r="C836">
        <f>VLOOKUP(Medical_Examinations_2[[#This Row],[Customer ID]],Medical_Examinations!$1:$1048576,2,FALSE)</f>
        <v>36.130000000000003</v>
      </c>
      <c r="D836">
        <f>VLOOKUP(Medical_Examinations_2[[#This Row],[Customer ID]],Medical_Examinations!$1:$1048576,4,FALSE)</f>
        <v>7.19</v>
      </c>
      <c r="E836" t="str">
        <f>VLOOKUP(Medical_Examinations_2[[#This Row],[Customer ID]],Medical_Examinations!$1:$1048576,6,FALSE)</f>
        <v>Yes</v>
      </c>
      <c r="H836">
        <f>VLOOKUP(Medical_Examinations_2[[#This Row],[Customer ID]],Medical_Examinations!$1:$1048576,9,FALSE)</f>
        <v>2</v>
      </c>
      <c r="I836" t="str">
        <f>VLOOKUP(Medical_Examinations_2[[#This Row],[Customer ID]],Medical_Examinations!$1:$1048576,11,FALSE)</f>
        <v>No</v>
      </c>
    </row>
    <row r="837" spans="1:9" x14ac:dyDescent="0.25">
      <c r="A837" s="11" t="s">
        <v>867</v>
      </c>
      <c r="B837" t="str">
        <f>VLOOKUP(Customer_Names!A837,Customer_Names!$1:$1048576,4,FALSE)</f>
        <v>Casondra L</v>
      </c>
      <c r="C837">
        <f>VLOOKUP(Medical_Examinations_2[[#This Row],[Customer ID]],Medical_Examinations!$1:$1048576,2,FALSE)</f>
        <v>31.55</v>
      </c>
      <c r="D837">
        <f>VLOOKUP(Medical_Examinations_2[[#This Row],[Customer ID]],Medical_Examinations!$1:$1048576,4,FALSE)</f>
        <v>6.11</v>
      </c>
      <c r="E837" t="str">
        <f>VLOOKUP(Medical_Examinations_2[[#This Row],[Customer ID]],Medical_Examinations!$1:$1048576,6,FALSE)</f>
        <v>Yes</v>
      </c>
      <c r="H837">
        <f>VLOOKUP(Medical_Examinations_2[[#This Row],[Customer ID]],Medical_Examinations!$1:$1048576,9,FALSE)</f>
        <v>1</v>
      </c>
      <c r="I837" t="str">
        <f>VLOOKUP(Medical_Examinations_2[[#This Row],[Customer ID]],Medical_Examinations!$1:$1048576,11,FALSE)</f>
        <v>No</v>
      </c>
    </row>
    <row r="838" spans="1:9" x14ac:dyDescent="0.25">
      <c r="A838" s="10" t="s">
        <v>868</v>
      </c>
      <c r="B838" t="str">
        <f>VLOOKUP(Customer_Names!A838,Customer_Names!$1:$1048576,4,FALSE)</f>
        <v>Wendy</v>
      </c>
      <c r="C838">
        <f>VLOOKUP(Medical_Examinations_2[[#This Row],[Customer ID]],Medical_Examinations!$1:$1048576,2,FALSE)</f>
        <v>52.75</v>
      </c>
      <c r="D838">
        <f>VLOOKUP(Medical_Examinations_2[[#This Row],[Customer ID]],Medical_Examinations!$1:$1048576,4,FALSE)</f>
        <v>6.02</v>
      </c>
      <c r="E838" t="str">
        <f>VLOOKUP(Medical_Examinations_2[[#This Row],[Customer ID]],Medical_Examinations!$1:$1048576,6,FALSE)</f>
        <v>No</v>
      </c>
      <c r="H838">
        <f>VLOOKUP(Medical_Examinations_2[[#This Row],[Customer ID]],Medical_Examinations!$1:$1048576,9,FALSE)</f>
        <v>1</v>
      </c>
      <c r="I838" t="str">
        <f>VLOOKUP(Medical_Examinations_2[[#This Row],[Customer ID]],Medical_Examinations!$1:$1048576,11,FALSE)</f>
        <v>No</v>
      </c>
    </row>
    <row r="839" spans="1:9" x14ac:dyDescent="0.25">
      <c r="A839" s="11" t="s">
        <v>869</v>
      </c>
      <c r="B839" t="str">
        <f>VLOOKUP(Customer_Names!A839,Customer_Names!$1:$1048576,4,FALSE)</f>
        <v>Eric D</v>
      </c>
      <c r="C839">
        <f>VLOOKUP(Medical_Examinations_2[[#This Row],[Customer ID]],Medical_Examinations!$1:$1048576,2,FALSE)</f>
        <v>36.67</v>
      </c>
      <c r="D839">
        <f>VLOOKUP(Medical_Examinations_2[[#This Row],[Customer ID]],Medical_Examinations!$1:$1048576,4,FALSE)</f>
        <v>11.86</v>
      </c>
      <c r="E839" t="str">
        <f>VLOOKUP(Medical_Examinations_2[[#This Row],[Customer ID]],Medical_Examinations!$1:$1048576,6,FALSE)</f>
        <v>No</v>
      </c>
      <c r="H839" t="str">
        <f>VLOOKUP(Medical_Examinations_2[[#This Row],[Customer ID]],Medical_Examinations!$1:$1048576,9,FALSE)</f>
        <v>No major surgery</v>
      </c>
      <c r="I839" t="str">
        <f>VLOOKUP(Medical_Examinations_2[[#This Row],[Customer ID]],Medical_Examinations!$1:$1048576,11,FALSE)</f>
        <v>No</v>
      </c>
    </row>
    <row r="840" spans="1:9" x14ac:dyDescent="0.25">
      <c r="A840" s="10" t="s">
        <v>870</v>
      </c>
      <c r="B840" t="str">
        <f>VLOOKUP(Customer_Names!A840,Customer_Names!$1:$1048576,4,FALSE)</f>
        <v>Elizabeth</v>
      </c>
      <c r="C840">
        <f>VLOOKUP(Medical_Examinations_2[[#This Row],[Customer ID]],Medical_Examinations!$1:$1048576,2,FALSE)</f>
        <v>38.06</v>
      </c>
      <c r="D840">
        <f>VLOOKUP(Medical_Examinations_2[[#This Row],[Customer ID]],Medical_Examinations!$1:$1048576,4,FALSE)</f>
        <v>8.25</v>
      </c>
      <c r="E840" t="str">
        <f>VLOOKUP(Medical_Examinations_2[[#This Row],[Customer ID]],Medical_Examinations!$1:$1048576,6,FALSE)</f>
        <v>No</v>
      </c>
      <c r="H840" t="str">
        <f>VLOOKUP(Medical_Examinations_2[[#This Row],[Customer ID]],Medical_Examinations!$1:$1048576,9,FALSE)</f>
        <v>No major surgery</v>
      </c>
      <c r="I840" t="str">
        <f>VLOOKUP(Medical_Examinations_2[[#This Row],[Customer ID]],Medical_Examinations!$1:$1048576,11,FALSE)</f>
        <v>No</v>
      </c>
    </row>
    <row r="841" spans="1:9" x14ac:dyDescent="0.25">
      <c r="A841" s="11" t="s">
        <v>871</v>
      </c>
      <c r="B841" t="str">
        <f>VLOOKUP(Customer_Names!A841,Customer_Names!$1:$1048576,4,FALSE)</f>
        <v>Laura F</v>
      </c>
      <c r="C841">
        <f>VLOOKUP(Medical_Examinations_2[[#This Row],[Customer ID]],Medical_Examinations!$1:$1048576,2,FALSE)</f>
        <v>38</v>
      </c>
      <c r="D841">
        <f>VLOOKUP(Medical_Examinations_2[[#This Row],[Customer ID]],Medical_Examinations!$1:$1048576,4,FALSE)</f>
        <v>8.1300000000000008</v>
      </c>
      <c r="E841" t="str">
        <f>VLOOKUP(Medical_Examinations_2[[#This Row],[Customer ID]],Medical_Examinations!$1:$1048576,6,FALSE)</f>
        <v>No</v>
      </c>
      <c r="H841" t="str">
        <f>VLOOKUP(Medical_Examinations_2[[#This Row],[Customer ID]],Medical_Examinations!$1:$1048576,9,FALSE)</f>
        <v>No major surgery</v>
      </c>
      <c r="I841" t="str">
        <f>VLOOKUP(Medical_Examinations_2[[#This Row],[Customer ID]],Medical_Examinations!$1:$1048576,11,FALSE)</f>
        <v>No</v>
      </c>
    </row>
    <row r="842" spans="1:9" x14ac:dyDescent="0.25">
      <c r="A842" s="10" t="s">
        <v>872</v>
      </c>
      <c r="B842" t="str">
        <f>VLOOKUP(Customer_Names!A842,Customer_Names!$1:$1048576,4,FALSE)</f>
        <v>Amelia F.</v>
      </c>
      <c r="C842">
        <f>VLOOKUP(Medical_Examinations_2[[#This Row],[Customer ID]],Medical_Examinations!$1:$1048576,2,FALSE)</f>
        <v>35.1</v>
      </c>
      <c r="D842">
        <f>VLOOKUP(Medical_Examinations_2[[#This Row],[Customer ID]],Medical_Examinations!$1:$1048576,4,FALSE)</f>
        <v>10.1</v>
      </c>
      <c r="E842" t="str">
        <f>VLOOKUP(Medical_Examinations_2[[#This Row],[Customer ID]],Medical_Examinations!$1:$1048576,6,FALSE)</f>
        <v>No</v>
      </c>
      <c r="H842" t="str">
        <f>VLOOKUP(Medical_Examinations_2[[#This Row],[Customer ID]],Medical_Examinations!$1:$1048576,9,FALSE)</f>
        <v>No major surgery</v>
      </c>
      <c r="I842" t="str">
        <f>VLOOKUP(Medical_Examinations_2[[#This Row],[Customer ID]],Medical_Examinations!$1:$1048576,11,FALSE)</f>
        <v>No</v>
      </c>
    </row>
    <row r="843" spans="1:9" x14ac:dyDescent="0.25">
      <c r="A843" s="11" t="s">
        <v>873</v>
      </c>
      <c r="B843" t="str">
        <f>VLOOKUP(Customer_Names!A843,Customer_Names!$1:$1048576,4,FALSE)</f>
        <v>Ms.  Amy L.</v>
      </c>
      <c r="C843">
        <f>VLOOKUP(Medical_Examinations_2[[#This Row],[Customer ID]],Medical_Examinations!$1:$1048576,2,FALSE)</f>
        <v>33.82</v>
      </c>
      <c r="D843">
        <f>VLOOKUP(Medical_Examinations_2[[#This Row],[Customer ID]],Medical_Examinations!$1:$1048576,4,FALSE)</f>
        <v>5.89</v>
      </c>
      <c r="E843" t="str">
        <f>VLOOKUP(Medical_Examinations_2[[#This Row],[Customer ID]],Medical_Examinations!$1:$1048576,6,FALSE)</f>
        <v>Yes</v>
      </c>
      <c r="H843">
        <f>VLOOKUP(Medical_Examinations_2[[#This Row],[Customer ID]],Medical_Examinations!$1:$1048576,9,FALSE)</f>
        <v>2</v>
      </c>
      <c r="I843" t="str">
        <f>VLOOKUP(Medical_Examinations_2[[#This Row],[Customer ID]],Medical_Examinations!$1:$1048576,11,FALSE)</f>
        <v>No</v>
      </c>
    </row>
    <row r="844" spans="1:9" x14ac:dyDescent="0.25">
      <c r="A844" s="10" t="s">
        <v>874</v>
      </c>
      <c r="B844" t="str">
        <f>VLOOKUP(Customer_Names!A844,Customer_Names!$1:$1048576,4,FALSE)</f>
        <v>Katie J</v>
      </c>
      <c r="C844">
        <f>VLOOKUP(Medical_Examinations_2[[#This Row],[Customer ID]],Medical_Examinations!$1:$1048576,2,FALSE)</f>
        <v>37.43</v>
      </c>
      <c r="D844">
        <f>VLOOKUP(Medical_Examinations_2[[#This Row],[Customer ID]],Medical_Examinations!$1:$1048576,4,FALSE)</f>
        <v>4.97</v>
      </c>
      <c r="E844" t="str">
        <f>VLOOKUP(Medical_Examinations_2[[#This Row],[Customer ID]],Medical_Examinations!$1:$1048576,6,FALSE)</f>
        <v>No</v>
      </c>
      <c r="H844">
        <f>VLOOKUP(Medical_Examinations_2[[#This Row],[Customer ID]],Medical_Examinations!$1:$1048576,9,FALSE)</f>
        <v>2</v>
      </c>
      <c r="I844" t="str">
        <f>VLOOKUP(Medical_Examinations_2[[#This Row],[Customer ID]],Medical_Examinations!$1:$1048576,11,FALSE)</f>
        <v>No</v>
      </c>
    </row>
    <row r="845" spans="1:9" x14ac:dyDescent="0.25">
      <c r="A845" s="11" t="s">
        <v>875</v>
      </c>
      <c r="B845" t="str">
        <f>VLOOKUP(Customer_Names!A845,Customer_Names!$1:$1048576,4,FALSE)</f>
        <v>Laura E.</v>
      </c>
      <c r="C845">
        <f>VLOOKUP(Medical_Examinations_2[[#This Row],[Customer ID]],Medical_Examinations!$1:$1048576,2,FALSE)</f>
        <v>30.5</v>
      </c>
      <c r="D845">
        <f>VLOOKUP(Medical_Examinations_2[[#This Row],[Customer ID]],Medical_Examinations!$1:$1048576,4,FALSE)</f>
        <v>9.9</v>
      </c>
      <c r="E845" t="str">
        <f>VLOOKUP(Medical_Examinations_2[[#This Row],[Customer ID]],Medical_Examinations!$1:$1048576,6,FALSE)</f>
        <v>No</v>
      </c>
      <c r="H845" t="str">
        <f>VLOOKUP(Medical_Examinations_2[[#This Row],[Customer ID]],Medical_Examinations!$1:$1048576,9,FALSE)</f>
        <v>No major surgery</v>
      </c>
      <c r="I845" t="str">
        <f>VLOOKUP(Medical_Examinations_2[[#This Row],[Customer ID]],Medical_Examinations!$1:$1048576,11,FALSE)</f>
        <v>No</v>
      </c>
    </row>
    <row r="846" spans="1:9" x14ac:dyDescent="0.25">
      <c r="A846" s="10" t="s">
        <v>876</v>
      </c>
      <c r="B846" t="str">
        <f>VLOOKUP(Customer_Names!A846,Customer_Names!$1:$1048576,4,FALSE)</f>
        <v>Mayumi</v>
      </c>
      <c r="C846">
        <f>VLOOKUP(Medical_Examinations_2[[#This Row],[Customer ID]],Medical_Examinations!$1:$1048576,2,FALSE)</f>
        <v>24.53</v>
      </c>
      <c r="D846">
        <f>VLOOKUP(Medical_Examinations_2[[#This Row],[Customer ID]],Medical_Examinations!$1:$1048576,4,FALSE)</f>
        <v>9.0500000000000007</v>
      </c>
      <c r="E846" t="str">
        <f>VLOOKUP(Medical_Examinations_2[[#This Row],[Customer ID]],Medical_Examinations!$1:$1048576,6,FALSE)</f>
        <v>No</v>
      </c>
      <c r="H846" t="str">
        <f>VLOOKUP(Medical_Examinations_2[[#This Row],[Customer ID]],Medical_Examinations!$1:$1048576,9,FALSE)</f>
        <v>No major surgery</v>
      </c>
      <c r="I846" t="str">
        <f>VLOOKUP(Medical_Examinations_2[[#This Row],[Customer ID]],Medical_Examinations!$1:$1048576,11,FALSE)</f>
        <v>No</v>
      </c>
    </row>
    <row r="847" spans="1:9" x14ac:dyDescent="0.25">
      <c r="A847" s="11" t="s">
        <v>877</v>
      </c>
      <c r="B847" t="str">
        <f>VLOOKUP(Customer_Names!A847,Customer_Names!$1:$1048576,4,FALSE)</f>
        <v>Vanessa</v>
      </c>
      <c r="C847">
        <f>VLOOKUP(Medical_Examinations_2[[#This Row],[Customer ID]],Medical_Examinations!$1:$1048576,2,FALSE)</f>
        <v>25.74</v>
      </c>
      <c r="D847">
        <f>VLOOKUP(Medical_Examinations_2[[#This Row],[Customer ID]],Medical_Examinations!$1:$1048576,4,FALSE)</f>
        <v>10.93</v>
      </c>
      <c r="E847" t="str">
        <f>VLOOKUP(Medical_Examinations_2[[#This Row],[Customer ID]],Medical_Examinations!$1:$1048576,6,FALSE)</f>
        <v>No</v>
      </c>
      <c r="H847" t="str">
        <f>VLOOKUP(Medical_Examinations_2[[#This Row],[Customer ID]],Medical_Examinations!$1:$1048576,9,FALSE)</f>
        <v>No major surgery</v>
      </c>
      <c r="I847" t="str">
        <f>VLOOKUP(Medical_Examinations_2[[#This Row],[Customer ID]],Medical_Examinations!$1:$1048576,11,FALSE)</f>
        <v>No</v>
      </c>
    </row>
    <row r="848" spans="1:9" x14ac:dyDescent="0.25">
      <c r="A848" s="10" t="s">
        <v>878</v>
      </c>
      <c r="B848" t="str">
        <f>VLOOKUP(Customer_Names!A848,Customer_Names!$1:$1048576,4,FALSE)</f>
        <v>Natali N</v>
      </c>
      <c r="C848">
        <f>VLOOKUP(Medical_Examinations_2[[#This Row],[Customer ID]],Medical_Examinations!$1:$1048576,2,FALSE)</f>
        <v>34.08</v>
      </c>
      <c r="D848">
        <f>VLOOKUP(Medical_Examinations_2[[#This Row],[Customer ID]],Medical_Examinations!$1:$1048576,4,FALSE)</f>
        <v>7.58</v>
      </c>
      <c r="E848" t="str">
        <f>VLOOKUP(Medical_Examinations_2[[#This Row],[Customer ID]],Medical_Examinations!$1:$1048576,6,FALSE)</f>
        <v>Yes</v>
      </c>
      <c r="H848">
        <f>VLOOKUP(Medical_Examinations_2[[#This Row],[Customer ID]],Medical_Examinations!$1:$1048576,9,FALSE)</f>
        <v>2</v>
      </c>
      <c r="I848" t="str">
        <f>VLOOKUP(Medical_Examinations_2[[#This Row],[Customer ID]],Medical_Examinations!$1:$1048576,11,FALSE)</f>
        <v>No</v>
      </c>
    </row>
    <row r="849" spans="1:9" x14ac:dyDescent="0.25">
      <c r="A849" s="11" t="s">
        <v>879</v>
      </c>
      <c r="B849" t="str">
        <f>VLOOKUP(Customer_Names!A849,Customer_Names!$1:$1048576,4,FALSE)</f>
        <v>Beth</v>
      </c>
      <c r="C849">
        <f>VLOOKUP(Medical_Examinations_2[[#This Row],[Customer ID]],Medical_Examinations!$1:$1048576,2,FALSE)</f>
        <v>31.35</v>
      </c>
      <c r="D849">
        <f>VLOOKUP(Medical_Examinations_2[[#This Row],[Customer ID]],Medical_Examinations!$1:$1048576,4,FALSE)</f>
        <v>11</v>
      </c>
      <c r="E849" t="str">
        <f>VLOOKUP(Medical_Examinations_2[[#This Row],[Customer ID]],Medical_Examinations!$1:$1048576,6,FALSE)</f>
        <v>Yes</v>
      </c>
      <c r="H849">
        <f>VLOOKUP(Medical_Examinations_2[[#This Row],[Customer ID]],Medical_Examinations!$1:$1048576,9,FALSE)</f>
        <v>1</v>
      </c>
      <c r="I849" t="str">
        <f>VLOOKUP(Medical_Examinations_2[[#This Row],[Customer ID]],Medical_Examinations!$1:$1048576,11,FALSE)</f>
        <v>No</v>
      </c>
    </row>
    <row r="850" spans="1:9" x14ac:dyDescent="0.25">
      <c r="A850" s="10" t="s">
        <v>880</v>
      </c>
      <c r="B850" t="str">
        <f>VLOOKUP(Customer_Names!A850,Customer_Names!$1:$1048576,4,FALSE)</f>
        <v>Alex</v>
      </c>
      <c r="C850">
        <f>VLOOKUP(Medical_Examinations_2[[#This Row],[Customer ID]],Medical_Examinations!$1:$1048576,2,FALSE)</f>
        <v>26.79</v>
      </c>
      <c r="D850">
        <f>VLOOKUP(Medical_Examinations_2[[#This Row],[Customer ID]],Medical_Examinations!$1:$1048576,4,FALSE)</f>
        <v>5.0599999999999996</v>
      </c>
      <c r="E850" t="str">
        <f>VLOOKUP(Medical_Examinations_2[[#This Row],[Customer ID]],Medical_Examinations!$1:$1048576,6,FALSE)</f>
        <v>No</v>
      </c>
      <c r="H850">
        <f>VLOOKUP(Medical_Examinations_2[[#This Row],[Customer ID]],Medical_Examinations!$1:$1048576,9,FALSE)</f>
        <v>1</v>
      </c>
      <c r="I850" t="str">
        <f>VLOOKUP(Medical_Examinations_2[[#This Row],[Customer ID]],Medical_Examinations!$1:$1048576,11,FALSE)</f>
        <v>No</v>
      </c>
    </row>
    <row r="851" spans="1:9" x14ac:dyDescent="0.25">
      <c r="A851" s="11" t="s">
        <v>881</v>
      </c>
      <c r="B851" t="str">
        <f>VLOOKUP(Customer_Names!A851,Customer_Names!$1:$1048576,4,FALSE)</f>
        <v>Spencer</v>
      </c>
      <c r="C851">
        <f>VLOOKUP(Medical_Examinations_2[[#This Row],[Customer ID]],Medical_Examinations!$1:$1048576,2,FALSE)</f>
        <v>42.78</v>
      </c>
      <c r="D851">
        <f>VLOOKUP(Medical_Examinations_2[[#This Row],[Customer ID]],Medical_Examinations!$1:$1048576,4,FALSE)</f>
        <v>6.11</v>
      </c>
      <c r="E851" t="str">
        <f>VLOOKUP(Medical_Examinations_2[[#This Row],[Customer ID]],Medical_Examinations!$1:$1048576,6,FALSE)</f>
        <v>Yes</v>
      </c>
      <c r="H851">
        <f>VLOOKUP(Medical_Examinations_2[[#This Row],[Customer ID]],Medical_Examinations!$1:$1048576,9,FALSE)</f>
        <v>1</v>
      </c>
      <c r="I851" t="str">
        <f>VLOOKUP(Medical_Examinations_2[[#This Row],[Customer ID]],Medical_Examinations!$1:$1048576,11,FALSE)</f>
        <v>No</v>
      </c>
    </row>
    <row r="852" spans="1:9" x14ac:dyDescent="0.25">
      <c r="A852" s="10" t="s">
        <v>882</v>
      </c>
      <c r="B852" t="str">
        <f>VLOOKUP(Customer_Names!A852,Customer_Names!$1:$1048576,4,FALSE)</f>
        <v>Andee W.</v>
      </c>
      <c r="C852">
        <f>VLOOKUP(Medical_Examinations_2[[#This Row],[Customer ID]],Medical_Examinations!$1:$1048576,2,FALSE)</f>
        <v>46.75</v>
      </c>
      <c r="D852">
        <f>VLOOKUP(Medical_Examinations_2[[#This Row],[Customer ID]],Medical_Examinations!$1:$1048576,4,FALSE)</f>
        <v>6.66</v>
      </c>
      <c r="E852" t="str">
        <f>VLOOKUP(Medical_Examinations_2[[#This Row],[Customer ID]],Medical_Examinations!$1:$1048576,6,FALSE)</f>
        <v>Yes</v>
      </c>
      <c r="H852">
        <f>VLOOKUP(Medical_Examinations_2[[#This Row],[Customer ID]],Medical_Examinations!$1:$1048576,9,FALSE)</f>
        <v>2</v>
      </c>
      <c r="I852" t="str">
        <f>VLOOKUP(Medical_Examinations_2[[#This Row],[Customer ID]],Medical_Examinations!$1:$1048576,11,FALSE)</f>
        <v>No</v>
      </c>
    </row>
    <row r="853" spans="1:9" x14ac:dyDescent="0.25">
      <c r="A853" s="11" t="s">
        <v>883</v>
      </c>
      <c r="B853" t="str">
        <f>VLOOKUP(Customer_Names!A853,Customer_Names!$1:$1048576,4,FALSE)</f>
        <v>Amy</v>
      </c>
      <c r="C853">
        <f>VLOOKUP(Medical_Examinations_2[[#This Row],[Customer ID]],Medical_Examinations!$1:$1048576,2,FALSE)</f>
        <v>32.15</v>
      </c>
      <c r="D853">
        <f>VLOOKUP(Medical_Examinations_2[[#This Row],[Customer ID]],Medical_Examinations!$1:$1048576,4,FALSE)</f>
        <v>4.0199999999999996</v>
      </c>
      <c r="E853" t="str">
        <f>VLOOKUP(Medical_Examinations_2[[#This Row],[Customer ID]],Medical_Examinations!$1:$1048576,6,FALSE)</f>
        <v>Yes</v>
      </c>
      <c r="H853">
        <f>VLOOKUP(Medical_Examinations_2[[#This Row],[Customer ID]],Medical_Examinations!$1:$1048576,9,FALSE)</f>
        <v>1</v>
      </c>
      <c r="I853" t="str">
        <f>VLOOKUP(Medical_Examinations_2[[#This Row],[Customer ID]],Medical_Examinations!$1:$1048576,11,FALSE)</f>
        <v>No</v>
      </c>
    </row>
    <row r="854" spans="1:9" x14ac:dyDescent="0.25">
      <c r="A854" s="10" t="s">
        <v>884</v>
      </c>
      <c r="B854" t="str">
        <f>VLOOKUP(Customer_Names!A854,Customer_Names!$1:$1048576,4,FALSE)</f>
        <v>Joshua</v>
      </c>
      <c r="C854">
        <f>VLOOKUP(Medical_Examinations_2[[#This Row],[Customer ID]],Medical_Examinations!$1:$1048576,2,FALSE)</f>
        <v>43.4</v>
      </c>
      <c r="D854">
        <f>VLOOKUP(Medical_Examinations_2[[#This Row],[Customer ID]],Medical_Examinations!$1:$1048576,4,FALSE)</f>
        <v>8.81</v>
      </c>
      <c r="E854" t="str">
        <f>VLOOKUP(Medical_Examinations_2[[#This Row],[Customer ID]],Medical_Examinations!$1:$1048576,6,FALSE)</f>
        <v>Yes</v>
      </c>
      <c r="H854">
        <f>VLOOKUP(Medical_Examinations_2[[#This Row],[Customer ID]],Medical_Examinations!$1:$1048576,9,FALSE)</f>
        <v>2</v>
      </c>
      <c r="I854" t="str">
        <f>VLOOKUP(Medical_Examinations_2[[#This Row],[Customer ID]],Medical_Examinations!$1:$1048576,11,FALSE)</f>
        <v>No</v>
      </c>
    </row>
    <row r="855" spans="1:9" x14ac:dyDescent="0.25">
      <c r="A855" s="11" t="s">
        <v>885</v>
      </c>
      <c r="B855" t="str">
        <f>VLOOKUP(Customer_Names!A855,Customer_Names!$1:$1048576,4,FALSE)</f>
        <v>C Fred</v>
      </c>
      <c r="C855">
        <f>VLOOKUP(Medical_Examinations_2[[#This Row],[Customer ID]],Medical_Examinations!$1:$1048576,2,FALSE)</f>
        <v>31.57</v>
      </c>
      <c r="D855">
        <f>VLOOKUP(Medical_Examinations_2[[#This Row],[Customer ID]],Medical_Examinations!$1:$1048576,4,FALSE)</f>
        <v>7.92</v>
      </c>
      <c r="E855" t="str">
        <f>VLOOKUP(Medical_Examinations_2[[#This Row],[Customer ID]],Medical_Examinations!$1:$1048576,6,FALSE)</f>
        <v>Yes</v>
      </c>
      <c r="H855">
        <f>VLOOKUP(Medical_Examinations_2[[#This Row],[Customer ID]],Medical_Examinations!$1:$1048576,9,FALSE)</f>
        <v>2</v>
      </c>
      <c r="I855" t="str">
        <f>VLOOKUP(Medical_Examinations_2[[#This Row],[Customer ID]],Medical_Examinations!$1:$1048576,11,FALSE)</f>
        <v>No</v>
      </c>
    </row>
    <row r="856" spans="1:9" x14ac:dyDescent="0.25">
      <c r="A856" s="10" t="s">
        <v>886</v>
      </c>
      <c r="B856" t="str">
        <f>VLOOKUP(Customer_Names!A856,Customer_Names!$1:$1048576,4,FALSE)</f>
        <v>Jeremy</v>
      </c>
      <c r="C856">
        <f>VLOOKUP(Medical_Examinations_2[[#This Row],[Customer ID]],Medical_Examinations!$1:$1048576,2,FALSE)</f>
        <v>24.32</v>
      </c>
      <c r="D856">
        <f>VLOOKUP(Medical_Examinations_2[[#This Row],[Customer ID]],Medical_Examinations!$1:$1048576,4,FALSE)</f>
        <v>7.48</v>
      </c>
      <c r="E856" t="str">
        <f>VLOOKUP(Medical_Examinations_2[[#This Row],[Customer ID]],Medical_Examinations!$1:$1048576,6,FALSE)</f>
        <v>No</v>
      </c>
      <c r="H856" t="str">
        <f>VLOOKUP(Medical_Examinations_2[[#This Row],[Customer ID]],Medical_Examinations!$1:$1048576,9,FALSE)</f>
        <v>No major surgery</v>
      </c>
      <c r="I856" t="str">
        <f>VLOOKUP(Medical_Examinations_2[[#This Row],[Customer ID]],Medical_Examinations!$1:$1048576,11,FALSE)</f>
        <v>No</v>
      </c>
    </row>
    <row r="857" spans="1:9" x14ac:dyDescent="0.25">
      <c r="A857" s="11" t="s">
        <v>887</v>
      </c>
      <c r="B857" t="str">
        <f>VLOOKUP(Customer_Names!A857,Customer_Names!$1:$1048576,4,FALSE)</f>
        <v>Patrick Sr.</v>
      </c>
      <c r="C857">
        <f>VLOOKUP(Medical_Examinations_2[[#This Row],[Customer ID]],Medical_Examinations!$1:$1048576,2,FALSE)</f>
        <v>31.07</v>
      </c>
      <c r="D857">
        <f>VLOOKUP(Medical_Examinations_2[[#This Row],[Customer ID]],Medical_Examinations!$1:$1048576,4,FALSE)</f>
        <v>4.62</v>
      </c>
      <c r="E857" t="str">
        <f>VLOOKUP(Medical_Examinations_2[[#This Row],[Customer ID]],Medical_Examinations!$1:$1048576,6,FALSE)</f>
        <v>Yes</v>
      </c>
      <c r="H857">
        <f>VLOOKUP(Medical_Examinations_2[[#This Row],[Customer ID]],Medical_Examinations!$1:$1048576,9,FALSE)</f>
        <v>2</v>
      </c>
      <c r="I857" t="str">
        <f>VLOOKUP(Medical_Examinations_2[[#This Row],[Customer ID]],Medical_Examinations!$1:$1048576,11,FALSE)</f>
        <v>No</v>
      </c>
    </row>
    <row r="858" spans="1:9" x14ac:dyDescent="0.25">
      <c r="A858" s="10" t="s">
        <v>888</v>
      </c>
      <c r="B858" t="str">
        <f>VLOOKUP(Customer_Names!A858,Customer_Names!$1:$1048576,4,FALSE)</f>
        <v>Kelly M.</v>
      </c>
      <c r="C858">
        <f>VLOOKUP(Medical_Examinations_2[[#This Row],[Customer ID]],Medical_Examinations!$1:$1048576,2,FALSE)</f>
        <v>35.814999999999998</v>
      </c>
      <c r="D858">
        <f>VLOOKUP(Medical_Examinations_2[[#This Row],[Customer ID]],Medical_Examinations!$1:$1048576,4,FALSE)</f>
        <v>8.4700000000000006</v>
      </c>
      <c r="E858" t="str">
        <f>VLOOKUP(Medical_Examinations_2[[#This Row],[Customer ID]],Medical_Examinations!$1:$1048576,6,FALSE)</f>
        <v>No</v>
      </c>
      <c r="H858" t="str">
        <f>VLOOKUP(Medical_Examinations_2[[#This Row],[Customer ID]],Medical_Examinations!$1:$1048576,9,FALSE)</f>
        <v>No major surgery</v>
      </c>
      <c r="I858" t="str">
        <f>VLOOKUP(Medical_Examinations_2[[#This Row],[Customer ID]],Medical_Examinations!$1:$1048576,11,FALSE)</f>
        <v>No</v>
      </c>
    </row>
    <row r="859" spans="1:9" x14ac:dyDescent="0.25">
      <c r="A859" s="11" t="s">
        <v>889</v>
      </c>
      <c r="B859" t="str">
        <f>VLOOKUP(Customer_Names!A859,Customer_Names!$1:$1048576,4,FALSE)</f>
        <v>Katherine</v>
      </c>
      <c r="C859">
        <f>VLOOKUP(Medical_Examinations_2[[#This Row],[Customer ID]],Medical_Examinations!$1:$1048576,2,FALSE)</f>
        <v>40.81</v>
      </c>
      <c r="D859">
        <f>VLOOKUP(Medical_Examinations_2[[#This Row],[Customer ID]],Medical_Examinations!$1:$1048576,4,FALSE)</f>
        <v>10.58</v>
      </c>
      <c r="E859" t="str">
        <f>VLOOKUP(Medical_Examinations_2[[#This Row],[Customer ID]],Medical_Examinations!$1:$1048576,6,FALSE)</f>
        <v>Yes</v>
      </c>
      <c r="H859" t="str">
        <f>VLOOKUP(Medical_Examinations_2[[#This Row],[Customer ID]],Medical_Examinations!$1:$1048576,9,FALSE)</f>
        <v>No major surgery</v>
      </c>
      <c r="I859" t="str">
        <f>VLOOKUP(Medical_Examinations_2[[#This Row],[Customer ID]],Medical_Examinations!$1:$1048576,11,FALSE)</f>
        <v>No</v>
      </c>
    </row>
    <row r="860" spans="1:9" x14ac:dyDescent="0.25">
      <c r="A860" s="10" t="s">
        <v>890</v>
      </c>
      <c r="B860" t="str">
        <f>VLOOKUP(Customer_Names!A860,Customer_Names!$1:$1048576,4,FALSE)</f>
        <v>Keila L</v>
      </c>
      <c r="C860">
        <f>VLOOKUP(Medical_Examinations_2[[#This Row],[Customer ID]],Medical_Examinations!$1:$1048576,2,FALSE)</f>
        <v>24.605</v>
      </c>
      <c r="D860">
        <f>VLOOKUP(Medical_Examinations_2[[#This Row],[Customer ID]],Medical_Examinations!$1:$1048576,4,FALSE)</f>
        <v>7.48</v>
      </c>
      <c r="E860" t="str">
        <f>VLOOKUP(Medical_Examinations_2[[#This Row],[Customer ID]],Medical_Examinations!$1:$1048576,6,FALSE)</f>
        <v>No</v>
      </c>
      <c r="H860" t="str">
        <f>VLOOKUP(Medical_Examinations_2[[#This Row],[Customer ID]],Medical_Examinations!$1:$1048576,9,FALSE)</f>
        <v>No major surgery</v>
      </c>
      <c r="I860" t="str">
        <f>VLOOKUP(Medical_Examinations_2[[#This Row],[Customer ID]],Medical_Examinations!$1:$1048576,11,FALSE)</f>
        <v>No</v>
      </c>
    </row>
    <row r="861" spans="1:9" x14ac:dyDescent="0.25">
      <c r="A861" s="11" t="s">
        <v>891</v>
      </c>
      <c r="B861" t="str">
        <f>VLOOKUP(Customer_Names!A861,Customer_Names!$1:$1048576,4,FALSE)</f>
        <v>Zanae E</v>
      </c>
      <c r="C861">
        <f>VLOOKUP(Medical_Examinations_2[[#This Row],[Customer ID]],Medical_Examinations!$1:$1048576,2,FALSE)</f>
        <v>21.47</v>
      </c>
      <c r="D861">
        <f>VLOOKUP(Medical_Examinations_2[[#This Row],[Customer ID]],Medical_Examinations!$1:$1048576,4,FALSE)</f>
        <v>7.82</v>
      </c>
      <c r="E861" t="str">
        <f>VLOOKUP(Medical_Examinations_2[[#This Row],[Customer ID]],Medical_Examinations!$1:$1048576,6,FALSE)</f>
        <v>No</v>
      </c>
      <c r="H861" t="str">
        <f>VLOOKUP(Medical_Examinations_2[[#This Row],[Customer ID]],Medical_Examinations!$1:$1048576,9,FALSE)</f>
        <v>No major surgery</v>
      </c>
      <c r="I861" t="str">
        <f>VLOOKUP(Medical_Examinations_2[[#This Row],[Customer ID]],Medical_Examinations!$1:$1048576,11,FALSE)</f>
        <v>No</v>
      </c>
    </row>
    <row r="862" spans="1:9" x14ac:dyDescent="0.25">
      <c r="A862" s="10" t="s">
        <v>892</v>
      </c>
      <c r="B862" t="str">
        <f>VLOOKUP(Customer_Names!A862,Customer_Names!$1:$1048576,4,FALSE)</f>
        <v>Alex</v>
      </c>
      <c r="C862">
        <f>VLOOKUP(Medical_Examinations_2[[#This Row],[Customer ID]],Medical_Examinations!$1:$1048576,2,FALSE)</f>
        <v>52.89</v>
      </c>
      <c r="D862">
        <f>VLOOKUP(Medical_Examinations_2[[#This Row],[Customer ID]],Medical_Examinations!$1:$1048576,4,FALSE)</f>
        <v>4.96</v>
      </c>
      <c r="E862" t="str">
        <f>VLOOKUP(Medical_Examinations_2[[#This Row],[Customer ID]],Medical_Examinations!$1:$1048576,6,FALSE)</f>
        <v>Yes</v>
      </c>
      <c r="H862">
        <f>VLOOKUP(Medical_Examinations_2[[#This Row],[Customer ID]],Medical_Examinations!$1:$1048576,9,FALSE)</f>
        <v>1</v>
      </c>
      <c r="I862" t="str">
        <f>VLOOKUP(Medical_Examinations_2[[#This Row],[Customer ID]],Medical_Examinations!$1:$1048576,11,FALSE)</f>
        <v>No</v>
      </c>
    </row>
    <row r="863" spans="1:9" x14ac:dyDescent="0.25">
      <c r="A863" s="11" t="s">
        <v>893</v>
      </c>
      <c r="B863" t="str">
        <f>VLOOKUP(Customer_Names!A863,Customer_Names!$1:$1048576,4,FALSE)</f>
        <v>Kathryn</v>
      </c>
      <c r="C863">
        <f>VLOOKUP(Medical_Examinations_2[[#This Row],[Customer ID]],Medical_Examinations!$1:$1048576,2,FALSE)</f>
        <v>32.965000000000003</v>
      </c>
      <c r="D863">
        <f>VLOOKUP(Medical_Examinations_2[[#This Row],[Customer ID]],Medical_Examinations!$1:$1048576,4,FALSE)</f>
        <v>6.15</v>
      </c>
      <c r="E863" t="str">
        <f>VLOOKUP(Medical_Examinations_2[[#This Row],[Customer ID]],Medical_Examinations!$1:$1048576,6,FALSE)</f>
        <v>Yes</v>
      </c>
      <c r="H863">
        <f>VLOOKUP(Medical_Examinations_2[[#This Row],[Customer ID]],Medical_Examinations!$1:$1048576,9,FALSE)</f>
        <v>1</v>
      </c>
      <c r="I863" t="str">
        <f>VLOOKUP(Medical_Examinations_2[[#This Row],[Customer ID]],Medical_Examinations!$1:$1048576,11,FALSE)</f>
        <v>No</v>
      </c>
    </row>
    <row r="864" spans="1:9" x14ac:dyDescent="0.25">
      <c r="A864" s="10" t="s">
        <v>894</v>
      </c>
      <c r="B864" t="str">
        <f>VLOOKUP(Customer_Names!A864,Customer_Names!$1:$1048576,4,FALSE)</f>
        <v>Jason L.</v>
      </c>
      <c r="C864">
        <f>VLOOKUP(Medical_Examinations_2[[#This Row],[Customer ID]],Medical_Examinations!$1:$1048576,2,FALSE)</f>
        <v>36.799999999999997</v>
      </c>
      <c r="D864">
        <f>VLOOKUP(Medical_Examinations_2[[#This Row],[Customer ID]],Medical_Examinations!$1:$1048576,4,FALSE)</f>
        <v>4.62</v>
      </c>
      <c r="E864" t="str">
        <f>VLOOKUP(Medical_Examinations_2[[#This Row],[Customer ID]],Medical_Examinations!$1:$1048576,6,FALSE)</f>
        <v>No</v>
      </c>
      <c r="H864">
        <f>VLOOKUP(Medical_Examinations_2[[#This Row],[Customer ID]],Medical_Examinations!$1:$1048576,9,FALSE)</f>
        <v>1</v>
      </c>
      <c r="I864" t="str">
        <f>VLOOKUP(Medical_Examinations_2[[#This Row],[Customer ID]],Medical_Examinations!$1:$1048576,11,FALSE)</f>
        <v>No</v>
      </c>
    </row>
    <row r="865" spans="1:9" x14ac:dyDescent="0.25">
      <c r="A865" s="11" t="s">
        <v>895</v>
      </c>
      <c r="B865" t="str">
        <f>VLOOKUP(Customer_Names!A865,Customer_Names!$1:$1048576,4,FALSE)</f>
        <v>Benjamin J.</v>
      </c>
      <c r="C865">
        <f>VLOOKUP(Medical_Examinations_2[[#This Row],[Customer ID]],Medical_Examinations!$1:$1048576,2,FALSE)</f>
        <v>34.299999999999997</v>
      </c>
      <c r="D865">
        <f>VLOOKUP(Medical_Examinations_2[[#This Row],[Customer ID]],Medical_Examinations!$1:$1048576,4,FALSE)</f>
        <v>4.87</v>
      </c>
      <c r="E865" t="str">
        <f>VLOOKUP(Medical_Examinations_2[[#This Row],[Customer ID]],Medical_Examinations!$1:$1048576,6,FALSE)</f>
        <v>No</v>
      </c>
      <c r="H865">
        <f>VLOOKUP(Medical_Examinations_2[[#This Row],[Customer ID]],Medical_Examinations!$1:$1048576,9,FALSE)</f>
        <v>2</v>
      </c>
      <c r="I865" t="str">
        <f>VLOOKUP(Medical_Examinations_2[[#This Row],[Customer ID]],Medical_Examinations!$1:$1048576,11,FALSE)</f>
        <v>No</v>
      </c>
    </row>
    <row r="866" spans="1:9" x14ac:dyDescent="0.25">
      <c r="A866" s="10" t="s">
        <v>896</v>
      </c>
      <c r="B866" t="str">
        <f>VLOOKUP(Customer_Names!A866,Customer_Names!$1:$1048576,4,FALSE)</f>
        <v>Steven M.</v>
      </c>
      <c r="C866">
        <f>VLOOKUP(Medical_Examinations_2[[#This Row],[Customer ID]],Medical_Examinations!$1:$1048576,2,FALSE)</f>
        <v>35.244999999999997</v>
      </c>
      <c r="D866">
        <f>VLOOKUP(Medical_Examinations_2[[#This Row],[Customer ID]],Medical_Examinations!$1:$1048576,4,FALSE)</f>
        <v>4.63</v>
      </c>
      <c r="E866" t="str">
        <f>VLOOKUP(Medical_Examinations_2[[#This Row],[Customer ID]],Medical_Examinations!$1:$1048576,6,FALSE)</f>
        <v>No</v>
      </c>
      <c r="H866" t="str">
        <f>VLOOKUP(Medical_Examinations_2[[#This Row],[Customer ID]],Medical_Examinations!$1:$1048576,9,FALSE)</f>
        <v>No major surgery</v>
      </c>
      <c r="I866" t="str">
        <f>VLOOKUP(Medical_Examinations_2[[#This Row],[Customer ID]],Medical_Examinations!$1:$1048576,11,FALSE)</f>
        <v>No</v>
      </c>
    </row>
    <row r="867" spans="1:9" x14ac:dyDescent="0.25">
      <c r="A867" s="11" t="s">
        <v>897</v>
      </c>
      <c r="B867" t="str">
        <f>VLOOKUP(Customer_Names!A867,Customer_Names!$1:$1048576,4,FALSE)</f>
        <v>Erika</v>
      </c>
      <c r="C867">
        <f>VLOOKUP(Medical_Examinations_2[[#This Row],[Customer ID]],Medical_Examinations!$1:$1048576,2,FALSE)</f>
        <v>26.23</v>
      </c>
      <c r="D867">
        <f>VLOOKUP(Medical_Examinations_2[[#This Row],[Customer ID]],Medical_Examinations!$1:$1048576,4,FALSE)</f>
        <v>11.93</v>
      </c>
      <c r="E867" t="str">
        <f>VLOOKUP(Medical_Examinations_2[[#This Row],[Customer ID]],Medical_Examinations!$1:$1048576,6,FALSE)</f>
        <v>No</v>
      </c>
      <c r="H867" t="str">
        <f>VLOOKUP(Medical_Examinations_2[[#This Row],[Customer ID]],Medical_Examinations!$1:$1048576,9,FALSE)</f>
        <v>No major surgery</v>
      </c>
      <c r="I867" t="str">
        <f>VLOOKUP(Medical_Examinations_2[[#This Row],[Customer ID]],Medical_Examinations!$1:$1048576,11,FALSE)</f>
        <v>No</v>
      </c>
    </row>
    <row r="868" spans="1:9" x14ac:dyDescent="0.25">
      <c r="A868" s="10" t="s">
        <v>898</v>
      </c>
      <c r="B868" t="str">
        <f>VLOOKUP(Customer_Names!A868,Customer_Names!$1:$1048576,4,FALSE)</f>
        <v>Chad</v>
      </c>
      <c r="C868">
        <f>VLOOKUP(Medical_Examinations_2[[#This Row],[Customer ID]],Medical_Examinations!$1:$1048576,2,FALSE)</f>
        <v>36.1</v>
      </c>
      <c r="D868">
        <f>VLOOKUP(Medical_Examinations_2[[#This Row],[Customer ID]],Medical_Examinations!$1:$1048576,4,FALSE)</f>
        <v>5.65</v>
      </c>
      <c r="E868" t="str">
        <f>VLOOKUP(Medical_Examinations_2[[#This Row],[Customer ID]],Medical_Examinations!$1:$1048576,6,FALSE)</f>
        <v>Yes</v>
      </c>
      <c r="H868">
        <f>VLOOKUP(Medical_Examinations_2[[#This Row],[Customer ID]],Medical_Examinations!$1:$1048576,9,FALSE)</f>
        <v>2</v>
      </c>
      <c r="I868" t="str">
        <f>VLOOKUP(Medical_Examinations_2[[#This Row],[Customer ID]],Medical_Examinations!$1:$1048576,11,FALSE)</f>
        <v>No</v>
      </c>
    </row>
    <row r="869" spans="1:9" x14ac:dyDescent="0.25">
      <c r="A869" s="11" t="s">
        <v>899</v>
      </c>
      <c r="B869" t="str">
        <f>VLOOKUP(Customer_Names!A869,Customer_Names!$1:$1048576,4,FALSE)</f>
        <v>Mark</v>
      </c>
      <c r="C869">
        <f>VLOOKUP(Medical_Examinations_2[[#This Row],[Customer ID]],Medical_Examinations!$1:$1048576,2,FALSE)</f>
        <v>37.1</v>
      </c>
      <c r="D869">
        <f>VLOOKUP(Medical_Examinations_2[[#This Row],[Customer ID]],Medical_Examinations!$1:$1048576,4,FALSE)</f>
        <v>11.21</v>
      </c>
      <c r="E869" t="str">
        <f>VLOOKUP(Medical_Examinations_2[[#This Row],[Customer ID]],Medical_Examinations!$1:$1048576,6,FALSE)</f>
        <v>Yes</v>
      </c>
      <c r="H869">
        <f>VLOOKUP(Medical_Examinations_2[[#This Row],[Customer ID]],Medical_Examinations!$1:$1048576,9,FALSE)</f>
        <v>1</v>
      </c>
      <c r="I869" t="str">
        <f>VLOOKUP(Medical_Examinations_2[[#This Row],[Customer ID]],Medical_Examinations!$1:$1048576,11,FALSE)</f>
        <v>No</v>
      </c>
    </row>
    <row r="870" spans="1:9" x14ac:dyDescent="0.25">
      <c r="A870" s="10" t="s">
        <v>900</v>
      </c>
      <c r="B870" t="str">
        <f>VLOOKUP(Customer_Names!A870,Customer_Names!$1:$1048576,4,FALSE)</f>
        <v>David</v>
      </c>
      <c r="C870">
        <f>VLOOKUP(Medical_Examinations_2[[#This Row],[Customer ID]],Medical_Examinations!$1:$1048576,2,FALSE)</f>
        <v>27.5</v>
      </c>
      <c r="D870">
        <f>VLOOKUP(Medical_Examinations_2[[#This Row],[Customer ID]],Medical_Examinations!$1:$1048576,4,FALSE)</f>
        <v>10.62</v>
      </c>
      <c r="E870" t="str">
        <f>VLOOKUP(Medical_Examinations_2[[#This Row],[Customer ID]],Medical_Examinations!$1:$1048576,6,FALSE)</f>
        <v>Yes</v>
      </c>
      <c r="H870">
        <f>VLOOKUP(Medical_Examinations_2[[#This Row],[Customer ID]],Medical_Examinations!$1:$1048576,9,FALSE)</f>
        <v>1</v>
      </c>
      <c r="I870" t="str">
        <f>VLOOKUP(Medical_Examinations_2[[#This Row],[Customer ID]],Medical_Examinations!$1:$1048576,11,FALSE)</f>
        <v>No</v>
      </c>
    </row>
    <row r="871" spans="1:9" x14ac:dyDescent="0.25">
      <c r="A871" s="11" t="s">
        <v>901</v>
      </c>
      <c r="B871" t="str">
        <f>VLOOKUP(Customer_Names!A871,Customer_Names!$1:$1048576,4,FALSE)</f>
        <v>Matthew R</v>
      </c>
      <c r="C871">
        <f>VLOOKUP(Medical_Examinations_2[[#This Row],[Customer ID]],Medical_Examinations!$1:$1048576,2,FALSE)</f>
        <v>24.7</v>
      </c>
      <c r="D871">
        <f>VLOOKUP(Medical_Examinations_2[[#This Row],[Customer ID]],Medical_Examinations!$1:$1048576,4,FALSE)</f>
        <v>10.7</v>
      </c>
      <c r="E871" t="str">
        <f>VLOOKUP(Medical_Examinations_2[[#This Row],[Customer ID]],Medical_Examinations!$1:$1048576,6,FALSE)</f>
        <v>Yes</v>
      </c>
      <c r="H871">
        <f>VLOOKUP(Medical_Examinations_2[[#This Row],[Customer ID]],Medical_Examinations!$1:$1048576,9,FALSE)</f>
        <v>1</v>
      </c>
      <c r="I871" t="str">
        <f>VLOOKUP(Medical_Examinations_2[[#This Row],[Customer ID]],Medical_Examinations!$1:$1048576,11,FALSE)</f>
        <v>No</v>
      </c>
    </row>
    <row r="872" spans="1:9" x14ac:dyDescent="0.25">
      <c r="A872" s="10" t="s">
        <v>902</v>
      </c>
      <c r="B872" t="str">
        <f>VLOOKUP(Customer_Names!A872,Customer_Names!$1:$1048576,4,FALSE)</f>
        <v>Orla</v>
      </c>
      <c r="C872">
        <f>VLOOKUP(Medical_Examinations_2[[#This Row],[Customer ID]],Medical_Examinations!$1:$1048576,2,FALSE)</f>
        <v>26.78</v>
      </c>
      <c r="D872">
        <f>VLOOKUP(Medical_Examinations_2[[#This Row],[Customer ID]],Medical_Examinations!$1:$1048576,4,FALSE)</f>
        <v>10.02</v>
      </c>
      <c r="E872" t="str">
        <f>VLOOKUP(Medical_Examinations_2[[#This Row],[Customer ID]],Medical_Examinations!$1:$1048576,6,FALSE)</f>
        <v>Yes</v>
      </c>
      <c r="H872">
        <f>VLOOKUP(Medical_Examinations_2[[#This Row],[Customer ID]],Medical_Examinations!$1:$1048576,9,FALSE)</f>
        <v>1</v>
      </c>
      <c r="I872" t="str">
        <f>VLOOKUP(Medical_Examinations_2[[#This Row],[Customer ID]],Medical_Examinations!$1:$1048576,11,FALSE)</f>
        <v>No</v>
      </c>
    </row>
    <row r="873" spans="1:9" x14ac:dyDescent="0.25">
      <c r="A873" s="11" t="s">
        <v>903</v>
      </c>
      <c r="B873" t="str">
        <f>VLOOKUP(Customer_Names!A873,Customer_Names!$1:$1048576,4,FALSE)</f>
        <v>Shaista S</v>
      </c>
      <c r="C873">
        <f>VLOOKUP(Medical_Examinations_2[[#This Row],[Customer ID]],Medical_Examinations!$1:$1048576,2,FALSE)</f>
        <v>45.8</v>
      </c>
      <c r="D873">
        <f>VLOOKUP(Medical_Examinations_2[[#This Row],[Customer ID]],Medical_Examinations!$1:$1048576,4,FALSE)</f>
        <v>4.8499999999999996</v>
      </c>
      <c r="E873" t="str">
        <f>VLOOKUP(Medical_Examinations_2[[#This Row],[Customer ID]],Medical_Examinations!$1:$1048576,6,FALSE)</f>
        <v>No</v>
      </c>
      <c r="H873" t="str">
        <f>VLOOKUP(Medical_Examinations_2[[#This Row],[Customer ID]],Medical_Examinations!$1:$1048576,9,FALSE)</f>
        <v>No major surgery</v>
      </c>
      <c r="I873" t="str">
        <f>VLOOKUP(Medical_Examinations_2[[#This Row],[Customer ID]],Medical_Examinations!$1:$1048576,11,FALSE)</f>
        <v>No</v>
      </c>
    </row>
    <row r="874" spans="1:9" x14ac:dyDescent="0.25">
      <c r="A874" s="10" t="s">
        <v>904</v>
      </c>
      <c r="B874" t="str">
        <f>VLOOKUP(Customer_Names!A874,Customer_Names!$1:$1048576,4,FALSE)</f>
        <v>Mrs.  Emily</v>
      </c>
      <c r="C874">
        <f>VLOOKUP(Medical_Examinations_2[[#This Row],[Customer ID]],Medical_Examinations!$1:$1048576,2,FALSE)</f>
        <v>29</v>
      </c>
      <c r="D874">
        <f>VLOOKUP(Medical_Examinations_2[[#This Row],[Customer ID]],Medical_Examinations!$1:$1048576,4,FALSE)</f>
        <v>4.3899999999999997</v>
      </c>
      <c r="E874" t="str">
        <f>VLOOKUP(Medical_Examinations_2[[#This Row],[Customer ID]],Medical_Examinations!$1:$1048576,6,FALSE)</f>
        <v>Yes</v>
      </c>
      <c r="H874">
        <f>VLOOKUP(Medical_Examinations_2[[#This Row],[Customer ID]],Medical_Examinations!$1:$1048576,9,FALSE)</f>
        <v>2</v>
      </c>
      <c r="I874" t="str">
        <f>VLOOKUP(Medical_Examinations_2[[#This Row],[Customer ID]],Medical_Examinations!$1:$1048576,11,FALSE)</f>
        <v>No</v>
      </c>
    </row>
    <row r="875" spans="1:9" x14ac:dyDescent="0.25">
      <c r="A875" s="11" t="s">
        <v>905</v>
      </c>
      <c r="B875" t="str">
        <f>VLOOKUP(Customer_Names!A875,Customer_Names!$1:$1048576,4,FALSE)</f>
        <v>Julie A.</v>
      </c>
      <c r="C875">
        <f>VLOOKUP(Medical_Examinations_2[[#This Row],[Customer ID]],Medical_Examinations!$1:$1048576,2,FALSE)</f>
        <v>33.534999999999997</v>
      </c>
      <c r="D875">
        <f>VLOOKUP(Medical_Examinations_2[[#This Row],[Customer ID]],Medical_Examinations!$1:$1048576,4,FALSE)</f>
        <v>8.24</v>
      </c>
      <c r="E875" t="str">
        <f>VLOOKUP(Medical_Examinations_2[[#This Row],[Customer ID]],Medical_Examinations!$1:$1048576,6,FALSE)</f>
        <v>Yes</v>
      </c>
      <c r="H875" t="str">
        <f>VLOOKUP(Medical_Examinations_2[[#This Row],[Customer ID]],Medical_Examinations!$1:$1048576,9,FALSE)</f>
        <v>No major surgery</v>
      </c>
      <c r="I875" t="str">
        <f>VLOOKUP(Medical_Examinations_2[[#This Row],[Customer ID]],Medical_Examinations!$1:$1048576,11,FALSE)</f>
        <v>No</v>
      </c>
    </row>
    <row r="876" spans="1:9" x14ac:dyDescent="0.25">
      <c r="A876" s="10" t="s">
        <v>906</v>
      </c>
      <c r="B876" t="str">
        <f>VLOOKUP(Customer_Names!A876,Customer_Names!$1:$1048576,4,FALSE)</f>
        <v>Megumi</v>
      </c>
      <c r="C876">
        <f>VLOOKUP(Medical_Examinations_2[[#This Row],[Customer ID]],Medical_Examinations!$1:$1048576,2,FALSE)</f>
        <v>32.774999999999999</v>
      </c>
      <c r="D876">
        <f>VLOOKUP(Medical_Examinations_2[[#This Row],[Customer ID]],Medical_Examinations!$1:$1048576,4,FALSE)</f>
        <v>9.77</v>
      </c>
      <c r="E876" t="str">
        <f>VLOOKUP(Medical_Examinations_2[[#This Row],[Customer ID]],Medical_Examinations!$1:$1048576,6,FALSE)</f>
        <v>Yes</v>
      </c>
      <c r="H876" t="str">
        <f>VLOOKUP(Medical_Examinations_2[[#This Row],[Customer ID]],Medical_Examinations!$1:$1048576,9,FALSE)</f>
        <v>No major surgery</v>
      </c>
      <c r="I876" t="str">
        <f>VLOOKUP(Medical_Examinations_2[[#This Row],[Customer ID]],Medical_Examinations!$1:$1048576,11,FALSE)</f>
        <v>No</v>
      </c>
    </row>
    <row r="877" spans="1:9" x14ac:dyDescent="0.25">
      <c r="A877" s="11" t="s">
        <v>907</v>
      </c>
      <c r="B877" t="str">
        <f>VLOOKUP(Customer_Names!A877,Customer_Names!$1:$1048576,4,FALSE)</f>
        <v>Skylar</v>
      </c>
      <c r="C877">
        <f>VLOOKUP(Medical_Examinations_2[[#This Row],[Customer ID]],Medical_Examinations!$1:$1048576,2,FALSE)</f>
        <v>37.51</v>
      </c>
      <c r="D877">
        <f>VLOOKUP(Medical_Examinations_2[[#This Row],[Customer ID]],Medical_Examinations!$1:$1048576,4,FALSE)</f>
        <v>5.5</v>
      </c>
      <c r="E877" t="str">
        <f>VLOOKUP(Medical_Examinations_2[[#This Row],[Customer ID]],Medical_Examinations!$1:$1048576,6,FALSE)</f>
        <v>Yes</v>
      </c>
      <c r="H877">
        <f>VLOOKUP(Medical_Examinations_2[[#This Row],[Customer ID]],Medical_Examinations!$1:$1048576,9,FALSE)</f>
        <v>2</v>
      </c>
      <c r="I877" t="str">
        <f>VLOOKUP(Medical_Examinations_2[[#This Row],[Customer ID]],Medical_Examinations!$1:$1048576,11,FALSE)</f>
        <v>No</v>
      </c>
    </row>
    <row r="878" spans="1:9" x14ac:dyDescent="0.25">
      <c r="A878" s="10" t="s">
        <v>908</v>
      </c>
      <c r="B878" t="str">
        <f>VLOOKUP(Customer_Names!A878,Customer_Names!$1:$1048576,4,FALSE)</f>
        <v>Victoria</v>
      </c>
      <c r="C878">
        <f>VLOOKUP(Medical_Examinations_2[[#This Row],[Customer ID]],Medical_Examinations!$1:$1048576,2,FALSE)</f>
        <v>39.86</v>
      </c>
      <c r="D878">
        <f>VLOOKUP(Medical_Examinations_2[[#This Row],[Customer ID]],Medical_Examinations!$1:$1048576,4,FALSE)</f>
        <v>11.84</v>
      </c>
      <c r="E878" t="str">
        <f>VLOOKUP(Medical_Examinations_2[[#This Row],[Customer ID]],Medical_Examinations!$1:$1048576,6,FALSE)</f>
        <v>Yes</v>
      </c>
      <c r="H878">
        <f>VLOOKUP(Medical_Examinations_2[[#This Row],[Customer ID]],Medical_Examinations!$1:$1048576,9,FALSE)</f>
        <v>1</v>
      </c>
      <c r="I878" t="str">
        <f>VLOOKUP(Medical_Examinations_2[[#This Row],[Customer ID]],Medical_Examinations!$1:$1048576,11,FALSE)</f>
        <v>No</v>
      </c>
    </row>
    <row r="879" spans="1:9" x14ac:dyDescent="0.25">
      <c r="A879" s="11" t="s">
        <v>909</v>
      </c>
      <c r="B879" t="str">
        <f>VLOOKUP(Customer_Names!A879,Customer_Names!$1:$1048576,4,FALSE)</f>
        <v>Amanda L</v>
      </c>
      <c r="C879">
        <f>VLOOKUP(Medical_Examinations_2[[#This Row],[Customer ID]],Medical_Examinations!$1:$1048576,2,FALSE)</f>
        <v>42.13</v>
      </c>
      <c r="D879">
        <f>VLOOKUP(Medical_Examinations_2[[#This Row],[Customer ID]],Medical_Examinations!$1:$1048576,4,FALSE)</f>
        <v>4.66</v>
      </c>
      <c r="E879" t="str">
        <f>VLOOKUP(Medical_Examinations_2[[#This Row],[Customer ID]],Medical_Examinations!$1:$1048576,6,FALSE)</f>
        <v>No</v>
      </c>
      <c r="H879" t="str">
        <f>VLOOKUP(Medical_Examinations_2[[#This Row],[Customer ID]],Medical_Examinations!$1:$1048576,9,FALSE)</f>
        <v>No major surgery</v>
      </c>
      <c r="I879" t="str">
        <f>VLOOKUP(Medical_Examinations_2[[#This Row],[Customer ID]],Medical_Examinations!$1:$1048576,11,FALSE)</f>
        <v>No</v>
      </c>
    </row>
    <row r="880" spans="1:9" x14ac:dyDescent="0.25">
      <c r="A880" s="10" t="s">
        <v>910</v>
      </c>
      <c r="B880" t="str">
        <f>VLOOKUP(Customer_Names!A880,Customer_Names!$1:$1048576,4,FALSE)</f>
        <v>Ms.  Renee</v>
      </c>
      <c r="C880">
        <f>VLOOKUP(Medical_Examinations_2[[#This Row],[Customer ID]],Medical_Examinations!$1:$1048576,2,FALSE)</f>
        <v>35.99</v>
      </c>
      <c r="D880">
        <f>VLOOKUP(Medical_Examinations_2[[#This Row],[Customer ID]],Medical_Examinations!$1:$1048576,4,FALSE)</f>
        <v>11.11</v>
      </c>
      <c r="E880" t="str">
        <f>VLOOKUP(Medical_Examinations_2[[#This Row],[Customer ID]],Medical_Examinations!$1:$1048576,6,FALSE)</f>
        <v>No</v>
      </c>
      <c r="H880" t="str">
        <f>VLOOKUP(Medical_Examinations_2[[#This Row],[Customer ID]],Medical_Examinations!$1:$1048576,9,FALSE)</f>
        <v>No major surgery</v>
      </c>
      <c r="I880" t="str">
        <f>VLOOKUP(Medical_Examinations_2[[#This Row],[Customer ID]],Medical_Examinations!$1:$1048576,11,FALSE)</f>
        <v>No</v>
      </c>
    </row>
    <row r="881" spans="1:9" x14ac:dyDescent="0.25">
      <c r="A881" s="11" t="s">
        <v>911</v>
      </c>
      <c r="B881" t="str">
        <f>VLOOKUP(Customer_Names!A881,Customer_Names!$1:$1048576,4,FALSE)</f>
        <v>Nellie A.</v>
      </c>
      <c r="C881">
        <f>VLOOKUP(Medical_Examinations_2[[#This Row],[Customer ID]],Medical_Examinations!$1:$1048576,2,FALSE)</f>
        <v>35.200000000000003</v>
      </c>
      <c r="D881">
        <f>VLOOKUP(Medical_Examinations_2[[#This Row],[Customer ID]],Medical_Examinations!$1:$1048576,4,FALSE)</f>
        <v>7.72</v>
      </c>
      <c r="E881" t="str">
        <f>VLOOKUP(Medical_Examinations_2[[#This Row],[Customer ID]],Medical_Examinations!$1:$1048576,6,FALSE)</f>
        <v>Yes</v>
      </c>
      <c r="H881">
        <f>VLOOKUP(Medical_Examinations_2[[#This Row],[Customer ID]],Medical_Examinations!$1:$1048576,9,FALSE)</f>
        <v>1</v>
      </c>
      <c r="I881" t="str">
        <f>VLOOKUP(Medical_Examinations_2[[#This Row],[Customer ID]],Medical_Examinations!$1:$1048576,11,FALSE)</f>
        <v>No</v>
      </c>
    </row>
    <row r="882" spans="1:9" x14ac:dyDescent="0.25">
      <c r="A882" s="10" t="s">
        <v>912</v>
      </c>
      <c r="B882" t="str">
        <f>VLOOKUP(Customer_Names!A882,Customer_Names!$1:$1048576,4,FALSE)</f>
        <v>Tamara</v>
      </c>
      <c r="C882">
        <f>VLOOKUP(Medical_Examinations_2[[#This Row],[Customer ID]],Medical_Examinations!$1:$1048576,2,FALSE)</f>
        <v>29.91</v>
      </c>
      <c r="D882">
        <f>VLOOKUP(Medical_Examinations_2[[#This Row],[Customer ID]],Medical_Examinations!$1:$1048576,4,FALSE)</f>
        <v>5.55</v>
      </c>
      <c r="E882" t="str">
        <f>VLOOKUP(Medical_Examinations_2[[#This Row],[Customer ID]],Medical_Examinations!$1:$1048576,6,FALSE)</f>
        <v>Yes</v>
      </c>
      <c r="H882">
        <f>VLOOKUP(Medical_Examinations_2[[#This Row],[Customer ID]],Medical_Examinations!$1:$1048576,9,FALSE)</f>
        <v>2</v>
      </c>
      <c r="I882" t="str">
        <f>VLOOKUP(Medical_Examinations_2[[#This Row],[Customer ID]],Medical_Examinations!$1:$1048576,11,FALSE)</f>
        <v>No</v>
      </c>
    </row>
    <row r="883" spans="1:9" x14ac:dyDescent="0.25">
      <c r="A883" s="11" t="s">
        <v>913</v>
      </c>
      <c r="B883" t="str">
        <f>VLOOKUP(Customer_Names!A883,Customer_Names!$1:$1048576,4,FALSE)</f>
        <v>Joan</v>
      </c>
      <c r="C883">
        <f>VLOOKUP(Medical_Examinations_2[[#This Row],[Customer ID]],Medical_Examinations!$1:$1048576,2,FALSE)</f>
        <v>36.479999999999997</v>
      </c>
      <c r="D883">
        <f>VLOOKUP(Medical_Examinations_2[[#This Row],[Customer ID]],Medical_Examinations!$1:$1048576,4,FALSE)</f>
        <v>5.05</v>
      </c>
      <c r="E883" t="str">
        <f>VLOOKUP(Medical_Examinations_2[[#This Row],[Customer ID]],Medical_Examinations!$1:$1048576,6,FALSE)</f>
        <v>Yes</v>
      </c>
      <c r="H883">
        <f>VLOOKUP(Medical_Examinations_2[[#This Row],[Customer ID]],Medical_Examinations!$1:$1048576,9,FALSE)</f>
        <v>1</v>
      </c>
      <c r="I883" t="str">
        <f>VLOOKUP(Medical_Examinations_2[[#This Row],[Customer ID]],Medical_Examinations!$1:$1048576,11,FALSE)</f>
        <v>No</v>
      </c>
    </row>
    <row r="884" spans="1:9" x14ac:dyDescent="0.25">
      <c r="A884" s="10" t="s">
        <v>914</v>
      </c>
      <c r="B884" t="str">
        <f>VLOOKUP(Customer_Names!A884,Customer_Names!$1:$1048576,4,FALSE)</f>
        <v>Aimee J.</v>
      </c>
      <c r="C884">
        <f>VLOOKUP(Medical_Examinations_2[[#This Row],[Customer ID]],Medical_Examinations!$1:$1048576,2,FALSE)</f>
        <v>27.5</v>
      </c>
      <c r="D884">
        <f>VLOOKUP(Medical_Examinations_2[[#This Row],[Customer ID]],Medical_Examinations!$1:$1048576,4,FALSE)</f>
        <v>8.69</v>
      </c>
      <c r="E884" t="str">
        <f>VLOOKUP(Medical_Examinations_2[[#This Row],[Customer ID]],Medical_Examinations!$1:$1048576,6,FALSE)</f>
        <v>Yes</v>
      </c>
      <c r="H884">
        <f>VLOOKUP(Medical_Examinations_2[[#This Row],[Customer ID]],Medical_Examinations!$1:$1048576,9,FALSE)</f>
        <v>1</v>
      </c>
      <c r="I884" t="str">
        <f>VLOOKUP(Medical_Examinations_2[[#This Row],[Customer ID]],Medical_Examinations!$1:$1048576,11,FALSE)</f>
        <v>No</v>
      </c>
    </row>
    <row r="885" spans="1:9" x14ac:dyDescent="0.25">
      <c r="A885" s="11" t="s">
        <v>915</v>
      </c>
      <c r="B885" t="str">
        <f>VLOOKUP(Customer_Names!A885,Customer_Names!$1:$1048576,4,FALSE)</f>
        <v>Suzanne</v>
      </c>
      <c r="C885">
        <f>VLOOKUP(Medical_Examinations_2[[#This Row],[Customer ID]],Medical_Examinations!$1:$1048576,2,FALSE)</f>
        <v>33.44</v>
      </c>
      <c r="D885">
        <f>VLOOKUP(Medical_Examinations_2[[#This Row],[Customer ID]],Medical_Examinations!$1:$1048576,4,FALSE)</f>
        <v>5.9</v>
      </c>
      <c r="E885" t="str">
        <f>VLOOKUP(Medical_Examinations_2[[#This Row],[Customer ID]],Medical_Examinations!$1:$1048576,6,FALSE)</f>
        <v>Yes</v>
      </c>
      <c r="H885">
        <f>VLOOKUP(Medical_Examinations_2[[#This Row],[Customer ID]],Medical_Examinations!$1:$1048576,9,FALSE)</f>
        <v>1</v>
      </c>
      <c r="I885" t="str">
        <f>VLOOKUP(Medical_Examinations_2[[#This Row],[Customer ID]],Medical_Examinations!$1:$1048576,11,FALSE)</f>
        <v>No</v>
      </c>
    </row>
    <row r="886" spans="1:9" x14ac:dyDescent="0.25">
      <c r="A886" s="10" t="s">
        <v>916</v>
      </c>
      <c r="B886" t="str">
        <f>VLOOKUP(Customer_Names!A886,Customer_Names!$1:$1048576,4,FALSE)</f>
        <v>Kristin A.</v>
      </c>
      <c r="C886">
        <f>VLOOKUP(Medical_Examinations_2[[#This Row],[Customer ID]],Medical_Examinations!$1:$1048576,2,FALSE)</f>
        <v>28.215</v>
      </c>
      <c r="D886">
        <f>VLOOKUP(Medical_Examinations_2[[#This Row],[Customer ID]],Medical_Examinations!$1:$1048576,4,FALSE)</f>
        <v>6.29</v>
      </c>
      <c r="E886" t="str">
        <f>VLOOKUP(Medical_Examinations_2[[#This Row],[Customer ID]],Medical_Examinations!$1:$1048576,6,FALSE)</f>
        <v>Yes</v>
      </c>
      <c r="H886">
        <f>VLOOKUP(Medical_Examinations_2[[#This Row],[Customer ID]],Medical_Examinations!$1:$1048576,9,FALSE)</f>
        <v>1</v>
      </c>
      <c r="I886" t="str">
        <f>VLOOKUP(Medical_Examinations_2[[#This Row],[Customer ID]],Medical_Examinations!$1:$1048576,11,FALSE)</f>
        <v>No</v>
      </c>
    </row>
    <row r="887" spans="1:9" x14ac:dyDescent="0.25">
      <c r="A887" s="11" t="s">
        <v>917</v>
      </c>
      <c r="B887" t="str">
        <f>VLOOKUP(Customer_Names!A887,Customer_Names!$1:$1048576,4,FALSE)</f>
        <v>Ms.  Bronwyn</v>
      </c>
      <c r="C887">
        <f>VLOOKUP(Medical_Examinations_2[[#This Row],[Customer ID]],Medical_Examinations!$1:$1048576,2,FALSE)</f>
        <v>27.17</v>
      </c>
      <c r="D887">
        <f>VLOOKUP(Medical_Examinations_2[[#This Row],[Customer ID]],Medical_Examinations!$1:$1048576,4,FALSE)</f>
        <v>5.84</v>
      </c>
      <c r="E887" t="str">
        <f>VLOOKUP(Medical_Examinations_2[[#This Row],[Customer ID]],Medical_Examinations!$1:$1048576,6,FALSE)</f>
        <v>Yes</v>
      </c>
      <c r="H887">
        <f>VLOOKUP(Medical_Examinations_2[[#This Row],[Customer ID]],Medical_Examinations!$1:$1048576,9,FALSE)</f>
        <v>1</v>
      </c>
      <c r="I887" t="str">
        <f>VLOOKUP(Medical_Examinations_2[[#This Row],[Customer ID]],Medical_Examinations!$1:$1048576,11,FALSE)</f>
        <v>No</v>
      </c>
    </row>
    <row r="888" spans="1:9" x14ac:dyDescent="0.25">
      <c r="A888" s="10" t="s">
        <v>918</v>
      </c>
      <c r="B888" t="str">
        <f>VLOOKUP(Customer_Names!A888,Customer_Names!$1:$1048576,4,FALSE)</f>
        <v>Taylor J</v>
      </c>
      <c r="C888">
        <f>VLOOKUP(Medical_Examinations_2[[#This Row],[Customer ID]],Medical_Examinations!$1:$1048576,2,FALSE)</f>
        <v>35.380000000000003</v>
      </c>
      <c r="D888">
        <f>VLOOKUP(Medical_Examinations_2[[#This Row],[Customer ID]],Medical_Examinations!$1:$1048576,4,FALSE)</f>
        <v>6.12</v>
      </c>
      <c r="E888" t="str">
        <f>VLOOKUP(Medical_Examinations_2[[#This Row],[Customer ID]],Medical_Examinations!$1:$1048576,6,FALSE)</f>
        <v>No</v>
      </c>
      <c r="H888" t="str">
        <f>VLOOKUP(Medical_Examinations_2[[#This Row],[Customer ID]],Medical_Examinations!$1:$1048576,9,FALSE)</f>
        <v>No major surgery</v>
      </c>
      <c r="I888" t="str">
        <f>VLOOKUP(Medical_Examinations_2[[#This Row],[Customer ID]],Medical_Examinations!$1:$1048576,11,FALSE)</f>
        <v>No</v>
      </c>
    </row>
    <row r="889" spans="1:9" x14ac:dyDescent="0.25">
      <c r="A889" s="11" t="s">
        <v>919</v>
      </c>
      <c r="B889" t="str">
        <f>VLOOKUP(Customer_Names!A889,Customer_Names!$1:$1048576,4,FALSE)</f>
        <v>Kimberly M.</v>
      </c>
      <c r="C889">
        <f>VLOOKUP(Medical_Examinations_2[[#This Row],[Customer ID]],Medical_Examinations!$1:$1048576,2,FALSE)</f>
        <v>43.48</v>
      </c>
      <c r="D889">
        <f>VLOOKUP(Medical_Examinations_2[[#This Row],[Customer ID]],Medical_Examinations!$1:$1048576,4,FALSE)</f>
        <v>6.24</v>
      </c>
      <c r="E889" t="str">
        <f>VLOOKUP(Medical_Examinations_2[[#This Row],[Customer ID]],Medical_Examinations!$1:$1048576,6,FALSE)</f>
        <v>No</v>
      </c>
      <c r="H889" t="str">
        <f>VLOOKUP(Medical_Examinations_2[[#This Row],[Customer ID]],Medical_Examinations!$1:$1048576,9,FALSE)</f>
        <v>No major surgery</v>
      </c>
      <c r="I889" t="str">
        <f>VLOOKUP(Medical_Examinations_2[[#This Row],[Customer ID]],Medical_Examinations!$1:$1048576,11,FALSE)</f>
        <v>No</v>
      </c>
    </row>
    <row r="890" spans="1:9" x14ac:dyDescent="0.25">
      <c r="A890" s="10" t="s">
        <v>920</v>
      </c>
      <c r="B890" t="str">
        <f>VLOOKUP(Customer_Names!A890,Customer_Names!$1:$1048576,4,FALSE)</f>
        <v>Joshua E.</v>
      </c>
      <c r="C890">
        <f>VLOOKUP(Medical_Examinations_2[[#This Row],[Customer ID]],Medical_Examinations!$1:$1048576,2,FALSE)</f>
        <v>41.73</v>
      </c>
      <c r="D890">
        <f>VLOOKUP(Medical_Examinations_2[[#This Row],[Customer ID]],Medical_Examinations!$1:$1048576,4,FALSE)</f>
        <v>6.25</v>
      </c>
      <c r="E890" t="str">
        <f>VLOOKUP(Medical_Examinations_2[[#This Row],[Customer ID]],Medical_Examinations!$1:$1048576,6,FALSE)</f>
        <v>No</v>
      </c>
      <c r="H890">
        <f>VLOOKUP(Medical_Examinations_2[[#This Row],[Customer ID]],Medical_Examinations!$1:$1048576,9,FALSE)</f>
        <v>1</v>
      </c>
      <c r="I890" t="str">
        <f>VLOOKUP(Medical_Examinations_2[[#This Row],[Customer ID]],Medical_Examinations!$1:$1048576,11,FALSE)</f>
        <v>No</v>
      </c>
    </row>
    <row r="891" spans="1:9" x14ac:dyDescent="0.25">
      <c r="A891" s="11" t="s">
        <v>921</v>
      </c>
      <c r="B891" t="str">
        <f>VLOOKUP(Customer_Names!A891,Customer_Names!$1:$1048576,4,FALSE)</f>
        <v>Jeffrey</v>
      </c>
      <c r="C891">
        <f>VLOOKUP(Medical_Examinations_2[[#This Row],[Customer ID]],Medical_Examinations!$1:$1048576,2,FALSE)</f>
        <v>28.9</v>
      </c>
      <c r="D891">
        <f>VLOOKUP(Medical_Examinations_2[[#This Row],[Customer ID]],Medical_Examinations!$1:$1048576,4,FALSE)</f>
        <v>11.96</v>
      </c>
      <c r="E891" t="str">
        <f>VLOOKUP(Medical_Examinations_2[[#This Row],[Customer ID]],Medical_Examinations!$1:$1048576,6,FALSE)</f>
        <v>No</v>
      </c>
      <c r="H891" t="str">
        <f>VLOOKUP(Medical_Examinations_2[[#This Row],[Customer ID]],Medical_Examinations!$1:$1048576,9,FALSE)</f>
        <v>No major surgery</v>
      </c>
      <c r="I891" t="str">
        <f>VLOOKUP(Medical_Examinations_2[[#This Row],[Customer ID]],Medical_Examinations!$1:$1048576,11,FALSE)</f>
        <v>No</v>
      </c>
    </row>
    <row r="892" spans="1:9" x14ac:dyDescent="0.25">
      <c r="A892" s="10" t="s">
        <v>922</v>
      </c>
      <c r="B892" t="str">
        <f>VLOOKUP(Customer_Names!A892,Customer_Names!$1:$1048576,4,FALSE)</f>
        <v>Andrew R</v>
      </c>
      <c r="C892">
        <f>VLOOKUP(Medical_Examinations_2[[#This Row],[Customer ID]],Medical_Examinations!$1:$1048576,2,FALSE)</f>
        <v>25.74</v>
      </c>
      <c r="D892">
        <f>VLOOKUP(Medical_Examinations_2[[#This Row],[Customer ID]],Medical_Examinations!$1:$1048576,4,FALSE)</f>
        <v>7.69</v>
      </c>
      <c r="E892" t="str">
        <f>VLOOKUP(Medical_Examinations_2[[#This Row],[Customer ID]],Medical_Examinations!$1:$1048576,6,FALSE)</f>
        <v>No</v>
      </c>
      <c r="H892" t="str">
        <f>VLOOKUP(Medical_Examinations_2[[#This Row],[Customer ID]],Medical_Examinations!$1:$1048576,9,FALSE)</f>
        <v>No major surgery</v>
      </c>
      <c r="I892" t="str">
        <f>VLOOKUP(Medical_Examinations_2[[#This Row],[Customer ID]],Medical_Examinations!$1:$1048576,11,FALSE)</f>
        <v>No</v>
      </c>
    </row>
    <row r="893" spans="1:9" x14ac:dyDescent="0.25">
      <c r="A893" s="11" t="s">
        <v>923</v>
      </c>
      <c r="B893" t="str">
        <f>VLOOKUP(Customer_Names!A893,Customer_Names!$1:$1048576,4,FALSE)</f>
        <v>Francisco J. Sr.</v>
      </c>
      <c r="C893">
        <f>VLOOKUP(Medical_Examinations_2[[#This Row],[Customer ID]],Medical_Examinations!$1:$1048576,2,FALSE)</f>
        <v>36.06</v>
      </c>
      <c r="D893">
        <f>VLOOKUP(Medical_Examinations_2[[#This Row],[Customer ID]],Medical_Examinations!$1:$1048576,4,FALSE)</f>
        <v>8.83</v>
      </c>
      <c r="E893" t="str">
        <f>VLOOKUP(Medical_Examinations_2[[#This Row],[Customer ID]],Medical_Examinations!$1:$1048576,6,FALSE)</f>
        <v>No</v>
      </c>
      <c r="H893" t="str">
        <f>VLOOKUP(Medical_Examinations_2[[#This Row],[Customer ID]],Medical_Examinations!$1:$1048576,9,FALSE)</f>
        <v>No major surgery</v>
      </c>
      <c r="I893" t="str">
        <f>VLOOKUP(Medical_Examinations_2[[#This Row],[Customer ID]],Medical_Examinations!$1:$1048576,11,FALSE)</f>
        <v>No</v>
      </c>
    </row>
    <row r="894" spans="1:9" x14ac:dyDescent="0.25">
      <c r="A894" s="10" t="s">
        <v>924</v>
      </c>
      <c r="B894" t="str">
        <f>VLOOKUP(Customer_Names!A894,Customer_Names!$1:$1048576,4,FALSE)</f>
        <v>Rhonda</v>
      </c>
      <c r="C894">
        <f>VLOOKUP(Medical_Examinations_2[[#This Row],[Customer ID]],Medical_Examinations!$1:$1048576,2,FALSE)</f>
        <v>43.28</v>
      </c>
      <c r="D894">
        <f>VLOOKUP(Medical_Examinations_2[[#This Row],[Customer ID]],Medical_Examinations!$1:$1048576,4,FALSE)</f>
        <v>4.41</v>
      </c>
      <c r="E894" t="str">
        <f>VLOOKUP(Medical_Examinations_2[[#This Row],[Customer ID]],Medical_Examinations!$1:$1048576,6,FALSE)</f>
        <v>No</v>
      </c>
      <c r="H894" t="str">
        <f>VLOOKUP(Medical_Examinations_2[[#This Row],[Customer ID]],Medical_Examinations!$1:$1048576,9,FALSE)</f>
        <v>No major surgery</v>
      </c>
      <c r="I894" t="str">
        <f>VLOOKUP(Medical_Examinations_2[[#This Row],[Customer ID]],Medical_Examinations!$1:$1048576,11,FALSE)</f>
        <v>No</v>
      </c>
    </row>
    <row r="895" spans="1:9" x14ac:dyDescent="0.25">
      <c r="A895" s="11" t="s">
        <v>925</v>
      </c>
      <c r="B895" t="str">
        <f>VLOOKUP(Customer_Names!A895,Customer_Names!$1:$1048576,4,FALSE)</f>
        <v>John</v>
      </c>
      <c r="C895">
        <f>VLOOKUP(Medical_Examinations_2[[#This Row],[Customer ID]],Medical_Examinations!$1:$1048576,2,FALSE)</f>
        <v>28.785</v>
      </c>
      <c r="D895">
        <f>VLOOKUP(Medical_Examinations_2[[#This Row],[Customer ID]],Medical_Examinations!$1:$1048576,4,FALSE)</f>
        <v>9.1</v>
      </c>
      <c r="E895" t="str">
        <f>VLOOKUP(Medical_Examinations_2[[#This Row],[Customer ID]],Medical_Examinations!$1:$1048576,6,FALSE)</f>
        <v>Yes</v>
      </c>
      <c r="H895">
        <f>VLOOKUP(Medical_Examinations_2[[#This Row],[Customer ID]],Medical_Examinations!$1:$1048576,9,FALSE)</f>
        <v>1</v>
      </c>
      <c r="I895" t="str">
        <f>VLOOKUP(Medical_Examinations_2[[#This Row],[Customer ID]],Medical_Examinations!$1:$1048576,11,FALSE)</f>
        <v>No</v>
      </c>
    </row>
    <row r="896" spans="1:9" x14ac:dyDescent="0.25">
      <c r="A896" s="10" t="s">
        <v>926</v>
      </c>
      <c r="B896" t="str">
        <f>VLOOKUP(Customer_Names!A896,Customer_Names!$1:$1048576,4,FALSE)</f>
        <v>Miles J.</v>
      </c>
      <c r="C896">
        <f>VLOOKUP(Medical_Examinations_2[[#This Row],[Customer ID]],Medical_Examinations!$1:$1048576,2,FALSE)</f>
        <v>25.46</v>
      </c>
      <c r="D896">
        <f>VLOOKUP(Medical_Examinations_2[[#This Row],[Customer ID]],Medical_Examinations!$1:$1048576,4,FALSE)</f>
        <v>11.52</v>
      </c>
      <c r="E896" t="str">
        <f>VLOOKUP(Medical_Examinations_2[[#This Row],[Customer ID]],Medical_Examinations!$1:$1048576,6,FALSE)</f>
        <v>Yes</v>
      </c>
      <c r="H896">
        <f>VLOOKUP(Medical_Examinations_2[[#This Row],[Customer ID]],Medical_Examinations!$1:$1048576,9,FALSE)</f>
        <v>1</v>
      </c>
      <c r="I896" t="str">
        <f>VLOOKUP(Medical_Examinations_2[[#This Row],[Customer ID]],Medical_Examinations!$1:$1048576,11,FALSE)</f>
        <v>No</v>
      </c>
    </row>
    <row r="897" spans="1:9" x14ac:dyDescent="0.25">
      <c r="A897" s="11" t="s">
        <v>927</v>
      </c>
      <c r="B897" t="str">
        <f>VLOOKUP(Customer_Names!A897,Customer_Names!$1:$1048576,4,FALSE)</f>
        <v>Ms.  Justyna I.</v>
      </c>
      <c r="C897">
        <f>VLOOKUP(Medical_Examinations_2[[#This Row],[Customer ID]],Medical_Examinations!$1:$1048576,2,FALSE)</f>
        <v>30.8</v>
      </c>
      <c r="D897">
        <f>VLOOKUP(Medical_Examinations_2[[#This Row],[Customer ID]],Medical_Examinations!$1:$1048576,4,FALSE)</f>
        <v>10.95</v>
      </c>
      <c r="E897" t="str">
        <f>VLOOKUP(Medical_Examinations_2[[#This Row],[Customer ID]],Medical_Examinations!$1:$1048576,6,FALSE)</f>
        <v>No</v>
      </c>
      <c r="H897" t="str">
        <f>VLOOKUP(Medical_Examinations_2[[#This Row],[Customer ID]],Medical_Examinations!$1:$1048576,9,FALSE)</f>
        <v>No major surgery</v>
      </c>
      <c r="I897" t="str">
        <f>VLOOKUP(Medical_Examinations_2[[#This Row],[Customer ID]],Medical_Examinations!$1:$1048576,11,FALSE)</f>
        <v>No</v>
      </c>
    </row>
    <row r="898" spans="1:9" x14ac:dyDescent="0.25">
      <c r="A898" s="10" t="s">
        <v>928</v>
      </c>
      <c r="B898" t="str">
        <f>VLOOKUP(Customer_Names!A898,Customer_Names!$1:$1048576,4,FALSE)</f>
        <v>Lucille</v>
      </c>
      <c r="C898">
        <f>VLOOKUP(Medical_Examinations_2[[#This Row],[Customer ID]],Medical_Examinations!$1:$1048576,2,FALSE)</f>
        <v>28.88</v>
      </c>
      <c r="D898">
        <f>VLOOKUP(Medical_Examinations_2[[#This Row],[Customer ID]],Medical_Examinations!$1:$1048576,4,FALSE)</f>
        <v>11.5</v>
      </c>
      <c r="E898" t="str">
        <f>VLOOKUP(Medical_Examinations_2[[#This Row],[Customer ID]],Medical_Examinations!$1:$1048576,6,FALSE)</f>
        <v>No</v>
      </c>
      <c r="H898" t="str">
        <f>VLOOKUP(Medical_Examinations_2[[#This Row],[Customer ID]],Medical_Examinations!$1:$1048576,9,FALSE)</f>
        <v>No major surgery</v>
      </c>
      <c r="I898" t="str">
        <f>VLOOKUP(Medical_Examinations_2[[#This Row],[Customer ID]],Medical_Examinations!$1:$1048576,11,FALSE)</f>
        <v>No</v>
      </c>
    </row>
    <row r="899" spans="1:9" x14ac:dyDescent="0.25">
      <c r="A899" s="11" t="s">
        <v>929</v>
      </c>
      <c r="B899" t="str">
        <f>VLOOKUP(Customer_Names!A899,Customer_Names!$1:$1048576,4,FALSE)</f>
        <v>April</v>
      </c>
      <c r="C899">
        <f>VLOOKUP(Medical_Examinations_2[[#This Row],[Customer ID]],Medical_Examinations!$1:$1048576,2,FALSE)</f>
        <v>23</v>
      </c>
      <c r="D899">
        <f>VLOOKUP(Medical_Examinations_2[[#This Row],[Customer ID]],Medical_Examinations!$1:$1048576,4,FALSE)</f>
        <v>9.8800000000000008</v>
      </c>
      <c r="E899" t="str">
        <f>VLOOKUP(Medical_Examinations_2[[#This Row],[Customer ID]],Medical_Examinations!$1:$1048576,6,FALSE)</f>
        <v>No</v>
      </c>
      <c r="H899" t="str">
        <f>VLOOKUP(Medical_Examinations_2[[#This Row],[Customer ID]],Medical_Examinations!$1:$1048576,9,FALSE)</f>
        <v>No major surgery</v>
      </c>
      <c r="I899" t="str">
        <f>VLOOKUP(Medical_Examinations_2[[#This Row],[Customer ID]],Medical_Examinations!$1:$1048576,11,FALSE)</f>
        <v>No</v>
      </c>
    </row>
    <row r="900" spans="1:9" x14ac:dyDescent="0.25">
      <c r="A900" s="10" t="s">
        <v>930</v>
      </c>
      <c r="B900" t="str">
        <f>VLOOKUP(Customer_Names!A900,Customer_Names!$1:$1048576,4,FALSE)</f>
        <v>Robert</v>
      </c>
      <c r="C900">
        <f>VLOOKUP(Medical_Examinations_2[[#This Row],[Customer ID]],Medical_Examinations!$1:$1048576,2,FALSE)</f>
        <v>38.25</v>
      </c>
      <c r="D900">
        <f>VLOOKUP(Medical_Examinations_2[[#This Row],[Customer ID]],Medical_Examinations!$1:$1048576,4,FALSE)</f>
        <v>6.2</v>
      </c>
      <c r="E900" t="str">
        <f>VLOOKUP(Medical_Examinations_2[[#This Row],[Customer ID]],Medical_Examinations!$1:$1048576,6,FALSE)</f>
        <v>No</v>
      </c>
      <c r="H900">
        <f>VLOOKUP(Medical_Examinations_2[[#This Row],[Customer ID]],Medical_Examinations!$1:$1048576,9,FALSE)</f>
        <v>1</v>
      </c>
      <c r="I900" t="str">
        <f>VLOOKUP(Medical_Examinations_2[[#This Row],[Customer ID]],Medical_Examinations!$1:$1048576,11,FALSE)</f>
        <v>No</v>
      </c>
    </row>
    <row r="901" spans="1:9" x14ac:dyDescent="0.25">
      <c r="A901" s="11" t="s">
        <v>931</v>
      </c>
      <c r="B901" t="str">
        <f>VLOOKUP(Customer_Names!A901,Customer_Names!$1:$1048576,4,FALSE)</f>
        <v>Alyssa</v>
      </c>
      <c r="C901">
        <f>VLOOKUP(Medical_Examinations_2[[#This Row],[Customer ID]],Medical_Examinations!$1:$1048576,2,FALSE)</f>
        <v>39.25</v>
      </c>
      <c r="D901">
        <f>VLOOKUP(Medical_Examinations_2[[#This Row],[Customer ID]],Medical_Examinations!$1:$1048576,4,FALSE)</f>
        <v>8.41</v>
      </c>
      <c r="E901" t="str">
        <f>VLOOKUP(Medical_Examinations_2[[#This Row],[Customer ID]],Medical_Examinations!$1:$1048576,6,FALSE)</f>
        <v>Yes</v>
      </c>
      <c r="H901">
        <f>VLOOKUP(Medical_Examinations_2[[#This Row],[Customer ID]],Medical_Examinations!$1:$1048576,9,FALSE)</f>
        <v>1</v>
      </c>
      <c r="I901" t="str">
        <f>VLOOKUP(Medical_Examinations_2[[#This Row],[Customer ID]],Medical_Examinations!$1:$1048576,11,FALSE)</f>
        <v>No</v>
      </c>
    </row>
    <row r="902" spans="1:9" x14ac:dyDescent="0.25">
      <c r="A902" s="10" t="s">
        <v>932</v>
      </c>
      <c r="B902" t="str">
        <f>VLOOKUP(Customer_Names!A902,Customer_Names!$1:$1048576,4,FALSE)</f>
        <v>Jessica E.</v>
      </c>
      <c r="C902">
        <f>VLOOKUP(Medical_Examinations_2[[#This Row],[Customer ID]],Medical_Examinations!$1:$1048576,2,FALSE)</f>
        <v>26.6</v>
      </c>
      <c r="D902">
        <f>VLOOKUP(Medical_Examinations_2[[#This Row],[Customer ID]],Medical_Examinations!$1:$1048576,4,FALSE)</f>
        <v>5.07</v>
      </c>
      <c r="E902" t="str">
        <f>VLOOKUP(Medical_Examinations_2[[#This Row],[Customer ID]],Medical_Examinations!$1:$1048576,6,FALSE)</f>
        <v>Yes</v>
      </c>
      <c r="H902">
        <f>VLOOKUP(Medical_Examinations_2[[#This Row],[Customer ID]],Medical_Examinations!$1:$1048576,9,FALSE)</f>
        <v>2</v>
      </c>
      <c r="I902" t="str">
        <f>VLOOKUP(Medical_Examinations_2[[#This Row],[Customer ID]],Medical_Examinations!$1:$1048576,11,FALSE)</f>
        <v>No</v>
      </c>
    </row>
    <row r="903" spans="1:9" x14ac:dyDescent="0.25">
      <c r="A903" s="11" t="s">
        <v>933</v>
      </c>
      <c r="B903" t="str">
        <f>VLOOKUP(Customer_Names!A903,Customer_Names!$1:$1048576,4,FALSE)</f>
        <v>Patrick J.</v>
      </c>
      <c r="C903">
        <f>VLOOKUP(Medical_Examinations_2[[#This Row],[Customer ID]],Medical_Examinations!$1:$1048576,2,FALSE)</f>
        <v>35.700000000000003</v>
      </c>
      <c r="D903">
        <f>VLOOKUP(Medical_Examinations_2[[#This Row],[Customer ID]],Medical_Examinations!$1:$1048576,4,FALSE)</f>
        <v>4.0599999999999996</v>
      </c>
      <c r="E903" t="str">
        <f>VLOOKUP(Medical_Examinations_2[[#This Row],[Customer ID]],Medical_Examinations!$1:$1048576,6,FALSE)</f>
        <v>No</v>
      </c>
      <c r="H903">
        <f>VLOOKUP(Medical_Examinations_2[[#This Row],[Customer ID]],Medical_Examinations!$1:$1048576,9,FALSE)</f>
        <v>1</v>
      </c>
      <c r="I903" t="str">
        <f>VLOOKUP(Medical_Examinations_2[[#This Row],[Customer ID]],Medical_Examinations!$1:$1048576,11,FALSE)</f>
        <v>No</v>
      </c>
    </row>
    <row r="904" spans="1:9" x14ac:dyDescent="0.25">
      <c r="A904" s="10" t="s">
        <v>934</v>
      </c>
      <c r="B904" t="str">
        <f>VLOOKUP(Customer_Names!A904,Customer_Names!$1:$1048576,4,FALSE)</f>
        <v>Emilie</v>
      </c>
      <c r="C904">
        <f>VLOOKUP(Medical_Examinations_2[[#This Row],[Customer ID]],Medical_Examinations!$1:$1048576,2,FALSE)</f>
        <v>20.100000000000001</v>
      </c>
      <c r="D904">
        <f>VLOOKUP(Medical_Examinations_2[[#This Row],[Customer ID]],Medical_Examinations!$1:$1048576,4,FALSE)</f>
        <v>10.52</v>
      </c>
      <c r="E904" t="str">
        <f>VLOOKUP(Medical_Examinations_2[[#This Row],[Customer ID]],Medical_Examinations!$1:$1048576,6,FALSE)</f>
        <v>No</v>
      </c>
      <c r="H904" t="str">
        <f>VLOOKUP(Medical_Examinations_2[[#This Row],[Customer ID]],Medical_Examinations!$1:$1048576,9,FALSE)</f>
        <v>No major surgery</v>
      </c>
      <c r="I904" t="str">
        <f>VLOOKUP(Medical_Examinations_2[[#This Row],[Customer ID]],Medical_Examinations!$1:$1048576,11,FALSE)</f>
        <v>No</v>
      </c>
    </row>
    <row r="905" spans="1:9" x14ac:dyDescent="0.25">
      <c r="A905" s="11" t="s">
        <v>935</v>
      </c>
      <c r="B905" t="str">
        <f>VLOOKUP(Customer_Names!A905,Customer_Names!$1:$1048576,4,FALSE)</f>
        <v>Caitlin B.</v>
      </c>
      <c r="C905">
        <f>VLOOKUP(Medical_Examinations_2[[#This Row],[Customer ID]],Medical_Examinations!$1:$1048576,2,FALSE)</f>
        <v>22.23</v>
      </c>
      <c r="D905">
        <f>VLOOKUP(Medical_Examinations_2[[#This Row],[Customer ID]],Medical_Examinations!$1:$1048576,4,FALSE)</f>
        <v>9.65</v>
      </c>
      <c r="E905" t="str">
        <f>VLOOKUP(Medical_Examinations_2[[#This Row],[Customer ID]],Medical_Examinations!$1:$1048576,6,FALSE)</f>
        <v>No</v>
      </c>
      <c r="H905" t="str">
        <f>VLOOKUP(Medical_Examinations_2[[#This Row],[Customer ID]],Medical_Examinations!$1:$1048576,9,FALSE)</f>
        <v>No major surgery</v>
      </c>
      <c r="I905" t="str">
        <f>VLOOKUP(Medical_Examinations_2[[#This Row],[Customer ID]],Medical_Examinations!$1:$1048576,11,FALSE)</f>
        <v>No</v>
      </c>
    </row>
    <row r="906" spans="1:9" x14ac:dyDescent="0.25">
      <c r="A906" s="10" t="s">
        <v>936</v>
      </c>
      <c r="B906" t="str">
        <f>VLOOKUP(Customer_Names!A906,Customer_Names!$1:$1048576,4,FALSE)</f>
        <v>Joseph W</v>
      </c>
      <c r="C906">
        <f>VLOOKUP(Medical_Examinations_2[[#This Row],[Customer ID]],Medical_Examinations!$1:$1048576,2,FALSE)</f>
        <v>36.47</v>
      </c>
      <c r="D906">
        <f>VLOOKUP(Medical_Examinations_2[[#This Row],[Customer ID]],Medical_Examinations!$1:$1048576,4,FALSE)</f>
        <v>6.21</v>
      </c>
      <c r="E906" t="str">
        <f>VLOOKUP(Medical_Examinations_2[[#This Row],[Customer ID]],Medical_Examinations!$1:$1048576,6,FALSE)</f>
        <v>No</v>
      </c>
      <c r="H906" t="str">
        <f>VLOOKUP(Medical_Examinations_2[[#This Row],[Customer ID]],Medical_Examinations!$1:$1048576,9,FALSE)</f>
        <v>No major surgery</v>
      </c>
      <c r="I906" t="str">
        <f>VLOOKUP(Medical_Examinations_2[[#This Row],[Customer ID]],Medical_Examinations!$1:$1048576,11,FALSE)</f>
        <v>No</v>
      </c>
    </row>
    <row r="907" spans="1:9" x14ac:dyDescent="0.25">
      <c r="A907" s="11" t="s">
        <v>937</v>
      </c>
      <c r="B907" t="str">
        <f>VLOOKUP(Customer_Names!A907,Customer_Names!$1:$1048576,4,FALSE)</f>
        <v>Wendy</v>
      </c>
      <c r="C907">
        <f>VLOOKUP(Medical_Examinations_2[[#This Row],[Customer ID]],Medical_Examinations!$1:$1048576,2,FALSE)</f>
        <v>49.64</v>
      </c>
      <c r="D907">
        <f>VLOOKUP(Medical_Examinations_2[[#This Row],[Customer ID]],Medical_Examinations!$1:$1048576,4,FALSE)</f>
        <v>4.76</v>
      </c>
      <c r="E907" t="str">
        <f>VLOOKUP(Medical_Examinations_2[[#This Row],[Customer ID]],Medical_Examinations!$1:$1048576,6,FALSE)</f>
        <v>No</v>
      </c>
      <c r="H907">
        <f>VLOOKUP(Medical_Examinations_2[[#This Row],[Customer ID]],Medical_Examinations!$1:$1048576,9,FALSE)</f>
        <v>1</v>
      </c>
      <c r="I907" t="str">
        <f>VLOOKUP(Medical_Examinations_2[[#This Row],[Customer ID]],Medical_Examinations!$1:$1048576,11,FALSE)</f>
        <v>No</v>
      </c>
    </row>
    <row r="908" spans="1:9" x14ac:dyDescent="0.25">
      <c r="A908" s="10" t="s">
        <v>938</v>
      </c>
      <c r="B908" t="str">
        <f>VLOOKUP(Customer_Names!A908,Customer_Names!$1:$1048576,4,FALSE)</f>
        <v>Leah L.</v>
      </c>
      <c r="C908">
        <f>VLOOKUP(Medical_Examinations_2[[#This Row],[Customer ID]],Medical_Examinations!$1:$1048576,2,FALSE)</f>
        <v>36.799999999999997</v>
      </c>
      <c r="D908">
        <f>VLOOKUP(Medical_Examinations_2[[#This Row],[Customer ID]],Medical_Examinations!$1:$1048576,4,FALSE)</f>
        <v>5.73</v>
      </c>
      <c r="E908" t="str">
        <f>VLOOKUP(Medical_Examinations_2[[#This Row],[Customer ID]],Medical_Examinations!$1:$1048576,6,FALSE)</f>
        <v>Yes</v>
      </c>
      <c r="H908">
        <f>VLOOKUP(Medical_Examinations_2[[#This Row],[Customer ID]],Medical_Examinations!$1:$1048576,9,FALSE)</f>
        <v>1</v>
      </c>
      <c r="I908" t="str">
        <f>VLOOKUP(Medical_Examinations_2[[#This Row],[Customer ID]],Medical_Examinations!$1:$1048576,11,FALSE)</f>
        <v>No</v>
      </c>
    </row>
    <row r="909" spans="1:9" x14ac:dyDescent="0.25">
      <c r="A909" s="11" t="s">
        <v>939</v>
      </c>
      <c r="B909" t="str">
        <f>VLOOKUP(Customer_Names!A909,Customer_Names!$1:$1048576,4,FALSE)</f>
        <v>Wayne L.</v>
      </c>
      <c r="C909">
        <f>VLOOKUP(Medical_Examinations_2[[#This Row],[Customer ID]],Medical_Examinations!$1:$1048576,2,FALSE)</f>
        <v>33.880000000000003</v>
      </c>
      <c r="D909">
        <f>VLOOKUP(Medical_Examinations_2[[#This Row],[Customer ID]],Medical_Examinations!$1:$1048576,4,FALSE)</f>
        <v>10.78</v>
      </c>
      <c r="E909" t="str">
        <f>VLOOKUP(Medical_Examinations_2[[#This Row],[Customer ID]],Medical_Examinations!$1:$1048576,6,FALSE)</f>
        <v>Yes</v>
      </c>
      <c r="H909" t="str">
        <f>VLOOKUP(Medical_Examinations_2[[#This Row],[Customer ID]],Medical_Examinations!$1:$1048576,9,FALSE)</f>
        <v>No major surgery</v>
      </c>
      <c r="I909" t="str">
        <f>VLOOKUP(Medical_Examinations_2[[#This Row],[Customer ID]],Medical_Examinations!$1:$1048576,11,FALSE)</f>
        <v>No</v>
      </c>
    </row>
    <row r="910" spans="1:9" x14ac:dyDescent="0.25">
      <c r="A910" s="10" t="s">
        <v>940</v>
      </c>
      <c r="B910" t="str">
        <f>VLOOKUP(Customer_Names!A910,Customer_Names!$1:$1048576,4,FALSE)</f>
        <v>Jason M.</v>
      </c>
      <c r="C910">
        <f>VLOOKUP(Medical_Examinations_2[[#This Row],[Customer ID]],Medical_Examinations!$1:$1048576,2,FALSE)</f>
        <v>32.01</v>
      </c>
      <c r="D910">
        <f>VLOOKUP(Medical_Examinations_2[[#This Row],[Customer ID]],Medical_Examinations!$1:$1048576,4,FALSE)</f>
        <v>5.08</v>
      </c>
      <c r="E910" t="str">
        <f>VLOOKUP(Medical_Examinations_2[[#This Row],[Customer ID]],Medical_Examinations!$1:$1048576,6,FALSE)</f>
        <v>Yes</v>
      </c>
      <c r="H910">
        <f>VLOOKUP(Medical_Examinations_2[[#This Row],[Customer ID]],Medical_Examinations!$1:$1048576,9,FALSE)</f>
        <v>1</v>
      </c>
      <c r="I910" t="str">
        <f>VLOOKUP(Medical_Examinations_2[[#This Row],[Customer ID]],Medical_Examinations!$1:$1048576,11,FALSE)</f>
        <v>No</v>
      </c>
    </row>
    <row r="911" spans="1:9" x14ac:dyDescent="0.25">
      <c r="A911" s="11" t="s">
        <v>941</v>
      </c>
      <c r="B911" t="str">
        <f>VLOOKUP(Customer_Names!A911,Customer_Names!$1:$1048576,4,FALSE)</f>
        <v>Floris</v>
      </c>
      <c r="C911">
        <f>VLOOKUP(Medical_Examinations_2[[#This Row],[Customer ID]],Medical_Examinations!$1:$1048576,2,FALSE)</f>
        <v>33.630000000000003</v>
      </c>
      <c r="D911">
        <f>VLOOKUP(Medical_Examinations_2[[#This Row],[Customer ID]],Medical_Examinations!$1:$1048576,4,FALSE)</f>
        <v>11.39</v>
      </c>
      <c r="E911" t="str">
        <f>VLOOKUP(Medical_Examinations_2[[#This Row],[Customer ID]],Medical_Examinations!$1:$1048576,6,FALSE)</f>
        <v>No</v>
      </c>
      <c r="H911" t="str">
        <f>VLOOKUP(Medical_Examinations_2[[#This Row],[Customer ID]],Medical_Examinations!$1:$1048576,9,FALSE)</f>
        <v>No major surgery</v>
      </c>
      <c r="I911" t="str">
        <f>VLOOKUP(Medical_Examinations_2[[#This Row],[Customer ID]],Medical_Examinations!$1:$1048576,11,FALSE)</f>
        <v>No</v>
      </c>
    </row>
    <row r="912" spans="1:9" x14ac:dyDescent="0.25">
      <c r="A912" s="10" t="s">
        <v>942</v>
      </c>
      <c r="B912" t="str">
        <f>VLOOKUP(Customer_Names!A912,Customer_Names!$1:$1048576,4,FALSE)</f>
        <v>Marc</v>
      </c>
      <c r="C912">
        <f>VLOOKUP(Medical_Examinations_2[[#This Row],[Customer ID]],Medical_Examinations!$1:$1048576,2,FALSE)</f>
        <v>34.865000000000002</v>
      </c>
      <c r="D912">
        <f>VLOOKUP(Medical_Examinations_2[[#This Row],[Customer ID]],Medical_Examinations!$1:$1048576,4,FALSE)</f>
        <v>5.35</v>
      </c>
      <c r="E912" t="str">
        <f>VLOOKUP(Medical_Examinations_2[[#This Row],[Customer ID]],Medical_Examinations!$1:$1048576,6,FALSE)</f>
        <v>Yes</v>
      </c>
      <c r="H912">
        <f>VLOOKUP(Medical_Examinations_2[[#This Row],[Customer ID]],Medical_Examinations!$1:$1048576,9,FALSE)</f>
        <v>1</v>
      </c>
      <c r="I912" t="str">
        <f>VLOOKUP(Medical_Examinations_2[[#This Row],[Customer ID]],Medical_Examinations!$1:$1048576,11,FALSE)</f>
        <v>No</v>
      </c>
    </row>
    <row r="913" spans="1:9" x14ac:dyDescent="0.25">
      <c r="A913" s="11" t="s">
        <v>943</v>
      </c>
      <c r="B913" t="str">
        <f>VLOOKUP(Customer_Names!A913,Customer_Names!$1:$1048576,4,FALSE)</f>
        <v>Christopher</v>
      </c>
      <c r="C913">
        <f>VLOOKUP(Medical_Examinations_2[[#This Row],[Customer ID]],Medical_Examinations!$1:$1048576,2,FALSE)</f>
        <v>43.11</v>
      </c>
      <c r="D913">
        <f>VLOOKUP(Medical_Examinations_2[[#This Row],[Customer ID]],Medical_Examinations!$1:$1048576,4,FALSE)</f>
        <v>5.6</v>
      </c>
      <c r="E913" t="str">
        <f>VLOOKUP(Medical_Examinations_2[[#This Row],[Customer ID]],Medical_Examinations!$1:$1048576,6,FALSE)</f>
        <v>No</v>
      </c>
      <c r="H913" t="str">
        <f>VLOOKUP(Medical_Examinations_2[[#This Row],[Customer ID]],Medical_Examinations!$1:$1048576,9,FALSE)</f>
        <v>No major surgery</v>
      </c>
      <c r="I913" t="str">
        <f>VLOOKUP(Medical_Examinations_2[[#This Row],[Customer ID]],Medical_Examinations!$1:$1048576,11,FALSE)</f>
        <v>No</v>
      </c>
    </row>
    <row r="914" spans="1:9" x14ac:dyDescent="0.25">
      <c r="A914" s="10" t="s">
        <v>944</v>
      </c>
      <c r="B914" t="str">
        <f>VLOOKUP(Customer_Names!A914,Customer_Names!$1:$1048576,4,FALSE)</f>
        <v>Kevin</v>
      </c>
      <c r="C914">
        <f>VLOOKUP(Medical_Examinations_2[[#This Row],[Customer ID]],Medical_Examinations!$1:$1048576,2,FALSE)</f>
        <v>30.305</v>
      </c>
      <c r="D914">
        <f>VLOOKUP(Medical_Examinations_2[[#This Row],[Customer ID]],Medical_Examinations!$1:$1048576,4,FALSE)</f>
        <v>4.2699999999999996</v>
      </c>
      <c r="E914" t="str">
        <f>VLOOKUP(Medical_Examinations_2[[#This Row],[Customer ID]],Medical_Examinations!$1:$1048576,6,FALSE)</f>
        <v>Yes</v>
      </c>
      <c r="H914">
        <f>VLOOKUP(Medical_Examinations_2[[#This Row],[Customer ID]],Medical_Examinations!$1:$1048576,9,FALSE)</f>
        <v>1</v>
      </c>
      <c r="I914" t="str">
        <f>VLOOKUP(Medical_Examinations_2[[#This Row],[Customer ID]],Medical_Examinations!$1:$1048576,11,FALSE)</f>
        <v>No</v>
      </c>
    </row>
    <row r="915" spans="1:9" x14ac:dyDescent="0.25">
      <c r="A915" s="11" t="s">
        <v>945</v>
      </c>
      <c r="B915" t="str">
        <f>VLOOKUP(Customer_Names!A915,Customer_Names!$1:$1048576,4,FALSE)</f>
        <v>Aharon N</v>
      </c>
      <c r="C915">
        <f>VLOOKUP(Medical_Examinations_2[[#This Row],[Customer ID]],Medical_Examinations!$1:$1048576,2,FALSE)</f>
        <v>25.175000000000001</v>
      </c>
      <c r="D915">
        <f>VLOOKUP(Medical_Examinations_2[[#This Row],[Customer ID]],Medical_Examinations!$1:$1048576,4,FALSE)</f>
        <v>5.57</v>
      </c>
      <c r="E915" t="str">
        <f>VLOOKUP(Medical_Examinations_2[[#This Row],[Customer ID]],Medical_Examinations!$1:$1048576,6,FALSE)</f>
        <v>Yes</v>
      </c>
      <c r="H915">
        <f>VLOOKUP(Medical_Examinations_2[[#This Row],[Customer ID]],Medical_Examinations!$1:$1048576,9,FALSE)</f>
        <v>1</v>
      </c>
      <c r="I915" t="str">
        <f>VLOOKUP(Medical_Examinations_2[[#This Row],[Customer ID]],Medical_Examinations!$1:$1048576,11,FALSE)</f>
        <v>No</v>
      </c>
    </row>
    <row r="916" spans="1:9" x14ac:dyDescent="0.25">
      <c r="A916" s="10" t="s">
        <v>946</v>
      </c>
      <c r="B916" t="str">
        <f>VLOOKUP(Customer_Names!A916,Customer_Names!$1:$1048576,4,FALSE)</f>
        <v>Lawrence D.</v>
      </c>
      <c r="C916">
        <f>VLOOKUP(Medical_Examinations_2[[#This Row],[Customer ID]],Medical_Examinations!$1:$1048576,2,FALSE)</f>
        <v>26.8</v>
      </c>
      <c r="D916">
        <f>VLOOKUP(Medical_Examinations_2[[#This Row],[Customer ID]],Medical_Examinations!$1:$1048576,4,FALSE)</f>
        <v>5.68</v>
      </c>
      <c r="E916" t="str">
        <f>VLOOKUP(Medical_Examinations_2[[#This Row],[Customer ID]],Medical_Examinations!$1:$1048576,6,FALSE)</f>
        <v>Yes</v>
      </c>
      <c r="H916">
        <f>VLOOKUP(Medical_Examinations_2[[#This Row],[Customer ID]],Medical_Examinations!$1:$1048576,9,FALSE)</f>
        <v>1</v>
      </c>
      <c r="I916" t="str">
        <f>VLOOKUP(Medical_Examinations_2[[#This Row],[Customer ID]],Medical_Examinations!$1:$1048576,11,FALSE)</f>
        <v>No</v>
      </c>
    </row>
    <row r="917" spans="1:9" x14ac:dyDescent="0.25">
      <c r="A917" s="11" t="s">
        <v>947</v>
      </c>
      <c r="B917" t="str">
        <f>VLOOKUP(Customer_Names!A917,Customer_Names!$1:$1048576,4,FALSE)</f>
        <v>Malcolm</v>
      </c>
      <c r="C917">
        <f>VLOOKUP(Medical_Examinations_2[[#This Row],[Customer ID]],Medical_Examinations!$1:$1048576,2,FALSE)</f>
        <v>21.78</v>
      </c>
      <c r="D917">
        <f>VLOOKUP(Medical_Examinations_2[[#This Row],[Customer ID]],Medical_Examinations!$1:$1048576,4,FALSE)</f>
        <v>5.3</v>
      </c>
      <c r="E917" t="str">
        <f>VLOOKUP(Medical_Examinations_2[[#This Row],[Customer ID]],Medical_Examinations!$1:$1048576,6,FALSE)</f>
        <v>No</v>
      </c>
      <c r="H917">
        <f>VLOOKUP(Medical_Examinations_2[[#This Row],[Customer ID]],Medical_Examinations!$1:$1048576,9,FALSE)</f>
        <v>1</v>
      </c>
      <c r="I917" t="str">
        <f>VLOOKUP(Medical_Examinations_2[[#This Row],[Customer ID]],Medical_Examinations!$1:$1048576,11,FALSE)</f>
        <v>No</v>
      </c>
    </row>
    <row r="918" spans="1:9" x14ac:dyDescent="0.25">
      <c r="A918" s="10" t="s">
        <v>948</v>
      </c>
      <c r="B918" t="str">
        <f>VLOOKUP(Customer_Names!A918,Customer_Names!$1:$1048576,4,FALSE)</f>
        <v>Anna E.</v>
      </c>
      <c r="C918">
        <f>VLOOKUP(Medical_Examinations_2[[#This Row],[Customer ID]],Medical_Examinations!$1:$1048576,2,FALSE)</f>
        <v>30.14</v>
      </c>
      <c r="D918">
        <f>VLOOKUP(Medical_Examinations_2[[#This Row],[Customer ID]],Medical_Examinations!$1:$1048576,4,FALSE)</f>
        <v>9.4499999999999993</v>
      </c>
      <c r="E918" t="str">
        <f>VLOOKUP(Medical_Examinations_2[[#This Row],[Customer ID]],Medical_Examinations!$1:$1048576,6,FALSE)</f>
        <v>Yes</v>
      </c>
      <c r="H918" t="str">
        <f>VLOOKUP(Medical_Examinations_2[[#This Row],[Customer ID]],Medical_Examinations!$1:$1048576,9,FALSE)</f>
        <v>No major surgery</v>
      </c>
      <c r="I918" t="str">
        <f>VLOOKUP(Medical_Examinations_2[[#This Row],[Customer ID]],Medical_Examinations!$1:$1048576,11,FALSE)</f>
        <v>No</v>
      </c>
    </row>
    <row r="919" spans="1:9" x14ac:dyDescent="0.25">
      <c r="A919" s="11" t="s">
        <v>949</v>
      </c>
      <c r="B919" t="str">
        <f>VLOOKUP(Customer_Names!A919,Customer_Names!$1:$1048576,4,FALSE)</f>
        <v>Jenny</v>
      </c>
      <c r="C919">
        <f>VLOOKUP(Medical_Examinations_2[[#This Row],[Customer ID]],Medical_Examinations!$1:$1048576,2,FALSE)</f>
        <v>29.7</v>
      </c>
      <c r="D919">
        <f>VLOOKUP(Medical_Examinations_2[[#This Row],[Customer ID]],Medical_Examinations!$1:$1048576,4,FALSE)</f>
        <v>6.79</v>
      </c>
      <c r="E919" t="str">
        <f>VLOOKUP(Medical_Examinations_2[[#This Row],[Customer ID]],Medical_Examinations!$1:$1048576,6,FALSE)</f>
        <v>Yes</v>
      </c>
      <c r="H919" t="str">
        <f>VLOOKUP(Medical_Examinations_2[[#This Row],[Customer ID]],Medical_Examinations!$1:$1048576,9,FALSE)</f>
        <v>No major surgery</v>
      </c>
      <c r="I919" t="str">
        <f>VLOOKUP(Medical_Examinations_2[[#This Row],[Customer ID]],Medical_Examinations!$1:$1048576,11,FALSE)</f>
        <v>No</v>
      </c>
    </row>
    <row r="920" spans="1:9" x14ac:dyDescent="0.25">
      <c r="A920" s="10" t="s">
        <v>950</v>
      </c>
      <c r="B920" t="str">
        <f>VLOOKUP(Customer_Names!A920,Customer_Names!$1:$1048576,4,FALSE)</f>
        <v>Melissa L</v>
      </c>
      <c r="C920">
        <f>VLOOKUP(Medical_Examinations_2[[#This Row],[Customer ID]],Medical_Examinations!$1:$1048576,2,FALSE)</f>
        <v>32.395000000000003</v>
      </c>
      <c r="D920">
        <f>VLOOKUP(Medical_Examinations_2[[#This Row],[Customer ID]],Medical_Examinations!$1:$1048576,4,FALSE)</f>
        <v>11.1</v>
      </c>
      <c r="E920" t="str">
        <f>VLOOKUP(Medical_Examinations_2[[#This Row],[Customer ID]],Medical_Examinations!$1:$1048576,6,FALSE)</f>
        <v>Yes</v>
      </c>
      <c r="H920" t="str">
        <f>VLOOKUP(Medical_Examinations_2[[#This Row],[Customer ID]],Medical_Examinations!$1:$1048576,9,FALSE)</f>
        <v>No major surgery</v>
      </c>
      <c r="I920" t="str">
        <f>VLOOKUP(Medical_Examinations_2[[#This Row],[Customer ID]],Medical_Examinations!$1:$1048576,11,FALSE)</f>
        <v>No</v>
      </c>
    </row>
    <row r="921" spans="1:9" x14ac:dyDescent="0.25">
      <c r="A921" s="11" t="s">
        <v>951</v>
      </c>
      <c r="B921" t="str">
        <f>VLOOKUP(Customer_Names!A921,Customer_Names!$1:$1048576,4,FALSE)</f>
        <v>Chia J.</v>
      </c>
      <c r="C921">
        <f>VLOOKUP(Medical_Examinations_2[[#This Row],[Customer ID]],Medical_Examinations!$1:$1048576,2,FALSE)</f>
        <v>36.64</v>
      </c>
      <c r="D921">
        <f>VLOOKUP(Medical_Examinations_2[[#This Row],[Customer ID]],Medical_Examinations!$1:$1048576,4,FALSE)</f>
        <v>7.26</v>
      </c>
      <c r="E921" t="str">
        <f>VLOOKUP(Medical_Examinations_2[[#This Row],[Customer ID]],Medical_Examinations!$1:$1048576,6,FALSE)</f>
        <v>No</v>
      </c>
      <c r="H921" t="str">
        <f>VLOOKUP(Medical_Examinations_2[[#This Row],[Customer ID]],Medical_Examinations!$1:$1048576,9,FALSE)</f>
        <v>No major surgery</v>
      </c>
      <c r="I921" t="str">
        <f>VLOOKUP(Medical_Examinations_2[[#This Row],[Customer ID]],Medical_Examinations!$1:$1048576,11,FALSE)</f>
        <v>No</v>
      </c>
    </row>
    <row r="922" spans="1:9" x14ac:dyDescent="0.25">
      <c r="A922" s="10" t="s">
        <v>952</v>
      </c>
      <c r="B922" t="str">
        <f>VLOOKUP(Customer_Names!A922,Customer_Names!$1:$1048576,4,FALSE)</f>
        <v>Laura A</v>
      </c>
      <c r="C922">
        <f>VLOOKUP(Medical_Examinations_2[[#This Row],[Customer ID]],Medical_Examinations!$1:$1048576,2,FALSE)</f>
        <v>39.049999999999997</v>
      </c>
      <c r="D922">
        <f>VLOOKUP(Medical_Examinations_2[[#This Row],[Customer ID]],Medical_Examinations!$1:$1048576,4,FALSE)</f>
        <v>5.27</v>
      </c>
      <c r="E922" t="str">
        <f>VLOOKUP(Medical_Examinations_2[[#This Row],[Customer ID]],Medical_Examinations!$1:$1048576,6,FALSE)</f>
        <v>Yes</v>
      </c>
      <c r="H922">
        <f>VLOOKUP(Medical_Examinations_2[[#This Row],[Customer ID]],Medical_Examinations!$1:$1048576,9,FALSE)</f>
        <v>1</v>
      </c>
      <c r="I922" t="str">
        <f>VLOOKUP(Medical_Examinations_2[[#This Row],[Customer ID]],Medical_Examinations!$1:$1048576,11,FALSE)</f>
        <v>No</v>
      </c>
    </row>
    <row r="923" spans="1:9" x14ac:dyDescent="0.25">
      <c r="A923" s="11" t="s">
        <v>953</v>
      </c>
      <c r="B923" t="str">
        <f>VLOOKUP(Customer_Names!A923,Customer_Names!$1:$1048576,4,FALSE)</f>
        <v>Aditi</v>
      </c>
      <c r="C923">
        <f>VLOOKUP(Medical_Examinations_2[[#This Row],[Customer ID]],Medical_Examinations!$1:$1048576,2,FALSE)</f>
        <v>33.1</v>
      </c>
      <c r="D923">
        <f>VLOOKUP(Medical_Examinations_2[[#This Row],[Customer ID]],Medical_Examinations!$1:$1048576,4,FALSE)</f>
        <v>5.46</v>
      </c>
      <c r="E923" t="str">
        <f>VLOOKUP(Medical_Examinations_2[[#This Row],[Customer ID]],Medical_Examinations!$1:$1048576,6,FALSE)</f>
        <v>Yes</v>
      </c>
      <c r="H923">
        <f>VLOOKUP(Medical_Examinations_2[[#This Row],[Customer ID]],Medical_Examinations!$1:$1048576,9,FALSE)</f>
        <v>1</v>
      </c>
      <c r="I923" t="str">
        <f>VLOOKUP(Medical_Examinations_2[[#This Row],[Customer ID]],Medical_Examinations!$1:$1048576,11,FALSE)</f>
        <v>No</v>
      </c>
    </row>
    <row r="924" spans="1:9" x14ac:dyDescent="0.25">
      <c r="A924" s="10" t="s">
        <v>954</v>
      </c>
      <c r="B924" t="str">
        <f>VLOOKUP(Customer_Names!A924,Customer_Names!$1:$1048576,4,FALSE)</f>
        <v>Leah A.</v>
      </c>
      <c r="C924">
        <f>VLOOKUP(Medical_Examinations_2[[#This Row],[Customer ID]],Medical_Examinations!$1:$1048576,2,FALSE)</f>
        <v>31.824999999999999</v>
      </c>
      <c r="D924">
        <f>VLOOKUP(Medical_Examinations_2[[#This Row],[Customer ID]],Medical_Examinations!$1:$1048576,4,FALSE)</f>
        <v>8.1300000000000008</v>
      </c>
      <c r="E924" t="str">
        <f>VLOOKUP(Medical_Examinations_2[[#This Row],[Customer ID]],Medical_Examinations!$1:$1048576,6,FALSE)</f>
        <v>No</v>
      </c>
      <c r="H924" t="str">
        <f>VLOOKUP(Medical_Examinations_2[[#This Row],[Customer ID]],Medical_Examinations!$1:$1048576,9,FALSE)</f>
        <v>No major surgery</v>
      </c>
      <c r="I924" t="str">
        <f>VLOOKUP(Medical_Examinations_2[[#This Row],[Customer ID]],Medical_Examinations!$1:$1048576,11,FALSE)</f>
        <v>No</v>
      </c>
    </row>
    <row r="925" spans="1:9" x14ac:dyDescent="0.25">
      <c r="A925" s="11" t="s">
        <v>955</v>
      </c>
      <c r="B925" t="str">
        <f>VLOOKUP(Customer_Names!A925,Customer_Names!$1:$1048576,4,FALSE)</f>
        <v>Marianne</v>
      </c>
      <c r="C925">
        <f>VLOOKUP(Medical_Examinations_2[[#This Row],[Customer ID]],Medical_Examinations!$1:$1048576,2,FALSE)</f>
        <v>29</v>
      </c>
      <c r="D925">
        <f>VLOOKUP(Medical_Examinations_2[[#This Row],[Customer ID]],Medical_Examinations!$1:$1048576,4,FALSE)</f>
        <v>4.25</v>
      </c>
      <c r="E925" t="str">
        <f>VLOOKUP(Medical_Examinations_2[[#This Row],[Customer ID]],Medical_Examinations!$1:$1048576,6,FALSE)</f>
        <v>Yes</v>
      </c>
      <c r="H925">
        <f>VLOOKUP(Medical_Examinations_2[[#This Row],[Customer ID]],Medical_Examinations!$1:$1048576,9,FALSE)</f>
        <v>1</v>
      </c>
      <c r="I925" t="str">
        <f>VLOOKUP(Medical_Examinations_2[[#This Row],[Customer ID]],Medical_Examinations!$1:$1048576,11,FALSE)</f>
        <v>No</v>
      </c>
    </row>
    <row r="926" spans="1:9" x14ac:dyDescent="0.25">
      <c r="A926" s="10" t="s">
        <v>956</v>
      </c>
      <c r="B926" t="str">
        <f>VLOOKUP(Customer_Names!A926,Customer_Names!$1:$1048576,4,FALSE)</f>
        <v>Carla</v>
      </c>
      <c r="C926">
        <f>VLOOKUP(Medical_Examinations_2[[#This Row],[Customer ID]],Medical_Examinations!$1:$1048576,2,FALSE)</f>
        <v>30.495000000000001</v>
      </c>
      <c r="D926">
        <f>VLOOKUP(Medical_Examinations_2[[#This Row],[Customer ID]],Medical_Examinations!$1:$1048576,4,FALSE)</f>
        <v>8.68</v>
      </c>
      <c r="E926" t="str">
        <f>VLOOKUP(Medical_Examinations_2[[#This Row],[Customer ID]],Medical_Examinations!$1:$1048576,6,FALSE)</f>
        <v>No</v>
      </c>
      <c r="H926" t="str">
        <f>VLOOKUP(Medical_Examinations_2[[#This Row],[Customer ID]],Medical_Examinations!$1:$1048576,9,FALSE)</f>
        <v>No major surgery</v>
      </c>
      <c r="I926" t="str">
        <f>VLOOKUP(Medical_Examinations_2[[#This Row],[Customer ID]],Medical_Examinations!$1:$1048576,11,FALSE)</f>
        <v>No</v>
      </c>
    </row>
    <row r="927" spans="1:9" x14ac:dyDescent="0.25">
      <c r="A927" s="11" t="s">
        <v>957</v>
      </c>
      <c r="B927" t="str">
        <f>VLOOKUP(Customer_Names!A927,Customer_Names!$1:$1048576,4,FALSE)</f>
        <v>Oksana</v>
      </c>
      <c r="C927">
        <f>VLOOKUP(Medical_Examinations_2[[#This Row],[Customer ID]],Medical_Examinations!$1:$1048576,2,FALSE)</f>
        <v>25.2</v>
      </c>
      <c r="D927">
        <f>VLOOKUP(Medical_Examinations_2[[#This Row],[Customer ID]],Medical_Examinations!$1:$1048576,4,FALSE)</f>
        <v>6.25</v>
      </c>
      <c r="E927" t="str">
        <f>VLOOKUP(Medical_Examinations_2[[#This Row],[Customer ID]],Medical_Examinations!$1:$1048576,6,FALSE)</f>
        <v>Yes</v>
      </c>
      <c r="H927">
        <f>VLOOKUP(Medical_Examinations_2[[#This Row],[Customer ID]],Medical_Examinations!$1:$1048576,9,FALSE)</f>
        <v>1</v>
      </c>
      <c r="I927" t="str">
        <f>VLOOKUP(Medical_Examinations_2[[#This Row],[Customer ID]],Medical_Examinations!$1:$1048576,11,FALSE)</f>
        <v>No</v>
      </c>
    </row>
    <row r="928" spans="1:9" x14ac:dyDescent="0.25">
      <c r="A928" s="10" t="s">
        <v>958</v>
      </c>
      <c r="B928" t="str">
        <f>VLOOKUP(Customer_Names!A928,Customer_Names!$1:$1048576,4,FALSE)</f>
        <v>Rebecca B.</v>
      </c>
      <c r="C928">
        <f>VLOOKUP(Medical_Examinations_2[[#This Row],[Customer ID]],Medical_Examinations!$1:$1048576,2,FALSE)</f>
        <v>22.77</v>
      </c>
      <c r="D928">
        <f>VLOOKUP(Medical_Examinations_2[[#This Row],[Customer ID]],Medical_Examinations!$1:$1048576,4,FALSE)</f>
        <v>4.47</v>
      </c>
      <c r="E928" t="str">
        <f>VLOOKUP(Medical_Examinations_2[[#This Row],[Customer ID]],Medical_Examinations!$1:$1048576,6,FALSE)</f>
        <v>Yes</v>
      </c>
      <c r="H928">
        <f>VLOOKUP(Medical_Examinations_2[[#This Row],[Customer ID]],Medical_Examinations!$1:$1048576,9,FALSE)</f>
        <v>1</v>
      </c>
      <c r="I928" t="str">
        <f>VLOOKUP(Medical_Examinations_2[[#This Row],[Customer ID]],Medical_Examinations!$1:$1048576,11,FALSE)</f>
        <v>No</v>
      </c>
    </row>
    <row r="929" spans="1:9" x14ac:dyDescent="0.25">
      <c r="A929" s="11" t="s">
        <v>959</v>
      </c>
      <c r="B929" t="str">
        <f>VLOOKUP(Customer_Names!A929,Customer_Names!$1:$1048576,4,FALSE)</f>
        <v>Maria A.</v>
      </c>
      <c r="C929">
        <f>VLOOKUP(Medical_Examinations_2[[#This Row],[Customer ID]],Medical_Examinations!$1:$1048576,2,FALSE)</f>
        <v>23.18</v>
      </c>
      <c r="D929">
        <f>VLOOKUP(Medical_Examinations_2[[#This Row],[Customer ID]],Medical_Examinations!$1:$1048576,4,FALSE)</f>
        <v>8.31</v>
      </c>
      <c r="E929" t="str">
        <f>VLOOKUP(Medical_Examinations_2[[#This Row],[Customer ID]],Medical_Examinations!$1:$1048576,6,FALSE)</f>
        <v>No</v>
      </c>
      <c r="H929" t="str">
        <f>VLOOKUP(Medical_Examinations_2[[#This Row],[Customer ID]],Medical_Examinations!$1:$1048576,9,FALSE)</f>
        <v>No major surgery</v>
      </c>
      <c r="I929" t="str">
        <f>VLOOKUP(Medical_Examinations_2[[#This Row],[Customer ID]],Medical_Examinations!$1:$1048576,11,FALSE)</f>
        <v>No</v>
      </c>
    </row>
    <row r="930" spans="1:9" x14ac:dyDescent="0.25">
      <c r="A930" s="10" t="s">
        <v>960</v>
      </c>
      <c r="B930" t="str">
        <f>VLOOKUP(Customer_Names!A930,Customer_Names!$1:$1048576,4,FALSE)</f>
        <v>Lisa M</v>
      </c>
      <c r="C930">
        <f>VLOOKUP(Medical_Examinations_2[[#This Row],[Customer ID]],Medical_Examinations!$1:$1048576,2,FALSE)</f>
        <v>35.409999999999997</v>
      </c>
      <c r="D930">
        <f>VLOOKUP(Medical_Examinations_2[[#This Row],[Customer ID]],Medical_Examinations!$1:$1048576,4,FALSE)</f>
        <v>5.68</v>
      </c>
      <c r="E930" t="str">
        <f>VLOOKUP(Medical_Examinations_2[[#This Row],[Customer ID]],Medical_Examinations!$1:$1048576,6,FALSE)</f>
        <v>No</v>
      </c>
      <c r="H930" t="str">
        <f>VLOOKUP(Medical_Examinations_2[[#This Row],[Customer ID]],Medical_Examinations!$1:$1048576,9,FALSE)</f>
        <v>No major surgery</v>
      </c>
      <c r="I930" t="str">
        <f>VLOOKUP(Medical_Examinations_2[[#This Row],[Customer ID]],Medical_Examinations!$1:$1048576,11,FALSE)</f>
        <v>No</v>
      </c>
    </row>
    <row r="931" spans="1:9" x14ac:dyDescent="0.25">
      <c r="A931" s="11" t="s">
        <v>961</v>
      </c>
      <c r="B931" t="str">
        <f>VLOOKUP(Customer_Names!A931,Customer_Names!$1:$1048576,4,FALSE)</f>
        <v>Steve Jr.</v>
      </c>
      <c r="C931">
        <f>VLOOKUP(Medical_Examinations_2[[#This Row],[Customer ID]],Medical_Examinations!$1:$1048576,2,FALSE)</f>
        <v>32.11</v>
      </c>
      <c r="D931">
        <f>VLOOKUP(Medical_Examinations_2[[#This Row],[Customer ID]],Medical_Examinations!$1:$1048576,4,FALSE)</f>
        <v>4.75</v>
      </c>
      <c r="E931" t="str">
        <f>VLOOKUP(Medical_Examinations_2[[#This Row],[Customer ID]],Medical_Examinations!$1:$1048576,6,FALSE)</f>
        <v>Yes</v>
      </c>
      <c r="H931">
        <f>VLOOKUP(Medical_Examinations_2[[#This Row],[Customer ID]],Medical_Examinations!$1:$1048576,9,FALSE)</f>
        <v>2</v>
      </c>
      <c r="I931" t="str">
        <f>VLOOKUP(Medical_Examinations_2[[#This Row],[Customer ID]],Medical_Examinations!$1:$1048576,11,FALSE)</f>
        <v>No</v>
      </c>
    </row>
    <row r="932" spans="1:9" x14ac:dyDescent="0.25">
      <c r="A932" s="10" t="s">
        <v>962</v>
      </c>
      <c r="B932" t="str">
        <f>VLOOKUP(Customer_Names!A932,Customer_Names!$1:$1048576,4,FALSE)</f>
        <v>Tiffany</v>
      </c>
      <c r="C932">
        <f>VLOOKUP(Medical_Examinations_2[[#This Row],[Customer ID]],Medical_Examinations!$1:$1048576,2,FALSE)</f>
        <v>34.479999999999997</v>
      </c>
      <c r="D932">
        <f>VLOOKUP(Medical_Examinations_2[[#This Row],[Customer ID]],Medical_Examinations!$1:$1048576,4,FALSE)</f>
        <v>6.31</v>
      </c>
      <c r="E932" t="str">
        <f>VLOOKUP(Medical_Examinations_2[[#This Row],[Customer ID]],Medical_Examinations!$1:$1048576,6,FALSE)</f>
        <v>No</v>
      </c>
      <c r="H932">
        <f>VLOOKUP(Medical_Examinations_2[[#This Row],[Customer ID]],Medical_Examinations!$1:$1048576,9,FALSE)</f>
        <v>1</v>
      </c>
      <c r="I932" t="str">
        <f>VLOOKUP(Medical_Examinations_2[[#This Row],[Customer ID]],Medical_Examinations!$1:$1048576,11,FALSE)</f>
        <v>No</v>
      </c>
    </row>
    <row r="933" spans="1:9" x14ac:dyDescent="0.25">
      <c r="A933" s="11" t="s">
        <v>963</v>
      </c>
      <c r="B933" t="str">
        <f>VLOOKUP(Customer_Names!A933,Customer_Names!$1:$1048576,4,FALSE)</f>
        <v>Greg</v>
      </c>
      <c r="C933">
        <f>VLOOKUP(Medical_Examinations_2[[#This Row],[Customer ID]],Medical_Examinations!$1:$1048576,2,FALSE)</f>
        <v>34.39</v>
      </c>
      <c r="D933">
        <f>VLOOKUP(Medical_Examinations_2[[#This Row],[Customer ID]],Medical_Examinations!$1:$1048576,4,FALSE)</f>
        <v>6.28</v>
      </c>
      <c r="E933" t="str">
        <f>VLOOKUP(Medical_Examinations_2[[#This Row],[Customer ID]],Medical_Examinations!$1:$1048576,6,FALSE)</f>
        <v>Yes</v>
      </c>
      <c r="H933">
        <f>VLOOKUP(Medical_Examinations_2[[#This Row],[Customer ID]],Medical_Examinations!$1:$1048576,9,FALSE)</f>
        <v>1</v>
      </c>
      <c r="I933" t="str">
        <f>VLOOKUP(Medical_Examinations_2[[#This Row],[Customer ID]],Medical_Examinations!$1:$1048576,11,FALSE)</f>
        <v>No</v>
      </c>
    </row>
    <row r="934" spans="1:9" x14ac:dyDescent="0.25">
      <c r="A934" s="10" t="s">
        <v>964</v>
      </c>
      <c r="B934" t="str">
        <f>VLOOKUP(Customer_Names!A934,Customer_Names!$1:$1048576,4,FALSE)</f>
        <v>Dale</v>
      </c>
      <c r="C934">
        <f>VLOOKUP(Medical_Examinations_2[[#This Row],[Customer ID]],Medical_Examinations!$1:$1048576,2,FALSE)</f>
        <v>26.4</v>
      </c>
      <c r="D934">
        <f>VLOOKUP(Medical_Examinations_2[[#This Row],[Customer ID]],Medical_Examinations!$1:$1048576,4,FALSE)</f>
        <v>9.2899999999999991</v>
      </c>
      <c r="E934" t="str">
        <f>VLOOKUP(Medical_Examinations_2[[#This Row],[Customer ID]],Medical_Examinations!$1:$1048576,6,FALSE)</f>
        <v>Yes</v>
      </c>
      <c r="H934">
        <f>VLOOKUP(Medical_Examinations_2[[#This Row],[Customer ID]],Medical_Examinations!$1:$1048576,9,FALSE)</f>
        <v>1</v>
      </c>
      <c r="I934" t="str">
        <f>VLOOKUP(Medical_Examinations_2[[#This Row],[Customer ID]],Medical_Examinations!$1:$1048576,11,FALSE)</f>
        <v>No</v>
      </c>
    </row>
    <row r="935" spans="1:9" x14ac:dyDescent="0.25">
      <c r="A935" s="11" t="s">
        <v>965</v>
      </c>
      <c r="B935" t="str">
        <f>VLOOKUP(Customer_Names!A935,Customer_Names!$1:$1048576,4,FALSE)</f>
        <v>Brittany A.</v>
      </c>
      <c r="C935">
        <f>VLOOKUP(Medical_Examinations_2[[#This Row],[Customer ID]],Medical_Examinations!$1:$1048576,2,FALSE)</f>
        <v>28.1</v>
      </c>
      <c r="D935">
        <f>VLOOKUP(Medical_Examinations_2[[#This Row],[Customer ID]],Medical_Examinations!$1:$1048576,4,FALSE)</f>
        <v>5.79</v>
      </c>
      <c r="E935" t="str">
        <f>VLOOKUP(Medical_Examinations_2[[#This Row],[Customer ID]],Medical_Examinations!$1:$1048576,6,FALSE)</f>
        <v>Yes</v>
      </c>
      <c r="H935">
        <f>VLOOKUP(Medical_Examinations_2[[#This Row],[Customer ID]],Medical_Examinations!$1:$1048576,9,FALSE)</f>
        <v>1</v>
      </c>
      <c r="I935" t="str">
        <f>VLOOKUP(Medical_Examinations_2[[#This Row],[Customer ID]],Medical_Examinations!$1:$1048576,11,FALSE)</f>
        <v>No</v>
      </c>
    </row>
    <row r="936" spans="1:9" x14ac:dyDescent="0.25">
      <c r="A936" s="10" t="s">
        <v>966</v>
      </c>
      <c r="B936" t="str">
        <f>VLOOKUP(Customer_Names!A936,Customer_Names!$1:$1048576,4,FALSE)</f>
        <v>Robert S</v>
      </c>
      <c r="C936">
        <f>VLOOKUP(Medical_Examinations_2[[#This Row],[Customer ID]],Medical_Examinations!$1:$1048576,2,FALSE)</f>
        <v>27</v>
      </c>
      <c r="D936">
        <f>VLOOKUP(Medical_Examinations_2[[#This Row],[Customer ID]],Medical_Examinations!$1:$1048576,4,FALSE)</f>
        <v>4.54</v>
      </c>
      <c r="E936" t="str">
        <f>VLOOKUP(Medical_Examinations_2[[#This Row],[Customer ID]],Medical_Examinations!$1:$1048576,6,FALSE)</f>
        <v>Yes</v>
      </c>
      <c r="H936">
        <f>VLOOKUP(Medical_Examinations_2[[#This Row],[Customer ID]],Medical_Examinations!$1:$1048576,9,FALSE)</f>
        <v>1</v>
      </c>
      <c r="I936" t="str">
        <f>VLOOKUP(Medical_Examinations_2[[#This Row],[Customer ID]],Medical_Examinations!$1:$1048576,11,FALSE)</f>
        <v>No</v>
      </c>
    </row>
    <row r="937" spans="1:9" x14ac:dyDescent="0.25">
      <c r="A937" s="11" t="s">
        <v>967</v>
      </c>
      <c r="B937" t="str">
        <f>VLOOKUP(Customer_Names!A937,Customer_Names!$1:$1048576,4,FALSE)</f>
        <v>Cameron</v>
      </c>
      <c r="C937">
        <f>VLOOKUP(Medical_Examinations_2[[#This Row],[Customer ID]],Medical_Examinations!$1:$1048576,2,FALSE)</f>
        <v>28.594999999999999</v>
      </c>
      <c r="D937">
        <f>VLOOKUP(Medical_Examinations_2[[#This Row],[Customer ID]],Medical_Examinations!$1:$1048576,4,FALSE)</f>
        <v>4.68</v>
      </c>
      <c r="E937" t="str">
        <f>VLOOKUP(Medical_Examinations_2[[#This Row],[Customer ID]],Medical_Examinations!$1:$1048576,6,FALSE)</f>
        <v>Yes</v>
      </c>
      <c r="H937">
        <f>VLOOKUP(Medical_Examinations_2[[#This Row],[Customer ID]],Medical_Examinations!$1:$1048576,9,FALSE)</f>
        <v>1</v>
      </c>
      <c r="I937" t="str">
        <f>VLOOKUP(Medical_Examinations_2[[#This Row],[Customer ID]],Medical_Examinations!$1:$1048576,11,FALSE)</f>
        <v>No</v>
      </c>
    </row>
    <row r="938" spans="1:9" x14ac:dyDescent="0.25">
      <c r="A938" s="10" t="s">
        <v>968</v>
      </c>
      <c r="B938" t="str">
        <f>VLOOKUP(Customer_Names!A938,Customer_Names!$1:$1048576,4,FALSE)</f>
        <v>Ulrike</v>
      </c>
      <c r="C938">
        <f>VLOOKUP(Medical_Examinations_2[[#This Row],[Customer ID]],Medical_Examinations!$1:$1048576,2,FALSE)</f>
        <v>36.799999999999997</v>
      </c>
      <c r="D938">
        <f>VLOOKUP(Medical_Examinations_2[[#This Row],[Customer ID]],Medical_Examinations!$1:$1048576,4,FALSE)</f>
        <v>5.88</v>
      </c>
      <c r="E938" t="str">
        <f>VLOOKUP(Medical_Examinations_2[[#This Row],[Customer ID]],Medical_Examinations!$1:$1048576,6,FALSE)</f>
        <v>No</v>
      </c>
      <c r="H938">
        <f>VLOOKUP(Medical_Examinations_2[[#This Row],[Customer ID]],Medical_Examinations!$1:$1048576,9,FALSE)</f>
        <v>1</v>
      </c>
      <c r="I938" t="str">
        <f>VLOOKUP(Medical_Examinations_2[[#This Row],[Customer ID]],Medical_Examinations!$1:$1048576,11,FALSE)</f>
        <v>No</v>
      </c>
    </row>
    <row r="939" spans="1:9" x14ac:dyDescent="0.25">
      <c r="A939" s="11" t="s">
        <v>969</v>
      </c>
      <c r="B939" t="str">
        <f>VLOOKUP(Customer_Names!A939,Customer_Names!$1:$1048576,4,FALSE)</f>
        <v>Katlyn A.</v>
      </c>
      <c r="C939">
        <f>VLOOKUP(Medical_Examinations_2[[#This Row],[Customer ID]],Medical_Examinations!$1:$1048576,2,FALSE)</f>
        <v>23.75</v>
      </c>
      <c r="D939">
        <f>VLOOKUP(Medical_Examinations_2[[#This Row],[Customer ID]],Medical_Examinations!$1:$1048576,4,FALSE)</f>
        <v>5.42</v>
      </c>
      <c r="E939" t="str">
        <f>VLOOKUP(Medical_Examinations_2[[#This Row],[Customer ID]],Medical_Examinations!$1:$1048576,6,FALSE)</f>
        <v>Yes</v>
      </c>
      <c r="H939">
        <f>VLOOKUP(Medical_Examinations_2[[#This Row],[Customer ID]],Medical_Examinations!$1:$1048576,9,FALSE)</f>
        <v>1</v>
      </c>
      <c r="I939" t="str">
        <f>VLOOKUP(Medical_Examinations_2[[#This Row],[Customer ID]],Medical_Examinations!$1:$1048576,11,FALSE)</f>
        <v>No</v>
      </c>
    </row>
    <row r="940" spans="1:9" x14ac:dyDescent="0.25">
      <c r="A940" s="10" t="s">
        <v>970</v>
      </c>
      <c r="B940" t="str">
        <f>VLOOKUP(Customer_Names!A940,Customer_Names!$1:$1048576,4,FALSE)</f>
        <v>Morgan B.</v>
      </c>
      <c r="C940">
        <f>VLOOKUP(Medical_Examinations_2[[#This Row],[Customer ID]],Medical_Examinations!$1:$1048576,2,FALSE)</f>
        <v>35.619999999999997</v>
      </c>
      <c r="D940">
        <f>VLOOKUP(Medical_Examinations_2[[#This Row],[Customer ID]],Medical_Examinations!$1:$1048576,4,FALSE)</f>
        <v>4.16</v>
      </c>
      <c r="E940" t="str">
        <f>VLOOKUP(Medical_Examinations_2[[#This Row],[Customer ID]],Medical_Examinations!$1:$1048576,6,FALSE)</f>
        <v>No</v>
      </c>
      <c r="H940" t="str">
        <f>VLOOKUP(Medical_Examinations_2[[#This Row],[Customer ID]],Medical_Examinations!$1:$1048576,9,FALSE)</f>
        <v>No major surgery</v>
      </c>
      <c r="I940" t="str">
        <f>VLOOKUP(Medical_Examinations_2[[#This Row],[Customer ID]],Medical_Examinations!$1:$1048576,11,FALSE)</f>
        <v>No</v>
      </c>
    </row>
    <row r="941" spans="1:9" x14ac:dyDescent="0.25">
      <c r="A941" s="11" t="s">
        <v>971</v>
      </c>
      <c r="B941" t="str">
        <f>VLOOKUP(Customer_Names!A941,Customer_Names!$1:$1048576,4,FALSE)</f>
        <v>Peter</v>
      </c>
      <c r="C941">
        <f>VLOOKUP(Medical_Examinations_2[[#This Row],[Customer ID]],Medical_Examinations!$1:$1048576,2,FALSE)</f>
        <v>30.69</v>
      </c>
      <c r="D941">
        <f>VLOOKUP(Medical_Examinations_2[[#This Row],[Customer ID]],Medical_Examinations!$1:$1048576,4,FALSE)</f>
        <v>7.05</v>
      </c>
      <c r="E941" t="str">
        <f>VLOOKUP(Medical_Examinations_2[[#This Row],[Customer ID]],Medical_Examinations!$1:$1048576,6,FALSE)</f>
        <v>Yes</v>
      </c>
      <c r="H941">
        <f>VLOOKUP(Medical_Examinations_2[[#This Row],[Customer ID]],Medical_Examinations!$1:$1048576,9,FALSE)</f>
        <v>2</v>
      </c>
      <c r="I941" t="str">
        <f>VLOOKUP(Medical_Examinations_2[[#This Row],[Customer ID]],Medical_Examinations!$1:$1048576,11,FALSE)</f>
        <v>No</v>
      </c>
    </row>
    <row r="942" spans="1:9" x14ac:dyDescent="0.25">
      <c r="A942" s="10" t="s">
        <v>972</v>
      </c>
      <c r="B942" t="str">
        <f>VLOOKUP(Customer_Names!A942,Customer_Names!$1:$1048576,4,FALSE)</f>
        <v>Chandler</v>
      </c>
      <c r="C942">
        <f>VLOOKUP(Medical_Examinations_2[[#This Row],[Customer ID]],Medical_Examinations!$1:$1048576,2,FALSE)</f>
        <v>35.799999999999997</v>
      </c>
      <c r="D942">
        <f>VLOOKUP(Medical_Examinations_2[[#This Row],[Customer ID]],Medical_Examinations!$1:$1048576,4,FALSE)</f>
        <v>5.63</v>
      </c>
      <c r="E942" t="str">
        <f>VLOOKUP(Medical_Examinations_2[[#This Row],[Customer ID]],Medical_Examinations!$1:$1048576,6,FALSE)</f>
        <v>Yes</v>
      </c>
      <c r="H942">
        <f>VLOOKUP(Medical_Examinations_2[[#This Row],[Customer ID]],Medical_Examinations!$1:$1048576,9,FALSE)</f>
        <v>2</v>
      </c>
      <c r="I942" t="str">
        <f>VLOOKUP(Medical_Examinations_2[[#This Row],[Customer ID]],Medical_Examinations!$1:$1048576,11,FALSE)</f>
        <v>No</v>
      </c>
    </row>
    <row r="943" spans="1:9" x14ac:dyDescent="0.25">
      <c r="A943" s="11" t="s">
        <v>973</v>
      </c>
      <c r="B943" t="str">
        <f>VLOOKUP(Customer_Names!A943,Customer_Names!$1:$1048576,4,FALSE)</f>
        <v>Silvana M.</v>
      </c>
      <c r="C943">
        <f>VLOOKUP(Medical_Examinations_2[[#This Row],[Customer ID]],Medical_Examinations!$1:$1048576,2,FALSE)</f>
        <v>28.785</v>
      </c>
      <c r="D943">
        <f>VLOOKUP(Medical_Examinations_2[[#This Row],[Customer ID]],Medical_Examinations!$1:$1048576,4,FALSE)</f>
        <v>4.24</v>
      </c>
      <c r="E943" t="str">
        <f>VLOOKUP(Medical_Examinations_2[[#This Row],[Customer ID]],Medical_Examinations!$1:$1048576,6,FALSE)</f>
        <v>Yes</v>
      </c>
      <c r="H943">
        <f>VLOOKUP(Medical_Examinations_2[[#This Row],[Customer ID]],Medical_Examinations!$1:$1048576,9,FALSE)</f>
        <v>2</v>
      </c>
      <c r="I943" t="str">
        <f>VLOOKUP(Medical_Examinations_2[[#This Row],[Customer ID]],Medical_Examinations!$1:$1048576,11,FALSE)</f>
        <v>No</v>
      </c>
    </row>
    <row r="944" spans="1:9" x14ac:dyDescent="0.25">
      <c r="A944" s="10" t="s">
        <v>974</v>
      </c>
      <c r="B944" t="str">
        <f>VLOOKUP(Customer_Names!A944,Customer_Names!$1:$1048576,4,FALSE)</f>
        <v>Natty</v>
      </c>
      <c r="C944">
        <f>VLOOKUP(Medical_Examinations_2[[#This Row],[Customer ID]],Medical_Examinations!$1:$1048576,2,FALSE)</f>
        <v>28.594999999999999</v>
      </c>
      <c r="D944">
        <f>VLOOKUP(Medical_Examinations_2[[#This Row],[Customer ID]],Medical_Examinations!$1:$1048576,4,FALSE)</f>
        <v>4.96</v>
      </c>
      <c r="E944" t="str">
        <f>VLOOKUP(Medical_Examinations_2[[#This Row],[Customer ID]],Medical_Examinations!$1:$1048576,6,FALSE)</f>
        <v>Yes</v>
      </c>
      <c r="H944">
        <f>VLOOKUP(Medical_Examinations_2[[#This Row],[Customer ID]],Medical_Examinations!$1:$1048576,9,FALSE)</f>
        <v>2</v>
      </c>
      <c r="I944" t="str">
        <f>VLOOKUP(Medical_Examinations_2[[#This Row],[Customer ID]],Medical_Examinations!$1:$1048576,11,FALSE)</f>
        <v>No</v>
      </c>
    </row>
    <row r="945" spans="1:9" x14ac:dyDescent="0.25">
      <c r="A945" s="11" t="s">
        <v>975</v>
      </c>
      <c r="B945" t="str">
        <f>VLOOKUP(Customer_Names!A945,Customer_Names!$1:$1048576,4,FALSE)</f>
        <v>Nicholas T</v>
      </c>
      <c r="C945">
        <f>VLOOKUP(Medical_Examinations_2[[#This Row],[Customer ID]],Medical_Examinations!$1:$1048576,2,FALSE)</f>
        <v>48.75</v>
      </c>
      <c r="D945">
        <f>VLOOKUP(Medical_Examinations_2[[#This Row],[Customer ID]],Medical_Examinations!$1:$1048576,4,FALSE)</f>
        <v>4.34</v>
      </c>
      <c r="E945" t="str">
        <f>VLOOKUP(Medical_Examinations_2[[#This Row],[Customer ID]],Medical_Examinations!$1:$1048576,6,FALSE)</f>
        <v>No</v>
      </c>
      <c r="H945" t="str">
        <f>VLOOKUP(Medical_Examinations_2[[#This Row],[Customer ID]],Medical_Examinations!$1:$1048576,9,FALSE)</f>
        <v>No major surgery</v>
      </c>
      <c r="I945" t="str">
        <f>VLOOKUP(Medical_Examinations_2[[#This Row],[Customer ID]],Medical_Examinations!$1:$1048576,11,FALSE)</f>
        <v>No</v>
      </c>
    </row>
    <row r="946" spans="1:9" x14ac:dyDescent="0.25">
      <c r="A946" s="10" t="s">
        <v>976</v>
      </c>
      <c r="B946" t="str">
        <f>VLOOKUP(Customer_Names!A946,Customer_Names!$1:$1048576,4,FALSE)</f>
        <v>Rebecca</v>
      </c>
      <c r="C946">
        <f>VLOOKUP(Medical_Examinations_2[[#This Row],[Customer ID]],Medical_Examinations!$1:$1048576,2,FALSE)</f>
        <v>28.31</v>
      </c>
      <c r="D946">
        <f>VLOOKUP(Medical_Examinations_2[[#This Row],[Customer ID]],Medical_Examinations!$1:$1048576,4,FALSE)</f>
        <v>5.43</v>
      </c>
      <c r="E946" t="str">
        <f>VLOOKUP(Medical_Examinations_2[[#This Row],[Customer ID]],Medical_Examinations!$1:$1048576,6,FALSE)</f>
        <v>Yes</v>
      </c>
      <c r="H946">
        <f>VLOOKUP(Medical_Examinations_2[[#This Row],[Customer ID]],Medical_Examinations!$1:$1048576,9,FALSE)</f>
        <v>2</v>
      </c>
      <c r="I946" t="str">
        <f>VLOOKUP(Medical_Examinations_2[[#This Row],[Customer ID]],Medical_Examinations!$1:$1048576,11,FALSE)</f>
        <v>No</v>
      </c>
    </row>
    <row r="947" spans="1:9" x14ac:dyDescent="0.25">
      <c r="A947" s="11" t="s">
        <v>977</v>
      </c>
      <c r="B947" t="str">
        <f>VLOOKUP(Customer_Names!A947,Customer_Names!$1:$1048576,4,FALSE)</f>
        <v>John</v>
      </c>
      <c r="C947">
        <f>VLOOKUP(Medical_Examinations_2[[#This Row],[Customer ID]],Medical_Examinations!$1:$1048576,2,FALSE)</f>
        <v>38.39</v>
      </c>
      <c r="D947">
        <f>VLOOKUP(Medical_Examinations_2[[#This Row],[Customer ID]],Medical_Examinations!$1:$1048576,4,FALSE)</f>
        <v>8.33</v>
      </c>
      <c r="E947" t="str">
        <f>VLOOKUP(Medical_Examinations_2[[#This Row],[Customer ID]],Medical_Examinations!$1:$1048576,6,FALSE)</f>
        <v>Yes</v>
      </c>
      <c r="H947">
        <f>VLOOKUP(Medical_Examinations_2[[#This Row],[Customer ID]],Medical_Examinations!$1:$1048576,9,FALSE)</f>
        <v>1</v>
      </c>
      <c r="I947" t="str">
        <f>VLOOKUP(Medical_Examinations_2[[#This Row],[Customer ID]],Medical_Examinations!$1:$1048576,11,FALSE)</f>
        <v>No</v>
      </c>
    </row>
    <row r="948" spans="1:9" x14ac:dyDescent="0.25">
      <c r="A948" s="10" t="s">
        <v>978</v>
      </c>
      <c r="B948" t="str">
        <f>VLOOKUP(Customer_Names!A948,Customer_Names!$1:$1048576,4,FALSE)</f>
        <v>Antony G</v>
      </c>
      <c r="C948">
        <f>VLOOKUP(Medical_Examinations_2[[#This Row],[Customer ID]],Medical_Examinations!$1:$1048576,2,FALSE)</f>
        <v>25.87</v>
      </c>
      <c r="D948">
        <f>VLOOKUP(Medical_Examinations_2[[#This Row],[Customer ID]],Medical_Examinations!$1:$1048576,4,FALSE)</f>
        <v>5.63</v>
      </c>
      <c r="E948" t="str">
        <f>VLOOKUP(Medical_Examinations_2[[#This Row],[Customer ID]],Medical_Examinations!$1:$1048576,6,FALSE)</f>
        <v>Yes</v>
      </c>
      <c r="H948">
        <f>VLOOKUP(Medical_Examinations_2[[#This Row],[Customer ID]],Medical_Examinations!$1:$1048576,9,FALSE)</f>
        <v>1</v>
      </c>
      <c r="I948" t="str">
        <f>VLOOKUP(Medical_Examinations_2[[#This Row],[Customer ID]],Medical_Examinations!$1:$1048576,11,FALSE)</f>
        <v>No</v>
      </c>
    </row>
    <row r="949" spans="1:9" x14ac:dyDescent="0.25">
      <c r="A949" s="11" t="s">
        <v>979</v>
      </c>
      <c r="B949" t="str">
        <f>VLOOKUP(Customer_Names!A949,Customer_Names!$1:$1048576,4,FALSE)</f>
        <v>Eric</v>
      </c>
      <c r="C949">
        <f>VLOOKUP(Medical_Examinations_2[[#This Row],[Customer ID]],Medical_Examinations!$1:$1048576,2,FALSE)</f>
        <v>43.7</v>
      </c>
      <c r="D949">
        <f>VLOOKUP(Medical_Examinations_2[[#This Row],[Customer ID]],Medical_Examinations!$1:$1048576,4,FALSE)</f>
        <v>7.23</v>
      </c>
      <c r="E949" t="str">
        <f>VLOOKUP(Medical_Examinations_2[[#This Row],[Customer ID]],Medical_Examinations!$1:$1048576,6,FALSE)</f>
        <v>No</v>
      </c>
      <c r="H949" t="str">
        <f>VLOOKUP(Medical_Examinations_2[[#This Row],[Customer ID]],Medical_Examinations!$1:$1048576,9,FALSE)</f>
        <v>No major surgery</v>
      </c>
      <c r="I949" t="str">
        <f>VLOOKUP(Medical_Examinations_2[[#This Row],[Customer ID]],Medical_Examinations!$1:$1048576,11,FALSE)</f>
        <v>No</v>
      </c>
    </row>
    <row r="950" spans="1:9" x14ac:dyDescent="0.25">
      <c r="A950" s="10" t="s">
        <v>980</v>
      </c>
      <c r="B950" t="str">
        <f>VLOOKUP(Customer_Names!A950,Customer_Names!$1:$1048576,4,FALSE)</f>
        <v>Erik</v>
      </c>
      <c r="C950">
        <f>VLOOKUP(Medical_Examinations_2[[#This Row],[Customer ID]],Medical_Examinations!$1:$1048576,2,FALSE)</f>
        <v>40.945</v>
      </c>
      <c r="D950">
        <f>VLOOKUP(Medical_Examinations_2[[#This Row],[Customer ID]],Medical_Examinations!$1:$1048576,4,FALSE)</f>
        <v>10.57</v>
      </c>
      <c r="E950" t="str">
        <f>VLOOKUP(Medical_Examinations_2[[#This Row],[Customer ID]],Medical_Examinations!$1:$1048576,6,FALSE)</f>
        <v>No</v>
      </c>
      <c r="H950" t="str">
        <f>VLOOKUP(Medical_Examinations_2[[#This Row],[Customer ID]],Medical_Examinations!$1:$1048576,9,FALSE)</f>
        <v>No major surgery</v>
      </c>
      <c r="I950" t="str">
        <f>VLOOKUP(Medical_Examinations_2[[#This Row],[Customer ID]],Medical_Examinations!$1:$1048576,11,FALSE)</f>
        <v>No</v>
      </c>
    </row>
    <row r="951" spans="1:9" x14ac:dyDescent="0.25">
      <c r="A951" s="11" t="s">
        <v>981</v>
      </c>
      <c r="B951" t="str">
        <f>VLOOKUP(Customer_Names!A951,Customer_Names!$1:$1048576,4,FALSE)</f>
        <v>Matthew T</v>
      </c>
      <c r="C951">
        <f>VLOOKUP(Medical_Examinations_2[[#This Row],[Customer ID]],Medical_Examinations!$1:$1048576,2,FALSE)</f>
        <v>27.94</v>
      </c>
      <c r="D951">
        <f>VLOOKUP(Medical_Examinations_2[[#This Row],[Customer ID]],Medical_Examinations!$1:$1048576,4,FALSE)</f>
        <v>7.92</v>
      </c>
      <c r="E951" t="str">
        <f>VLOOKUP(Medical_Examinations_2[[#This Row],[Customer ID]],Medical_Examinations!$1:$1048576,6,FALSE)</f>
        <v>No</v>
      </c>
      <c r="H951" t="str">
        <f>VLOOKUP(Medical_Examinations_2[[#This Row],[Customer ID]],Medical_Examinations!$1:$1048576,9,FALSE)</f>
        <v>No major surgery</v>
      </c>
      <c r="I951" t="str">
        <f>VLOOKUP(Medical_Examinations_2[[#This Row],[Customer ID]],Medical_Examinations!$1:$1048576,11,FALSE)</f>
        <v>No</v>
      </c>
    </row>
    <row r="952" spans="1:9" x14ac:dyDescent="0.25">
      <c r="A952" s="10" t="s">
        <v>982</v>
      </c>
      <c r="B952" t="str">
        <f>VLOOKUP(Customer_Names!A952,Customer_Names!$1:$1048576,4,FALSE)</f>
        <v>Cassandra</v>
      </c>
      <c r="C952">
        <f>VLOOKUP(Medical_Examinations_2[[#This Row],[Customer ID]],Medical_Examinations!$1:$1048576,2,FALSE)</f>
        <v>31.9</v>
      </c>
      <c r="D952">
        <f>VLOOKUP(Medical_Examinations_2[[#This Row],[Customer ID]],Medical_Examinations!$1:$1048576,4,FALSE)</f>
        <v>10.119999999999999</v>
      </c>
      <c r="E952" t="str">
        <f>VLOOKUP(Medical_Examinations_2[[#This Row],[Customer ID]],Medical_Examinations!$1:$1048576,6,FALSE)</f>
        <v>No</v>
      </c>
      <c r="H952">
        <f>VLOOKUP(Medical_Examinations_2[[#This Row],[Customer ID]],Medical_Examinations!$1:$1048576,9,FALSE)</f>
        <v>2</v>
      </c>
      <c r="I952" t="str">
        <f>VLOOKUP(Medical_Examinations_2[[#This Row],[Customer ID]],Medical_Examinations!$1:$1048576,11,FALSE)</f>
        <v>No</v>
      </c>
    </row>
    <row r="953" spans="1:9" x14ac:dyDescent="0.25">
      <c r="A953" s="11" t="s">
        <v>983</v>
      </c>
      <c r="B953" t="str">
        <f>VLOOKUP(Customer_Names!A953,Customer_Names!$1:$1048576,4,FALSE)</f>
        <v>Rosemary C</v>
      </c>
      <c r="C953">
        <f>VLOOKUP(Medical_Examinations_2[[#This Row],[Customer ID]],Medical_Examinations!$1:$1048576,2,FALSE)</f>
        <v>31.64</v>
      </c>
      <c r="D953">
        <f>VLOOKUP(Medical_Examinations_2[[#This Row],[Customer ID]],Medical_Examinations!$1:$1048576,4,FALSE)</f>
        <v>7.91</v>
      </c>
      <c r="E953" t="str">
        <f>VLOOKUP(Medical_Examinations_2[[#This Row],[Customer ID]],Medical_Examinations!$1:$1048576,6,FALSE)</f>
        <v>No</v>
      </c>
      <c r="H953" t="str">
        <f>VLOOKUP(Medical_Examinations_2[[#This Row],[Customer ID]],Medical_Examinations!$1:$1048576,9,FALSE)</f>
        <v>No major surgery</v>
      </c>
      <c r="I953" t="str">
        <f>VLOOKUP(Medical_Examinations_2[[#This Row],[Customer ID]],Medical_Examinations!$1:$1048576,11,FALSE)</f>
        <v>No</v>
      </c>
    </row>
    <row r="954" spans="1:9" x14ac:dyDescent="0.25">
      <c r="A954" s="10" t="s">
        <v>984</v>
      </c>
      <c r="B954" t="str">
        <f>VLOOKUP(Customer_Names!A954,Customer_Names!$1:$1048576,4,FALSE)</f>
        <v>Carrie A.</v>
      </c>
      <c r="C954">
        <f>VLOOKUP(Medical_Examinations_2[[#This Row],[Customer ID]],Medical_Examinations!$1:$1048576,2,FALSE)</f>
        <v>46.7</v>
      </c>
      <c r="D954">
        <f>VLOOKUP(Medical_Examinations_2[[#This Row],[Customer ID]],Medical_Examinations!$1:$1048576,4,FALSE)</f>
        <v>10.9</v>
      </c>
      <c r="E954" t="str">
        <f>VLOOKUP(Medical_Examinations_2[[#This Row],[Customer ID]],Medical_Examinations!$1:$1048576,6,FALSE)</f>
        <v>No</v>
      </c>
      <c r="H954" t="str">
        <f>VLOOKUP(Medical_Examinations_2[[#This Row],[Customer ID]],Medical_Examinations!$1:$1048576,9,FALSE)</f>
        <v>No major surgery</v>
      </c>
      <c r="I954" t="str">
        <f>VLOOKUP(Medical_Examinations_2[[#This Row],[Customer ID]],Medical_Examinations!$1:$1048576,11,FALSE)</f>
        <v>No</v>
      </c>
    </row>
    <row r="955" spans="1:9" x14ac:dyDescent="0.25">
      <c r="A955" s="11" t="s">
        <v>985</v>
      </c>
      <c r="B955" t="str">
        <f>VLOOKUP(Customer_Names!A955,Customer_Names!$1:$1048576,4,FALSE)</f>
        <v>Gerardo Sr.</v>
      </c>
      <c r="C955">
        <f>VLOOKUP(Medical_Examinations_2[[#This Row],[Customer ID]],Medical_Examinations!$1:$1048576,2,FALSE)</f>
        <v>18.335000000000001</v>
      </c>
      <c r="D955">
        <f>VLOOKUP(Medical_Examinations_2[[#This Row],[Customer ID]],Medical_Examinations!$1:$1048576,4,FALSE)</f>
        <v>11.83</v>
      </c>
      <c r="E955" t="str">
        <f>VLOOKUP(Medical_Examinations_2[[#This Row],[Customer ID]],Medical_Examinations!$1:$1048576,6,FALSE)</f>
        <v>No</v>
      </c>
      <c r="H955" t="str">
        <f>VLOOKUP(Medical_Examinations_2[[#This Row],[Customer ID]],Medical_Examinations!$1:$1048576,9,FALSE)</f>
        <v>No major surgery</v>
      </c>
      <c r="I955" t="str">
        <f>VLOOKUP(Medical_Examinations_2[[#This Row],[Customer ID]],Medical_Examinations!$1:$1048576,11,FALSE)</f>
        <v>No</v>
      </c>
    </row>
    <row r="956" spans="1:9" x14ac:dyDescent="0.25">
      <c r="A956" s="10" t="s">
        <v>986</v>
      </c>
      <c r="B956" t="str">
        <f>VLOOKUP(Customer_Names!A956,Customer_Names!$1:$1048576,4,FALSE)</f>
        <v>Matthew R.</v>
      </c>
      <c r="C956">
        <f>VLOOKUP(Medical_Examinations_2[[#This Row],[Customer ID]],Medical_Examinations!$1:$1048576,2,FALSE)</f>
        <v>31.24</v>
      </c>
      <c r="D956">
        <f>VLOOKUP(Medical_Examinations_2[[#This Row],[Customer ID]],Medical_Examinations!$1:$1048576,4,FALSE)</f>
        <v>7.42</v>
      </c>
      <c r="E956" t="str">
        <f>VLOOKUP(Medical_Examinations_2[[#This Row],[Customer ID]],Medical_Examinations!$1:$1048576,6,FALSE)</f>
        <v>Yes</v>
      </c>
      <c r="H956">
        <f>VLOOKUP(Medical_Examinations_2[[#This Row],[Customer ID]],Medical_Examinations!$1:$1048576,9,FALSE)</f>
        <v>2</v>
      </c>
      <c r="I956" t="str">
        <f>VLOOKUP(Medical_Examinations_2[[#This Row],[Customer ID]],Medical_Examinations!$1:$1048576,11,FALSE)</f>
        <v>No</v>
      </c>
    </row>
    <row r="957" spans="1:9" x14ac:dyDescent="0.25">
      <c r="A957" s="11" t="s">
        <v>987</v>
      </c>
      <c r="B957" t="str">
        <f>VLOOKUP(Customer_Names!A957,Customer_Names!$1:$1048576,4,FALSE)</f>
        <v>Meghan E</v>
      </c>
      <c r="C957">
        <f>VLOOKUP(Medical_Examinations_2[[#This Row],[Customer ID]],Medical_Examinations!$1:$1048576,2,FALSE)</f>
        <v>39.22</v>
      </c>
      <c r="D957">
        <f>VLOOKUP(Medical_Examinations_2[[#This Row],[Customer ID]],Medical_Examinations!$1:$1048576,4,FALSE)</f>
        <v>5.62</v>
      </c>
      <c r="E957" t="str">
        <f>VLOOKUP(Medical_Examinations_2[[#This Row],[Customer ID]],Medical_Examinations!$1:$1048576,6,FALSE)</f>
        <v>Yes</v>
      </c>
      <c r="H957">
        <f>VLOOKUP(Medical_Examinations_2[[#This Row],[Customer ID]],Medical_Examinations!$1:$1048576,9,FALSE)</f>
        <v>1</v>
      </c>
      <c r="I957" t="str">
        <f>VLOOKUP(Medical_Examinations_2[[#This Row],[Customer ID]],Medical_Examinations!$1:$1048576,11,FALSE)</f>
        <v>No</v>
      </c>
    </row>
    <row r="958" spans="1:9" x14ac:dyDescent="0.25">
      <c r="A958" s="10" t="s">
        <v>988</v>
      </c>
      <c r="B958" t="str">
        <f>VLOOKUP(Customer_Names!A958,Customer_Names!$1:$1048576,4,FALSE)</f>
        <v>Eric</v>
      </c>
      <c r="C958">
        <f>VLOOKUP(Medical_Examinations_2[[#This Row],[Customer ID]],Medical_Examinations!$1:$1048576,2,FALSE)</f>
        <v>24.414999999999999</v>
      </c>
      <c r="D958">
        <f>VLOOKUP(Medical_Examinations_2[[#This Row],[Customer ID]],Medical_Examinations!$1:$1048576,4,FALSE)</f>
        <v>7.16</v>
      </c>
      <c r="E958" t="str">
        <f>VLOOKUP(Medical_Examinations_2[[#This Row],[Customer ID]],Medical_Examinations!$1:$1048576,6,FALSE)</f>
        <v>No</v>
      </c>
      <c r="H958" t="str">
        <f>VLOOKUP(Medical_Examinations_2[[#This Row],[Customer ID]],Medical_Examinations!$1:$1048576,9,FALSE)</f>
        <v>No major surgery</v>
      </c>
      <c r="I958" t="str">
        <f>VLOOKUP(Medical_Examinations_2[[#This Row],[Customer ID]],Medical_Examinations!$1:$1048576,11,FALSE)</f>
        <v>No</v>
      </c>
    </row>
    <row r="959" spans="1:9" x14ac:dyDescent="0.25">
      <c r="A959" s="11" t="s">
        <v>989</v>
      </c>
      <c r="B959" t="str">
        <f>VLOOKUP(Customer_Names!A959,Customer_Names!$1:$1048576,4,FALSE)</f>
        <v>Lisa B</v>
      </c>
      <c r="C959">
        <f>VLOOKUP(Medical_Examinations_2[[#This Row],[Customer ID]],Medical_Examinations!$1:$1048576,2,FALSE)</f>
        <v>32.299999999999997</v>
      </c>
      <c r="D959">
        <f>VLOOKUP(Medical_Examinations_2[[#This Row],[Customer ID]],Medical_Examinations!$1:$1048576,4,FALSE)</f>
        <v>9.89</v>
      </c>
      <c r="E959" t="str">
        <f>VLOOKUP(Medical_Examinations_2[[#This Row],[Customer ID]],Medical_Examinations!$1:$1048576,6,FALSE)</f>
        <v>No</v>
      </c>
      <c r="H959" t="str">
        <f>VLOOKUP(Medical_Examinations_2[[#This Row],[Customer ID]],Medical_Examinations!$1:$1048576,9,FALSE)</f>
        <v>No major surgery</v>
      </c>
      <c r="I959" t="str">
        <f>VLOOKUP(Medical_Examinations_2[[#This Row],[Customer ID]],Medical_Examinations!$1:$1048576,11,FALSE)</f>
        <v>No</v>
      </c>
    </row>
    <row r="960" spans="1:9" x14ac:dyDescent="0.25">
      <c r="A960" s="10" t="s">
        <v>990</v>
      </c>
      <c r="B960" t="str">
        <f>VLOOKUP(Customer_Names!A960,Customer_Names!$1:$1048576,4,FALSE)</f>
        <v>Jane R.</v>
      </c>
      <c r="C960">
        <f>VLOOKUP(Medical_Examinations_2[[#This Row],[Customer ID]],Medical_Examinations!$1:$1048576,2,FALSE)</f>
        <v>39.94</v>
      </c>
      <c r="D960">
        <f>VLOOKUP(Medical_Examinations_2[[#This Row],[Customer ID]],Medical_Examinations!$1:$1048576,4,FALSE)</f>
        <v>5.14</v>
      </c>
      <c r="E960" t="str">
        <f>VLOOKUP(Medical_Examinations_2[[#This Row],[Customer ID]],Medical_Examinations!$1:$1048576,6,FALSE)</f>
        <v>No</v>
      </c>
      <c r="H960" t="str">
        <f>VLOOKUP(Medical_Examinations_2[[#This Row],[Customer ID]],Medical_Examinations!$1:$1048576,9,FALSE)</f>
        <v>No major surgery</v>
      </c>
      <c r="I960" t="str">
        <f>VLOOKUP(Medical_Examinations_2[[#This Row],[Customer ID]],Medical_Examinations!$1:$1048576,11,FALSE)</f>
        <v>No</v>
      </c>
    </row>
    <row r="961" spans="1:9" x14ac:dyDescent="0.25">
      <c r="A961" s="11" t="s">
        <v>991</v>
      </c>
      <c r="B961" t="str">
        <f>VLOOKUP(Customer_Names!A961,Customer_Names!$1:$1048576,4,FALSE)</f>
        <v>Allison M</v>
      </c>
      <c r="C961">
        <f>VLOOKUP(Medical_Examinations_2[[#This Row],[Customer ID]],Medical_Examinations!$1:$1048576,2,FALSE)</f>
        <v>30</v>
      </c>
      <c r="D961">
        <f>VLOOKUP(Medical_Examinations_2[[#This Row],[Customer ID]],Medical_Examinations!$1:$1048576,4,FALSE)</f>
        <v>5.61</v>
      </c>
      <c r="E961" t="str">
        <f>VLOOKUP(Medical_Examinations_2[[#This Row],[Customer ID]],Medical_Examinations!$1:$1048576,6,FALSE)</f>
        <v>Yes</v>
      </c>
      <c r="H961">
        <f>VLOOKUP(Medical_Examinations_2[[#This Row],[Customer ID]],Medical_Examinations!$1:$1048576,9,FALSE)</f>
        <v>1</v>
      </c>
      <c r="I961" t="str">
        <f>VLOOKUP(Medical_Examinations_2[[#This Row],[Customer ID]],Medical_Examinations!$1:$1048576,11,FALSE)</f>
        <v>No</v>
      </c>
    </row>
    <row r="962" spans="1:9" x14ac:dyDescent="0.25">
      <c r="A962" s="10" t="s">
        <v>992</v>
      </c>
      <c r="B962" t="str">
        <f>VLOOKUP(Customer_Names!A962,Customer_Names!$1:$1048576,4,FALSE)</f>
        <v>Sarah E.</v>
      </c>
      <c r="C962">
        <f>VLOOKUP(Medical_Examinations_2[[#This Row],[Customer ID]],Medical_Examinations!$1:$1048576,2,FALSE)</f>
        <v>35.340000000000003</v>
      </c>
      <c r="D962">
        <f>VLOOKUP(Medical_Examinations_2[[#This Row],[Customer ID]],Medical_Examinations!$1:$1048576,4,FALSE)</f>
        <v>5.51</v>
      </c>
      <c r="E962" t="str">
        <f>VLOOKUP(Medical_Examinations_2[[#This Row],[Customer ID]],Medical_Examinations!$1:$1048576,6,FALSE)</f>
        <v>Yes</v>
      </c>
      <c r="H962">
        <f>VLOOKUP(Medical_Examinations_2[[#This Row],[Customer ID]],Medical_Examinations!$1:$1048576,9,FALSE)</f>
        <v>1</v>
      </c>
      <c r="I962" t="str">
        <f>VLOOKUP(Medical_Examinations_2[[#This Row],[Customer ID]],Medical_Examinations!$1:$1048576,11,FALSE)</f>
        <v>No</v>
      </c>
    </row>
    <row r="963" spans="1:9" x14ac:dyDescent="0.25">
      <c r="A963" s="11" t="s">
        <v>993</v>
      </c>
      <c r="B963" t="str">
        <f>VLOOKUP(Customer_Names!A963,Customer_Names!$1:$1048576,4,FALSE)</f>
        <v>Philip J</v>
      </c>
      <c r="C963">
        <f>VLOOKUP(Medical_Examinations_2[[#This Row],[Customer ID]],Medical_Examinations!$1:$1048576,2,FALSE)</f>
        <v>32.204999999999998</v>
      </c>
      <c r="D963">
        <f>VLOOKUP(Medical_Examinations_2[[#This Row],[Customer ID]],Medical_Examinations!$1:$1048576,4,FALSE)</f>
        <v>8.3800000000000008</v>
      </c>
      <c r="E963" t="str">
        <f>VLOOKUP(Medical_Examinations_2[[#This Row],[Customer ID]],Medical_Examinations!$1:$1048576,6,FALSE)</f>
        <v>Yes</v>
      </c>
      <c r="H963">
        <f>VLOOKUP(Medical_Examinations_2[[#This Row],[Customer ID]],Medical_Examinations!$1:$1048576,9,FALSE)</f>
        <v>2</v>
      </c>
      <c r="I963" t="str">
        <f>VLOOKUP(Medical_Examinations_2[[#This Row],[Customer ID]],Medical_Examinations!$1:$1048576,11,FALSE)</f>
        <v>No</v>
      </c>
    </row>
    <row r="964" spans="1:9" x14ac:dyDescent="0.25">
      <c r="A964" s="10" t="s">
        <v>994</v>
      </c>
      <c r="B964" t="str">
        <f>VLOOKUP(Customer_Names!A964,Customer_Names!$1:$1048576,4,FALSE)</f>
        <v>Jillian A.</v>
      </c>
      <c r="C964">
        <f>VLOOKUP(Medical_Examinations_2[[#This Row],[Customer ID]],Medical_Examinations!$1:$1048576,2,FALSE)</f>
        <v>33.880000000000003</v>
      </c>
      <c r="D964">
        <f>VLOOKUP(Medical_Examinations_2[[#This Row],[Customer ID]],Medical_Examinations!$1:$1048576,4,FALSE)</f>
        <v>4.68</v>
      </c>
      <c r="E964" t="str">
        <f>VLOOKUP(Medical_Examinations_2[[#This Row],[Customer ID]],Medical_Examinations!$1:$1048576,6,FALSE)</f>
        <v>No</v>
      </c>
      <c r="H964">
        <f>VLOOKUP(Medical_Examinations_2[[#This Row],[Customer ID]],Medical_Examinations!$1:$1048576,9,FALSE)</f>
        <v>1</v>
      </c>
      <c r="I964" t="str">
        <f>VLOOKUP(Medical_Examinations_2[[#This Row],[Customer ID]],Medical_Examinations!$1:$1048576,11,FALSE)</f>
        <v>No</v>
      </c>
    </row>
    <row r="965" spans="1:9" x14ac:dyDescent="0.25">
      <c r="A965" s="11" t="s">
        <v>995</v>
      </c>
      <c r="B965" t="str">
        <f>VLOOKUP(Customer_Names!A965,Customer_Names!$1:$1048576,4,FALSE)</f>
        <v>Laura D</v>
      </c>
      <c r="C965">
        <f>VLOOKUP(Medical_Examinations_2[[#This Row],[Customer ID]],Medical_Examinations!$1:$1048576,2,FALSE)</f>
        <v>26.63</v>
      </c>
      <c r="D965">
        <f>VLOOKUP(Medical_Examinations_2[[#This Row],[Customer ID]],Medical_Examinations!$1:$1048576,4,FALSE)</f>
        <v>4.3600000000000003</v>
      </c>
      <c r="E965" t="str">
        <f>VLOOKUP(Medical_Examinations_2[[#This Row],[Customer ID]],Medical_Examinations!$1:$1048576,6,FALSE)</f>
        <v>Yes</v>
      </c>
      <c r="H965">
        <f>VLOOKUP(Medical_Examinations_2[[#This Row],[Customer ID]],Medical_Examinations!$1:$1048576,9,FALSE)</f>
        <v>2</v>
      </c>
      <c r="I965" t="str">
        <f>VLOOKUP(Medical_Examinations_2[[#This Row],[Customer ID]],Medical_Examinations!$1:$1048576,11,FALSE)</f>
        <v>No</v>
      </c>
    </row>
    <row r="966" spans="1:9" x14ac:dyDescent="0.25">
      <c r="A966" s="10" t="s">
        <v>996</v>
      </c>
      <c r="B966" t="str">
        <f>VLOOKUP(Customer_Names!A966,Customer_Names!$1:$1048576,4,FALSE)</f>
        <v>Megan E.</v>
      </c>
      <c r="C966">
        <f>VLOOKUP(Medical_Examinations_2[[#This Row],[Customer ID]],Medical_Examinations!$1:$1048576,2,FALSE)</f>
        <v>28.7</v>
      </c>
      <c r="D966">
        <f>VLOOKUP(Medical_Examinations_2[[#This Row],[Customer ID]],Medical_Examinations!$1:$1048576,4,FALSE)</f>
        <v>7.74</v>
      </c>
      <c r="E966" t="str">
        <f>VLOOKUP(Medical_Examinations_2[[#This Row],[Customer ID]],Medical_Examinations!$1:$1048576,6,FALSE)</f>
        <v>No</v>
      </c>
      <c r="H966" t="str">
        <f>VLOOKUP(Medical_Examinations_2[[#This Row],[Customer ID]],Medical_Examinations!$1:$1048576,9,FALSE)</f>
        <v>No major surgery</v>
      </c>
      <c r="I966" t="str">
        <f>VLOOKUP(Medical_Examinations_2[[#This Row],[Customer ID]],Medical_Examinations!$1:$1048576,11,FALSE)</f>
        <v>No</v>
      </c>
    </row>
    <row r="967" spans="1:9" x14ac:dyDescent="0.25">
      <c r="A967" s="11" t="s">
        <v>997</v>
      </c>
      <c r="B967" t="str">
        <f>VLOOKUP(Customer_Names!A967,Customer_Names!$1:$1048576,4,FALSE)</f>
        <v>Shannon J.</v>
      </c>
      <c r="C967">
        <f>VLOOKUP(Medical_Examinations_2[[#This Row],[Customer ID]],Medical_Examinations!$1:$1048576,2,FALSE)</f>
        <v>25.65</v>
      </c>
      <c r="D967">
        <f>VLOOKUP(Medical_Examinations_2[[#This Row],[Customer ID]],Medical_Examinations!$1:$1048576,4,FALSE)</f>
        <v>4.05</v>
      </c>
      <c r="E967" t="str">
        <f>VLOOKUP(Medical_Examinations_2[[#This Row],[Customer ID]],Medical_Examinations!$1:$1048576,6,FALSE)</f>
        <v>Yes</v>
      </c>
      <c r="H967">
        <f>VLOOKUP(Medical_Examinations_2[[#This Row],[Customer ID]],Medical_Examinations!$1:$1048576,9,FALSE)</f>
        <v>2</v>
      </c>
      <c r="I967" t="str">
        <f>VLOOKUP(Medical_Examinations_2[[#This Row],[Customer ID]],Medical_Examinations!$1:$1048576,11,FALSE)</f>
        <v>No</v>
      </c>
    </row>
    <row r="968" spans="1:9" x14ac:dyDescent="0.25">
      <c r="A968" s="10" t="s">
        <v>998</v>
      </c>
      <c r="B968" t="str">
        <f>VLOOKUP(Customer_Names!A968,Customer_Names!$1:$1048576,4,FALSE)</f>
        <v>Rachelle M</v>
      </c>
      <c r="C968">
        <f>VLOOKUP(Medical_Examinations_2[[#This Row],[Customer ID]],Medical_Examinations!$1:$1048576,2,FALSE)</f>
        <v>36.384999999999998</v>
      </c>
      <c r="D968">
        <f>VLOOKUP(Medical_Examinations_2[[#This Row],[Customer ID]],Medical_Examinations!$1:$1048576,4,FALSE)</f>
        <v>11.49</v>
      </c>
      <c r="E968" t="str">
        <f>VLOOKUP(Medical_Examinations_2[[#This Row],[Customer ID]],Medical_Examinations!$1:$1048576,6,FALSE)</f>
        <v>No</v>
      </c>
      <c r="H968" t="str">
        <f>VLOOKUP(Medical_Examinations_2[[#This Row],[Customer ID]],Medical_Examinations!$1:$1048576,9,FALSE)</f>
        <v>No major surgery</v>
      </c>
      <c r="I968" t="str">
        <f>VLOOKUP(Medical_Examinations_2[[#This Row],[Customer ID]],Medical_Examinations!$1:$1048576,11,FALSE)</f>
        <v>No</v>
      </c>
    </row>
    <row r="969" spans="1:9" x14ac:dyDescent="0.25">
      <c r="A969" s="11" t="s">
        <v>999</v>
      </c>
      <c r="B969" t="str">
        <f>VLOOKUP(Customer_Names!A969,Customer_Names!$1:$1048576,4,FALSE)</f>
        <v>Casey</v>
      </c>
      <c r="C969">
        <f>VLOOKUP(Medical_Examinations_2[[#This Row],[Customer ID]],Medical_Examinations!$1:$1048576,2,FALSE)</f>
        <v>34.69</v>
      </c>
      <c r="D969">
        <f>VLOOKUP(Medical_Examinations_2[[#This Row],[Customer ID]],Medical_Examinations!$1:$1048576,4,FALSE)</f>
        <v>5.65</v>
      </c>
      <c r="E969" t="str">
        <f>VLOOKUP(Medical_Examinations_2[[#This Row],[Customer ID]],Medical_Examinations!$1:$1048576,6,FALSE)</f>
        <v>No</v>
      </c>
      <c r="H969" t="str">
        <f>VLOOKUP(Medical_Examinations_2[[#This Row],[Customer ID]],Medical_Examinations!$1:$1048576,9,FALSE)</f>
        <v>No major surgery</v>
      </c>
      <c r="I969" t="str">
        <f>VLOOKUP(Medical_Examinations_2[[#This Row],[Customer ID]],Medical_Examinations!$1:$1048576,11,FALSE)</f>
        <v>No</v>
      </c>
    </row>
    <row r="970" spans="1:9" x14ac:dyDescent="0.25">
      <c r="A970" s="10" t="s">
        <v>1000</v>
      </c>
      <c r="B970" t="str">
        <f>VLOOKUP(Customer_Names!A970,Customer_Names!$1:$1048576,4,FALSE)</f>
        <v>Jessica L</v>
      </c>
      <c r="C970">
        <f>VLOOKUP(Medical_Examinations_2[[#This Row],[Customer ID]],Medical_Examinations!$1:$1048576,2,FALSE)</f>
        <v>37.68</v>
      </c>
      <c r="D970">
        <f>VLOOKUP(Medical_Examinations_2[[#This Row],[Customer ID]],Medical_Examinations!$1:$1048576,4,FALSE)</f>
        <v>4.29</v>
      </c>
      <c r="E970" t="str">
        <f>VLOOKUP(Medical_Examinations_2[[#This Row],[Customer ID]],Medical_Examinations!$1:$1048576,6,FALSE)</f>
        <v>Yes</v>
      </c>
      <c r="H970" t="str">
        <f>VLOOKUP(Medical_Examinations_2[[#This Row],[Customer ID]],Medical_Examinations!$1:$1048576,9,FALSE)</f>
        <v>No major surgery</v>
      </c>
      <c r="I970" t="str">
        <f>VLOOKUP(Medical_Examinations_2[[#This Row],[Customer ID]],Medical_Examinations!$1:$1048576,11,FALSE)</f>
        <v>No</v>
      </c>
    </row>
    <row r="971" spans="1:9" x14ac:dyDescent="0.25">
      <c r="A971" s="11" t="s">
        <v>1001</v>
      </c>
      <c r="B971" t="str">
        <f>VLOOKUP(Customer_Names!A971,Customer_Names!$1:$1048576,4,FALSE)</f>
        <v>Brandon F</v>
      </c>
      <c r="C971">
        <f>VLOOKUP(Medical_Examinations_2[[#This Row],[Customer ID]],Medical_Examinations!$1:$1048576,2,FALSE)</f>
        <v>35.49</v>
      </c>
      <c r="D971">
        <f>VLOOKUP(Medical_Examinations_2[[#This Row],[Customer ID]],Medical_Examinations!$1:$1048576,4,FALSE)</f>
        <v>4.74</v>
      </c>
      <c r="H971">
        <f>VLOOKUP(Medical_Examinations_2[[#This Row],[Customer ID]],Medical_Examinations!$1:$1048576,9,FALSE)</f>
        <v>1</v>
      </c>
      <c r="I971" t="str">
        <f>VLOOKUP(Medical_Examinations_2[[#This Row],[Customer ID]],Medical_Examinations!$1:$1048576,11,FALSE)</f>
        <v>No</v>
      </c>
    </row>
    <row r="972" spans="1:9" x14ac:dyDescent="0.25">
      <c r="A972" s="10" t="s">
        <v>1002</v>
      </c>
      <c r="B972" t="str">
        <f>VLOOKUP(Customer_Names!A972,Customer_Names!$1:$1048576,4,FALSE)</f>
        <v>Melissa</v>
      </c>
      <c r="C972">
        <f>VLOOKUP(Medical_Examinations_2[[#This Row],[Customer ID]],Medical_Examinations!$1:$1048576,2,FALSE)</f>
        <v>44.7</v>
      </c>
      <c r="D972">
        <f>VLOOKUP(Medical_Examinations_2[[#This Row],[Customer ID]],Medical_Examinations!$1:$1048576,4,FALSE)</f>
        <v>7.6</v>
      </c>
      <c r="H972">
        <f>VLOOKUP(Medical_Examinations_2[[#This Row],[Customer ID]],Medical_Examinations!$1:$1048576,9,FALSE)</f>
        <v>2</v>
      </c>
      <c r="I972" t="str">
        <f>VLOOKUP(Medical_Examinations_2[[#This Row],[Customer ID]],Medical_Examinations!$1:$1048576,11,FALSE)</f>
        <v>No</v>
      </c>
    </row>
    <row r="973" spans="1:9" x14ac:dyDescent="0.25">
      <c r="A973" s="11" t="s">
        <v>1003</v>
      </c>
      <c r="B973" t="str">
        <f>VLOOKUP(Customer_Names!A973,Customer_Names!$1:$1048576,4,FALSE)</f>
        <v>Danielle N</v>
      </c>
      <c r="C973">
        <f>VLOOKUP(Medical_Examinations_2[[#This Row],[Customer ID]],Medical_Examinations!$1:$1048576,2,FALSE)</f>
        <v>38.380000000000003</v>
      </c>
      <c r="D973">
        <f>VLOOKUP(Medical_Examinations_2[[#This Row],[Customer ID]],Medical_Examinations!$1:$1048576,4,FALSE)</f>
        <v>8.5</v>
      </c>
      <c r="H973">
        <f>VLOOKUP(Medical_Examinations_2[[#This Row],[Customer ID]],Medical_Examinations!$1:$1048576,9,FALSE)</f>
        <v>2</v>
      </c>
      <c r="I973" t="str">
        <f>VLOOKUP(Medical_Examinations_2[[#This Row],[Customer ID]],Medical_Examinations!$1:$1048576,11,FALSE)</f>
        <v>No</v>
      </c>
    </row>
    <row r="974" spans="1:9" x14ac:dyDescent="0.25">
      <c r="A974" s="10" t="s">
        <v>1004</v>
      </c>
      <c r="B974" t="str">
        <f>VLOOKUP(Customer_Names!A974,Customer_Names!$1:$1048576,4,FALSE)</f>
        <v>Matthew</v>
      </c>
      <c r="C974">
        <f>VLOOKUP(Medical_Examinations_2[[#This Row],[Customer ID]],Medical_Examinations!$1:$1048576,2,FALSE)</f>
        <v>35.244999999999997</v>
      </c>
      <c r="D974">
        <f>VLOOKUP(Medical_Examinations_2[[#This Row],[Customer ID]],Medical_Examinations!$1:$1048576,4,FALSE)</f>
        <v>11.22</v>
      </c>
      <c r="H974" t="str">
        <f>VLOOKUP(Medical_Examinations_2[[#This Row],[Customer ID]],Medical_Examinations!$1:$1048576,9,FALSE)</f>
        <v>No major surgery</v>
      </c>
      <c r="I974" t="str">
        <f>VLOOKUP(Medical_Examinations_2[[#This Row],[Customer ID]],Medical_Examinations!$1:$1048576,11,FALSE)</f>
        <v>No</v>
      </c>
    </row>
    <row r="975" spans="1:9" x14ac:dyDescent="0.25">
      <c r="A975" s="11" t="s">
        <v>1005</v>
      </c>
      <c r="B975" t="str">
        <f>VLOOKUP(Customer_Names!A975,Customer_Names!$1:$1048576,4,FALSE)</f>
        <v>Bettina</v>
      </c>
      <c r="C975">
        <f>VLOOKUP(Medical_Examinations_2[[#This Row],[Customer ID]],Medical_Examinations!$1:$1048576,2,FALSE)</f>
        <v>49.84</v>
      </c>
      <c r="D975">
        <f>VLOOKUP(Medical_Examinations_2[[#This Row],[Customer ID]],Medical_Examinations!$1:$1048576,4,FALSE)</f>
        <v>5.0999999999999996</v>
      </c>
      <c r="H975">
        <f>VLOOKUP(Medical_Examinations_2[[#This Row],[Customer ID]],Medical_Examinations!$1:$1048576,9,FALSE)</f>
        <v>1</v>
      </c>
      <c r="I975" t="str">
        <f>VLOOKUP(Medical_Examinations_2[[#This Row],[Customer ID]],Medical_Examinations!$1:$1048576,11,FALSE)</f>
        <v>No</v>
      </c>
    </row>
    <row r="976" spans="1:9" x14ac:dyDescent="0.25">
      <c r="A976" s="10" t="s">
        <v>1006</v>
      </c>
      <c r="B976" t="str">
        <f>VLOOKUP(Customer_Names!A976,Customer_Names!$1:$1048576,4,FALSE)</f>
        <v>Alexander</v>
      </c>
      <c r="C976">
        <f>VLOOKUP(Medical_Examinations_2[[#This Row],[Customer ID]],Medical_Examinations!$1:$1048576,2,FALSE)</f>
        <v>49.06</v>
      </c>
      <c r="D976">
        <f>VLOOKUP(Medical_Examinations_2[[#This Row],[Customer ID]],Medical_Examinations!$1:$1048576,4,FALSE)</f>
        <v>5.43</v>
      </c>
      <c r="H976">
        <f>VLOOKUP(Medical_Examinations_2[[#This Row],[Customer ID]],Medical_Examinations!$1:$1048576,9,FALSE)</f>
        <v>1</v>
      </c>
      <c r="I976" t="str">
        <f>VLOOKUP(Medical_Examinations_2[[#This Row],[Customer ID]],Medical_Examinations!$1:$1048576,11,FALSE)</f>
        <v>No</v>
      </c>
    </row>
    <row r="977" spans="1:9" x14ac:dyDescent="0.25">
      <c r="A977" s="11" t="s">
        <v>1007</v>
      </c>
      <c r="B977" t="str">
        <f>VLOOKUP(Customer_Names!A977,Customer_Names!$1:$1048576,4,FALSE)</f>
        <v>Holli</v>
      </c>
      <c r="C977">
        <f>VLOOKUP(Medical_Examinations_2[[#This Row],[Customer ID]],Medical_Examinations!$1:$1048576,2,FALSE)</f>
        <v>30.88</v>
      </c>
      <c r="D977">
        <f>VLOOKUP(Medical_Examinations_2[[#This Row],[Customer ID]],Medical_Examinations!$1:$1048576,4,FALSE)</f>
        <v>5.82</v>
      </c>
      <c r="H977">
        <f>VLOOKUP(Medical_Examinations_2[[#This Row],[Customer ID]],Medical_Examinations!$1:$1048576,9,FALSE)</f>
        <v>2</v>
      </c>
      <c r="I977" t="str">
        <f>VLOOKUP(Medical_Examinations_2[[#This Row],[Customer ID]],Medical_Examinations!$1:$1048576,11,FALSE)</f>
        <v>No</v>
      </c>
    </row>
    <row r="978" spans="1:9" x14ac:dyDescent="0.25">
      <c r="A978" s="10" t="s">
        <v>1008</v>
      </c>
      <c r="B978" t="str">
        <f>VLOOKUP(Customer_Names!A978,Customer_Names!$1:$1048576,4,FALSE)</f>
        <v>Heather C</v>
      </c>
      <c r="C978">
        <f>VLOOKUP(Medical_Examinations_2[[#This Row],[Customer ID]],Medical_Examinations!$1:$1048576,2,FALSE)</f>
        <v>33.35</v>
      </c>
      <c r="D978">
        <f>VLOOKUP(Medical_Examinations_2[[#This Row],[Customer ID]],Medical_Examinations!$1:$1048576,4,FALSE)</f>
        <v>6.05</v>
      </c>
      <c r="H978">
        <f>VLOOKUP(Medical_Examinations_2[[#This Row],[Customer ID]],Medical_Examinations!$1:$1048576,9,FALSE)</f>
        <v>1</v>
      </c>
      <c r="I978" t="str">
        <f>VLOOKUP(Medical_Examinations_2[[#This Row],[Customer ID]],Medical_Examinations!$1:$1048576,11,FALSE)</f>
        <v>No</v>
      </c>
    </row>
    <row r="979" spans="1:9" x14ac:dyDescent="0.25">
      <c r="A979" s="11" t="s">
        <v>1009</v>
      </c>
      <c r="B979" t="str">
        <f>VLOOKUP(Customer_Names!A979,Customer_Names!$1:$1048576,4,FALSE)</f>
        <v>Kyle</v>
      </c>
      <c r="C979">
        <f>VLOOKUP(Medical_Examinations_2[[#This Row],[Customer ID]],Medical_Examinations!$1:$1048576,2,FALSE)</f>
        <v>38</v>
      </c>
      <c r="D979">
        <f>VLOOKUP(Medical_Examinations_2[[#This Row],[Customer ID]],Medical_Examinations!$1:$1048576,4,FALSE)</f>
        <v>6.38</v>
      </c>
      <c r="H979">
        <f>VLOOKUP(Medical_Examinations_2[[#This Row],[Customer ID]],Medical_Examinations!$1:$1048576,9,FALSE)</f>
        <v>1</v>
      </c>
      <c r="I979" t="str">
        <f>VLOOKUP(Medical_Examinations_2[[#This Row],[Customer ID]],Medical_Examinations!$1:$1048576,11,FALSE)</f>
        <v>No</v>
      </c>
    </row>
    <row r="980" spans="1:9" x14ac:dyDescent="0.25">
      <c r="A980" s="10" t="s">
        <v>1010</v>
      </c>
      <c r="B980" t="str">
        <f>VLOOKUP(Customer_Names!A980,Customer_Names!$1:$1048576,4,FALSE)</f>
        <v>Thomas J</v>
      </c>
      <c r="C980">
        <f>VLOOKUP(Medical_Examinations_2[[#This Row],[Customer ID]],Medical_Examinations!$1:$1048576,2,FALSE)</f>
        <v>36.08</v>
      </c>
      <c r="D980">
        <f>VLOOKUP(Medical_Examinations_2[[#This Row],[Customer ID]],Medical_Examinations!$1:$1048576,4,FALSE)</f>
        <v>5.73</v>
      </c>
      <c r="H980">
        <f>VLOOKUP(Medical_Examinations_2[[#This Row],[Customer ID]],Medical_Examinations!$1:$1048576,9,FALSE)</f>
        <v>1</v>
      </c>
      <c r="I980" t="str">
        <f>VLOOKUP(Medical_Examinations_2[[#This Row],[Customer ID]],Medical_Examinations!$1:$1048576,11,FALSE)</f>
        <v>No</v>
      </c>
    </row>
    <row r="981" spans="1:9" x14ac:dyDescent="0.25">
      <c r="A981" s="11" t="s">
        <v>1011</v>
      </c>
      <c r="B981" t="str">
        <f>VLOOKUP(Customer_Names!A981,Customer_Names!$1:$1048576,4,FALSE)</f>
        <v>Chris</v>
      </c>
      <c r="C981">
        <f>VLOOKUP(Medical_Examinations_2[[#This Row],[Customer ID]],Medical_Examinations!$1:$1048576,2,FALSE)</f>
        <v>35.700000000000003</v>
      </c>
      <c r="D981">
        <f>VLOOKUP(Medical_Examinations_2[[#This Row],[Customer ID]],Medical_Examinations!$1:$1048576,4,FALSE)</f>
        <v>5.47</v>
      </c>
      <c r="H981">
        <f>VLOOKUP(Medical_Examinations_2[[#This Row],[Customer ID]],Medical_Examinations!$1:$1048576,9,FALSE)</f>
        <v>1</v>
      </c>
      <c r="I981" t="str">
        <f>VLOOKUP(Medical_Examinations_2[[#This Row],[Customer ID]],Medical_Examinations!$1:$1048576,11,FALSE)</f>
        <v>No</v>
      </c>
    </row>
    <row r="982" spans="1:9" x14ac:dyDescent="0.25">
      <c r="A982" s="10" t="s">
        <v>1012</v>
      </c>
      <c r="B982" t="str">
        <f>VLOOKUP(Customer_Names!A982,Customer_Names!$1:$1048576,4,FALSE)</f>
        <v>Graham</v>
      </c>
      <c r="C982">
        <f>VLOOKUP(Medical_Examinations_2[[#This Row],[Customer ID]],Medical_Examinations!$1:$1048576,2,FALSE)</f>
        <v>34.01</v>
      </c>
      <c r="D982">
        <f>VLOOKUP(Medical_Examinations_2[[#This Row],[Customer ID]],Medical_Examinations!$1:$1048576,4,FALSE)</f>
        <v>11.3</v>
      </c>
      <c r="H982" t="str">
        <f>VLOOKUP(Medical_Examinations_2[[#This Row],[Customer ID]],Medical_Examinations!$1:$1048576,9,FALSE)</f>
        <v>No major surgery</v>
      </c>
      <c r="I982" t="str">
        <f>VLOOKUP(Medical_Examinations_2[[#This Row],[Customer ID]],Medical_Examinations!$1:$1048576,11,FALSE)</f>
        <v>No</v>
      </c>
    </row>
    <row r="983" spans="1:9" x14ac:dyDescent="0.25">
      <c r="A983" s="11" t="s">
        <v>1013</v>
      </c>
      <c r="B983" t="str">
        <f>VLOOKUP(Customer_Names!A983,Customer_Names!$1:$1048576,4,FALSE)</f>
        <v>Garrett</v>
      </c>
      <c r="C983">
        <f>VLOOKUP(Medical_Examinations_2[[#This Row],[Customer ID]],Medical_Examinations!$1:$1048576,2,FALSE)</f>
        <v>31.54</v>
      </c>
      <c r="D983">
        <f>VLOOKUP(Medical_Examinations_2[[#This Row],[Customer ID]],Medical_Examinations!$1:$1048576,4,FALSE)</f>
        <v>6.72</v>
      </c>
      <c r="H983" t="str">
        <f>VLOOKUP(Medical_Examinations_2[[#This Row],[Customer ID]],Medical_Examinations!$1:$1048576,9,FALSE)</f>
        <v>No major surgery</v>
      </c>
      <c r="I983" t="str">
        <f>VLOOKUP(Medical_Examinations_2[[#This Row],[Customer ID]],Medical_Examinations!$1:$1048576,11,FALSE)</f>
        <v>No</v>
      </c>
    </row>
    <row r="984" spans="1:9" x14ac:dyDescent="0.25">
      <c r="A984" s="10" t="s">
        <v>1014</v>
      </c>
      <c r="B984" t="str">
        <f>VLOOKUP(Customer_Names!A984,Customer_Names!$1:$1048576,4,FALSE)</f>
        <v>Andrew</v>
      </c>
      <c r="C984">
        <f>VLOOKUP(Medical_Examinations_2[[#This Row],[Customer ID]],Medical_Examinations!$1:$1048576,2,FALSE)</f>
        <v>23.3</v>
      </c>
      <c r="D984">
        <f>VLOOKUP(Medical_Examinations_2[[#This Row],[Customer ID]],Medical_Examinations!$1:$1048576,4,FALSE)</f>
        <v>5.36</v>
      </c>
      <c r="H984">
        <f>VLOOKUP(Medical_Examinations_2[[#This Row],[Customer ID]],Medical_Examinations!$1:$1048576,9,FALSE)</f>
        <v>1</v>
      </c>
      <c r="I984" t="str">
        <f>VLOOKUP(Medical_Examinations_2[[#This Row],[Customer ID]],Medical_Examinations!$1:$1048576,11,FALSE)</f>
        <v>No</v>
      </c>
    </row>
    <row r="985" spans="1:9" x14ac:dyDescent="0.25">
      <c r="A985" s="11" t="s">
        <v>1015</v>
      </c>
      <c r="B985" t="str">
        <f>VLOOKUP(Customer_Names!A985,Customer_Names!$1:$1048576,4,FALSE)</f>
        <v>Annabelle M</v>
      </c>
      <c r="C985">
        <f>VLOOKUP(Medical_Examinations_2[[#This Row],[Customer ID]],Medical_Examinations!$1:$1048576,2,FALSE)</f>
        <v>27.75</v>
      </c>
      <c r="D985">
        <f>VLOOKUP(Medical_Examinations_2[[#This Row],[Customer ID]],Medical_Examinations!$1:$1048576,4,FALSE)</f>
        <v>9.8800000000000008</v>
      </c>
      <c r="H985" t="str">
        <f>VLOOKUP(Medical_Examinations_2[[#This Row],[Customer ID]],Medical_Examinations!$1:$1048576,9,FALSE)</f>
        <v>No major surgery</v>
      </c>
      <c r="I985" t="str">
        <f>VLOOKUP(Medical_Examinations_2[[#This Row],[Customer ID]],Medical_Examinations!$1:$1048576,11,FALSE)</f>
        <v>No</v>
      </c>
    </row>
    <row r="986" spans="1:9" x14ac:dyDescent="0.25">
      <c r="A986" s="10" t="s">
        <v>1016</v>
      </c>
      <c r="B986" t="str">
        <f>VLOOKUP(Customer_Names!A986,Customer_Names!$1:$1048576,4,FALSE)</f>
        <v>Daniel T.</v>
      </c>
      <c r="C986">
        <f>VLOOKUP(Medical_Examinations_2[[#This Row],[Customer ID]],Medical_Examinations!$1:$1048576,2,FALSE)</f>
        <v>42.46</v>
      </c>
      <c r="D986">
        <f>VLOOKUP(Medical_Examinations_2[[#This Row],[Customer ID]],Medical_Examinations!$1:$1048576,4,FALSE)</f>
        <v>4.1100000000000003</v>
      </c>
      <c r="H986" t="str">
        <f>VLOOKUP(Medical_Examinations_2[[#This Row],[Customer ID]],Medical_Examinations!$1:$1048576,9,FALSE)</f>
        <v>No major surgery</v>
      </c>
      <c r="I986" t="str">
        <f>VLOOKUP(Medical_Examinations_2[[#This Row],[Customer ID]],Medical_Examinations!$1:$1048576,11,FALSE)</f>
        <v>No</v>
      </c>
    </row>
    <row r="987" spans="1:9" x14ac:dyDescent="0.25">
      <c r="A987" s="11" t="s">
        <v>1017</v>
      </c>
      <c r="B987" t="str">
        <f>VLOOKUP(Customer_Names!A987,Customer_Names!$1:$1048576,4,FALSE)</f>
        <v>Deanne</v>
      </c>
      <c r="C987">
        <f>VLOOKUP(Medical_Examinations_2[[#This Row],[Customer ID]],Medical_Examinations!$1:$1048576,2,FALSE)</f>
        <v>54.47</v>
      </c>
      <c r="D987">
        <f>VLOOKUP(Medical_Examinations_2[[#This Row],[Customer ID]],Medical_Examinations!$1:$1048576,4,FALSE)</f>
        <v>7.48</v>
      </c>
      <c r="H987" t="str">
        <f>VLOOKUP(Medical_Examinations_2[[#This Row],[Customer ID]],Medical_Examinations!$1:$1048576,9,FALSE)</f>
        <v>No major surgery</v>
      </c>
      <c r="I987" t="str">
        <f>VLOOKUP(Medical_Examinations_2[[#This Row],[Customer ID]],Medical_Examinations!$1:$1048576,11,FALSE)</f>
        <v>No</v>
      </c>
    </row>
    <row r="988" spans="1:9" x14ac:dyDescent="0.25">
      <c r="A988" s="10" t="s">
        <v>1018</v>
      </c>
      <c r="B988" t="str">
        <f>VLOOKUP(Customer_Names!A988,Customer_Names!$1:$1048576,4,FALSE)</f>
        <v>Carrie</v>
      </c>
      <c r="C988">
        <f>VLOOKUP(Medical_Examinations_2[[#This Row],[Customer ID]],Medical_Examinations!$1:$1048576,2,FALSE)</f>
        <v>24.93</v>
      </c>
      <c r="D988">
        <f>VLOOKUP(Medical_Examinations_2[[#This Row],[Customer ID]],Medical_Examinations!$1:$1048576,4,FALSE)</f>
        <v>9.18</v>
      </c>
      <c r="H988">
        <f>VLOOKUP(Medical_Examinations_2[[#This Row],[Customer ID]],Medical_Examinations!$1:$1048576,9,FALSE)</f>
        <v>1</v>
      </c>
      <c r="I988" t="str">
        <f>VLOOKUP(Medical_Examinations_2[[#This Row],[Customer ID]],Medical_Examinations!$1:$1048576,11,FALSE)</f>
        <v>No</v>
      </c>
    </row>
    <row r="989" spans="1:9" x14ac:dyDescent="0.25">
      <c r="A989" s="11" t="s">
        <v>1019</v>
      </c>
      <c r="B989" t="str">
        <f>VLOOKUP(Customer_Names!A989,Customer_Names!$1:$1048576,4,FALSE)</f>
        <v>Suzanne</v>
      </c>
      <c r="C989">
        <f>VLOOKUP(Medical_Examinations_2[[#This Row],[Customer ID]],Medical_Examinations!$1:$1048576,2,FALSE)</f>
        <v>48.12</v>
      </c>
      <c r="D989">
        <f>VLOOKUP(Medical_Examinations_2[[#This Row],[Customer ID]],Medical_Examinations!$1:$1048576,4,FALSE)</f>
        <v>4.51</v>
      </c>
      <c r="H989">
        <f>VLOOKUP(Medical_Examinations_2[[#This Row],[Customer ID]],Medical_Examinations!$1:$1048576,9,FALSE)</f>
        <v>1</v>
      </c>
      <c r="I989" t="str">
        <f>VLOOKUP(Medical_Examinations_2[[#This Row],[Customer ID]],Medical_Examinations!$1:$1048576,11,FALSE)</f>
        <v>No</v>
      </c>
    </row>
    <row r="990" spans="1:9" x14ac:dyDescent="0.25">
      <c r="A990" s="10" t="s">
        <v>1020</v>
      </c>
      <c r="B990" t="str">
        <f>VLOOKUP(Customer_Names!A990,Customer_Names!$1:$1048576,4,FALSE)</f>
        <v>Jasmine P.</v>
      </c>
      <c r="C990">
        <f>VLOOKUP(Medical_Examinations_2[[#This Row],[Customer ID]],Medical_Examinations!$1:$1048576,2,FALSE)</f>
        <v>24.91</v>
      </c>
      <c r="D990">
        <f>VLOOKUP(Medical_Examinations_2[[#This Row],[Customer ID]],Medical_Examinations!$1:$1048576,4,FALSE)</f>
        <v>7.33</v>
      </c>
      <c r="H990">
        <f>VLOOKUP(Medical_Examinations_2[[#This Row],[Customer ID]],Medical_Examinations!$1:$1048576,9,FALSE)</f>
        <v>1</v>
      </c>
      <c r="I990" t="str">
        <f>VLOOKUP(Medical_Examinations_2[[#This Row],[Customer ID]],Medical_Examinations!$1:$1048576,11,FALSE)</f>
        <v>No</v>
      </c>
    </row>
    <row r="991" spans="1:9" x14ac:dyDescent="0.25">
      <c r="A991" s="11" t="s">
        <v>1021</v>
      </c>
      <c r="H991" t="str">
        <f>VLOOKUP(Medical_Examinations_2[[#This Row],[Customer ID]],Medical_Examinations!$1:$1048576,9,FALSE)</f>
        <v>No major surgery</v>
      </c>
      <c r="I991" t="str">
        <f>VLOOKUP(Medical_Examinations_2[[#This Row],[Customer ID]],Medical_Examinations!$1:$1048576,11,FALSE)</f>
        <v>No</v>
      </c>
    </row>
    <row r="992" spans="1:9" x14ac:dyDescent="0.25">
      <c r="A992" s="10" t="s">
        <v>1022</v>
      </c>
      <c r="H992">
        <f>VLOOKUP(Medical_Examinations_2[[#This Row],[Customer ID]],Medical_Examinations!$1:$1048576,9,FALSE)</f>
        <v>2</v>
      </c>
      <c r="I992" t="str">
        <f>VLOOKUP(Medical_Examinations_2[[#This Row],[Customer ID]],Medical_Examinations!$1:$1048576,11,FALSE)</f>
        <v>No</v>
      </c>
    </row>
    <row r="993" spans="1:9" x14ac:dyDescent="0.25">
      <c r="A993" s="11" t="s">
        <v>1023</v>
      </c>
      <c r="H993">
        <f>VLOOKUP(Medical_Examinations_2[[#This Row],[Customer ID]],Medical_Examinations!$1:$1048576,9,FALSE)</f>
        <v>1</v>
      </c>
      <c r="I993" t="str">
        <f>VLOOKUP(Medical_Examinations_2[[#This Row],[Customer ID]],Medical_Examinations!$1:$1048576,11,FALSE)</f>
        <v>No</v>
      </c>
    </row>
    <row r="994" spans="1:9" x14ac:dyDescent="0.25">
      <c r="A994" s="10" t="s">
        <v>1024</v>
      </c>
      <c r="H994">
        <f>VLOOKUP(Medical_Examinations_2[[#This Row],[Customer ID]],Medical_Examinations!$1:$1048576,9,FALSE)</f>
        <v>2</v>
      </c>
      <c r="I994" t="str">
        <f>VLOOKUP(Medical_Examinations_2[[#This Row],[Customer ID]],Medical_Examinations!$1:$1048576,11,FALSE)</f>
        <v>No</v>
      </c>
    </row>
    <row r="995" spans="1:9" x14ac:dyDescent="0.25">
      <c r="A995" s="11" t="s">
        <v>1025</v>
      </c>
      <c r="H995" t="str">
        <f>VLOOKUP(Medical_Examinations_2[[#This Row],[Customer ID]],Medical_Examinations!$1:$1048576,9,FALSE)</f>
        <v>No major surgery</v>
      </c>
      <c r="I995" t="str">
        <f>VLOOKUP(Medical_Examinations_2[[#This Row],[Customer ID]],Medical_Examinations!$1:$1048576,11,FALSE)</f>
        <v>No</v>
      </c>
    </row>
    <row r="996" spans="1:9" x14ac:dyDescent="0.25">
      <c r="A996" s="10" t="s">
        <v>1026</v>
      </c>
      <c r="H996">
        <f>VLOOKUP(Medical_Examinations_2[[#This Row],[Customer ID]],Medical_Examinations!$1:$1048576,9,FALSE)</f>
        <v>1</v>
      </c>
      <c r="I996" t="str">
        <f>VLOOKUP(Medical_Examinations_2[[#This Row],[Customer ID]],Medical_Examinations!$1:$1048576,11,FALSE)</f>
        <v>No</v>
      </c>
    </row>
    <row r="997" spans="1:9" x14ac:dyDescent="0.25">
      <c r="A997" s="11" t="s">
        <v>1027</v>
      </c>
      <c r="H997" t="str">
        <f>VLOOKUP(Medical_Examinations_2[[#This Row],[Customer ID]],Medical_Examinations!$1:$1048576,9,FALSE)</f>
        <v>No major surgery</v>
      </c>
      <c r="I997" t="str">
        <f>VLOOKUP(Medical_Examinations_2[[#This Row],[Customer ID]],Medical_Examinations!$1:$1048576,11,FALSE)</f>
        <v>No</v>
      </c>
    </row>
    <row r="998" spans="1:9" x14ac:dyDescent="0.25">
      <c r="A998" s="10" t="s">
        <v>1028</v>
      </c>
      <c r="H998">
        <f>VLOOKUP(Medical_Examinations_2[[#This Row],[Customer ID]],Medical_Examinations!$1:$1048576,9,FALSE)</f>
        <v>1</v>
      </c>
      <c r="I998" t="str">
        <f>VLOOKUP(Medical_Examinations_2[[#This Row],[Customer ID]],Medical_Examinations!$1:$1048576,11,FALSE)</f>
        <v>No</v>
      </c>
    </row>
    <row r="999" spans="1:9" x14ac:dyDescent="0.25">
      <c r="A999" s="11" t="s">
        <v>1029</v>
      </c>
      <c r="H999" t="str">
        <f>VLOOKUP(Medical_Examinations_2[[#This Row],[Customer ID]],Medical_Examinations!$1:$1048576,9,FALSE)</f>
        <v>No major surgery</v>
      </c>
      <c r="I999" t="str">
        <f>VLOOKUP(Medical_Examinations_2[[#This Row],[Customer ID]],Medical_Examinations!$1:$1048576,11,FALSE)</f>
        <v>No</v>
      </c>
    </row>
    <row r="1000" spans="1:9" x14ac:dyDescent="0.25">
      <c r="A1000" s="10" t="s">
        <v>1030</v>
      </c>
      <c r="H1000">
        <f>VLOOKUP(Medical_Examinations_2[[#This Row],[Customer ID]],Medical_Examinations!$1:$1048576,9,FALSE)</f>
        <v>1</v>
      </c>
      <c r="I1000" t="str">
        <f>VLOOKUP(Medical_Examinations_2[[#This Row],[Customer ID]],Medical_Examinations!$1:$1048576,11,FALSE)</f>
        <v>No</v>
      </c>
    </row>
    <row r="1001" spans="1:9" x14ac:dyDescent="0.25">
      <c r="A1001" s="11" t="s">
        <v>1031</v>
      </c>
      <c r="H1001" t="str">
        <f>VLOOKUP(Medical_Examinations_2[[#This Row],[Customer ID]],Medical_Examinations!$1:$1048576,9,FALSE)</f>
        <v>No major surgery</v>
      </c>
      <c r="I1001" t="str">
        <f>VLOOKUP(Medical_Examinations_2[[#This Row],[Customer ID]],Medical_Examinations!$1:$1048576,11,FALSE)</f>
        <v>No</v>
      </c>
    </row>
    <row r="1002" spans="1:9" x14ac:dyDescent="0.25">
      <c r="A1002" s="10" t="s">
        <v>1032</v>
      </c>
      <c r="H1002">
        <f>VLOOKUP(Medical_Examinations_2[[#This Row],[Customer ID]],Medical_Examinations!$1:$1048576,9,FALSE)</f>
        <v>1</v>
      </c>
      <c r="I1002" t="str">
        <f>VLOOKUP(Medical_Examinations_2[[#This Row],[Customer ID]],Medical_Examinations!$1:$1048576,11,FALSE)</f>
        <v>No</v>
      </c>
    </row>
    <row r="1003" spans="1:9" x14ac:dyDescent="0.25">
      <c r="A1003" s="11" t="s">
        <v>1033</v>
      </c>
      <c r="H1003" t="str">
        <f>VLOOKUP(Medical_Examinations_2[[#This Row],[Customer ID]],Medical_Examinations!$1:$1048576,9,FALSE)</f>
        <v>No major surgery</v>
      </c>
      <c r="I1003" t="str">
        <f>VLOOKUP(Medical_Examinations_2[[#This Row],[Customer ID]],Medical_Examinations!$1:$1048576,11,FALSE)</f>
        <v>No</v>
      </c>
    </row>
    <row r="1004" spans="1:9" x14ac:dyDescent="0.25">
      <c r="A1004" s="10" t="s">
        <v>1034</v>
      </c>
      <c r="H1004">
        <f>VLOOKUP(Medical_Examinations_2[[#This Row],[Customer ID]],Medical_Examinations!$1:$1048576,9,FALSE)</f>
        <v>2</v>
      </c>
      <c r="I1004" t="str">
        <f>VLOOKUP(Medical_Examinations_2[[#This Row],[Customer ID]],Medical_Examinations!$1:$1048576,11,FALSE)</f>
        <v>No</v>
      </c>
    </row>
    <row r="1005" spans="1:9" x14ac:dyDescent="0.25">
      <c r="A1005" s="11" t="s">
        <v>1035</v>
      </c>
      <c r="H1005">
        <f>VLOOKUP(Medical_Examinations_2[[#This Row],[Customer ID]],Medical_Examinations!$1:$1048576,9,FALSE)</f>
        <v>2</v>
      </c>
      <c r="I1005" t="str">
        <f>VLOOKUP(Medical_Examinations_2[[#This Row],[Customer ID]],Medical_Examinations!$1:$1048576,11,FALSE)</f>
        <v>No</v>
      </c>
    </row>
    <row r="1006" spans="1:9" x14ac:dyDescent="0.25">
      <c r="A1006" s="10" t="s">
        <v>1036</v>
      </c>
      <c r="H1006">
        <f>VLOOKUP(Medical_Examinations_2[[#This Row],[Customer ID]],Medical_Examinations!$1:$1048576,9,FALSE)</f>
        <v>2</v>
      </c>
      <c r="I1006" t="str">
        <f>VLOOKUP(Medical_Examinations_2[[#This Row],[Customer ID]],Medical_Examinations!$1:$1048576,11,FALSE)</f>
        <v>No</v>
      </c>
    </row>
    <row r="1007" spans="1:9" x14ac:dyDescent="0.25">
      <c r="A1007" s="11" t="s">
        <v>1037</v>
      </c>
      <c r="H1007">
        <f>VLOOKUP(Medical_Examinations_2[[#This Row],[Customer ID]],Medical_Examinations!$1:$1048576,9,FALSE)</f>
        <v>1</v>
      </c>
      <c r="I1007" t="str">
        <f>VLOOKUP(Medical_Examinations_2[[#This Row],[Customer ID]],Medical_Examinations!$1:$1048576,11,FALSE)</f>
        <v>No</v>
      </c>
    </row>
    <row r="1008" spans="1:9" x14ac:dyDescent="0.25">
      <c r="A1008" s="10" t="s">
        <v>1038</v>
      </c>
      <c r="H1008">
        <f>VLOOKUP(Medical_Examinations_2[[#This Row],[Customer ID]],Medical_Examinations!$1:$1048576,9,FALSE)</f>
        <v>1</v>
      </c>
      <c r="I1008" t="str">
        <f>VLOOKUP(Medical_Examinations_2[[#This Row],[Customer ID]],Medical_Examinations!$1:$1048576,11,FALSE)</f>
        <v>No</v>
      </c>
    </row>
    <row r="1009" spans="1:9" x14ac:dyDescent="0.25">
      <c r="A1009" s="11" t="s">
        <v>1039</v>
      </c>
      <c r="H1009" t="str">
        <f>VLOOKUP(Medical_Examinations_2[[#This Row],[Customer ID]],Medical_Examinations!$1:$1048576,9,FALSE)</f>
        <v>No major surgery</v>
      </c>
      <c r="I1009" t="str">
        <f>VLOOKUP(Medical_Examinations_2[[#This Row],[Customer ID]],Medical_Examinations!$1:$1048576,11,FALSE)</f>
        <v>No</v>
      </c>
    </row>
    <row r="1010" spans="1:9" x14ac:dyDescent="0.25">
      <c r="A1010" s="10" t="s">
        <v>1040</v>
      </c>
      <c r="H1010">
        <f>VLOOKUP(Medical_Examinations_2[[#This Row],[Customer ID]],Medical_Examinations!$1:$1048576,9,FALSE)</f>
        <v>2</v>
      </c>
      <c r="I1010" t="str">
        <f>VLOOKUP(Medical_Examinations_2[[#This Row],[Customer ID]],Medical_Examinations!$1:$1048576,11,FALSE)</f>
        <v>No</v>
      </c>
    </row>
    <row r="1011" spans="1:9" x14ac:dyDescent="0.25">
      <c r="A1011" s="11" t="s">
        <v>1041</v>
      </c>
      <c r="H1011">
        <f>VLOOKUP(Medical_Examinations_2[[#This Row],[Customer ID]],Medical_Examinations!$1:$1048576,9,FALSE)</f>
        <v>2</v>
      </c>
      <c r="I1011" t="str">
        <f>VLOOKUP(Medical_Examinations_2[[#This Row],[Customer ID]],Medical_Examinations!$1:$1048576,11,FALSE)</f>
        <v>No</v>
      </c>
    </row>
    <row r="1012" spans="1:9" x14ac:dyDescent="0.25">
      <c r="A1012" s="10" t="s">
        <v>1042</v>
      </c>
      <c r="H1012">
        <f>VLOOKUP(Medical_Examinations_2[[#This Row],[Customer ID]],Medical_Examinations!$1:$1048576,9,FALSE)</f>
        <v>2</v>
      </c>
      <c r="I1012" t="str">
        <f>VLOOKUP(Medical_Examinations_2[[#This Row],[Customer ID]],Medical_Examinations!$1:$1048576,11,FALSE)</f>
        <v>No</v>
      </c>
    </row>
    <row r="1013" spans="1:9" x14ac:dyDescent="0.25">
      <c r="A1013" s="11" t="s">
        <v>1043</v>
      </c>
      <c r="H1013" t="str">
        <f>VLOOKUP(Medical_Examinations_2[[#This Row],[Customer ID]],Medical_Examinations!$1:$1048576,9,FALSE)</f>
        <v>No major surgery</v>
      </c>
      <c r="I1013" t="str">
        <f>VLOOKUP(Medical_Examinations_2[[#This Row],[Customer ID]],Medical_Examinations!$1:$1048576,11,FALSE)</f>
        <v>No</v>
      </c>
    </row>
    <row r="1014" spans="1:9" x14ac:dyDescent="0.25">
      <c r="A1014" s="10" t="s">
        <v>1044</v>
      </c>
      <c r="H1014">
        <f>VLOOKUP(Medical_Examinations_2[[#This Row],[Customer ID]],Medical_Examinations!$1:$1048576,9,FALSE)</f>
        <v>2</v>
      </c>
      <c r="I1014" t="str">
        <f>VLOOKUP(Medical_Examinations_2[[#This Row],[Customer ID]],Medical_Examinations!$1:$1048576,11,FALSE)</f>
        <v>No</v>
      </c>
    </row>
    <row r="1015" spans="1:9" x14ac:dyDescent="0.25">
      <c r="A1015" s="11" t="s">
        <v>1045</v>
      </c>
      <c r="H1015">
        <f>VLOOKUP(Medical_Examinations_2[[#This Row],[Customer ID]],Medical_Examinations!$1:$1048576,9,FALSE)</f>
        <v>2</v>
      </c>
      <c r="I1015" t="str">
        <f>VLOOKUP(Medical_Examinations_2[[#This Row],[Customer ID]],Medical_Examinations!$1:$1048576,11,FALSE)</f>
        <v>No</v>
      </c>
    </row>
    <row r="1016" spans="1:9" x14ac:dyDescent="0.25">
      <c r="A1016" s="10" t="s">
        <v>1046</v>
      </c>
      <c r="H1016" t="str">
        <f>VLOOKUP(Medical_Examinations_2[[#This Row],[Customer ID]],Medical_Examinations!$1:$1048576,9,FALSE)</f>
        <v>No major surgery</v>
      </c>
      <c r="I1016" t="str">
        <f>VLOOKUP(Medical_Examinations_2[[#This Row],[Customer ID]],Medical_Examinations!$1:$1048576,11,FALSE)</f>
        <v>No</v>
      </c>
    </row>
    <row r="1017" spans="1:9" x14ac:dyDescent="0.25">
      <c r="A1017" s="11" t="s">
        <v>1047</v>
      </c>
      <c r="H1017">
        <f>VLOOKUP(Medical_Examinations_2[[#This Row],[Customer ID]],Medical_Examinations!$1:$1048576,9,FALSE)</f>
        <v>2</v>
      </c>
      <c r="I1017" t="str">
        <f>VLOOKUP(Medical_Examinations_2[[#This Row],[Customer ID]],Medical_Examinations!$1:$1048576,11,FALSE)</f>
        <v>No</v>
      </c>
    </row>
    <row r="1018" spans="1:9" x14ac:dyDescent="0.25">
      <c r="A1018" s="10" t="s">
        <v>1048</v>
      </c>
      <c r="H1018" t="str">
        <f>VLOOKUP(Medical_Examinations_2[[#This Row],[Customer ID]],Medical_Examinations!$1:$1048576,9,FALSE)</f>
        <v>No major surgery</v>
      </c>
      <c r="I1018" t="str">
        <f>VLOOKUP(Medical_Examinations_2[[#This Row],[Customer ID]],Medical_Examinations!$1:$1048576,11,FALSE)</f>
        <v>No</v>
      </c>
    </row>
    <row r="1019" spans="1:9" x14ac:dyDescent="0.25">
      <c r="A1019" s="11" t="s">
        <v>1049</v>
      </c>
      <c r="H1019" t="str">
        <f>VLOOKUP(Medical_Examinations_2[[#This Row],[Customer ID]],Medical_Examinations!$1:$1048576,9,FALSE)</f>
        <v>No major surgery</v>
      </c>
      <c r="I1019" t="str">
        <f>VLOOKUP(Medical_Examinations_2[[#This Row],[Customer ID]],Medical_Examinations!$1:$1048576,11,FALSE)</f>
        <v>No</v>
      </c>
    </row>
    <row r="1020" spans="1:9" x14ac:dyDescent="0.25">
      <c r="A1020" s="10" t="s">
        <v>1050</v>
      </c>
      <c r="H1020" t="str">
        <f>VLOOKUP(Medical_Examinations_2[[#This Row],[Customer ID]],Medical_Examinations!$1:$1048576,9,FALSE)</f>
        <v>No major surgery</v>
      </c>
      <c r="I1020" t="str">
        <f>VLOOKUP(Medical_Examinations_2[[#This Row],[Customer ID]],Medical_Examinations!$1:$1048576,11,FALSE)</f>
        <v>No</v>
      </c>
    </row>
    <row r="1021" spans="1:9" x14ac:dyDescent="0.25">
      <c r="A1021" s="11" t="s">
        <v>1051</v>
      </c>
      <c r="H1021" t="str">
        <f>VLOOKUP(Medical_Examinations_2[[#This Row],[Customer ID]],Medical_Examinations!$1:$1048576,9,FALSE)</f>
        <v>No major surgery</v>
      </c>
      <c r="I1021" t="str">
        <f>VLOOKUP(Medical_Examinations_2[[#This Row],[Customer ID]],Medical_Examinations!$1:$1048576,11,FALSE)</f>
        <v>No</v>
      </c>
    </row>
    <row r="1022" spans="1:9" x14ac:dyDescent="0.25">
      <c r="A1022" s="10" t="s">
        <v>1052</v>
      </c>
      <c r="H1022" t="str">
        <f>VLOOKUP(Medical_Examinations_2[[#This Row],[Customer ID]],Medical_Examinations!$1:$1048576,9,FALSE)</f>
        <v>No major surgery</v>
      </c>
      <c r="I1022" t="str">
        <f>VLOOKUP(Medical_Examinations_2[[#This Row],[Customer ID]],Medical_Examinations!$1:$1048576,11,FALSE)</f>
        <v>No</v>
      </c>
    </row>
    <row r="1023" spans="1:9" x14ac:dyDescent="0.25">
      <c r="A1023" s="11" t="s">
        <v>1053</v>
      </c>
      <c r="H1023" t="str">
        <f>VLOOKUP(Medical_Examinations_2[[#This Row],[Customer ID]],Medical_Examinations!$1:$1048576,9,FALSE)</f>
        <v>No major surgery</v>
      </c>
      <c r="I1023" t="str">
        <f>VLOOKUP(Medical_Examinations_2[[#This Row],[Customer ID]],Medical_Examinations!$1:$1048576,11,FALSE)</f>
        <v>No</v>
      </c>
    </row>
    <row r="1024" spans="1:9" x14ac:dyDescent="0.25">
      <c r="A1024" s="10" t="s">
        <v>1054</v>
      </c>
      <c r="H1024" t="str">
        <f>VLOOKUP(Medical_Examinations_2[[#This Row],[Customer ID]],Medical_Examinations!$1:$1048576,9,FALSE)</f>
        <v>No major surgery</v>
      </c>
      <c r="I1024" t="str">
        <f>VLOOKUP(Medical_Examinations_2[[#This Row],[Customer ID]],Medical_Examinations!$1:$1048576,11,FALSE)</f>
        <v>No</v>
      </c>
    </row>
    <row r="1025" spans="1:9" x14ac:dyDescent="0.25">
      <c r="A1025" s="11" t="s">
        <v>1055</v>
      </c>
      <c r="H1025" t="str">
        <f>VLOOKUP(Medical_Examinations_2[[#This Row],[Customer ID]],Medical_Examinations!$1:$1048576,9,FALSE)</f>
        <v>No major surgery</v>
      </c>
      <c r="I1025" t="str">
        <f>VLOOKUP(Medical_Examinations_2[[#This Row],[Customer ID]],Medical_Examinations!$1:$1048576,11,FALSE)</f>
        <v>No</v>
      </c>
    </row>
    <row r="1026" spans="1:9" x14ac:dyDescent="0.25">
      <c r="A1026" s="10" t="s">
        <v>1056</v>
      </c>
      <c r="H1026">
        <f>VLOOKUP(Medical_Examinations_2[[#This Row],[Customer ID]],Medical_Examinations!$1:$1048576,9,FALSE)</f>
        <v>2</v>
      </c>
      <c r="I1026" t="str">
        <f>VLOOKUP(Medical_Examinations_2[[#This Row],[Customer ID]],Medical_Examinations!$1:$1048576,11,FALSE)</f>
        <v>No</v>
      </c>
    </row>
    <row r="1027" spans="1:9" x14ac:dyDescent="0.25">
      <c r="A1027" s="11" t="s">
        <v>1057</v>
      </c>
      <c r="H1027" t="str">
        <f>VLOOKUP(Medical_Examinations_2[[#This Row],[Customer ID]],Medical_Examinations!$1:$1048576,9,FALSE)</f>
        <v>No major surgery</v>
      </c>
      <c r="I1027" t="str">
        <f>VLOOKUP(Medical_Examinations_2[[#This Row],[Customer ID]],Medical_Examinations!$1:$1048576,11,FALSE)</f>
        <v>No</v>
      </c>
    </row>
    <row r="1028" spans="1:9" x14ac:dyDescent="0.25">
      <c r="A1028" s="10" t="s">
        <v>1058</v>
      </c>
      <c r="H1028">
        <f>VLOOKUP(Medical_Examinations_2[[#This Row],[Customer ID]],Medical_Examinations!$1:$1048576,9,FALSE)</f>
        <v>2</v>
      </c>
      <c r="I1028" t="str">
        <f>VLOOKUP(Medical_Examinations_2[[#This Row],[Customer ID]],Medical_Examinations!$1:$1048576,11,FALSE)</f>
        <v>No</v>
      </c>
    </row>
    <row r="1029" spans="1:9" x14ac:dyDescent="0.25">
      <c r="A1029" s="11" t="s">
        <v>1059</v>
      </c>
      <c r="H1029">
        <f>VLOOKUP(Medical_Examinations_2[[#This Row],[Customer ID]],Medical_Examinations!$1:$1048576,9,FALSE)</f>
        <v>2</v>
      </c>
      <c r="I1029" t="str">
        <f>VLOOKUP(Medical_Examinations_2[[#This Row],[Customer ID]],Medical_Examinations!$1:$1048576,11,FALSE)</f>
        <v>No</v>
      </c>
    </row>
    <row r="1030" spans="1:9" x14ac:dyDescent="0.25">
      <c r="A1030" s="10" t="s">
        <v>1060</v>
      </c>
      <c r="H1030" t="str">
        <f>VLOOKUP(Medical_Examinations_2[[#This Row],[Customer ID]],Medical_Examinations!$1:$1048576,9,FALSE)</f>
        <v>No major surgery</v>
      </c>
      <c r="I1030" t="str">
        <f>VLOOKUP(Medical_Examinations_2[[#This Row],[Customer ID]],Medical_Examinations!$1:$1048576,11,FALSE)</f>
        <v>No</v>
      </c>
    </row>
    <row r="1031" spans="1:9" x14ac:dyDescent="0.25">
      <c r="A1031" s="11" t="s">
        <v>1061</v>
      </c>
      <c r="H1031">
        <f>VLOOKUP(Medical_Examinations_2[[#This Row],[Customer ID]],Medical_Examinations!$1:$1048576,9,FALSE)</f>
        <v>1</v>
      </c>
      <c r="I1031" t="str">
        <f>VLOOKUP(Medical_Examinations_2[[#This Row],[Customer ID]],Medical_Examinations!$1:$1048576,11,FALSE)</f>
        <v>No</v>
      </c>
    </row>
    <row r="1032" spans="1:9" x14ac:dyDescent="0.25">
      <c r="A1032" s="10" t="s">
        <v>1062</v>
      </c>
      <c r="H1032" t="str">
        <f>VLOOKUP(Medical_Examinations_2[[#This Row],[Customer ID]],Medical_Examinations!$1:$1048576,9,FALSE)</f>
        <v>No major surgery</v>
      </c>
      <c r="I1032" t="str">
        <f>VLOOKUP(Medical_Examinations_2[[#This Row],[Customer ID]],Medical_Examinations!$1:$1048576,11,FALSE)</f>
        <v>No</v>
      </c>
    </row>
    <row r="1033" spans="1:9" x14ac:dyDescent="0.25">
      <c r="A1033" s="11" t="s">
        <v>1063</v>
      </c>
      <c r="H1033">
        <f>VLOOKUP(Medical_Examinations_2[[#This Row],[Customer ID]],Medical_Examinations!$1:$1048576,9,FALSE)</f>
        <v>1</v>
      </c>
      <c r="I1033" t="str">
        <f>VLOOKUP(Medical_Examinations_2[[#This Row],[Customer ID]],Medical_Examinations!$1:$1048576,11,FALSE)</f>
        <v>No</v>
      </c>
    </row>
    <row r="1034" spans="1:9" x14ac:dyDescent="0.25">
      <c r="A1034" s="10" t="s">
        <v>1064</v>
      </c>
      <c r="H1034" t="str">
        <f>VLOOKUP(Medical_Examinations_2[[#This Row],[Customer ID]],Medical_Examinations!$1:$1048576,9,FALSE)</f>
        <v>No major surgery</v>
      </c>
      <c r="I1034" t="str">
        <f>VLOOKUP(Medical_Examinations_2[[#This Row],[Customer ID]],Medical_Examinations!$1:$1048576,11,FALSE)</f>
        <v>No</v>
      </c>
    </row>
    <row r="1035" spans="1:9" x14ac:dyDescent="0.25">
      <c r="A1035" s="11" t="s">
        <v>1065</v>
      </c>
      <c r="H1035" t="str">
        <f>VLOOKUP(Medical_Examinations_2[[#This Row],[Customer ID]],Medical_Examinations!$1:$1048576,9,FALSE)</f>
        <v>No major surgery</v>
      </c>
      <c r="I1035" t="str">
        <f>VLOOKUP(Medical_Examinations_2[[#This Row],[Customer ID]],Medical_Examinations!$1:$1048576,11,FALSE)</f>
        <v>No</v>
      </c>
    </row>
    <row r="1036" spans="1:9" x14ac:dyDescent="0.25">
      <c r="A1036" s="10" t="s">
        <v>1066</v>
      </c>
      <c r="H1036" t="str">
        <f>VLOOKUP(Medical_Examinations_2[[#This Row],[Customer ID]],Medical_Examinations!$1:$1048576,9,FALSE)</f>
        <v>No major surgery</v>
      </c>
      <c r="I1036" t="str">
        <f>VLOOKUP(Medical_Examinations_2[[#This Row],[Customer ID]],Medical_Examinations!$1:$1048576,11,FALSE)</f>
        <v>No</v>
      </c>
    </row>
    <row r="1037" spans="1:9" x14ac:dyDescent="0.25">
      <c r="A1037" s="11" t="s">
        <v>1067</v>
      </c>
      <c r="H1037" t="str">
        <f>VLOOKUP(Medical_Examinations_2[[#This Row],[Customer ID]],Medical_Examinations!$1:$1048576,9,FALSE)</f>
        <v>No major surgery</v>
      </c>
      <c r="I1037" t="str">
        <f>VLOOKUP(Medical_Examinations_2[[#This Row],[Customer ID]],Medical_Examinations!$1:$1048576,11,FALSE)</f>
        <v>No</v>
      </c>
    </row>
    <row r="1038" spans="1:9" x14ac:dyDescent="0.25">
      <c r="A1038" s="10" t="s">
        <v>1068</v>
      </c>
      <c r="H1038" t="str">
        <f>VLOOKUP(Medical_Examinations_2[[#This Row],[Customer ID]],Medical_Examinations!$1:$1048576,9,FALSE)</f>
        <v>No major surgery</v>
      </c>
      <c r="I1038" t="str">
        <f>VLOOKUP(Medical_Examinations_2[[#This Row],[Customer ID]],Medical_Examinations!$1:$1048576,11,FALSE)</f>
        <v>No</v>
      </c>
    </row>
    <row r="1039" spans="1:9" x14ac:dyDescent="0.25">
      <c r="A1039" s="11" t="s">
        <v>1069</v>
      </c>
      <c r="H1039" t="str">
        <f>VLOOKUP(Medical_Examinations_2[[#This Row],[Customer ID]],Medical_Examinations!$1:$1048576,9,FALSE)</f>
        <v>No major surgery</v>
      </c>
      <c r="I1039" t="str">
        <f>VLOOKUP(Medical_Examinations_2[[#This Row],[Customer ID]],Medical_Examinations!$1:$1048576,11,FALSE)</f>
        <v>No</v>
      </c>
    </row>
    <row r="1040" spans="1:9" x14ac:dyDescent="0.25">
      <c r="A1040" s="10" t="s">
        <v>1070</v>
      </c>
      <c r="H1040">
        <f>VLOOKUP(Medical_Examinations_2[[#This Row],[Customer ID]],Medical_Examinations!$1:$1048576,9,FALSE)</f>
        <v>2</v>
      </c>
      <c r="I1040" t="str">
        <f>VLOOKUP(Medical_Examinations_2[[#This Row],[Customer ID]],Medical_Examinations!$1:$1048576,11,FALSE)</f>
        <v>No</v>
      </c>
    </row>
    <row r="1041" spans="1:9" x14ac:dyDescent="0.25">
      <c r="A1041" s="11" t="s">
        <v>1071</v>
      </c>
      <c r="H1041">
        <f>VLOOKUP(Medical_Examinations_2[[#This Row],[Customer ID]],Medical_Examinations!$1:$1048576,9,FALSE)</f>
        <v>2</v>
      </c>
      <c r="I1041" t="str">
        <f>VLOOKUP(Medical_Examinations_2[[#This Row],[Customer ID]],Medical_Examinations!$1:$1048576,11,FALSE)</f>
        <v>No</v>
      </c>
    </row>
    <row r="1042" spans="1:9" x14ac:dyDescent="0.25">
      <c r="A1042" s="10" t="s">
        <v>1072</v>
      </c>
      <c r="H1042" t="str">
        <f>VLOOKUP(Medical_Examinations_2[[#This Row],[Customer ID]],Medical_Examinations!$1:$1048576,9,FALSE)</f>
        <v>No major surgery</v>
      </c>
      <c r="I1042" t="str">
        <f>VLOOKUP(Medical_Examinations_2[[#This Row],[Customer ID]],Medical_Examinations!$1:$1048576,11,FALSE)</f>
        <v>No</v>
      </c>
    </row>
    <row r="1043" spans="1:9" x14ac:dyDescent="0.25">
      <c r="A1043" s="11" t="s">
        <v>1073</v>
      </c>
      <c r="H1043" t="str">
        <f>VLOOKUP(Medical_Examinations_2[[#This Row],[Customer ID]],Medical_Examinations!$1:$1048576,9,FALSE)</f>
        <v>No major surgery</v>
      </c>
      <c r="I1043" t="str">
        <f>VLOOKUP(Medical_Examinations_2[[#This Row],[Customer ID]],Medical_Examinations!$1:$1048576,11,FALSE)</f>
        <v>No</v>
      </c>
    </row>
    <row r="1044" spans="1:9" x14ac:dyDescent="0.25">
      <c r="A1044" s="10" t="s">
        <v>1074</v>
      </c>
      <c r="H1044" t="str">
        <f>VLOOKUP(Medical_Examinations_2[[#This Row],[Customer ID]],Medical_Examinations!$1:$1048576,9,FALSE)</f>
        <v>No major surgery</v>
      </c>
      <c r="I1044" t="str">
        <f>VLOOKUP(Medical_Examinations_2[[#This Row],[Customer ID]],Medical_Examinations!$1:$1048576,11,FALSE)</f>
        <v>No</v>
      </c>
    </row>
    <row r="1045" spans="1:9" x14ac:dyDescent="0.25">
      <c r="A1045" s="11" t="s">
        <v>1075</v>
      </c>
      <c r="H1045" t="str">
        <f>VLOOKUP(Medical_Examinations_2[[#This Row],[Customer ID]],Medical_Examinations!$1:$1048576,9,FALSE)</f>
        <v>No major surgery</v>
      </c>
      <c r="I1045" t="str">
        <f>VLOOKUP(Medical_Examinations_2[[#This Row],[Customer ID]],Medical_Examinations!$1:$1048576,11,FALSE)</f>
        <v>No</v>
      </c>
    </row>
    <row r="1046" spans="1:9" x14ac:dyDescent="0.25">
      <c r="A1046" s="10" t="s">
        <v>1076</v>
      </c>
      <c r="H1046">
        <f>VLOOKUP(Medical_Examinations_2[[#This Row],[Customer ID]],Medical_Examinations!$1:$1048576,9,FALSE)</f>
        <v>1</v>
      </c>
      <c r="I1046" t="str">
        <f>VLOOKUP(Medical_Examinations_2[[#This Row],[Customer ID]],Medical_Examinations!$1:$1048576,11,FALSE)</f>
        <v>No</v>
      </c>
    </row>
    <row r="1047" spans="1:9" x14ac:dyDescent="0.25">
      <c r="A1047" s="11" t="s">
        <v>1077</v>
      </c>
      <c r="H1047" t="str">
        <f>VLOOKUP(Medical_Examinations_2[[#This Row],[Customer ID]],Medical_Examinations!$1:$1048576,9,FALSE)</f>
        <v>No major surgery</v>
      </c>
      <c r="I1047" t="str">
        <f>VLOOKUP(Medical_Examinations_2[[#This Row],[Customer ID]],Medical_Examinations!$1:$1048576,11,FALSE)</f>
        <v>No</v>
      </c>
    </row>
    <row r="1048" spans="1:9" x14ac:dyDescent="0.25">
      <c r="A1048" s="10" t="s">
        <v>1078</v>
      </c>
      <c r="H1048">
        <f>VLOOKUP(Medical_Examinations_2[[#This Row],[Customer ID]],Medical_Examinations!$1:$1048576,9,FALSE)</f>
        <v>1</v>
      </c>
      <c r="I1048" t="str">
        <f>VLOOKUP(Medical_Examinations_2[[#This Row],[Customer ID]],Medical_Examinations!$1:$1048576,11,FALSE)</f>
        <v>No</v>
      </c>
    </row>
    <row r="1049" spans="1:9" x14ac:dyDescent="0.25">
      <c r="A1049" s="11" t="s">
        <v>1079</v>
      </c>
      <c r="H1049" t="str">
        <f>VLOOKUP(Medical_Examinations_2[[#This Row],[Customer ID]],Medical_Examinations!$1:$1048576,9,FALSE)</f>
        <v>No major surgery</v>
      </c>
      <c r="I1049" t="str">
        <f>VLOOKUP(Medical_Examinations_2[[#This Row],[Customer ID]],Medical_Examinations!$1:$1048576,11,FALSE)</f>
        <v>No</v>
      </c>
    </row>
    <row r="1050" spans="1:9" x14ac:dyDescent="0.25">
      <c r="A1050" s="10" t="s">
        <v>1080</v>
      </c>
      <c r="H1050" t="str">
        <f>VLOOKUP(Medical_Examinations_2[[#This Row],[Customer ID]],Medical_Examinations!$1:$1048576,9,FALSE)</f>
        <v>No major surgery</v>
      </c>
      <c r="I1050" t="str">
        <f>VLOOKUP(Medical_Examinations_2[[#This Row],[Customer ID]],Medical_Examinations!$1:$1048576,11,FALSE)</f>
        <v>No</v>
      </c>
    </row>
    <row r="1051" spans="1:9" x14ac:dyDescent="0.25">
      <c r="A1051" s="11" t="s">
        <v>1081</v>
      </c>
      <c r="H1051">
        <f>VLOOKUP(Medical_Examinations_2[[#This Row],[Customer ID]],Medical_Examinations!$1:$1048576,9,FALSE)</f>
        <v>2</v>
      </c>
      <c r="I1051" t="str">
        <f>VLOOKUP(Medical_Examinations_2[[#This Row],[Customer ID]],Medical_Examinations!$1:$1048576,11,FALSE)</f>
        <v>No</v>
      </c>
    </row>
    <row r="1052" spans="1:9" x14ac:dyDescent="0.25">
      <c r="A1052" s="10" t="s">
        <v>1082</v>
      </c>
      <c r="H1052" t="str">
        <f>VLOOKUP(Medical_Examinations_2[[#This Row],[Customer ID]],Medical_Examinations!$1:$1048576,9,FALSE)</f>
        <v>No major surgery</v>
      </c>
      <c r="I1052" t="str">
        <f>VLOOKUP(Medical_Examinations_2[[#This Row],[Customer ID]],Medical_Examinations!$1:$1048576,11,FALSE)</f>
        <v>No</v>
      </c>
    </row>
    <row r="1053" spans="1:9" x14ac:dyDescent="0.25">
      <c r="A1053" s="11" t="s">
        <v>1083</v>
      </c>
      <c r="H1053" t="str">
        <f>VLOOKUP(Medical_Examinations_2[[#This Row],[Customer ID]],Medical_Examinations!$1:$1048576,9,FALSE)</f>
        <v>No major surgery</v>
      </c>
      <c r="I1053" t="str">
        <f>VLOOKUP(Medical_Examinations_2[[#This Row],[Customer ID]],Medical_Examinations!$1:$1048576,11,FALSE)</f>
        <v>No</v>
      </c>
    </row>
    <row r="1054" spans="1:9" x14ac:dyDescent="0.25">
      <c r="A1054" s="10" t="s">
        <v>1084</v>
      </c>
      <c r="H1054" t="str">
        <f>VLOOKUP(Medical_Examinations_2[[#This Row],[Customer ID]],Medical_Examinations!$1:$1048576,9,FALSE)</f>
        <v>No major surgery</v>
      </c>
      <c r="I1054" t="str">
        <f>VLOOKUP(Medical_Examinations_2[[#This Row],[Customer ID]],Medical_Examinations!$1:$1048576,11,FALSE)</f>
        <v>No</v>
      </c>
    </row>
    <row r="1055" spans="1:9" x14ac:dyDescent="0.25">
      <c r="A1055" s="11" t="s">
        <v>1085</v>
      </c>
      <c r="H1055" t="str">
        <f>VLOOKUP(Medical_Examinations_2[[#This Row],[Customer ID]],Medical_Examinations!$1:$1048576,9,FALSE)</f>
        <v>No major surgery</v>
      </c>
      <c r="I1055" t="str">
        <f>VLOOKUP(Medical_Examinations_2[[#This Row],[Customer ID]],Medical_Examinations!$1:$1048576,11,FALSE)</f>
        <v>No</v>
      </c>
    </row>
    <row r="1056" spans="1:9" x14ac:dyDescent="0.25">
      <c r="A1056" s="10" t="s">
        <v>1086</v>
      </c>
      <c r="H1056">
        <f>VLOOKUP(Medical_Examinations_2[[#This Row],[Customer ID]],Medical_Examinations!$1:$1048576,9,FALSE)</f>
        <v>1</v>
      </c>
      <c r="I1056" t="str">
        <f>VLOOKUP(Medical_Examinations_2[[#This Row],[Customer ID]],Medical_Examinations!$1:$1048576,11,FALSE)</f>
        <v>No</v>
      </c>
    </row>
    <row r="1057" spans="1:9" x14ac:dyDescent="0.25">
      <c r="A1057" s="11" t="s">
        <v>1087</v>
      </c>
      <c r="H1057" t="str">
        <f>VLOOKUP(Medical_Examinations_2[[#This Row],[Customer ID]],Medical_Examinations!$1:$1048576,9,FALSE)</f>
        <v>No major surgery</v>
      </c>
      <c r="I1057" t="str">
        <f>VLOOKUP(Medical_Examinations_2[[#This Row],[Customer ID]],Medical_Examinations!$1:$1048576,11,FALSE)</f>
        <v>No</v>
      </c>
    </row>
    <row r="1058" spans="1:9" x14ac:dyDescent="0.25">
      <c r="A1058" s="10" t="s">
        <v>1088</v>
      </c>
      <c r="H1058">
        <f>VLOOKUP(Medical_Examinations_2[[#This Row],[Customer ID]],Medical_Examinations!$1:$1048576,9,FALSE)</f>
        <v>1</v>
      </c>
      <c r="I1058" t="str">
        <f>VLOOKUP(Medical_Examinations_2[[#This Row],[Customer ID]],Medical_Examinations!$1:$1048576,11,FALSE)</f>
        <v>No</v>
      </c>
    </row>
    <row r="1059" spans="1:9" x14ac:dyDescent="0.25">
      <c r="A1059" s="11" t="s">
        <v>1089</v>
      </c>
      <c r="H1059" t="str">
        <f>VLOOKUP(Medical_Examinations_2[[#This Row],[Customer ID]],Medical_Examinations!$1:$1048576,9,FALSE)</f>
        <v>No major surgery</v>
      </c>
      <c r="I1059" t="str">
        <f>VLOOKUP(Medical_Examinations_2[[#This Row],[Customer ID]],Medical_Examinations!$1:$1048576,11,FALSE)</f>
        <v>No</v>
      </c>
    </row>
    <row r="1060" spans="1:9" x14ac:dyDescent="0.25">
      <c r="A1060" s="10" t="s">
        <v>1090</v>
      </c>
      <c r="H1060">
        <f>VLOOKUP(Medical_Examinations_2[[#This Row],[Customer ID]],Medical_Examinations!$1:$1048576,9,FALSE)</f>
        <v>2</v>
      </c>
      <c r="I1060" t="str">
        <f>VLOOKUP(Medical_Examinations_2[[#This Row],[Customer ID]],Medical_Examinations!$1:$1048576,11,FALSE)</f>
        <v>No</v>
      </c>
    </row>
    <row r="1061" spans="1:9" x14ac:dyDescent="0.25">
      <c r="A1061" s="11" t="s">
        <v>1091</v>
      </c>
      <c r="H1061" t="str">
        <f>VLOOKUP(Medical_Examinations_2[[#This Row],[Customer ID]],Medical_Examinations!$1:$1048576,9,FALSE)</f>
        <v>No major surgery</v>
      </c>
      <c r="I1061" t="str">
        <f>VLOOKUP(Medical_Examinations_2[[#This Row],[Customer ID]],Medical_Examinations!$1:$1048576,11,FALSE)</f>
        <v>No</v>
      </c>
    </row>
    <row r="1062" spans="1:9" x14ac:dyDescent="0.25">
      <c r="A1062" s="10" t="s">
        <v>1092</v>
      </c>
      <c r="H1062">
        <f>VLOOKUP(Medical_Examinations_2[[#This Row],[Customer ID]],Medical_Examinations!$1:$1048576,9,FALSE)</f>
        <v>2</v>
      </c>
      <c r="I1062" t="str">
        <f>VLOOKUP(Medical_Examinations_2[[#This Row],[Customer ID]],Medical_Examinations!$1:$1048576,11,FALSE)</f>
        <v>No</v>
      </c>
    </row>
    <row r="1063" spans="1:9" x14ac:dyDescent="0.25">
      <c r="A1063" s="11" t="s">
        <v>1093</v>
      </c>
      <c r="H1063">
        <f>VLOOKUP(Medical_Examinations_2[[#This Row],[Customer ID]],Medical_Examinations!$1:$1048576,9,FALSE)</f>
        <v>2</v>
      </c>
      <c r="I1063" t="str">
        <f>VLOOKUP(Medical_Examinations_2[[#This Row],[Customer ID]],Medical_Examinations!$1:$1048576,11,FALSE)</f>
        <v>No</v>
      </c>
    </row>
    <row r="1064" spans="1:9" x14ac:dyDescent="0.25">
      <c r="A1064" s="10" t="s">
        <v>1094</v>
      </c>
      <c r="H1064" t="str">
        <f>VLOOKUP(Medical_Examinations_2[[#This Row],[Customer ID]],Medical_Examinations!$1:$1048576,9,FALSE)</f>
        <v>No major surgery</v>
      </c>
      <c r="I1064" t="str">
        <f>VLOOKUP(Medical_Examinations_2[[#This Row],[Customer ID]],Medical_Examinations!$1:$1048576,11,FALSE)</f>
        <v>No</v>
      </c>
    </row>
    <row r="1065" spans="1:9" x14ac:dyDescent="0.25">
      <c r="A1065" s="11" t="s">
        <v>1095</v>
      </c>
      <c r="H1065">
        <f>VLOOKUP(Medical_Examinations_2[[#This Row],[Customer ID]],Medical_Examinations!$1:$1048576,9,FALSE)</f>
        <v>2</v>
      </c>
      <c r="I1065" t="str">
        <f>VLOOKUP(Medical_Examinations_2[[#This Row],[Customer ID]],Medical_Examinations!$1:$1048576,11,FALSE)</f>
        <v>No</v>
      </c>
    </row>
    <row r="1066" spans="1:9" x14ac:dyDescent="0.25">
      <c r="A1066" s="10" t="s">
        <v>1096</v>
      </c>
      <c r="H1066">
        <f>VLOOKUP(Medical_Examinations_2[[#This Row],[Customer ID]],Medical_Examinations!$1:$1048576,9,FALSE)</f>
        <v>1</v>
      </c>
      <c r="I1066" t="str">
        <f>VLOOKUP(Medical_Examinations_2[[#This Row],[Customer ID]],Medical_Examinations!$1:$1048576,11,FALSE)</f>
        <v>No</v>
      </c>
    </row>
    <row r="1067" spans="1:9" x14ac:dyDescent="0.25">
      <c r="A1067" s="11" t="s">
        <v>1097</v>
      </c>
      <c r="H1067">
        <f>VLOOKUP(Medical_Examinations_2[[#This Row],[Customer ID]],Medical_Examinations!$1:$1048576,9,FALSE)</f>
        <v>2</v>
      </c>
      <c r="I1067" t="str">
        <f>VLOOKUP(Medical_Examinations_2[[#This Row],[Customer ID]],Medical_Examinations!$1:$1048576,11,FALSE)</f>
        <v>No</v>
      </c>
    </row>
    <row r="1068" spans="1:9" x14ac:dyDescent="0.25">
      <c r="A1068" s="10" t="s">
        <v>1098</v>
      </c>
      <c r="H1068">
        <f>VLOOKUP(Medical_Examinations_2[[#This Row],[Customer ID]],Medical_Examinations!$1:$1048576,9,FALSE)</f>
        <v>1</v>
      </c>
      <c r="I1068" t="str">
        <f>VLOOKUP(Medical_Examinations_2[[#This Row],[Customer ID]],Medical_Examinations!$1:$1048576,11,FALSE)</f>
        <v>No</v>
      </c>
    </row>
    <row r="1069" spans="1:9" x14ac:dyDescent="0.25">
      <c r="A1069" s="11" t="s">
        <v>1099</v>
      </c>
      <c r="H1069" t="str">
        <f>VLOOKUP(Medical_Examinations_2[[#This Row],[Customer ID]],Medical_Examinations!$1:$1048576,9,FALSE)</f>
        <v>No major surgery</v>
      </c>
      <c r="I1069" t="str">
        <f>VLOOKUP(Medical_Examinations_2[[#This Row],[Customer ID]],Medical_Examinations!$1:$1048576,11,FALSE)</f>
        <v>No</v>
      </c>
    </row>
    <row r="1070" spans="1:9" x14ac:dyDescent="0.25">
      <c r="A1070" s="10" t="s">
        <v>1100</v>
      </c>
      <c r="H1070" t="str">
        <f>VLOOKUP(Medical_Examinations_2[[#This Row],[Customer ID]],Medical_Examinations!$1:$1048576,9,FALSE)</f>
        <v>No major surgery</v>
      </c>
      <c r="I1070" t="str">
        <f>VLOOKUP(Medical_Examinations_2[[#This Row],[Customer ID]],Medical_Examinations!$1:$1048576,11,FALSE)</f>
        <v>No</v>
      </c>
    </row>
    <row r="1071" spans="1:9" x14ac:dyDescent="0.25">
      <c r="A1071" s="11" t="s">
        <v>1101</v>
      </c>
      <c r="H1071" t="str">
        <f>VLOOKUP(Medical_Examinations_2[[#This Row],[Customer ID]],Medical_Examinations!$1:$1048576,9,FALSE)</f>
        <v>No major surgery</v>
      </c>
      <c r="I1071" t="str">
        <f>VLOOKUP(Medical_Examinations_2[[#This Row],[Customer ID]],Medical_Examinations!$1:$1048576,11,FALSE)</f>
        <v>No</v>
      </c>
    </row>
    <row r="1072" spans="1:9" x14ac:dyDescent="0.25">
      <c r="A1072" s="10" t="s">
        <v>1102</v>
      </c>
      <c r="H1072">
        <f>VLOOKUP(Medical_Examinations_2[[#This Row],[Customer ID]],Medical_Examinations!$1:$1048576,9,FALSE)</f>
        <v>2</v>
      </c>
      <c r="I1072" t="str">
        <f>VLOOKUP(Medical_Examinations_2[[#This Row],[Customer ID]],Medical_Examinations!$1:$1048576,11,FALSE)</f>
        <v>No</v>
      </c>
    </row>
    <row r="1073" spans="1:9" x14ac:dyDescent="0.25">
      <c r="A1073" s="11" t="s">
        <v>1103</v>
      </c>
      <c r="H1073" t="str">
        <f>VLOOKUP(Medical_Examinations_2[[#This Row],[Customer ID]],Medical_Examinations!$1:$1048576,9,FALSE)</f>
        <v>No major surgery</v>
      </c>
      <c r="I1073" t="str">
        <f>VLOOKUP(Medical_Examinations_2[[#This Row],[Customer ID]],Medical_Examinations!$1:$1048576,11,FALSE)</f>
        <v>No</v>
      </c>
    </row>
    <row r="1074" spans="1:9" x14ac:dyDescent="0.25">
      <c r="A1074" s="10" t="s">
        <v>1104</v>
      </c>
      <c r="H1074">
        <f>VLOOKUP(Medical_Examinations_2[[#This Row],[Customer ID]],Medical_Examinations!$1:$1048576,9,FALSE)</f>
        <v>1</v>
      </c>
      <c r="I1074" t="str">
        <f>VLOOKUP(Medical_Examinations_2[[#This Row],[Customer ID]],Medical_Examinations!$1:$1048576,11,FALSE)</f>
        <v>No</v>
      </c>
    </row>
    <row r="1075" spans="1:9" x14ac:dyDescent="0.25">
      <c r="A1075" s="11" t="s">
        <v>1105</v>
      </c>
      <c r="H1075">
        <f>VLOOKUP(Medical_Examinations_2[[#This Row],[Customer ID]],Medical_Examinations!$1:$1048576,9,FALSE)</f>
        <v>1</v>
      </c>
      <c r="I1075" t="str">
        <f>VLOOKUP(Medical_Examinations_2[[#This Row],[Customer ID]],Medical_Examinations!$1:$1048576,11,FALSE)</f>
        <v>No</v>
      </c>
    </row>
    <row r="1076" spans="1:9" x14ac:dyDescent="0.25">
      <c r="A1076" s="10" t="s">
        <v>1106</v>
      </c>
      <c r="H1076">
        <f>VLOOKUP(Medical_Examinations_2[[#This Row],[Customer ID]],Medical_Examinations!$1:$1048576,9,FALSE)</f>
        <v>1</v>
      </c>
      <c r="I1076" t="str">
        <f>VLOOKUP(Medical_Examinations_2[[#This Row],[Customer ID]],Medical_Examinations!$1:$1048576,11,FALSE)</f>
        <v>No</v>
      </c>
    </row>
    <row r="1077" spans="1:9" x14ac:dyDescent="0.25">
      <c r="A1077" s="11" t="s">
        <v>1107</v>
      </c>
      <c r="H1077" t="str">
        <f>VLOOKUP(Medical_Examinations_2[[#This Row],[Customer ID]],Medical_Examinations!$1:$1048576,9,FALSE)</f>
        <v>No major surgery</v>
      </c>
      <c r="I1077" t="str">
        <f>VLOOKUP(Medical_Examinations_2[[#This Row],[Customer ID]],Medical_Examinations!$1:$1048576,11,FALSE)</f>
        <v>No</v>
      </c>
    </row>
    <row r="1078" spans="1:9" x14ac:dyDescent="0.25">
      <c r="A1078" s="10" t="s">
        <v>1108</v>
      </c>
      <c r="H1078">
        <f>VLOOKUP(Medical_Examinations_2[[#This Row],[Customer ID]],Medical_Examinations!$1:$1048576,9,FALSE)</f>
        <v>1</v>
      </c>
      <c r="I1078" t="str">
        <f>VLOOKUP(Medical_Examinations_2[[#This Row],[Customer ID]],Medical_Examinations!$1:$1048576,11,FALSE)</f>
        <v>No</v>
      </c>
    </row>
    <row r="1079" spans="1:9" x14ac:dyDescent="0.25">
      <c r="A1079" s="11" t="s">
        <v>1109</v>
      </c>
      <c r="H1079" t="str">
        <f>VLOOKUP(Medical_Examinations_2[[#This Row],[Customer ID]],Medical_Examinations!$1:$1048576,9,FALSE)</f>
        <v>No major surgery</v>
      </c>
      <c r="I1079" t="str">
        <f>VLOOKUP(Medical_Examinations_2[[#This Row],[Customer ID]],Medical_Examinations!$1:$1048576,11,FALSE)</f>
        <v>No</v>
      </c>
    </row>
    <row r="1080" spans="1:9" x14ac:dyDescent="0.25">
      <c r="A1080" s="10" t="s">
        <v>1110</v>
      </c>
      <c r="H1080" t="str">
        <f>VLOOKUP(Medical_Examinations_2[[#This Row],[Customer ID]],Medical_Examinations!$1:$1048576,9,FALSE)</f>
        <v>No major surgery</v>
      </c>
      <c r="I1080" t="str">
        <f>VLOOKUP(Medical_Examinations_2[[#This Row],[Customer ID]],Medical_Examinations!$1:$1048576,11,FALSE)</f>
        <v>No</v>
      </c>
    </row>
    <row r="1081" spans="1:9" x14ac:dyDescent="0.25">
      <c r="A1081" s="11" t="s">
        <v>1111</v>
      </c>
      <c r="H1081" t="str">
        <f>VLOOKUP(Medical_Examinations_2[[#This Row],[Customer ID]],Medical_Examinations!$1:$1048576,9,FALSE)</f>
        <v>No major surgery</v>
      </c>
      <c r="I1081" t="str">
        <f>VLOOKUP(Medical_Examinations_2[[#This Row],[Customer ID]],Medical_Examinations!$1:$1048576,11,FALSE)</f>
        <v>No</v>
      </c>
    </row>
    <row r="1082" spans="1:9" x14ac:dyDescent="0.25">
      <c r="A1082" s="10" t="s">
        <v>1112</v>
      </c>
      <c r="H1082" t="str">
        <f>VLOOKUP(Medical_Examinations_2[[#This Row],[Customer ID]],Medical_Examinations!$1:$1048576,9,FALSE)</f>
        <v>No major surgery</v>
      </c>
      <c r="I1082" t="str">
        <f>VLOOKUP(Medical_Examinations_2[[#This Row],[Customer ID]],Medical_Examinations!$1:$1048576,11,FALSE)</f>
        <v>No</v>
      </c>
    </row>
    <row r="1083" spans="1:9" x14ac:dyDescent="0.25">
      <c r="A1083" s="11" t="s">
        <v>1113</v>
      </c>
      <c r="H1083">
        <f>VLOOKUP(Medical_Examinations_2[[#This Row],[Customer ID]],Medical_Examinations!$1:$1048576,9,FALSE)</f>
        <v>1</v>
      </c>
      <c r="I1083" t="str">
        <f>VLOOKUP(Medical_Examinations_2[[#This Row],[Customer ID]],Medical_Examinations!$1:$1048576,11,FALSE)</f>
        <v>No</v>
      </c>
    </row>
    <row r="1084" spans="1:9" x14ac:dyDescent="0.25">
      <c r="A1084" s="10" t="s">
        <v>1114</v>
      </c>
      <c r="H1084">
        <f>VLOOKUP(Medical_Examinations_2[[#This Row],[Customer ID]],Medical_Examinations!$1:$1048576,9,FALSE)</f>
        <v>2</v>
      </c>
      <c r="I1084" t="str">
        <f>VLOOKUP(Medical_Examinations_2[[#This Row],[Customer ID]],Medical_Examinations!$1:$1048576,11,FALSE)</f>
        <v>No</v>
      </c>
    </row>
    <row r="1085" spans="1:9" x14ac:dyDescent="0.25">
      <c r="A1085" s="11" t="s">
        <v>1115</v>
      </c>
      <c r="H1085" t="str">
        <f>VLOOKUP(Medical_Examinations_2[[#This Row],[Customer ID]],Medical_Examinations!$1:$1048576,9,FALSE)</f>
        <v>No major surgery</v>
      </c>
      <c r="I1085" t="str">
        <f>VLOOKUP(Medical_Examinations_2[[#This Row],[Customer ID]],Medical_Examinations!$1:$1048576,11,FALSE)</f>
        <v>No</v>
      </c>
    </row>
    <row r="1086" spans="1:9" x14ac:dyDescent="0.25">
      <c r="A1086" s="10" t="s">
        <v>1116</v>
      </c>
      <c r="H1086">
        <f>VLOOKUP(Medical_Examinations_2[[#This Row],[Customer ID]],Medical_Examinations!$1:$1048576,9,FALSE)</f>
        <v>1</v>
      </c>
      <c r="I1086" t="str">
        <f>VLOOKUP(Medical_Examinations_2[[#This Row],[Customer ID]],Medical_Examinations!$1:$1048576,11,FALSE)</f>
        <v>No</v>
      </c>
    </row>
    <row r="1087" spans="1:9" x14ac:dyDescent="0.25">
      <c r="A1087" s="11" t="s">
        <v>1117</v>
      </c>
      <c r="H1087">
        <f>VLOOKUP(Medical_Examinations_2[[#This Row],[Customer ID]],Medical_Examinations!$1:$1048576,9,FALSE)</f>
        <v>1</v>
      </c>
      <c r="I1087" t="str">
        <f>VLOOKUP(Medical_Examinations_2[[#This Row],[Customer ID]],Medical_Examinations!$1:$1048576,11,FALSE)</f>
        <v>No</v>
      </c>
    </row>
    <row r="1088" spans="1:9" x14ac:dyDescent="0.25">
      <c r="A1088" s="10" t="s">
        <v>1118</v>
      </c>
      <c r="H1088">
        <f>VLOOKUP(Medical_Examinations_2[[#This Row],[Customer ID]],Medical_Examinations!$1:$1048576,9,FALSE)</f>
        <v>2</v>
      </c>
      <c r="I1088" t="str">
        <f>VLOOKUP(Medical_Examinations_2[[#This Row],[Customer ID]],Medical_Examinations!$1:$1048576,11,FALSE)</f>
        <v>No</v>
      </c>
    </row>
    <row r="1089" spans="1:9" x14ac:dyDescent="0.25">
      <c r="A1089" s="11" t="s">
        <v>1119</v>
      </c>
      <c r="H1089">
        <f>VLOOKUP(Medical_Examinations_2[[#This Row],[Customer ID]],Medical_Examinations!$1:$1048576,9,FALSE)</f>
        <v>2</v>
      </c>
      <c r="I1089" t="str">
        <f>VLOOKUP(Medical_Examinations_2[[#This Row],[Customer ID]],Medical_Examinations!$1:$1048576,11,FALSE)</f>
        <v>No</v>
      </c>
    </row>
    <row r="1090" spans="1:9" x14ac:dyDescent="0.25">
      <c r="A1090" s="10" t="s">
        <v>1120</v>
      </c>
      <c r="H1090" t="str">
        <f>VLOOKUP(Medical_Examinations_2[[#This Row],[Customer ID]],Medical_Examinations!$1:$1048576,9,FALSE)</f>
        <v>No major surgery</v>
      </c>
      <c r="I1090" t="str">
        <f>VLOOKUP(Medical_Examinations_2[[#This Row],[Customer ID]],Medical_Examinations!$1:$1048576,11,FALSE)</f>
        <v>No</v>
      </c>
    </row>
    <row r="1091" spans="1:9" x14ac:dyDescent="0.25">
      <c r="A1091" s="11" t="s">
        <v>1121</v>
      </c>
      <c r="H1091">
        <f>VLOOKUP(Medical_Examinations_2[[#This Row],[Customer ID]],Medical_Examinations!$1:$1048576,9,FALSE)</f>
        <v>1</v>
      </c>
      <c r="I1091" t="str">
        <f>VLOOKUP(Medical_Examinations_2[[#This Row],[Customer ID]],Medical_Examinations!$1:$1048576,11,FALSE)</f>
        <v>No</v>
      </c>
    </row>
    <row r="1092" spans="1:9" x14ac:dyDescent="0.25">
      <c r="A1092" s="10" t="s">
        <v>1122</v>
      </c>
      <c r="H1092" t="str">
        <f>VLOOKUP(Medical_Examinations_2[[#This Row],[Customer ID]],Medical_Examinations!$1:$1048576,9,FALSE)</f>
        <v>No major surgery</v>
      </c>
      <c r="I1092" t="str">
        <f>VLOOKUP(Medical_Examinations_2[[#This Row],[Customer ID]],Medical_Examinations!$1:$1048576,11,FALSE)</f>
        <v>No</v>
      </c>
    </row>
    <row r="1093" spans="1:9" x14ac:dyDescent="0.25">
      <c r="A1093" s="11" t="s">
        <v>1123</v>
      </c>
      <c r="H1093">
        <f>VLOOKUP(Medical_Examinations_2[[#This Row],[Customer ID]],Medical_Examinations!$1:$1048576,9,FALSE)</f>
        <v>2</v>
      </c>
      <c r="I1093" t="str">
        <f>VLOOKUP(Medical_Examinations_2[[#This Row],[Customer ID]],Medical_Examinations!$1:$1048576,11,FALSE)</f>
        <v>No</v>
      </c>
    </row>
    <row r="1094" spans="1:9" x14ac:dyDescent="0.25">
      <c r="A1094" s="10" t="s">
        <v>1124</v>
      </c>
      <c r="H1094" t="str">
        <f>VLOOKUP(Medical_Examinations_2[[#This Row],[Customer ID]],Medical_Examinations!$1:$1048576,9,FALSE)</f>
        <v>No major surgery</v>
      </c>
      <c r="I1094" t="str">
        <f>VLOOKUP(Medical_Examinations_2[[#This Row],[Customer ID]],Medical_Examinations!$1:$1048576,11,FALSE)</f>
        <v>No</v>
      </c>
    </row>
    <row r="1095" spans="1:9" x14ac:dyDescent="0.25">
      <c r="A1095" s="11" t="s">
        <v>1125</v>
      </c>
      <c r="H1095" t="str">
        <f>VLOOKUP(Medical_Examinations_2[[#This Row],[Customer ID]],Medical_Examinations!$1:$1048576,9,FALSE)</f>
        <v>No major surgery</v>
      </c>
      <c r="I1095" t="str">
        <f>VLOOKUP(Medical_Examinations_2[[#This Row],[Customer ID]],Medical_Examinations!$1:$1048576,11,FALSE)</f>
        <v>No</v>
      </c>
    </row>
    <row r="1096" spans="1:9" x14ac:dyDescent="0.25">
      <c r="A1096" s="10" t="s">
        <v>1126</v>
      </c>
      <c r="H1096">
        <f>VLOOKUP(Medical_Examinations_2[[#This Row],[Customer ID]],Medical_Examinations!$1:$1048576,9,FALSE)</f>
        <v>2</v>
      </c>
      <c r="I1096" t="str">
        <f>VLOOKUP(Medical_Examinations_2[[#This Row],[Customer ID]],Medical_Examinations!$1:$1048576,11,FALSE)</f>
        <v>No</v>
      </c>
    </row>
    <row r="1097" spans="1:9" x14ac:dyDescent="0.25">
      <c r="A1097" s="11" t="s">
        <v>1127</v>
      </c>
      <c r="H1097" t="str">
        <f>VLOOKUP(Medical_Examinations_2[[#This Row],[Customer ID]],Medical_Examinations!$1:$1048576,9,FALSE)</f>
        <v>No major surgery</v>
      </c>
      <c r="I1097" t="str">
        <f>VLOOKUP(Medical_Examinations_2[[#This Row],[Customer ID]],Medical_Examinations!$1:$1048576,11,FALSE)</f>
        <v>No</v>
      </c>
    </row>
    <row r="1098" spans="1:9" x14ac:dyDescent="0.25">
      <c r="A1098" s="10" t="s">
        <v>1128</v>
      </c>
      <c r="H1098" t="str">
        <f>VLOOKUP(Medical_Examinations_2[[#This Row],[Customer ID]],Medical_Examinations!$1:$1048576,9,FALSE)</f>
        <v>No major surgery</v>
      </c>
      <c r="I1098" t="str">
        <f>VLOOKUP(Medical_Examinations_2[[#This Row],[Customer ID]],Medical_Examinations!$1:$1048576,11,FALSE)</f>
        <v>No</v>
      </c>
    </row>
    <row r="1099" spans="1:9" x14ac:dyDescent="0.25">
      <c r="A1099" s="11" t="s">
        <v>1129</v>
      </c>
      <c r="H1099" t="str">
        <f>VLOOKUP(Medical_Examinations_2[[#This Row],[Customer ID]],Medical_Examinations!$1:$1048576,9,FALSE)</f>
        <v>No major surgery</v>
      </c>
      <c r="I1099" t="str">
        <f>VLOOKUP(Medical_Examinations_2[[#This Row],[Customer ID]],Medical_Examinations!$1:$1048576,11,FALSE)</f>
        <v>No</v>
      </c>
    </row>
    <row r="1100" spans="1:9" x14ac:dyDescent="0.25">
      <c r="A1100" s="10" t="s">
        <v>1130</v>
      </c>
      <c r="H1100">
        <f>VLOOKUP(Medical_Examinations_2[[#This Row],[Customer ID]],Medical_Examinations!$1:$1048576,9,FALSE)</f>
        <v>1</v>
      </c>
      <c r="I1100" t="str">
        <f>VLOOKUP(Medical_Examinations_2[[#This Row],[Customer ID]],Medical_Examinations!$1:$1048576,11,FALSE)</f>
        <v>No</v>
      </c>
    </row>
    <row r="1101" spans="1:9" x14ac:dyDescent="0.25">
      <c r="A1101" s="11" t="s">
        <v>1131</v>
      </c>
      <c r="H1101">
        <f>VLOOKUP(Medical_Examinations_2[[#This Row],[Customer ID]],Medical_Examinations!$1:$1048576,9,FALSE)</f>
        <v>1</v>
      </c>
      <c r="I1101" t="str">
        <f>VLOOKUP(Medical_Examinations_2[[#This Row],[Customer ID]],Medical_Examinations!$1:$1048576,11,FALSE)</f>
        <v>No</v>
      </c>
    </row>
    <row r="1102" spans="1:9" x14ac:dyDescent="0.25">
      <c r="A1102" s="10" t="s">
        <v>1132</v>
      </c>
      <c r="H1102">
        <f>VLOOKUP(Medical_Examinations_2[[#This Row],[Customer ID]],Medical_Examinations!$1:$1048576,9,FALSE)</f>
        <v>2</v>
      </c>
      <c r="I1102" t="str">
        <f>VLOOKUP(Medical_Examinations_2[[#This Row],[Customer ID]],Medical_Examinations!$1:$1048576,11,FALSE)</f>
        <v>No</v>
      </c>
    </row>
    <row r="1103" spans="1:9" x14ac:dyDescent="0.25">
      <c r="A1103" s="11" t="s">
        <v>1133</v>
      </c>
      <c r="H1103">
        <f>VLOOKUP(Medical_Examinations_2[[#This Row],[Customer ID]],Medical_Examinations!$1:$1048576,9,FALSE)</f>
        <v>2</v>
      </c>
      <c r="I1103" t="str">
        <f>VLOOKUP(Medical_Examinations_2[[#This Row],[Customer ID]],Medical_Examinations!$1:$1048576,11,FALSE)</f>
        <v>No</v>
      </c>
    </row>
    <row r="1104" spans="1:9" x14ac:dyDescent="0.25">
      <c r="A1104" s="10" t="s">
        <v>1134</v>
      </c>
      <c r="H1104">
        <f>VLOOKUP(Medical_Examinations_2[[#This Row],[Customer ID]],Medical_Examinations!$1:$1048576,9,FALSE)</f>
        <v>2</v>
      </c>
      <c r="I1104" t="str">
        <f>VLOOKUP(Medical_Examinations_2[[#This Row],[Customer ID]],Medical_Examinations!$1:$1048576,11,FALSE)</f>
        <v>No</v>
      </c>
    </row>
    <row r="1105" spans="1:9" x14ac:dyDescent="0.25">
      <c r="A1105" s="11" t="s">
        <v>1135</v>
      </c>
      <c r="H1105">
        <f>VLOOKUP(Medical_Examinations_2[[#This Row],[Customer ID]],Medical_Examinations!$1:$1048576,9,FALSE)</f>
        <v>1</v>
      </c>
      <c r="I1105" t="str">
        <f>VLOOKUP(Medical_Examinations_2[[#This Row],[Customer ID]],Medical_Examinations!$1:$1048576,11,FALSE)</f>
        <v>No</v>
      </c>
    </row>
    <row r="1106" spans="1:9" x14ac:dyDescent="0.25">
      <c r="A1106" s="10" t="s">
        <v>1136</v>
      </c>
      <c r="H1106" t="str">
        <f>VLOOKUP(Medical_Examinations_2[[#This Row],[Customer ID]],Medical_Examinations!$1:$1048576,9,FALSE)</f>
        <v>No major surgery</v>
      </c>
      <c r="I1106" t="str">
        <f>VLOOKUP(Medical_Examinations_2[[#This Row],[Customer ID]],Medical_Examinations!$1:$1048576,11,FALSE)</f>
        <v>No</v>
      </c>
    </row>
    <row r="1107" spans="1:9" x14ac:dyDescent="0.25">
      <c r="A1107" s="11" t="s">
        <v>1137</v>
      </c>
      <c r="H1107" t="str">
        <f>VLOOKUP(Medical_Examinations_2[[#This Row],[Customer ID]],Medical_Examinations!$1:$1048576,9,FALSE)</f>
        <v>No major surgery</v>
      </c>
      <c r="I1107" t="str">
        <f>VLOOKUP(Medical_Examinations_2[[#This Row],[Customer ID]],Medical_Examinations!$1:$1048576,11,FALSE)</f>
        <v>No</v>
      </c>
    </row>
    <row r="1108" spans="1:9" x14ac:dyDescent="0.25">
      <c r="A1108" s="10" t="s">
        <v>1138</v>
      </c>
      <c r="H1108" t="str">
        <f>VLOOKUP(Medical_Examinations_2[[#This Row],[Customer ID]],Medical_Examinations!$1:$1048576,9,FALSE)</f>
        <v>No major surgery</v>
      </c>
      <c r="I1108" t="str">
        <f>VLOOKUP(Medical_Examinations_2[[#This Row],[Customer ID]],Medical_Examinations!$1:$1048576,11,FALSE)</f>
        <v>No</v>
      </c>
    </row>
    <row r="1109" spans="1:9" x14ac:dyDescent="0.25">
      <c r="A1109" s="11" t="s">
        <v>1139</v>
      </c>
      <c r="H1109">
        <f>VLOOKUP(Medical_Examinations_2[[#This Row],[Customer ID]],Medical_Examinations!$1:$1048576,9,FALSE)</f>
        <v>2</v>
      </c>
      <c r="I1109" t="str">
        <f>VLOOKUP(Medical_Examinations_2[[#This Row],[Customer ID]],Medical_Examinations!$1:$1048576,11,FALSE)</f>
        <v>No</v>
      </c>
    </row>
    <row r="1110" spans="1:9" x14ac:dyDescent="0.25">
      <c r="A1110" s="10" t="s">
        <v>1140</v>
      </c>
      <c r="H1110" t="str">
        <f>VLOOKUP(Medical_Examinations_2[[#This Row],[Customer ID]],Medical_Examinations!$1:$1048576,9,FALSE)</f>
        <v>No major surgery</v>
      </c>
      <c r="I1110" t="str">
        <f>VLOOKUP(Medical_Examinations_2[[#This Row],[Customer ID]],Medical_Examinations!$1:$1048576,11,FALSE)</f>
        <v>No</v>
      </c>
    </row>
    <row r="1111" spans="1:9" x14ac:dyDescent="0.25">
      <c r="A1111" s="11" t="s">
        <v>1141</v>
      </c>
      <c r="H1111">
        <f>VLOOKUP(Medical_Examinations_2[[#This Row],[Customer ID]],Medical_Examinations!$1:$1048576,9,FALSE)</f>
        <v>2</v>
      </c>
      <c r="I1111" t="str">
        <f>VLOOKUP(Medical_Examinations_2[[#This Row],[Customer ID]],Medical_Examinations!$1:$1048576,11,FALSE)</f>
        <v>No</v>
      </c>
    </row>
    <row r="1112" spans="1:9" x14ac:dyDescent="0.25">
      <c r="A1112" s="10" t="s">
        <v>1142</v>
      </c>
      <c r="H1112">
        <f>VLOOKUP(Medical_Examinations_2[[#This Row],[Customer ID]],Medical_Examinations!$1:$1048576,9,FALSE)</f>
        <v>2</v>
      </c>
      <c r="I1112" t="str">
        <f>VLOOKUP(Medical_Examinations_2[[#This Row],[Customer ID]],Medical_Examinations!$1:$1048576,11,FALSE)</f>
        <v>No</v>
      </c>
    </row>
    <row r="1113" spans="1:9" x14ac:dyDescent="0.25">
      <c r="A1113" s="11" t="s">
        <v>1143</v>
      </c>
      <c r="H1113" t="str">
        <f>VLOOKUP(Medical_Examinations_2[[#This Row],[Customer ID]],Medical_Examinations!$1:$1048576,9,FALSE)</f>
        <v>No major surgery</v>
      </c>
      <c r="I1113" t="str">
        <f>VLOOKUP(Medical_Examinations_2[[#This Row],[Customer ID]],Medical_Examinations!$1:$1048576,11,FALSE)</f>
        <v>No</v>
      </c>
    </row>
    <row r="1114" spans="1:9" x14ac:dyDescent="0.25">
      <c r="A1114" s="10" t="s">
        <v>1144</v>
      </c>
      <c r="H1114" t="str">
        <f>VLOOKUP(Medical_Examinations_2[[#This Row],[Customer ID]],Medical_Examinations!$1:$1048576,9,FALSE)</f>
        <v>No major surgery</v>
      </c>
      <c r="I1114" t="str">
        <f>VLOOKUP(Medical_Examinations_2[[#This Row],[Customer ID]],Medical_Examinations!$1:$1048576,11,FALSE)</f>
        <v>No</v>
      </c>
    </row>
    <row r="1115" spans="1:9" x14ac:dyDescent="0.25">
      <c r="A1115" s="11" t="s">
        <v>1145</v>
      </c>
      <c r="H1115">
        <f>VLOOKUP(Medical_Examinations_2[[#This Row],[Customer ID]],Medical_Examinations!$1:$1048576,9,FALSE)</f>
        <v>1</v>
      </c>
      <c r="I1115" t="str">
        <f>VLOOKUP(Medical_Examinations_2[[#This Row],[Customer ID]],Medical_Examinations!$1:$1048576,11,FALSE)</f>
        <v>No</v>
      </c>
    </row>
    <row r="1116" spans="1:9" x14ac:dyDescent="0.25">
      <c r="A1116" s="10" t="s">
        <v>1146</v>
      </c>
      <c r="H1116">
        <f>VLOOKUP(Medical_Examinations_2[[#This Row],[Customer ID]],Medical_Examinations!$1:$1048576,9,FALSE)</f>
        <v>2</v>
      </c>
      <c r="I1116" t="str">
        <f>VLOOKUP(Medical_Examinations_2[[#This Row],[Customer ID]],Medical_Examinations!$1:$1048576,11,FALSE)</f>
        <v>No</v>
      </c>
    </row>
    <row r="1117" spans="1:9" x14ac:dyDescent="0.25">
      <c r="A1117" s="11" t="s">
        <v>1147</v>
      </c>
      <c r="H1117">
        <f>VLOOKUP(Medical_Examinations_2[[#This Row],[Customer ID]],Medical_Examinations!$1:$1048576,9,FALSE)</f>
        <v>1</v>
      </c>
      <c r="I1117" t="str">
        <f>VLOOKUP(Medical_Examinations_2[[#This Row],[Customer ID]],Medical_Examinations!$1:$1048576,11,FALSE)</f>
        <v>No</v>
      </c>
    </row>
    <row r="1118" spans="1:9" x14ac:dyDescent="0.25">
      <c r="A1118" s="10" t="s">
        <v>1148</v>
      </c>
      <c r="H1118">
        <f>VLOOKUP(Medical_Examinations_2[[#This Row],[Customer ID]],Medical_Examinations!$1:$1048576,9,FALSE)</f>
        <v>2</v>
      </c>
      <c r="I1118" t="str">
        <f>VLOOKUP(Medical_Examinations_2[[#This Row],[Customer ID]],Medical_Examinations!$1:$1048576,11,FALSE)</f>
        <v>No</v>
      </c>
    </row>
    <row r="1119" spans="1:9" x14ac:dyDescent="0.25">
      <c r="A1119" s="11" t="s">
        <v>1149</v>
      </c>
      <c r="H1119">
        <f>VLOOKUP(Medical_Examinations_2[[#This Row],[Customer ID]],Medical_Examinations!$1:$1048576,9,FALSE)</f>
        <v>2</v>
      </c>
      <c r="I1119" t="str">
        <f>VLOOKUP(Medical_Examinations_2[[#This Row],[Customer ID]],Medical_Examinations!$1:$1048576,11,FALSE)</f>
        <v>No</v>
      </c>
    </row>
    <row r="1120" spans="1:9" x14ac:dyDescent="0.25">
      <c r="A1120" s="10" t="s">
        <v>1150</v>
      </c>
      <c r="H1120" t="str">
        <f>VLOOKUP(Medical_Examinations_2[[#This Row],[Customer ID]],Medical_Examinations!$1:$1048576,9,FALSE)</f>
        <v>No major surgery</v>
      </c>
      <c r="I1120" t="str">
        <f>VLOOKUP(Medical_Examinations_2[[#This Row],[Customer ID]],Medical_Examinations!$1:$1048576,11,FALSE)</f>
        <v>No</v>
      </c>
    </row>
    <row r="1121" spans="1:9" x14ac:dyDescent="0.25">
      <c r="A1121" s="11" t="s">
        <v>1151</v>
      </c>
      <c r="H1121">
        <f>VLOOKUP(Medical_Examinations_2[[#This Row],[Customer ID]],Medical_Examinations!$1:$1048576,9,FALSE)</f>
        <v>1</v>
      </c>
      <c r="I1121" t="str">
        <f>VLOOKUP(Medical_Examinations_2[[#This Row],[Customer ID]],Medical_Examinations!$1:$1048576,11,FALSE)</f>
        <v>No</v>
      </c>
    </row>
    <row r="1122" spans="1:9" x14ac:dyDescent="0.25">
      <c r="A1122" s="10" t="s">
        <v>1152</v>
      </c>
      <c r="H1122">
        <f>VLOOKUP(Medical_Examinations_2[[#This Row],[Customer ID]],Medical_Examinations!$1:$1048576,9,FALSE)</f>
        <v>1</v>
      </c>
      <c r="I1122" t="str">
        <f>VLOOKUP(Medical_Examinations_2[[#This Row],[Customer ID]],Medical_Examinations!$1:$1048576,11,FALSE)</f>
        <v>No</v>
      </c>
    </row>
    <row r="1123" spans="1:9" x14ac:dyDescent="0.25">
      <c r="A1123" s="11" t="s">
        <v>1153</v>
      </c>
      <c r="H1123">
        <f>VLOOKUP(Medical_Examinations_2[[#This Row],[Customer ID]],Medical_Examinations!$1:$1048576,9,FALSE)</f>
        <v>1</v>
      </c>
      <c r="I1123" t="str">
        <f>VLOOKUP(Medical_Examinations_2[[#This Row],[Customer ID]],Medical_Examinations!$1:$1048576,11,FALSE)</f>
        <v>No</v>
      </c>
    </row>
    <row r="1124" spans="1:9" x14ac:dyDescent="0.25">
      <c r="A1124" s="10" t="s">
        <v>1154</v>
      </c>
      <c r="H1124" t="str">
        <f>VLOOKUP(Medical_Examinations_2[[#This Row],[Customer ID]],Medical_Examinations!$1:$1048576,9,FALSE)</f>
        <v>No major surgery</v>
      </c>
      <c r="I1124" t="str">
        <f>VLOOKUP(Medical_Examinations_2[[#This Row],[Customer ID]],Medical_Examinations!$1:$1048576,11,FALSE)</f>
        <v>No</v>
      </c>
    </row>
    <row r="1125" spans="1:9" x14ac:dyDescent="0.25">
      <c r="A1125" s="11" t="s">
        <v>1155</v>
      </c>
      <c r="H1125">
        <f>VLOOKUP(Medical_Examinations_2[[#This Row],[Customer ID]],Medical_Examinations!$1:$1048576,9,FALSE)</f>
        <v>1</v>
      </c>
      <c r="I1125" t="str">
        <f>VLOOKUP(Medical_Examinations_2[[#This Row],[Customer ID]],Medical_Examinations!$1:$1048576,11,FALSE)</f>
        <v>No</v>
      </c>
    </row>
    <row r="1126" spans="1:9" x14ac:dyDescent="0.25">
      <c r="A1126" s="10" t="s">
        <v>1156</v>
      </c>
      <c r="H1126">
        <f>VLOOKUP(Medical_Examinations_2[[#This Row],[Customer ID]],Medical_Examinations!$1:$1048576,9,FALSE)</f>
        <v>1</v>
      </c>
      <c r="I1126" t="str">
        <f>VLOOKUP(Medical_Examinations_2[[#This Row],[Customer ID]],Medical_Examinations!$1:$1048576,11,FALSE)</f>
        <v>No</v>
      </c>
    </row>
    <row r="1127" spans="1:9" x14ac:dyDescent="0.25">
      <c r="A1127" s="11" t="s">
        <v>1157</v>
      </c>
      <c r="H1127">
        <f>VLOOKUP(Medical_Examinations_2[[#This Row],[Customer ID]],Medical_Examinations!$1:$1048576,9,FALSE)</f>
        <v>2</v>
      </c>
      <c r="I1127" t="str">
        <f>VLOOKUP(Medical_Examinations_2[[#This Row],[Customer ID]],Medical_Examinations!$1:$1048576,11,FALSE)</f>
        <v>No</v>
      </c>
    </row>
    <row r="1128" spans="1:9" x14ac:dyDescent="0.25">
      <c r="A1128" s="10" t="s">
        <v>1158</v>
      </c>
      <c r="H1128" t="str">
        <f>VLOOKUP(Medical_Examinations_2[[#This Row],[Customer ID]],Medical_Examinations!$1:$1048576,9,FALSE)</f>
        <v>No major surgery</v>
      </c>
      <c r="I1128" t="str">
        <f>VLOOKUP(Medical_Examinations_2[[#This Row],[Customer ID]],Medical_Examinations!$1:$1048576,11,FALSE)</f>
        <v>No</v>
      </c>
    </row>
    <row r="1129" spans="1:9" x14ac:dyDescent="0.25">
      <c r="A1129" s="11" t="s">
        <v>1159</v>
      </c>
      <c r="H1129" t="str">
        <f>VLOOKUP(Medical_Examinations_2[[#This Row],[Customer ID]],Medical_Examinations!$1:$1048576,9,FALSE)</f>
        <v>No major surgery</v>
      </c>
      <c r="I1129" t="str">
        <f>VLOOKUP(Medical_Examinations_2[[#This Row],[Customer ID]],Medical_Examinations!$1:$1048576,11,FALSE)</f>
        <v>No</v>
      </c>
    </row>
    <row r="1130" spans="1:9" x14ac:dyDescent="0.25">
      <c r="A1130" s="10" t="s">
        <v>1160</v>
      </c>
      <c r="H1130">
        <f>VLOOKUP(Medical_Examinations_2[[#This Row],[Customer ID]],Medical_Examinations!$1:$1048576,9,FALSE)</f>
        <v>1</v>
      </c>
      <c r="I1130" t="str">
        <f>VLOOKUP(Medical_Examinations_2[[#This Row],[Customer ID]],Medical_Examinations!$1:$1048576,11,FALSE)</f>
        <v>No</v>
      </c>
    </row>
    <row r="1131" spans="1:9" x14ac:dyDescent="0.25">
      <c r="A1131" s="11" t="s">
        <v>1161</v>
      </c>
      <c r="H1131">
        <f>VLOOKUP(Medical_Examinations_2[[#This Row],[Customer ID]],Medical_Examinations!$1:$1048576,9,FALSE)</f>
        <v>1</v>
      </c>
      <c r="I1131" t="str">
        <f>VLOOKUP(Medical_Examinations_2[[#This Row],[Customer ID]],Medical_Examinations!$1:$1048576,11,FALSE)</f>
        <v>No</v>
      </c>
    </row>
    <row r="1132" spans="1:9" x14ac:dyDescent="0.25">
      <c r="A1132" s="10" t="s">
        <v>1162</v>
      </c>
      <c r="H1132" t="str">
        <f>VLOOKUP(Medical_Examinations_2[[#This Row],[Customer ID]],Medical_Examinations!$1:$1048576,9,FALSE)</f>
        <v>No major surgery</v>
      </c>
      <c r="I1132" t="str">
        <f>VLOOKUP(Medical_Examinations_2[[#This Row],[Customer ID]],Medical_Examinations!$1:$1048576,11,FALSE)</f>
        <v>No</v>
      </c>
    </row>
    <row r="1133" spans="1:9" x14ac:dyDescent="0.25">
      <c r="A1133" s="11" t="s">
        <v>1163</v>
      </c>
      <c r="H1133">
        <f>VLOOKUP(Medical_Examinations_2[[#This Row],[Customer ID]],Medical_Examinations!$1:$1048576,9,FALSE)</f>
        <v>2</v>
      </c>
      <c r="I1133" t="str">
        <f>VLOOKUP(Medical_Examinations_2[[#This Row],[Customer ID]],Medical_Examinations!$1:$1048576,11,FALSE)</f>
        <v>No</v>
      </c>
    </row>
    <row r="1134" spans="1:9" x14ac:dyDescent="0.25">
      <c r="A1134" s="10" t="s">
        <v>1164</v>
      </c>
      <c r="H1134" t="str">
        <f>VLOOKUP(Medical_Examinations_2[[#This Row],[Customer ID]],Medical_Examinations!$1:$1048576,9,FALSE)</f>
        <v>No major surgery</v>
      </c>
      <c r="I1134" t="str">
        <f>VLOOKUP(Medical_Examinations_2[[#This Row],[Customer ID]],Medical_Examinations!$1:$1048576,11,FALSE)</f>
        <v>No</v>
      </c>
    </row>
    <row r="1135" spans="1:9" x14ac:dyDescent="0.25">
      <c r="A1135" s="11" t="s">
        <v>1165</v>
      </c>
      <c r="H1135" t="str">
        <f>VLOOKUP(Medical_Examinations_2[[#This Row],[Customer ID]],Medical_Examinations!$1:$1048576,9,FALSE)</f>
        <v>No major surgery</v>
      </c>
      <c r="I1135" t="str">
        <f>VLOOKUP(Medical_Examinations_2[[#This Row],[Customer ID]],Medical_Examinations!$1:$1048576,11,FALSE)</f>
        <v>No</v>
      </c>
    </row>
    <row r="1136" spans="1:9" x14ac:dyDescent="0.25">
      <c r="A1136" s="10" t="s">
        <v>1166</v>
      </c>
      <c r="H1136">
        <f>VLOOKUP(Medical_Examinations_2[[#This Row],[Customer ID]],Medical_Examinations!$1:$1048576,9,FALSE)</f>
        <v>2</v>
      </c>
      <c r="I1136" t="str">
        <f>VLOOKUP(Medical_Examinations_2[[#This Row],[Customer ID]],Medical_Examinations!$1:$1048576,11,FALSE)</f>
        <v>No</v>
      </c>
    </row>
    <row r="1137" spans="1:9" x14ac:dyDescent="0.25">
      <c r="A1137" s="11" t="s">
        <v>1167</v>
      </c>
      <c r="H1137" t="str">
        <f>VLOOKUP(Medical_Examinations_2[[#This Row],[Customer ID]],Medical_Examinations!$1:$1048576,9,FALSE)</f>
        <v>No major surgery</v>
      </c>
      <c r="I1137" t="str">
        <f>VLOOKUP(Medical_Examinations_2[[#This Row],[Customer ID]],Medical_Examinations!$1:$1048576,11,FALSE)</f>
        <v>No</v>
      </c>
    </row>
    <row r="1138" spans="1:9" x14ac:dyDescent="0.25">
      <c r="A1138" s="10" t="s">
        <v>1168</v>
      </c>
      <c r="H1138" t="str">
        <f>VLOOKUP(Medical_Examinations_2[[#This Row],[Customer ID]],Medical_Examinations!$1:$1048576,9,FALSE)</f>
        <v>No major surgery</v>
      </c>
      <c r="I1138" t="str">
        <f>VLOOKUP(Medical_Examinations_2[[#This Row],[Customer ID]],Medical_Examinations!$1:$1048576,11,FALSE)</f>
        <v>No</v>
      </c>
    </row>
    <row r="1139" spans="1:9" x14ac:dyDescent="0.25">
      <c r="A1139" s="11" t="s">
        <v>1169</v>
      </c>
      <c r="H1139" t="str">
        <f>VLOOKUP(Medical_Examinations_2[[#This Row],[Customer ID]],Medical_Examinations!$1:$1048576,9,FALSE)</f>
        <v>No major surgery</v>
      </c>
      <c r="I1139" t="str">
        <f>VLOOKUP(Medical_Examinations_2[[#This Row],[Customer ID]],Medical_Examinations!$1:$1048576,11,FALSE)</f>
        <v>No</v>
      </c>
    </row>
    <row r="1140" spans="1:9" x14ac:dyDescent="0.25">
      <c r="A1140" s="10" t="s">
        <v>1170</v>
      </c>
      <c r="H1140" t="str">
        <f>VLOOKUP(Medical_Examinations_2[[#This Row],[Customer ID]],Medical_Examinations!$1:$1048576,9,FALSE)</f>
        <v>No major surgery</v>
      </c>
      <c r="I1140" t="str">
        <f>VLOOKUP(Medical_Examinations_2[[#This Row],[Customer ID]],Medical_Examinations!$1:$1048576,11,FALSE)</f>
        <v>No</v>
      </c>
    </row>
    <row r="1141" spans="1:9" x14ac:dyDescent="0.25">
      <c r="A1141" s="11" t="s">
        <v>1171</v>
      </c>
      <c r="H1141">
        <f>VLOOKUP(Medical_Examinations_2[[#This Row],[Customer ID]],Medical_Examinations!$1:$1048576,9,FALSE)</f>
        <v>1</v>
      </c>
      <c r="I1141" t="str">
        <f>VLOOKUP(Medical_Examinations_2[[#This Row],[Customer ID]],Medical_Examinations!$1:$1048576,11,FALSE)</f>
        <v>No</v>
      </c>
    </row>
    <row r="1142" spans="1:9" x14ac:dyDescent="0.25">
      <c r="A1142" s="10" t="s">
        <v>1172</v>
      </c>
      <c r="H1142">
        <f>VLOOKUP(Medical_Examinations_2[[#This Row],[Customer ID]],Medical_Examinations!$1:$1048576,9,FALSE)</f>
        <v>1</v>
      </c>
      <c r="I1142" t="str">
        <f>VLOOKUP(Medical_Examinations_2[[#This Row],[Customer ID]],Medical_Examinations!$1:$1048576,11,FALSE)</f>
        <v>No</v>
      </c>
    </row>
    <row r="1143" spans="1:9" x14ac:dyDescent="0.25">
      <c r="A1143" s="11" t="s">
        <v>1173</v>
      </c>
      <c r="H1143" t="str">
        <f>VLOOKUP(Medical_Examinations_2[[#This Row],[Customer ID]],Medical_Examinations!$1:$1048576,9,FALSE)</f>
        <v>No major surgery</v>
      </c>
      <c r="I1143" t="str">
        <f>VLOOKUP(Medical_Examinations_2[[#This Row],[Customer ID]],Medical_Examinations!$1:$1048576,11,FALSE)</f>
        <v>No</v>
      </c>
    </row>
    <row r="1144" spans="1:9" x14ac:dyDescent="0.25">
      <c r="A1144" s="10" t="s">
        <v>1174</v>
      </c>
      <c r="H1144">
        <f>VLOOKUP(Medical_Examinations_2[[#This Row],[Customer ID]],Medical_Examinations!$1:$1048576,9,FALSE)</f>
        <v>1</v>
      </c>
      <c r="I1144" t="str">
        <f>VLOOKUP(Medical_Examinations_2[[#This Row],[Customer ID]],Medical_Examinations!$1:$1048576,11,FALSE)</f>
        <v>No</v>
      </c>
    </row>
    <row r="1145" spans="1:9" x14ac:dyDescent="0.25">
      <c r="A1145" s="11" t="s">
        <v>1175</v>
      </c>
      <c r="H1145" t="str">
        <f>VLOOKUP(Medical_Examinations_2[[#This Row],[Customer ID]],Medical_Examinations!$1:$1048576,9,FALSE)</f>
        <v>No major surgery</v>
      </c>
      <c r="I1145" t="str">
        <f>VLOOKUP(Medical_Examinations_2[[#This Row],[Customer ID]],Medical_Examinations!$1:$1048576,11,FALSE)</f>
        <v>No</v>
      </c>
    </row>
    <row r="1146" spans="1:9" x14ac:dyDescent="0.25">
      <c r="A1146" s="10" t="s">
        <v>1176</v>
      </c>
      <c r="H1146" t="str">
        <f>VLOOKUP(Medical_Examinations_2[[#This Row],[Customer ID]],Medical_Examinations!$1:$1048576,9,FALSE)</f>
        <v>No major surgery</v>
      </c>
      <c r="I1146" t="str">
        <f>VLOOKUP(Medical_Examinations_2[[#This Row],[Customer ID]],Medical_Examinations!$1:$1048576,11,FALSE)</f>
        <v>No</v>
      </c>
    </row>
    <row r="1147" spans="1:9" x14ac:dyDescent="0.25">
      <c r="A1147" s="11" t="s">
        <v>1177</v>
      </c>
      <c r="H1147" t="str">
        <f>VLOOKUP(Medical_Examinations_2[[#This Row],[Customer ID]],Medical_Examinations!$1:$1048576,9,FALSE)</f>
        <v>No major surgery</v>
      </c>
      <c r="I1147" t="str">
        <f>VLOOKUP(Medical_Examinations_2[[#This Row],[Customer ID]],Medical_Examinations!$1:$1048576,11,FALSE)</f>
        <v>No</v>
      </c>
    </row>
    <row r="1148" spans="1:9" x14ac:dyDescent="0.25">
      <c r="A1148" s="10" t="s">
        <v>1178</v>
      </c>
      <c r="H1148">
        <f>VLOOKUP(Medical_Examinations_2[[#This Row],[Customer ID]],Medical_Examinations!$1:$1048576,9,FALSE)</f>
        <v>1</v>
      </c>
      <c r="I1148" t="str">
        <f>VLOOKUP(Medical_Examinations_2[[#This Row],[Customer ID]],Medical_Examinations!$1:$1048576,11,FALSE)</f>
        <v>No</v>
      </c>
    </row>
    <row r="1149" spans="1:9" x14ac:dyDescent="0.25">
      <c r="A1149" s="11" t="s">
        <v>1179</v>
      </c>
      <c r="H1149">
        <f>VLOOKUP(Medical_Examinations_2[[#This Row],[Customer ID]],Medical_Examinations!$1:$1048576,9,FALSE)</f>
        <v>2</v>
      </c>
      <c r="I1149" t="str">
        <f>VLOOKUP(Medical_Examinations_2[[#This Row],[Customer ID]],Medical_Examinations!$1:$1048576,11,FALSE)</f>
        <v>No</v>
      </c>
    </row>
    <row r="1150" spans="1:9" x14ac:dyDescent="0.25">
      <c r="A1150" s="10" t="s">
        <v>1180</v>
      </c>
      <c r="H1150">
        <f>VLOOKUP(Medical_Examinations_2[[#This Row],[Customer ID]],Medical_Examinations!$1:$1048576,9,FALSE)</f>
        <v>2</v>
      </c>
      <c r="I1150" t="str">
        <f>VLOOKUP(Medical_Examinations_2[[#This Row],[Customer ID]],Medical_Examinations!$1:$1048576,11,FALSE)</f>
        <v>No</v>
      </c>
    </row>
    <row r="1151" spans="1:9" x14ac:dyDescent="0.25">
      <c r="A1151" s="11" t="s">
        <v>1181</v>
      </c>
      <c r="H1151">
        <f>VLOOKUP(Medical_Examinations_2[[#This Row],[Customer ID]],Medical_Examinations!$1:$1048576,9,FALSE)</f>
        <v>2</v>
      </c>
      <c r="I1151" t="str">
        <f>VLOOKUP(Medical_Examinations_2[[#This Row],[Customer ID]],Medical_Examinations!$1:$1048576,11,FALSE)</f>
        <v>No</v>
      </c>
    </row>
    <row r="1152" spans="1:9" x14ac:dyDescent="0.25">
      <c r="A1152" s="10" t="s">
        <v>1182</v>
      </c>
      <c r="H1152" t="str">
        <f>VLOOKUP(Medical_Examinations_2[[#This Row],[Customer ID]],Medical_Examinations!$1:$1048576,9,FALSE)</f>
        <v>No major surgery</v>
      </c>
      <c r="I1152" t="str">
        <f>VLOOKUP(Medical_Examinations_2[[#This Row],[Customer ID]],Medical_Examinations!$1:$1048576,11,FALSE)</f>
        <v>No</v>
      </c>
    </row>
    <row r="1153" spans="1:9" x14ac:dyDescent="0.25">
      <c r="A1153" s="11" t="s">
        <v>1183</v>
      </c>
      <c r="H1153" t="str">
        <f>VLOOKUP(Medical_Examinations_2[[#This Row],[Customer ID]],Medical_Examinations!$1:$1048576,9,FALSE)</f>
        <v>No major surgery</v>
      </c>
      <c r="I1153" t="str">
        <f>VLOOKUP(Medical_Examinations_2[[#This Row],[Customer ID]],Medical_Examinations!$1:$1048576,11,FALSE)</f>
        <v>No</v>
      </c>
    </row>
    <row r="1154" spans="1:9" x14ac:dyDescent="0.25">
      <c r="A1154" s="10" t="s">
        <v>1184</v>
      </c>
      <c r="H1154">
        <f>VLOOKUP(Medical_Examinations_2[[#This Row],[Customer ID]],Medical_Examinations!$1:$1048576,9,FALSE)</f>
        <v>2</v>
      </c>
      <c r="I1154" t="str">
        <f>VLOOKUP(Medical_Examinations_2[[#This Row],[Customer ID]],Medical_Examinations!$1:$1048576,11,FALSE)</f>
        <v>No</v>
      </c>
    </row>
    <row r="1155" spans="1:9" x14ac:dyDescent="0.25">
      <c r="A1155" s="11" t="s">
        <v>1185</v>
      </c>
      <c r="H1155" t="str">
        <f>VLOOKUP(Medical_Examinations_2[[#This Row],[Customer ID]],Medical_Examinations!$1:$1048576,9,FALSE)</f>
        <v>No major surgery</v>
      </c>
      <c r="I1155" t="str">
        <f>VLOOKUP(Medical_Examinations_2[[#This Row],[Customer ID]],Medical_Examinations!$1:$1048576,11,FALSE)</f>
        <v>No</v>
      </c>
    </row>
    <row r="1156" spans="1:9" x14ac:dyDescent="0.25">
      <c r="A1156" s="10" t="s">
        <v>1186</v>
      </c>
      <c r="H1156" t="str">
        <f>VLOOKUP(Medical_Examinations_2[[#This Row],[Customer ID]],Medical_Examinations!$1:$1048576,9,FALSE)</f>
        <v>No major surgery</v>
      </c>
      <c r="I1156" t="str">
        <f>VLOOKUP(Medical_Examinations_2[[#This Row],[Customer ID]],Medical_Examinations!$1:$1048576,11,FALSE)</f>
        <v>No</v>
      </c>
    </row>
    <row r="1157" spans="1:9" x14ac:dyDescent="0.25">
      <c r="A1157" s="11" t="s">
        <v>1187</v>
      </c>
      <c r="H1157">
        <f>VLOOKUP(Medical_Examinations_2[[#This Row],[Customer ID]],Medical_Examinations!$1:$1048576,9,FALSE)</f>
        <v>2</v>
      </c>
      <c r="I1157" t="str">
        <f>VLOOKUP(Medical_Examinations_2[[#This Row],[Customer ID]],Medical_Examinations!$1:$1048576,11,FALSE)</f>
        <v>No</v>
      </c>
    </row>
    <row r="1158" spans="1:9" x14ac:dyDescent="0.25">
      <c r="A1158" s="10" t="s">
        <v>1188</v>
      </c>
      <c r="H1158">
        <f>VLOOKUP(Medical_Examinations_2[[#This Row],[Customer ID]],Medical_Examinations!$1:$1048576,9,FALSE)</f>
        <v>2</v>
      </c>
      <c r="I1158" t="str">
        <f>VLOOKUP(Medical_Examinations_2[[#This Row],[Customer ID]],Medical_Examinations!$1:$1048576,11,FALSE)</f>
        <v>No</v>
      </c>
    </row>
    <row r="1159" spans="1:9" x14ac:dyDescent="0.25">
      <c r="A1159" s="11" t="s">
        <v>1189</v>
      </c>
      <c r="H1159">
        <f>VLOOKUP(Medical_Examinations_2[[#This Row],[Customer ID]],Medical_Examinations!$1:$1048576,9,FALSE)</f>
        <v>2</v>
      </c>
      <c r="I1159" t="str">
        <f>VLOOKUP(Medical_Examinations_2[[#This Row],[Customer ID]],Medical_Examinations!$1:$1048576,11,FALSE)</f>
        <v>No</v>
      </c>
    </row>
    <row r="1160" spans="1:9" x14ac:dyDescent="0.25">
      <c r="A1160" s="10" t="s">
        <v>1190</v>
      </c>
      <c r="H1160">
        <f>VLOOKUP(Medical_Examinations_2[[#This Row],[Customer ID]],Medical_Examinations!$1:$1048576,9,FALSE)</f>
        <v>1</v>
      </c>
    </row>
    <row r="1161" spans="1:9" x14ac:dyDescent="0.25">
      <c r="A1161" s="11" t="s">
        <v>1191</v>
      </c>
      <c r="H1161">
        <f>VLOOKUP(Medical_Examinations_2[[#This Row],[Customer ID]],Medical_Examinations!$1:$1048576,9,FALSE)</f>
        <v>2</v>
      </c>
    </row>
    <row r="1162" spans="1:9" x14ac:dyDescent="0.25">
      <c r="A1162" s="10" t="s">
        <v>1192</v>
      </c>
      <c r="H1162" t="str">
        <f>VLOOKUP(Medical_Examinations_2[[#This Row],[Customer ID]],Medical_Examinations!$1:$1048576,9,FALSE)</f>
        <v>No major surgery</v>
      </c>
    </row>
    <row r="1163" spans="1:9" x14ac:dyDescent="0.25">
      <c r="A1163" s="11" t="s">
        <v>1193</v>
      </c>
      <c r="H1163">
        <f>VLOOKUP(Medical_Examinations_2[[#This Row],[Customer ID]],Medical_Examinations!$1:$1048576,9,FALSE)</f>
        <v>1</v>
      </c>
    </row>
    <row r="1164" spans="1:9" x14ac:dyDescent="0.25">
      <c r="A1164" s="10" t="s">
        <v>1194</v>
      </c>
      <c r="H1164">
        <f>VLOOKUP(Medical_Examinations_2[[#This Row],[Customer ID]],Medical_Examinations!$1:$1048576,9,FALSE)</f>
        <v>2</v>
      </c>
    </row>
    <row r="1165" spans="1:9" x14ac:dyDescent="0.25">
      <c r="A1165" s="11" t="s">
        <v>1195</v>
      </c>
      <c r="H1165" t="str">
        <f>VLOOKUP(Medical_Examinations_2[[#This Row],[Customer ID]],Medical_Examinations!$1:$1048576,9,FALSE)</f>
        <v>No major surgery</v>
      </c>
    </row>
    <row r="1166" spans="1:9" x14ac:dyDescent="0.25">
      <c r="A1166" s="10" t="s">
        <v>1196</v>
      </c>
      <c r="H1166" t="str">
        <f>VLOOKUP(Medical_Examinations_2[[#This Row],[Customer ID]],Medical_Examinations!$1:$1048576,9,FALSE)</f>
        <v>No major surgery</v>
      </c>
    </row>
    <row r="1167" spans="1:9" x14ac:dyDescent="0.25">
      <c r="A1167" s="11" t="s">
        <v>1197</v>
      </c>
      <c r="H1167" t="str">
        <f>VLOOKUP(Medical_Examinations_2[[#This Row],[Customer ID]],Medical_Examinations!$1:$1048576,9,FALSE)</f>
        <v>No major surgery</v>
      </c>
    </row>
    <row r="1168" spans="1:9" x14ac:dyDescent="0.25">
      <c r="A1168" s="10" t="s">
        <v>1198</v>
      </c>
      <c r="H1168">
        <f>VLOOKUP(Medical_Examinations_2[[#This Row],[Customer ID]],Medical_Examinations!$1:$1048576,9,FALSE)</f>
        <v>2</v>
      </c>
    </row>
    <row r="1169" spans="1:8" x14ac:dyDescent="0.25">
      <c r="A1169" s="11" t="s">
        <v>1199</v>
      </c>
      <c r="H1169" t="str">
        <f>VLOOKUP(Medical_Examinations_2[[#This Row],[Customer ID]],Medical_Examinations!$1:$1048576,9,FALSE)</f>
        <v>No major surgery</v>
      </c>
    </row>
    <row r="1170" spans="1:8" x14ac:dyDescent="0.25">
      <c r="A1170" s="10" t="s">
        <v>1200</v>
      </c>
      <c r="H1170">
        <f>VLOOKUP(Medical_Examinations_2[[#This Row],[Customer ID]],Medical_Examinations!$1:$1048576,9,FALSE)</f>
        <v>2</v>
      </c>
    </row>
    <row r="1171" spans="1:8" x14ac:dyDescent="0.25">
      <c r="A1171" s="11" t="s">
        <v>1201</v>
      </c>
      <c r="H1171">
        <f>VLOOKUP(Medical_Examinations_2[[#This Row],[Customer ID]],Medical_Examinations!$1:$1048576,9,FALSE)</f>
        <v>1</v>
      </c>
    </row>
    <row r="1172" spans="1:8" x14ac:dyDescent="0.25">
      <c r="A1172" s="10" t="s">
        <v>1202</v>
      </c>
      <c r="H1172">
        <f>VLOOKUP(Medical_Examinations_2[[#This Row],[Customer ID]],Medical_Examinations!$1:$1048576,9,FALSE)</f>
        <v>1</v>
      </c>
    </row>
    <row r="1173" spans="1:8" x14ac:dyDescent="0.25">
      <c r="A1173" s="11" t="s">
        <v>1203</v>
      </c>
      <c r="H1173">
        <f>VLOOKUP(Medical_Examinations_2[[#This Row],[Customer ID]],Medical_Examinations!$1:$1048576,9,FALSE)</f>
        <v>2</v>
      </c>
    </row>
    <row r="1174" spans="1:8" x14ac:dyDescent="0.25">
      <c r="A1174" s="10" t="s">
        <v>1204</v>
      </c>
      <c r="H1174">
        <f>VLOOKUP(Medical_Examinations_2[[#This Row],[Customer ID]],Medical_Examinations!$1:$1048576,9,FALSE)</f>
        <v>1</v>
      </c>
    </row>
    <row r="1175" spans="1:8" x14ac:dyDescent="0.25">
      <c r="A1175" s="11" t="s">
        <v>1205</v>
      </c>
      <c r="H1175" t="str">
        <f>VLOOKUP(Medical_Examinations_2[[#This Row],[Customer ID]],Medical_Examinations!$1:$1048576,9,FALSE)</f>
        <v>No major surgery</v>
      </c>
    </row>
    <row r="1176" spans="1:8" x14ac:dyDescent="0.25">
      <c r="A1176" s="10" t="s">
        <v>1206</v>
      </c>
      <c r="H1176">
        <f>VLOOKUP(Medical_Examinations_2[[#This Row],[Customer ID]],Medical_Examinations!$1:$1048576,9,FALSE)</f>
        <v>2</v>
      </c>
    </row>
    <row r="1177" spans="1:8" x14ac:dyDescent="0.25">
      <c r="A1177" s="11" t="s">
        <v>1207</v>
      </c>
      <c r="H1177">
        <f>VLOOKUP(Medical_Examinations_2[[#This Row],[Customer ID]],Medical_Examinations!$1:$1048576,9,FALSE)</f>
        <v>1</v>
      </c>
    </row>
    <row r="1178" spans="1:8" x14ac:dyDescent="0.25">
      <c r="A1178" s="10" t="s">
        <v>1208</v>
      </c>
      <c r="H1178" t="str">
        <f>VLOOKUP(Medical_Examinations_2[[#This Row],[Customer ID]],Medical_Examinations!$1:$1048576,9,FALSE)</f>
        <v>No major surgery</v>
      </c>
    </row>
    <row r="1179" spans="1:8" x14ac:dyDescent="0.25">
      <c r="A1179" s="11" t="s">
        <v>1209</v>
      </c>
      <c r="H1179">
        <f>VLOOKUP(Medical_Examinations_2[[#This Row],[Customer ID]],Medical_Examinations!$1:$1048576,9,FALSE)</f>
        <v>2</v>
      </c>
    </row>
    <row r="1180" spans="1:8" x14ac:dyDescent="0.25">
      <c r="A1180" s="10" t="s">
        <v>1210</v>
      </c>
      <c r="H1180">
        <f>VLOOKUP(Medical_Examinations_2[[#This Row],[Customer ID]],Medical_Examinations!$1:$1048576,9,FALSE)</f>
        <v>2</v>
      </c>
    </row>
    <row r="1181" spans="1:8" x14ac:dyDescent="0.25">
      <c r="A1181" s="11" t="s">
        <v>1211</v>
      </c>
      <c r="H1181">
        <f>VLOOKUP(Medical_Examinations_2[[#This Row],[Customer ID]],Medical_Examinations!$1:$1048576,9,FALSE)</f>
        <v>2</v>
      </c>
    </row>
    <row r="1182" spans="1:8" x14ac:dyDescent="0.25">
      <c r="A1182" s="10" t="s">
        <v>1212</v>
      </c>
      <c r="H1182" t="str">
        <f>VLOOKUP(Medical_Examinations_2[[#This Row],[Customer ID]],Medical_Examinations!$1:$1048576,9,FALSE)</f>
        <v>No major surgery</v>
      </c>
    </row>
    <row r="1183" spans="1:8" x14ac:dyDescent="0.25">
      <c r="A1183" s="11" t="s">
        <v>1213</v>
      </c>
      <c r="H1183">
        <f>VLOOKUP(Medical_Examinations_2[[#This Row],[Customer ID]],Medical_Examinations!$1:$1048576,9,FALSE)</f>
        <v>2</v>
      </c>
    </row>
    <row r="1184" spans="1:8" x14ac:dyDescent="0.25">
      <c r="A1184" s="10" t="s">
        <v>1214</v>
      </c>
      <c r="H1184">
        <f>VLOOKUP(Medical_Examinations_2[[#This Row],[Customer ID]],Medical_Examinations!$1:$1048576,9,FALSE)</f>
        <v>2</v>
      </c>
    </row>
    <row r="1185" spans="1:8" x14ac:dyDescent="0.25">
      <c r="A1185" s="11" t="s">
        <v>1215</v>
      </c>
      <c r="H1185">
        <f>VLOOKUP(Medical_Examinations_2[[#This Row],[Customer ID]],Medical_Examinations!$1:$1048576,9,FALSE)</f>
        <v>1</v>
      </c>
    </row>
    <row r="1186" spans="1:8" x14ac:dyDescent="0.25">
      <c r="A1186" s="10" t="s">
        <v>1216</v>
      </c>
      <c r="H1186">
        <f>VLOOKUP(Medical_Examinations_2[[#This Row],[Customer ID]],Medical_Examinations!$1:$1048576,9,FALSE)</f>
        <v>2</v>
      </c>
    </row>
    <row r="1187" spans="1:8" x14ac:dyDescent="0.25">
      <c r="A1187" s="11" t="s">
        <v>1217</v>
      </c>
      <c r="H1187" t="str">
        <f>VLOOKUP(Medical_Examinations_2[[#This Row],[Customer ID]],Medical_Examinations!$1:$1048576,9,FALSE)</f>
        <v>No major surgery</v>
      </c>
    </row>
    <row r="1188" spans="1:8" x14ac:dyDescent="0.25">
      <c r="A1188" s="10" t="s">
        <v>1218</v>
      </c>
      <c r="H1188">
        <f>VLOOKUP(Medical_Examinations_2[[#This Row],[Customer ID]],Medical_Examinations!$1:$1048576,9,FALSE)</f>
        <v>1</v>
      </c>
    </row>
    <row r="1189" spans="1:8" x14ac:dyDescent="0.25">
      <c r="A1189" s="11" t="s">
        <v>1219</v>
      </c>
      <c r="H1189">
        <f>VLOOKUP(Medical_Examinations_2[[#This Row],[Customer ID]],Medical_Examinations!$1:$1048576,9,FALSE)</f>
        <v>1</v>
      </c>
    </row>
    <row r="1190" spans="1:8" x14ac:dyDescent="0.25">
      <c r="A1190" s="10" t="s">
        <v>1220</v>
      </c>
      <c r="H1190" t="str">
        <f>VLOOKUP(Medical_Examinations_2[[#This Row],[Customer ID]],Medical_Examinations!$1:$1048576,9,FALSE)</f>
        <v>No major surgery</v>
      </c>
    </row>
    <row r="1191" spans="1:8" x14ac:dyDescent="0.25">
      <c r="A1191" s="11" t="s">
        <v>1221</v>
      </c>
      <c r="H1191">
        <f>VLOOKUP(Medical_Examinations_2[[#This Row],[Customer ID]],Medical_Examinations!$1:$1048576,9,FALSE)</f>
        <v>1</v>
      </c>
    </row>
    <row r="1192" spans="1:8" x14ac:dyDescent="0.25">
      <c r="A1192" s="10" t="s">
        <v>1222</v>
      </c>
      <c r="H1192">
        <f>VLOOKUP(Medical_Examinations_2[[#This Row],[Customer ID]],Medical_Examinations!$1:$1048576,9,FALSE)</f>
        <v>1</v>
      </c>
    </row>
    <row r="1193" spans="1:8" x14ac:dyDescent="0.25">
      <c r="A1193" s="11" t="s">
        <v>1223</v>
      </c>
      <c r="H1193">
        <f>VLOOKUP(Medical_Examinations_2[[#This Row],[Customer ID]],Medical_Examinations!$1:$1048576,9,FALSE)</f>
        <v>1</v>
      </c>
    </row>
    <row r="1194" spans="1:8" x14ac:dyDescent="0.25">
      <c r="A1194" s="10" t="s">
        <v>1224</v>
      </c>
      <c r="H1194" t="str">
        <f>VLOOKUP(Medical_Examinations_2[[#This Row],[Customer ID]],Medical_Examinations!$1:$1048576,9,FALSE)</f>
        <v>No major surgery</v>
      </c>
    </row>
    <row r="1195" spans="1:8" x14ac:dyDescent="0.25">
      <c r="A1195" s="11" t="s">
        <v>1225</v>
      </c>
      <c r="H1195" t="str">
        <f>VLOOKUP(Medical_Examinations_2[[#This Row],[Customer ID]],Medical_Examinations!$1:$1048576,9,FALSE)</f>
        <v>No major surgery</v>
      </c>
    </row>
    <row r="1196" spans="1:8" x14ac:dyDescent="0.25">
      <c r="A1196" s="10" t="s">
        <v>1226</v>
      </c>
      <c r="H1196" t="str">
        <f>VLOOKUP(Medical_Examinations_2[[#This Row],[Customer ID]],Medical_Examinations!$1:$1048576,9,FALSE)</f>
        <v>No major surgery</v>
      </c>
    </row>
    <row r="1197" spans="1:8" x14ac:dyDescent="0.25">
      <c r="A1197" s="11" t="s">
        <v>1227</v>
      </c>
      <c r="H1197" t="str">
        <f>VLOOKUP(Medical_Examinations_2[[#This Row],[Customer ID]],Medical_Examinations!$1:$1048576,9,FALSE)</f>
        <v>No major surgery</v>
      </c>
    </row>
    <row r="1198" spans="1:8" x14ac:dyDescent="0.25">
      <c r="A1198" s="10" t="s">
        <v>1228</v>
      </c>
      <c r="H1198" t="str">
        <f>VLOOKUP(Medical_Examinations_2[[#This Row],[Customer ID]],Medical_Examinations!$1:$1048576,9,FALSE)</f>
        <v>No major surgery</v>
      </c>
    </row>
    <row r="1199" spans="1:8" x14ac:dyDescent="0.25">
      <c r="A1199" s="11" t="s">
        <v>1229</v>
      </c>
      <c r="H1199" t="str">
        <f>VLOOKUP(Medical_Examinations_2[[#This Row],[Customer ID]],Medical_Examinations!$1:$1048576,9,FALSE)</f>
        <v>No major surgery</v>
      </c>
    </row>
    <row r="1200" spans="1:8" x14ac:dyDescent="0.25">
      <c r="A1200" s="10" t="s">
        <v>1230</v>
      </c>
      <c r="H1200" t="str">
        <f>VLOOKUP(Medical_Examinations_2[[#This Row],[Customer ID]],Medical_Examinations!$1:$1048576,9,FALSE)</f>
        <v>No major surgery</v>
      </c>
    </row>
    <row r="1201" spans="1:8" x14ac:dyDescent="0.25">
      <c r="A1201" s="11" t="s">
        <v>1231</v>
      </c>
      <c r="H1201">
        <f>VLOOKUP(Medical_Examinations_2[[#This Row],[Customer ID]],Medical_Examinations!$1:$1048576,9,FALSE)</f>
        <v>1</v>
      </c>
    </row>
    <row r="1202" spans="1:8" x14ac:dyDescent="0.25">
      <c r="A1202" s="10" t="s">
        <v>1232</v>
      </c>
      <c r="H1202" t="str">
        <f>VLOOKUP(Medical_Examinations_2[[#This Row],[Customer ID]],Medical_Examinations!$1:$1048576,9,FALSE)</f>
        <v>No major surgery</v>
      </c>
    </row>
    <row r="1203" spans="1:8" x14ac:dyDescent="0.25">
      <c r="A1203" s="11" t="s">
        <v>1233</v>
      </c>
      <c r="H1203">
        <f>VLOOKUP(Medical_Examinations_2[[#This Row],[Customer ID]],Medical_Examinations!$1:$1048576,9,FALSE)</f>
        <v>1</v>
      </c>
    </row>
    <row r="1204" spans="1:8" x14ac:dyDescent="0.25">
      <c r="A1204" s="10" t="s">
        <v>1234</v>
      </c>
      <c r="H1204" t="str">
        <f>VLOOKUP(Medical_Examinations_2[[#This Row],[Customer ID]],Medical_Examinations!$1:$1048576,9,FALSE)</f>
        <v>No major surgery</v>
      </c>
    </row>
    <row r="1205" spans="1:8" x14ac:dyDescent="0.25">
      <c r="A1205" s="11" t="s">
        <v>1235</v>
      </c>
      <c r="H1205">
        <f>VLOOKUP(Medical_Examinations_2[[#This Row],[Customer ID]],Medical_Examinations!$1:$1048576,9,FALSE)</f>
        <v>1</v>
      </c>
    </row>
    <row r="1206" spans="1:8" x14ac:dyDescent="0.25">
      <c r="A1206" s="10" t="s">
        <v>1236</v>
      </c>
      <c r="H1206" t="str">
        <f>VLOOKUP(Medical_Examinations_2[[#This Row],[Customer ID]],Medical_Examinations!$1:$1048576,9,FALSE)</f>
        <v>No major surgery</v>
      </c>
    </row>
    <row r="1207" spans="1:8" x14ac:dyDescent="0.25">
      <c r="A1207" s="11" t="s">
        <v>1237</v>
      </c>
      <c r="H1207">
        <f>VLOOKUP(Medical_Examinations_2[[#This Row],[Customer ID]],Medical_Examinations!$1:$1048576,9,FALSE)</f>
        <v>1</v>
      </c>
    </row>
    <row r="1208" spans="1:8" x14ac:dyDescent="0.25">
      <c r="A1208" s="10" t="s">
        <v>1238</v>
      </c>
      <c r="H1208" t="str">
        <f>VLOOKUP(Medical_Examinations_2[[#This Row],[Customer ID]],Medical_Examinations!$1:$1048576,9,FALSE)</f>
        <v>No major surgery</v>
      </c>
    </row>
    <row r="1209" spans="1:8" x14ac:dyDescent="0.25">
      <c r="A1209" s="11" t="s">
        <v>1239</v>
      </c>
      <c r="H1209">
        <f>VLOOKUP(Medical_Examinations_2[[#This Row],[Customer ID]],Medical_Examinations!$1:$1048576,9,FALSE)</f>
        <v>1</v>
      </c>
    </row>
    <row r="1210" spans="1:8" x14ac:dyDescent="0.25">
      <c r="A1210" s="10" t="s">
        <v>1240</v>
      </c>
      <c r="H1210">
        <f>VLOOKUP(Medical_Examinations_2[[#This Row],[Customer ID]],Medical_Examinations!$1:$1048576,9,FALSE)</f>
        <v>2</v>
      </c>
    </row>
    <row r="1211" spans="1:8" x14ac:dyDescent="0.25">
      <c r="A1211" s="11" t="s">
        <v>1241</v>
      </c>
      <c r="H1211" t="str">
        <f>VLOOKUP(Medical_Examinations_2[[#This Row],[Customer ID]],Medical_Examinations!$1:$1048576,9,FALSE)</f>
        <v>No major surgery</v>
      </c>
    </row>
    <row r="1212" spans="1:8" x14ac:dyDescent="0.25">
      <c r="A1212" s="10" t="s">
        <v>1242</v>
      </c>
      <c r="H1212">
        <f>VLOOKUP(Medical_Examinations_2[[#This Row],[Customer ID]],Medical_Examinations!$1:$1048576,9,FALSE)</f>
        <v>2</v>
      </c>
    </row>
    <row r="1213" spans="1:8" x14ac:dyDescent="0.25">
      <c r="A1213" s="11" t="s">
        <v>1243</v>
      </c>
      <c r="H1213">
        <f>VLOOKUP(Medical_Examinations_2[[#This Row],[Customer ID]],Medical_Examinations!$1:$1048576,9,FALSE)</f>
        <v>2</v>
      </c>
    </row>
    <row r="1214" spans="1:8" x14ac:dyDescent="0.25">
      <c r="A1214" s="10" t="s">
        <v>1244</v>
      </c>
      <c r="H1214">
        <f>VLOOKUP(Medical_Examinations_2[[#This Row],[Customer ID]],Medical_Examinations!$1:$1048576,9,FALSE)</f>
        <v>1</v>
      </c>
    </row>
    <row r="1215" spans="1:8" x14ac:dyDescent="0.25">
      <c r="A1215" s="11" t="s">
        <v>1245</v>
      </c>
      <c r="H1215" t="str">
        <f>VLOOKUP(Medical_Examinations_2[[#This Row],[Customer ID]],Medical_Examinations!$1:$1048576,9,FALSE)</f>
        <v>No major surgery</v>
      </c>
    </row>
    <row r="1216" spans="1:8" x14ac:dyDescent="0.25">
      <c r="A1216" s="10" t="s">
        <v>1246</v>
      </c>
      <c r="H1216">
        <f>VLOOKUP(Medical_Examinations_2[[#This Row],[Customer ID]],Medical_Examinations!$1:$1048576,9,FALSE)</f>
        <v>2</v>
      </c>
    </row>
    <row r="1217" spans="1:8" x14ac:dyDescent="0.25">
      <c r="A1217" s="11" t="s">
        <v>1247</v>
      </c>
      <c r="H1217" t="str">
        <f>VLOOKUP(Medical_Examinations_2[[#This Row],[Customer ID]],Medical_Examinations!$1:$1048576,9,FALSE)</f>
        <v>No major surgery</v>
      </c>
    </row>
    <row r="1218" spans="1:8" x14ac:dyDescent="0.25">
      <c r="A1218" s="10" t="s">
        <v>1248</v>
      </c>
      <c r="H1218" t="str">
        <f>VLOOKUP(Medical_Examinations_2[[#This Row],[Customer ID]],Medical_Examinations!$1:$1048576,9,FALSE)</f>
        <v>No major surgery</v>
      </c>
    </row>
    <row r="1219" spans="1:8" x14ac:dyDescent="0.25">
      <c r="A1219" s="11" t="s">
        <v>1249</v>
      </c>
      <c r="H1219" t="str">
        <f>VLOOKUP(Medical_Examinations_2[[#This Row],[Customer ID]],Medical_Examinations!$1:$1048576,9,FALSE)</f>
        <v>No major surgery</v>
      </c>
    </row>
    <row r="1220" spans="1:8" x14ac:dyDescent="0.25">
      <c r="A1220" s="10" t="s">
        <v>1250</v>
      </c>
      <c r="H1220">
        <f>VLOOKUP(Medical_Examinations_2[[#This Row],[Customer ID]],Medical_Examinations!$1:$1048576,9,FALSE)</f>
        <v>1</v>
      </c>
    </row>
    <row r="1221" spans="1:8" x14ac:dyDescent="0.25">
      <c r="A1221" s="11" t="s">
        <v>1251</v>
      </c>
      <c r="H1221" t="str">
        <f>VLOOKUP(Medical_Examinations_2[[#This Row],[Customer ID]],Medical_Examinations!$1:$1048576,9,FALSE)</f>
        <v>No major surgery</v>
      </c>
    </row>
    <row r="1222" spans="1:8" x14ac:dyDescent="0.25">
      <c r="A1222" s="10" t="s">
        <v>1252</v>
      </c>
      <c r="H1222">
        <f>VLOOKUP(Medical_Examinations_2[[#This Row],[Customer ID]],Medical_Examinations!$1:$1048576,9,FALSE)</f>
        <v>1</v>
      </c>
    </row>
    <row r="1223" spans="1:8" x14ac:dyDescent="0.25">
      <c r="A1223" s="11" t="s">
        <v>1253</v>
      </c>
      <c r="H1223" t="str">
        <f>VLOOKUP(Medical_Examinations_2[[#This Row],[Customer ID]],Medical_Examinations!$1:$1048576,9,FALSE)</f>
        <v>No major surgery</v>
      </c>
    </row>
    <row r="1224" spans="1:8" x14ac:dyDescent="0.25">
      <c r="A1224" s="10" t="s">
        <v>1254</v>
      </c>
      <c r="H1224">
        <f>VLOOKUP(Medical_Examinations_2[[#This Row],[Customer ID]],Medical_Examinations!$1:$1048576,9,FALSE)</f>
        <v>2</v>
      </c>
    </row>
    <row r="1225" spans="1:8" x14ac:dyDescent="0.25">
      <c r="A1225" s="11" t="s">
        <v>1255</v>
      </c>
      <c r="H1225" t="str">
        <f>VLOOKUP(Medical_Examinations_2[[#This Row],[Customer ID]],Medical_Examinations!$1:$1048576,9,FALSE)</f>
        <v>No major surgery</v>
      </c>
    </row>
    <row r="1226" spans="1:8" x14ac:dyDescent="0.25">
      <c r="A1226" s="10" t="s">
        <v>1256</v>
      </c>
      <c r="H1226">
        <f>VLOOKUP(Medical_Examinations_2[[#This Row],[Customer ID]],Medical_Examinations!$1:$1048576,9,FALSE)</f>
        <v>2</v>
      </c>
    </row>
    <row r="1227" spans="1:8" x14ac:dyDescent="0.25">
      <c r="A1227" s="11" t="s">
        <v>1257</v>
      </c>
      <c r="H1227" t="str">
        <f>VLOOKUP(Medical_Examinations_2[[#This Row],[Customer ID]],Medical_Examinations!$1:$1048576,9,FALSE)</f>
        <v>No major surgery</v>
      </c>
    </row>
    <row r="1228" spans="1:8" x14ac:dyDescent="0.25">
      <c r="A1228" s="10" t="s">
        <v>1258</v>
      </c>
      <c r="H1228" t="str">
        <f>VLOOKUP(Medical_Examinations_2[[#This Row],[Customer ID]],Medical_Examinations!$1:$1048576,9,FALSE)</f>
        <v>No major surgery</v>
      </c>
    </row>
    <row r="1229" spans="1:8" x14ac:dyDescent="0.25">
      <c r="A1229" s="11" t="s">
        <v>1259</v>
      </c>
      <c r="H1229">
        <f>VLOOKUP(Medical_Examinations_2[[#This Row],[Customer ID]],Medical_Examinations!$1:$1048576,9,FALSE)</f>
        <v>2</v>
      </c>
    </row>
    <row r="1230" spans="1:8" x14ac:dyDescent="0.25">
      <c r="A1230" s="10" t="s">
        <v>1260</v>
      </c>
      <c r="H1230">
        <f>VLOOKUP(Medical_Examinations_2[[#This Row],[Customer ID]],Medical_Examinations!$1:$1048576,9,FALSE)</f>
        <v>2</v>
      </c>
    </row>
    <row r="1231" spans="1:8" x14ac:dyDescent="0.25">
      <c r="A1231" s="11" t="s">
        <v>1261</v>
      </c>
      <c r="H1231" t="str">
        <f>VLOOKUP(Medical_Examinations_2[[#This Row],[Customer ID]],Medical_Examinations!$1:$1048576,9,FALSE)</f>
        <v>No major surgery</v>
      </c>
    </row>
    <row r="1232" spans="1:8" x14ac:dyDescent="0.25">
      <c r="A1232" s="10" t="s">
        <v>1262</v>
      </c>
      <c r="H1232" t="str">
        <f>VLOOKUP(Medical_Examinations_2[[#This Row],[Customer ID]],Medical_Examinations!$1:$1048576,9,FALSE)</f>
        <v>No major surgery</v>
      </c>
    </row>
    <row r="1233" spans="1:8" x14ac:dyDescent="0.25">
      <c r="A1233" s="11" t="s">
        <v>1263</v>
      </c>
      <c r="H1233" t="str">
        <f>VLOOKUP(Medical_Examinations_2[[#This Row],[Customer ID]],Medical_Examinations!$1:$1048576,9,FALSE)</f>
        <v>No major surgery</v>
      </c>
    </row>
    <row r="1234" spans="1:8" x14ac:dyDescent="0.25">
      <c r="A1234" s="10" t="s">
        <v>1264</v>
      </c>
      <c r="H1234">
        <f>VLOOKUP(Medical_Examinations_2[[#This Row],[Customer ID]],Medical_Examinations!$1:$1048576,9,FALSE)</f>
        <v>2</v>
      </c>
    </row>
    <row r="1235" spans="1:8" x14ac:dyDescent="0.25">
      <c r="A1235" s="11" t="s">
        <v>1265</v>
      </c>
      <c r="H1235">
        <f>VLOOKUP(Medical_Examinations_2[[#This Row],[Customer ID]],Medical_Examinations!$1:$1048576,9,FALSE)</f>
        <v>2</v>
      </c>
    </row>
    <row r="1236" spans="1:8" x14ac:dyDescent="0.25">
      <c r="A1236" s="10" t="s">
        <v>1266</v>
      </c>
      <c r="H1236">
        <f>VLOOKUP(Medical_Examinations_2[[#This Row],[Customer ID]],Medical_Examinations!$1:$1048576,9,FALSE)</f>
        <v>1</v>
      </c>
    </row>
    <row r="1237" spans="1:8" x14ac:dyDescent="0.25">
      <c r="A1237" s="11" t="s">
        <v>1267</v>
      </c>
      <c r="H1237">
        <f>VLOOKUP(Medical_Examinations_2[[#This Row],[Customer ID]],Medical_Examinations!$1:$1048576,9,FALSE)</f>
        <v>1</v>
      </c>
    </row>
    <row r="1238" spans="1:8" x14ac:dyDescent="0.25">
      <c r="A1238" s="10" t="s">
        <v>1268</v>
      </c>
      <c r="H1238">
        <f>VLOOKUP(Medical_Examinations_2[[#This Row],[Customer ID]],Medical_Examinations!$1:$1048576,9,FALSE)</f>
        <v>2</v>
      </c>
    </row>
    <row r="1239" spans="1:8" x14ac:dyDescent="0.25">
      <c r="A1239" s="11" t="s">
        <v>1269</v>
      </c>
      <c r="H1239" t="str">
        <f>VLOOKUP(Medical_Examinations_2[[#This Row],[Customer ID]],Medical_Examinations!$1:$1048576,9,FALSE)</f>
        <v>No major surgery</v>
      </c>
    </row>
    <row r="1240" spans="1:8" x14ac:dyDescent="0.25">
      <c r="A1240" s="10" t="s">
        <v>1270</v>
      </c>
      <c r="H1240" t="str">
        <f>VLOOKUP(Medical_Examinations_2[[#This Row],[Customer ID]],Medical_Examinations!$1:$1048576,9,FALSE)</f>
        <v>No major surgery</v>
      </c>
    </row>
    <row r="1241" spans="1:8" x14ac:dyDescent="0.25">
      <c r="A1241" s="11" t="s">
        <v>1271</v>
      </c>
      <c r="H1241">
        <f>VLOOKUP(Medical_Examinations_2[[#This Row],[Customer ID]],Medical_Examinations!$1:$1048576,9,FALSE)</f>
        <v>1</v>
      </c>
    </row>
    <row r="1242" spans="1:8" x14ac:dyDescent="0.25">
      <c r="A1242" s="10" t="s">
        <v>1272</v>
      </c>
      <c r="H1242" t="str">
        <f>VLOOKUP(Medical_Examinations_2[[#This Row],[Customer ID]],Medical_Examinations!$1:$1048576,9,FALSE)</f>
        <v>No major surgery</v>
      </c>
    </row>
    <row r="1243" spans="1:8" x14ac:dyDescent="0.25">
      <c r="A1243" s="11" t="s">
        <v>1273</v>
      </c>
      <c r="H1243">
        <f>VLOOKUP(Medical_Examinations_2[[#This Row],[Customer ID]],Medical_Examinations!$1:$1048576,9,FALSE)</f>
        <v>1</v>
      </c>
    </row>
    <row r="1244" spans="1:8" x14ac:dyDescent="0.25">
      <c r="A1244" s="10" t="s">
        <v>1274</v>
      </c>
      <c r="H1244" t="str">
        <f>VLOOKUP(Medical_Examinations_2[[#This Row],[Customer ID]],Medical_Examinations!$1:$1048576,9,FALSE)</f>
        <v>No major surgery</v>
      </c>
    </row>
    <row r="1245" spans="1:8" x14ac:dyDescent="0.25">
      <c r="A1245" s="11" t="s">
        <v>1275</v>
      </c>
      <c r="H1245">
        <f>VLOOKUP(Medical_Examinations_2[[#This Row],[Customer ID]],Medical_Examinations!$1:$1048576,9,FALSE)</f>
        <v>2</v>
      </c>
    </row>
    <row r="1246" spans="1:8" x14ac:dyDescent="0.25">
      <c r="A1246" s="10" t="s">
        <v>1276</v>
      </c>
      <c r="H1246">
        <f>VLOOKUP(Medical_Examinations_2[[#This Row],[Customer ID]],Medical_Examinations!$1:$1048576,9,FALSE)</f>
        <v>1</v>
      </c>
    </row>
    <row r="1247" spans="1:8" x14ac:dyDescent="0.25">
      <c r="A1247" s="11" t="s">
        <v>1277</v>
      </c>
      <c r="H1247" t="str">
        <f>VLOOKUP(Medical_Examinations_2[[#This Row],[Customer ID]],Medical_Examinations!$1:$1048576,9,FALSE)</f>
        <v>No major surgery</v>
      </c>
    </row>
    <row r="1248" spans="1:8" x14ac:dyDescent="0.25">
      <c r="A1248" s="10" t="s">
        <v>1278</v>
      </c>
      <c r="H1248">
        <f>VLOOKUP(Medical_Examinations_2[[#This Row],[Customer ID]],Medical_Examinations!$1:$1048576,9,FALSE)</f>
        <v>1</v>
      </c>
    </row>
    <row r="1249" spans="1:8" x14ac:dyDescent="0.25">
      <c r="A1249" s="11" t="s">
        <v>1279</v>
      </c>
      <c r="H1249" t="str">
        <f>VLOOKUP(Medical_Examinations_2[[#This Row],[Customer ID]],Medical_Examinations!$1:$1048576,9,FALSE)</f>
        <v>No major surgery</v>
      </c>
    </row>
    <row r="1250" spans="1:8" x14ac:dyDescent="0.25">
      <c r="A1250" s="10" t="s">
        <v>1280</v>
      </c>
      <c r="H1250">
        <f>VLOOKUP(Medical_Examinations_2[[#This Row],[Customer ID]],Medical_Examinations!$1:$1048576,9,FALSE)</f>
        <v>2</v>
      </c>
    </row>
    <row r="1251" spans="1:8" x14ac:dyDescent="0.25">
      <c r="A1251" s="11" t="s">
        <v>1281</v>
      </c>
      <c r="H1251" t="str">
        <f>VLOOKUP(Medical_Examinations_2[[#This Row],[Customer ID]],Medical_Examinations!$1:$1048576,9,FALSE)</f>
        <v>No major surgery</v>
      </c>
    </row>
    <row r="1252" spans="1:8" x14ac:dyDescent="0.25">
      <c r="A1252" s="10" t="s">
        <v>1282</v>
      </c>
      <c r="H1252">
        <f>VLOOKUP(Medical_Examinations_2[[#This Row],[Customer ID]],Medical_Examinations!$1:$1048576,9,FALSE)</f>
        <v>2</v>
      </c>
    </row>
    <row r="1253" spans="1:8" x14ac:dyDescent="0.25">
      <c r="A1253" s="11" t="s">
        <v>1283</v>
      </c>
      <c r="H1253">
        <f>VLOOKUP(Medical_Examinations_2[[#This Row],[Customer ID]],Medical_Examinations!$1:$1048576,9,FALSE)</f>
        <v>2</v>
      </c>
    </row>
    <row r="1254" spans="1:8" x14ac:dyDescent="0.25">
      <c r="A1254" s="10" t="s">
        <v>1284</v>
      </c>
      <c r="H1254" t="str">
        <f>VLOOKUP(Medical_Examinations_2[[#This Row],[Customer ID]],Medical_Examinations!$1:$1048576,9,FALSE)</f>
        <v>No major surgery</v>
      </c>
    </row>
    <row r="1255" spans="1:8" x14ac:dyDescent="0.25">
      <c r="A1255" s="11" t="s">
        <v>1285</v>
      </c>
      <c r="H1255">
        <f>VLOOKUP(Medical_Examinations_2[[#This Row],[Customer ID]],Medical_Examinations!$1:$1048576,9,FALSE)</f>
        <v>1</v>
      </c>
    </row>
    <row r="1256" spans="1:8" x14ac:dyDescent="0.25">
      <c r="A1256" s="10" t="s">
        <v>1286</v>
      </c>
      <c r="H1256" t="str">
        <f>VLOOKUP(Medical_Examinations_2[[#This Row],[Customer ID]],Medical_Examinations!$1:$1048576,9,FALSE)</f>
        <v>No major surgery</v>
      </c>
    </row>
    <row r="1257" spans="1:8" x14ac:dyDescent="0.25">
      <c r="A1257" s="11" t="s">
        <v>1287</v>
      </c>
      <c r="H1257" t="str">
        <f>VLOOKUP(Medical_Examinations_2[[#This Row],[Customer ID]],Medical_Examinations!$1:$1048576,9,FALSE)</f>
        <v>No major surgery</v>
      </c>
    </row>
    <row r="1258" spans="1:8" x14ac:dyDescent="0.25">
      <c r="A1258" s="10" t="s">
        <v>1288</v>
      </c>
      <c r="H1258" t="str">
        <f>VLOOKUP(Medical_Examinations_2[[#This Row],[Customer ID]],Medical_Examinations!$1:$1048576,9,FALSE)</f>
        <v>No major surgery</v>
      </c>
    </row>
    <row r="1259" spans="1:8" x14ac:dyDescent="0.25">
      <c r="A1259" s="11" t="s">
        <v>1289</v>
      </c>
      <c r="H1259" t="str">
        <f>VLOOKUP(Medical_Examinations_2[[#This Row],[Customer ID]],Medical_Examinations!$1:$1048576,9,FALSE)</f>
        <v>No major surgery</v>
      </c>
    </row>
    <row r="1260" spans="1:8" x14ac:dyDescent="0.25">
      <c r="A1260" s="10" t="s">
        <v>1290</v>
      </c>
      <c r="H1260" t="str">
        <f>VLOOKUP(Medical_Examinations_2[[#This Row],[Customer ID]],Medical_Examinations!$1:$1048576,9,FALSE)</f>
        <v>No major surgery</v>
      </c>
    </row>
    <row r="1261" spans="1:8" x14ac:dyDescent="0.25">
      <c r="A1261" s="11" t="s">
        <v>1291</v>
      </c>
      <c r="H1261" t="str">
        <f>VLOOKUP(Medical_Examinations_2[[#This Row],[Customer ID]],Medical_Examinations!$1:$1048576,9,FALSE)</f>
        <v>No major surgery</v>
      </c>
    </row>
    <row r="1262" spans="1:8" x14ac:dyDescent="0.25">
      <c r="A1262" s="10" t="s">
        <v>1292</v>
      </c>
      <c r="H1262" t="str">
        <f>VLOOKUP(Medical_Examinations_2[[#This Row],[Customer ID]],Medical_Examinations!$1:$1048576,9,FALSE)</f>
        <v>No major surgery</v>
      </c>
    </row>
    <row r="1263" spans="1:8" x14ac:dyDescent="0.25">
      <c r="A1263" s="11" t="s">
        <v>1293</v>
      </c>
      <c r="H1263">
        <f>VLOOKUP(Medical_Examinations_2[[#This Row],[Customer ID]],Medical_Examinations!$1:$1048576,9,FALSE)</f>
        <v>1</v>
      </c>
    </row>
    <row r="1264" spans="1:8" x14ac:dyDescent="0.25">
      <c r="A1264" s="10" t="s">
        <v>1294</v>
      </c>
      <c r="H1264" t="str">
        <f>VLOOKUP(Medical_Examinations_2[[#This Row],[Customer ID]],Medical_Examinations!$1:$1048576,9,FALSE)</f>
        <v>No major surgery</v>
      </c>
    </row>
    <row r="1265" spans="1:8" x14ac:dyDescent="0.25">
      <c r="A1265" s="11" t="s">
        <v>1295</v>
      </c>
      <c r="H1265" t="str">
        <f>VLOOKUP(Medical_Examinations_2[[#This Row],[Customer ID]],Medical_Examinations!$1:$1048576,9,FALSE)</f>
        <v>No major surgery</v>
      </c>
    </row>
    <row r="1266" spans="1:8" x14ac:dyDescent="0.25">
      <c r="A1266" s="10" t="s">
        <v>1296</v>
      </c>
      <c r="H1266">
        <f>VLOOKUP(Medical_Examinations_2[[#This Row],[Customer ID]],Medical_Examinations!$1:$1048576,9,FALSE)</f>
        <v>2</v>
      </c>
    </row>
    <row r="1267" spans="1:8" x14ac:dyDescent="0.25">
      <c r="A1267" s="11" t="s">
        <v>1297</v>
      </c>
      <c r="H1267" t="str">
        <f>VLOOKUP(Medical_Examinations_2[[#This Row],[Customer ID]],Medical_Examinations!$1:$1048576,9,FALSE)</f>
        <v>No major surgery</v>
      </c>
    </row>
    <row r="1268" spans="1:8" x14ac:dyDescent="0.25">
      <c r="A1268" s="10" t="s">
        <v>1298</v>
      </c>
      <c r="H1268">
        <f>VLOOKUP(Medical_Examinations_2[[#This Row],[Customer ID]],Medical_Examinations!$1:$1048576,9,FALSE)</f>
        <v>2</v>
      </c>
    </row>
    <row r="1269" spans="1:8" x14ac:dyDescent="0.25">
      <c r="A1269" s="11" t="s">
        <v>1299</v>
      </c>
      <c r="H1269" t="str">
        <f>VLOOKUP(Medical_Examinations_2[[#This Row],[Customer ID]],Medical_Examinations!$1:$1048576,9,FALSE)</f>
        <v>No major surgery</v>
      </c>
    </row>
    <row r="1270" spans="1:8" x14ac:dyDescent="0.25">
      <c r="A1270" s="10" t="s">
        <v>1300</v>
      </c>
      <c r="H1270">
        <f>VLOOKUP(Medical_Examinations_2[[#This Row],[Customer ID]],Medical_Examinations!$1:$1048576,9,FALSE)</f>
        <v>1</v>
      </c>
    </row>
    <row r="1271" spans="1:8" x14ac:dyDescent="0.25">
      <c r="A1271" s="11" t="s">
        <v>1301</v>
      </c>
      <c r="H1271" t="str">
        <f>VLOOKUP(Medical_Examinations_2[[#This Row],[Customer ID]],Medical_Examinations!$1:$1048576,9,FALSE)</f>
        <v>No major surgery</v>
      </c>
    </row>
    <row r="1272" spans="1:8" x14ac:dyDescent="0.25">
      <c r="A1272" s="10" t="s">
        <v>1302</v>
      </c>
      <c r="H1272">
        <f>VLOOKUP(Medical_Examinations_2[[#This Row],[Customer ID]],Medical_Examinations!$1:$1048576,9,FALSE)</f>
        <v>1</v>
      </c>
    </row>
    <row r="1273" spans="1:8" x14ac:dyDescent="0.25">
      <c r="A1273" s="11" t="s">
        <v>1303</v>
      </c>
      <c r="H1273" t="str">
        <f>VLOOKUP(Medical_Examinations_2[[#This Row],[Customer ID]],Medical_Examinations!$1:$1048576,9,FALSE)</f>
        <v>No major surgery</v>
      </c>
    </row>
    <row r="1274" spans="1:8" x14ac:dyDescent="0.25">
      <c r="A1274" s="10" t="s">
        <v>1304</v>
      </c>
      <c r="H1274">
        <f>VLOOKUP(Medical_Examinations_2[[#This Row],[Customer ID]],Medical_Examinations!$1:$1048576,9,FALSE)</f>
        <v>1</v>
      </c>
    </row>
    <row r="1275" spans="1:8" x14ac:dyDescent="0.25">
      <c r="A1275" s="11" t="s">
        <v>1305</v>
      </c>
      <c r="H1275" t="str">
        <f>VLOOKUP(Medical_Examinations_2[[#This Row],[Customer ID]],Medical_Examinations!$1:$1048576,9,FALSE)</f>
        <v>No major surgery</v>
      </c>
    </row>
    <row r="1276" spans="1:8" x14ac:dyDescent="0.25">
      <c r="A1276" s="10" t="s">
        <v>1306</v>
      </c>
      <c r="H1276" t="str">
        <f>VLOOKUP(Medical_Examinations_2[[#This Row],[Customer ID]],Medical_Examinations!$1:$1048576,9,FALSE)</f>
        <v>No major surgery</v>
      </c>
    </row>
    <row r="1277" spans="1:8" x14ac:dyDescent="0.25">
      <c r="A1277" s="11" t="s">
        <v>1307</v>
      </c>
      <c r="H1277" t="str">
        <f>VLOOKUP(Medical_Examinations_2[[#This Row],[Customer ID]],Medical_Examinations!$1:$1048576,9,FALSE)</f>
        <v>No major surgery</v>
      </c>
    </row>
    <row r="1278" spans="1:8" x14ac:dyDescent="0.25">
      <c r="A1278" s="10" t="s">
        <v>1308</v>
      </c>
      <c r="H1278">
        <f>VLOOKUP(Medical_Examinations_2[[#This Row],[Customer ID]],Medical_Examinations!$1:$1048576,9,FALSE)</f>
        <v>2</v>
      </c>
    </row>
    <row r="1279" spans="1:8" x14ac:dyDescent="0.25">
      <c r="A1279" s="11" t="s">
        <v>1309</v>
      </c>
      <c r="H1279">
        <f>VLOOKUP(Medical_Examinations_2[[#This Row],[Customer ID]],Medical_Examinations!$1:$1048576,9,FALSE)</f>
        <v>1</v>
      </c>
    </row>
    <row r="1280" spans="1:8" x14ac:dyDescent="0.25">
      <c r="A1280" s="10" t="s">
        <v>1310</v>
      </c>
      <c r="H1280">
        <f>VLOOKUP(Medical_Examinations_2[[#This Row],[Customer ID]],Medical_Examinations!$1:$1048576,9,FALSE)</f>
        <v>1</v>
      </c>
    </row>
    <row r="1281" spans="1:8" x14ac:dyDescent="0.25">
      <c r="A1281" s="11" t="s">
        <v>1311</v>
      </c>
      <c r="H1281">
        <f>VLOOKUP(Medical_Examinations_2[[#This Row],[Customer ID]],Medical_Examinations!$1:$1048576,9,FALSE)</f>
        <v>1</v>
      </c>
    </row>
    <row r="1282" spans="1:8" x14ac:dyDescent="0.25">
      <c r="A1282" s="10" t="s">
        <v>1312</v>
      </c>
      <c r="H1282" t="str">
        <f>VLOOKUP(Medical_Examinations_2[[#This Row],[Customer ID]],Medical_Examinations!$1:$1048576,9,FALSE)</f>
        <v>No major surgery</v>
      </c>
    </row>
    <row r="1283" spans="1:8" x14ac:dyDescent="0.25">
      <c r="A1283" s="11" t="s">
        <v>1313</v>
      </c>
      <c r="H1283">
        <f>VLOOKUP(Medical_Examinations_2[[#This Row],[Customer ID]],Medical_Examinations!$1:$1048576,9,FALSE)</f>
        <v>1</v>
      </c>
    </row>
    <row r="1284" spans="1:8" x14ac:dyDescent="0.25">
      <c r="A1284" s="10" t="s">
        <v>1314</v>
      </c>
      <c r="H1284">
        <f>VLOOKUP(Medical_Examinations_2[[#This Row],[Customer ID]],Medical_Examinations!$1:$1048576,9,FALSE)</f>
        <v>1</v>
      </c>
    </row>
    <row r="1285" spans="1:8" x14ac:dyDescent="0.25">
      <c r="A1285" s="11" t="s">
        <v>1315</v>
      </c>
      <c r="H1285">
        <f>VLOOKUP(Medical_Examinations_2[[#This Row],[Customer ID]],Medical_Examinations!$1:$1048576,9,FALSE)</f>
        <v>1</v>
      </c>
    </row>
    <row r="1286" spans="1:8" x14ac:dyDescent="0.25">
      <c r="A1286" s="10" t="s">
        <v>1316</v>
      </c>
      <c r="H1286">
        <f>VLOOKUP(Medical_Examinations_2[[#This Row],[Customer ID]],Medical_Examinations!$1:$1048576,9,FALSE)</f>
        <v>1</v>
      </c>
    </row>
    <row r="1287" spans="1:8" x14ac:dyDescent="0.25">
      <c r="A1287" s="11" t="s">
        <v>1317</v>
      </c>
      <c r="H1287">
        <f>VLOOKUP(Medical_Examinations_2[[#This Row],[Customer ID]],Medical_Examinations!$1:$1048576,9,FALSE)</f>
        <v>1</v>
      </c>
    </row>
    <row r="1288" spans="1:8" x14ac:dyDescent="0.25">
      <c r="A1288" s="10" t="s">
        <v>1318</v>
      </c>
      <c r="H1288">
        <f>VLOOKUP(Medical_Examinations_2[[#This Row],[Customer ID]],Medical_Examinations!$1:$1048576,9,FALSE)</f>
        <v>1</v>
      </c>
    </row>
    <row r="1289" spans="1:8" x14ac:dyDescent="0.25">
      <c r="A1289" s="11" t="s">
        <v>1319</v>
      </c>
      <c r="H1289" t="str">
        <f>VLOOKUP(Medical_Examinations_2[[#This Row],[Customer ID]],Medical_Examinations!$1:$1048576,9,FALSE)</f>
        <v>No major surgery</v>
      </c>
    </row>
    <row r="1290" spans="1:8" x14ac:dyDescent="0.25">
      <c r="A1290" s="10" t="s">
        <v>1320</v>
      </c>
      <c r="H1290">
        <f>VLOOKUP(Medical_Examinations_2[[#This Row],[Customer ID]],Medical_Examinations!$1:$1048576,9,FALSE)</f>
        <v>1</v>
      </c>
    </row>
    <row r="1291" spans="1:8" x14ac:dyDescent="0.25">
      <c r="A1291" s="11" t="s">
        <v>1321</v>
      </c>
      <c r="H1291" t="str">
        <f>VLOOKUP(Medical_Examinations_2[[#This Row],[Customer ID]],Medical_Examinations!$1:$1048576,9,FALSE)</f>
        <v>No major surgery</v>
      </c>
    </row>
    <row r="1292" spans="1:8" x14ac:dyDescent="0.25">
      <c r="A1292" s="10" t="s">
        <v>1322</v>
      </c>
      <c r="H1292">
        <f>VLOOKUP(Medical_Examinations_2[[#This Row],[Customer ID]],Medical_Examinations!$1:$1048576,9,FALSE)</f>
        <v>1</v>
      </c>
    </row>
    <row r="1293" spans="1:8" x14ac:dyDescent="0.25">
      <c r="A1293" s="11" t="s">
        <v>1323</v>
      </c>
      <c r="H1293" t="str">
        <f>VLOOKUP(Medical_Examinations_2[[#This Row],[Customer ID]],Medical_Examinations!$1:$1048576,9,FALSE)</f>
        <v>No major surgery</v>
      </c>
    </row>
    <row r="1294" spans="1:8" x14ac:dyDescent="0.25">
      <c r="A1294" s="10" t="s">
        <v>1324</v>
      </c>
      <c r="H1294" t="str">
        <f>VLOOKUP(Medical_Examinations_2[[#This Row],[Customer ID]],Medical_Examinations!$1:$1048576,9,FALSE)</f>
        <v>No major surgery</v>
      </c>
    </row>
    <row r="1295" spans="1:8" x14ac:dyDescent="0.25">
      <c r="A1295" s="11" t="s">
        <v>1325</v>
      </c>
      <c r="H1295" t="str">
        <f>VLOOKUP(Medical_Examinations_2[[#This Row],[Customer ID]],Medical_Examinations!$1:$1048576,9,FALSE)</f>
        <v>No major surgery</v>
      </c>
    </row>
    <row r="1296" spans="1:8" x14ac:dyDescent="0.25">
      <c r="A1296" s="10" t="s">
        <v>1326</v>
      </c>
      <c r="H1296">
        <f>VLOOKUP(Medical_Examinations_2[[#This Row],[Customer ID]],Medical_Examinations!$1:$1048576,9,FALSE)</f>
        <v>1</v>
      </c>
    </row>
    <row r="1297" spans="1:8" x14ac:dyDescent="0.25">
      <c r="A1297" s="11" t="s">
        <v>1327</v>
      </c>
      <c r="H1297">
        <f>VLOOKUP(Medical_Examinations_2[[#This Row],[Customer ID]],Medical_Examinations!$1:$1048576,9,FALSE)</f>
        <v>1</v>
      </c>
    </row>
    <row r="1298" spans="1:8" x14ac:dyDescent="0.25">
      <c r="A1298" s="10" t="s">
        <v>1328</v>
      </c>
      <c r="H1298">
        <f>VLOOKUP(Medical_Examinations_2[[#This Row],[Customer ID]],Medical_Examinations!$1:$1048576,9,FALSE)</f>
        <v>2</v>
      </c>
    </row>
    <row r="1299" spans="1:8" x14ac:dyDescent="0.25">
      <c r="A1299" s="11" t="s">
        <v>1329</v>
      </c>
      <c r="H1299">
        <f>VLOOKUP(Medical_Examinations_2[[#This Row],[Customer ID]],Medical_Examinations!$1:$1048576,9,FALSE)</f>
        <v>1</v>
      </c>
    </row>
    <row r="1300" spans="1:8" x14ac:dyDescent="0.25">
      <c r="A1300" s="10" t="s">
        <v>1330</v>
      </c>
      <c r="H1300">
        <f>VLOOKUP(Medical_Examinations_2[[#This Row],[Customer ID]],Medical_Examinations!$1:$1048576,9,FALSE)</f>
        <v>2</v>
      </c>
    </row>
    <row r="1301" spans="1:8" x14ac:dyDescent="0.25">
      <c r="A1301" s="11" t="s">
        <v>1331</v>
      </c>
      <c r="H1301">
        <f>VLOOKUP(Medical_Examinations_2[[#This Row],[Customer ID]],Medical_Examinations!$1:$1048576,9,FALSE)</f>
        <v>2</v>
      </c>
    </row>
    <row r="1302" spans="1:8" x14ac:dyDescent="0.25">
      <c r="A1302" s="10" t="s">
        <v>1332</v>
      </c>
      <c r="H1302">
        <f>VLOOKUP(Medical_Examinations_2[[#This Row],[Customer ID]],Medical_Examinations!$1:$1048576,9,FALSE)</f>
        <v>2</v>
      </c>
    </row>
    <row r="1303" spans="1:8" x14ac:dyDescent="0.25">
      <c r="A1303" s="11" t="s">
        <v>1333</v>
      </c>
      <c r="H1303">
        <f>VLOOKUP(Medical_Examinations_2[[#This Row],[Customer ID]],Medical_Examinations!$1:$1048576,9,FALSE)</f>
        <v>1</v>
      </c>
    </row>
    <row r="1304" spans="1:8" x14ac:dyDescent="0.25">
      <c r="A1304" s="10" t="s">
        <v>1334</v>
      </c>
      <c r="H1304">
        <f>VLOOKUP(Medical_Examinations_2[[#This Row],[Customer ID]],Medical_Examinations!$1:$1048576,9,FALSE)</f>
        <v>1</v>
      </c>
    </row>
    <row r="1305" spans="1:8" x14ac:dyDescent="0.25">
      <c r="A1305" s="11" t="s">
        <v>1335</v>
      </c>
      <c r="H1305" t="str">
        <f>VLOOKUP(Medical_Examinations_2[[#This Row],[Customer ID]],Medical_Examinations!$1:$1048576,9,FALSE)</f>
        <v>No major surgery</v>
      </c>
    </row>
    <row r="1306" spans="1:8" x14ac:dyDescent="0.25">
      <c r="A1306" s="10" t="s">
        <v>1336</v>
      </c>
      <c r="H1306">
        <f>VLOOKUP(Medical_Examinations_2[[#This Row],[Customer ID]],Medical_Examinations!$1:$1048576,9,FALSE)</f>
        <v>1</v>
      </c>
    </row>
    <row r="1307" spans="1:8" x14ac:dyDescent="0.25">
      <c r="A1307" s="11" t="s">
        <v>1337</v>
      </c>
      <c r="H1307" t="str">
        <f>VLOOKUP(Medical_Examinations_2[[#This Row],[Customer ID]],Medical_Examinations!$1:$1048576,9,FALSE)</f>
        <v>No major surgery</v>
      </c>
    </row>
    <row r="1308" spans="1:8" x14ac:dyDescent="0.25">
      <c r="A1308" s="10" t="s">
        <v>1338</v>
      </c>
      <c r="H1308" t="str">
        <f>VLOOKUP(Medical_Examinations_2[[#This Row],[Customer ID]],Medical_Examinations!$1:$1048576,9,FALSE)</f>
        <v>No major surgery</v>
      </c>
    </row>
    <row r="1309" spans="1:8" x14ac:dyDescent="0.25">
      <c r="A1309" s="11" t="s">
        <v>1339</v>
      </c>
      <c r="H1309">
        <f>VLOOKUP(Medical_Examinations_2[[#This Row],[Customer ID]],Medical_Examinations!$1:$1048576,9,FALSE)</f>
        <v>1</v>
      </c>
    </row>
    <row r="1310" spans="1:8" x14ac:dyDescent="0.25">
      <c r="A1310" s="10" t="s">
        <v>1340</v>
      </c>
      <c r="H1310" t="str">
        <f>VLOOKUP(Medical_Examinations_2[[#This Row],[Customer ID]],Medical_Examinations!$1:$1048576,9,FALSE)</f>
        <v>No major surgery</v>
      </c>
    </row>
    <row r="1311" spans="1:8" x14ac:dyDescent="0.25">
      <c r="A1311" s="11" t="s">
        <v>1341</v>
      </c>
      <c r="H1311" t="str">
        <f>VLOOKUP(Medical_Examinations_2[[#This Row],[Customer ID]],Medical_Examinations!$1:$1048576,9,FALSE)</f>
        <v>No major surgery</v>
      </c>
    </row>
    <row r="1312" spans="1:8" x14ac:dyDescent="0.25">
      <c r="A1312" s="10" t="s">
        <v>1342</v>
      </c>
      <c r="H1312" t="str">
        <f>VLOOKUP(Medical_Examinations_2[[#This Row],[Customer ID]],Medical_Examinations!$1:$1048576,9,FALSE)</f>
        <v>No major surgery</v>
      </c>
    </row>
    <row r="1313" spans="1:8" x14ac:dyDescent="0.25">
      <c r="A1313" s="11" t="s">
        <v>1343</v>
      </c>
      <c r="H1313" t="str">
        <f>VLOOKUP(Medical_Examinations_2[[#This Row],[Customer ID]],Medical_Examinations!$1:$1048576,9,FALSE)</f>
        <v>No major surgery</v>
      </c>
    </row>
    <row r="1314" spans="1:8" x14ac:dyDescent="0.25">
      <c r="A1314" s="10" t="s">
        <v>1344</v>
      </c>
      <c r="H1314">
        <f>VLOOKUP(Medical_Examinations_2[[#This Row],[Customer ID]],Medical_Examinations!$1:$1048576,9,FALSE)</f>
        <v>1</v>
      </c>
    </row>
    <row r="1315" spans="1:8" x14ac:dyDescent="0.25">
      <c r="A1315" s="11" t="s">
        <v>1345</v>
      </c>
      <c r="H1315">
        <f>VLOOKUP(Medical_Examinations_2[[#This Row],[Customer ID]],Medical_Examinations!$1:$1048576,9,FALSE)</f>
        <v>1</v>
      </c>
    </row>
    <row r="1316" spans="1:8" x14ac:dyDescent="0.25">
      <c r="A1316" s="10" t="s">
        <v>1346</v>
      </c>
      <c r="H1316" t="str">
        <f>VLOOKUP(Medical_Examinations_2[[#This Row],[Customer ID]],Medical_Examinations!$1:$1048576,9,FALSE)</f>
        <v>No major surgery</v>
      </c>
    </row>
    <row r="1317" spans="1:8" x14ac:dyDescent="0.25">
      <c r="A1317" s="11" t="s">
        <v>1347</v>
      </c>
      <c r="H1317" t="str">
        <f>VLOOKUP(Medical_Examinations_2[[#This Row],[Customer ID]],Medical_Examinations!$1:$1048576,9,FALSE)</f>
        <v>No major surgery</v>
      </c>
    </row>
    <row r="1318" spans="1:8" x14ac:dyDescent="0.25">
      <c r="A1318" s="10" t="s">
        <v>1348</v>
      </c>
      <c r="H1318" t="str">
        <f>VLOOKUP(Medical_Examinations_2[[#This Row],[Customer ID]],Medical_Examinations!$1:$1048576,9,FALSE)</f>
        <v>No major surgery</v>
      </c>
    </row>
    <row r="1319" spans="1:8" x14ac:dyDescent="0.25">
      <c r="A1319" s="11" t="s">
        <v>1349</v>
      </c>
      <c r="H1319" t="str">
        <f>VLOOKUP(Medical_Examinations_2[[#This Row],[Customer ID]],Medical_Examinations!$1:$1048576,9,FALSE)</f>
        <v>No major surgery</v>
      </c>
    </row>
    <row r="1320" spans="1:8" x14ac:dyDescent="0.25">
      <c r="A1320" s="10" t="s">
        <v>1350</v>
      </c>
      <c r="H1320">
        <f>VLOOKUP(Medical_Examinations_2[[#This Row],[Customer ID]],Medical_Examinations!$1:$1048576,9,FALSE)</f>
        <v>1</v>
      </c>
    </row>
    <row r="1321" spans="1:8" x14ac:dyDescent="0.25">
      <c r="A1321" s="11" t="s">
        <v>1351</v>
      </c>
      <c r="H1321" t="str">
        <f>VLOOKUP(Medical_Examinations_2[[#This Row],[Customer ID]],Medical_Examinations!$1:$1048576,9,FALSE)</f>
        <v>No major surgery</v>
      </c>
    </row>
    <row r="1322" spans="1:8" x14ac:dyDescent="0.25">
      <c r="A1322" s="10" t="s">
        <v>1352</v>
      </c>
      <c r="H1322">
        <f>VLOOKUP(Medical_Examinations_2[[#This Row],[Customer ID]],Medical_Examinations!$1:$1048576,9,FALSE)</f>
        <v>1</v>
      </c>
    </row>
    <row r="1323" spans="1:8" x14ac:dyDescent="0.25">
      <c r="A1323" s="11" t="s">
        <v>1353</v>
      </c>
      <c r="H1323" t="str">
        <f>VLOOKUP(Medical_Examinations_2[[#This Row],[Customer ID]],Medical_Examinations!$1:$1048576,9,FALSE)</f>
        <v>No major surgery</v>
      </c>
    </row>
    <row r="1324" spans="1:8" x14ac:dyDescent="0.25">
      <c r="A1324" s="10" t="s">
        <v>1354</v>
      </c>
      <c r="H1324" t="str">
        <f>VLOOKUP(Medical_Examinations_2[[#This Row],[Customer ID]],Medical_Examinations!$1:$1048576,9,FALSE)</f>
        <v>No major surgery</v>
      </c>
    </row>
    <row r="1325" spans="1:8" x14ac:dyDescent="0.25">
      <c r="A1325" s="11" t="s">
        <v>1355</v>
      </c>
      <c r="H1325" t="str">
        <f>VLOOKUP(Medical_Examinations_2[[#This Row],[Customer ID]],Medical_Examinations!$1:$1048576,9,FALSE)</f>
        <v>No major surgery</v>
      </c>
    </row>
    <row r="1326" spans="1:8" x14ac:dyDescent="0.25">
      <c r="A1326" s="10" t="s">
        <v>1356</v>
      </c>
      <c r="H1326" t="str">
        <f>VLOOKUP(Medical_Examinations_2[[#This Row],[Customer ID]],Medical_Examinations!$1:$1048576,9,FALSE)</f>
        <v>No major surgery</v>
      </c>
    </row>
    <row r="1327" spans="1:8" x14ac:dyDescent="0.25">
      <c r="A1327" s="11" t="s">
        <v>1357</v>
      </c>
      <c r="H1327" t="str">
        <f>VLOOKUP(Medical_Examinations_2[[#This Row],[Customer ID]],Medical_Examinations!$1:$1048576,9,FALSE)</f>
        <v>No major surgery</v>
      </c>
    </row>
    <row r="1328" spans="1:8" x14ac:dyDescent="0.25">
      <c r="A1328" s="10" t="s">
        <v>1358</v>
      </c>
      <c r="H1328" t="str">
        <f>VLOOKUP(Medical_Examinations_2[[#This Row],[Customer ID]],Medical_Examinations!$1:$1048576,9,FALSE)</f>
        <v>No major surgery</v>
      </c>
    </row>
    <row r="1329" spans="1:8" x14ac:dyDescent="0.25">
      <c r="A1329" s="11" t="s">
        <v>1359</v>
      </c>
      <c r="H1329" t="str">
        <f>VLOOKUP(Medical_Examinations_2[[#This Row],[Customer ID]],Medical_Examinations!$1:$1048576,9,FALSE)</f>
        <v>No major surgery</v>
      </c>
    </row>
    <row r="1330" spans="1:8" x14ac:dyDescent="0.25">
      <c r="A1330" s="10" t="s">
        <v>1360</v>
      </c>
      <c r="H1330">
        <f>VLOOKUP(Medical_Examinations_2[[#This Row],[Customer ID]],Medical_Examinations!$1:$1048576,9,FALSE)</f>
        <v>1</v>
      </c>
    </row>
    <row r="1331" spans="1:8" x14ac:dyDescent="0.25">
      <c r="A1331" s="11" t="s">
        <v>1361</v>
      </c>
      <c r="H1331">
        <f>VLOOKUP(Medical_Examinations_2[[#This Row],[Customer ID]],Medical_Examinations!$1:$1048576,9,FALSE)</f>
        <v>1</v>
      </c>
    </row>
    <row r="1332" spans="1:8" x14ac:dyDescent="0.25">
      <c r="A1332" s="10" t="s">
        <v>1362</v>
      </c>
      <c r="H1332">
        <f>VLOOKUP(Medical_Examinations_2[[#This Row],[Customer ID]],Medical_Examinations!$1:$1048576,9,FALSE)</f>
        <v>1</v>
      </c>
    </row>
    <row r="1333" spans="1:8" x14ac:dyDescent="0.25">
      <c r="A1333" s="11" t="s">
        <v>1363</v>
      </c>
      <c r="H1333" t="str">
        <f>VLOOKUP(Medical_Examinations_2[[#This Row],[Customer ID]],Medical_Examinations!$1:$1048576,9,FALSE)</f>
        <v>No major surgery</v>
      </c>
    </row>
    <row r="1334" spans="1:8" x14ac:dyDescent="0.25">
      <c r="A1334" s="10" t="s">
        <v>1364</v>
      </c>
      <c r="H1334" t="str">
        <f>VLOOKUP(Medical_Examinations_2[[#This Row],[Customer ID]],Medical_Examinations!$1:$1048576,9,FALSE)</f>
        <v>No major surgery</v>
      </c>
    </row>
    <row r="1335" spans="1:8" x14ac:dyDescent="0.25">
      <c r="A1335" s="11" t="s">
        <v>1365</v>
      </c>
      <c r="H1335">
        <f>VLOOKUP(Medical_Examinations_2[[#This Row],[Customer ID]],Medical_Examinations!$1:$1048576,9,FALSE)</f>
        <v>2</v>
      </c>
    </row>
    <row r="1336" spans="1:8" x14ac:dyDescent="0.25">
      <c r="A1336" s="10" t="s">
        <v>1366</v>
      </c>
      <c r="H1336">
        <f>VLOOKUP(Medical_Examinations_2[[#This Row],[Customer ID]],Medical_Examinations!$1:$1048576,9,FALSE)</f>
        <v>2</v>
      </c>
    </row>
    <row r="1337" spans="1:8" x14ac:dyDescent="0.25">
      <c r="A1337" s="11" t="s">
        <v>1367</v>
      </c>
      <c r="H1337">
        <f>VLOOKUP(Medical_Examinations_2[[#This Row],[Customer ID]],Medical_Examinations!$1:$1048576,9,FALSE)</f>
        <v>2</v>
      </c>
    </row>
    <row r="1338" spans="1:8" x14ac:dyDescent="0.25">
      <c r="A1338" s="10" t="s">
        <v>1368</v>
      </c>
      <c r="H1338" t="str">
        <f>VLOOKUP(Medical_Examinations_2[[#This Row],[Customer ID]],Medical_Examinations!$1:$1048576,9,FALSE)</f>
        <v>No major surgery</v>
      </c>
    </row>
    <row r="1339" spans="1:8" x14ac:dyDescent="0.25">
      <c r="A1339" s="11" t="s">
        <v>1369</v>
      </c>
      <c r="H1339">
        <f>VLOOKUP(Medical_Examinations_2[[#This Row],[Customer ID]],Medical_Examinations!$1:$1048576,9,FALSE)</f>
        <v>2</v>
      </c>
    </row>
    <row r="1340" spans="1:8" x14ac:dyDescent="0.25">
      <c r="A1340" s="10" t="s">
        <v>1370</v>
      </c>
      <c r="H1340" t="str">
        <f>VLOOKUP(Medical_Examinations_2[[#This Row],[Customer ID]],Medical_Examinations!$1:$1048576,9,FALSE)</f>
        <v>No major surgery</v>
      </c>
    </row>
    <row r="1341" spans="1:8" x14ac:dyDescent="0.25">
      <c r="A1341" s="11" t="s">
        <v>1371</v>
      </c>
      <c r="H1341">
        <f>VLOOKUP(Medical_Examinations_2[[#This Row],[Customer ID]],Medical_Examinations!$1:$1048576,9,FALSE)</f>
        <v>1</v>
      </c>
    </row>
    <row r="1342" spans="1:8" x14ac:dyDescent="0.25">
      <c r="A1342" s="10" t="s">
        <v>1372</v>
      </c>
      <c r="H1342" t="str">
        <f>VLOOKUP(Medical_Examinations_2[[#This Row],[Customer ID]],Medical_Examinations!$1:$1048576,9,FALSE)</f>
        <v>No major surgery</v>
      </c>
    </row>
    <row r="1343" spans="1:8" x14ac:dyDescent="0.25">
      <c r="A1343" s="11" t="s">
        <v>1373</v>
      </c>
      <c r="H1343" t="str">
        <f>VLOOKUP(Medical_Examinations_2[[#This Row],[Customer ID]],Medical_Examinations!$1:$1048576,9,FALSE)</f>
        <v>No major surgery</v>
      </c>
    </row>
    <row r="1344" spans="1:8" x14ac:dyDescent="0.25">
      <c r="A1344" s="10" t="s">
        <v>1374</v>
      </c>
      <c r="H1344">
        <f>VLOOKUP(Medical_Examinations_2[[#This Row],[Customer ID]],Medical_Examinations!$1:$1048576,9,FALSE)</f>
        <v>1</v>
      </c>
    </row>
    <row r="1345" spans="1:8" x14ac:dyDescent="0.25">
      <c r="A1345" s="11" t="s">
        <v>1375</v>
      </c>
      <c r="H1345" t="str">
        <f>VLOOKUP(Medical_Examinations_2[[#This Row],[Customer ID]],Medical_Examinations!$1:$1048576,9,FALSE)</f>
        <v>No major surgery</v>
      </c>
    </row>
    <row r="1346" spans="1:8" x14ac:dyDescent="0.25">
      <c r="A1346" s="10" t="s">
        <v>1376</v>
      </c>
      <c r="H1346">
        <f>VLOOKUP(Medical_Examinations_2[[#This Row],[Customer ID]],Medical_Examinations!$1:$1048576,9,FALSE)</f>
        <v>1</v>
      </c>
    </row>
    <row r="1347" spans="1:8" x14ac:dyDescent="0.25">
      <c r="A1347" s="11" t="s">
        <v>1377</v>
      </c>
      <c r="H1347" t="str">
        <f>VLOOKUP(Medical_Examinations_2[[#This Row],[Customer ID]],Medical_Examinations!$1:$1048576,9,FALSE)</f>
        <v>No major surgery</v>
      </c>
    </row>
    <row r="1348" spans="1:8" x14ac:dyDescent="0.25">
      <c r="A1348" s="10" t="s">
        <v>1378</v>
      </c>
      <c r="H1348">
        <f>VLOOKUP(Medical_Examinations_2[[#This Row],[Customer ID]],Medical_Examinations!$1:$1048576,9,FALSE)</f>
        <v>1</v>
      </c>
    </row>
    <row r="1349" spans="1:8" x14ac:dyDescent="0.25">
      <c r="A1349" s="11" t="s">
        <v>1379</v>
      </c>
      <c r="H1349">
        <f>VLOOKUP(Medical_Examinations_2[[#This Row],[Customer ID]],Medical_Examinations!$1:$1048576,9,FALSE)</f>
        <v>2</v>
      </c>
    </row>
    <row r="1350" spans="1:8" x14ac:dyDescent="0.25">
      <c r="A1350" s="10" t="s">
        <v>1380</v>
      </c>
      <c r="H1350" t="str">
        <f>VLOOKUP(Medical_Examinations_2[[#This Row],[Customer ID]],Medical_Examinations!$1:$1048576,9,FALSE)</f>
        <v>No major surgery</v>
      </c>
    </row>
    <row r="1351" spans="1:8" x14ac:dyDescent="0.25">
      <c r="A1351" s="11" t="s">
        <v>1381</v>
      </c>
      <c r="H1351" t="str">
        <f>VLOOKUP(Medical_Examinations_2[[#This Row],[Customer ID]],Medical_Examinations!$1:$1048576,9,FALSE)</f>
        <v>No major surgery</v>
      </c>
    </row>
    <row r="1352" spans="1:8" x14ac:dyDescent="0.25">
      <c r="A1352" s="10" t="s">
        <v>1382</v>
      </c>
      <c r="H1352">
        <f>VLOOKUP(Medical_Examinations_2[[#This Row],[Customer ID]],Medical_Examinations!$1:$1048576,9,FALSE)</f>
        <v>1</v>
      </c>
    </row>
    <row r="1353" spans="1:8" x14ac:dyDescent="0.25">
      <c r="A1353" s="11" t="s">
        <v>1383</v>
      </c>
      <c r="H1353" t="str">
        <f>VLOOKUP(Medical_Examinations_2[[#This Row],[Customer ID]],Medical_Examinations!$1:$1048576,9,FALSE)</f>
        <v>No major surgery</v>
      </c>
    </row>
    <row r="1354" spans="1:8" x14ac:dyDescent="0.25">
      <c r="A1354" s="10" t="s">
        <v>1384</v>
      </c>
      <c r="H1354" t="str">
        <f>VLOOKUP(Medical_Examinations_2[[#This Row],[Customer ID]],Medical_Examinations!$1:$1048576,9,FALSE)</f>
        <v>No major surgery</v>
      </c>
    </row>
    <row r="1355" spans="1:8" x14ac:dyDescent="0.25">
      <c r="A1355" s="11" t="s">
        <v>1385</v>
      </c>
      <c r="H1355" t="str">
        <f>VLOOKUP(Medical_Examinations_2[[#This Row],[Customer ID]],Medical_Examinations!$1:$1048576,9,FALSE)</f>
        <v>No major surgery</v>
      </c>
    </row>
    <row r="1356" spans="1:8" x14ac:dyDescent="0.25">
      <c r="A1356" s="10" t="s">
        <v>1386</v>
      </c>
      <c r="H1356" t="str">
        <f>VLOOKUP(Medical_Examinations_2[[#This Row],[Customer ID]],Medical_Examinations!$1:$1048576,9,FALSE)</f>
        <v>No major surgery</v>
      </c>
    </row>
    <row r="1357" spans="1:8" x14ac:dyDescent="0.25">
      <c r="A1357" s="11" t="s">
        <v>1387</v>
      </c>
      <c r="H1357" t="str">
        <f>VLOOKUP(Medical_Examinations_2[[#This Row],[Customer ID]],Medical_Examinations!$1:$1048576,9,FALSE)</f>
        <v>No major surgery</v>
      </c>
    </row>
    <row r="1358" spans="1:8" x14ac:dyDescent="0.25">
      <c r="A1358" s="10" t="s">
        <v>1388</v>
      </c>
      <c r="H1358">
        <f>VLOOKUP(Medical_Examinations_2[[#This Row],[Customer ID]],Medical_Examinations!$1:$1048576,9,FALSE)</f>
        <v>1</v>
      </c>
    </row>
    <row r="1359" spans="1:8" x14ac:dyDescent="0.25">
      <c r="A1359" s="11" t="s">
        <v>1389</v>
      </c>
      <c r="H1359" t="str">
        <f>VLOOKUP(Medical_Examinations_2[[#This Row],[Customer ID]],Medical_Examinations!$1:$1048576,9,FALSE)</f>
        <v>No major surgery</v>
      </c>
    </row>
    <row r="1360" spans="1:8" x14ac:dyDescent="0.25">
      <c r="A1360" s="10" t="s">
        <v>1390</v>
      </c>
      <c r="H1360">
        <f>VLOOKUP(Medical_Examinations_2[[#This Row],[Customer ID]],Medical_Examinations!$1:$1048576,9,FALSE)</f>
        <v>1</v>
      </c>
    </row>
    <row r="1361" spans="1:8" x14ac:dyDescent="0.25">
      <c r="A1361" s="11" t="s">
        <v>1391</v>
      </c>
      <c r="H1361">
        <f>VLOOKUP(Medical_Examinations_2[[#This Row],[Customer ID]],Medical_Examinations!$1:$1048576,9,FALSE)</f>
        <v>1</v>
      </c>
    </row>
    <row r="1362" spans="1:8" x14ac:dyDescent="0.25">
      <c r="A1362" s="10" t="s">
        <v>1392</v>
      </c>
      <c r="H1362">
        <f>VLOOKUP(Medical_Examinations_2[[#This Row],[Customer ID]],Medical_Examinations!$1:$1048576,9,FALSE)</f>
        <v>2</v>
      </c>
    </row>
    <row r="1363" spans="1:8" x14ac:dyDescent="0.25">
      <c r="A1363" s="11" t="s">
        <v>1393</v>
      </c>
      <c r="H1363">
        <f>VLOOKUP(Medical_Examinations_2[[#This Row],[Customer ID]],Medical_Examinations!$1:$1048576,9,FALSE)</f>
        <v>1</v>
      </c>
    </row>
    <row r="1364" spans="1:8" x14ac:dyDescent="0.25">
      <c r="A1364" s="10" t="s">
        <v>1394</v>
      </c>
      <c r="H1364">
        <f>VLOOKUP(Medical_Examinations_2[[#This Row],[Customer ID]],Medical_Examinations!$1:$1048576,9,FALSE)</f>
        <v>2</v>
      </c>
    </row>
    <row r="1365" spans="1:8" x14ac:dyDescent="0.25">
      <c r="A1365" s="11" t="s">
        <v>1395</v>
      </c>
      <c r="H1365" t="str">
        <f>VLOOKUP(Medical_Examinations_2[[#This Row],[Customer ID]],Medical_Examinations!$1:$1048576,9,FALSE)</f>
        <v>No major surgery</v>
      </c>
    </row>
    <row r="1366" spans="1:8" x14ac:dyDescent="0.25">
      <c r="A1366" s="10" t="s">
        <v>1396</v>
      </c>
      <c r="H1366">
        <f>VLOOKUP(Medical_Examinations_2[[#This Row],[Customer ID]],Medical_Examinations!$1:$1048576,9,FALSE)</f>
        <v>2</v>
      </c>
    </row>
    <row r="1367" spans="1:8" x14ac:dyDescent="0.25">
      <c r="A1367" s="11" t="s">
        <v>1397</v>
      </c>
      <c r="H1367">
        <f>VLOOKUP(Medical_Examinations_2[[#This Row],[Customer ID]],Medical_Examinations!$1:$1048576,9,FALSE)</f>
        <v>1</v>
      </c>
    </row>
    <row r="1368" spans="1:8" x14ac:dyDescent="0.25">
      <c r="A1368" s="10" t="s">
        <v>1398</v>
      </c>
      <c r="H1368" t="str">
        <f>VLOOKUP(Medical_Examinations_2[[#This Row],[Customer ID]],Medical_Examinations!$1:$1048576,9,FALSE)</f>
        <v>No major surgery</v>
      </c>
    </row>
    <row r="1369" spans="1:8" x14ac:dyDescent="0.25">
      <c r="A1369" s="11" t="s">
        <v>1399</v>
      </c>
      <c r="H1369" t="str">
        <f>VLOOKUP(Medical_Examinations_2[[#This Row],[Customer ID]],Medical_Examinations!$1:$1048576,9,FALSE)</f>
        <v>No major surgery</v>
      </c>
    </row>
    <row r="1370" spans="1:8" x14ac:dyDescent="0.25">
      <c r="A1370" s="10" t="s">
        <v>1400</v>
      </c>
      <c r="H1370" t="str">
        <f>VLOOKUP(Medical_Examinations_2[[#This Row],[Customer ID]],Medical_Examinations!$1:$1048576,9,FALSE)</f>
        <v>No major surgery</v>
      </c>
    </row>
    <row r="1371" spans="1:8" x14ac:dyDescent="0.25">
      <c r="A1371" s="11" t="s">
        <v>1401</v>
      </c>
      <c r="H1371" t="str">
        <f>VLOOKUP(Medical_Examinations_2[[#This Row],[Customer ID]],Medical_Examinations!$1:$1048576,9,FALSE)</f>
        <v>No major surgery</v>
      </c>
    </row>
    <row r="1372" spans="1:8" x14ac:dyDescent="0.25">
      <c r="A1372" s="10" t="s">
        <v>1402</v>
      </c>
      <c r="H1372" t="str">
        <f>VLOOKUP(Medical_Examinations_2[[#This Row],[Customer ID]],Medical_Examinations!$1:$1048576,9,FALSE)</f>
        <v>No major surgery</v>
      </c>
    </row>
    <row r="1373" spans="1:8" x14ac:dyDescent="0.25">
      <c r="A1373" s="11" t="s">
        <v>1403</v>
      </c>
      <c r="H1373" t="str">
        <f>VLOOKUP(Medical_Examinations_2[[#This Row],[Customer ID]],Medical_Examinations!$1:$1048576,9,FALSE)</f>
        <v>No major surgery</v>
      </c>
    </row>
    <row r="1374" spans="1:8" x14ac:dyDescent="0.25">
      <c r="A1374" s="10" t="s">
        <v>1404</v>
      </c>
      <c r="H1374" t="str">
        <f>VLOOKUP(Medical_Examinations_2[[#This Row],[Customer ID]],Medical_Examinations!$1:$1048576,9,FALSE)</f>
        <v>No major surgery</v>
      </c>
    </row>
    <row r="1375" spans="1:8" x14ac:dyDescent="0.25">
      <c r="A1375" s="11" t="s">
        <v>1405</v>
      </c>
      <c r="H1375">
        <f>VLOOKUP(Medical_Examinations_2[[#This Row],[Customer ID]],Medical_Examinations!$1:$1048576,9,FALSE)</f>
        <v>1</v>
      </c>
    </row>
    <row r="1376" spans="1:8" x14ac:dyDescent="0.25">
      <c r="A1376" s="10" t="s">
        <v>1406</v>
      </c>
      <c r="H1376" t="str">
        <f>VLOOKUP(Medical_Examinations_2[[#This Row],[Customer ID]],Medical_Examinations!$1:$1048576,9,FALSE)</f>
        <v>No major surgery</v>
      </c>
    </row>
    <row r="1377" spans="1:8" x14ac:dyDescent="0.25">
      <c r="A1377" s="11" t="s">
        <v>1407</v>
      </c>
      <c r="H1377" t="str">
        <f>VLOOKUP(Medical_Examinations_2[[#This Row],[Customer ID]],Medical_Examinations!$1:$1048576,9,FALSE)</f>
        <v>No major surgery</v>
      </c>
    </row>
    <row r="1378" spans="1:8" x14ac:dyDescent="0.25">
      <c r="A1378" s="10" t="s">
        <v>1408</v>
      </c>
      <c r="H1378">
        <f>VLOOKUP(Medical_Examinations_2[[#This Row],[Customer ID]],Medical_Examinations!$1:$1048576,9,FALSE)</f>
        <v>1</v>
      </c>
    </row>
    <row r="1379" spans="1:8" x14ac:dyDescent="0.25">
      <c r="A1379" s="11" t="s">
        <v>1409</v>
      </c>
      <c r="H1379" t="str">
        <f>VLOOKUP(Medical_Examinations_2[[#This Row],[Customer ID]],Medical_Examinations!$1:$1048576,9,FALSE)</f>
        <v>No major surgery</v>
      </c>
    </row>
    <row r="1380" spans="1:8" x14ac:dyDescent="0.25">
      <c r="A1380" s="10" t="s">
        <v>1410</v>
      </c>
      <c r="H1380" t="str">
        <f>VLOOKUP(Medical_Examinations_2[[#This Row],[Customer ID]],Medical_Examinations!$1:$1048576,9,FALSE)</f>
        <v>No major surgery</v>
      </c>
    </row>
    <row r="1381" spans="1:8" x14ac:dyDescent="0.25">
      <c r="A1381" s="11" t="s">
        <v>1411</v>
      </c>
      <c r="H1381" t="str">
        <f>VLOOKUP(Medical_Examinations_2[[#This Row],[Customer ID]],Medical_Examinations!$1:$1048576,9,FALSE)</f>
        <v>No major surgery</v>
      </c>
    </row>
    <row r="1382" spans="1:8" x14ac:dyDescent="0.25">
      <c r="A1382" s="10" t="s">
        <v>1412</v>
      </c>
      <c r="H1382" t="str">
        <f>VLOOKUP(Medical_Examinations_2[[#This Row],[Customer ID]],Medical_Examinations!$1:$1048576,9,FALSE)</f>
        <v>No major surgery</v>
      </c>
    </row>
    <row r="1383" spans="1:8" x14ac:dyDescent="0.25">
      <c r="A1383" s="11" t="s">
        <v>1413</v>
      </c>
      <c r="H1383" t="str">
        <f>VLOOKUP(Medical_Examinations_2[[#This Row],[Customer ID]],Medical_Examinations!$1:$1048576,9,FALSE)</f>
        <v>No major surgery</v>
      </c>
    </row>
    <row r="1384" spans="1:8" x14ac:dyDescent="0.25">
      <c r="A1384" s="10" t="s">
        <v>1414</v>
      </c>
      <c r="H1384" t="str">
        <f>VLOOKUP(Medical_Examinations_2[[#This Row],[Customer ID]],Medical_Examinations!$1:$1048576,9,FALSE)</f>
        <v>No major surgery</v>
      </c>
    </row>
    <row r="1385" spans="1:8" x14ac:dyDescent="0.25">
      <c r="A1385" s="11" t="s">
        <v>1415</v>
      </c>
      <c r="H1385" t="str">
        <f>VLOOKUP(Medical_Examinations_2[[#This Row],[Customer ID]],Medical_Examinations!$1:$1048576,9,FALSE)</f>
        <v>No major surgery</v>
      </c>
    </row>
    <row r="1386" spans="1:8" x14ac:dyDescent="0.25">
      <c r="A1386" s="10" t="s">
        <v>1416</v>
      </c>
      <c r="H1386">
        <f>VLOOKUP(Medical_Examinations_2[[#This Row],[Customer ID]],Medical_Examinations!$1:$1048576,9,FALSE)</f>
        <v>1</v>
      </c>
    </row>
    <row r="1387" spans="1:8" x14ac:dyDescent="0.25">
      <c r="A1387" s="11" t="s">
        <v>1417</v>
      </c>
      <c r="H1387" t="str">
        <f>VLOOKUP(Medical_Examinations_2[[#This Row],[Customer ID]],Medical_Examinations!$1:$1048576,9,FALSE)</f>
        <v>No major surgery</v>
      </c>
    </row>
    <row r="1388" spans="1:8" x14ac:dyDescent="0.25">
      <c r="A1388" s="10" t="s">
        <v>1418</v>
      </c>
      <c r="H1388">
        <f>VLOOKUP(Medical_Examinations_2[[#This Row],[Customer ID]],Medical_Examinations!$1:$1048576,9,FALSE)</f>
        <v>1</v>
      </c>
    </row>
    <row r="1389" spans="1:8" x14ac:dyDescent="0.25">
      <c r="A1389" s="11" t="s">
        <v>1419</v>
      </c>
      <c r="H1389" t="str">
        <f>VLOOKUP(Medical_Examinations_2[[#This Row],[Customer ID]],Medical_Examinations!$1:$1048576,9,FALSE)</f>
        <v>No major surgery</v>
      </c>
    </row>
    <row r="1390" spans="1:8" x14ac:dyDescent="0.25">
      <c r="A1390" s="10" t="s">
        <v>1420</v>
      </c>
      <c r="H1390" t="str">
        <f>VLOOKUP(Medical_Examinations_2[[#This Row],[Customer ID]],Medical_Examinations!$1:$1048576,9,FALSE)</f>
        <v>No major surgery</v>
      </c>
    </row>
    <row r="1391" spans="1:8" x14ac:dyDescent="0.25">
      <c r="A1391" s="11" t="s">
        <v>1421</v>
      </c>
      <c r="H1391" t="str">
        <f>VLOOKUP(Medical_Examinations_2[[#This Row],[Customer ID]],Medical_Examinations!$1:$1048576,9,FALSE)</f>
        <v>No major surgery</v>
      </c>
    </row>
    <row r="1392" spans="1:8" x14ac:dyDescent="0.25">
      <c r="A1392" s="10" t="s">
        <v>1422</v>
      </c>
      <c r="H1392">
        <f>VLOOKUP(Medical_Examinations_2[[#This Row],[Customer ID]],Medical_Examinations!$1:$1048576,9,FALSE)</f>
        <v>1</v>
      </c>
    </row>
    <row r="1393" spans="1:8" x14ac:dyDescent="0.25">
      <c r="A1393" s="11" t="s">
        <v>1423</v>
      </c>
      <c r="H1393" t="str">
        <f>VLOOKUP(Medical_Examinations_2[[#This Row],[Customer ID]],Medical_Examinations!$1:$1048576,9,FALSE)</f>
        <v>No major surgery</v>
      </c>
    </row>
    <row r="1394" spans="1:8" x14ac:dyDescent="0.25">
      <c r="A1394" s="10" t="s">
        <v>1424</v>
      </c>
      <c r="H1394" t="str">
        <f>VLOOKUP(Medical_Examinations_2[[#This Row],[Customer ID]],Medical_Examinations!$1:$1048576,9,FALSE)</f>
        <v>No major surgery</v>
      </c>
    </row>
    <row r="1395" spans="1:8" x14ac:dyDescent="0.25">
      <c r="A1395" s="11" t="s">
        <v>1425</v>
      </c>
      <c r="H1395" t="str">
        <f>VLOOKUP(Medical_Examinations_2[[#This Row],[Customer ID]],Medical_Examinations!$1:$1048576,9,FALSE)</f>
        <v>No major surgery</v>
      </c>
    </row>
    <row r="1396" spans="1:8" x14ac:dyDescent="0.25">
      <c r="A1396" s="10" t="s">
        <v>1426</v>
      </c>
      <c r="H1396">
        <f>VLOOKUP(Medical_Examinations_2[[#This Row],[Customer ID]],Medical_Examinations!$1:$1048576,9,FALSE)</f>
        <v>1</v>
      </c>
    </row>
    <row r="1397" spans="1:8" x14ac:dyDescent="0.25">
      <c r="A1397" s="11" t="s">
        <v>1427</v>
      </c>
      <c r="H1397">
        <f>VLOOKUP(Medical_Examinations_2[[#This Row],[Customer ID]],Medical_Examinations!$1:$1048576,9,FALSE)</f>
        <v>1</v>
      </c>
    </row>
    <row r="1398" spans="1:8" x14ac:dyDescent="0.25">
      <c r="A1398" s="10" t="s">
        <v>1428</v>
      </c>
      <c r="H1398" t="str">
        <f>VLOOKUP(Medical_Examinations_2[[#This Row],[Customer ID]],Medical_Examinations!$1:$1048576,9,FALSE)</f>
        <v>No major surgery</v>
      </c>
    </row>
    <row r="1399" spans="1:8" x14ac:dyDescent="0.25">
      <c r="A1399" s="11" t="s">
        <v>1429</v>
      </c>
      <c r="H1399" t="str">
        <f>VLOOKUP(Medical_Examinations_2[[#This Row],[Customer ID]],Medical_Examinations!$1:$1048576,9,FALSE)</f>
        <v>No major surgery</v>
      </c>
    </row>
    <row r="1400" spans="1:8" x14ac:dyDescent="0.25">
      <c r="A1400" s="10" t="s">
        <v>1430</v>
      </c>
      <c r="H1400" t="str">
        <f>VLOOKUP(Medical_Examinations_2[[#This Row],[Customer ID]],Medical_Examinations!$1:$1048576,9,FALSE)</f>
        <v>No major surgery</v>
      </c>
    </row>
    <row r="1401" spans="1:8" x14ac:dyDescent="0.25">
      <c r="A1401" s="11" t="s">
        <v>1431</v>
      </c>
      <c r="H1401" t="str">
        <f>VLOOKUP(Medical_Examinations_2[[#This Row],[Customer ID]],Medical_Examinations!$1:$1048576,9,FALSE)</f>
        <v>No major surgery</v>
      </c>
    </row>
    <row r="1402" spans="1:8" x14ac:dyDescent="0.25">
      <c r="A1402" s="10" t="s">
        <v>1432</v>
      </c>
      <c r="H1402" t="str">
        <f>VLOOKUP(Medical_Examinations_2[[#This Row],[Customer ID]],Medical_Examinations!$1:$1048576,9,FALSE)</f>
        <v>No major surgery</v>
      </c>
    </row>
    <row r="1403" spans="1:8" x14ac:dyDescent="0.25">
      <c r="A1403" s="11" t="s">
        <v>1433</v>
      </c>
      <c r="H1403" t="str">
        <f>VLOOKUP(Medical_Examinations_2[[#This Row],[Customer ID]],Medical_Examinations!$1:$1048576,9,FALSE)</f>
        <v>No major surgery</v>
      </c>
    </row>
    <row r="1404" spans="1:8" x14ac:dyDescent="0.25">
      <c r="A1404" s="10" t="s">
        <v>1434</v>
      </c>
      <c r="H1404" t="str">
        <f>VLOOKUP(Medical_Examinations_2[[#This Row],[Customer ID]],Medical_Examinations!$1:$1048576,9,FALSE)</f>
        <v>No major surgery</v>
      </c>
    </row>
    <row r="1405" spans="1:8" x14ac:dyDescent="0.25">
      <c r="A1405" s="11" t="s">
        <v>1435</v>
      </c>
      <c r="H1405" t="str">
        <f>VLOOKUP(Medical_Examinations_2[[#This Row],[Customer ID]],Medical_Examinations!$1:$1048576,9,FALSE)</f>
        <v>No major surgery</v>
      </c>
    </row>
    <row r="1406" spans="1:8" x14ac:dyDescent="0.25">
      <c r="A1406" s="10" t="s">
        <v>1436</v>
      </c>
      <c r="H1406" t="str">
        <f>VLOOKUP(Medical_Examinations_2[[#This Row],[Customer ID]],Medical_Examinations!$1:$1048576,9,FALSE)</f>
        <v>No major surgery</v>
      </c>
    </row>
    <row r="1407" spans="1:8" x14ac:dyDescent="0.25">
      <c r="A1407" s="11" t="s">
        <v>1437</v>
      </c>
      <c r="H1407" t="str">
        <f>VLOOKUP(Medical_Examinations_2[[#This Row],[Customer ID]],Medical_Examinations!$1:$1048576,9,FALSE)</f>
        <v>No major surgery</v>
      </c>
    </row>
    <row r="1408" spans="1:8" x14ac:dyDescent="0.25">
      <c r="A1408" s="10" t="s">
        <v>1438</v>
      </c>
      <c r="H1408" t="str">
        <f>VLOOKUP(Medical_Examinations_2[[#This Row],[Customer ID]],Medical_Examinations!$1:$1048576,9,FALSE)</f>
        <v>No major surgery</v>
      </c>
    </row>
    <row r="1409" spans="1:8" x14ac:dyDescent="0.25">
      <c r="A1409" s="11" t="s">
        <v>1439</v>
      </c>
      <c r="H1409">
        <f>VLOOKUP(Medical_Examinations_2[[#This Row],[Customer ID]],Medical_Examinations!$1:$1048576,9,FALSE)</f>
        <v>1</v>
      </c>
    </row>
    <row r="1410" spans="1:8" x14ac:dyDescent="0.25">
      <c r="A1410" s="10" t="s">
        <v>1440</v>
      </c>
      <c r="H1410" t="str">
        <f>VLOOKUP(Medical_Examinations_2[[#This Row],[Customer ID]],Medical_Examinations!$1:$1048576,9,FALSE)</f>
        <v>No major surgery</v>
      </c>
    </row>
    <row r="1411" spans="1:8" x14ac:dyDescent="0.25">
      <c r="A1411" s="11" t="s">
        <v>1441</v>
      </c>
      <c r="H1411" t="str">
        <f>VLOOKUP(Medical_Examinations_2[[#This Row],[Customer ID]],Medical_Examinations!$1:$1048576,9,FALSE)</f>
        <v>No major surgery</v>
      </c>
    </row>
    <row r="1412" spans="1:8" x14ac:dyDescent="0.25">
      <c r="A1412" s="10" t="s">
        <v>1442</v>
      </c>
      <c r="H1412">
        <f>VLOOKUP(Medical_Examinations_2[[#This Row],[Customer ID]],Medical_Examinations!$1:$1048576,9,FALSE)</f>
        <v>1</v>
      </c>
    </row>
    <row r="1413" spans="1:8" x14ac:dyDescent="0.25">
      <c r="A1413" s="11" t="s">
        <v>1443</v>
      </c>
      <c r="H1413">
        <f>VLOOKUP(Medical_Examinations_2[[#This Row],[Customer ID]],Medical_Examinations!$1:$1048576,9,FALSE)</f>
        <v>1</v>
      </c>
    </row>
    <row r="1414" spans="1:8" x14ac:dyDescent="0.25">
      <c r="A1414" s="10" t="s">
        <v>1444</v>
      </c>
      <c r="H1414" t="str">
        <f>VLOOKUP(Medical_Examinations_2[[#This Row],[Customer ID]],Medical_Examinations!$1:$1048576,9,FALSE)</f>
        <v>No major surgery</v>
      </c>
    </row>
    <row r="1415" spans="1:8" x14ac:dyDescent="0.25">
      <c r="A1415" s="11" t="s">
        <v>1445</v>
      </c>
      <c r="H1415" t="str">
        <f>VLOOKUP(Medical_Examinations_2[[#This Row],[Customer ID]],Medical_Examinations!$1:$1048576,9,FALSE)</f>
        <v>No major surgery</v>
      </c>
    </row>
    <row r="1416" spans="1:8" x14ac:dyDescent="0.25">
      <c r="A1416" s="10" t="s">
        <v>1446</v>
      </c>
      <c r="H1416" t="str">
        <f>VLOOKUP(Medical_Examinations_2[[#This Row],[Customer ID]],Medical_Examinations!$1:$1048576,9,FALSE)</f>
        <v>No major surgery</v>
      </c>
    </row>
    <row r="1417" spans="1:8" x14ac:dyDescent="0.25">
      <c r="A1417" s="11" t="s">
        <v>1447</v>
      </c>
      <c r="H1417">
        <f>VLOOKUP(Medical_Examinations_2[[#This Row],[Customer ID]],Medical_Examinations!$1:$1048576,9,FALSE)</f>
        <v>1</v>
      </c>
    </row>
    <row r="1418" spans="1:8" x14ac:dyDescent="0.25">
      <c r="A1418" s="10" t="s">
        <v>1448</v>
      </c>
      <c r="H1418">
        <f>VLOOKUP(Medical_Examinations_2[[#This Row],[Customer ID]],Medical_Examinations!$1:$1048576,9,FALSE)</f>
        <v>1</v>
      </c>
    </row>
    <row r="1419" spans="1:8" x14ac:dyDescent="0.25">
      <c r="A1419" s="11" t="s">
        <v>1449</v>
      </c>
      <c r="H1419">
        <f>VLOOKUP(Medical_Examinations_2[[#This Row],[Customer ID]],Medical_Examinations!$1:$1048576,9,FALSE)</f>
        <v>1</v>
      </c>
    </row>
    <row r="1420" spans="1:8" x14ac:dyDescent="0.25">
      <c r="A1420" s="10" t="s">
        <v>1450</v>
      </c>
      <c r="H1420" t="str">
        <f>VLOOKUP(Medical_Examinations_2[[#This Row],[Customer ID]],Medical_Examinations!$1:$1048576,9,FALSE)</f>
        <v>No major surgery</v>
      </c>
    </row>
    <row r="1421" spans="1:8" x14ac:dyDescent="0.25">
      <c r="A1421" s="11" t="s">
        <v>1451</v>
      </c>
      <c r="H1421" t="str">
        <f>VLOOKUP(Medical_Examinations_2[[#This Row],[Customer ID]],Medical_Examinations!$1:$1048576,9,FALSE)</f>
        <v>No major surgery</v>
      </c>
    </row>
    <row r="1422" spans="1:8" x14ac:dyDescent="0.25">
      <c r="A1422" s="10" t="s">
        <v>1452</v>
      </c>
      <c r="H1422" t="str">
        <f>VLOOKUP(Medical_Examinations_2[[#This Row],[Customer ID]],Medical_Examinations!$1:$1048576,9,FALSE)</f>
        <v>No major surgery</v>
      </c>
    </row>
    <row r="1423" spans="1:8" x14ac:dyDescent="0.25">
      <c r="A1423" s="11" t="s">
        <v>1453</v>
      </c>
      <c r="H1423" t="str">
        <f>VLOOKUP(Medical_Examinations_2[[#This Row],[Customer ID]],Medical_Examinations!$1:$1048576,9,FALSE)</f>
        <v>No major surgery</v>
      </c>
    </row>
    <row r="1424" spans="1:8" x14ac:dyDescent="0.25">
      <c r="A1424" s="10" t="s">
        <v>1454</v>
      </c>
      <c r="H1424" t="str">
        <f>VLOOKUP(Medical_Examinations_2[[#This Row],[Customer ID]],Medical_Examinations!$1:$1048576,9,FALSE)</f>
        <v>No major surgery</v>
      </c>
    </row>
    <row r="1425" spans="1:8" x14ac:dyDescent="0.25">
      <c r="A1425" s="11" t="s">
        <v>1455</v>
      </c>
      <c r="H1425" t="str">
        <f>VLOOKUP(Medical_Examinations_2[[#This Row],[Customer ID]],Medical_Examinations!$1:$1048576,9,FALSE)</f>
        <v>No major surgery</v>
      </c>
    </row>
    <row r="1426" spans="1:8" x14ac:dyDescent="0.25">
      <c r="A1426" s="10" t="s">
        <v>1456</v>
      </c>
      <c r="H1426">
        <f>VLOOKUP(Medical_Examinations_2[[#This Row],[Customer ID]],Medical_Examinations!$1:$1048576,9,FALSE)</f>
        <v>1</v>
      </c>
    </row>
    <row r="1427" spans="1:8" x14ac:dyDescent="0.25">
      <c r="A1427" s="11" t="s">
        <v>1457</v>
      </c>
      <c r="H1427" t="str">
        <f>VLOOKUP(Medical_Examinations_2[[#This Row],[Customer ID]],Medical_Examinations!$1:$1048576,9,FALSE)</f>
        <v>No major surgery</v>
      </c>
    </row>
    <row r="1428" spans="1:8" x14ac:dyDescent="0.25">
      <c r="A1428" s="10" t="s">
        <v>1458</v>
      </c>
      <c r="H1428" t="str">
        <f>VLOOKUP(Medical_Examinations_2[[#This Row],[Customer ID]],Medical_Examinations!$1:$1048576,9,FALSE)</f>
        <v>No major surgery</v>
      </c>
    </row>
    <row r="1429" spans="1:8" x14ac:dyDescent="0.25">
      <c r="A1429" s="11" t="s">
        <v>1459</v>
      </c>
      <c r="H1429" t="str">
        <f>VLOOKUP(Medical_Examinations_2[[#This Row],[Customer ID]],Medical_Examinations!$1:$1048576,9,FALSE)</f>
        <v>No major surgery</v>
      </c>
    </row>
    <row r="1430" spans="1:8" x14ac:dyDescent="0.25">
      <c r="A1430" s="10" t="s">
        <v>1460</v>
      </c>
      <c r="H1430">
        <f>VLOOKUP(Medical_Examinations_2[[#This Row],[Customer ID]],Medical_Examinations!$1:$1048576,9,FALSE)</f>
        <v>1</v>
      </c>
    </row>
    <row r="1431" spans="1:8" x14ac:dyDescent="0.25">
      <c r="A1431" s="11" t="s">
        <v>1461</v>
      </c>
      <c r="H1431" t="str">
        <f>VLOOKUP(Medical_Examinations_2[[#This Row],[Customer ID]],Medical_Examinations!$1:$1048576,9,FALSE)</f>
        <v>No major surgery</v>
      </c>
    </row>
    <row r="1432" spans="1:8" x14ac:dyDescent="0.25">
      <c r="A1432" s="10" t="s">
        <v>1462</v>
      </c>
      <c r="H1432">
        <f>VLOOKUP(Medical_Examinations_2[[#This Row],[Customer ID]],Medical_Examinations!$1:$1048576,9,FALSE)</f>
        <v>1</v>
      </c>
    </row>
    <row r="1433" spans="1:8" x14ac:dyDescent="0.25">
      <c r="A1433" s="11" t="s">
        <v>1463</v>
      </c>
      <c r="H1433" t="str">
        <f>VLOOKUP(Medical_Examinations_2[[#This Row],[Customer ID]],Medical_Examinations!$1:$1048576,9,FALSE)</f>
        <v>No major surgery</v>
      </c>
    </row>
    <row r="1434" spans="1:8" x14ac:dyDescent="0.25">
      <c r="A1434" s="10" t="s">
        <v>1464</v>
      </c>
      <c r="H1434" t="str">
        <f>VLOOKUP(Medical_Examinations_2[[#This Row],[Customer ID]],Medical_Examinations!$1:$1048576,9,FALSE)</f>
        <v>No major surgery</v>
      </c>
    </row>
    <row r="1435" spans="1:8" x14ac:dyDescent="0.25">
      <c r="A1435" s="11" t="s">
        <v>1465</v>
      </c>
      <c r="H1435" t="str">
        <f>VLOOKUP(Medical_Examinations_2[[#This Row],[Customer ID]],Medical_Examinations!$1:$1048576,9,FALSE)</f>
        <v>No major surgery</v>
      </c>
    </row>
    <row r="1436" spans="1:8" x14ac:dyDescent="0.25">
      <c r="A1436" s="10" t="s">
        <v>1466</v>
      </c>
      <c r="H1436">
        <f>VLOOKUP(Medical_Examinations_2[[#This Row],[Customer ID]],Medical_Examinations!$1:$1048576,9,FALSE)</f>
        <v>1</v>
      </c>
    </row>
    <row r="1437" spans="1:8" x14ac:dyDescent="0.25">
      <c r="A1437" s="11" t="s">
        <v>1467</v>
      </c>
      <c r="H1437">
        <f>VLOOKUP(Medical_Examinations_2[[#This Row],[Customer ID]],Medical_Examinations!$1:$1048576,9,FALSE)</f>
        <v>1</v>
      </c>
    </row>
    <row r="1438" spans="1:8" x14ac:dyDescent="0.25">
      <c r="A1438" s="10" t="s">
        <v>1468</v>
      </c>
      <c r="H1438" t="str">
        <f>VLOOKUP(Medical_Examinations_2[[#This Row],[Customer ID]],Medical_Examinations!$1:$1048576,9,FALSE)</f>
        <v>No major surgery</v>
      </c>
    </row>
    <row r="1439" spans="1:8" x14ac:dyDescent="0.25">
      <c r="A1439" s="11" t="s">
        <v>1469</v>
      </c>
      <c r="H1439">
        <f>VLOOKUP(Medical_Examinations_2[[#This Row],[Customer ID]],Medical_Examinations!$1:$1048576,9,FALSE)</f>
        <v>1</v>
      </c>
    </row>
    <row r="1440" spans="1:8" x14ac:dyDescent="0.25">
      <c r="A1440" s="10" t="s">
        <v>1470</v>
      </c>
      <c r="H1440" t="str">
        <f>VLOOKUP(Medical_Examinations_2[[#This Row],[Customer ID]],Medical_Examinations!$1:$1048576,9,FALSE)</f>
        <v>No major surgery</v>
      </c>
    </row>
    <row r="1441" spans="1:8" x14ac:dyDescent="0.25">
      <c r="A1441" s="11" t="s">
        <v>1471</v>
      </c>
      <c r="H1441">
        <f>VLOOKUP(Medical_Examinations_2[[#This Row],[Customer ID]],Medical_Examinations!$1:$1048576,9,FALSE)</f>
        <v>1</v>
      </c>
    </row>
    <row r="1442" spans="1:8" x14ac:dyDescent="0.25">
      <c r="A1442" s="10" t="s">
        <v>1472</v>
      </c>
      <c r="H1442">
        <f>VLOOKUP(Medical_Examinations_2[[#This Row],[Customer ID]],Medical_Examinations!$1:$1048576,9,FALSE)</f>
        <v>1</v>
      </c>
    </row>
    <row r="1443" spans="1:8" x14ac:dyDescent="0.25">
      <c r="A1443" s="11" t="s">
        <v>1473</v>
      </c>
      <c r="H1443">
        <f>VLOOKUP(Medical_Examinations_2[[#This Row],[Customer ID]],Medical_Examinations!$1:$1048576,9,FALSE)</f>
        <v>1</v>
      </c>
    </row>
    <row r="1444" spans="1:8" x14ac:dyDescent="0.25">
      <c r="A1444" s="10" t="s">
        <v>1474</v>
      </c>
      <c r="H1444">
        <f>VLOOKUP(Medical_Examinations_2[[#This Row],[Customer ID]],Medical_Examinations!$1:$1048576,9,FALSE)</f>
        <v>1</v>
      </c>
    </row>
    <row r="1445" spans="1:8" x14ac:dyDescent="0.25">
      <c r="A1445" s="11" t="s">
        <v>1475</v>
      </c>
      <c r="H1445">
        <f>VLOOKUP(Medical_Examinations_2[[#This Row],[Customer ID]],Medical_Examinations!$1:$1048576,9,FALSE)</f>
        <v>1</v>
      </c>
    </row>
    <row r="1446" spans="1:8" x14ac:dyDescent="0.25">
      <c r="A1446" s="10" t="s">
        <v>1476</v>
      </c>
      <c r="H1446" t="str">
        <f>VLOOKUP(Medical_Examinations_2[[#This Row],[Customer ID]],Medical_Examinations!$1:$1048576,9,FALSE)</f>
        <v>No major surgery</v>
      </c>
    </row>
    <row r="1447" spans="1:8" x14ac:dyDescent="0.25">
      <c r="A1447" s="11" t="s">
        <v>1477</v>
      </c>
      <c r="H1447">
        <f>VLOOKUP(Medical_Examinations_2[[#This Row],[Customer ID]],Medical_Examinations!$1:$1048576,9,FALSE)</f>
        <v>2</v>
      </c>
    </row>
    <row r="1448" spans="1:8" x14ac:dyDescent="0.25">
      <c r="A1448" s="10" t="s">
        <v>1478</v>
      </c>
      <c r="H1448" t="str">
        <f>VLOOKUP(Medical_Examinations_2[[#This Row],[Customer ID]],Medical_Examinations!$1:$1048576,9,FALSE)</f>
        <v>No major surgery</v>
      </c>
    </row>
    <row r="1449" spans="1:8" x14ac:dyDescent="0.25">
      <c r="A1449" s="11" t="s">
        <v>1479</v>
      </c>
      <c r="H1449" t="str">
        <f>VLOOKUP(Medical_Examinations_2[[#This Row],[Customer ID]],Medical_Examinations!$1:$1048576,9,FALSE)</f>
        <v>No major surgery</v>
      </c>
    </row>
    <row r="1450" spans="1:8" x14ac:dyDescent="0.25">
      <c r="A1450" s="10" t="s">
        <v>1480</v>
      </c>
      <c r="H1450">
        <f>VLOOKUP(Medical_Examinations_2[[#This Row],[Customer ID]],Medical_Examinations!$1:$1048576,9,FALSE)</f>
        <v>2</v>
      </c>
    </row>
    <row r="1451" spans="1:8" x14ac:dyDescent="0.25">
      <c r="A1451" s="11" t="s">
        <v>1481</v>
      </c>
      <c r="H1451" t="str">
        <f>VLOOKUP(Medical_Examinations_2[[#This Row],[Customer ID]],Medical_Examinations!$1:$1048576,9,FALSE)</f>
        <v>No major surgery</v>
      </c>
    </row>
    <row r="1452" spans="1:8" x14ac:dyDescent="0.25">
      <c r="A1452" s="10" t="s">
        <v>1482</v>
      </c>
      <c r="H1452" t="str">
        <f>VLOOKUP(Medical_Examinations_2[[#This Row],[Customer ID]],Medical_Examinations!$1:$1048576,9,FALSE)</f>
        <v>No major surgery</v>
      </c>
    </row>
    <row r="1453" spans="1:8" x14ac:dyDescent="0.25">
      <c r="A1453" s="11" t="s">
        <v>1483</v>
      </c>
      <c r="H1453" t="str">
        <f>VLOOKUP(Medical_Examinations_2[[#This Row],[Customer ID]],Medical_Examinations!$1:$1048576,9,FALSE)</f>
        <v>No major surgery</v>
      </c>
    </row>
    <row r="1454" spans="1:8" x14ac:dyDescent="0.25">
      <c r="A1454" s="10" t="s">
        <v>1484</v>
      </c>
      <c r="H1454">
        <f>VLOOKUP(Medical_Examinations_2[[#This Row],[Customer ID]],Medical_Examinations!$1:$1048576,9,FALSE)</f>
        <v>2</v>
      </c>
    </row>
    <row r="1455" spans="1:8" x14ac:dyDescent="0.25">
      <c r="A1455" s="11" t="s">
        <v>1485</v>
      </c>
      <c r="H1455" t="str">
        <f>VLOOKUP(Medical_Examinations_2[[#This Row],[Customer ID]],Medical_Examinations!$1:$1048576,9,FALSE)</f>
        <v>No major surgery</v>
      </c>
    </row>
    <row r="1456" spans="1:8" x14ac:dyDescent="0.25">
      <c r="A1456" s="10" t="s">
        <v>1486</v>
      </c>
      <c r="H1456" t="str">
        <f>VLOOKUP(Medical_Examinations_2[[#This Row],[Customer ID]],Medical_Examinations!$1:$1048576,9,FALSE)</f>
        <v>No major surgery</v>
      </c>
    </row>
    <row r="1457" spans="1:8" x14ac:dyDescent="0.25">
      <c r="A1457" s="11" t="s">
        <v>1487</v>
      </c>
      <c r="H1457" t="str">
        <f>VLOOKUP(Medical_Examinations_2[[#This Row],[Customer ID]],Medical_Examinations!$1:$1048576,9,FALSE)</f>
        <v>No major surgery</v>
      </c>
    </row>
    <row r="1458" spans="1:8" x14ac:dyDescent="0.25">
      <c r="A1458" s="10" t="s">
        <v>1488</v>
      </c>
      <c r="H1458">
        <f>VLOOKUP(Medical_Examinations_2[[#This Row],[Customer ID]],Medical_Examinations!$1:$1048576,9,FALSE)</f>
        <v>1</v>
      </c>
    </row>
    <row r="1459" spans="1:8" x14ac:dyDescent="0.25">
      <c r="A1459" s="11" t="s">
        <v>1489</v>
      </c>
      <c r="H1459">
        <f>VLOOKUP(Medical_Examinations_2[[#This Row],[Customer ID]],Medical_Examinations!$1:$1048576,9,FALSE)</f>
        <v>1</v>
      </c>
    </row>
    <row r="1460" spans="1:8" x14ac:dyDescent="0.25">
      <c r="A1460" s="10" t="s">
        <v>1490</v>
      </c>
      <c r="H1460" t="str">
        <f>VLOOKUP(Medical_Examinations_2[[#This Row],[Customer ID]],Medical_Examinations!$1:$1048576,9,FALSE)</f>
        <v>No major surgery</v>
      </c>
    </row>
    <row r="1461" spans="1:8" x14ac:dyDescent="0.25">
      <c r="A1461" s="11" t="s">
        <v>1491</v>
      </c>
      <c r="H1461" t="str">
        <f>VLOOKUP(Medical_Examinations_2[[#This Row],[Customer ID]],Medical_Examinations!$1:$1048576,9,FALSE)</f>
        <v>No major surgery</v>
      </c>
    </row>
    <row r="1462" spans="1:8" x14ac:dyDescent="0.25">
      <c r="A1462" s="10" t="s">
        <v>1492</v>
      </c>
      <c r="H1462">
        <f>VLOOKUP(Medical_Examinations_2[[#This Row],[Customer ID]],Medical_Examinations!$1:$1048576,9,FALSE)</f>
        <v>1</v>
      </c>
    </row>
    <row r="1463" spans="1:8" x14ac:dyDescent="0.25">
      <c r="A1463" s="11" t="s">
        <v>1493</v>
      </c>
      <c r="H1463">
        <f>VLOOKUP(Medical_Examinations_2[[#This Row],[Customer ID]],Medical_Examinations!$1:$1048576,9,FALSE)</f>
        <v>1</v>
      </c>
    </row>
    <row r="1464" spans="1:8" x14ac:dyDescent="0.25">
      <c r="A1464" s="10" t="s">
        <v>1494</v>
      </c>
      <c r="H1464" t="str">
        <f>VLOOKUP(Medical_Examinations_2[[#This Row],[Customer ID]],Medical_Examinations!$1:$1048576,9,FALSE)</f>
        <v>No major surgery</v>
      </c>
    </row>
    <row r="1465" spans="1:8" x14ac:dyDescent="0.25">
      <c r="A1465" s="11" t="s">
        <v>1495</v>
      </c>
      <c r="H1465" t="str">
        <f>VLOOKUP(Medical_Examinations_2[[#This Row],[Customer ID]],Medical_Examinations!$1:$1048576,9,FALSE)</f>
        <v>No major surgery</v>
      </c>
    </row>
    <row r="1466" spans="1:8" x14ac:dyDescent="0.25">
      <c r="A1466" s="10" t="s">
        <v>1496</v>
      </c>
      <c r="H1466">
        <f>VLOOKUP(Medical_Examinations_2[[#This Row],[Customer ID]],Medical_Examinations!$1:$1048576,9,FALSE)</f>
        <v>1</v>
      </c>
    </row>
    <row r="1467" spans="1:8" x14ac:dyDescent="0.25">
      <c r="A1467" s="11" t="s">
        <v>1497</v>
      </c>
      <c r="H1467" t="str">
        <f>VLOOKUP(Medical_Examinations_2[[#This Row],[Customer ID]],Medical_Examinations!$1:$1048576,9,FALSE)</f>
        <v>No major surgery</v>
      </c>
    </row>
    <row r="1468" spans="1:8" x14ac:dyDescent="0.25">
      <c r="A1468" s="10" t="s">
        <v>1498</v>
      </c>
      <c r="H1468" t="str">
        <f>VLOOKUP(Medical_Examinations_2[[#This Row],[Customer ID]],Medical_Examinations!$1:$1048576,9,FALSE)</f>
        <v>No major surgery</v>
      </c>
    </row>
    <row r="1469" spans="1:8" x14ac:dyDescent="0.25">
      <c r="A1469" s="11" t="s">
        <v>1499</v>
      </c>
      <c r="H1469" t="str">
        <f>VLOOKUP(Medical_Examinations_2[[#This Row],[Customer ID]],Medical_Examinations!$1:$1048576,9,FALSE)</f>
        <v>No major surgery</v>
      </c>
    </row>
    <row r="1470" spans="1:8" x14ac:dyDescent="0.25">
      <c r="A1470" s="10" t="s">
        <v>1500</v>
      </c>
      <c r="H1470" t="str">
        <f>VLOOKUP(Medical_Examinations_2[[#This Row],[Customer ID]],Medical_Examinations!$1:$1048576,9,FALSE)</f>
        <v>No major surgery</v>
      </c>
    </row>
    <row r="1471" spans="1:8" x14ac:dyDescent="0.25">
      <c r="A1471" s="11" t="s">
        <v>1501</v>
      </c>
      <c r="H1471" t="str">
        <f>VLOOKUP(Medical_Examinations_2[[#This Row],[Customer ID]],Medical_Examinations!$1:$1048576,9,FALSE)</f>
        <v>No major surgery</v>
      </c>
    </row>
    <row r="1472" spans="1:8" x14ac:dyDescent="0.25">
      <c r="A1472" s="10" t="s">
        <v>1502</v>
      </c>
      <c r="H1472" t="str">
        <f>VLOOKUP(Medical_Examinations_2[[#This Row],[Customer ID]],Medical_Examinations!$1:$1048576,9,FALSE)</f>
        <v>No major surgery</v>
      </c>
    </row>
    <row r="1473" spans="1:8" x14ac:dyDescent="0.25">
      <c r="A1473" s="11" t="s">
        <v>1503</v>
      </c>
      <c r="H1473">
        <f>VLOOKUP(Medical_Examinations_2[[#This Row],[Customer ID]],Medical_Examinations!$1:$1048576,9,FALSE)</f>
        <v>1</v>
      </c>
    </row>
    <row r="1474" spans="1:8" x14ac:dyDescent="0.25">
      <c r="A1474" s="10" t="s">
        <v>1504</v>
      </c>
      <c r="H1474" t="str">
        <f>VLOOKUP(Medical_Examinations_2[[#This Row],[Customer ID]],Medical_Examinations!$1:$1048576,9,FALSE)</f>
        <v>No major surgery</v>
      </c>
    </row>
    <row r="1475" spans="1:8" x14ac:dyDescent="0.25">
      <c r="A1475" s="11" t="s">
        <v>1505</v>
      </c>
      <c r="H1475" t="str">
        <f>VLOOKUP(Medical_Examinations_2[[#This Row],[Customer ID]],Medical_Examinations!$1:$1048576,9,FALSE)</f>
        <v>No major surgery</v>
      </c>
    </row>
    <row r="1476" spans="1:8" x14ac:dyDescent="0.25">
      <c r="A1476" s="10" t="s">
        <v>1506</v>
      </c>
      <c r="H1476">
        <f>VLOOKUP(Medical_Examinations_2[[#This Row],[Customer ID]],Medical_Examinations!$1:$1048576,9,FALSE)</f>
        <v>1</v>
      </c>
    </row>
    <row r="1477" spans="1:8" x14ac:dyDescent="0.25">
      <c r="A1477" s="11" t="s">
        <v>1507</v>
      </c>
      <c r="H1477" t="str">
        <f>VLOOKUP(Medical_Examinations_2[[#This Row],[Customer ID]],Medical_Examinations!$1:$1048576,9,FALSE)</f>
        <v>No major surgery</v>
      </c>
    </row>
    <row r="1478" spans="1:8" x14ac:dyDescent="0.25">
      <c r="A1478" s="10" t="s">
        <v>1508</v>
      </c>
      <c r="H1478">
        <f>VLOOKUP(Medical_Examinations_2[[#This Row],[Customer ID]],Medical_Examinations!$1:$1048576,9,FALSE)</f>
        <v>1</v>
      </c>
    </row>
    <row r="1479" spans="1:8" x14ac:dyDescent="0.25">
      <c r="A1479" s="11" t="s">
        <v>1509</v>
      </c>
      <c r="H1479">
        <f>VLOOKUP(Medical_Examinations_2[[#This Row],[Customer ID]],Medical_Examinations!$1:$1048576,9,FALSE)</f>
        <v>1</v>
      </c>
    </row>
    <row r="1480" spans="1:8" x14ac:dyDescent="0.25">
      <c r="A1480" s="10" t="s">
        <v>1510</v>
      </c>
      <c r="H1480" t="str">
        <f>VLOOKUP(Medical_Examinations_2[[#This Row],[Customer ID]],Medical_Examinations!$1:$1048576,9,FALSE)</f>
        <v>No major surgery</v>
      </c>
    </row>
    <row r="1481" spans="1:8" x14ac:dyDescent="0.25">
      <c r="A1481" s="11" t="s">
        <v>1511</v>
      </c>
      <c r="H1481">
        <f>VLOOKUP(Medical_Examinations_2[[#This Row],[Customer ID]],Medical_Examinations!$1:$1048576,9,FALSE)</f>
        <v>1</v>
      </c>
    </row>
    <row r="1482" spans="1:8" x14ac:dyDescent="0.25">
      <c r="A1482" s="10" t="s">
        <v>1512</v>
      </c>
      <c r="H1482">
        <f>VLOOKUP(Medical_Examinations_2[[#This Row],[Customer ID]],Medical_Examinations!$1:$1048576,9,FALSE)</f>
        <v>1</v>
      </c>
    </row>
    <row r="1483" spans="1:8" x14ac:dyDescent="0.25">
      <c r="A1483" s="11" t="s">
        <v>1513</v>
      </c>
      <c r="H1483" t="str">
        <f>VLOOKUP(Medical_Examinations_2[[#This Row],[Customer ID]],Medical_Examinations!$1:$1048576,9,FALSE)</f>
        <v>No major surgery</v>
      </c>
    </row>
    <row r="1484" spans="1:8" x14ac:dyDescent="0.25">
      <c r="A1484" s="10" t="s">
        <v>1514</v>
      </c>
      <c r="H1484" t="str">
        <f>VLOOKUP(Medical_Examinations_2[[#This Row],[Customer ID]],Medical_Examinations!$1:$1048576,9,FALSE)</f>
        <v>No major surgery</v>
      </c>
    </row>
    <row r="1485" spans="1:8" x14ac:dyDescent="0.25">
      <c r="A1485" s="11" t="s">
        <v>1515</v>
      </c>
      <c r="H1485" t="str">
        <f>VLOOKUP(Medical_Examinations_2[[#This Row],[Customer ID]],Medical_Examinations!$1:$1048576,9,FALSE)</f>
        <v>No major surgery</v>
      </c>
    </row>
    <row r="1486" spans="1:8" x14ac:dyDescent="0.25">
      <c r="A1486" s="10" t="s">
        <v>1516</v>
      </c>
      <c r="H1486" t="str">
        <f>VLOOKUP(Medical_Examinations_2[[#This Row],[Customer ID]],Medical_Examinations!$1:$1048576,9,FALSE)</f>
        <v>No major surgery</v>
      </c>
    </row>
    <row r="1487" spans="1:8" x14ac:dyDescent="0.25">
      <c r="A1487" s="11" t="s">
        <v>1517</v>
      </c>
      <c r="H1487" t="str">
        <f>VLOOKUP(Medical_Examinations_2[[#This Row],[Customer ID]],Medical_Examinations!$1:$1048576,9,FALSE)</f>
        <v>No major surgery</v>
      </c>
    </row>
    <row r="1488" spans="1:8" x14ac:dyDescent="0.25">
      <c r="A1488" s="10" t="s">
        <v>1518</v>
      </c>
      <c r="H1488" t="str">
        <f>VLOOKUP(Medical_Examinations_2[[#This Row],[Customer ID]],Medical_Examinations!$1:$1048576,9,FALSE)</f>
        <v>No major surgery</v>
      </c>
    </row>
    <row r="1489" spans="1:8" x14ac:dyDescent="0.25">
      <c r="A1489" s="11" t="s">
        <v>1519</v>
      </c>
      <c r="H1489">
        <f>VLOOKUP(Medical_Examinations_2[[#This Row],[Customer ID]],Medical_Examinations!$1:$1048576,9,FALSE)</f>
        <v>1</v>
      </c>
    </row>
    <row r="1490" spans="1:8" x14ac:dyDescent="0.25">
      <c r="A1490" s="10" t="s">
        <v>1520</v>
      </c>
      <c r="H1490" t="str">
        <f>VLOOKUP(Medical_Examinations_2[[#This Row],[Customer ID]],Medical_Examinations!$1:$1048576,9,FALSE)</f>
        <v>No major surgery</v>
      </c>
    </row>
    <row r="1491" spans="1:8" x14ac:dyDescent="0.25">
      <c r="A1491" s="11" t="s">
        <v>1521</v>
      </c>
      <c r="H1491">
        <f>VLOOKUP(Medical_Examinations_2[[#This Row],[Customer ID]],Medical_Examinations!$1:$1048576,9,FALSE)</f>
        <v>1</v>
      </c>
    </row>
    <row r="1492" spans="1:8" x14ac:dyDescent="0.25">
      <c r="A1492" s="10" t="s">
        <v>1522</v>
      </c>
      <c r="H1492" t="str">
        <f>VLOOKUP(Medical_Examinations_2[[#This Row],[Customer ID]],Medical_Examinations!$1:$1048576,9,FALSE)</f>
        <v>No major surgery</v>
      </c>
    </row>
    <row r="1493" spans="1:8" x14ac:dyDescent="0.25">
      <c r="A1493" s="11" t="s">
        <v>1523</v>
      </c>
      <c r="H1493" t="str">
        <f>VLOOKUP(Medical_Examinations_2[[#This Row],[Customer ID]],Medical_Examinations!$1:$1048576,9,FALSE)</f>
        <v>No major surgery</v>
      </c>
    </row>
    <row r="1494" spans="1:8" x14ac:dyDescent="0.25">
      <c r="A1494" s="10" t="s">
        <v>1524</v>
      </c>
      <c r="H1494" t="str">
        <f>VLOOKUP(Medical_Examinations_2[[#This Row],[Customer ID]],Medical_Examinations!$1:$1048576,9,FALSE)</f>
        <v>No major surgery</v>
      </c>
    </row>
    <row r="1495" spans="1:8" x14ac:dyDescent="0.25">
      <c r="A1495" s="11" t="s">
        <v>1525</v>
      </c>
      <c r="H1495">
        <f>VLOOKUP(Medical_Examinations_2[[#This Row],[Customer ID]],Medical_Examinations!$1:$1048576,9,FALSE)</f>
        <v>1</v>
      </c>
    </row>
    <row r="1496" spans="1:8" x14ac:dyDescent="0.25">
      <c r="A1496" s="10" t="s">
        <v>1526</v>
      </c>
      <c r="H1496" t="str">
        <f>VLOOKUP(Medical_Examinations_2[[#This Row],[Customer ID]],Medical_Examinations!$1:$1048576,9,FALSE)</f>
        <v>No major surgery</v>
      </c>
    </row>
    <row r="1497" spans="1:8" x14ac:dyDescent="0.25">
      <c r="A1497" s="11" t="s">
        <v>1527</v>
      </c>
      <c r="H1497" t="str">
        <f>VLOOKUP(Medical_Examinations_2[[#This Row],[Customer ID]],Medical_Examinations!$1:$1048576,9,FALSE)</f>
        <v>No major surgery</v>
      </c>
    </row>
    <row r="1498" spans="1:8" x14ac:dyDescent="0.25">
      <c r="A1498" s="10" t="s">
        <v>1528</v>
      </c>
      <c r="H1498" t="str">
        <f>VLOOKUP(Medical_Examinations_2[[#This Row],[Customer ID]],Medical_Examinations!$1:$1048576,9,FALSE)</f>
        <v>No major surgery</v>
      </c>
    </row>
    <row r="1499" spans="1:8" x14ac:dyDescent="0.25">
      <c r="A1499" s="11" t="s">
        <v>1529</v>
      </c>
      <c r="H1499" t="str">
        <f>VLOOKUP(Medical_Examinations_2[[#This Row],[Customer ID]],Medical_Examinations!$1:$1048576,9,FALSE)</f>
        <v>No major surgery</v>
      </c>
    </row>
    <row r="1500" spans="1:8" x14ac:dyDescent="0.25">
      <c r="A1500" s="10" t="s">
        <v>1530</v>
      </c>
      <c r="H1500" t="str">
        <f>VLOOKUP(Medical_Examinations_2[[#This Row],[Customer ID]],Medical_Examinations!$1:$1048576,9,FALSE)</f>
        <v>No major surgery</v>
      </c>
    </row>
    <row r="1501" spans="1:8" x14ac:dyDescent="0.25">
      <c r="A1501" s="11" t="s">
        <v>1531</v>
      </c>
      <c r="H1501">
        <f>VLOOKUP(Medical_Examinations_2[[#This Row],[Customer ID]],Medical_Examinations!$1:$1048576,9,FALSE)</f>
        <v>1</v>
      </c>
    </row>
    <row r="1502" spans="1:8" x14ac:dyDescent="0.25">
      <c r="A1502" s="10" t="s">
        <v>1532</v>
      </c>
      <c r="H1502" t="str">
        <f>VLOOKUP(Medical_Examinations_2[[#This Row],[Customer ID]],Medical_Examinations!$1:$1048576,9,FALSE)</f>
        <v>No major surgery</v>
      </c>
    </row>
    <row r="1503" spans="1:8" x14ac:dyDescent="0.25">
      <c r="A1503" s="11" t="s">
        <v>1533</v>
      </c>
      <c r="H1503" t="str">
        <f>VLOOKUP(Medical_Examinations_2[[#This Row],[Customer ID]],Medical_Examinations!$1:$1048576,9,FALSE)</f>
        <v>No major surgery</v>
      </c>
    </row>
    <row r="1504" spans="1:8" x14ac:dyDescent="0.25">
      <c r="A1504" s="10" t="s">
        <v>1534</v>
      </c>
      <c r="H1504">
        <f>VLOOKUP(Medical_Examinations_2[[#This Row],[Customer ID]],Medical_Examinations!$1:$1048576,9,FALSE)</f>
        <v>1</v>
      </c>
    </row>
    <row r="1505" spans="1:8" x14ac:dyDescent="0.25">
      <c r="A1505" s="11" t="s">
        <v>1535</v>
      </c>
      <c r="H1505" t="str">
        <f>VLOOKUP(Medical_Examinations_2[[#This Row],[Customer ID]],Medical_Examinations!$1:$1048576,9,FALSE)</f>
        <v>No major surgery</v>
      </c>
    </row>
    <row r="1506" spans="1:8" x14ac:dyDescent="0.25">
      <c r="A1506" s="10" t="s">
        <v>1536</v>
      </c>
      <c r="H1506">
        <f>VLOOKUP(Medical_Examinations_2[[#This Row],[Customer ID]],Medical_Examinations!$1:$1048576,9,FALSE)</f>
        <v>1</v>
      </c>
    </row>
    <row r="1507" spans="1:8" x14ac:dyDescent="0.25">
      <c r="A1507" s="11" t="s">
        <v>1537</v>
      </c>
      <c r="H1507" t="str">
        <f>VLOOKUP(Medical_Examinations_2[[#This Row],[Customer ID]],Medical_Examinations!$1:$1048576,9,FALSE)</f>
        <v>No major surgery</v>
      </c>
    </row>
    <row r="1508" spans="1:8" x14ac:dyDescent="0.25">
      <c r="A1508" s="10" t="s">
        <v>1538</v>
      </c>
      <c r="H1508" t="str">
        <f>VLOOKUP(Medical_Examinations_2[[#This Row],[Customer ID]],Medical_Examinations!$1:$1048576,9,FALSE)</f>
        <v>No major surgery</v>
      </c>
    </row>
    <row r="1509" spans="1:8" x14ac:dyDescent="0.25">
      <c r="A1509" s="11" t="s">
        <v>1539</v>
      </c>
      <c r="H1509">
        <f>VLOOKUP(Medical_Examinations_2[[#This Row],[Customer ID]],Medical_Examinations!$1:$1048576,9,FALSE)</f>
        <v>1</v>
      </c>
    </row>
    <row r="1510" spans="1:8" x14ac:dyDescent="0.25">
      <c r="A1510" s="10" t="s">
        <v>1540</v>
      </c>
      <c r="H1510" t="str">
        <f>VLOOKUP(Medical_Examinations_2[[#This Row],[Customer ID]],Medical_Examinations!$1:$1048576,9,FALSE)</f>
        <v>No major surgery</v>
      </c>
    </row>
    <row r="1511" spans="1:8" x14ac:dyDescent="0.25">
      <c r="A1511" s="11" t="s">
        <v>1541</v>
      </c>
      <c r="H1511">
        <f>VLOOKUP(Medical_Examinations_2[[#This Row],[Customer ID]],Medical_Examinations!$1:$1048576,9,FALSE)</f>
        <v>1</v>
      </c>
    </row>
    <row r="1512" spans="1:8" x14ac:dyDescent="0.25">
      <c r="A1512" s="10" t="s">
        <v>1542</v>
      </c>
      <c r="H1512">
        <f>VLOOKUP(Medical_Examinations_2[[#This Row],[Customer ID]],Medical_Examinations!$1:$1048576,9,FALSE)</f>
        <v>1</v>
      </c>
    </row>
    <row r="1513" spans="1:8" x14ac:dyDescent="0.25">
      <c r="A1513" s="11" t="s">
        <v>1543</v>
      </c>
      <c r="H1513" t="str">
        <f>VLOOKUP(Medical_Examinations_2[[#This Row],[Customer ID]],Medical_Examinations!$1:$1048576,9,FALSE)</f>
        <v>No major surgery</v>
      </c>
    </row>
    <row r="1514" spans="1:8" x14ac:dyDescent="0.25">
      <c r="A1514" s="10" t="s">
        <v>1544</v>
      </c>
      <c r="H1514">
        <f>VLOOKUP(Medical_Examinations_2[[#This Row],[Customer ID]],Medical_Examinations!$1:$1048576,9,FALSE)</f>
        <v>1</v>
      </c>
    </row>
    <row r="1515" spans="1:8" x14ac:dyDescent="0.25">
      <c r="A1515" s="11" t="s">
        <v>1545</v>
      </c>
      <c r="H1515" t="str">
        <f>VLOOKUP(Medical_Examinations_2[[#This Row],[Customer ID]],Medical_Examinations!$1:$1048576,9,FALSE)</f>
        <v>No major surgery</v>
      </c>
    </row>
    <row r="1516" spans="1:8" x14ac:dyDescent="0.25">
      <c r="A1516" s="10" t="s">
        <v>1546</v>
      </c>
      <c r="H1516" t="str">
        <f>VLOOKUP(Medical_Examinations_2[[#This Row],[Customer ID]],Medical_Examinations!$1:$1048576,9,FALSE)</f>
        <v>No major surgery</v>
      </c>
    </row>
    <row r="1517" spans="1:8" x14ac:dyDescent="0.25">
      <c r="A1517" s="11" t="s">
        <v>1547</v>
      </c>
      <c r="H1517" t="str">
        <f>VLOOKUP(Medical_Examinations_2[[#This Row],[Customer ID]],Medical_Examinations!$1:$1048576,9,FALSE)</f>
        <v>No major surgery</v>
      </c>
    </row>
    <row r="1518" spans="1:8" x14ac:dyDescent="0.25">
      <c r="A1518" s="10" t="s">
        <v>1548</v>
      </c>
      <c r="H1518" t="str">
        <f>VLOOKUP(Medical_Examinations_2[[#This Row],[Customer ID]],Medical_Examinations!$1:$1048576,9,FALSE)</f>
        <v>No major surgery</v>
      </c>
    </row>
    <row r="1519" spans="1:8" x14ac:dyDescent="0.25">
      <c r="A1519" s="11" t="s">
        <v>1549</v>
      </c>
      <c r="H1519" t="str">
        <f>VLOOKUP(Medical_Examinations_2[[#This Row],[Customer ID]],Medical_Examinations!$1:$1048576,9,FALSE)</f>
        <v>No major surgery</v>
      </c>
    </row>
    <row r="1520" spans="1:8" x14ac:dyDescent="0.25">
      <c r="A1520" s="10" t="s">
        <v>1550</v>
      </c>
      <c r="H1520" t="str">
        <f>VLOOKUP(Medical_Examinations_2[[#This Row],[Customer ID]],Medical_Examinations!$1:$1048576,9,FALSE)</f>
        <v>No major surgery</v>
      </c>
    </row>
    <row r="1521" spans="1:8" x14ac:dyDescent="0.25">
      <c r="A1521" s="11" t="s">
        <v>1551</v>
      </c>
      <c r="H1521">
        <f>VLOOKUP(Medical_Examinations_2[[#This Row],[Customer ID]],Medical_Examinations!$1:$1048576,9,FALSE)</f>
        <v>1</v>
      </c>
    </row>
    <row r="1522" spans="1:8" x14ac:dyDescent="0.25">
      <c r="A1522" s="10" t="s">
        <v>1552</v>
      </c>
      <c r="H1522">
        <f>VLOOKUP(Medical_Examinations_2[[#This Row],[Customer ID]],Medical_Examinations!$1:$1048576,9,FALSE)</f>
        <v>2</v>
      </c>
    </row>
    <row r="1523" spans="1:8" x14ac:dyDescent="0.25">
      <c r="A1523" s="11" t="s">
        <v>1553</v>
      </c>
      <c r="H1523">
        <f>VLOOKUP(Medical_Examinations_2[[#This Row],[Customer ID]],Medical_Examinations!$1:$1048576,9,FALSE)</f>
        <v>2</v>
      </c>
    </row>
    <row r="1524" spans="1:8" x14ac:dyDescent="0.25">
      <c r="A1524" s="10" t="s">
        <v>1554</v>
      </c>
      <c r="H1524">
        <f>VLOOKUP(Medical_Examinations_2[[#This Row],[Customer ID]],Medical_Examinations!$1:$1048576,9,FALSE)</f>
        <v>1</v>
      </c>
    </row>
    <row r="1525" spans="1:8" x14ac:dyDescent="0.25">
      <c r="A1525" s="11" t="s">
        <v>1555</v>
      </c>
      <c r="H1525">
        <f>VLOOKUP(Medical_Examinations_2[[#This Row],[Customer ID]],Medical_Examinations!$1:$1048576,9,FALSE)</f>
        <v>1</v>
      </c>
    </row>
    <row r="1526" spans="1:8" x14ac:dyDescent="0.25">
      <c r="A1526" s="10" t="s">
        <v>1556</v>
      </c>
      <c r="H1526" t="str">
        <f>VLOOKUP(Medical_Examinations_2[[#This Row],[Customer ID]],Medical_Examinations!$1:$1048576,9,FALSE)</f>
        <v>No major surgery</v>
      </c>
    </row>
    <row r="1527" spans="1:8" x14ac:dyDescent="0.25">
      <c r="A1527" s="11" t="s">
        <v>1557</v>
      </c>
      <c r="H1527" t="str">
        <f>VLOOKUP(Medical_Examinations_2[[#This Row],[Customer ID]],Medical_Examinations!$1:$1048576,9,FALSE)</f>
        <v>No major surgery</v>
      </c>
    </row>
    <row r="1528" spans="1:8" x14ac:dyDescent="0.25">
      <c r="A1528" s="10" t="s">
        <v>1558</v>
      </c>
      <c r="H1528" t="str">
        <f>VLOOKUP(Medical_Examinations_2[[#This Row],[Customer ID]],Medical_Examinations!$1:$1048576,9,FALSE)</f>
        <v>No major surgery</v>
      </c>
    </row>
    <row r="1529" spans="1:8" x14ac:dyDescent="0.25">
      <c r="A1529" s="11" t="s">
        <v>1559</v>
      </c>
      <c r="H1529">
        <f>VLOOKUP(Medical_Examinations_2[[#This Row],[Customer ID]],Medical_Examinations!$1:$1048576,9,FALSE)</f>
        <v>1</v>
      </c>
    </row>
    <row r="1530" spans="1:8" x14ac:dyDescent="0.25">
      <c r="A1530" s="10" t="s">
        <v>1560</v>
      </c>
      <c r="H1530" t="str">
        <f>VLOOKUP(Medical_Examinations_2[[#This Row],[Customer ID]],Medical_Examinations!$1:$1048576,9,FALSE)</f>
        <v>No major surgery</v>
      </c>
    </row>
    <row r="1531" spans="1:8" x14ac:dyDescent="0.25">
      <c r="A1531" s="11" t="s">
        <v>1561</v>
      </c>
      <c r="H1531" t="str">
        <f>VLOOKUP(Medical_Examinations_2[[#This Row],[Customer ID]],Medical_Examinations!$1:$1048576,9,FALSE)</f>
        <v>No major surgery</v>
      </c>
    </row>
    <row r="1532" spans="1:8" x14ac:dyDescent="0.25">
      <c r="A1532" s="10" t="s">
        <v>1562</v>
      </c>
      <c r="H1532" t="str">
        <f>VLOOKUP(Medical_Examinations_2[[#This Row],[Customer ID]],Medical_Examinations!$1:$1048576,9,FALSE)</f>
        <v>No major surgery</v>
      </c>
    </row>
    <row r="1533" spans="1:8" x14ac:dyDescent="0.25">
      <c r="A1533" s="11" t="s">
        <v>1563</v>
      </c>
      <c r="H1533" t="str">
        <f>VLOOKUP(Medical_Examinations_2[[#This Row],[Customer ID]],Medical_Examinations!$1:$1048576,9,FALSE)</f>
        <v>No major surgery</v>
      </c>
    </row>
    <row r="1534" spans="1:8" x14ac:dyDescent="0.25">
      <c r="A1534" s="10" t="s">
        <v>1564</v>
      </c>
      <c r="H1534" t="str">
        <f>VLOOKUP(Medical_Examinations_2[[#This Row],[Customer ID]],Medical_Examinations!$1:$1048576,9,FALSE)</f>
        <v>No major surgery</v>
      </c>
    </row>
    <row r="1535" spans="1:8" x14ac:dyDescent="0.25">
      <c r="A1535" s="11" t="s">
        <v>1565</v>
      </c>
      <c r="H1535" t="str">
        <f>VLOOKUP(Medical_Examinations_2[[#This Row],[Customer ID]],Medical_Examinations!$1:$1048576,9,FALSE)</f>
        <v>No major surgery</v>
      </c>
    </row>
    <row r="1536" spans="1:8" x14ac:dyDescent="0.25">
      <c r="A1536" s="10" t="s">
        <v>1566</v>
      </c>
      <c r="H1536" t="str">
        <f>VLOOKUP(Medical_Examinations_2[[#This Row],[Customer ID]],Medical_Examinations!$1:$1048576,9,FALSE)</f>
        <v>No major surgery</v>
      </c>
    </row>
    <row r="1537" spans="1:8" x14ac:dyDescent="0.25">
      <c r="A1537" s="11" t="s">
        <v>1567</v>
      </c>
      <c r="H1537">
        <f>VLOOKUP(Medical_Examinations_2[[#This Row],[Customer ID]],Medical_Examinations!$1:$1048576,9,FALSE)</f>
        <v>1</v>
      </c>
    </row>
    <row r="1538" spans="1:8" x14ac:dyDescent="0.25">
      <c r="A1538" s="10" t="s">
        <v>1568</v>
      </c>
      <c r="H1538">
        <f>VLOOKUP(Medical_Examinations_2[[#This Row],[Customer ID]],Medical_Examinations!$1:$1048576,9,FALSE)</f>
        <v>2</v>
      </c>
    </row>
    <row r="1539" spans="1:8" x14ac:dyDescent="0.25">
      <c r="A1539" s="11" t="s">
        <v>1569</v>
      </c>
      <c r="H1539">
        <f>VLOOKUP(Medical_Examinations_2[[#This Row],[Customer ID]],Medical_Examinations!$1:$1048576,9,FALSE)</f>
        <v>1</v>
      </c>
    </row>
    <row r="1540" spans="1:8" x14ac:dyDescent="0.25">
      <c r="A1540" s="10" t="s">
        <v>1570</v>
      </c>
      <c r="H1540" t="str">
        <f>VLOOKUP(Medical_Examinations_2[[#This Row],[Customer ID]],Medical_Examinations!$1:$1048576,9,FALSE)</f>
        <v>No major surgery</v>
      </c>
    </row>
    <row r="1541" spans="1:8" x14ac:dyDescent="0.25">
      <c r="A1541" s="11" t="s">
        <v>1571</v>
      </c>
      <c r="H1541">
        <f>VLOOKUP(Medical_Examinations_2[[#This Row],[Customer ID]],Medical_Examinations!$1:$1048576,9,FALSE)</f>
        <v>1</v>
      </c>
    </row>
    <row r="1542" spans="1:8" x14ac:dyDescent="0.25">
      <c r="A1542" s="10" t="s">
        <v>1572</v>
      </c>
      <c r="H1542">
        <f>VLOOKUP(Medical_Examinations_2[[#This Row],[Customer ID]],Medical_Examinations!$1:$1048576,9,FALSE)</f>
        <v>2</v>
      </c>
    </row>
    <row r="1543" spans="1:8" x14ac:dyDescent="0.25">
      <c r="A1543" s="11" t="s">
        <v>1573</v>
      </c>
      <c r="H1543" t="str">
        <f>VLOOKUP(Medical_Examinations_2[[#This Row],[Customer ID]],Medical_Examinations!$1:$1048576,9,FALSE)</f>
        <v>No major surgery</v>
      </c>
    </row>
    <row r="1544" spans="1:8" x14ac:dyDescent="0.25">
      <c r="A1544" s="10" t="s">
        <v>1574</v>
      </c>
      <c r="H1544" t="str">
        <f>VLOOKUP(Medical_Examinations_2[[#This Row],[Customer ID]],Medical_Examinations!$1:$1048576,9,FALSE)</f>
        <v>No major surgery</v>
      </c>
    </row>
    <row r="1545" spans="1:8" x14ac:dyDescent="0.25">
      <c r="A1545" s="11" t="s">
        <v>1575</v>
      </c>
      <c r="H1545" t="str">
        <f>VLOOKUP(Medical_Examinations_2[[#This Row],[Customer ID]],Medical_Examinations!$1:$1048576,9,FALSE)</f>
        <v>No major surgery</v>
      </c>
    </row>
    <row r="1546" spans="1:8" x14ac:dyDescent="0.25">
      <c r="A1546" s="10" t="s">
        <v>1576</v>
      </c>
      <c r="H1546" t="str">
        <f>VLOOKUP(Medical_Examinations_2[[#This Row],[Customer ID]],Medical_Examinations!$1:$1048576,9,FALSE)</f>
        <v>No major surgery</v>
      </c>
    </row>
    <row r="1547" spans="1:8" x14ac:dyDescent="0.25">
      <c r="A1547" s="11" t="s">
        <v>1577</v>
      </c>
      <c r="H1547">
        <f>VLOOKUP(Medical_Examinations_2[[#This Row],[Customer ID]],Medical_Examinations!$1:$1048576,9,FALSE)</f>
        <v>1</v>
      </c>
    </row>
    <row r="1548" spans="1:8" x14ac:dyDescent="0.25">
      <c r="A1548" s="10" t="s">
        <v>1578</v>
      </c>
      <c r="H1548" t="str">
        <f>VLOOKUP(Medical_Examinations_2[[#This Row],[Customer ID]],Medical_Examinations!$1:$1048576,9,FALSE)</f>
        <v>No major surgery</v>
      </c>
    </row>
    <row r="1549" spans="1:8" x14ac:dyDescent="0.25">
      <c r="A1549" s="11" t="s">
        <v>1579</v>
      </c>
      <c r="H1549">
        <f>VLOOKUP(Medical_Examinations_2[[#This Row],[Customer ID]],Medical_Examinations!$1:$1048576,9,FALSE)</f>
        <v>1</v>
      </c>
    </row>
    <row r="1550" spans="1:8" x14ac:dyDescent="0.25">
      <c r="A1550" s="10" t="s">
        <v>1580</v>
      </c>
      <c r="H1550" t="str">
        <f>VLOOKUP(Medical_Examinations_2[[#This Row],[Customer ID]],Medical_Examinations!$1:$1048576,9,FALSE)</f>
        <v>No major surgery</v>
      </c>
    </row>
    <row r="1551" spans="1:8" x14ac:dyDescent="0.25">
      <c r="A1551" s="11" t="s">
        <v>1581</v>
      </c>
      <c r="H1551" t="str">
        <f>VLOOKUP(Medical_Examinations_2[[#This Row],[Customer ID]],Medical_Examinations!$1:$1048576,9,FALSE)</f>
        <v>No major surgery</v>
      </c>
    </row>
    <row r="1552" spans="1:8" x14ac:dyDescent="0.25">
      <c r="A1552" s="10" t="s">
        <v>1582</v>
      </c>
      <c r="H1552">
        <f>VLOOKUP(Medical_Examinations_2[[#This Row],[Customer ID]],Medical_Examinations!$1:$1048576,9,FALSE)</f>
        <v>1</v>
      </c>
    </row>
    <row r="1553" spans="1:8" x14ac:dyDescent="0.25">
      <c r="A1553" s="11" t="s">
        <v>1583</v>
      </c>
      <c r="H1553">
        <f>VLOOKUP(Medical_Examinations_2[[#This Row],[Customer ID]],Medical_Examinations!$1:$1048576,9,FALSE)</f>
        <v>1</v>
      </c>
    </row>
    <row r="1554" spans="1:8" x14ac:dyDescent="0.25">
      <c r="A1554" s="10" t="s">
        <v>1584</v>
      </c>
      <c r="H1554" t="str">
        <f>VLOOKUP(Medical_Examinations_2[[#This Row],[Customer ID]],Medical_Examinations!$1:$1048576,9,FALSE)</f>
        <v>No major surgery</v>
      </c>
    </row>
    <row r="1555" spans="1:8" x14ac:dyDescent="0.25">
      <c r="A1555" s="11" t="s">
        <v>1585</v>
      </c>
      <c r="H1555" t="str">
        <f>VLOOKUP(Medical_Examinations_2[[#This Row],[Customer ID]],Medical_Examinations!$1:$1048576,9,FALSE)</f>
        <v>No major surgery</v>
      </c>
    </row>
    <row r="1556" spans="1:8" x14ac:dyDescent="0.25">
      <c r="A1556" s="10" t="s">
        <v>1586</v>
      </c>
      <c r="H1556" t="str">
        <f>VLOOKUP(Medical_Examinations_2[[#This Row],[Customer ID]],Medical_Examinations!$1:$1048576,9,FALSE)</f>
        <v>No major surgery</v>
      </c>
    </row>
    <row r="1557" spans="1:8" x14ac:dyDescent="0.25">
      <c r="A1557" s="11" t="s">
        <v>1587</v>
      </c>
      <c r="H1557" t="str">
        <f>VLOOKUP(Medical_Examinations_2[[#This Row],[Customer ID]],Medical_Examinations!$1:$1048576,9,FALSE)</f>
        <v>No major surgery</v>
      </c>
    </row>
    <row r="1558" spans="1:8" x14ac:dyDescent="0.25">
      <c r="A1558" s="10" t="s">
        <v>1588</v>
      </c>
      <c r="H1558" t="str">
        <f>VLOOKUP(Medical_Examinations_2[[#This Row],[Customer ID]],Medical_Examinations!$1:$1048576,9,FALSE)</f>
        <v>No major surgery</v>
      </c>
    </row>
    <row r="1559" spans="1:8" x14ac:dyDescent="0.25">
      <c r="A1559" s="11" t="s">
        <v>1589</v>
      </c>
      <c r="H1559" t="str">
        <f>VLOOKUP(Medical_Examinations_2[[#This Row],[Customer ID]],Medical_Examinations!$1:$1048576,9,FALSE)</f>
        <v>No major surgery</v>
      </c>
    </row>
    <row r="1560" spans="1:8" x14ac:dyDescent="0.25">
      <c r="A1560" s="10" t="s">
        <v>1590</v>
      </c>
      <c r="H1560">
        <f>VLOOKUP(Medical_Examinations_2[[#This Row],[Customer ID]],Medical_Examinations!$1:$1048576,9,FALSE)</f>
        <v>2</v>
      </c>
    </row>
    <row r="1561" spans="1:8" x14ac:dyDescent="0.25">
      <c r="A1561" s="11" t="s">
        <v>1591</v>
      </c>
      <c r="H1561" t="str">
        <f>VLOOKUP(Medical_Examinations_2[[#This Row],[Customer ID]],Medical_Examinations!$1:$1048576,9,FALSE)</f>
        <v>No major surgery</v>
      </c>
    </row>
    <row r="1562" spans="1:8" x14ac:dyDescent="0.25">
      <c r="A1562" s="10" t="s">
        <v>1592</v>
      </c>
      <c r="H1562" t="str">
        <f>VLOOKUP(Medical_Examinations_2[[#This Row],[Customer ID]],Medical_Examinations!$1:$1048576,9,FALSE)</f>
        <v>No major surgery</v>
      </c>
    </row>
    <row r="1563" spans="1:8" x14ac:dyDescent="0.25">
      <c r="A1563" s="11" t="s">
        <v>1593</v>
      </c>
      <c r="H1563">
        <f>VLOOKUP(Medical_Examinations_2[[#This Row],[Customer ID]],Medical_Examinations!$1:$1048576,9,FALSE)</f>
        <v>1</v>
      </c>
    </row>
    <row r="1564" spans="1:8" x14ac:dyDescent="0.25">
      <c r="A1564" s="10" t="s">
        <v>1594</v>
      </c>
      <c r="H1564">
        <f>VLOOKUP(Medical_Examinations_2[[#This Row],[Customer ID]],Medical_Examinations!$1:$1048576,9,FALSE)</f>
        <v>1</v>
      </c>
    </row>
    <row r="1565" spans="1:8" x14ac:dyDescent="0.25">
      <c r="A1565" s="11" t="s">
        <v>1595</v>
      </c>
      <c r="H1565" t="str">
        <f>VLOOKUP(Medical_Examinations_2[[#This Row],[Customer ID]],Medical_Examinations!$1:$1048576,9,FALSE)</f>
        <v>No major surgery</v>
      </c>
    </row>
    <row r="1566" spans="1:8" x14ac:dyDescent="0.25">
      <c r="A1566" s="10" t="s">
        <v>1596</v>
      </c>
      <c r="H1566">
        <f>VLOOKUP(Medical_Examinations_2[[#This Row],[Customer ID]],Medical_Examinations!$1:$1048576,9,FALSE)</f>
        <v>1</v>
      </c>
    </row>
    <row r="1567" spans="1:8" x14ac:dyDescent="0.25">
      <c r="A1567" s="11" t="s">
        <v>1597</v>
      </c>
      <c r="H1567" t="str">
        <f>VLOOKUP(Medical_Examinations_2[[#This Row],[Customer ID]],Medical_Examinations!$1:$1048576,9,FALSE)</f>
        <v>No major surgery</v>
      </c>
    </row>
    <row r="1568" spans="1:8" x14ac:dyDescent="0.25">
      <c r="A1568" s="10" t="s">
        <v>1598</v>
      </c>
      <c r="H1568">
        <f>VLOOKUP(Medical_Examinations_2[[#This Row],[Customer ID]],Medical_Examinations!$1:$1048576,9,FALSE)</f>
        <v>1</v>
      </c>
    </row>
    <row r="1569" spans="1:8" x14ac:dyDescent="0.25">
      <c r="A1569" s="11" t="s">
        <v>1599</v>
      </c>
      <c r="H1569" t="str">
        <f>VLOOKUP(Medical_Examinations_2[[#This Row],[Customer ID]],Medical_Examinations!$1:$1048576,9,FALSE)</f>
        <v>No major surgery</v>
      </c>
    </row>
    <row r="1570" spans="1:8" x14ac:dyDescent="0.25">
      <c r="A1570" s="10" t="s">
        <v>1600</v>
      </c>
      <c r="H1570">
        <f>VLOOKUP(Medical_Examinations_2[[#This Row],[Customer ID]],Medical_Examinations!$1:$1048576,9,FALSE)</f>
        <v>2</v>
      </c>
    </row>
    <row r="1571" spans="1:8" x14ac:dyDescent="0.25">
      <c r="A1571" s="11" t="s">
        <v>1601</v>
      </c>
      <c r="H1571" t="str">
        <f>VLOOKUP(Medical_Examinations_2[[#This Row],[Customer ID]],Medical_Examinations!$1:$1048576,9,FALSE)</f>
        <v>No major surgery</v>
      </c>
    </row>
    <row r="1572" spans="1:8" x14ac:dyDescent="0.25">
      <c r="A1572" s="10" t="s">
        <v>1602</v>
      </c>
      <c r="H1572">
        <f>VLOOKUP(Medical_Examinations_2[[#This Row],[Customer ID]],Medical_Examinations!$1:$1048576,9,FALSE)</f>
        <v>1</v>
      </c>
    </row>
    <row r="1573" spans="1:8" x14ac:dyDescent="0.25">
      <c r="A1573" s="11" t="s">
        <v>1603</v>
      </c>
      <c r="H1573" t="str">
        <f>VLOOKUP(Medical_Examinations_2[[#This Row],[Customer ID]],Medical_Examinations!$1:$1048576,9,FALSE)</f>
        <v>No major surgery</v>
      </c>
    </row>
    <row r="1574" spans="1:8" x14ac:dyDescent="0.25">
      <c r="A1574" s="10" t="s">
        <v>1604</v>
      </c>
      <c r="H1574">
        <f>VLOOKUP(Medical_Examinations_2[[#This Row],[Customer ID]],Medical_Examinations!$1:$1048576,9,FALSE)</f>
        <v>1</v>
      </c>
    </row>
    <row r="1575" spans="1:8" x14ac:dyDescent="0.25">
      <c r="A1575" s="11" t="s">
        <v>1605</v>
      </c>
      <c r="H1575" t="str">
        <f>VLOOKUP(Medical_Examinations_2[[#This Row],[Customer ID]],Medical_Examinations!$1:$1048576,9,FALSE)</f>
        <v>No major surgery</v>
      </c>
    </row>
    <row r="1576" spans="1:8" x14ac:dyDescent="0.25">
      <c r="A1576" s="10" t="s">
        <v>1606</v>
      </c>
      <c r="H1576" t="str">
        <f>VLOOKUP(Medical_Examinations_2[[#This Row],[Customer ID]],Medical_Examinations!$1:$1048576,9,FALSE)</f>
        <v>No major surgery</v>
      </c>
    </row>
    <row r="1577" spans="1:8" x14ac:dyDescent="0.25">
      <c r="A1577" s="11" t="s">
        <v>1607</v>
      </c>
      <c r="H1577">
        <f>VLOOKUP(Medical_Examinations_2[[#This Row],[Customer ID]],Medical_Examinations!$1:$1048576,9,FALSE)</f>
        <v>1</v>
      </c>
    </row>
    <row r="1578" spans="1:8" x14ac:dyDescent="0.25">
      <c r="A1578" s="10" t="s">
        <v>1608</v>
      </c>
      <c r="H1578">
        <f>VLOOKUP(Medical_Examinations_2[[#This Row],[Customer ID]],Medical_Examinations!$1:$1048576,9,FALSE)</f>
        <v>2</v>
      </c>
    </row>
    <row r="1579" spans="1:8" x14ac:dyDescent="0.25">
      <c r="A1579" s="11" t="s">
        <v>1609</v>
      </c>
      <c r="H1579" t="str">
        <f>VLOOKUP(Medical_Examinations_2[[#This Row],[Customer ID]],Medical_Examinations!$1:$1048576,9,FALSE)</f>
        <v>No major surgery</v>
      </c>
    </row>
    <row r="1580" spans="1:8" x14ac:dyDescent="0.25">
      <c r="A1580" s="10" t="s">
        <v>1610</v>
      </c>
      <c r="H1580" t="str">
        <f>VLOOKUP(Medical_Examinations_2[[#This Row],[Customer ID]],Medical_Examinations!$1:$1048576,9,FALSE)</f>
        <v>No major surgery</v>
      </c>
    </row>
    <row r="1581" spans="1:8" x14ac:dyDescent="0.25">
      <c r="A1581" s="11" t="s">
        <v>1611</v>
      </c>
      <c r="H1581" t="str">
        <f>VLOOKUP(Medical_Examinations_2[[#This Row],[Customer ID]],Medical_Examinations!$1:$1048576,9,FALSE)</f>
        <v>No major surgery</v>
      </c>
    </row>
    <row r="1582" spans="1:8" x14ac:dyDescent="0.25">
      <c r="A1582" s="10" t="s">
        <v>1612</v>
      </c>
      <c r="H1582">
        <f>VLOOKUP(Medical_Examinations_2[[#This Row],[Customer ID]],Medical_Examinations!$1:$1048576,9,FALSE)</f>
        <v>1</v>
      </c>
    </row>
    <row r="1583" spans="1:8" x14ac:dyDescent="0.25">
      <c r="A1583" s="11" t="s">
        <v>1613</v>
      </c>
      <c r="H1583">
        <f>VLOOKUP(Medical_Examinations_2[[#This Row],[Customer ID]],Medical_Examinations!$1:$1048576,9,FALSE)</f>
        <v>1</v>
      </c>
    </row>
    <row r="1584" spans="1:8" x14ac:dyDescent="0.25">
      <c r="A1584" s="10" t="s">
        <v>1614</v>
      </c>
      <c r="H1584">
        <f>VLOOKUP(Medical_Examinations_2[[#This Row],[Customer ID]],Medical_Examinations!$1:$1048576,9,FALSE)</f>
        <v>1</v>
      </c>
    </row>
    <row r="1585" spans="1:8" x14ac:dyDescent="0.25">
      <c r="A1585" s="11" t="s">
        <v>1615</v>
      </c>
      <c r="H1585" t="str">
        <f>VLOOKUP(Medical_Examinations_2[[#This Row],[Customer ID]],Medical_Examinations!$1:$1048576,9,FALSE)</f>
        <v>No major surgery</v>
      </c>
    </row>
    <row r="1586" spans="1:8" x14ac:dyDescent="0.25">
      <c r="A1586" s="10" t="s">
        <v>1616</v>
      </c>
      <c r="H1586" t="str">
        <f>VLOOKUP(Medical_Examinations_2[[#This Row],[Customer ID]],Medical_Examinations!$1:$1048576,9,FALSE)</f>
        <v>No major surgery</v>
      </c>
    </row>
    <row r="1587" spans="1:8" x14ac:dyDescent="0.25">
      <c r="A1587" s="11" t="s">
        <v>1617</v>
      </c>
      <c r="H1587" t="str">
        <f>VLOOKUP(Medical_Examinations_2[[#This Row],[Customer ID]],Medical_Examinations!$1:$1048576,9,FALSE)</f>
        <v>No major surgery</v>
      </c>
    </row>
    <row r="1588" spans="1:8" x14ac:dyDescent="0.25">
      <c r="A1588" s="10" t="s">
        <v>1618</v>
      </c>
      <c r="H1588">
        <f>VLOOKUP(Medical_Examinations_2[[#This Row],[Customer ID]],Medical_Examinations!$1:$1048576,9,FALSE)</f>
        <v>1</v>
      </c>
    </row>
    <row r="1589" spans="1:8" x14ac:dyDescent="0.25">
      <c r="A1589" s="11" t="s">
        <v>1619</v>
      </c>
      <c r="H1589">
        <f>VLOOKUP(Medical_Examinations_2[[#This Row],[Customer ID]],Medical_Examinations!$1:$1048576,9,FALSE)</f>
        <v>1</v>
      </c>
    </row>
    <row r="1590" spans="1:8" x14ac:dyDescent="0.25">
      <c r="A1590" s="10" t="s">
        <v>1620</v>
      </c>
      <c r="H1590" t="str">
        <f>VLOOKUP(Medical_Examinations_2[[#This Row],[Customer ID]],Medical_Examinations!$1:$1048576,9,FALSE)</f>
        <v>No major surgery</v>
      </c>
    </row>
    <row r="1591" spans="1:8" x14ac:dyDescent="0.25">
      <c r="A1591" s="11" t="s">
        <v>1621</v>
      </c>
      <c r="H1591" t="str">
        <f>VLOOKUP(Medical_Examinations_2[[#This Row],[Customer ID]],Medical_Examinations!$1:$1048576,9,FALSE)</f>
        <v>No major surgery</v>
      </c>
    </row>
    <row r="1592" spans="1:8" x14ac:dyDescent="0.25">
      <c r="A1592" s="10" t="s">
        <v>1622</v>
      </c>
      <c r="H1592" t="str">
        <f>VLOOKUP(Medical_Examinations_2[[#This Row],[Customer ID]],Medical_Examinations!$1:$1048576,9,FALSE)</f>
        <v>No major surgery</v>
      </c>
    </row>
    <row r="1593" spans="1:8" x14ac:dyDescent="0.25">
      <c r="A1593" s="11" t="s">
        <v>1623</v>
      </c>
      <c r="H1593" t="str">
        <f>VLOOKUP(Medical_Examinations_2[[#This Row],[Customer ID]],Medical_Examinations!$1:$1048576,9,FALSE)</f>
        <v>No major surgery</v>
      </c>
    </row>
    <row r="1594" spans="1:8" x14ac:dyDescent="0.25">
      <c r="A1594" s="10" t="s">
        <v>1624</v>
      </c>
      <c r="H1594">
        <f>VLOOKUP(Medical_Examinations_2[[#This Row],[Customer ID]],Medical_Examinations!$1:$1048576,9,FALSE)</f>
        <v>1</v>
      </c>
    </row>
    <row r="1595" spans="1:8" x14ac:dyDescent="0.25">
      <c r="A1595" s="11" t="s">
        <v>1625</v>
      </c>
      <c r="H1595" t="str">
        <f>VLOOKUP(Medical_Examinations_2[[#This Row],[Customer ID]],Medical_Examinations!$1:$1048576,9,FALSE)</f>
        <v>No major surgery</v>
      </c>
    </row>
    <row r="1596" spans="1:8" x14ac:dyDescent="0.25">
      <c r="A1596" s="10" t="s">
        <v>1626</v>
      </c>
      <c r="H1596">
        <f>VLOOKUP(Medical_Examinations_2[[#This Row],[Customer ID]],Medical_Examinations!$1:$1048576,9,FALSE)</f>
        <v>1</v>
      </c>
    </row>
    <row r="1597" spans="1:8" x14ac:dyDescent="0.25">
      <c r="A1597" s="11" t="s">
        <v>1627</v>
      </c>
      <c r="H1597">
        <f>VLOOKUP(Medical_Examinations_2[[#This Row],[Customer ID]],Medical_Examinations!$1:$1048576,9,FALSE)</f>
        <v>1</v>
      </c>
    </row>
    <row r="1598" spans="1:8" x14ac:dyDescent="0.25">
      <c r="A1598" s="10" t="s">
        <v>1628</v>
      </c>
      <c r="H1598">
        <f>VLOOKUP(Medical_Examinations_2[[#This Row],[Customer ID]],Medical_Examinations!$1:$1048576,9,FALSE)</f>
        <v>2</v>
      </c>
    </row>
    <row r="1599" spans="1:8" x14ac:dyDescent="0.25">
      <c r="A1599" s="11" t="s">
        <v>1629</v>
      </c>
      <c r="H1599">
        <f>VLOOKUP(Medical_Examinations_2[[#This Row],[Customer ID]],Medical_Examinations!$1:$1048576,9,FALSE)</f>
        <v>2</v>
      </c>
    </row>
    <row r="1600" spans="1:8" x14ac:dyDescent="0.25">
      <c r="A1600" s="10" t="s">
        <v>1630</v>
      </c>
      <c r="H1600">
        <f>VLOOKUP(Medical_Examinations_2[[#This Row],[Customer ID]],Medical_Examinations!$1:$1048576,9,FALSE)</f>
        <v>2</v>
      </c>
    </row>
    <row r="1601" spans="1:8" x14ac:dyDescent="0.25">
      <c r="A1601" s="11" t="s">
        <v>1631</v>
      </c>
      <c r="H1601">
        <f>VLOOKUP(Medical_Examinations_2[[#This Row],[Customer ID]],Medical_Examinations!$1:$1048576,9,FALSE)</f>
        <v>1</v>
      </c>
    </row>
    <row r="1602" spans="1:8" x14ac:dyDescent="0.25">
      <c r="A1602" s="10" t="s">
        <v>1632</v>
      </c>
      <c r="H1602">
        <f>VLOOKUP(Medical_Examinations_2[[#This Row],[Customer ID]],Medical_Examinations!$1:$1048576,9,FALSE)</f>
        <v>1</v>
      </c>
    </row>
    <row r="1603" spans="1:8" x14ac:dyDescent="0.25">
      <c r="A1603" s="11" t="s">
        <v>1633</v>
      </c>
      <c r="H1603" t="str">
        <f>VLOOKUP(Medical_Examinations_2[[#This Row],[Customer ID]],Medical_Examinations!$1:$1048576,9,FALSE)</f>
        <v>No major surgery</v>
      </c>
    </row>
    <row r="1604" spans="1:8" x14ac:dyDescent="0.25">
      <c r="A1604" s="10" t="s">
        <v>1634</v>
      </c>
      <c r="H1604">
        <f>VLOOKUP(Medical_Examinations_2[[#This Row],[Customer ID]],Medical_Examinations!$1:$1048576,9,FALSE)</f>
        <v>2</v>
      </c>
    </row>
    <row r="1605" spans="1:8" x14ac:dyDescent="0.25">
      <c r="A1605" s="11" t="s">
        <v>1635</v>
      </c>
      <c r="H1605">
        <f>VLOOKUP(Medical_Examinations_2[[#This Row],[Customer ID]],Medical_Examinations!$1:$1048576,9,FALSE)</f>
        <v>1</v>
      </c>
    </row>
    <row r="1606" spans="1:8" x14ac:dyDescent="0.25">
      <c r="A1606" s="10" t="s">
        <v>1636</v>
      </c>
      <c r="H1606" t="str">
        <f>VLOOKUP(Medical_Examinations_2[[#This Row],[Customer ID]],Medical_Examinations!$1:$1048576,9,FALSE)</f>
        <v>No major surgery</v>
      </c>
    </row>
    <row r="1607" spans="1:8" x14ac:dyDescent="0.25">
      <c r="A1607" s="11" t="s">
        <v>1637</v>
      </c>
      <c r="H1607" t="str">
        <f>VLOOKUP(Medical_Examinations_2[[#This Row],[Customer ID]],Medical_Examinations!$1:$1048576,9,FALSE)</f>
        <v>No major surgery</v>
      </c>
    </row>
    <row r="1608" spans="1:8" x14ac:dyDescent="0.25">
      <c r="A1608" s="10" t="s">
        <v>1638</v>
      </c>
      <c r="H1608" t="str">
        <f>VLOOKUP(Medical_Examinations_2[[#This Row],[Customer ID]],Medical_Examinations!$1:$1048576,9,FALSE)</f>
        <v>No major surgery</v>
      </c>
    </row>
    <row r="1609" spans="1:8" x14ac:dyDescent="0.25">
      <c r="A1609" s="11" t="s">
        <v>1639</v>
      </c>
      <c r="H1609">
        <f>VLOOKUP(Medical_Examinations_2[[#This Row],[Customer ID]],Medical_Examinations!$1:$1048576,9,FALSE)</f>
        <v>1</v>
      </c>
    </row>
    <row r="1610" spans="1:8" x14ac:dyDescent="0.25">
      <c r="A1610" s="10" t="s">
        <v>1640</v>
      </c>
      <c r="H1610" t="str">
        <f>VLOOKUP(Medical_Examinations_2[[#This Row],[Customer ID]],Medical_Examinations!$1:$1048576,9,FALSE)</f>
        <v>No major surgery</v>
      </c>
    </row>
    <row r="1611" spans="1:8" x14ac:dyDescent="0.25">
      <c r="A1611" s="11" t="s">
        <v>1641</v>
      </c>
      <c r="H1611" t="str">
        <f>VLOOKUP(Medical_Examinations_2[[#This Row],[Customer ID]],Medical_Examinations!$1:$1048576,9,FALSE)</f>
        <v>No major surgery</v>
      </c>
    </row>
    <row r="1612" spans="1:8" x14ac:dyDescent="0.25">
      <c r="A1612" s="10" t="s">
        <v>1642</v>
      </c>
      <c r="H1612">
        <f>VLOOKUP(Medical_Examinations_2[[#This Row],[Customer ID]],Medical_Examinations!$1:$1048576,9,FALSE)</f>
        <v>1</v>
      </c>
    </row>
    <row r="1613" spans="1:8" x14ac:dyDescent="0.25">
      <c r="A1613" s="11" t="s">
        <v>1643</v>
      </c>
      <c r="H1613">
        <f>VLOOKUP(Medical_Examinations_2[[#This Row],[Customer ID]],Medical_Examinations!$1:$1048576,9,FALSE)</f>
        <v>2</v>
      </c>
    </row>
    <row r="1614" spans="1:8" x14ac:dyDescent="0.25">
      <c r="A1614" s="10" t="s">
        <v>1644</v>
      </c>
      <c r="H1614" t="str">
        <f>VLOOKUP(Medical_Examinations_2[[#This Row],[Customer ID]],Medical_Examinations!$1:$1048576,9,FALSE)</f>
        <v>No major surgery</v>
      </c>
    </row>
    <row r="1615" spans="1:8" x14ac:dyDescent="0.25">
      <c r="A1615" s="11" t="s">
        <v>1645</v>
      </c>
      <c r="H1615">
        <f>VLOOKUP(Medical_Examinations_2[[#This Row],[Customer ID]],Medical_Examinations!$1:$1048576,9,FALSE)</f>
        <v>1</v>
      </c>
    </row>
    <row r="1616" spans="1:8" x14ac:dyDescent="0.25">
      <c r="A1616" s="10" t="s">
        <v>1646</v>
      </c>
      <c r="H1616" t="str">
        <f>VLOOKUP(Medical_Examinations_2[[#This Row],[Customer ID]],Medical_Examinations!$1:$1048576,9,FALSE)</f>
        <v>No major surgery</v>
      </c>
    </row>
    <row r="1617" spans="1:8" x14ac:dyDescent="0.25">
      <c r="A1617" s="11" t="s">
        <v>1647</v>
      </c>
      <c r="H1617">
        <f>VLOOKUP(Medical_Examinations_2[[#This Row],[Customer ID]],Medical_Examinations!$1:$1048576,9,FALSE)</f>
        <v>2</v>
      </c>
    </row>
    <row r="1618" spans="1:8" x14ac:dyDescent="0.25">
      <c r="A1618" s="10" t="s">
        <v>1648</v>
      </c>
      <c r="H1618">
        <f>VLOOKUP(Medical_Examinations_2[[#This Row],[Customer ID]],Medical_Examinations!$1:$1048576,9,FALSE)</f>
        <v>2</v>
      </c>
    </row>
    <row r="1619" spans="1:8" x14ac:dyDescent="0.25">
      <c r="A1619" s="11" t="s">
        <v>1649</v>
      </c>
      <c r="H1619" t="str">
        <f>VLOOKUP(Medical_Examinations_2[[#This Row],[Customer ID]],Medical_Examinations!$1:$1048576,9,FALSE)</f>
        <v>No major surgery</v>
      </c>
    </row>
    <row r="1620" spans="1:8" x14ac:dyDescent="0.25">
      <c r="A1620" s="10" t="s">
        <v>1650</v>
      </c>
      <c r="H1620" t="str">
        <f>VLOOKUP(Medical_Examinations_2[[#This Row],[Customer ID]],Medical_Examinations!$1:$1048576,9,FALSE)</f>
        <v>No major surgery</v>
      </c>
    </row>
    <row r="1621" spans="1:8" x14ac:dyDescent="0.25">
      <c r="A1621" s="11" t="s">
        <v>1651</v>
      </c>
      <c r="H1621">
        <f>VLOOKUP(Medical_Examinations_2[[#This Row],[Customer ID]],Medical_Examinations!$1:$1048576,9,FALSE)</f>
        <v>1</v>
      </c>
    </row>
    <row r="1622" spans="1:8" x14ac:dyDescent="0.25">
      <c r="A1622" s="10" t="s">
        <v>1652</v>
      </c>
      <c r="H1622" t="str">
        <f>VLOOKUP(Medical_Examinations_2[[#This Row],[Customer ID]],Medical_Examinations!$1:$1048576,9,FALSE)</f>
        <v>No major surgery</v>
      </c>
    </row>
    <row r="1623" spans="1:8" x14ac:dyDescent="0.25">
      <c r="A1623" s="11" t="s">
        <v>1653</v>
      </c>
      <c r="H1623">
        <f>VLOOKUP(Medical_Examinations_2[[#This Row],[Customer ID]],Medical_Examinations!$1:$1048576,9,FALSE)</f>
        <v>1</v>
      </c>
    </row>
    <row r="1624" spans="1:8" x14ac:dyDescent="0.25">
      <c r="A1624" s="10" t="s">
        <v>1654</v>
      </c>
      <c r="H1624">
        <f>VLOOKUP(Medical_Examinations_2[[#This Row],[Customer ID]],Medical_Examinations!$1:$1048576,9,FALSE)</f>
        <v>1</v>
      </c>
    </row>
    <row r="1625" spans="1:8" x14ac:dyDescent="0.25">
      <c r="A1625" s="11" t="s">
        <v>1655</v>
      </c>
      <c r="H1625" t="str">
        <f>VLOOKUP(Medical_Examinations_2[[#This Row],[Customer ID]],Medical_Examinations!$1:$1048576,9,FALSE)</f>
        <v>No major surgery</v>
      </c>
    </row>
    <row r="1626" spans="1:8" x14ac:dyDescent="0.25">
      <c r="A1626" s="10" t="s">
        <v>1656</v>
      </c>
      <c r="H1626" t="str">
        <f>VLOOKUP(Medical_Examinations_2[[#This Row],[Customer ID]],Medical_Examinations!$1:$1048576,9,FALSE)</f>
        <v>No major surgery</v>
      </c>
    </row>
    <row r="1627" spans="1:8" x14ac:dyDescent="0.25">
      <c r="A1627" s="11" t="s">
        <v>1657</v>
      </c>
      <c r="H1627">
        <f>VLOOKUP(Medical_Examinations_2[[#This Row],[Customer ID]],Medical_Examinations!$1:$1048576,9,FALSE)</f>
        <v>1</v>
      </c>
    </row>
    <row r="1628" spans="1:8" x14ac:dyDescent="0.25">
      <c r="A1628" s="10" t="s">
        <v>1658</v>
      </c>
      <c r="H1628">
        <f>VLOOKUP(Medical_Examinations_2[[#This Row],[Customer ID]],Medical_Examinations!$1:$1048576,9,FALSE)</f>
        <v>2</v>
      </c>
    </row>
    <row r="1629" spans="1:8" x14ac:dyDescent="0.25">
      <c r="A1629" s="11" t="s">
        <v>1659</v>
      </c>
      <c r="H1629">
        <f>VLOOKUP(Medical_Examinations_2[[#This Row],[Customer ID]],Medical_Examinations!$1:$1048576,9,FALSE)</f>
        <v>1</v>
      </c>
    </row>
    <row r="1630" spans="1:8" x14ac:dyDescent="0.25">
      <c r="A1630" s="10" t="s">
        <v>1660</v>
      </c>
      <c r="H1630">
        <f>VLOOKUP(Medical_Examinations_2[[#This Row],[Customer ID]],Medical_Examinations!$1:$1048576,9,FALSE)</f>
        <v>1</v>
      </c>
    </row>
    <row r="1631" spans="1:8" x14ac:dyDescent="0.25">
      <c r="A1631" s="11" t="s">
        <v>1661</v>
      </c>
      <c r="H1631">
        <f>VLOOKUP(Medical_Examinations_2[[#This Row],[Customer ID]],Medical_Examinations!$1:$1048576,9,FALSE)</f>
        <v>1</v>
      </c>
    </row>
    <row r="1632" spans="1:8" x14ac:dyDescent="0.25">
      <c r="A1632" s="10" t="s">
        <v>1662</v>
      </c>
      <c r="H1632">
        <f>VLOOKUP(Medical_Examinations_2[[#This Row],[Customer ID]],Medical_Examinations!$1:$1048576,9,FALSE)</f>
        <v>1</v>
      </c>
    </row>
    <row r="1633" spans="1:8" x14ac:dyDescent="0.25">
      <c r="A1633" s="11" t="s">
        <v>1663</v>
      </c>
      <c r="H1633" t="str">
        <f>VLOOKUP(Medical_Examinations_2[[#This Row],[Customer ID]],Medical_Examinations!$1:$1048576,9,FALSE)</f>
        <v>No major surgery</v>
      </c>
    </row>
    <row r="1634" spans="1:8" x14ac:dyDescent="0.25">
      <c r="A1634" s="10" t="s">
        <v>1664</v>
      </c>
      <c r="H1634" t="str">
        <f>VLOOKUP(Medical_Examinations_2[[#This Row],[Customer ID]],Medical_Examinations!$1:$1048576,9,FALSE)</f>
        <v>No major surgery</v>
      </c>
    </row>
    <row r="1635" spans="1:8" x14ac:dyDescent="0.25">
      <c r="A1635" s="11" t="s">
        <v>1665</v>
      </c>
      <c r="H1635" t="str">
        <f>VLOOKUP(Medical_Examinations_2[[#This Row],[Customer ID]],Medical_Examinations!$1:$1048576,9,FALSE)</f>
        <v>No major surgery</v>
      </c>
    </row>
    <row r="1636" spans="1:8" x14ac:dyDescent="0.25">
      <c r="A1636" s="10" t="s">
        <v>1666</v>
      </c>
      <c r="H1636" t="str">
        <f>VLOOKUP(Medical_Examinations_2[[#This Row],[Customer ID]],Medical_Examinations!$1:$1048576,9,FALSE)</f>
        <v>No major surgery</v>
      </c>
    </row>
    <row r="1637" spans="1:8" x14ac:dyDescent="0.25">
      <c r="A1637" s="11" t="s">
        <v>1667</v>
      </c>
      <c r="H1637" t="str">
        <f>VLOOKUP(Medical_Examinations_2[[#This Row],[Customer ID]],Medical_Examinations!$1:$1048576,9,FALSE)</f>
        <v>No major surgery</v>
      </c>
    </row>
    <row r="1638" spans="1:8" x14ac:dyDescent="0.25">
      <c r="A1638" s="10" t="s">
        <v>1668</v>
      </c>
      <c r="H1638">
        <f>VLOOKUP(Medical_Examinations_2[[#This Row],[Customer ID]],Medical_Examinations!$1:$1048576,9,FALSE)</f>
        <v>1</v>
      </c>
    </row>
    <row r="1639" spans="1:8" x14ac:dyDescent="0.25">
      <c r="A1639" s="11" t="s">
        <v>1669</v>
      </c>
      <c r="H1639" t="str">
        <f>VLOOKUP(Medical_Examinations_2[[#This Row],[Customer ID]],Medical_Examinations!$1:$1048576,9,FALSE)</f>
        <v>No major surgery</v>
      </c>
    </row>
    <row r="1640" spans="1:8" x14ac:dyDescent="0.25">
      <c r="A1640" s="10" t="s">
        <v>1670</v>
      </c>
      <c r="H1640" t="str">
        <f>VLOOKUP(Medical_Examinations_2[[#This Row],[Customer ID]],Medical_Examinations!$1:$1048576,9,FALSE)</f>
        <v>No major surgery</v>
      </c>
    </row>
    <row r="1641" spans="1:8" x14ac:dyDescent="0.25">
      <c r="A1641" s="11" t="s">
        <v>1671</v>
      </c>
      <c r="H1641">
        <f>VLOOKUP(Medical_Examinations_2[[#This Row],[Customer ID]],Medical_Examinations!$1:$1048576,9,FALSE)</f>
        <v>2</v>
      </c>
    </row>
    <row r="1642" spans="1:8" x14ac:dyDescent="0.25">
      <c r="A1642" s="10" t="s">
        <v>1672</v>
      </c>
      <c r="H1642">
        <f>VLOOKUP(Medical_Examinations_2[[#This Row],[Customer ID]],Medical_Examinations!$1:$1048576,9,FALSE)</f>
        <v>1</v>
      </c>
    </row>
    <row r="1643" spans="1:8" x14ac:dyDescent="0.25">
      <c r="A1643" s="11" t="s">
        <v>1673</v>
      </c>
      <c r="H1643">
        <f>VLOOKUP(Medical_Examinations_2[[#This Row],[Customer ID]],Medical_Examinations!$1:$1048576,9,FALSE)</f>
        <v>1</v>
      </c>
    </row>
    <row r="1644" spans="1:8" x14ac:dyDescent="0.25">
      <c r="A1644" s="10" t="s">
        <v>1674</v>
      </c>
      <c r="H1644" t="str">
        <f>VLOOKUP(Medical_Examinations_2[[#This Row],[Customer ID]],Medical_Examinations!$1:$1048576,9,FALSE)</f>
        <v>No major surgery</v>
      </c>
    </row>
    <row r="1645" spans="1:8" x14ac:dyDescent="0.25">
      <c r="A1645" s="11" t="s">
        <v>1675</v>
      </c>
      <c r="H1645" t="str">
        <f>VLOOKUP(Medical_Examinations_2[[#This Row],[Customer ID]],Medical_Examinations!$1:$1048576,9,FALSE)</f>
        <v>No major surgery</v>
      </c>
    </row>
    <row r="1646" spans="1:8" x14ac:dyDescent="0.25">
      <c r="A1646" s="10" t="s">
        <v>1676</v>
      </c>
      <c r="H1646" t="str">
        <f>VLOOKUP(Medical_Examinations_2[[#This Row],[Customer ID]],Medical_Examinations!$1:$1048576,9,FALSE)</f>
        <v>No major surgery</v>
      </c>
    </row>
    <row r="1647" spans="1:8" x14ac:dyDescent="0.25">
      <c r="A1647" s="11" t="s">
        <v>1677</v>
      </c>
      <c r="H1647">
        <f>VLOOKUP(Medical_Examinations_2[[#This Row],[Customer ID]],Medical_Examinations!$1:$1048576,9,FALSE)</f>
        <v>1</v>
      </c>
    </row>
    <row r="1648" spans="1:8" x14ac:dyDescent="0.25">
      <c r="A1648" s="10" t="s">
        <v>1678</v>
      </c>
      <c r="H1648">
        <f>VLOOKUP(Medical_Examinations_2[[#This Row],[Customer ID]],Medical_Examinations!$1:$1048576,9,FALSE)</f>
        <v>1</v>
      </c>
    </row>
    <row r="1649" spans="1:8" x14ac:dyDescent="0.25">
      <c r="A1649" s="11" t="s">
        <v>1679</v>
      </c>
      <c r="H1649">
        <f>VLOOKUP(Medical_Examinations_2[[#This Row],[Customer ID]],Medical_Examinations!$1:$1048576,9,FALSE)</f>
        <v>1</v>
      </c>
    </row>
    <row r="1650" spans="1:8" x14ac:dyDescent="0.25">
      <c r="A1650" s="10" t="s">
        <v>1680</v>
      </c>
      <c r="H1650" t="str">
        <f>VLOOKUP(Medical_Examinations_2[[#This Row],[Customer ID]],Medical_Examinations!$1:$1048576,9,FALSE)</f>
        <v>No major surgery</v>
      </c>
    </row>
    <row r="1651" spans="1:8" x14ac:dyDescent="0.25">
      <c r="A1651" s="11" t="s">
        <v>1681</v>
      </c>
      <c r="H1651">
        <f>VLOOKUP(Medical_Examinations_2[[#This Row],[Customer ID]],Medical_Examinations!$1:$1048576,9,FALSE)</f>
        <v>1</v>
      </c>
    </row>
    <row r="1652" spans="1:8" x14ac:dyDescent="0.25">
      <c r="A1652" s="10" t="s">
        <v>1682</v>
      </c>
      <c r="H1652">
        <f>VLOOKUP(Medical_Examinations_2[[#This Row],[Customer ID]],Medical_Examinations!$1:$1048576,9,FALSE)</f>
        <v>1</v>
      </c>
    </row>
    <row r="1653" spans="1:8" x14ac:dyDescent="0.25">
      <c r="A1653" s="11" t="s">
        <v>1683</v>
      </c>
      <c r="H1653" t="str">
        <f>VLOOKUP(Medical_Examinations_2[[#This Row],[Customer ID]],Medical_Examinations!$1:$1048576,9,FALSE)</f>
        <v>No major surgery</v>
      </c>
    </row>
    <row r="1654" spans="1:8" x14ac:dyDescent="0.25">
      <c r="A1654" s="10" t="s">
        <v>1684</v>
      </c>
      <c r="H1654" t="str">
        <f>VLOOKUP(Medical_Examinations_2[[#This Row],[Customer ID]],Medical_Examinations!$1:$1048576,9,FALSE)</f>
        <v>No major surgery</v>
      </c>
    </row>
    <row r="1655" spans="1:8" x14ac:dyDescent="0.25">
      <c r="A1655" s="11" t="s">
        <v>1685</v>
      </c>
      <c r="H1655">
        <f>VLOOKUP(Medical_Examinations_2[[#This Row],[Customer ID]],Medical_Examinations!$1:$1048576,9,FALSE)</f>
        <v>1</v>
      </c>
    </row>
    <row r="1656" spans="1:8" x14ac:dyDescent="0.25">
      <c r="A1656" s="10" t="s">
        <v>1686</v>
      </c>
      <c r="H1656">
        <f>VLOOKUP(Medical_Examinations_2[[#This Row],[Customer ID]],Medical_Examinations!$1:$1048576,9,FALSE)</f>
        <v>1</v>
      </c>
    </row>
    <row r="1657" spans="1:8" x14ac:dyDescent="0.25">
      <c r="A1657" s="11" t="s">
        <v>1687</v>
      </c>
      <c r="H1657" t="str">
        <f>VLOOKUP(Medical_Examinations_2[[#This Row],[Customer ID]],Medical_Examinations!$1:$1048576,9,FALSE)</f>
        <v>No major surgery</v>
      </c>
    </row>
    <row r="1658" spans="1:8" x14ac:dyDescent="0.25">
      <c r="A1658" s="10" t="s">
        <v>1688</v>
      </c>
      <c r="H1658">
        <f>VLOOKUP(Medical_Examinations_2[[#This Row],[Customer ID]],Medical_Examinations!$1:$1048576,9,FALSE)</f>
        <v>1</v>
      </c>
    </row>
    <row r="1659" spans="1:8" x14ac:dyDescent="0.25">
      <c r="A1659" s="11" t="s">
        <v>1689</v>
      </c>
      <c r="H1659">
        <f>VLOOKUP(Medical_Examinations_2[[#This Row],[Customer ID]],Medical_Examinations!$1:$1048576,9,FALSE)</f>
        <v>1</v>
      </c>
    </row>
    <row r="1660" spans="1:8" x14ac:dyDescent="0.25">
      <c r="A1660" s="10" t="s">
        <v>1690</v>
      </c>
      <c r="H1660">
        <f>VLOOKUP(Medical_Examinations_2[[#This Row],[Customer ID]],Medical_Examinations!$1:$1048576,9,FALSE)</f>
        <v>1</v>
      </c>
    </row>
    <row r="1661" spans="1:8" x14ac:dyDescent="0.25">
      <c r="A1661" s="11" t="s">
        <v>1691</v>
      </c>
      <c r="H1661" t="str">
        <f>VLOOKUP(Medical_Examinations_2[[#This Row],[Customer ID]],Medical_Examinations!$1:$1048576,9,FALSE)</f>
        <v>No major surgery</v>
      </c>
    </row>
    <row r="1662" spans="1:8" x14ac:dyDescent="0.25">
      <c r="A1662" s="10" t="s">
        <v>1692</v>
      </c>
      <c r="H1662" t="str">
        <f>VLOOKUP(Medical_Examinations_2[[#This Row],[Customer ID]],Medical_Examinations!$1:$1048576,9,FALSE)</f>
        <v>No major surgery</v>
      </c>
    </row>
    <row r="1663" spans="1:8" x14ac:dyDescent="0.25">
      <c r="A1663" s="11" t="s">
        <v>1693</v>
      </c>
      <c r="H1663">
        <f>VLOOKUP(Medical_Examinations_2[[#This Row],[Customer ID]],Medical_Examinations!$1:$1048576,9,FALSE)</f>
        <v>2</v>
      </c>
    </row>
    <row r="1664" spans="1:8" x14ac:dyDescent="0.25">
      <c r="A1664" s="10" t="s">
        <v>1694</v>
      </c>
      <c r="H1664" t="str">
        <f>VLOOKUP(Medical_Examinations_2[[#This Row],[Customer ID]],Medical_Examinations!$1:$1048576,9,FALSE)</f>
        <v>No major surgery</v>
      </c>
    </row>
    <row r="1665" spans="1:8" x14ac:dyDescent="0.25">
      <c r="A1665" s="11" t="s">
        <v>1695</v>
      </c>
      <c r="H1665">
        <f>VLOOKUP(Medical_Examinations_2[[#This Row],[Customer ID]],Medical_Examinations!$1:$1048576,9,FALSE)</f>
        <v>1</v>
      </c>
    </row>
    <row r="1666" spans="1:8" x14ac:dyDescent="0.25">
      <c r="A1666" s="10" t="s">
        <v>1696</v>
      </c>
      <c r="H1666">
        <f>VLOOKUP(Medical_Examinations_2[[#This Row],[Customer ID]],Medical_Examinations!$1:$1048576,9,FALSE)</f>
        <v>1</v>
      </c>
    </row>
    <row r="1667" spans="1:8" x14ac:dyDescent="0.25">
      <c r="A1667" s="11" t="s">
        <v>1697</v>
      </c>
      <c r="H1667">
        <f>VLOOKUP(Medical_Examinations_2[[#This Row],[Customer ID]],Medical_Examinations!$1:$1048576,9,FALSE)</f>
        <v>1</v>
      </c>
    </row>
    <row r="1668" spans="1:8" x14ac:dyDescent="0.25">
      <c r="A1668" s="10" t="s">
        <v>1698</v>
      </c>
      <c r="H1668">
        <f>VLOOKUP(Medical_Examinations_2[[#This Row],[Customer ID]],Medical_Examinations!$1:$1048576,9,FALSE)</f>
        <v>2</v>
      </c>
    </row>
    <row r="1669" spans="1:8" x14ac:dyDescent="0.25">
      <c r="A1669" s="11" t="s">
        <v>1699</v>
      </c>
      <c r="H1669">
        <f>VLOOKUP(Medical_Examinations_2[[#This Row],[Customer ID]],Medical_Examinations!$1:$1048576,9,FALSE)</f>
        <v>1</v>
      </c>
    </row>
    <row r="1670" spans="1:8" x14ac:dyDescent="0.25">
      <c r="A1670" s="10" t="s">
        <v>1700</v>
      </c>
      <c r="H1670" t="str">
        <f>VLOOKUP(Medical_Examinations_2[[#This Row],[Customer ID]],Medical_Examinations!$1:$1048576,9,FALSE)</f>
        <v>No major surgery</v>
      </c>
    </row>
    <row r="1671" spans="1:8" x14ac:dyDescent="0.25">
      <c r="A1671" s="11" t="s">
        <v>1701</v>
      </c>
      <c r="H1671" t="str">
        <f>VLOOKUP(Medical_Examinations_2[[#This Row],[Customer ID]],Medical_Examinations!$1:$1048576,9,FALSE)</f>
        <v>No major surgery</v>
      </c>
    </row>
    <row r="1672" spans="1:8" x14ac:dyDescent="0.25">
      <c r="A1672" s="10" t="s">
        <v>1702</v>
      </c>
      <c r="H1672">
        <f>VLOOKUP(Medical_Examinations_2[[#This Row],[Customer ID]],Medical_Examinations!$1:$1048576,9,FALSE)</f>
        <v>1</v>
      </c>
    </row>
    <row r="1673" spans="1:8" x14ac:dyDescent="0.25">
      <c r="A1673" s="11" t="s">
        <v>1703</v>
      </c>
      <c r="H1673" t="str">
        <f>VLOOKUP(Medical_Examinations_2[[#This Row],[Customer ID]],Medical_Examinations!$1:$1048576,9,FALSE)</f>
        <v>No major surgery</v>
      </c>
    </row>
    <row r="1674" spans="1:8" x14ac:dyDescent="0.25">
      <c r="A1674" s="10" t="s">
        <v>1704</v>
      </c>
      <c r="H1674" t="str">
        <f>VLOOKUP(Medical_Examinations_2[[#This Row],[Customer ID]],Medical_Examinations!$1:$1048576,9,FALSE)</f>
        <v>No major surgery</v>
      </c>
    </row>
    <row r="1675" spans="1:8" x14ac:dyDescent="0.25">
      <c r="A1675" s="11" t="s">
        <v>1705</v>
      </c>
      <c r="H1675">
        <f>VLOOKUP(Medical_Examinations_2[[#This Row],[Customer ID]],Medical_Examinations!$1:$1048576,9,FALSE)</f>
        <v>1</v>
      </c>
    </row>
    <row r="1676" spans="1:8" x14ac:dyDescent="0.25">
      <c r="A1676" s="10" t="s">
        <v>1706</v>
      </c>
      <c r="H1676">
        <f>VLOOKUP(Medical_Examinations_2[[#This Row],[Customer ID]],Medical_Examinations!$1:$1048576,9,FALSE)</f>
        <v>2</v>
      </c>
    </row>
    <row r="1677" spans="1:8" x14ac:dyDescent="0.25">
      <c r="A1677" s="11" t="s">
        <v>1707</v>
      </c>
      <c r="H1677">
        <f>VLOOKUP(Medical_Examinations_2[[#This Row],[Customer ID]],Medical_Examinations!$1:$1048576,9,FALSE)</f>
        <v>1</v>
      </c>
    </row>
    <row r="1678" spans="1:8" x14ac:dyDescent="0.25">
      <c r="A1678" s="10" t="s">
        <v>1708</v>
      </c>
      <c r="H1678">
        <f>VLOOKUP(Medical_Examinations_2[[#This Row],[Customer ID]],Medical_Examinations!$1:$1048576,9,FALSE)</f>
        <v>1</v>
      </c>
    </row>
    <row r="1679" spans="1:8" x14ac:dyDescent="0.25">
      <c r="A1679" s="11" t="s">
        <v>1709</v>
      </c>
      <c r="H1679" t="str">
        <f>VLOOKUP(Medical_Examinations_2[[#This Row],[Customer ID]],Medical_Examinations!$1:$1048576,9,FALSE)</f>
        <v>No major surgery</v>
      </c>
    </row>
    <row r="1680" spans="1:8" x14ac:dyDescent="0.25">
      <c r="A1680" s="10" t="s">
        <v>1710</v>
      </c>
      <c r="H1680">
        <f>VLOOKUP(Medical_Examinations_2[[#This Row],[Customer ID]],Medical_Examinations!$1:$1048576,9,FALSE)</f>
        <v>1</v>
      </c>
    </row>
    <row r="1681" spans="1:8" x14ac:dyDescent="0.25">
      <c r="A1681" s="11" t="s">
        <v>1711</v>
      </c>
      <c r="H1681">
        <f>VLOOKUP(Medical_Examinations_2[[#This Row],[Customer ID]],Medical_Examinations!$1:$1048576,9,FALSE)</f>
        <v>1</v>
      </c>
    </row>
    <row r="1682" spans="1:8" x14ac:dyDescent="0.25">
      <c r="A1682" s="10" t="s">
        <v>1712</v>
      </c>
      <c r="H1682" t="str">
        <f>VLOOKUP(Medical_Examinations_2[[#This Row],[Customer ID]],Medical_Examinations!$1:$1048576,9,FALSE)</f>
        <v>No major surgery</v>
      </c>
    </row>
    <row r="1683" spans="1:8" x14ac:dyDescent="0.25">
      <c r="A1683" s="11" t="s">
        <v>1713</v>
      </c>
      <c r="H1683" t="str">
        <f>VLOOKUP(Medical_Examinations_2[[#This Row],[Customer ID]],Medical_Examinations!$1:$1048576,9,FALSE)</f>
        <v>No major surgery</v>
      </c>
    </row>
    <row r="1684" spans="1:8" x14ac:dyDescent="0.25">
      <c r="A1684" s="10" t="s">
        <v>1714</v>
      </c>
      <c r="H1684">
        <f>VLOOKUP(Medical_Examinations_2[[#This Row],[Customer ID]],Medical_Examinations!$1:$1048576,9,FALSE)</f>
        <v>1</v>
      </c>
    </row>
    <row r="1685" spans="1:8" x14ac:dyDescent="0.25">
      <c r="A1685" s="11" t="s">
        <v>1715</v>
      </c>
      <c r="H1685">
        <f>VLOOKUP(Medical_Examinations_2[[#This Row],[Customer ID]],Medical_Examinations!$1:$1048576,9,FALSE)</f>
        <v>1</v>
      </c>
    </row>
    <row r="1686" spans="1:8" x14ac:dyDescent="0.25">
      <c r="A1686" s="10" t="s">
        <v>1716</v>
      </c>
      <c r="H1686">
        <f>VLOOKUP(Medical_Examinations_2[[#This Row],[Customer ID]],Medical_Examinations!$1:$1048576,9,FALSE)</f>
        <v>1</v>
      </c>
    </row>
    <row r="1687" spans="1:8" x14ac:dyDescent="0.25">
      <c r="A1687" s="11" t="s">
        <v>1717</v>
      </c>
      <c r="H1687" t="str">
        <f>VLOOKUP(Medical_Examinations_2[[#This Row],[Customer ID]],Medical_Examinations!$1:$1048576,9,FALSE)</f>
        <v>No major surgery</v>
      </c>
    </row>
    <row r="1688" spans="1:8" x14ac:dyDescent="0.25">
      <c r="A1688" s="10" t="s">
        <v>1718</v>
      </c>
      <c r="H1688" t="str">
        <f>VLOOKUP(Medical_Examinations_2[[#This Row],[Customer ID]],Medical_Examinations!$1:$1048576,9,FALSE)</f>
        <v>No major surgery</v>
      </c>
    </row>
    <row r="1689" spans="1:8" x14ac:dyDescent="0.25">
      <c r="A1689" s="11" t="s">
        <v>1719</v>
      </c>
      <c r="H1689" t="str">
        <f>VLOOKUP(Medical_Examinations_2[[#This Row],[Customer ID]],Medical_Examinations!$1:$1048576,9,FALSE)</f>
        <v>No major surgery</v>
      </c>
    </row>
    <row r="1690" spans="1:8" x14ac:dyDescent="0.25">
      <c r="A1690" s="10" t="s">
        <v>1720</v>
      </c>
      <c r="H1690" t="str">
        <f>VLOOKUP(Medical_Examinations_2[[#This Row],[Customer ID]],Medical_Examinations!$1:$1048576,9,FALSE)</f>
        <v>No major surgery</v>
      </c>
    </row>
    <row r="1691" spans="1:8" x14ac:dyDescent="0.25">
      <c r="A1691" s="11" t="s">
        <v>1721</v>
      </c>
      <c r="H1691" t="str">
        <f>VLOOKUP(Medical_Examinations_2[[#This Row],[Customer ID]],Medical_Examinations!$1:$1048576,9,FALSE)</f>
        <v>No major surgery</v>
      </c>
    </row>
    <row r="1692" spans="1:8" x14ac:dyDescent="0.25">
      <c r="A1692" s="10" t="s">
        <v>1722</v>
      </c>
      <c r="H1692">
        <f>VLOOKUP(Medical_Examinations_2[[#This Row],[Customer ID]],Medical_Examinations!$1:$1048576,9,FALSE)</f>
        <v>1</v>
      </c>
    </row>
    <row r="1693" spans="1:8" x14ac:dyDescent="0.25">
      <c r="A1693" s="11" t="s">
        <v>1723</v>
      </c>
      <c r="H1693">
        <f>VLOOKUP(Medical_Examinations_2[[#This Row],[Customer ID]],Medical_Examinations!$1:$1048576,9,FALSE)</f>
        <v>1</v>
      </c>
    </row>
    <row r="1694" spans="1:8" x14ac:dyDescent="0.25">
      <c r="A1694" s="10" t="s">
        <v>1724</v>
      </c>
      <c r="H1694">
        <f>VLOOKUP(Medical_Examinations_2[[#This Row],[Customer ID]],Medical_Examinations!$1:$1048576,9,FALSE)</f>
        <v>1</v>
      </c>
    </row>
    <row r="1695" spans="1:8" x14ac:dyDescent="0.25">
      <c r="A1695" s="11" t="s">
        <v>1725</v>
      </c>
      <c r="H1695">
        <f>VLOOKUP(Medical_Examinations_2[[#This Row],[Customer ID]],Medical_Examinations!$1:$1048576,9,FALSE)</f>
        <v>1</v>
      </c>
    </row>
    <row r="1696" spans="1:8" x14ac:dyDescent="0.25">
      <c r="A1696" s="10" t="s">
        <v>1726</v>
      </c>
      <c r="H1696">
        <f>VLOOKUP(Medical_Examinations_2[[#This Row],[Customer ID]],Medical_Examinations!$1:$1048576,9,FALSE)</f>
        <v>1</v>
      </c>
    </row>
    <row r="1697" spans="1:8" x14ac:dyDescent="0.25">
      <c r="A1697" s="11" t="s">
        <v>1727</v>
      </c>
      <c r="H1697">
        <f>VLOOKUP(Medical_Examinations_2[[#This Row],[Customer ID]],Medical_Examinations!$1:$1048576,9,FALSE)</f>
        <v>1</v>
      </c>
    </row>
    <row r="1698" spans="1:8" x14ac:dyDescent="0.25">
      <c r="A1698" s="10" t="s">
        <v>1728</v>
      </c>
      <c r="H1698">
        <f>VLOOKUP(Medical_Examinations_2[[#This Row],[Customer ID]],Medical_Examinations!$1:$1048576,9,FALSE)</f>
        <v>2</v>
      </c>
    </row>
    <row r="1699" spans="1:8" x14ac:dyDescent="0.25">
      <c r="A1699" s="11" t="s">
        <v>1729</v>
      </c>
      <c r="H1699">
        <f>VLOOKUP(Medical_Examinations_2[[#This Row],[Customer ID]],Medical_Examinations!$1:$1048576,9,FALSE)</f>
        <v>1</v>
      </c>
    </row>
    <row r="1700" spans="1:8" x14ac:dyDescent="0.25">
      <c r="A1700" s="10" t="s">
        <v>1730</v>
      </c>
      <c r="H1700" t="str">
        <f>VLOOKUP(Medical_Examinations_2[[#This Row],[Customer ID]],Medical_Examinations!$1:$1048576,9,FALSE)</f>
        <v>No major surgery</v>
      </c>
    </row>
    <row r="1701" spans="1:8" x14ac:dyDescent="0.25">
      <c r="A1701" s="11" t="s">
        <v>1731</v>
      </c>
      <c r="H1701" t="str">
        <f>VLOOKUP(Medical_Examinations_2[[#This Row],[Customer ID]],Medical_Examinations!$1:$1048576,9,FALSE)</f>
        <v>No major surgery</v>
      </c>
    </row>
    <row r="1702" spans="1:8" x14ac:dyDescent="0.25">
      <c r="A1702" s="10" t="s">
        <v>1732</v>
      </c>
      <c r="H1702">
        <f>VLOOKUP(Medical_Examinations_2[[#This Row],[Customer ID]],Medical_Examinations!$1:$1048576,9,FALSE)</f>
        <v>1</v>
      </c>
    </row>
    <row r="1703" spans="1:8" x14ac:dyDescent="0.25">
      <c r="A1703" s="11" t="s">
        <v>1733</v>
      </c>
      <c r="H1703" t="str">
        <f>VLOOKUP(Medical_Examinations_2[[#This Row],[Customer ID]],Medical_Examinations!$1:$1048576,9,FALSE)</f>
        <v>No major surgery</v>
      </c>
    </row>
    <row r="1704" spans="1:8" x14ac:dyDescent="0.25">
      <c r="A1704" s="10" t="s">
        <v>1734</v>
      </c>
      <c r="H1704" t="str">
        <f>VLOOKUP(Medical_Examinations_2[[#This Row],[Customer ID]],Medical_Examinations!$1:$1048576,9,FALSE)</f>
        <v>No major surgery</v>
      </c>
    </row>
    <row r="1705" spans="1:8" x14ac:dyDescent="0.25">
      <c r="A1705" s="11" t="s">
        <v>1735</v>
      </c>
      <c r="H1705">
        <f>VLOOKUP(Medical_Examinations_2[[#This Row],[Customer ID]],Medical_Examinations!$1:$1048576,9,FALSE)</f>
        <v>1</v>
      </c>
    </row>
    <row r="1706" spans="1:8" x14ac:dyDescent="0.25">
      <c r="A1706" s="10" t="s">
        <v>1736</v>
      </c>
      <c r="H1706" t="str">
        <f>VLOOKUP(Medical_Examinations_2[[#This Row],[Customer ID]],Medical_Examinations!$1:$1048576,9,FALSE)</f>
        <v>No major surgery</v>
      </c>
    </row>
    <row r="1707" spans="1:8" x14ac:dyDescent="0.25">
      <c r="A1707" s="11" t="s">
        <v>1737</v>
      </c>
      <c r="H1707">
        <f>VLOOKUP(Medical_Examinations_2[[#This Row],[Customer ID]],Medical_Examinations!$1:$1048576,9,FALSE)</f>
        <v>1</v>
      </c>
    </row>
    <row r="1708" spans="1:8" x14ac:dyDescent="0.25">
      <c r="A1708" s="10" t="s">
        <v>1738</v>
      </c>
      <c r="H1708">
        <f>VLOOKUP(Medical_Examinations_2[[#This Row],[Customer ID]],Medical_Examinations!$1:$1048576,9,FALSE)</f>
        <v>1</v>
      </c>
    </row>
    <row r="1709" spans="1:8" x14ac:dyDescent="0.25">
      <c r="A1709" s="11" t="s">
        <v>1739</v>
      </c>
      <c r="H1709" t="str">
        <f>VLOOKUP(Medical_Examinations_2[[#This Row],[Customer ID]],Medical_Examinations!$1:$1048576,9,FALSE)</f>
        <v>No major surgery</v>
      </c>
    </row>
    <row r="1710" spans="1:8" x14ac:dyDescent="0.25">
      <c r="A1710" s="10" t="s">
        <v>1740</v>
      </c>
      <c r="H1710">
        <f>VLOOKUP(Medical_Examinations_2[[#This Row],[Customer ID]],Medical_Examinations!$1:$1048576,9,FALSE)</f>
        <v>1</v>
      </c>
    </row>
    <row r="1711" spans="1:8" x14ac:dyDescent="0.25">
      <c r="A1711" s="11" t="s">
        <v>1741</v>
      </c>
      <c r="H1711">
        <f>VLOOKUP(Medical_Examinations_2[[#This Row],[Customer ID]],Medical_Examinations!$1:$1048576,9,FALSE)</f>
        <v>1</v>
      </c>
    </row>
    <row r="1712" spans="1:8" x14ac:dyDescent="0.25">
      <c r="A1712" s="10" t="s">
        <v>1742</v>
      </c>
      <c r="H1712">
        <f>VLOOKUP(Medical_Examinations_2[[#This Row],[Customer ID]],Medical_Examinations!$1:$1048576,9,FALSE)</f>
        <v>1</v>
      </c>
    </row>
    <row r="1713" spans="1:8" x14ac:dyDescent="0.25">
      <c r="A1713" s="11" t="s">
        <v>1743</v>
      </c>
      <c r="H1713" t="str">
        <f>VLOOKUP(Medical_Examinations_2[[#This Row],[Customer ID]],Medical_Examinations!$1:$1048576,9,FALSE)</f>
        <v>No major surgery</v>
      </c>
    </row>
    <row r="1714" spans="1:8" x14ac:dyDescent="0.25">
      <c r="A1714" s="10" t="s">
        <v>1744</v>
      </c>
      <c r="H1714">
        <f>VLOOKUP(Medical_Examinations_2[[#This Row],[Customer ID]],Medical_Examinations!$1:$1048576,9,FALSE)</f>
        <v>1</v>
      </c>
    </row>
    <row r="1715" spans="1:8" x14ac:dyDescent="0.25">
      <c r="A1715" s="11" t="s">
        <v>1745</v>
      </c>
      <c r="H1715" t="str">
        <f>VLOOKUP(Medical_Examinations_2[[#This Row],[Customer ID]],Medical_Examinations!$1:$1048576,9,FALSE)</f>
        <v>No major surgery</v>
      </c>
    </row>
    <row r="1716" spans="1:8" x14ac:dyDescent="0.25">
      <c r="A1716" s="10" t="s">
        <v>1746</v>
      </c>
      <c r="H1716" t="str">
        <f>VLOOKUP(Medical_Examinations_2[[#This Row],[Customer ID]],Medical_Examinations!$1:$1048576,9,FALSE)</f>
        <v>No major surgery</v>
      </c>
    </row>
    <row r="1717" spans="1:8" x14ac:dyDescent="0.25">
      <c r="A1717" s="11" t="s">
        <v>1747</v>
      </c>
      <c r="H1717">
        <f>VLOOKUP(Medical_Examinations_2[[#This Row],[Customer ID]],Medical_Examinations!$1:$1048576,9,FALSE)</f>
        <v>2</v>
      </c>
    </row>
    <row r="1718" spans="1:8" x14ac:dyDescent="0.25">
      <c r="A1718" s="10" t="s">
        <v>1748</v>
      </c>
      <c r="H1718" t="str">
        <f>VLOOKUP(Medical_Examinations_2[[#This Row],[Customer ID]],Medical_Examinations!$1:$1048576,9,FALSE)</f>
        <v>No major surgery</v>
      </c>
    </row>
    <row r="1719" spans="1:8" x14ac:dyDescent="0.25">
      <c r="A1719" s="11" t="s">
        <v>1749</v>
      </c>
      <c r="H1719">
        <f>VLOOKUP(Medical_Examinations_2[[#This Row],[Customer ID]],Medical_Examinations!$1:$1048576,9,FALSE)</f>
        <v>1</v>
      </c>
    </row>
    <row r="1720" spans="1:8" x14ac:dyDescent="0.25">
      <c r="A1720" s="10" t="s">
        <v>1750</v>
      </c>
      <c r="H1720" t="str">
        <f>VLOOKUP(Medical_Examinations_2[[#This Row],[Customer ID]],Medical_Examinations!$1:$1048576,9,FALSE)</f>
        <v>No major surgery</v>
      </c>
    </row>
    <row r="1721" spans="1:8" x14ac:dyDescent="0.25">
      <c r="A1721" s="11" t="s">
        <v>1751</v>
      </c>
      <c r="H1721" t="str">
        <f>VLOOKUP(Medical_Examinations_2[[#This Row],[Customer ID]],Medical_Examinations!$1:$1048576,9,FALSE)</f>
        <v>No major surgery</v>
      </c>
    </row>
    <row r="1722" spans="1:8" x14ac:dyDescent="0.25">
      <c r="A1722" s="10" t="s">
        <v>1752</v>
      </c>
      <c r="H1722">
        <f>VLOOKUP(Medical_Examinations_2[[#This Row],[Customer ID]],Medical_Examinations!$1:$1048576,9,FALSE)</f>
        <v>1</v>
      </c>
    </row>
    <row r="1723" spans="1:8" x14ac:dyDescent="0.25">
      <c r="A1723" s="11" t="s">
        <v>1753</v>
      </c>
      <c r="H1723">
        <f>VLOOKUP(Medical_Examinations_2[[#This Row],[Customer ID]],Medical_Examinations!$1:$1048576,9,FALSE)</f>
        <v>1</v>
      </c>
    </row>
    <row r="1724" spans="1:8" x14ac:dyDescent="0.25">
      <c r="A1724" s="10" t="s">
        <v>1754</v>
      </c>
      <c r="H1724" t="str">
        <f>VLOOKUP(Medical_Examinations_2[[#This Row],[Customer ID]],Medical_Examinations!$1:$1048576,9,FALSE)</f>
        <v>No major surgery</v>
      </c>
    </row>
    <row r="1725" spans="1:8" x14ac:dyDescent="0.25">
      <c r="A1725" s="11" t="s">
        <v>1755</v>
      </c>
      <c r="H1725">
        <f>VLOOKUP(Medical_Examinations_2[[#This Row],[Customer ID]],Medical_Examinations!$1:$1048576,9,FALSE)</f>
        <v>1</v>
      </c>
    </row>
    <row r="1726" spans="1:8" x14ac:dyDescent="0.25">
      <c r="A1726" s="10" t="s">
        <v>1756</v>
      </c>
      <c r="H1726">
        <f>VLOOKUP(Medical_Examinations_2[[#This Row],[Customer ID]],Medical_Examinations!$1:$1048576,9,FALSE)</f>
        <v>1</v>
      </c>
    </row>
    <row r="1727" spans="1:8" x14ac:dyDescent="0.25">
      <c r="A1727" s="11" t="s">
        <v>1757</v>
      </c>
      <c r="H1727">
        <f>VLOOKUP(Medical_Examinations_2[[#This Row],[Customer ID]],Medical_Examinations!$1:$1048576,9,FALSE)</f>
        <v>1</v>
      </c>
    </row>
    <row r="1728" spans="1:8" x14ac:dyDescent="0.25">
      <c r="A1728" s="10" t="s">
        <v>1758</v>
      </c>
      <c r="H1728">
        <f>VLOOKUP(Medical_Examinations_2[[#This Row],[Customer ID]],Medical_Examinations!$1:$1048576,9,FALSE)</f>
        <v>1</v>
      </c>
    </row>
    <row r="1729" spans="1:8" x14ac:dyDescent="0.25">
      <c r="A1729" s="11" t="s">
        <v>1759</v>
      </c>
      <c r="H1729" t="str">
        <f>VLOOKUP(Medical_Examinations_2[[#This Row],[Customer ID]],Medical_Examinations!$1:$1048576,9,FALSE)</f>
        <v>No major surgery</v>
      </c>
    </row>
    <row r="1730" spans="1:8" x14ac:dyDescent="0.25">
      <c r="A1730" s="10" t="s">
        <v>1760</v>
      </c>
      <c r="H1730" t="str">
        <f>VLOOKUP(Medical_Examinations_2[[#This Row],[Customer ID]],Medical_Examinations!$1:$1048576,9,FALSE)</f>
        <v>No major surgery</v>
      </c>
    </row>
    <row r="1731" spans="1:8" x14ac:dyDescent="0.25">
      <c r="A1731" s="11" t="s">
        <v>1761</v>
      </c>
      <c r="H1731" t="str">
        <f>VLOOKUP(Medical_Examinations_2[[#This Row],[Customer ID]],Medical_Examinations!$1:$1048576,9,FALSE)</f>
        <v>No major surgery</v>
      </c>
    </row>
    <row r="1732" spans="1:8" x14ac:dyDescent="0.25">
      <c r="A1732" s="10" t="s">
        <v>1762</v>
      </c>
      <c r="H1732">
        <f>VLOOKUP(Medical_Examinations_2[[#This Row],[Customer ID]],Medical_Examinations!$1:$1048576,9,FALSE)</f>
        <v>1</v>
      </c>
    </row>
    <row r="1733" spans="1:8" x14ac:dyDescent="0.25">
      <c r="A1733" s="11" t="s">
        <v>1763</v>
      </c>
      <c r="H1733">
        <f>VLOOKUP(Medical_Examinations_2[[#This Row],[Customer ID]],Medical_Examinations!$1:$1048576,9,FALSE)</f>
        <v>1</v>
      </c>
    </row>
    <row r="1734" spans="1:8" x14ac:dyDescent="0.25">
      <c r="A1734" s="10" t="s">
        <v>1764</v>
      </c>
      <c r="H1734">
        <f>VLOOKUP(Medical_Examinations_2[[#This Row],[Customer ID]],Medical_Examinations!$1:$1048576,9,FALSE)</f>
        <v>1</v>
      </c>
    </row>
    <row r="1735" spans="1:8" x14ac:dyDescent="0.25">
      <c r="A1735" s="11" t="s">
        <v>1765</v>
      </c>
      <c r="H1735">
        <f>VLOOKUP(Medical_Examinations_2[[#This Row],[Customer ID]],Medical_Examinations!$1:$1048576,9,FALSE)</f>
        <v>1</v>
      </c>
    </row>
    <row r="1736" spans="1:8" x14ac:dyDescent="0.25">
      <c r="A1736" s="10" t="s">
        <v>1766</v>
      </c>
      <c r="H1736">
        <f>VLOOKUP(Medical_Examinations_2[[#This Row],[Customer ID]],Medical_Examinations!$1:$1048576,9,FALSE)</f>
        <v>1</v>
      </c>
    </row>
    <row r="1737" spans="1:8" x14ac:dyDescent="0.25">
      <c r="A1737" s="11" t="s">
        <v>1767</v>
      </c>
      <c r="H1737" t="str">
        <f>VLOOKUP(Medical_Examinations_2[[#This Row],[Customer ID]],Medical_Examinations!$1:$1048576,9,FALSE)</f>
        <v>No major surgery</v>
      </c>
    </row>
    <row r="1738" spans="1:8" x14ac:dyDescent="0.25">
      <c r="A1738" s="10" t="s">
        <v>1768</v>
      </c>
      <c r="H1738">
        <f>VLOOKUP(Medical_Examinations_2[[#This Row],[Customer ID]],Medical_Examinations!$1:$1048576,9,FALSE)</f>
        <v>1</v>
      </c>
    </row>
    <row r="1739" spans="1:8" x14ac:dyDescent="0.25">
      <c r="A1739" s="11" t="s">
        <v>1769</v>
      </c>
      <c r="H1739">
        <f>VLOOKUP(Medical_Examinations_2[[#This Row],[Customer ID]],Medical_Examinations!$1:$1048576,9,FALSE)</f>
        <v>1</v>
      </c>
    </row>
    <row r="1740" spans="1:8" x14ac:dyDescent="0.25">
      <c r="A1740" s="10" t="s">
        <v>1770</v>
      </c>
      <c r="H1740">
        <f>VLOOKUP(Medical_Examinations_2[[#This Row],[Customer ID]],Medical_Examinations!$1:$1048576,9,FALSE)</f>
        <v>1</v>
      </c>
    </row>
    <row r="1741" spans="1:8" x14ac:dyDescent="0.25">
      <c r="A1741" s="11" t="s">
        <v>1771</v>
      </c>
      <c r="H1741">
        <f>VLOOKUP(Medical_Examinations_2[[#This Row],[Customer ID]],Medical_Examinations!$1:$1048576,9,FALSE)</f>
        <v>1</v>
      </c>
    </row>
    <row r="1742" spans="1:8" x14ac:dyDescent="0.25">
      <c r="A1742" s="10" t="s">
        <v>1772</v>
      </c>
      <c r="H1742">
        <f>VLOOKUP(Medical_Examinations_2[[#This Row],[Customer ID]],Medical_Examinations!$1:$1048576,9,FALSE)</f>
        <v>1</v>
      </c>
    </row>
    <row r="1743" spans="1:8" x14ac:dyDescent="0.25">
      <c r="A1743" s="11" t="s">
        <v>1773</v>
      </c>
      <c r="H1743" t="str">
        <f>VLOOKUP(Medical_Examinations_2[[#This Row],[Customer ID]],Medical_Examinations!$1:$1048576,9,FALSE)</f>
        <v>No major surgery</v>
      </c>
    </row>
    <row r="1744" spans="1:8" x14ac:dyDescent="0.25">
      <c r="A1744" s="10" t="s">
        <v>1774</v>
      </c>
      <c r="H1744" t="str">
        <f>VLOOKUP(Medical_Examinations_2[[#This Row],[Customer ID]],Medical_Examinations!$1:$1048576,9,FALSE)</f>
        <v>No major surgery</v>
      </c>
    </row>
    <row r="1745" spans="1:8" x14ac:dyDescent="0.25">
      <c r="A1745" s="11" t="s">
        <v>1775</v>
      </c>
      <c r="H1745" t="str">
        <f>VLOOKUP(Medical_Examinations_2[[#This Row],[Customer ID]],Medical_Examinations!$1:$1048576,9,FALSE)</f>
        <v>No major surgery</v>
      </c>
    </row>
    <row r="1746" spans="1:8" x14ac:dyDescent="0.25">
      <c r="A1746" s="10" t="s">
        <v>1776</v>
      </c>
      <c r="H1746">
        <f>VLOOKUP(Medical_Examinations_2[[#This Row],[Customer ID]],Medical_Examinations!$1:$1048576,9,FALSE)</f>
        <v>1</v>
      </c>
    </row>
    <row r="1747" spans="1:8" x14ac:dyDescent="0.25">
      <c r="A1747" s="11" t="s">
        <v>1777</v>
      </c>
      <c r="H1747">
        <f>VLOOKUP(Medical_Examinations_2[[#This Row],[Customer ID]],Medical_Examinations!$1:$1048576,9,FALSE)</f>
        <v>1</v>
      </c>
    </row>
    <row r="1748" spans="1:8" x14ac:dyDescent="0.25">
      <c r="A1748" s="10" t="s">
        <v>1778</v>
      </c>
      <c r="H1748">
        <f>VLOOKUP(Medical_Examinations_2[[#This Row],[Customer ID]],Medical_Examinations!$1:$1048576,9,FALSE)</f>
        <v>1</v>
      </c>
    </row>
    <row r="1749" spans="1:8" x14ac:dyDescent="0.25">
      <c r="A1749" s="11" t="s">
        <v>1779</v>
      </c>
      <c r="H1749">
        <f>VLOOKUP(Medical_Examinations_2[[#This Row],[Customer ID]],Medical_Examinations!$1:$1048576,9,FALSE)</f>
        <v>1</v>
      </c>
    </row>
    <row r="1750" spans="1:8" x14ac:dyDescent="0.25">
      <c r="A1750" s="10" t="s">
        <v>1780</v>
      </c>
      <c r="H1750">
        <f>VLOOKUP(Medical_Examinations_2[[#This Row],[Customer ID]],Medical_Examinations!$1:$1048576,9,FALSE)</f>
        <v>1</v>
      </c>
    </row>
    <row r="1751" spans="1:8" x14ac:dyDescent="0.25">
      <c r="A1751" s="11" t="s">
        <v>1781</v>
      </c>
      <c r="H1751">
        <f>VLOOKUP(Medical_Examinations_2[[#This Row],[Customer ID]],Medical_Examinations!$1:$1048576,9,FALSE)</f>
        <v>1</v>
      </c>
    </row>
    <row r="1752" spans="1:8" x14ac:dyDescent="0.25">
      <c r="A1752" s="10" t="s">
        <v>1782</v>
      </c>
      <c r="H1752" t="str">
        <f>VLOOKUP(Medical_Examinations_2[[#This Row],[Customer ID]],Medical_Examinations!$1:$1048576,9,FALSE)</f>
        <v>No major surgery</v>
      </c>
    </row>
    <row r="1753" spans="1:8" x14ac:dyDescent="0.25">
      <c r="A1753" s="11" t="s">
        <v>1783</v>
      </c>
      <c r="H1753">
        <f>VLOOKUP(Medical_Examinations_2[[#This Row],[Customer ID]],Medical_Examinations!$1:$1048576,9,FALSE)</f>
        <v>1</v>
      </c>
    </row>
    <row r="1754" spans="1:8" x14ac:dyDescent="0.25">
      <c r="A1754" s="10" t="s">
        <v>1784</v>
      </c>
      <c r="H1754" t="str">
        <f>VLOOKUP(Medical_Examinations_2[[#This Row],[Customer ID]],Medical_Examinations!$1:$1048576,9,FALSE)</f>
        <v>No major surgery</v>
      </c>
    </row>
    <row r="1755" spans="1:8" x14ac:dyDescent="0.25">
      <c r="A1755" s="11" t="s">
        <v>1785</v>
      </c>
      <c r="H1755">
        <f>VLOOKUP(Medical_Examinations_2[[#This Row],[Customer ID]],Medical_Examinations!$1:$1048576,9,FALSE)</f>
        <v>1</v>
      </c>
    </row>
    <row r="1756" spans="1:8" x14ac:dyDescent="0.25">
      <c r="A1756" s="10" t="s">
        <v>1786</v>
      </c>
      <c r="H1756" t="str">
        <f>VLOOKUP(Medical_Examinations_2[[#This Row],[Customer ID]],Medical_Examinations!$1:$1048576,9,FALSE)</f>
        <v>No major surgery</v>
      </c>
    </row>
    <row r="1757" spans="1:8" x14ac:dyDescent="0.25">
      <c r="A1757" s="11" t="s">
        <v>1787</v>
      </c>
      <c r="H1757">
        <f>VLOOKUP(Medical_Examinations_2[[#This Row],[Customer ID]],Medical_Examinations!$1:$1048576,9,FALSE)</f>
        <v>1</v>
      </c>
    </row>
    <row r="1758" spans="1:8" x14ac:dyDescent="0.25">
      <c r="A1758" s="10" t="s">
        <v>1788</v>
      </c>
      <c r="H1758" t="str">
        <f>VLOOKUP(Medical_Examinations_2[[#This Row],[Customer ID]],Medical_Examinations!$1:$1048576,9,FALSE)</f>
        <v>No major surgery</v>
      </c>
    </row>
    <row r="1759" spans="1:8" x14ac:dyDescent="0.25">
      <c r="A1759" s="11" t="s">
        <v>1789</v>
      </c>
      <c r="H1759">
        <f>VLOOKUP(Medical_Examinations_2[[#This Row],[Customer ID]],Medical_Examinations!$1:$1048576,9,FALSE)</f>
        <v>1</v>
      </c>
    </row>
    <row r="1760" spans="1:8" x14ac:dyDescent="0.25">
      <c r="A1760" s="10" t="s">
        <v>1790</v>
      </c>
      <c r="H1760">
        <f>VLOOKUP(Medical_Examinations_2[[#This Row],[Customer ID]],Medical_Examinations!$1:$1048576,9,FALSE)</f>
        <v>1</v>
      </c>
    </row>
    <row r="1761" spans="1:8" x14ac:dyDescent="0.25">
      <c r="A1761" s="11" t="s">
        <v>1791</v>
      </c>
      <c r="H1761" t="str">
        <f>VLOOKUP(Medical_Examinations_2[[#This Row],[Customer ID]],Medical_Examinations!$1:$1048576,9,FALSE)</f>
        <v>No major surgery</v>
      </c>
    </row>
    <row r="1762" spans="1:8" x14ac:dyDescent="0.25">
      <c r="A1762" s="10" t="s">
        <v>1792</v>
      </c>
      <c r="H1762" t="str">
        <f>VLOOKUP(Medical_Examinations_2[[#This Row],[Customer ID]],Medical_Examinations!$1:$1048576,9,FALSE)</f>
        <v>No major surgery</v>
      </c>
    </row>
    <row r="1763" spans="1:8" x14ac:dyDescent="0.25">
      <c r="A1763" s="11" t="s">
        <v>1793</v>
      </c>
      <c r="H1763">
        <f>VLOOKUP(Medical_Examinations_2[[#This Row],[Customer ID]],Medical_Examinations!$1:$1048576,9,FALSE)</f>
        <v>1</v>
      </c>
    </row>
    <row r="1764" spans="1:8" x14ac:dyDescent="0.25">
      <c r="A1764" s="10" t="s">
        <v>1794</v>
      </c>
      <c r="H1764">
        <f>VLOOKUP(Medical_Examinations_2[[#This Row],[Customer ID]],Medical_Examinations!$1:$1048576,9,FALSE)</f>
        <v>1</v>
      </c>
    </row>
    <row r="1765" spans="1:8" x14ac:dyDescent="0.25">
      <c r="A1765" s="11" t="s">
        <v>1795</v>
      </c>
      <c r="H1765" t="str">
        <f>VLOOKUP(Medical_Examinations_2[[#This Row],[Customer ID]],Medical_Examinations!$1:$1048576,9,FALSE)</f>
        <v>No major surgery</v>
      </c>
    </row>
    <row r="1766" spans="1:8" x14ac:dyDescent="0.25">
      <c r="A1766" s="10" t="s">
        <v>1796</v>
      </c>
      <c r="H1766">
        <f>VLOOKUP(Medical_Examinations_2[[#This Row],[Customer ID]],Medical_Examinations!$1:$1048576,9,FALSE)</f>
        <v>1</v>
      </c>
    </row>
    <row r="1767" spans="1:8" x14ac:dyDescent="0.25">
      <c r="A1767" s="11" t="s">
        <v>1797</v>
      </c>
      <c r="H1767" t="str">
        <f>VLOOKUP(Medical_Examinations_2[[#This Row],[Customer ID]],Medical_Examinations!$1:$1048576,9,FALSE)</f>
        <v>No major surgery</v>
      </c>
    </row>
    <row r="1768" spans="1:8" x14ac:dyDescent="0.25">
      <c r="A1768" s="10" t="s">
        <v>1798</v>
      </c>
      <c r="H1768">
        <f>VLOOKUP(Medical_Examinations_2[[#This Row],[Customer ID]],Medical_Examinations!$1:$1048576,9,FALSE)</f>
        <v>1</v>
      </c>
    </row>
    <row r="1769" spans="1:8" x14ac:dyDescent="0.25">
      <c r="A1769" s="11" t="s">
        <v>1799</v>
      </c>
      <c r="H1769">
        <f>VLOOKUP(Medical_Examinations_2[[#This Row],[Customer ID]],Medical_Examinations!$1:$1048576,9,FALSE)</f>
        <v>2</v>
      </c>
    </row>
    <row r="1770" spans="1:8" x14ac:dyDescent="0.25">
      <c r="A1770" s="10" t="s">
        <v>1800</v>
      </c>
      <c r="H1770" t="str">
        <f>VLOOKUP(Medical_Examinations_2[[#This Row],[Customer ID]],Medical_Examinations!$1:$1048576,9,FALSE)</f>
        <v>No major surgery</v>
      </c>
    </row>
    <row r="1771" spans="1:8" x14ac:dyDescent="0.25">
      <c r="A1771" s="11" t="s">
        <v>1801</v>
      </c>
      <c r="H1771" t="str">
        <f>VLOOKUP(Medical_Examinations_2[[#This Row],[Customer ID]],Medical_Examinations!$1:$1048576,9,FALSE)</f>
        <v>No major surgery</v>
      </c>
    </row>
    <row r="1772" spans="1:8" x14ac:dyDescent="0.25">
      <c r="A1772" s="10" t="s">
        <v>1802</v>
      </c>
      <c r="H1772" t="str">
        <f>VLOOKUP(Medical_Examinations_2[[#This Row],[Customer ID]],Medical_Examinations!$1:$1048576,9,FALSE)</f>
        <v>No major surgery</v>
      </c>
    </row>
    <row r="1773" spans="1:8" x14ac:dyDescent="0.25">
      <c r="A1773" s="11" t="s">
        <v>1803</v>
      </c>
      <c r="H1773" t="str">
        <f>VLOOKUP(Medical_Examinations_2[[#This Row],[Customer ID]],Medical_Examinations!$1:$1048576,9,FALSE)</f>
        <v>No major surgery</v>
      </c>
    </row>
    <row r="1774" spans="1:8" x14ac:dyDescent="0.25">
      <c r="A1774" s="10" t="s">
        <v>1804</v>
      </c>
      <c r="H1774">
        <f>VLOOKUP(Medical_Examinations_2[[#This Row],[Customer ID]],Medical_Examinations!$1:$1048576,9,FALSE)</f>
        <v>1</v>
      </c>
    </row>
    <row r="1775" spans="1:8" x14ac:dyDescent="0.25">
      <c r="A1775" s="11" t="s">
        <v>1805</v>
      </c>
      <c r="H1775" t="str">
        <f>VLOOKUP(Medical_Examinations_2[[#This Row],[Customer ID]],Medical_Examinations!$1:$1048576,9,FALSE)</f>
        <v>No major surgery</v>
      </c>
    </row>
    <row r="1776" spans="1:8" x14ac:dyDescent="0.25">
      <c r="A1776" s="10" t="s">
        <v>1806</v>
      </c>
      <c r="H1776" t="str">
        <f>VLOOKUP(Medical_Examinations_2[[#This Row],[Customer ID]],Medical_Examinations!$1:$1048576,9,FALSE)</f>
        <v>No major surgery</v>
      </c>
    </row>
    <row r="1777" spans="1:8" x14ac:dyDescent="0.25">
      <c r="A1777" s="11" t="s">
        <v>1807</v>
      </c>
      <c r="H1777">
        <f>VLOOKUP(Medical_Examinations_2[[#This Row],[Customer ID]],Medical_Examinations!$1:$1048576,9,FALSE)</f>
        <v>1</v>
      </c>
    </row>
    <row r="1778" spans="1:8" x14ac:dyDescent="0.25">
      <c r="A1778" s="10" t="s">
        <v>1808</v>
      </c>
      <c r="H1778">
        <f>VLOOKUP(Medical_Examinations_2[[#This Row],[Customer ID]],Medical_Examinations!$1:$1048576,9,FALSE)</f>
        <v>1</v>
      </c>
    </row>
    <row r="1779" spans="1:8" x14ac:dyDescent="0.25">
      <c r="A1779" s="11" t="s">
        <v>1809</v>
      </c>
      <c r="H1779" t="str">
        <f>VLOOKUP(Medical_Examinations_2[[#This Row],[Customer ID]],Medical_Examinations!$1:$1048576,9,FALSE)</f>
        <v>No major surgery</v>
      </c>
    </row>
    <row r="1780" spans="1:8" x14ac:dyDescent="0.25">
      <c r="A1780" s="10" t="s">
        <v>1810</v>
      </c>
      <c r="H1780" t="str">
        <f>VLOOKUP(Medical_Examinations_2[[#This Row],[Customer ID]],Medical_Examinations!$1:$1048576,9,FALSE)</f>
        <v>No major surgery</v>
      </c>
    </row>
    <row r="1781" spans="1:8" x14ac:dyDescent="0.25">
      <c r="A1781" s="11" t="s">
        <v>1811</v>
      </c>
      <c r="H1781">
        <f>VLOOKUP(Medical_Examinations_2[[#This Row],[Customer ID]],Medical_Examinations!$1:$1048576,9,FALSE)</f>
        <v>1</v>
      </c>
    </row>
    <row r="1782" spans="1:8" x14ac:dyDescent="0.25">
      <c r="A1782" s="10" t="s">
        <v>1812</v>
      </c>
      <c r="H1782">
        <f>VLOOKUP(Medical_Examinations_2[[#This Row],[Customer ID]],Medical_Examinations!$1:$1048576,9,FALSE)</f>
        <v>1</v>
      </c>
    </row>
    <row r="1783" spans="1:8" x14ac:dyDescent="0.25">
      <c r="A1783" s="11" t="s">
        <v>1813</v>
      </c>
      <c r="H1783">
        <f>VLOOKUP(Medical_Examinations_2[[#This Row],[Customer ID]],Medical_Examinations!$1:$1048576,9,FALSE)</f>
        <v>1</v>
      </c>
    </row>
    <row r="1784" spans="1:8" x14ac:dyDescent="0.25">
      <c r="A1784" s="10" t="s">
        <v>1814</v>
      </c>
      <c r="H1784" t="str">
        <f>VLOOKUP(Medical_Examinations_2[[#This Row],[Customer ID]],Medical_Examinations!$1:$1048576,9,FALSE)</f>
        <v>No major surgery</v>
      </c>
    </row>
    <row r="1785" spans="1:8" x14ac:dyDescent="0.25">
      <c r="A1785" s="11" t="s">
        <v>1815</v>
      </c>
      <c r="H1785">
        <f>VLOOKUP(Medical_Examinations_2[[#This Row],[Customer ID]],Medical_Examinations!$1:$1048576,9,FALSE)</f>
        <v>1</v>
      </c>
    </row>
    <row r="1786" spans="1:8" x14ac:dyDescent="0.25">
      <c r="A1786" s="10" t="s">
        <v>1816</v>
      </c>
      <c r="H1786" t="str">
        <f>VLOOKUP(Medical_Examinations_2[[#This Row],[Customer ID]],Medical_Examinations!$1:$1048576,9,FALSE)</f>
        <v>No major surgery</v>
      </c>
    </row>
    <row r="1787" spans="1:8" x14ac:dyDescent="0.25">
      <c r="A1787" s="11" t="s">
        <v>1817</v>
      </c>
      <c r="H1787" t="str">
        <f>VLOOKUP(Medical_Examinations_2[[#This Row],[Customer ID]],Medical_Examinations!$1:$1048576,9,FALSE)</f>
        <v>No major surgery</v>
      </c>
    </row>
    <row r="1788" spans="1:8" x14ac:dyDescent="0.25">
      <c r="A1788" s="10" t="s">
        <v>1818</v>
      </c>
      <c r="H1788">
        <f>VLOOKUP(Medical_Examinations_2[[#This Row],[Customer ID]],Medical_Examinations!$1:$1048576,9,FALSE)</f>
        <v>1</v>
      </c>
    </row>
    <row r="1789" spans="1:8" x14ac:dyDescent="0.25">
      <c r="A1789" s="11" t="s">
        <v>1819</v>
      </c>
      <c r="H1789">
        <f>VLOOKUP(Medical_Examinations_2[[#This Row],[Customer ID]],Medical_Examinations!$1:$1048576,9,FALSE)</f>
        <v>1</v>
      </c>
    </row>
    <row r="1790" spans="1:8" x14ac:dyDescent="0.25">
      <c r="A1790" s="10" t="s">
        <v>1820</v>
      </c>
      <c r="H1790">
        <f>VLOOKUP(Medical_Examinations_2[[#This Row],[Customer ID]],Medical_Examinations!$1:$1048576,9,FALSE)</f>
        <v>1</v>
      </c>
    </row>
    <row r="1791" spans="1:8" x14ac:dyDescent="0.25">
      <c r="A1791" s="11" t="s">
        <v>1821</v>
      </c>
      <c r="H1791">
        <f>VLOOKUP(Medical_Examinations_2[[#This Row],[Customer ID]],Medical_Examinations!$1:$1048576,9,FALSE)</f>
        <v>1</v>
      </c>
    </row>
    <row r="1792" spans="1:8" x14ac:dyDescent="0.25">
      <c r="A1792" s="10" t="s">
        <v>1822</v>
      </c>
      <c r="H1792">
        <f>VLOOKUP(Medical_Examinations_2[[#This Row],[Customer ID]],Medical_Examinations!$1:$1048576,9,FALSE)</f>
        <v>1</v>
      </c>
    </row>
    <row r="1793" spans="1:8" x14ac:dyDescent="0.25">
      <c r="A1793" s="11" t="s">
        <v>1823</v>
      </c>
      <c r="H1793" t="str">
        <f>VLOOKUP(Medical_Examinations_2[[#This Row],[Customer ID]],Medical_Examinations!$1:$1048576,9,FALSE)</f>
        <v>No major surgery</v>
      </c>
    </row>
    <row r="1794" spans="1:8" x14ac:dyDescent="0.25">
      <c r="A1794" s="10" t="s">
        <v>1824</v>
      </c>
      <c r="H1794">
        <f>VLOOKUP(Medical_Examinations_2[[#This Row],[Customer ID]],Medical_Examinations!$1:$1048576,9,FALSE)</f>
        <v>1</v>
      </c>
    </row>
    <row r="1795" spans="1:8" x14ac:dyDescent="0.25">
      <c r="A1795" s="11" t="s">
        <v>1825</v>
      </c>
      <c r="H1795" t="str">
        <f>VLOOKUP(Medical_Examinations_2[[#This Row],[Customer ID]],Medical_Examinations!$1:$1048576,9,FALSE)</f>
        <v>No major surgery</v>
      </c>
    </row>
    <row r="1796" spans="1:8" x14ac:dyDescent="0.25">
      <c r="A1796" s="10" t="s">
        <v>1826</v>
      </c>
      <c r="H1796" t="str">
        <f>VLOOKUP(Medical_Examinations_2[[#This Row],[Customer ID]],Medical_Examinations!$1:$1048576,9,FALSE)</f>
        <v>No major surgery</v>
      </c>
    </row>
    <row r="1797" spans="1:8" x14ac:dyDescent="0.25">
      <c r="A1797" s="11" t="s">
        <v>1827</v>
      </c>
      <c r="H1797" t="str">
        <f>VLOOKUP(Medical_Examinations_2[[#This Row],[Customer ID]],Medical_Examinations!$1:$1048576,9,FALSE)</f>
        <v>No major surgery</v>
      </c>
    </row>
    <row r="1798" spans="1:8" x14ac:dyDescent="0.25">
      <c r="A1798" s="10" t="s">
        <v>1828</v>
      </c>
      <c r="H1798">
        <f>VLOOKUP(Medical_Examinations_2[[#This Row],[Customer ID]],Medical_Examinations!$1:$1048576,9,FALSE)</f>
        <v>1</v>
      </c>
    </row>
    <row r="1799" spans="1:8" x14ac:dyDescent="0.25">
      <c r="A1799" s="11" t="s">
        <v>1829</v>
      </c>
      <c r="H1799" t="str">
        <f>VLOOKUP(Medical_Examinations_2[[#This Row],[Customer ID]],Medical_Examinations!$1:$1048576,9,FALSE)</f>
        <v>No major surgery</v>
      </c>
    </row>
    <row r="1800" spans="1:8" x14ac:dyDescent="0.25">
      <c r="A1800" s="10" t="s">
        <v>1830</v>
      </c>
      <c r="H1800" t="str">
        <f>VLOOKUP(Medical_Examinations_2[[#This Row],[Customer ID]],Medical_Examinations!$1:$1048576,9,FALSE)</f>
        <v>No major surgery</v>
      </c>
    </row>
    <row r="1801" spans="1:8" x14ac:dyDescent="0.25">
      <c r="A1801" s="11" t="s">
        <v>1831</v>
      </c>
      <c r="H1801">
        <f>VLOOKUP(Medical_Examinations_2[[#This Row],[Customer ID]],Medical_Examinations!$1:$1048576,9,FALSE)</f>
        <v>1</v>
      </c>
    </row>
    <row r="1802" spans="1:8" x14ac:dyDescent="0.25">
      <c r="A1802" s="10" t="s">
        <v>1832</v>
      </c>
      <c r="H1802">
        <f>VLOOKUP(Medical_Examinations_2[[#This Row],[Customer ID]],Medical_Examinations!$1:$1048576,9,FALSE)</f>
        <v>1</v>
      </c>
    </row>
    <row r="1803" spans="1:8" x14ac:dyDescent="0.25">
      <c r="A1803" s="11" t="s">
        <v>1833</v>
      </c>
      <c r="H1803">
        <f>VLOOKUP(Medical_Examinations_2[[#This Row],[Customer ID]],Medical_Examinations!$1:$1048576,9,FALSE)</f>
        <v>1</v>
      </c>
    </row>
    <row r="1804" spans="1:8" x14ac:dyDescent="0.25">
      <c r="A1804" s="10" t="s">
        <v>1834</v>
      </c>
      <c r="H1804">
        <f>VLOOKUP(Medical_Examinations_2[[#This Row],[Customer ID]],Medical_Examinations!$1:$1048576,9,FALSE)</f>
        <v>1</v>
      </c>
    </row>
    <row r="1805" spans="1:8" x14ac:dyDescent="0.25">
      <c r="A1805" s="11" t="s">
        <v>1835</v>
      </c>
      <c r="H1805">
        <f>VLOOKUP(Medical_Examinations_2[[#This Row],[Customer ID]],Medical_Examinations!$1:$1048576,9,FALSE)</f>
        <v>1</v>
      </c>
    </row>
    <row r="1806" spans="1:8" x14ac:dyDescent="0.25">
      <c r="A1806" s="10" t="s">
        <v>1836</v>
      </c>
      <c r="H1806">
        <f>VLOOKUP(Medical_Examinations_2[[#This Row],[Customer ID]],Medical_Examinations!$1:$1048576,9,FALSE)</f>
        <v>1</v>
      </c>
    </row>
    <row r="1807" spans="1:8" x14ac:dyDescent="0.25">
      <c r="A1807" s="11" t="s">
        <v>1837</v>
      </c>
      <c r="H1807" t="str">
        <f>VLOOKUP(Medical_Examinations_2[[#This Row],[Customer ID]],Medical_Examinations!$1:$1048576,9,FALSE)</f>
        <v>No major surgery</v>
      </c>
    </row>
    <row r="1808" spans="1:8" x14ac:dyDescent="0.25">
      <c r="A1808" s="10" t="s">
        <v>1838</v>
      </c>
      <c r="H1808">
        <f>VLOOKUP(Medical_Examinations_2[[#This Row],[Customer ID]],Medical_Examinations!$1:$1048576,9,FALSE)</f>
        <v>1</v>
      </c>
    </row>
    <row r="1809" spans="1:8" x14ac:dyDescent="0.25">
      <c r="A1809" s="11" t="s">
        <v>1839</v>
      </c>
      <c r="H1809" t="str">
        <f>VLOOKUP(Medical_Examinations_2[[#This Row],[Customer ID]],Medical_Examinations!$1:$1048576,9,FALSE)</f>
        <v>No major surgery</v>
      </c>
    </row>
    <row r="1810" spans="1:8" x14ac:dyDescent="0.25">
      <c r="A1810" s="10" t="s">
        <v>1840</v>
      </c>
      <c r="H1810" t="str">
        <f>VLOOKUP(Medical_Examinations_2[[#This Row],[Customer ID]],Medical_Examinations!$1:$1048576,9,FALSE)</f>
        <v>No major surgery</v>
      </c>
    </row>
    <row r="1811" spans="1:8" x14ac:dyDescent="0.25">
      <c r="A1811" s="11" t="s">
        <v>1841</v>
      </c>
      <c r="H1811">
        <f>VLOOKUP(Medical_Examinations_2[[#This Row],[Customer ID]],Medical_Examinations!$1:$1048576,9,FALSE)</f>
        <v>1</v>
      </c>
    </row>
    <row r="1812" spans="1:8" x14ac:dyDescent="0.25">
      <c r="A1812" s="10" t="s">
        <v>1842</v>
      </c>
      <c r="H1812">
        <f>VLOOKUP(Medical_Examinations_2[[#This Row],[Customer ID]],Medical_Examinations!$1:$1048576,9,FALSE)</f>
        <v>1</v>
      </c>
    </row>
    <row r="1813" spans="1:8" x14ac:dyDescent="0.25">
      <c r="A1813" s="11" t="s">
        <v>1843</v>
      </c>
      <c r="H1813" t="str">
        <f>VLOOKUP(Medical_Examinations_2[[#This Row],[Customer ID]],Medical_Examinations!$1:$1048576,9,FALSE)</f>
        <v>No major surgery</v>
      </c>
    </row>
    <row r="1814" spans="1:8" x14ac:dyDescent="0.25">
      <c r="A1814" s="10" t="s">
        <v>1844</v>
      </c>
      <c r="H1814" t="str">
        <f>VLOOKUP(Medical_Examinations_2[[#This Row],[Customer ID]],Medical_Examinations!$1:$1048576,9,FALSE)</f>
        <v>No major surgery</v>
      </c>
    </row>
    <row r="1815" spans="1:8" x14ac:dyDescent="0.25">
      <c r="A1815" s="11" t="s">
        <v>1845</v>
      </c>
      <c r="H1815">
        <f>VLOOKUP(Medical_Examinations_2[[#This Row],[Customer ID]],Medical_Examinations!$1:$1048576,9,FALSE)</f>
        <v>1</v>
      </c>
    </row>
    <row r="1816" spans="1:8" x14ac:dyDescent="0.25">
      <c r="A1816" s="10" t="s">
        <v>1846</v>
      </c>
      <c r="H1816" t="str">
        <f>VLOOKUP(Medical_Examinations_2[[#This Row],[Customer ID]],Medical_Examinations!$1:$1048576,9,FALSE)</f>
        <v>No major surgery</v>
      </c>
    </row>
    <row r="1817" spans="1:8" x14ac:dyDescent="0.25">
      <c r="A1817" s="11" t="s">
        <v>1847</v>
      </c>
      <c r="H1817">
        <f>VLOOKUP(Medical_Examinations_2[[#This Row],[Customer ID]],Medical_Examinations!$1:$1048576,9,FALSE)</f>
        <v>1</v>
      </c>
    </row>
    <row r="1818" spans="1:8" x14ac:dyDescent="0.25">
      <c r="A1818" s="10" t="s">
        <v>1848</v>
      </c>
      <c r="H1818">
        <f>VLOOKUP(Medical_Examinations_2[[#This Row],[Customer ID]],Medical_Examinations!$1:$1048576,9,FALSE)</f>
        <v>1</v>
      </c>
    </row>
    <row r="1819" spans="1:8" x14ac:dyDescent="0.25">
      <c r="A1819" s="11" t="s">
        <v>1849</v>
      </c>
      <c r="H1819" t="str">
        <f>VLOOKUP(Medical_Examinations_2[[#This Row],[Customer ID]],Medical_Examinations!$1:$1048576,9,FALSE)</f>
        <v>No major surgery</v>
      </c>
    </row>
    <row r="1820" spans="1:8" x14ac:dyDescent="0.25">
      <c r="A1820" s="10" t="s">
        <v>1850</v>
      </c>
      <c r="H1820" t="str">
        <f>VLOOKUP(Medical_Examinations_2[[#This Row],[Customer ID]],Medical_Examinations!$1:$1048576,9,FALSE)</f>
        <v>No major surgery</v>
      </c>
    </row>
    <row r="1821" spans="1:8" x14ac:dyDescent="0.25">
      <c r="A1821" s="11" t="s">
        <v>1851</v>
      </c>
      <c r="H1821" t="str">
        <f>VLOOKUP(Medical_Examinations_2[[#This Row],[Customer ID]],Medical_Examinations!$1:$1048576,9,FALSE)</f>
        <v>No major surgery</v>
      </c>
    </row>
    <row r="1822" spans="1:8" x14ac:dyDescent="0.25">
      <c r="A1822" s="10" t="s">
        <v>1852</v>
      </c>
      <c r="H1822" t="str">
        <f>VLOOKUP(Medical_Examinations_2[[#This Row],[Customer ID]],Medical_Examinations!$1:$1048576,9,FALSE)</f>
        <v>No major surgery</v>
      </c>
    </row>
    <row r="1823" spans="1:8" x14ac:dyDescent="0.25">
      <c r="A1823" s="11" t="s">
        <v>1853</v>
      </c>
      <c r="H1823" t="str">
        <f>VLOOKUP(Medical_Examinations_2[[#This Row],[Customer ID]],Medical_Examinations!$1:$1048576,9,FALSE)</f>
        <v>No major surgery</v>
      </c>
    </row>
    <row r="1824" spans="1:8" x14ac:dyDescent="0.25">
      <c r="A1824" s="10" t="s">
        <v>1854</v>
      </c>
      <c r="H1824">
        <f>VLOOKUP(Medical_Examinations_2[[#This Row],[Customer ID]],Medical_Examinations!$1:$1048576,9,FALSE)</f>
        <v>1</v>
      </c>
    </row>
    <row r="1825" spans="1:8" x14ac:dyDescent="0.25">
      <c r="A1825" s="11" t="s">
        <v>1855</v>
      </c>
      <c r="H1825">
        <f>VLOOKUP(Medical_Examinations_2[[#This Row],[Customer ID]],Medical_Examinations!$1:$1048576,9,FALSE)</f>
        <v>1</v>
      </c>
    </row>
    <row r="1826" spans="1:8" x14ac:dyDescent="0.25">
      <c r="A1826" s="10" t="s">
        <v>1856</v>
      </c>
      <c r="H1826" t="str">
        <f>VLOOKUP(Medical_Examinations_2[[#This Row],[Customer ID]],Medical_Examinations!$1:$1048576,9,FALSE)</f>
        <v>No major surgery</v>
      </c>
    </row>
    <row r="1827" spans="1:8" x14ac:dyDescent="0.25">
      <c r="A1827" s="11" t="s">
        <v>1857</v>
      </c>
      <c r="H1827" t="str">
        <f>VLOOKUP(Medical_Examinations_2[[#This Row],[Customer ID]],Medical_Examinations!$1:$1048576,9,FALSE)</f>
        <v>No major surgery</v>
      </c>
    </row>
    <row r="1828" spans="1:8" x14ac:dyDescent="0.25">
      <c r="A1828" s="10" t="s">
        <v>1858</v>
      </c>
      <c r="H1828" t="str">
        <f>VLOOKUP(Medical_Examinations_2[[#This Row],[Customer ID]],Medical_Examinations!$1:$1048576,9,FALSE)</f>
        <v>No major surgery</v>
      </c>
    </row>
    <row r="1829" spans="1:8" x14ac:dyDescent="0.25">
      <c r="A1829" s="11" t="s">
        <v>1859</v>
      </c>
      <c r="H1829">
        <f>VLOOKUP(Medical_Examinations_2[[#This Row],[Customer ID]],Medical_Examinations!$1:$1048576,9,FALSE)</f>
        <v>1</v>
      </c>
    </row>
    <row r="1830" spans="1:8" x14ac:dyDescent="0.25">
      <c r="A1830" s="10" t="s">
        <v>1860</v>
      </c>
      <c r="H1830" t="str">
        <f>VLOOKUP(Medical_Examinations_2[[#This Row],[Customer ID]],Medical_Examinations!$1:$1048576,9,FALSE)</f>
        <v>No major surgery</v>
      </c>
    </row>
    <row r="1831" spans="1:8" x14ac:dyDescent="0.25">
      <c r="A1831" s="11" t="s">
        <v>1861</v>
      </c>
      <c r="H1831">
        <f>VLOOKUP(Medical_Examinations_2[[#This Row],[Customer ID]],Medical_Examinations!$1:$1048576,9,FALSE)</f>
        <v>1</v>
      </c>
    </row>
    <row r="1832" spans="1:8" x14ac:dyDescent="0.25">
      <c r="A1832" s="10" t="s">
        <v>1862</v>
      </c>
      <c r="H1832">
        <f>VLOOKUP(Medical_Examinations_2[[#This Row],[Customer ID]],Medical_Examinations!$1:$1048576,9,FALSE)</f>
        <v>1</v>
      </c>
    </row>
    <row r="1833" spans="1:8" x14ac:dyDescent="0.25">
      <c r="A1833" s="11" t="s">
        <v>1863</v>
      </c>
      <c r="H1833">
        <f>VLOOKUP(Medical_Examinations_2[[#This Row],[Customer ID]],Medical_Examinations!$1:$1048576,9,FALSE)</f>
        <v>1</v>
      </c>
    </row>
    <row r="1834" spans="1:8" x14ac:dyDescent="0.25">
      <c r="A1834" s="10" t="s">
        <v>1864</v>
      </c>
      <c r="H1834">
        <f>VLOOKUP(Medical_Examinations_2[[#This Row],[Customer ID]],Medical_Examinations!$1:$1048576,9,FALSE)</f>
        <v>1</v>
      </c>
    </row>
    <row r="1835" spans="1:8" x14ac:dyDescent="0.25">
      <c r="A1835" s="11" t="s">
        <v>1865</v>
      </c>
      <c r="H1835">
        <f>VLOOKUP(Medical_Examinations_2[[#This Row],[Customer ID]],Medical_Examinations!$1:$1048576,9,FALSE)</f>
        <v>1</v>
      </c>
    </row>
    <row r="1836" spans="1:8" x14ac:dyDescent="0.25">
      <c r="A1836" s="10" t="s">
        <v>1866</v>
      </c>
      <c r="H1836">
        <f>VLOOKUP(Medical_Examinations_2[[#This Row],[Customer ID]],Medical_Examinations!$1:$1048576,9,FALSE)</f>
        <v>1</v>
      </c>
    </row>
    <row r="1837" spans="1:8" x14ac:dyDescent="0.25">
      <c r="A1837" s="11" t="s">
        <v>1867</v>
      </c>
      <c r="H1837" t="str">
        <f>VLOOKUP(Medical_Examinations_2[[#This Row],[Customer ID]],Medical_Examinations!$1:$1048576,9,FALSE)</f>
        <v>No major surgery</v>
      </c>
    </row>
    <row r="1838" spans="1:8" x14ac:dyDescent="0.25">
      <c r="A1838" s="10" t="s">
        <v>1868</v>
      </c>
      <c r="H1838" t="str">
        <f>VLOOKUP(Medical_Examinations_2[[#This Row],[Customer ID]],Medical_Examinations!$1:$1048576,9,FALSE)</f>
        <v>No major surgery</v>
      </c>
    </row>
    <row r="1839" spans="1:8" x14ac:dyDescent="0.25">
      <c r="A1839" s="11" t="s">
        <v>1869</v>
      </c>
      <c r="H1839">
        <f>VLOOKUP(Medical_Examinations_2[[#This Row],[Customer ID]],Medical_Examinations!$1:$1048576,9,FALSE)</f>
        <v>1</v>
      </c>
    </row>
    <row r="1840" spans="1:8" x14ac:dyDescent="0.25">
      <c r="A1840" s="10" t="s">
        <v>1870</v>
      </c>
      <c r="H1840">
        <f>VLOOKUP(Medical_Examinations_2[[#This Row],[Customer ID]],Medical_Examinations!$1:$1048576,9,FALSE)</f>
        <v>1</v>
      </c>
    </row>
    <row r="1841" spans="1:8" x14ac:dyDescent="0.25">
      <c r="A1841" s="11" t="s">
        <v>1871</v>
      </c>
      <c r="H1841">
        <f>VLOOKUP(Medical_Examinations_2[[#This Row],[Customer ID]],Medical_Examinations!$1:$1048576,9,FALSE)</f>
        <v>1</v>
      </c>
    </row>
    <row r="1842" spans="1:8" x14ac:dyDescent="0.25">
      <c r="A1842" s="10" t="s">
        <v>1872</v>
      </c>
      <c r="H1842">
        <f>VLOOKUP(Medical_Examinations_2[[#This Row],[Customer ID]],Medical_Examinations!$1:$1048576,9,FALSE)</f>
        <v>1</v>
      </c>
    </row>
    <row r="1843" spans="1:8" x14ac:dyDescent="0.25">
      <c r="A1843" s="11" t="s">
        <v>1873</v>
      </c>
      <c r="H1843" t="str">
        <f>VLOOKUP(Medical_Examinations_2[[#This Row],[Customer ID]],Medical_Examinations!$1:$1048576,9,FALSE)</f>
        <v>No major surgery</v>
      </c>
    </row>
    <row r="1844" spans="1:8" x14ac:dyDescent="0.25">
      <c r="A1844" s="10" t="s">
        <v>1874</v>
      </c>
      <c r="H1844" t="str">
        <f>VLOOKUP(Medical_Examinations_2[[#This Row],[Customer ID]],Medical_Examinations!$1:$1048576,9,FALSE)</f>
        <v>No major surgery</v>
      </c>
    </row>
    <row r="1845" spans="1:8" x14ac:dyDescent="0.25">
      <c r="A1845" s="11" t="s">
        <v>1875</v>
      </c>
      <c r="H1845" t="str">
        <f>VLOOKUP(Medical_Examinations_2[[#This Row],[Customer ID]],Medical_Examinations!$1:$1048576,9,FALSE)</f>
        <v>No major surgery</v>
      </c>
    </row>
    <row r="1846" spans="1:8" x14ac:dyDescent="0.25">
      <c r="A1846" s="10" t="s">
        <v>1876</v>
      </c>
      <c r="H1846" t="str">
        <f>VLOOKUP(Medical_Examinations_2[[#This Row],[Customer ID]],Medical_Examinations!$1:$1048576,9,FALSE)</f>
        <v>No major surgery</v>
      </c>
    </row>
    <row r="1847" spans="1:8" x14ac:dyDescent="0.25">
      <c r="A1847" s="11" t="s">
        <v>1877</v>
      </c>
      <c r="H1847" t="str">
        <f>VLOOKUP(Medical_Examinations_2[[#This Row],[Customer ID]],Medical_Examinations!$1:$1048576,9,FALSE)</f>
        <v>No major surgery</v>
      </c>
    </row>
    <row r="1848" spans="1:8" x14ac:dyDescent="0.25">
      <c r="A1848" s="10" t="s">
        <v>1878</v>
      </c>
      <c r="H1848" t="str">
        <f>VLOOKUP(Medical_Examinations_2[[#This Row],[Customer ID]],Medical_Examinations!$1:$1048576,9,FALSE)</f>
        <v>No major surgery</v>
      </c>
    </row>
    <row r="1849" spans="1:8" x14ac:dyDescent="0.25">
      <c r="A1849" s="11" t="s">
        <v>1879</v>
      </c>
      <c r="H1849" t="str">
        <f>VLOOKUP(Medical_Examinations_2[[#This Row],[Customer ID]],Medical_Examinations!$1:$1048576,9,FALSE)</f>
        <v>No major surgery</v>
      </c>
    </row>
    <row r="1850" spans="1:8" x14ac:dyDescent="0.25">
      <c r="A1850" s="10" t="s">
        <v>1880</v>
      </c>
      <c r="H1850" t="str">
        <f>VLOOKUP(Medical_Examinations_2[[#This Row],[Customer ID]],Medical_Examinations!$1:$1048576,9,FALSE)</f>
        <v>No major surgery</v>
      </c>
    </row>
    <row r="1851" spans="1:8" x14ac:dyDescent="0.25">
      <c r="A1851" s="11" t="s">
        <v>1881</v>
      </c>
      <c r="H1851">
        <f>VLOOKUP(Medical_Examinations_2[[#This Row],[Customer ID]],Medical_Examinations!$1:$1048576,9,FALSE)</f>
        <v>1</v>
      </c>
    </row>
    <row r="1852" spans="1:8" x14ac:dyDescent="0.25">
      <c r="A1852" s="10" t="s">
        <v>1882</v>
      </c>
      <c r="H1852">
        <f>VLOOKUP(Medical_Examinations_2[[#This Row],[Customer ID]],Medical_Examinations!$1:$1048576,9,FALSE)</f>
        <v>1</v>
      </c>
    </row>
    <row r="1853" spans="1:8" x14ac:dyDescent="0.25">
      <c r="A1853" s="11" t="s">
        <v>1883</v>
      </c>
      <c r="H1853" t="str">
        <f>VLOOKUP(Medical_Examinations_2[[#This Row],[Customer ID]],Medical_Examinations!$1:$1048576,9,FALSE)</f>
        <v>No major surgery</v>
      </c>
    </row>
    <row r="1854" spans="1:8" x14ac:dyDescent="0.25">
      <c r="A1854" s="10" t="s">
        <v>1884</v>
      </c>
      <c r="H1854">
        <f>VLOOKUP(Medical_Examinations_2[[#This Row],[Customer ID]],Medical_Examinations!$1:$1048576,9,FALSE)</f>
        <v>1</v>
      </c>
    </row>
    <row r="1855" spans="1:8" x14ac:dyDescent="0.25">
      <c r="A1855" s="11" t="s">
        <v>1885</v>
      </c>
      <c r="H1855">
        <f>VLOOKUP(Medical_Examinations_2[[#This Row],[Customer ID]],Medical_Examinations!$1:$1048576,9,FALSE)</f>
        <v>1</v>
      </c>
    </row>
    <row r="1856" spans="1:8" x14ac:dyDescent="0.25">
      <c r="A1856" s="10" t="s">
        <v>1886</v>
      </c>
      <c r="H1856">
        <f>VLOOKUP(Medical_Examinations_2[[#This Row],[Customer ID]],Medical_Examinations!$1:$1048576,9,FALSE)</f>
        <v>1</v>
      </c>
    </row>
    <row r="1857" spans="1:8" x14ac:dyDescent="0.25">
      <c r="A1857" s="11" t="s">
        <v>1887</v>
      </c>
      <c r="H1857">
        <f>VLOOKUP(Medical_Examinations_2[[#This Row],[Customer ID]],Medical_Examinations!$1:$1048576,9,FALSE)</f>
        <v>1</v>
      </c>
    </row>
    <row r="1858" spans="1:8" x14ac:dyDescent="0.25">
      <c r="A1858" s="10" t="s">
        <v>1888</v>
      </c>
      <c r="H1858">
        <f>VLOOKUP(Medical_Examinations_2[[#This Row],[Customer ID]],Medical_Examinations!$1:$1048576,9,FALSE)</f>
        <v>1</v>
      </c>
    </row>
    <row r="1859" spans="1:8" x14ac:dyDescent="0.25">
      <c r="A1859" s="11" t="s">
        <v>1889</v>
      </c>
      <c r="H1859" t="str">
        <f>VLOOKUP(Medical_Examinations_2[[#This Row],[Customer ID]],Medical_Examinations!$1:$1048576,9,FALSE)</f>
        <v>No major surgery</v>
      </c>
    </row>
    <row r="1860" spans="1:8" x14ac:dyDescent="0.25">
      <c r="A1860" s="10" t="s">
        <v>1890</v>
      </c>
      <c r="H1860">
        <f>VLOOKUP(Medical_Examinations_2[[#This Row],[Customer ID]],Medical_Examinations!$1:$1048576,9,FALSE)</f>
        <v>1</v>
      </c>
    </row>
    <row r="1861" spans="1:8" x14ac:dyDescent="0.25">
      <c r="A1861" s="11" t="s">
        <v>1891</v>
      </c>
      <c r="H1861" t="str">
        <f>VLOOKUP(Medical_Examinations_2[[#This Row],[Customer ID]],Medical_Examinations!$1:$1048576,9,FALSE)</f>
        <v>No major surgery</v>
      </c>
    </row>
    <row r="1862" spans="1:8" x14ac:dyDescent="0.25">
      <c r="A1862" s="10" t="s">
        <v>1892</v>
      </c>
      <c r="H1862" t="str">
        <f>VLOOKUP(Medical_Examinations_2[[#This Row],[Customer ID]],Medical_Examinations!$1:$1048576,9,FALSE)</f>
        <v>No major surgery</v>
      </c>
    </row>
    <row r="1863" spans="1:8" x14ac:dyDescent="0.25">
      <c r="A1863" s="11" t="s">
        <v>1893</v>
      </c>
      <c r="H1863" t="str">
        <f>VLOOKUP(Medical_Examinations_2[[#This Row],[Customer ID]],Medical_Examinations!$1:$1048576,9,FALSE)</f>
        <v>No major surgery</v>
      </c>
    </row>
    <row r="1864" spans="1:8" x14ac:dyDescent="0.25">
      <c r="A1864" s="10" t="s">
        <v>1894</v>
      </c>
      <c r="H1864" t="str">
        <f>VLOOKUP(Medical_Examinations_2[[#This Row],[Customer ID]],Medical_Examinations!$1:$1048576,9,FALSE)</f>
        <v>No major surgery</v>
      </c>
    </row>
    <row r="1865" spans="1:8" x14ac:dyDescent="0.25">
      <c r="A1865" s="11" t="s">
        <v>1895</v>
      </c>
      <c r="H1865" t="str">
        <f>VLOOKUP(Medical_Examinations_2[[#This Row],[Customer ID]],Medical_Examinations!$1:$1048576,9,FALSE)</f>
        <v>No major surgery</v>
      </c>
    </row>
    <row r="1866" spans="1:8" x14ac:dyDescent="0.25">
      <c r="A1866" s="10" t="s">
        <v>1896</v>
      </c>
      <c r="H1866" t="str">
        <f>VLOOKUP(Medical_Examinations_2[[#This Row],[Customer ID]],Medical_Examinations!$1:$1048576,9,FALSE)</f>
        <v>No major surgery</v>
      </c>
    </row>
    <row r="1867" spans="1:8" x14ac:dyDescent="0.25">
      <c r="A1867" s="11" t="s">
        <v>1897</v>
      </c>
      <c r="H1867">
        <f>VLOOKUP(Medical_Examinations_2[[#This Row],[Customer ID]],Medical_Examinations!$1:$1048576,9,FALSE)</f>
        <v>1</v>
      </c>
    </row>
    <row r="1868" spans="1:8" x14ac:dyDescent="0.25">
      <c r="A1868" s="10" t="s">
        <v>1898</v>
      </c>
      <c r="H1868">
        <f>VLOOKUP(Medical_Examinations_2[[#This Row],[Customer ID]],Medical_Examinations!$1:$1048576,9,FALSE)</f>
        <v>1</v>
      </c>
    </row>
    <row r="1869" spans="1:8" x14ac:dyDescent="0.25">
      <c r="A1869" s="11" t="s">
        <v>1899</v>
      </c>
      <c r="H1869">
        <f>VLOOKUP(Medical_Examinations_2[[#This Row],[Customer ID]],Medical_Examinations!$1:$1048576,9,FALSE)</f>
        <v>1</v>
      </c>
    </row>
    <row r="1870" spans="1:8" x14ac:dyDescent="0.25">
      <c r="A1870" s="10" t="s">
        <v>1900</v>
      </c>
      <c r="H1870">
        <f>VLOOKUP(Medical_Examinations_2[[#This Row],[Customer ID]],Medical_Examinations!$1:$1048576,9,FALSE)</f>
        <v>1</v>
      </c>
    </row>
    <row r="1871" spans="1:8" x14ac:dyDescent="0.25">
      <c r="A1871" s="11" t="s">
        <v>1901</v>
      </c>
      <c r="H1871">
        <f>VLOOKUP(Medical_Examinations_2[[#This Row],[Customer ID]],Medical_Examinations!$1:$1048576,9,FALSE)</f>
        <v>1</v>
      </c>
    </row>
    <row r="1872" spans="1:8" x14ac:dyDescent="0.25">
      <c r="A1872" s="10" t="s">
        <v>1902</v>
      </c>
      <c r="H1872">
        <f>VLOOKUP(Medical_Examinations_2[[#This Row],[Customer ID]],Medical_Examinations!$1:$1048576,9,FALSE)</f>
        <v>1</v>
      </c>
    </row>
    <row r="1873" spans="1:8" x14ac:dyDescent="0.25">
      <c r="A1873" s="11" t="s">
        <v>1903</v>
      </c>
      <c r="H1873" t="str">
        <f>VLOOKUP(Medical_Examinations_2[[#This Row],[Customer ID]],Medical_Examinations!$1:$1048576,9,FALSE)</f>
        <v>No major surgery</v>
      </c>
    </row>
    <row r="1874" spans="1:8" x14ac:dyDescent="0.25">
      <c r="A1874" s="10" t="s">
        <v>1904</v>
      </c>
      <c r="H1874" t="str">
        <f>VLOOKUP(Medical_Examinations_2[[#This Row],[Customer ID]],Medical_Examinations!$1:$1048576,9,FALSE)</f>
        <v>No major surgery</v>
      </c>
    </row>
    <row r="1875" spans="1:8" x14ac:dyDescent="0.25">
      <c r="A1875" s="11" t="s">
        <v>1905</v>
      </c>
      <c r="H1875" t="str">
        <f>VLOOKUP(Medical_Examinations_2[[#This Row],[Customer ID]],Medical_Examinations!$1:$1048576,9,FALSE)</f>
        <v>No major surgery</v>
      </c>
    </row>
    <row r="1876" spans="1:8" x14ac:dyDescent="0.25">
      <c r="A1876" s="10" t="s">
        <v>1906</v>
      </c>
      <c r="H1876">
        <f>VLOOKUP(Medical_Examinations_2[[#This Row],[Customer ID]],Medical_Examinations!$1:$1048576,9,FALSE)</f>
        <v>1</v>
      </c>
    </row>
    <row r="1877" spans="1:8" x14ac:dyDescent="0.25">
      <c r="A1877" s="11" t="s">
        <v>1907</v>
      </c>
      <c r="H1877">
        <f>VLOOKUP(Medical_Examinations_2[[#This Row],[Customer ID]],Medical_Examinations!$1:$1048576,9,FALSE)</f>
        <v>1</v>
      </c>
    </row>
    <row r="1878" spans="1:8" x14ac:dyDescent="0.25">
      <c r="A1878" s="10" t="s">
        <v>1908</v>
      </c>
      <c r="H1878">
        <f>VLOOKUP(Medical_Examinations_2[[#This Row],[Customer ID]],Medical_Examinations!$1:$1048576,9,FALSE)</f>
        <v>1</v>
      </c>
    </row>
    <row r="1879" spans="1:8" x14ac:dyDescent="0.25">
      <c r="A1879" s="11" t="s">
        <v>1909</v>
      </c>
      <c r="H1879">
        <f>VLOOKUP(Medical_Examinations_2[[#This Row],[Customer ID]],Medical_Examinations!$1:$1048576,9,FALSE)</f>
        <v>1</v>
      </c>
    </row>
    <row r="1880" spans="1:8" x14ac:dyDescent="0.25">
      <c r="A1880" s="10" t="s">
        <v>1910</v>
      </c>
      <c r="H1880" t="str">
        <f>VLOOKUP(Medical_Examinations_2[[#This Row],[Customer ID]],Medical_Examinations!$1:$1048576,9,FALSE)</f>
        <v>No major surgery</v>
      </c>
    </row>
    <row r="1881" spans="1:8" x14ac:dyDescent="0.25">
      <c r="A1881" s="11" t="s">
        <v>1911</v>
      </c>
      <c r="H1881">
        <f>VLOOKUP(Medical_Examinations_2[[#This Row],[Customer ID]],Medical_Examinations!$1:$1048576,9,FALSE)</f>
        <v>1</v>
      </c>
    </row>
    <row r="1882" spans="1:8" x14ac:dyDescent="0.25">
      <c r="A1882" s="10" t="s">
        <v>1912</v>
      </c>
      <c r="H1882">
        <f>VLOOKUP(Medical_Examinations_2[[#This Row],[Customer ID]],Medical_Examinations!$1:$1048576,9,FALSE)</f>
        <v>1</v>
      </c>
    </row>
    <row r="1883" spans="1:8" x14ac:dyDescent="0.25">
      <c r="A1883" s="11" t="s">
        <v>1913</v>
      </c>
      <c r="H1883">
        <f>VLOOKUP(Medical_Examinations_2[[#This Row],[Customer ID]],Medical_Examinations!$1:$1048576,9,FALSE)</f>
        <v>1</v>
      </c>
    </row>
    <row r="1884" spans="1:8" x14ac:dyDescent="0.25">
      <c r="A1884" s="10" t="s">
        <v>1914</v>
      </c>
      <c r="H1884">
        <f>VLOOKUP(Medical_Examinations_2[[#This Row],[Customer ID]],Medical_Examinations!$1:$1048576,9,FALSE)</f>
        <v>1</v>
      </c>
    </row>
    <row r="1885" spans="1:8" x14ac:dyDescent="0.25">
      <c r="A1885" s="11" t="s">
        <v>1915</v>
      </c>
      <c r="H1885">
        <f>VLOOKUP(Medical_Examinations_2[[#This Row],[Customer ID]],Medical_Examinations!$1:$1048576,9,FALSE)</f>
        <v>1</v>
      </c>
    </row>
    <row r="1886" spans="1:8" x14ac:dyDescent="0.25">
      <c r="A1886" s="10" t="s">
        <v>1916</v>
      </c>
      <c r="H1886" t="str">
        <f>VLOOKUP(Medical_Examinations_2[[#This Row],[Customer ID]],Medical_Examinations!$1:$1048576,9,FALSE)</f>
        <v>No major surgery</v>
      </c>
    </row>
    <row r="1887" spans="1:8" x14ac:dyDescent="0.25">
      <c r="A1887" s="11" t="s">
        <v>1917</v>
      </c>
      <c r="H1887" t="str">
        <f>VLOOKUP(Medical_Examinations_2[[#This Row],[Customer ID]],Medical_Examinations!$1:$1048576,9,FALSE)</f>
        <v>No major surgery</v>
      </c>
    </row>
    <row r="1888" spans="1:8" x14ac:dyDescent="0.25">
      <c r="A1888" s="10" t="s">
        <v>1918</v>
      </c>
      <c r="H1888" t="str">
        <f>VLOOKUP(Medical_Examinations_2[[#This Row],[Customer ID]],Medical_Examinations!$1:$1048576,9,FALSE)</f>
        <v>No major surgery</v>
      </c>
    </row>
    <row r="1889" spans="1:8" x14ac:dyDescent="0.25">
      <c r="A1889" s="11" t="s">
        <v>1919</v>
      </c>
      <c r="H1889" t="str">
        <f>VLOOKUP(Medical_Examinations_2[[#This Row],[Customer ID]],Medical_Examinations!$1:$1048576,9,FALSE)</f>
        <v>No major surgery</v>
      </c>
    </row>
    <row r="1890" spans="1:8" x14ac:dyDescent="0.25">
      <c r="A1890" s="10" t="s">
        <v>1920</v>
      </c>
      <c r="H1890" t="str">
        <f>VLOOKUP(Medical_Examinations_2[[#This Row],[Customer ID]],Medical_Examinations!$1:$1048576,9,FALSE)</f>
        <v>No major surgery</v>
      </c>
    </row>
    <row r="1891" spans="1:8" x14ac:dyDescent="0.25">
      <c r="A1891" s="11" t="s">
        <v>1921</v>
      </c>
      <c r="H1891">
        <f>VLOOKUP(Medical_Examinations_2[[#This Row],[Customer ID]],Medical_Examinations!$1:$1048576,9,FALSE)</f>
        <v>1</v>
      </c>
    </row>
    <row r="1892" spans="1:8" x14ac:dyDescent="0.25">
      <c r="A1892" s="10" t="s">
        <v>1922</v>
      </c>
      <c r="H1892">
        <f>VLOOKUP(Medical_Examinations_2[[#This Row],[Customer ID]],Medical_Examinations!$1:$1048576,9,FALSE)</f>
        <v>1</v>
      </c>
    </row>
    <row r="1893" spans="1:8" x14ac:dyDescent="0.25">
      <c r="A1893" s="11" t="s">
        <v>1923</v>
      </c>
      <c r="H1893">
        <f>VLOOKUP(Medical_Examinations_2[[#This Row],[Customer ID]],Medical_Examinations!$1:$1048576,9,FALSE)</f>
        <v>1</v>
      </c>
    </row>
    <row r="1894" spans="1:8" x14ac:dyDescent="0.25">
      <c r="A1894" s="10" t="s">
        <v>1924</v>
      </c>
      <c r="H1894">
        <f>VLOOKUP(Medical_Examinations_2[[#This Row],[Customer ID]],Medical_Examinations!$1:$1048576,9,FALSE)</f>
        <v>1</v>
      </c>
    </row>
    <row r="1895" spans="1:8" x14ac:dyDescent="0.25">
      <c r="A1895" s="11" t="s">
        <v>1925</v>
      </c>
      <c r="H1895">
        <f>VLOOKUP(Medical_Examinations_2[[#This Row],[Customer ID]],Medical_Examinations!$1:$1048576,9,FALSE)</f>
        <v>1</v>
      </c>
    </row>
    <row r="1896" spans="1:8" x14ac:dyDescent="0.25">
      <c r="A1896" s="10" t="s">
        <v>1926</v>
      </c>
      <c r="H1896">
        <f>VLOOKUP(Medical_Examinations_2[[#This Row],[Customer ID]],Medical_Examinations!$1:$1048576,9,FALSE)</f>
        <v>1</v>
      </c>
    </row>
    <row r="1897" spans="1:8" x14ac:dyDescent="0.25">
      <c r="A1897" s="11" t="s">
        <v>1927</v>
      </c>
      <c r="H1897">
        <f>VLOOKUP(Medical_Examinations_2[[#This Row],[Customer ID]],Medical_Examinations!$1:$1048576,9,FALSE)</f>
        <v>1</v>
      </c>
    </row>
    <row r="1898" spans="1:8" x14ac:dyDescent="0.25">
      <c r="A1898" s="10" t="s">
        <v>1928</v>
      </c>
      <c r="H1898">
        <f>VLOOKUP(Medical_Examinations_2[[#This Row],[Customer ID]],Medical_Examinations!$1:$1048576,9,FALSE)</f>
        <v>1</v>
      </c>
    </row>
    <row r="1899" spans="1:8" x14ac:dyDescent="0.25">
      <c r="A1899" s="11" t="s">
        <v>1929</v>
      </c>
      <c r="H1899">
        <f>VLOOKUP(Medical_Examinations_2[[#This Row],[Customer ID]],Medical_Examinations!$1:$1048576,9,FALSE)</f>
        <v>2</v>
      </c>
    </row>
    <row r="1900" spans="1:8" x14ac:dyDescent="0.25">
      <c r="A1900" s="10" t="s">
        <v>1930</v>
      </c>
      <c r="H1900" t="str">
        <f>VLOOKUP(Medical_Examinations_2[[#This Row],[Customer ID]],Medical_Examinations!$1:$1048576,9,FALSE)</f>
        <v>No major surgery</v>
      </c>
    </row>
    <row r="1901" spans="1:8" x14ac:dyDescent="0.25">
      <c r="A1901" s="11" t="s">
        <v>1931</v>
      </c>
      <c r="H1901" t="str">
        <f>VLOOKUP(Medical_Examinations_2[[#This Row],[Customer ID]],Medical_Examinations!$1:$1048576,9,FALSE)</f>
        <v>No major surgery</v>
      </c>
    </row>
    <row r="1902" spans="1:8" x14ac:dyDescent="0.25">
      <c r="A1902" s="10" t="s">
        <v>1932</v>
      </c>
      <c r="H1902" t="str">
        <f>VLOOKUP(Medical_Examinations_2[[#This Row],[Customer ID]],Medical_Examinations!$1:$1048576,9,FALSE)</f>
        <v>No major surgery</v>
      </c>
    </row>
    <row r="1903" spans="1:8" x14ac:dyDescent="0.25">
      <c r="A1903" s="11" t="s">
        <v>1933</v>
      </c>
      <c r="H1903" t="str">
        <f>VLOOKUP(Medical_Examinations_2[[#This Row],[Customer ID]],Medical_Examinations!$1:$1048576,9,FALSE)</f>
        <v>No major surgery</v>
      </c>
    </row>
    <row r="1904" spans="1:8" x14ac:dyDescent="0.25">
      <c r="A1904" s="10" t="s">
        <v>1934</v>
      </c>
      <c r="H1904" t="str">
        <f>VLOOKUP(Medical_Examinations_2[[#This Row],[Customer ID]],Medical_Examinations!$1:$1048576,9,FALSE)</f>
        <v>No major surgery</v>
      </c>
    </row>
    <row r="1905" spans="1:8" x14ac:dyDescent="0.25">
      <c r="A1905" s="11" t="s">
        <v>1935</v>
      </c>
      <c r="H1905" t="str">
        <f>VLOOKUP(Medical_Examinations_2[[#This Row],[Customer ID]],Medical_Examinations!$1:$1048576,9,FALSE)</f>
        <v>No major surgery</v>
      </c>
    </row>
    <row r="1906" spans="1:8" x14ac:dyDescent="0.25">
      <c r="A1906" s="10" t="s">
        <v>1936</v>
      </c>
      <c r="H1906">
        <f>VLOOKUP(Medical_Examinations_2[[#This Row],[Customer ID]],Medical_Examinations!$1:$1048576,9,FALSE)</f>
        <v>1</v>
      </c>
    </row>
    <row r="1907" spans="1:8" x14ac:dyDescent="0.25">
      <c r="A1907" s="11" t="s">
        <v>1937</v>
      </c>
      <c r="H1907" t="str">
        <f>VLOOKUP(Medical_Examinations_2[[#This Row],[Customer ID]],Medical_Examinations!$1:$1048576,9,FALSE)</f>
        <v>No major surgery</v>
      </c>
    </row>
    <row r="1908" spans="1:8" x14ac:dyDescent="0.25">
      <c r="A1908" s="10" t="s">
        <v>1938</v>
      </c>
      <c r="H1908">
        <f>VLOOKUP(Medical_Examinations_2[[#This Row],[Customer ID]],Medical_Examinations!$1:$1048576,9,FALSE)</f>
        <v>1</v>
      </c>
    </row>
    <row r="1909" spans="1:8" x14ac:dyDescent="0.25">
      <c r="A1909" s="11" t="s">
        <v>1939</v>
      </c>
      <c r="H1909">
        <f>VLOOKUP(Medical_Examinations_2[[#This Row],[Customer ID]],Medical_Examinations!$1:$1048576,9,FALSE)</f>
        <v>1</v>
      </c>
    </row>
    <row r="1910" spans="1:8" x14ac:dyDescent="0.25">
      <c r="A1910" s="10" t="s">
        <v>1940</v>
      </c>
      <c r="H1910">
        <f>VLOOKUP(Medical_Examinations_2[[#This Row],[Customer ID]],Medical_Examinations!$1:$1048576,9,FALSE)</f>
        <v>1</v>
      </c>
    </row>
    <row r="1911" spans="1:8" x14ac:dyDescent="0.25">
      <c r="A1911" s="11" t="s">
        <v>1941</v>
      </c>
      <c r="H1911" t="str">
        <f>VLOOKUP(Medical_Examinations_2[[#This Row],[Customer ID]],Medical_Examinations!$1:$1048576,9,FALSE)</f>
        <v>No major surgery</v>
      </c>
    </row>
    <row r="1912" spans="1:8" x14ac:dyDescent="0.25">
      <c r="A1912" s="10" t="s">
        <v>1942</v>
      </c>
      <c r="H1912">
        <f>VLOOKUP(Medical_Examinations_2[[#This Row],[Customer ID]],Medical_Examinations!$1:$1048576,9,FALSE)</f>
        <v>2</v>
      </c>
    </row>
    <row r="1913" spans="1:8" x14ac:dyDescent="0.25">
      <c r="A1913" s="11" t="s">
        <v>1943</v>
      </c>
      <c r="H1913" t="str">
        <f>VLOOKUP(Medical_Examinations_2[[#This Row],[Customer ID]],Medical_Examinations!$1:$1048576,9,FALSE)</f>
        <v>No major surgery</v>
      </c>
    </row>
    <row r="1914" spans="1:8" x14ac:dyDescent="0.25">
      <c r="A1914" s="10" t="s">
        <v>1944</v>
      </c>
      <c r="H1914">
        <f>VLOOKUP(Medical_Examinations_2[[#This Row],[Customer ID]],Medical_Examinations!$1:$1048576,9,FALSE)</f>
        <v>1</v>
      </c>
    </row>
    <row r="1915" spans="1:8" x14ac:dyDescent="0.25">
      <c r="A1915" s="11" t="s">
        <v>1945</v>
      </c>
      <c r="H1915" t="str">
        <f>VLOOKUP(Medical_Examinations_2[[#This Row],[Customer ID]],Medical_Examinations!$1:$1048576,9,FALSE)</f>
        <v>No major surgery</v>
      </c>
    </row>
    <row r="1916" spans="1:8" x14ac:dyDescent="0.25">
      <c r="A1916" s="10" t="s">
        <v>1946</v>
      </c>
      <c r="H1916">
        <f>VLOOKUP(Medical_Examinations_2[[#This Row],[Customer ID]],Medical_Examinations!$1:$1048576,9,FALSE)</f>
        <v>1</v>
      </c>
    </row>
    <row r="1917" spans="1:8" x14ac:dyDescent="0.25">
      <c r="A1917" s="11" t="s">
        <v>1947</v>
      </c>
      <c r="H1917">
        <f>VLOOKUP(Medical_Examinations_2[[#This Row],[Customer ID]],Medical_Examinations!$1:$1048576,9,FALSE)</f>
        <v>1</v>
      </c>
    </row>
    <row r="1918" spans="1:8" x14ac:dyDescent="0.25">
      <c r="A1918" s="10" t="s">
        <v>1948</v>
      </c>
      <c r="H1918" t="str">
        <f>VLOOKUP(Medical_Examinations_2[[#This Row],[Customer ID]],Medical_Examinations!$1:$1048576,9,FALSE)</f>
        <v>No major surgery</v>
      </c>
    </row>
    <row r="1919" spans="1:8" x14ac:dyDescent="0.25">
      <c r="A1919" s="11" t="s">
        <v>1949</v>
      </c>
      <c r="H1919" t="str">
        <f>VLOOKUP(Medical_Examinations_2[[#This Row],[Customer ID]],Medical_Examinations!$1:$1048576,9,FALSE)</f>
        <v>No major surgery</v>
      </c>
    </row>
    <row r="1920" spans="1:8" x14ac:dyDescent="0.25">
      <c r="A1920" s="10" t="s">
        <v>1950</v>
      </c>
      <c r="H1920" t="str">
        <f>VLOOKUP(Medical_Examinations_2[[#This Row],[Customer ID]],Medical_Examinations!$1:$1048576,9,FALSE)</f>
        <v>No major surgery</v>
      </c>
    </row>
    <row r="1921" spans="1:8" x14ac:dyDescent="0.25">
      <c r="A1921" s="11" t="s">
        <v>1951</v>
      </c>
      <c r="H1921" t="str">
        <f>VLOOKUP(Medical_Examinations_2[[#This Row],[Customer ID]],Medical_Examinations!$1:$1048576,9,FALSE)</f>
        <v>No major surgery</v>
      </c>
    </row>
    <row r="1922" spans="1:8" x14ac:dyDescent="0.25">
      <c r="A1922" s="10" t="s">
        <v>1952</v>
      </c>
      <c r="H1922" t="str">
        <f>VLOOKUP(Medical_Examinations_2[[#This Row],[Customer ID]],Medical_Examinations!$1:$1048576,9,FALSE)</f>
        <v>No major surgery</v>
      </c>
    </row>
    <row r="1923" spans="1:8" x14ac:dyDescent="0.25">
      <c r="A1923" s="11" t="s">
        <v>1953</v>
      </c>
      <c r="H1923" t="str">
        <f>VLOOKUP(Medical_Examinations_2[[#This Row],[Customer ID]],Medical_Examinations!$1:$1048576,9,FALSE)</f>
        <v>No major surgery</v>
      </c>
    </row>
    <row r="1924" spans="1:8" x14ac:dyDescent="0.25">
      <c r="A1924" s="10" t="s">
        <v>1954</v>
      </c>
      <c r="H1924" t="str">
        <f>VLOOKUP(Medical_Examinations_2[[#This Row],[Customer ID]],Medical_Examinations!$1:$1048576,9,FALSE)</f>
        <v>No major surgery</v>
      </c>
    </row>
    <row r="1925" spans="1:8" x14ac:dyDescent="0.25">
      <c r="A1925" s="11" t="s">
        <v>1955</v>
      </c>
      <c r="H1925" t="str">
        <f>VLOOKUP(Medical_Examinations_2[[#This Row],[Customer ID]],Medical_Examinations!$1:$1048576,9,FALSE)</f>
        <v>No major surgery</v>
      </c>
    </row>
    <row r="1926" spans="1:8" x14ac:dyDescent="0.25">
      <c r="A1926" s="10" t="s">
        <v>1956</v>
      </c>
      <c r="H1926" t="str">
        <f>VLOOKUP(Medical_Examinations_2[[#This Row],[Customer ID]],Medical_Examinations!$1:$1048576,9,FALSE)</f>
        <v>No major surgery</v>
      </c>
    </row>
    <row r="1927" spans="1:8" x14ac:dyDescent="0.25">
      <c r="A1927" s="11" t="s">
        <v>1957</v>
      </c>
      <c r="H1927">
        <f>VLOOKUP(Medical_Examinations_2[[#This Row],[Customer ID]],Medical_Examinations!$1:$1048576,9,FALSE)</f>
        <v>1</v>
      </c>
    </row>
    <row r="1928" spans="1:8" x14ac:dyDescent="0.25">
      <c r="A1928" s="10" t="s">
        <v>1958</v>
      </c>
      <c r="H1928" t="str">
        <f>VLOOKUP(Medical_Examinations_2[[#This Row],[Customer ID]],Medical_Examinations!$1:$1048576,9,FALSE)</f>
        <v>No major surgery</v>
      </c>
    </row>
    <row r="1929" spans="1:8" x14ac:dyDescent="0.25">
      <c r="A1929" s="11" t="s">
        <v>1959</v>
      </c>
      <c r="H1929">
        <f>VLOOKUP(Medical_Examinations_2[[#This Row],[Customer ID]],Medical_Examinations!$1:$1048576,9,FALSE)</f>
        <v>1</v>
      </c>
    </row>
    <row r="1930" spans="1:8" x14ac:dyDescent="0.25">
      <c r="A1930" s="10" t="s">
        <v>1960</v>
      </c>
      <c r="H1930" t="str">
        <f>VLOOKUP(Medical_Examinations_2[[#This Row],[Customer ID]],Medical_Examinations!$1:$1048576,9,FALSE)</f>
        <v>No major surgery</v>
      </c>
    </row>
    <row r="1931" spans="1:8" x14ac:dyDescent="0.25">
      <c r="A1931" s="11" t="s">
        <v>1961</v>
      </c>
      <c r="H1931" t="str">
        <f>VLOOKUP(Medical_Examinations_2[[#This Row],[Customer ID]],Medical_Examinations!$1:$1048576,9,FALSE)</f>
        <v>No major surgery</v>
      </c>
    </row>
    <row r="1932" spans="1:8" x14ac:dyDescent="0.25">
      <c r="A1932" s="10" t="s">
        <v>1962</v>
      </c>
      <c r="H1932" t="str">
        <f>VLOOKUP(Medical_Examinations_2[[#This Row],[Customer ID]],Medical_Examinations!$1:$1048576,9,FALSE)</f>
        <v>No major surgery</v>
      </c>
    </row>
    <row r="1933" spans="1:8" x14ac:dyDescent="0.25">
      <c r="A1933" s="11" t="s">
        <v>1963</v>
      </c>
      <c r="H1933" t="str">
        <f>VLOOKUP(Medical_Examinations_2[[#This Row],[Customer ID]],Medical_Examinations!$1:$1048576,9,FALSE)</f>
        <v>No major surgery</v>
      </c>
    </row>
    <row r="1934" spans="1:8" x14ac:dyDescent="0.25">
      <c r="A1934" s="10" t="s">
        <v>1964</v>
      </c>
      <c r="H1934">
        <f>VLOOKUP(Medical_Examinations_2[[#This Row],[Customer ID]],Medical_Examinations!$1:$1048576,9,FALSE)</f>
        <v>1</v>
      </c>
    </row>
    <row r="1935" spans="1:8" x14ac:dyDescent="0.25">
      <c r="A1935" s="11" t="s">
        <v>1965</v>
      </c>
      <c r="H1935">
        <f>VLOOKUP(Medical_Examinations_2[[#This Row],[Customer ID]],Medical_Examinations!$1:$1048576,9,FALSE)</f>
        <v>1</v>
      </c>
    </row>
    <row r="1936" spans="1:8" x14ac:dyDescent="0.25">
      <c r="A1936" s="10" t="s">
        <v>1966</v>
      </c>
      <c r="H1936" t="str">
        <f>VLOOKUP(Medical_Examinations_2[[#This Row],[Customer ID]],Medical_Examinations!$1:$1048576,9,FALSE)</f>
        <v>No major surgery</v>
      </c>
    </row>
    <row r="1937" spans="1:8" x14ac:dyDescent="0.25">
      <c r="A1937" s="11" t="s">
        <v>1967</v>
      </c>
      <c r="H1937">
        <f>VLOOKUP(Medical_Examinations_2[[#This Row],[Customer ID]],Medical_Examinations!$1:$1048576,9,FALSE)</f>
        <v>1</v>
      </c>
    </row>
    <row r="1938" spans="1:8" x14ac:dyDescent="0.25">
      <c r="A1938" s="10" t="s">
        <v>1968</v>
      </c>
      <c r="H1938">
        <f>VLOOKUP(Medical_Examinations_2[[#This Row],[Customer ID]],Medical_Examinations!$1:$1048576,9,FALSE)</f>
        <v>1</v>
      </c>
    </row>
    <row r="1939" spans="1:8" x14ac:dyDescent="0.25">
      <c r="A1939" s="11" t="s">
        <v>1969</v>
      </c>
      <c r="H1939" t="str">
        <f>VLOOKUP(Medical_Examinations_2[[#This Row],[Customer ID]],Medical_Examinations!$1:$1048576,9,FALSE)</f>
        <v>No major surgery</v>
      </c>
    </row>
    <row r="1940" spans="1:8" x14ac:dyDescent="0.25">
      <c r="A1940" s="10" t="s">
        <v>1970</v>
      </c>
      <c r="H1940">
        <f>VLOOKUP(Medical_Examinations_2[[#This Row],[Customer ID]],Medical_Examinations!$1:$1048576,9,FALSE)</f>
        <v>1</v>
      </c>
    </row>
    <row r="1941" spans="1:8" x14ac:dyDescent="0.25">
      <c r="A1941" s="11" t="s">
        <v>1971</v>
      </c>
      <c r="H1941">
        <f>VLOOKUP(Medical_Examinations_2[[#This Row],[Customer ID]],Medical_Examinations!$1:$1048576,9,FALSE)</f>
        <v>1</v>
      </c>
    </row>
    <row r="1942" spans="1:8" x14ac:dyDescent="0.25">
      <c r="A1942" s="10" t="s">
        <v>1972</v>
      </c>
      <c r="H1942" t="str">
        <f>VLOOKUP(Medical_Examinations_2[[#This Row],[Customer ID]],Medical_Examinations!$1:$1048576,9,FALSE)</f>
        <v>No major surgery</v>
      </c>
    </row>
    <row r="1943" spans="1:8" x14ac:dyDescent="0.25">
      <c r="A1943" s="11" t="s">
        <v>1973</v>
      </c>
      <c r="H1943">
        <f>VLOOKUP(Medical_Examinations_2[[#This Row],[Customer ID]],Medical_Examinations!$1:$1048576,9,FALSE)</f>
        <v>1</v>
      </c>
    </row>
    <row r="1944" spans="1:8" x14ac:dyDescent="0.25">
      <c r="A1944" s="10" t="s">
        <v>1974</v>
      </c>
      <c r="H1944">
        <f>VLOOKUP(Medical_Examinations_2[[#This Row],[Customer ID]],Medical_Examinations!$1:$1048576,9,FALSE)</f>
        <v>1</v>
      </c>
    </row>
    <row r="1945" spans="1:8" x14ac:dyDescent="0.25">
      <c r="A1945" s="11" t="s">
        <v>1975</v>
      </c>
      <c r="H1945">
        <f>VLOOKUP(Medical_Examinations_2[[#This Row],[Customer ID]],Medical_Examinations!$1:$1048576,9,FALSE)</f>
        <v>1</v>
      </c>
    </row>
    <row r="1946" spans="1:8" x14ac:dyDescent="0.25">
      <c r="A1946" s="10" t="s">
        <v>1976</v>
      </c>
      <c r="H1946" t="str">
        <f>VLOOKUP(Medical_Examinations_2[[#This Row],[Customer ID]],Medical_Examinations!$1:$1048576,9,FALSE)</f>
        <v>No major surgery</v>
      </c>
    </row>
    <row r="1947" spans="1:8" x14ac:dyDescent="0.25">
      <c r="A1947" s="11" t="s">
        <v>1977</v>
      </c>
      <c r="H1947">
        <f>VLOOKUP(Medical_Examinations_2[[#This Row],[Customer ID]],Medical_Examinations!$1:$1048576,9,FALSE)</f>
        <v>1</v>
      </c>
    </row>
    <row r="1948" spans="1:8" x14ac:dyDescent="0.25">
      <c r="A1948" s="10" t="s">
        <v>1978</v>
      </c>
      <c r="H1948" t="str">
        <f>VLOOKUP(Medical_Examinations_2[[#This Row],[Customer ID]],Medical_Examinations!$1:$1048576,9,FALSE)</f>
        <v>No major surgery</v>
      </c>
    </row>
    <row r="1949" spans="1:8" x14ac:dyDescent="0.25">
      <c r="A1949" s="11" t="s">
        <v>1979</v>
      </c>
      <c r="H1949" t="str">
        <f>VLOOKUP(Medical_Examinations_2[[#This Row],[Customer ID]],Medical_Examinations!$1:$1048576,9,FALSE)</f>
        <v>No major surgery</v>
      </c>
    </row>
    <row r="1950" spans="1:8" x14ac:dyDescent="0.25">
      <c r="A1950" s="10" t="s">
        <v>1980</v>
      </c>
      <c r="H1950">
        <f>VLOOKUP(Medical_Examinations_2[[#This Row],[Customer ID]],Medical_Examinations!$1:$1048576,9,FALSE)</f>
        <v>1</v>
      </c>
    </row>
    <row r="1951" spans="1:8" x14ac:dyDescent="0.25">
      <c r="A1951" s="11" t="s">
        <v>1981</v>
      </c>
      <c r="H1951" t="str">
        <f>VLOOKUP(Medical_Examinations_2[[#This Row],[Customer ID]],Medical_Examinations!$1:$1048576,9,FALSE)</f>
        <v>No major surgery</v>
      </c>
    </row>
    <row r="1952" spans="1:8" x14ac:dyDescent="0.25">
      <c r="A1952" s="10" t="s">
        <v>1982</v>
      </c>
      <c r="H1952">
        <f>VLOOKUP(Medical_Examinations_2[[#This Row],[Customer ID]],Medical_Examinations!$1:$1048576,9,FALSE)</f>
        <v>1</v>
      </c>
    </row>
    <row r="1953" spans="1:8" x14ac:dyDescent="0.25">
      <c r="A1953" s="11" t="s">
        <v>1983</v>
      </c>
      <c r="H1953" t="str">
        <f>VLOOKUP(Medical_Examinations_2[[#This Row],[Customer ID]],Medical_Examinations!$1:$1048576,9,FALSE)</f>
        <v>No major surgery</v>
      </c>
    </row>
    <row r="1954" spans="1:8" x14ac:dyDescent="0.25">
      <c r="A1954" s="10" t="s">
        <v>1984</v>
      </c>
      <c r="H1954">
        <f>VLOOKUP(Medical_Examinations_2[[#This Row],[Customer ID]],Medical_Examinations!$1:$1048576,9,FALSE)</f>
        <v>1</v>
      </c>
    </row>
    <row r="1955" spans="1:8" x14ac:dyDescent="0.25">
      <c r="A1955" s="11" t="s">
        <v>1985</v>
      </c>
      <c r="H1955" t="str">
        <f>VLOOKUP(Medical_Examinations_2[[#This Row],[Customer ID]],Medical_Examinations!$1:$1048576,9,FALSE)</f>
        <v>No major surgery</v>
      </c>
    </row>
    <row r="1956" spans="1:8" x14ac:dyDescent="0.25">
      <c r="A1956" s="10" t="s">
        <v>1986</v>
      </c>
      <c r="H1956">
        <f>VLOOKUP(Medical_Examinations_2[[#This Row],[Customer ID]],Medical_Examinations!$1:$1048576,9,FALSE)</f>
        <v>1</v>
      </c>
    </row>
    <row r="1957" spans="1:8" x14ac:dyDescent="0.25">
      <c r="A1957" s="11" t="s">
        <v>1987</v>
      </c>
      <c r="H1957">
        <f>VLOOKUP(Medical_Examinations_2[[#This Row],[Customer ID]],Medical_Examinations!$1:$1048576,9,FALSE)</f>
        <v>1</v>
      </c>
    </row>
    <row r="1958" spans="1:8" x14ac:dyDescent="0.25">
      <c r="A1958" s="10" t="s">
        <v>1988</v>
      </c>
      <c r="H1958" t="str">
        <f>VLOOKUP(Medical_Examinations_2[[#This Row],[Customer ID]],Medical_Examinations!$1:$1048576,9,FALSE)</f>
        <v>No major surgery</v>
      </c>
    </row>
    <row r="1959" spans="1:8" x14ac:dyDescent="0.25">
      <c r="A1959" s="11" t="s">
        <v>1989</v>
      </c>
      <c r="H1959">
        <f>VLOOKUP(Medical_Examinations_2[[#This Row],[Customer ID]],Medical_Examinations!$1:$1048576,9,FALSE)</f>
        <v>1</v>
      </c>
    </row>
    <row r="1960" spans="1:8" x14ac:dyDescent="0.25">
      <c r="A1960" s="10" t="s">
        <v>1990</v>
      </c>
      <c r="H1960">
        <f>VLOOKUP(Medical_Examinations_2[[#This Row],[Customer ID]],Medical_Examinations!$1:$1048576,9,FALSE)</f>
        <v>1</v>
      </c>
    </row>
    <row r="1961" spans="1:8" x14ac:dyDescent="0.25">
      <c r="A1961" s="11" t="s">
        <v>1991</v>
      </c>
      <c r="H1961" t="str">
        <f>VLOOKUP(Medical_Examinations_2[[#This Row],[Customer ID]],Medical_Examinations!$1:$1048576,9,FALSE)</f>
        <v>No major surgery</v>
      </c>
    </row>
    <row r="1962" spans="1:8" x14ac:dyDescent="0.25">
      <c r="A1962" s="10" t="s">
        <v>1992</v>
      </c>
      <c r="H1962">
        <f>VLOOKUP(Medical_Examinations_2[[#This Row],[Customer ID]],Medical_Examinations!$1:$1048576,9,FALSE)</f>
        <v>1</v>
      </c>
    </row>
    <row r="1963" spans="1:8" x14ac:dyDescent="0.25">
      <c r="A1963" s="11" t="s">
        <v>1993</v>
      </c>
      <c r="H1963">
        <f>VLOOKUP(Medical_Examinations_2[[#This Row],[Customer ID]],Medical_Examinations!$1:$1048576,9,FALSE)</f>
        <v>1</v>
      </c>
    </row>
    <row r="1964" spans="1:8" x14ac:dyDescent="0.25">
      <c r="A1964" s="10" t="s">
        <v>1994</v>
      </c>
      <c r="H1964">
        <f>VLOOKUP(Medical_Examinations_2[[#This Row],[Customer ID]],Medical_Examinations!$1:$1048576,9,FALSE)</f>
        <v>1</v>
      </c>
    </row>
    <row r="1965" spans="1:8" x14ac:dyDescent="0.25">
      <c r="A1965" s="11" t="s">
        <v>1995</v>
      </c>
      <c r="H1965">
        <f>VLOOKUP(Medical_Examinations_2[[#This Row],[Customer ID]],Medical_Examinations!$1:$1048576,9,FALSE)</f>
        <v>1</v>
      </c>
    </row>
    <row r="1966" spans="1:8" x14ac:dyDescent="0.25">
      <c r="A1966" s="10" t="s">
        <v>1996</v>
      </c>
      <c r="H1966" t="str">
        <f>VLOOKUP(Medical_Examinations_2[[#This Row],[Customer ID]],Medical_Examinations!$1:$1048576,9,FALSE)</f>
        <v>No major surgery</v>
      </c>
    </row>
    <row r="1967" spans="1:8" x14ac:dyDescent="0.25">
      <c r="A1967" s="11" t="s">
        <v>1997</v>
      </c>
      <c r="H1967" t="str">
        <f>VLOOKUP(Medical_Examinations_2[[#This Row],[Customer ID]],Medical_Examinations!$1:$1048576,9,FALSE)</f>
        <v>No major surgery</v>
      </c>
    </row>
    <row r="1968" spans="1:8" x14ac:dyDescent="0.25">
      <c r="A1968" s="10" t="s">
        <v>1998</v>
      </c>
      <c r="H1968" t="str">
        <f>VLOOKUP(Medical_Examinations_2[[#This Row],[Customer ID]],Medical_Examinations!$1:$1048576,9,FALSE)</f>
        <v>No major surgery</v>
      </c>
    </row>
    <row r="1969" spans="1:8" x14ac:dyDescent="0.25">
      <c r="A1969" s="11" t="s">
        <v>1999</v>
      </c>
      <c r="H1969">
        <f>VLOOKUP(Medical_Examinations_2[[#This Row],[Customer ID]],Medical_Examinations!$1:$1048576,9,FALSE)</f>
        <v>1</v>
      </c>
    </row>
    <row r="1970" spans="1:8" x14ac:dyDescent="0.25">
      <c r="A1970" s="10" t="s">
        <v>2000</v>
      </c>
      <c r="H1970">
        <f>VLOOKUP(Medical_Examinations_2[[#This Row],[Customer ID]],Medical_Examinations!$1:$1048576,9,FALSE)</f>
        <v>1</v>
      </c>
    </row>
    <row r="1971" spans="1:8" x14ac:dyDescent="0.25">
      <c r="A1971" s="11" t="s">
        <v>2001</v>
      </c>
      <c r="H1971">
        <f>VLOOKUP(Medical_Examinations_2[[#This Row],[Customer ID]],Medical_Examinations!$1:$1048576,9,FALSE)</f>
        <v>1</v>
      </c>
    </row>
    <row r="1972" spans="1:8" x14ac:dyDescent="0.25">
      <c r="A1972" s="10" t="s">
        <v>2002</v>
      </c>
      <c r="H1972">
        <f>VLOOKUP(Medical_Examinations_2[[#This Row],[Customer ID]],Medical_Examinations!$1:$1048576,9,FALSE)</f>
        <v>1</v>
      </c>
    </row>
    <row r="1973" spans="1:8" x14ac:dyDescent="0.25">
      <c r="A1973" s="11" t="s">
        <v>2003</v>
      </c>
      <c r="H1973">
        <f>VLOOKUP(Medical_Examinations_2[[#This Row],[Customer ID]],Medical_Examinations!$1:$1048576,9,FALSE)</f>
        <v>2</v>
      </c>
    </row>
    <row r="1974" spans="1:8" x14ac:dyDescent="0.25">
      <c r="A1974" s="10" t="s">
        <v>2004</v>
      </c>
      <c r="H1974">
        <f>VLOOKUP(Medical_Examinations_2[[#This Row],[Customer ID]],Medical_Examinations!$1:$1048576,9,FALSE)</f>
        <v>1</v>
      </c>
    </row>
    <row r="1975" spans="1:8" x14ac:dyDescent="0.25">
      <c r="A1975" s="11" t="s">
        <v>2005</v>
      </c>
      <c r="H1975" t="str">
        <f>VLOOKUP(Medical_Examinations_2[[#This Row],[Customer ID]],Medical_Examinations!$1:$1048576,9,FALSE)</f>
        <v>No major surgery</v>
      </c>
    </row>
    <row r="1976" spans="1:8" x14ac:dyDescent="0.25">
      <c r="A1976" s="10" t="s">
        <v>2006</v>
      </c>
      <c r="H1976" t="str">
        <f>VLOOKUP(Medical_Examinations_2[[#This Row],[Customer ID]],Medical_Examinations!$1:$1048576,9,FALSE)</f>
        <v>No major surgery</v>
      </c>
    </row>
    <row r="1977" spans="1:8" x14ac:dyDescent="0.25">
      <c r="A1977" s="11" t="s">
        <v>2007</v>
      </c>
      <c r="H1977">
        <f>VLOOKUP(Medical_Examinations_2[[#This Row],[Customer ID]],Medical_Examinations!$1:$1048576,9,FALSE)</f>
        <v>1</v>
      </c>
    </row>
    <row r="1978" spans="1:8" x14ac:dyDescent="0.25">
      <c r="A1978" s="10" t="s">
        <v>2008</v>
      </c>
      <c r="H1978" t="str">
        <f>VLOOKUP(Medical_Examinations_2[[#This Row],[Customer ID]],Medical_Examinations!$1:$1048576,9,FALSE)</f>
        <v>No major surgery</v>
      </c>
    </row>
    <row r="1979" spans="1:8" x14ac:dyDescent="0.25">
      <c r="A1979" s="11" t="s">
        <v>2009</v>
      </c>
      <c r="H1979" t="str">
        <f>VLOOKUP(Medical_Examinations_2[[#This Row],[Customer ID]],Medical_Examinations!$1:$1048576,9,FALSE)</f>
        <v>No major surgery</v>
      </c>
    </row>
    <row r="1980" spans="1:8" x14ac:dyDescent="0.25">
      <c r="A1980" s="10" t="s">
        <v>2010</v>
      </c>
      <c r="H1980" t="str">
        <f>VLOOKUP(Medical_Examinations_2[[#This Row],[Customer ID]],Medical_Examinations!$1:$1048576,9,FALSE)</f>
        <v>No major surgery</v>
      </c>
    </row>
    <row r="1981" spans="1:8" x14ac:dyDescent="0.25">
      <c r="A1981" s="11" t="s">
        <v>2011</v>
      </c>
      <c r="H1981" t="str">
        <f>VLOOKUP(Medical_Examinations_2[[#This Row],[Customer ID]],Medical_Examinations!$1:$1048576,9,FALSE)</f>
        <v>No major surgery</v>
      </c>
    </row>
    <row r="1982" spans="1:8" x14ac:dyDescent="0.25">
      <c r="A1982" s="10" t="s">
        <v>2012</v>
      </c>
      <c r="H1982">
        <f>VLOOKUP(Medical_Examinations_2[[#This Row],[Customer ID]],Medical_Examinations!$1:$1048576,9,FALSE)</f>
        <v>1</v>
      </c>
    </row>
    <row r="1983" spans="1:8" x14ac:dyDescent="0.25">
      <c r="A1983" s="11" t="s">
        <v>2013</v>
      </c>
      <c r="H1983">
        <f>VLOOKUP(Medical_Examinations_2[[#This Row],[Customer ID]],Medical_Examinations!$1:$1048576,9,FALSE)</f>
        <v>1</v>
      </c>
    </row>
    <row r="1984" spans="1:8" x14ac:dyDescent="0.25">
      <c r="A1984" s="10" t="s">
        <v>2014</v>
      </c>
      <c r="H1984">
        <f>VLOOKUP(Medical_Examinations_2[[#This Row],[Customer ID]],Medical_Examinations!$1:$1048576,9,FALSE)</f>
        <v>1</v>
      </c>
    </row>
    <row r="1985" spans="1:8" x14ac:dyDescent="0.25">
      <c r="A1985" s="11" t="s">
        <v>2015</v>
      </c>
      <c r="H1985" t="str">
        <f>VLOOKUP(Medical_Examinations_2[[#This Row],[Customer ID]],Medical_Examinations!$1:$1048576,9,FALSE)</f>
        <v>No major surgery</v>
      </c>
    </row>
    <row r="1986" spans="1:8" x14ac:dyDescent="0.25">
      <c r="A1986" s="10" t="s">
        <v>2016</v>
      </c>
      <c r="H1986">
        <f>VLOOKUP(Medical_Examinations_2[[#This Row],[Customer ID]],Medical_Examinations!$1:$1048576,9,FALSE)</f>
        <v>1</v>
      </c>
    </row>
    <row r="1987" spans="1:8" x14ac:dyDescent="0.25">
      <c r="A1987" s="11" t="s">
        <v>2017</v>
      </c>
      <c r="H1987">
        <f>VLOOKUP(Medical_Examinations_2[[#This Row],[Customer ID]],Medical_Examinations!$1:$1048576,9,FALSE)</f>
        <v>1</v>
      </c>
    </row>
    <row r="1988" spans="1:8" x14ac:dyDescent="0.25">
      <c r="A1988" s="10" t="s">
        <v>2018</v>
      </c>
      <c r="H1988">
        <f>VLOOKUP(Medical_Examinations_2[[#This Row],[Customer ID]],Medical_Examinations!$1:$1048576,9,FALSE)</f>
        <v>1</v>
      </c>
    </row>
    <row r="1989" spans="1:8" x14ac:dyDescent="0.25">
      <c r="A1989" s="11" t="s">
        <v>2019</v>
      </c>
      <c r="H1989" t="str">
        <f>VLOOKUP(Medical_Examinations_2[[#This Row],[Customer ID]],Medical_Examinations!$1:$1048576,9,FALSE)</f>
        <v>No major surgery</v>
      </c>
    </row>
    <row r="1990" spans="1:8" x14ac:dyDescent="0.25">
      <c r="A1990" s="10" t="s">
        <v>2020</v>
      </c>
      <c r="H1990">
        <f>VLOOKUP(Medical_Examinations_2[[#This Row],[Customer ID]],Medical_Examinations!$1:$1048576,9,FALSE)</f>
        <v>1</v>
      </c>
    </row>
    <row r="1991" spans="1:8" x14ac:dyDescent="0.25">
      <c r="A1991" s="11" t="s">
        <v>2021</v>
      </c>
      <c r="H1991" t="str">
        <f>VLOOKUP(Medical_Examinations_2[[#This Row],[Customer ID]],Medical_Examinations!$1:$1048576,9,FALSE)</f>
        <v>No major surgery</v>
      </c>
    </row>
    <row r="1992" spans="1:8" x14ac:dyDescent="0.25">
      <c r="A1992" s="10" t="s">
        <v>2022</v>
      </c>
      <c r="H1992" t="str">
        <f>VLOOKUP(Medical_Examinations_2[[#This Row],[Customer ID]],Medical_Examinations!$1:$1048576,9,FALSE)</f>
        <v>No major surgery</v>
      </c>
    </row>
    <row r="1993" spans="1:8" x14ac:dyDescent="0.25">
      <c r="A1993" s="11" t="s">
        <v>2023</v>
      </c>
      <c r="H1993" t="str">
        <f>VLOOKUP(Medical_Examinations_2[[#This Row],[Customer ID]],Medical_Examinations!$1:$1048576,9,FALSE)</f>
        <v>No major surgery</v>
      </c>
    </row>
    <row r="1994" spans="1:8" x14ac:dyDescent="0.25">
      <c r="A1994" s="10" t="s">
        <v>2024</v>
      </c>
      <c r="H1994" t="str">
        <f>VLOOKUP(Medical_Examinations_2[[#This Row],[Customer ID]],Medical_Examinations!$1:$1048576,9,FALSE)</f>
        <v>No major surgery</v>
      </c>
    </row>
    <row r="1995" spans="1:8" x14ac:dyDescent="0.25">
      <c r="A1995" s="11" t="s">
        <v>2025</v>
      </c>
      <c r="H1995">
        <f>VLOOKUP(Medical_Examinations_2[[#This Row],[Customer ID]],Medical_Examinations!$1:$1048576,9,FALSE)</f>
        <v>1</v>
      </c>
    </row>
    <row r="1996" spans="1:8" x14ac:dyDescent="0.25">
      <c r="A1996" s="10" t="s">
        <v>2026</v>
      </c>
      <c r="H1996">
        <f>VLOOKUP(Medical_Examinations_2[[#This Row],[Customer ID]],Medical_Examinations!$1:$1048576,9,FALSE)</f>
        <v>1</v>
      </c>
    </row>
    <row r="1997" spans="1:8" x14ac:dyDescent="0.25">
      <c r="A1997" s="11" t="s">
        <v>2027</v>
      </c>
      <c r="H1997">
        <f>VLOOKUP(Medical_Examinations_2[[#This Row],[Customer ID]],Medical_Examinations!$1:$1048576,9,FALSE)</f>
        <v>1</v>
      </c>
    </row>
    <row r="1998" spans="1:8" x14ac:dyDescent="0.25">
      <c r="A1998" s="10" t="s">
        <v>2028</v>
      </c>
      <c r="H1998">
        <f>VLOOKUP(Medical_Examinations_2[[#This Row],[Customer ID]],Medical_Examinations!$1:$1048576,9,FALSE)</f>
        <v>1</v>
      </c>
    </row>
    <row r="1999" spans="1:8" x14ac:dyDescent="0.25">
      <c r="A1999" s="11" t="s">
        <v>2029</v>
      </c>
      <c r="H1999">
        <f>VLOOKUP(Medical_Examinations_2[[#This Row],[Customer ID]],Medical_Examinations!$1:$1048576,9,FALSE)</f>
        <v>1</v>
      </c>
    </row>
    <row r="2000" spans="1:8" x14ac:dyDescent="0.25">
      <c r="A2000" s="10" t="s">
        <v>2030</v>
      </c>
      <c r="H2000" t="str">
        <f>VLOOKUP(Medical_Examinations_2[[#This Row],[Customer ID]],Medical_Examinations!$1:$1048576,9,FALSE)</f>
        <v>No major surgery</v>
      </c>
    </row>
    <row r="2001" spans="1:8" x14ac:dyDescent="0.25">
      <c r="A2001" s="11" t="s">
        <v>2031</v>
      </c>
      <c r="H2001" t="str">
        <f>VLOOKUP(Medical_Examinations_2[[#This Row],[Customer ID]],Medical_Examinations!$1:$1048576,9,FALSE)</f>
        <v>No major surgery</v>
      </c>
    </row>
    <row r="2002" spans="1:8" x14ac:dyDescent="0.25">
      <c r="A2002" s="10" t="s">
        <v>2032</v>
      </c>
      <c r="H2002">
        <f>VLOOKUP(Medical_Examinations_2[[#This Row],[Customer ID]],Medical_Examinations!$1:$1048576,9,FALSE)</f>
        <v>2</v>
      </c>
    </row>
    <row r="2003" spans="1:8" x14ac:dyDescent="0.25">
      <c r="A2003" s="11" t="s">
        <v>2033</v>
      </c>
      <c r="H2003" t="str">
        <f>VLOOKUP(Medical_Examinations_2[[#This Row],[Customer ID]],Medical_Examinations!$1:$1048576,9,FALSE)</f>
        <v>No major surgery</v>
      </c>
    </row>
    <row r="2004" spans="1:8" x14ac:dyDescent="0.25">
      <c r="A2004" s="10" t="s">
        <v>2034</v>
      </c>
      <c r="H2004" t="str">
        <f>VLOOKUP(Medical_Examinations_2[[#This Row],[Customer ID]],Medical_Examinations!$1:$1048576,9,FALSE)</f>
        <v>No major surgery</v>
      </c>
    </row>
    <row r="2005" spans="1:8" x14ac:dyDescent="0.25">
      <c r="A2005" s="11" t="s">
        <v>2035</v>
      </c>
      <c r="H2005" t="str">
        <f>VLOOKUP(Medical_Examinations_2[[#This Row],[Customer ID]],Medical_Examinations!$1:$1048576,9,FALSE)</f>
        <v>No major surgery</v>
      </c>
    </row>
    <row r="2006" spans="1:8" x14ac:dyDescent="0.25">
      <c r="A2006" s="10" t="s">
        <v>2036</v>
      </c>
      <c r="H2006" t="str">
        <f>VLOOKUP(Medical_Examinations_2[[#This Row],[Customer ID]],Medical_Examinations!$1:$1048576,9,FALSE)</f>
        <v>No major surgery</v>
      </c>
    </row>
    <row r="2007" spans="1:8" x14ac:dyDescent="0.25">
      <c r="A2007" s="11" t="s">
        <v>2037</v>
      </c>
      <c r="H2007" t="str">
        <f>VLOOKUP(Medical_Examinations_2[[#This Row],[Customer ID]],Medical_Examinations!$1:$1048576,9,FALSE)</f>
        <v>No major surgery</v>
      </c>
    </row>
    <row r="2008" spans="1:8" x14ac:dyDescent="0.25">
      <c r="A2008" s="10" t="s">
        <v>2038</v>
      </c>
      <c r="H2008">
        <f>VLOOKUP(Medical_Examinations_2[[#This Row],[Customer ID]],Medical_Examinations!$1:$1048576,9,FALSE)</f>
        <v>1</v>
      </c>
    </row>
    <row r="2009" spans="1:8" x14ac:dyDescent="0.25">
      <c r="A2009" s="11" t="s">
        <v>2039</v>
      </c>
      <c r="H2009" t="str">
        <f>VLOOKUP(Medical_Examinations_2[[#This Row],[Customer ID]],Medical_Examinations!$1:$1048576,9,FALSE)</f>
        <v>No major surgery</v>
      </c>
    </row>
    <row r="2010" spans="1:8" x14ac:dyDescent="0.25">
      <c r="A2010" s="10" t="s">
        <v>2040</v>
      </c>
      <c r="H2010" t="str">
        <f>VLOOKUP(Medical_Examinations_2[[#This Row],[Customer ID]],Medical_Examinations!$1:$1048576,9,FALSE)</f>
        <v>No major surgery</v>
      </c>
    </row>
    <row r="2011" spans="1:8" x14ac:dyDescent="0.25">
      <c r="A2011" s="11" t="s">
        <v>2041</v>
      </c>
      <c r="H2011">
        <f>VLOOKUP(Medical_Examinations_2[[#This Row],[Customer ID]],Medical_Examinations!$1:$1048576,9,FALSE)</f>
        <v>1</v>
      </c>
    </row>
    <row r="2012" spans="1:8" x14ac:dyDescent="0.25">
      <c r="A2012" s="10" t="s">
        <v>2042</v>
      </c>
      <c r="H2012" t="str">
        <f>VLOOKUP(Medical_Examinations_2[[#This Row],[Customer ID]],Medical_Examinations!$1:$1048576,9,FALSE)</f>
        <v>No major surgery</v>
      </c>
    </row>
    <row r="2013" spans="1:8" x14ac:dyDescent="0.25">
      <c r="A2013" s="11" t="s">
        <v>2043</v>
      </c>
      <c r="H2013">
        <f>VLOOKUP(Medical_Examinations_2[[#This Row],[Customer ID]],Medical_Examinations!$1:$1048576,9,FALSE)</f>
        <v>1</v>
      </c>
    </row>
    <row r="2014" spans="1:8" x14ac:dyDescent="0.25">
      <c r="A2014" s="10" t="s">
        <v>2044</v>
      </c>
      <c r="H2014" t="str">
        <f>VLOOKUP(Medical_Examinations_2[[#This Row],[Customer ID]],Medical_Examinations!$1:$1048576,9,FALSE)</f>
        <v>No major surgery</v>
      </c>
    </row>
    <row r="2015" spans="1:8" x14ac:dyDescent="0.25">
      <c r="A2015" s="11" t="s">
        <v>2045</v>
      </c>
      <c r="H2015" t="str">
        <f>VLOOKUP(Medical_Examinations_2[[#This Row],[Customer ID]],Medical_Examinations!$1:$1048576,9,FALSE)</f>
        <v>No major surgery</v>
      </c>
    </row>
    <row r="2016" spans="1:8" x14ac:dyDescent="0.25">
      <c r="A2016" s="10" t="s">
        <v>2046</v>
      </c>
      <c r="H2016" t="str">
        <f>VLOOKUP(Medical_Examinations_2[[#This Row],[Customer ID]],Medical_Examinations!$1:$1048576,9,FALSE)</f>
        <v>No major surgery</v>
      </c>
    </row>
    <row r="2017" spans="1:8" x14ac:dyDescent="0.25">
      <c r="A2017" s="11" t="s">
        <v>2047</v>
      </c>
      <c r="H2017">
        <f>VLOOKUP(Medical_Examinations_2[[#This Row],[Customer ID]],Medical_Examinations!$1:$1048576,9,FALSE)</f>
        <v>1</v>
      </c>
    </row>
    <row r="2018" spans="1:8" x14ac:dyDescent="0.25">
      <c r="A2018" s="10" t="s">
        <v>2048</v>
      </c>
      <c r="H2018">
        <f>VLOOKUP(Medical_Examinations_2[[#This Row],[Customer ID]],Medical_Examinations!$1:$1048576,9,FALSE)</f>
        <v>1</v>
      </c>
    </row>
    <row r="2019" spans="1:8" x14ac:dyDescent="0.25">
      <c r="A2019" s="11" t="s">
        <v>2049</v>
      </c>
      <c r="H2019">
        <f>VLOOKUP(Medical_Examinations_2[[#This Row],[Customer ID]],Medical_Examinations!$1:$1048576,9,FALSE)</f>
        <v>1</v>
      </c>
    </row>
    <row r="2020" spans="1:8" x14ac:dyDescent="0.25">
      <c r="A2020" s="10" t="s">
        <v>2050</v>
      </c>
      <c r="H2020">
        <f>VLOOKUP(Medical_Examinations_2[[#This Row],[Customer ID]],Medical_Examinations!$1:$1048576,9,FALSE)</f>
        <v>1</v>
      </c>
    </row>
    <row r="2021" spans="1:8" x14ac:dyDescent="0.25">
      <c r="A2021" s="11" t="s">
        <v>2051</v>
      </c>
      <c r="H2021">
        <f>VLOOKUP(Medical_Examinations_2[[#This Row],[Customer ID]],Medical_Examinations!$1:$1048576,9,FALSE)</f>
        <v>1</v>
      </c>
    </row>
    <row r="2022" spans="1:8" x14ac:dyDescent="0.25">
      <c r="A2022" s="10" t="s">
        <v>2052</v>
      </c>
      <c r="H2022" t="str">
        <f>VLOOKUP(Medical_Examinations_2[[#This Row],[Customer ID]],Medical_Examinations!$1:$1048576,9,FALSE)</f>
        <v>No major surgery</v>
      </c>
    </row>
    <row r="2023" spans="1:8" x14ac:dyDescent="0.25">
      <c r="A2023" s="11" t="s">
        <v>2053</v>
      </c>
      <c r="H2023" t="str">
        <f>VLOOKUP(Medical_Examinations_2[[#This Row],[Customer ID]],Medical_Examinations!$1:$1048576,9,FALSE)</f>
        <v>No major surgery</v>
      </c>
    </row>
    <row r="2024" spans="1:8" x14ac:dyDescent="0.25">
      <c r="A2024" s="10" t="s">
        <v>2054</v>
      </c>
      <c r="H2024">
        <f>VLOOKUP(Medical_Examinations_2[[#This Row],[Customer ID]],Medical_Examinations!$1:$1048576,9,FALSE)</f>
        <v>1</v>
      </c>
    </row>
    <row r="2025" spans="1:8" x14ac:dyDescent="0.25">
      <c r="A2025" s="11" t="s">
        <v>2055</v>
      </c>
      <c r="H2025">
        <f>VLOOKUP(Medical_Examinations_2[[#This Row],[Customer ID]],Medical_Examinations!$1:$1048576,9,FALSE)</f>
        <v>1</v>
      </c>
    </row>
    <row r="2026" spans="1:8" x14ac:dyDescent="0.25">
      <c r="A2026" s="10" t="s">
        <v>2056</v>
      </c>
      <c r="H2026" t="str">
        <f>VLOOKUP(Medical_Examinations_2[[#This Row],[Customer ID]],Medical_Examinations!$1:$1048576,9,FALSE)</f>
        <v>No major surgery</v>
      </c>
    </row>
    <row r="2027" spans="1:8" x14ac:dyDescent="0.25">
      <c r="A2027" s="11" t="s">
        <v>2057</v>
      </c>
      <c r="H2027" t="str">
        <f>VLOOKUP(Medical_Examinations_2[[#This Row],[Customer ID]],Medical_Examinations!$1:$1048576,9,FALSE)</f>
        <v>No major surgery</v>
      </c>
    </row>
    <row r="2028" spans="1:8" x14ac:dyDescent="0.25">
      <c r="A2028" s="10" t="s">
        <v>2058</v>
      </c>
      <c r="H2028">
        <f>VLOOKUP(Medical_Examinations_2[[#This Row],[Customer ID]],Medical_Examinations!$1:$1048576,9,FALSE)</f>
        <v>1</v>
      </c>
    </row>
    <row r="2029" spans="1:8" x14ac:dyDescent="0.25">
      <c r="A2029" s="11" t="s">
        <v>2059</v>
      </c>
      <c r="H2029" t="str">
        <f>VLOOKUP(Medical_Examinations_2[[#This Row],[Customer ID]],Medical_Examinations!$1:$1048576,9,FALSE)</f>
        <v>No major surgery</v>
      </c>
    </row>
    <row r="2030" spans="1:8" x14ac:dyDescent="0.25">
      <c r="A2030" s="10" t="s">
        <v>2060</v>
      </c>
      <c r="H2030" t="str">
        <f>VLOOKUP(Medical_Examinations_2[[#This Row],[Customer ID]],Medical_Examinations!$1:$1048576,9,FALSE)</f>
        <v>No major surgery</v>
      </c>
    </row>
    <row r="2031" spans="1:8" x14ac:dyDescent="0.25">
      <c r="A2031" s="11" t="s">
        <v>2061</v>
      </c>
      <c r="H2031" t="str">
        <f>VLOOKUP(Medical_Examinations_2[[#This Row],[Customer ID]],Medical_Examinations!$1:$1048576,9,FALSE)</f>
        <v>No major surgery</v>
      </c>
    </row>
    <row r="2032" spans="1:8" x14ac:dyDescent="0.25">
      <c r="A2032" s="10" t="s">
        <v>2062</v>
      </c>
      <c r="H2032">
        <f>VLOOKUP(Medical_Examinations_2[[#This Row],[Customer ID]],Medical_Examinations!$1:$1048576,9,FALSE)</f>
        <v>2</v>
      </c>
    </row>
    <row r="2033" spans="1:8" x14ac:dyDescent="0.25">
      <c r="A2033" s="11" t="s">
        <v>2063</v>
      </c>
      <c r="H2033" t="str">
        <f>VLOOKUP(Medical_Examinations_2[[#This Row],[Customer ID]],Medical_Examinations!$1:$1048576,9,FALSE)</f>
        <v>No major surgery</v>
      </c>
    </row>
    <row r="2034" spans="1:8" x14ac:dyDescent="0.25">
      <c r="A2034" s="10" t="s">
        <v>2064</v>
      </c>
      <c r="H2034">
        <f>VLOOKUP(Medical_Examinations_2[[#This Row],[Customer ID]],Medical_Examinations!$1:$1048576,9,FALSE)</f>
        <v>1</v>
      </c>
    </row>
    <row r="2035" spans="1:8" x14ac:dyDescent="0.25">
      <c r="A2035" s="11" t="s">
        <v>2065</v>
      </c>
      <c r="H2035">
        <f>VLOOKUP(Medical_Examinations_2[[#This Row],[Customer ID]],Medical_Examinations!$1:$1048576,9,FALSE)</f>
        <v>1</v>
      </c>
    </row>
    <row r="2036" spans="1:8" x14ac:dyDescent="0.25">
      <c r="A2036" s="10" t="s">
        <v>2066</v>
      </c>
      <c r="H2036">
        <f>VLOOKUP(Medical_Examinations_2[[#This Row],[Customer ID]],Medical_Examinations!$1:$1048576,9,FALSE)</f>
        <v>1</v>
      </c>
    </row>
    <row r="2037" spans="1:8" x14ac:dyDescent="0.25">
      <c r="A2037" s="11" t="s">
        <v>2067</v>
      </c>
      <c r="H2037">
        <f>VLOOKUP(Medical_Examinations_2[[#This Row],[Customer ID]],Medical_Examinations!$1:$1048576,9,FALSE)</f>
        <v>1</v>
      </c>
    </row>
    <row r="2038" spans="1:8" x14ac:dyDescent="0.25">
      <c r="A2038" s="10" t="s">
        <v>2068</v>
      </c>
      <c r="H2038">
        <f>VLOOKUP(Medical_Examinations_2[[#This Row],[Customer ID]],Medical_Examinations!$1:$1048576,9,FALSE)</f>
        <v>1</v>
      </c>
    </row>
    <row r="2039" spans="1:8" x14ac:dyDescent="0.25">
      <c r="A2039" s="11" t="s">
        <v>2069</v>
      </c>
      <c r="H2039">
        <f>VLOOKUP(Medical_Examinations_2[[#This Row],[Customer ID]],Medical_Examinations!$1:$1048576,9,FALSE)</f>
        <v>1</v>
      </c>
    </row>
    <row r="2040" spans="1:8" x14ac:dyDescent="0.25">
      <c r="A2040" s="10" t="s">
        <v>2070</v>
      </c>
      <c r="H2040">
        <f>VLOOKUP(Medical_Examinations_2[[#This Row],[Customer ID]],Medical_Examinations!$1:$1048576,9,FALSE)</f>
        <v>1</v>
      </c>
    </row>
    <row r="2041" spans="1:8" x14ac:dyDescent="0.25">
      <c r="A2041" s="11" t="s">
        <v>2071</v>
      </c>
      <c r="H2041">
        <f>VLOOKUP(Medical_Examinations_2[[#This Row],[Customer ID]],Medical_Examinations!$1:$1048576,9,FALSE)</f>
        <v>1</v>
      </c>
    </row>
    <row r="2042" spans="1:8" x14ac:dyDescent="0.25">
      <c r="A2042" s="10" t="s">
        <v>2072</v>
      </c>
      <c r="H2042" t="str">
        <f>VLOOKUP(Medical_Examinations_2[[#This Row],[Customer ID]],Medical_Examinations!$1:$1048576,9,FALSE)</f>
        <v>No major surgery</v>
      </c>
    </row>
    <row r="2043" spans="1:8" x14ac:dyDescent="0.25">
      <c r="A2043" s="11" t="s">
        <v>2073</v>
      </c>
      <c r="H2043" t="str">
        <f>VLOOKUP(Medical_Examinations_2[[#This Row],[Customer ID]],Medical_Examinations!$1:$1048576,9,FALSE)</f>
        <v>No major surgery</v>
      </c>
    </row>
    <row r="2044" spans="1:8" x14ac:dyDescent="0.25">
      <c r="A2044" s="10" t="s">
        <v>2074</v>
      </c>
      <c r="H2044">
        <f>VLOOKUP(Medical_Examinations_2[[#This Row],[Customer ID]],Medical_Examinations!$1:$1048576,9,FALSE)</f>
        <v>1</v>
      </c>
    </row>
    <row r="2045" spans="1:8" x14ac:dyDescent="0.25">
      <c r="A2045" s="11" t="s">
        <v>2075</v>
      </c>
      <c r="H2045">
        <f>VLOOKUP(Medical_Examinations_2[[#This Row],[Customer ID]],Medical_Examinations!$1:$1048576,9,FALSE)</f>
        <v>1</v>
      </c>
    </row>
    <row r="2046" spans="1:8" x14ac:dyDescent="0.25">
      <c r="A2046" s="10" t="s">
        <v>2076</v>
      </c>
      <c r="H2046">
        <f>VLOOKUP(Medical_Examinations_2[[#This Row],[Customer ID]],Medical_Examinations!$1:$1048576,9,FALSE)</f>
        <v>1</v>
      </c>
    </row>
    <row r="2047" spans="1:8" x14ac:dyDescent="0.25">
      <c r="A2047" s="11" t="s">
        <v>2077</v>
      </c>
      <c r="H2047">
        <f>VLOOKUP(Medical_Examinations_2[[#This Row],[Customer ID]],Medical_Examinations!$1:$1048576,9,FALSE)</f>
        <v>1</v>
      </c>
    </row>
    <row r="2048" spans="1:8" x14ac:dyDescent="0.25">
      <c r="A2048" s="10" t="s">
        <v>2078</v>
      </c>
      <c r="H2048">
        <f>VLOOKUP(Medical_Examinations_2[[#This Row],[Customer ID]],Medical_Examinations!$1:$1048576,9,FALSE)</f>
        <v>1</v>
      </c>
    </row>
    <row r="2049" spans="1:8" x14ac:dyDescent="0.25">
      <c r="A2049" s="11" t="s">
        <v>2079</v>
      </c>
      <c r="H2049">
        <f>VLOOKUP(Medical_Examinations_2[[#This Row],[Customer ID]],Medical_Examinations!$1:$1048576,9,FALSE)</f>
        <v>1</v>
      </c>
    </row>
    <row r="2050" spans="1:8" x14ac:dyDescent="0.25">
      <c r="A2050" s="10" t="s">
        <v>2080</v>
      </c>
      <c r="H2050">
        <f>VLOOKUP(Medical_Examinations_2[[#This Row],[Customer ID]],Medical_Examinations!$1:$1048576,9,FALSE)</f>
        <v>1</v>
      </c>
    </row>
    <row r="2051" spans="1:8" x14ac:dyDescent="0.25">
      <c r="A2051" s="11" t="s">
        <v>2081</v>
      </c>
      <c r="H2051">
        <f>VLOOKUP(Medical_Examinations_2[[#This Row],[Customer ID]],Medical_Examinations!$1:$1048576,9,FALSE)</f>
        <v>1</v>
      </c>
    </row>
    <row r="2052" spans="1:8" x14ac:dyDescent="0.25">
      <c r="A2052" s="10" t="s">
        <v>2082</v>
      </c>
      <c r="H2052">
        <f>VLOOKUP(Medical_Examinations_2[[#This Row],[Customer ID]],Medical_Examinations!$1:$1048576,9,FALSE)</f>
        <v>1</v>
      </c>
    </row>
    <row r="2053" spans="1:8" x14ac:dyDescent="0.25">
      <c r="A2053" s="11" t="s">
        <v>2083</v>
      </c>
      <c r="H2053">
        <f>VLOOKUP(Medical_Examinations_2[[#This Row],[Customer ID]],Medical_Examinations!$1:$1048576,9,FALSE)</f>
        <v>1</v>
      </c>
    </row>
    <row r="2054" spans="1:8" x14ac:dyDescent="0.25">
      <c r="A2054" s="10" t="s">
        <v>2084</v>
      </c>
      <c r="H2054">
        <f>VLOOKUP(Medical_Examinations_2[[#This Row],[Customer ID]],Medical_Examinations!$1:$1048576,9,FALSE)</f>
        <v>1</v>
      </c>
    </row>
    <row r="2055" spans="1:8" x14ac:dyDescent="0.25">
      <c r="A2055" s="11" t="s">
        <v>2085</v>
      </c>
      <c r="H2055">
        <f>VLOOKUP(Medical_Examinations_2[[#This Row],[Customer ID]],Medical_Examinations!$1:$1048576,9,FALSE)</f>
        <v>1</v>
      </c>
    </row>
    <row r="2056" spans="1:8" x14ac:dyDescent="0.25">
      <c r="A2056" s="10" t="s">
        <v>2086</v>
      </c>
      <c r="H2056">
        <f>VLOOKUP(Medical_Examinations_2[[#This Row],[Customer ID]],Medical_Examinations!$1:$1048576,9,FALSE)</f>
        <v>1</v>
      </c>
    </row>
    <row r="2057" spans="1:8" x14ac:dyDescent="0.25">
      <c r="A2057" s="11" t="s">
        <v>2087</v>
      </c>
      <c r="H2057" t="str">
        <f>VLOOKUP(Medical_Examinations_2[[#This Row],[Customer ID]],Medical_Examinations!$1:$1048576,9,FALSE)</f>
        <v>No major surgery</v>
      </c>
    </row>
    <row r="2058" spans="1:8" x14ac:dyDescent="0.25">
      <c r="A2058" s="10" t="s">
        <v>2088</v>
      </c>
      <c r="H2058" t="str">
        <f>VLOOKUP(Medical_Examinations_2[[#This Row],[Customer ID]],Medical_Examinations!$1:$1048576,9,FALSE)</f>
        <v>No major surgery</v>
      </c>
    </row>
    <row r="2059" spans="1:8" x14ac:dyDescent="0.25">
      <c r="A2059" s="11" t="s">
        <v>2089</v>
      </c>
      <c r="H2059" t="str">
        <f>VLOOKUP(Medical_Examinations_2[[#This Row],[Customer ID]],Medical_Examinations!$1:$1048576,9,FALSE)</f>
        <v>No major surgery</v>
      </c>
    </row>
    <row r="2060" spans="1:8" x14ac:dyDescent="0.25">
      <c r="A2060" s="10" t="s">
        <v>2090</v>
      </c>
      <c r="H2060" t="str">
        <f>VLOOKUP(Medical_Examinations_2[[#This Row],[Customer ID]],Medical_Examinations!$1:$1048576,9,FALSE)</f>
        <v>No major surgery</v>
      </c>
    </row>
    <row r="2061" spans="1:8" x14ac:dyDescent="0.25">
      <c r="A2061" s="11" t="s">
        <v>2091</v>
      </c>
      <c r="H2061" t="str">
        <f>VLOOKUP(Medical_Examinations_2[[#This Row],[Customer ID]],Medical_Examinations!$1:$1048576,9,FALSE)</f>
        <v>No major surgery</v>
      </c>
    </row>
    <row r="2062" spans="1:8" x14ac:dyDescent="0.25">
      <c r="A2062" s="10" t="s">
        <v>2092</v>
      </c>
      <c r="H2062">
        <f>VLOOKUP(Medical_Examinations_2[[#This Row],[Customer ID]],Medical_Examinations!$1:$1048576,9,FALSE)</f>
        <v>1</v>
      </c>
    </row>
    <row r="2063" spans="1:8" x14ac:dyDescent="0.25">
      <c r="A2063" s="11" t="s">
        <v>2093</v>
      </c>
      <c r="H2063">
        <f>VLOOKUP(Medical_Examinations_2[[#This Row],[Customer ID]],Medical_Examinations!$1:$1048576,9,FALSE)</f>
        <v>1</v>
      </c>
    </row>
    <row r="2064" spans="1:8" x14ac:dyDescent="0.25">
      <c r="A2064" s="10" t="s">
        <v>2094</v>
      </c>
      <c r="H2064">
        <f>VLOOKUP(Medical_Examinations_2[[#This Row],[Customer ID]],Medical_Examinations!$1:$1048576,9,FALSE)</f>
        <v>1</v>
      </c>
    </row>
    <row r="2065" spans="1:8" x14ac:dyDescent="0.25">
      <c r="A2065" s="11" t="s">
        <v>2095</v>
      </c>
      <c r="H2065" t="str">
        <f>VLOOKUP(Medical_Examinations_2[[#This Row],[Customer ID]],Medical_Examinations!$1:$1048576,9,FALSE)</f>
        <v>No major surgery</v>
      </c>
    </row>
    <row r="2066" spans="1:8" x14ac:dyDescent="0.25">
      <c r="A2066" s="10" t="s">
        <v>2096</v>
      </c>
      <c r="H2066" t="str">
        <f>VLOOKUP(Medical_Examinations_2[[#This Row],[Customer ID]],Medical_Examinations!$1:$1048576,9,FALSE)</f>
        <v>No major surgery</v>
      </c>
    </row>
    <row r="2067" spans="1:8" x14ac:dyDescent="0.25">
      <c r="A2067" s="11" t="s">
        <v>2097</v>
      </c>
      <c r="H2067" t="str">
        <f>VLOOKUP(Medical_Examinations_2[[#This Row],[Customer ID]],Medical_Examinations!$1:$1048576,9,FALSE)</f>
        <v>No major surgery</v>
      </c>
    </row>
    <row r="2068" spans="1:8" x14ac:dyDescent="0.25">
      <c r="A2068" s="10" t="s">
        <v>2098</v>
      </c>
      <c r="H2068" t="str">
        <f>VLOOKUP(Medical_Examinations_2[[#This Row],[Customer ID]],Medical_Examinations!$1:$1048576,9,FALSE)</f>
        <v>No major surgery</v>
      </c>
    </row>
    <row r="2069" spans="1:8" x14ac:dyDescent="0.25">
      <c r="A2069" s="11" t="s">
        <v>2099</v>
      </c>
      <c r="H2069" t="str">
        <f>VLOOKUP(Medical_Examinations_2[[#This Row],[Customer ID]],Medical_Examinations!$1:$1048576,9,FALSE)</f>
        <v>No major surgery</v>
      </c>
    </row>
    <row r="2070" spans="1:8" x14ac:dyDescent="0.25">
      <c r="A2070" s="10" t="s">
        <v>2100</v>
      </c>
      <c r="H2070" t="str">
        <f>VLOOKUP(Medical_Examinations_2[[#This Row],[Customer ID]],Medical_Examinations!$1:$1048576,9,FALSE)</f>
        <v>No major surgery</v>
      </c>
    </row>
    <row r="2071" spans="1:8" x14ac:dyDescent="0.25">
      <c r="A2071" s="11" t="s">
        <v>2101</v>
      </c>
      <c r="H2071" t="str">
        <f>VLOOKUP(Medical_Examinations_2[[#This Row],[Customer ID]],Medical_Examinations!$1:$1048576,9,FALSE)</f>
        <v>No major surgery</v>
      </c>
    </row>
    <row r="2072" spans="1:8" x14ac:dyDescent="0.25">
      <c r="A2072" s="10" t="s">
        <v>2102</v>
      </c>
      <c r="H2072">
        <f>VLOOKUP(Medical_Examinations_2[[#This Row],[Customer ID]],Medical_Examinations!$1:$1048576,9,FALSE)</f>
        <v>1</v>
      </c>
    </row>
    <row r="2073" spans="1:8" x14ac:dyDescent="0.25">
      <c r="A2073" s="11" t="s">
        <v>2103</v>
      </c>
      <c r="H2073">
        <f>VLOOKUP(Medical_Examinations_2[[#This Row],[Customer ID]],Medical_Examinations!$1:$1048576,9,FALSE)</f>
        <v>2</v>
      </c>
    </row>
    <row r="2074" spans="1:8" x14ac:dyDescent="0.25">
      <c r="A2074" s="10" t="s">
        <v>2104</v>
      </c>
      <c r="H2074">
        <f>VLOOKUP(Medical_Examinations_2[[#This Row],[Customer ID]],Medical_Examinations!$1:$1048576,9,FALSE)</f>
        <v>1</v>
      </c>
    </row>
    <row r="2075" spans="1:8" x14ac:dyDescent="0.25">
      <c r="A2075" s="11" t="s">
        <v>2105</v>
      </c>
      <c r="H2075" t="str">
        <f>VLOOKUP(Medical_Examinations_2[[#This Row],[Customer ID]],Medical_Examinations!$1:$1048576,9,FALSE)</f>
        <v>No major surgery</v>
      </c>
    </row>
    <row r="2076" spans="1:8" x14ac:dyDescent="0.25">
      <c r="A2076" s="10" t="s">
        <v>2106</v>
      </c>
      <c r="H2076">
        <f>VLOOKUP(Medical_Examinations_2[[#This Row],[Customer ID]],Medical_Examinations!$1:$1048576,9,FALSE)</f>
        <v>1</v>
      </c>
    </row>
    <row r="2077" spans="1:8" x14ac:dyDescent="0.25">
      <c r="A2077" s="11" t="s">
        <v>2107</v>
      </c>
      <c r="H2077">
        <f>VLOOKUP(Medical_Examinations_2[[#This Row],[Customer ID]],Medical_Examinations!$1:$1048576,9,FALSE)</f>
        <v>1</v>
      </c>
    </row>
    <row r="2078" spans="1:8" x14ac:dyDescent="0.25">
      <c r="A2078" s="10" t="s">
        <v>2108</v>
      </c>
      <c r="H2078">
        <f>VLOOKUP(Medical_Examinations_2[[#This Row],[Customer ID]],Medical_Examinations!$1:$1048576,9,FALSE)</f>
        <v>1</v>
      </c>
    </row>
    <row r="2079" spans="1:8" x14ac:dyDescent="0.25">
      <c r="A2079" s="11" t="s">
        <v>2109</v>
      </c>
      <c r="H2079">
        <f>VLOOKUP(Medical_Examinations_2[[#This Row],[Customer ID]],Medical_Examinations!$1:$1048576,9,FALSE)</f>
        <v>1</v>
      </c>
    </row>
    <row r="2080" spans="1:8" x14ac:dyDescent="0.25">
      <c r="A2080" s="10" t="s">
        <v>2110</v>
      </c>
      <c r="H2080">
        <f>VLOOKUP(Medical_Examinations_2[[#This Row],[Customer ID]],Medical_Examinations!$1:$1048576,9,FALSE)</f>
        <v>1</v>
      </c>
    </row>
    <row r="2081" spans="1:8" x14ac:dyDescent="0.25">
      <c r="A2081" s="11" t="s">
        <v>2111</v>
      </c>
      <c r="H2081">
        <f>VLOOKUP(Medical_Examinations_2[[#This Row],[Customer ID]],Medical_Examinations!$1:$1048576,9,FALSE)</f>
        <v>1</v>
      </c>
    </row>
    <row r="2082" spans="1:8" x14ac:dyDescent="0.25">
      <c r="A2082" s="10" t="s">
        <v>2112</v>
      </c>
      <c r="H2082">
        <f>VLOOKUP(Medical_Examinations_2[[#This Row],[Customer ID]],Medical_Examinations!$1:$1048576,9,FALSE)</f>
        <v>1</v>
      </c>
    </row>
    <row r="2083" spans="1:8" x14ac:dyDescent="0.25">
      <c r="A2083" s="11" t="s">
        <v>2113</v>
      </c>
      <c r="H2083">
        <f>VLOOKUP(Medical_Examinations_2[[#This Row],[Customer ID]],Medical_Examinations!$1:$1048576,9,FALSE)</f>
        <v>1</v>
      </c>
    </row>
    <row r="2084" spans="1:8" x14ac:dyDescent="0.25">
      <c r="A2084" s="10" t="s">
        <v>2114</v>
      </c>
      <c r="H2084" t="str">
        <f>VLOOKUP(Medical_Examinations_2[[#This Row],[Customer ID]],Medical_Examinations!$1:$1048576,9,FALSE)</f>
        <v>No major surgery</v>
      </c>
    </row>
    <row r="2085" spans="1:8" x14ac:dyDescent="0.25">
      <c r="A2085" s="11" t="s">
        <v>2115</v>
      </c>
      <c r="H2085">
        <f>VLOOKUP(Medical_Examinations_2[[#This Row],[Customer ID]],Medical_Examinations!$1:$1048576,9,FALSE)</f>
        <v>1</v>
      </c>
    </row>
    <row r="2086" spans="1:8" x14ac:dyDescent="0.25">
      <c r="A2086" s="10" t="s">
        <v>2116</v>
      </c>
      <c r="H2086" t="str">
        <f>VLOOKUP(Medical_Examinations_2[[#This Row],[Customer ID]],Medical_Examinations!$1:$1048576,9,FALSE)</f>
        <v>No major surgery</v>
      </c>
    </row>
    <row r="2087" spans="1:8" x14ac:dyDescent="0.25">
      <c r="A2087" s="11" t="s">
        <v>2117</v>
      </c>
      <c r="H2087" t="str">
        <f>VLOOKUP(Medical_Examinations_2[[#This Row],[Customer ID]],Medical_Examinations!$1:$1048576,9,FALSE)</f>
        <v>No major surgery</v>
      </c>
    </row>
    <row r="2088" spans="1:8" x14ac:dyDescent="0.25">
      <c r="A2088" s="10" t="s">
        <v>2118</v>
      </c>
      <c r="H2088" t="str">
        <f>VLOOKUP(Medical_Examinations_2[[#This Row],[Customer ID]],Medical_Examinations!$1:$1048576,9,FALSE)</f>
        <v>No major surgery</v>
      </c>
    </row>
    <row r="2089" spans="1:8" x14ac:dyDescent="0.25">
      <c r="A2089" s="11" t="s">
        <v>2119</v>
      </c>
      <c r="H2089" t="str">
        <f>VLOOKUP(Medical_Examinations_2[[#This Row],[Customer ID]],Medical_Examinations!$1:$1048576,9,FALSE)</f>
        <v>No major surgery</v>
      </c>
    </row>
    <row r="2090" spans="1:8" x14ac:dyDescent="0.25">
      <c r="A2090" s="10" t="s">
        <v>2120</v>
      </c>
      <c r="H2090" t="str">
        <f>VLOOKUP(Medical_Examinations_2[[#This Row],[Customer ID]],Medical_Examinations!$1:$1048576,9,FALSE)</f>
        <v>No major surgery</v>
      </c>
    </row>
    <row r="2091" spans="1:8" x14ac:dyDescent="0.25">
      <c r="A2091" s="11" t="s">
        <v>2121</v>
      </c>
      <c r="H2091" t="str">
        <f>VLOOKUP(Medical_Examinations_2[[#This Row],[Customer ID]],Medical_Examinations!$1:$1048576,9,FALSE)</f>
        <v>No major surgery</v>
      </c>
    </row>
    <row r="2092" spans="1:8" x14ac:dyDescent="0.25">
      <c r="A2092" s="10" t="s">
        <v>2122</v>
      </c>
      <c r="H2092">
        <f>VLOOKUP(Medical_Examinations_2[[#This Row],[Customer ID]],Medical_Examinations!$1:$1048576,9,FALSE)</f>
        <v>1</v>
      </c>
    </row>
    <row r="2093" spans="1:8" x14ac:dyDescent="0.25">
      <c r="A2093" s="11" t="s">
        <v>2123</v>
      </c>
      <c r="H2093" t="str">
        <f>VLOOKUP(Medical_Examinations_2[[#This Row],[Customer ID]],Medical_Examinations!$1:$1048576,9,FALSE)</f>
        <v>No major surgery</v>
      </c>
    </row>
    <row r="2094" spans="1:8" x14ac:dyDescent="0.25">
      <c r="A2094" s="10" t="s">
        <v>2124</v>
      </c>
      <c r="H2094">
        <f>VLOOKUP(Medical_Examinations_2[[#This Row],[Customer ID]],Medical_Examinations!$1:$1048576,9,FALSE)</f>
        <v>1</v>
      </c>
    </row>
    <row r="2095" spans="1:8" x14ac:dyDescent="0.25">
      <c r="A2095" s="11" t="s">
        <v>2125</v>
      </c>
      <c r="H2095">
        <f>VLOOKUP(Medical_Examinations_2[[#This Row],[Customer ID]],Medical_Examinations!$1:$1048576,9,FALSE)</f>
        <v>1</v>
      </c>
    </row>
    <row r="2096" spans="1:8" x14ac:dyDescent="0.25">
      <c r="A2096" s="10" t="s">
        <v>2126</v>
      </c>
      <c r="H2096" t="str">
        <f>VLOOKUP(Medical_Examinations_2[[#This Row],[Customer ID]],Medical_Examinations!$1:$1048576,9,FALSE)</f>
        <v>No major surgery</v>
      </c>
    </row>
    <row r="2097" spans="1:8" x14ac:dyDescent="0.25">
      <c r="A2097" s="11" t="s">
        <v>2127</v>
      </c>
      <c r="H2097">
        <f>VLOOKUP(Medical_Examinations_2[[#This Row],[Customer ID]],Medical_Examinations!$1:$1048576,9,FALSE)</f>
        <v>1</v>
      </c>
    </row>
    <row r="2098" spans="1:8" x14ac:dyDescent="0.25">
      <c r="A2098" s="10" t="s">
        <v>2128</v>
      </c>
      <c r="H2098" t="str">
        <f>VLOOKUP(Medical_Examinations_2[[#This Row],[Customer ID]],Medical_Examinations!$1:$1048576,9,FALSE)</f>
        <v>No major surgery</v>
      </c>
    </row>
    <row r="2099" spans="1:8" x14ac:dyDescent="0.25">
      <c r="A2099" s="11" t="s">
        <v>2129</v>
      </c>
      <c r="H2099" t="str">
        <f>VLOOKUP(Medical_Examinations_2[[#This Row],[Customer ID]],Medical_Examinations!$1:$1048576,9,FALSE)</f>
        <v>No major surgery</v>
      </c>
    </row>
    <row r="2100" spans="1:8" x14ac:dyDescent="0.25">
      <c r="A2100" s="10" t="s">
        <v>2130</v>
      </c>
      <c r="H2100" t="str">
        <f>VLOOKUP(Medical_Examinations_2[[#This Row],[Customer ID]],Medical_Examinations!$1:$1048576,9,FALSE)</f>
        <v>No major surgery</v>
      </c>
    </row>
    <row r="2101" spans="1:8" x14ac:dyDescent="0.25">
      <c r="A2101" s="11" t="s">
        <v>2131</v>
      </c>
      <c r="H2101" t="str">
        <f>VLOOKUP(Medical_Examinations_2[[#This Row],[Customer ID]],Medical_Examinations!$1:$1048576,9,FALSE)</f>
        <v>No major surgery</v>
      </c>
    </row>
    <row r="2102" spans="1:8" x14ac:dyDescent="0.25">
      <c r="A2102" s="10" t="s">
        <v>2132</v>
      </c>
      <c r="H2102" t="str">
        <f>VLOOKUP(Medical_Examinations_2[[#This Row],[Customer ID]],Medical_Examinations!$1:$1048576,9,FALSE)</f>
        <v>No major surgery</v>
      </c>
    </row>
    <row r="2103" spans="1:8" x14ac:dyDescent="0.25">
      <c r="A2103" s="11" t="s">
        <v>2133</v>
      </c>
      <c r="H2103">
        <f>VLOOKUP(Medical_Examinations_2[[#This Row],[Customer ID]],Medical_Examinations!$1:$1048576,9,FALSE)</f>
        <v>2</v>
      </c>
    </row>
    <row r="2104" spans="1:8" x14ac:dyDescent="0.25">
      <c r="A2104" s="10" t="s">
        <v>2134</v>
      </c>
      <c r="H2104">
        <f>VLOOKUP(Medical_Examinations_2[[#This Row],[Customer ID]],Medical_Examinations!$1:$1048576,9,FALSE)</f>
        <v>2</v>
      </c>
    </row>
    <row r="2105" spans="1:8" x14ac:dyDescent="0.25">
      <c r="A2105" s="11" t="s">
        <v>2135</v>
      </c>
      <c r="H2105">
        <f>VLOOKUP(Medical_Examinations_2[[#This Row],[Customer ID]],Medical_Examinations!$1:$1048576,9,FALSE)</f>
        <v>1</v>
      </c>
    </row>
    <row r="2106" spans="1:8" x14ac:dyDescent="0.25">
      <c r="A2106" s="10" t="s">
        <v>2136</v>
      </c>
      <c r="H2106">
        <f>VLOOKUP(Medical_Examinations_2[[#This Row],[Customer ID]],Medical_Examinations!$1:$1048576,9,FALSE)</f>
        <v>1</v>
      </c>
    </row>
    <row r="2107" spans="1:8" x14ac:dyDescent="0.25">
      <c r="A2107" s="11" t="s">
        <v>2137</v>
      </c>
      <c r="H2107">
        <f>VLOOKUP(Medical_Examinations_2[[#This Row],[Customer ID]],Medical_Examinations!$1:$1048576,9,FALSE)</f>
        <v>1</v>
      </c>
    </row>
    <row r="2108" spans="1:8" x14ac:dyDescent="0.25">
      <c r="A2108" s="10" t="s">
        <v>2138</v>
      </c>
      <c r="H2108">
        <f>VLOOKUP(Medical_Examinations_2[[#This Row],[Customer ID]],Medical_Examinations!$1:$1048576,9,FALSE)</f>
        <v>1</v>
      </c>
    </row>
    <row r="2109" spans="1:8" x14ac:dyDescent="0.25">
      <c r="A2109" s="11" t="s">
        <v>2139</v>
      </c>
      <c r="H2109" t="str">
        <f>VLOOKUP(Medical_Examinations_2[[#This Row],[Customer ID]],Medical_Examinations!$1:$1048576,9,FALSE)</f>
        <v>No major surgery</v>
      </c>
    </row>
    <row r="2110" spans="1:8" x14ac:dyDescent="0.25">
      <c r="A2110" s="10" t="s">
        <v>2140</v>
      </c>
      <c r="H2110">
        <f>VLOOKUP(Medical_Examinations_2[[#This Row],[Customer ID]],Medical_Examinations!$1:$1048576,9,FALSE)</f>
        <v>1</v>
      </c>
    </row>
    <row r="2111" spans="1:8" x14ac:dyDescent="0.25">
      <c r="A2111" s="11" t="s">
        <v>2141</v>
      </c>
      <c r="H2111">
        <f>VLOOKUP(Medical_Examinations_2[[#This Row],[Customer ID]],Medical_Examinations!$1:$1048576,9,FALSE)</f>
        <v>1</v>
      </c>
    </row>
    <row r="2112" spans="1:8" x14ac:dyDescent="0.25">
      <c r="A2112" s="10" t="s">
        <v>2142</v>
      </c>
      <c r="H2112">
        <f>VLOOKUP(Medical_Examinations_2[[#This Row],[Customer ID]],Medical_Examinations!$1:$1048576,9,FALSE)</f>
        <v>1</v>
      </c>
    </row>
    <row r="2113" spans="1:8" x14ac:dyDescent="0.25">
      <c r="A2113" s="11" t="s">
        <v>2143</v>
      </c>
      <c r="H2113">
        <f>VLOOKUP(Medical_Examinations_2[[#This Row],[Customer ID]],Medical_Examinations!$1:$1048576,9,FALSE)</f>
        <v>1</v>
      </c>
    </row>
    <row r="2114" spans="1:8" x14ac:dyDescent="0.25">
      <c r="A2114" s="10" t="s">
        <v>2144</v>
      </c>
      <c r="H2114">
        <f>VLOOKUP(Medical_Examinations_2[[#This Row],[Customer ID]],Medical_Examinations!$1:$1048576,9,FALSE)</f>
        <v>1</v>
      </c>
    </row>
    <row r="2115" spans="1:8" x14ac:dyDescent="0.25">
      <c r="A2115" s="11" t="s">
        <v>2145</v>
      </c>
      <c r="H2115">
        <f>VLOOKUP(Medical_Examinations_2[[#This Row],[Customer ID]],Medical_Examinations!$1:$1048576,9,FALSE)</f>
        <v>1</v>
      </c>
    </row>
    <row r="2116" spans="1:8" x14ac:dyDescent="0.25">
      <c r="A2116" s="10" t="s">
        <v>2146</v>
      </c>
      <c r="H2116">
        <f>VLOOKUP(Medical_Examinations_2[[#This Row],[Customer ID]],Medical_Examinations!$1:$1048576,9,FALSE)</f>
        <v>1</v>
      </c>
    </row>
    <row r="2117" spans="1:8" x14ac:dyDescent="0.25">
      <c r="A2117" s="11" t="s">
        <v>2147</v>
      </c>
      <c r="H2117">
        <f>VLOOKUP(Medical_Examinations_2[[#This Row],[Customer ID]],Medical_Examinations!$1:$1048576,9,FALSE)</f>
        <v>1</v>
      </c>
    </row>
    <row r="2118" spans="1:8" x14ac:dyDescent="0.25">
      <c r="A2118" s="10" t="s">
        <v>2148</v>
      </c>
      <c r="H2118">
        <f>VLOOKUP(Medical_Examinations_2[[#This Row],[Customer ID]],Medical_Examinations!$1:$1048576,9,FALSE)</f>
        <v>1</v>
      </c>
    </row>
    <row r="2119" spans="1:8" x14ac:dyDescent="0.25">
      <c r="A2119" s="11" t="s">
        <v>2149</v>
      </c>
      <c r="H2119" t="str">
        <f>VLOOKUP(Medical_Examinations_2[[#This Row],[Customer ID]],Medical_Examinations!$1:$1048576,9,FALSE)</f>
        <v>No major surgery</v>
      </c>
    </row>
    <row r="2120" spans="1:8" x14ac:dyDescent="0.25">
      <c r="A2120" s="10" t="s">
        <v>2150</v>
      </c>
      <c r="H2120" t="str">
        <f>VLOOKUP(Medical_Examinations_2[[#This Row],[Customer ID]],Medical_Examinations!$1:$1048576,9,FALSE)</f>
        <v>No major surgery</v>
      </c>
    </row>
    <row r="2121" spans="1:8" x14ac:dyDescent="0.25">
      <c r="A2121" s="11" t="s">
        <v>2151</v>
      </c>
      <c r="H2121">
        <f>VLOOKUP(Medical_Examinations_2[[#This Row],[Customer ID]],Medical_Examinations!$1:$1048576,9,FALSE)</f>
        <v>1</v>
      </c>
    </row>
    <row r="2122" spans="1:8" x14ac:dyDescent="0.25">
      <c r="A2122" s="10" t="s">
        <v>2152</v>
      </c>
      <c r="H2122">
        <f>VLOOKUP(Medical_Examinations_2[[#This Row],[Customer ID]],Medical_Examinations!$1:$1048576,9,FALSE)</f>
        <v>1</v>
      </c>
    </row>
    <row r="2123" spans="1:8" x14ac:dyDescent="0.25">
      <c r="A2123" s="11" t="s">
        <v>2153</v>
      </c>
      <c r="H2123">
        <f>VLOOKUP(Medical_Examinations_2[[#This Row],[Customer ID]],Medical_Examinations!$1:$1048576,9,FALSE)</f>
        <v>1</v>
      </c>
    </row>
    <row r="2124" spans="1:8" x14ac:dyDescent="0.25">
      <c r="A2124" s="10" t="s">
        <v>2154</v>
      </c>
      <c r="H2124">
        <f>VLOOKUP(Medical_Examinations_2[[#This Row],[Customer ID]],Medical_Examinations!$1:$1048576,9,FALSE)</f>
        <v>1</v>
      </c>
    </row>
    <row r="2125" spans="1:8" x14ac:dyDescent="0.25">
      <c r="A2125" s="11" t="s">
        <v>2155</v>
      </c>
      <c r="H2125">
        <f>VLOOKUP(Medical_Examinations_2[[#This Row],[Customer ID]],Medical_Examinations!$1:$1048576,9,FALSE)</f>
        <v>1</v>
      </c>
    </row>
    <row r="2126" spans="1:8" x14ac:dyDescent="0.25">
      <c r="A2126" s="10" t="s">
        <v>2156</v>
      </c>
      <c r="H2126">
        <f>VLOOKUP(Medical_Examinations_2[[#This Row],[Customer ID]],Medical_Examinations!$1:$1048576,9,FALSE)</f>
        <v>1</v>
      </c>
    </row>
    <row r="2127" spans="1:8" x14ac:dyDescent="0.25">
      <c r="A2127" s="11" t="s">
        <v>2157</v>
      </c>
      <c r="H2127">
        <f>VLOOKUP(Medical_Examinations_2[[#This Row],[Customer ID]],Medical_Examinations!$1:$1048576,9,FALSE)</f>
        <v>1</v>
      </c>
    </row>
    <row r="2128" spans="1:8" x14ac:dyDescent="0.25">
      <c r="A2128" s="10" t="s">
        <v>2158</v>
      </c>
      <c r="H2128">
        <f>VLOOKUP(Medical_Examinations_2[[#This Row],[Customer ID]],Medical_Examinations!$1:$1048576,9,FALSE)</f>
        <v>1</v>
      </c>
    </row>
    <row r="2129" spans="1:8" x14ac:dyDescent="0.25">
      <c r="A2129" s="11" t="s">
        <v>2159</v>
      </c>
      <c r="H2129">
        <f>VLOOKUP(Medical_Examinations_2[[#This Row],[Customer ID]],Medical_Examinations!$1:$1048576,9,FALSE)</f>
        <v>1</v>
      </c>
    </row>
    <row r="2130" spans="1:8" x14ac:dyDescent="0.25">
      <c r="A2130" s="10" t="s">
        <v>2160</v>
      </c>
      <c r="H2130">
        <f>VLOOKUP(Medical_Examinations_2[[#This Row],[Customer ID]],Medical_Examinations!$1:$1048576,9,FALSE)</f>
        <v>1</v>
      </c>
    </row>
    <row r="2131" spans="1:8" x14ac:dyDescent="0.25">
      <c r="A2131" s="11" t="s">
        <v>30</v>
      </c>
      <c r="H2131">
        <f>VLOOKUP(Medical_Examinations_2[[#This Row],[Customer ID]],Medical_Examinations!$1:$1048576,9,FALSE)</f>
        <v>1</v>
      </c>
    </row>
    <row r="2132" spans="1:8" x14ac:dyDescent="0.25">
      <c r="A2132" s="10" t="s">
        <v>2161</v>
      </c>
      <c r="H2132">
        <f>VLOOKUP(Medical_Examinations_2[[#This Row],[Customer ID]],Medical_Examinations!$1:$1048576,9,FALSE)</f>
        <v>1</v>
      </c>
    </row>
    <row r="2133" spans="1:8" x14ac:dyDescent="0.25">
      <c r="A2133" s="11" t="s">
        <v>2162</v>
      </c>
      <c r="H2133">
        <f>VLOOKUP(Medical_Examinations_2[[#This Row],[Customer ID]],Medical_Examinations!$1:$1048576,9,FALSE)</f>
        <v>1</v>
      </c>
    </row>
    <row r="2134" spans="1:8" x14ac:dyDescent="0.25">
      <c r="A2134" s="10" t="s">
        <v>2163</v>
      </c>
      <c r="H2134">
        <f>VLOOKUP(Medical_Examinations_2[[#This Row],[Customer ID]],Medical_Examinations!$1:$1048576,9,FALSE)</f>
        <v>1</v>
      </c>
    </row>
    <row r="2135" spans="1:8" x14ac:dyDescent="0.25">
      <c r="A2135" s="11" t="s">
        <v>2164</v>
      </c>
      <c r="H2135" t="str">
        <f>VLOOKUP(Medical_Examinations_2[[#This Row],[Customer ID]],Medical_Examinations!$1:$1048576,9,FALSE)</f>
        <v>No major surgery</v>
      </c>
    </row>
    <row r="2136" spans="1:8" x14ac:dyDescent="0.25">
      <c r="A2136" s="10" t="s">
        <v>2165</v>
      </c>
      <c r="H2136" t="str">
        <f>VLOOKUP(Medical_Examinations_2[[#This Row],[Customer ID]],Medical_Examinations!$1:$1048576,9,FALSE)</f>
        <v>No major surgery</v>
      </c>
    </row>
    <row r="2137" spans="1:8" x14ac:dyDescent="0.25">
      <c r="A2137" s="11" t="s">
        <v>2166</v>
      </c>
      <c r="H2137" t="str">
        <f>VLOOKUP(Medical_Examinations_2[[#This Row],[Customer ID]],Medical_Examinations!$1:$1048576,9,FALSE)</f>
        <v>No major surgery</v>
      </c>
    </row>
    <row r="2138" spans="1:8" x14ac:dyDescent="0.25">
      <c r="A2138" s="10" t="s">
        <v>2167</v>
      </c>
      <c r="H2138" t="str">
        <f>VLOOKUP(Medical_Examinations_2[[#This Row],[Customer ID]],Medical_Examinations!$1:$1048576,9,FALSE)</f>
        <v>No major surgery</v>
      </c>
    </row>
    <row r="2139" spans="1:8" x14ac:dyDescent="0.25">
      <c r="A2139" s="11" t="s">
        <v>2168</v>
      </c>
      <c r="H2139">
        <f>VLOOKUP(Medical_Examinations_2[[#This Row],[Customer ID]],Medical_Examinations!$1:$1048576,9,FALSE)</f>
        <v>1</v>
      </c>
    </row>
    <row r="2140" spans="1:8" x14ac:dyDescent="0.25">
      <c r="A2140" s="10" t="s">
        <v>2169</v>
      </c>
      <c r="H2140">
        <f>VLOOKUP(Medical_Examinations_2[[#This Row],[Customer ID]],Medical_Examinations!$1:$1048576,9,FALSE)</f>
        <v>2</v>
      </c>
    </row>
    <row r="2141" spans="1:8" x14ac:dyDescent="0.25">
      <c r="A2141" s="11" t="s">
        <v>2170</v>
      </c>
      <c r="H2141">
        <f>VLOOKUP(Medical_Examinations_2[[#This Row],[Customer ID]],Medical_Examinations!$1:$1048576,9,FALSE)</f>
        <v>2</v>
      </c>
    </row>
    <row r="2142" spans="1:8" x14ac:dyDescent="0.25">
      <c r="A2142" s="10" t="s">
        <v>2171</v>
      </c>
      <c r="H2142" t="str">
        <f>VLOOKUP(Medical_Examinations_2[[#This Row],[Customer ID]],Medical_Examinations!$1:$1048576,9,FALSE)</f>
        <v>No major surgery</v>
      </c>
    </row>
    <row r="2143" spans="1:8" x14ac:dyDescent="0.25">
      <c r="A2143" s="11" t="s">
        <v>2172</v>
      </c>
      <c r="H2143" t="str">
        <f>VLOOKUP(Medical_Examinations_2[[#This Row],[Customer ID]],Medical_Examinations!$1:$1048576,9,FALSE)</f>
        <v>No major surgery</v>
      </c>
    </row>
    <row r="2144" spans="1:8" x14ac:dyDescent="0.25">
      <c r="A2144" s="10" t="s">
        <v>2173</v>
      </c>
      <c r="H2144" t="str">
        <f>VLOOKUP(Medical_Examinations_2[[#This Row],[Customer ID]],Medical_Examinations!$1:$1048576,9,FALSE)</f>
        <v>No major surgery</v>
      </c>
    </row>
    <row r="2145" spans="1:8" x14ac:dyDescent="0.25">
      <c r="A2145" s="11" t="s">
        <v>2174</v>
      </c>
      <c r="H2145" t="str">
        <f>VLOOKUP(Medical_Examinations_2[[#This Row],[Customer ID]],Medical_Examinations!$1:$1048576,9,FALSE)</f>
        <v>No major surgery</v>
      </c>
    </row>
    <row r="2146" spans="1:8" x14ac:dyDescent="0.25">
      <c r="A2146" s="10" t="s">
        <v>2175</v>
      </c>
      <c r="H2146">
        <f>VLOOKUP(Medical_Examinations_2[[#This Row],[Customer ID]],Medical_Examinations!$1:$1048576,9,FALSE)</f>
        <v>1</v>
      </c>
    </row>
    <row r="2147" spans="1:8" x14ac:dyDescent="0.25">
      <c r="A2147" s="11" t="s">
        <v>2176</v>
      </c>
      <c r="H2147" t="str">
        <f>VLOOKUP(Medical_Examinations_2[[#This Row],[Customer ID]],Medical_Examinations!$1:$1048576,9,FALSE)</f>
        <v>No major surgery</v>
      </c>
    </row>
    <row r="2148" spans="1:8" x14ac:dyDescent="0.25">
      <c r="A2148" s="10" t="s">
        <v>2177</v>
      </c>
      <c r="H2148">
        <f>VLOOKUP(Medical_Examinations_2[[#This Row],[Customer ID]],Medical_Examinations!$1:$1048576,9,FALSE)</f>
        <v>1</v>
      </c>
    </row>
    <row r="2149" spans="1:8" x14ac:dyDescent="0.25">
      <c r="A2149" s="11" t="s">
        <v>2178</v>
      </c>
      <c r="H2149" t="str">
        <f>VLOOKUP(Medical_Examinations_2[[#This Row],[Customer ID]],Medical_Examinations!$1:$1048576,9,FALSE)</f>
        <v>No major surgery</v>
      </c>
    </row>
    <row r="2150" spans="1:8" x14ac:dyDescent="0.25">
      <c r="A2150" s="10" t="s">
        <v>2179</v>
      </c>
      <c r="H2150">
        <f>VLOOKUP(Medical_Examinations_2[[#This Row],[Customer ID]],Medical_Examinations!$1:$1048576,9,FALSE)</f>
        <v>1</v>
      </c>
    </row>
    <row r="2151" spans="1:8" x14ac:dyDescent="0.25">
      <c r="A2151" s="11" t="s">
        <v>2180</v>
      </c>
      <c r="H2151">
        <f>VLOOKUP(Medical_Examinations_2[[#This Row],[Customer ID]],Medical_Examinations!$1:$1048576,9,FALSE)</f>
        <v>1</v>
      </c>
    </row>
    <row r="2152" spans="1:8" x14ac:dyDescent="0.25">
      <c r="A2152" s="10" t="s">
        <v>2181</v>
      </c>
      <c r="H2152">
        <f>VLOOKUP(Medical_Examinations_2[[#This Row],[Customer ID]],Medical_Examinations!$1:$1048576,9,FALSE)</f>
        <v>1</v>
      </c>
    </row>
    <row r="2153" spans="1:8" x14ac:dyDescent="0.25">
      <c r="A2153" s="11" t="s">
        <v>2182</v>
      </c>
      <c r="H2153" t="str">
        <f>VLOOKUP(Medical_Examinations_2[[#This Row],[Customer ID]],Medical_Examinations!$1:$1048576,9,FALSE)</f>
        <v>No major surgery</v>
      </c>
    </row>
    <row r="2154" spans="1:8" x14ac:dyDescent="0.25">
      <c r="A2154" s="10" t="s">
        <v>2183</v>
      </c>
      <c r="H2154" t="str">
        <f>VLOOKUP(Medical_Examinations_2[[#This Row],[Customer ID]],Medical_Examinations!$1:$1048576,9,FALSE)</f>
        <v>No major surgery</v>
      </c>
    </row>
    <row r="2155" spans="1:8" x14ac:dyDescent="0.25">
      <c r="A2155" s="11" t="s">
        <v>2184</v>
      </c>
      <c r="H2155" t="str">
        <f>VLOOKUP(Medical_Examinations_2[[#This Row],[Customer ID]],Medical_Examinations!$1:$1048576,9,FALSE)</f>
        <v>No major surgery</v>
      </c>
    </row>
    <row r="2156" spans="1:8" x14ac:dyDescent="0.25">
      <c r="A2156" s="10" t="s">
        <v>2185</v>
      </c>
      <c r="H2156" t="str">
        <f>VLOOKUP(Medical_Examinations_2[[#This Row],[Customer ID]],Medical_Examinations!$1:$1048576,9,FALSE)</f>
        <v>No major surgery</v>
      </c>
    </row>
    <row r="2157" spans="1:8" x14ac:dyDescent="0.25">
      <c r="A2157" s="11" t="s">
        <v>2186</v>
      </c>
      <c r="H2157" t="str">
        <f>VLOOKUP(Medical_Examinations_2[[#This Row],[Customer ID]],Medical_Examinations!$1:$1048576,9,FALSE)</f>
        <v>No major surgery</v>
      </c>
    </row>
    <row r="2158" spans="1:8" x14ac:dyDescent="0.25">
      <c r="A2158" s="10" t="s">
        <v>2187</v>
      </c>
      <c r="H2158" t="str">
        <f>VLOOKUP(Medical_Examinations_2[[#This Row],[Customer ID]],Medical_Examinations!$1:$1048576,9,FALSE)</f>
        <v>No major surgery</v>
      </c>
    </row>
    <row r="2159" spans="1:8" x14ac:dyDescent="0.25">
      <c r="A2159" s="11" t="s">
        <v>2188</v>
      </c>
      <c r="H2159" t="str">
        <f>VLOOKUP(Medical_Examinations_2[[#This Row],[Customer ID]],Medical_Examinations!$1:$1048576,9,FALSE)</f>
        <v>No major surgery</v>
      </c>
    </row>
    <row r="2160" spans="1:8" x14ac:dyDescent="0.25">
      <c r="A2160" s="10" t="s">
        <v>30</v>
      </c>
      <c r="H2160" t="str">
        <f>VLOOKUP(Medical_Examinations_2[[#This Row],[Customer ID]],Medical_Examinations!$1:$1048576,9,FALSE)</f>
        <v>No major surgery</v>
      </c>
    </row>
    <row r="2161" spans="1:8" x14ac:dyDescent="0.25">
      <c r="A2161" s="11" t="s">
        <v>2189</v>
      </c>
      <c r="H2161" t="str">
        <f>VLOOKUP(Medical_Examinations_2[[#This Row],[Customer ID]],Medical_Examinations!$1:$1048576,9,FALSE)</f>
        <v>No major surgery</v>
      </c>
    </row>
    <row r="2162" spans="1:8" x14ac:dyDescent="0.25">
      <c r="A2162" s="10" t="s">
        <v>2190</v>
      </c>
      <c r="H2162" t="str">
        <f>VLOOKUP(Medical_Examinations_2[[#This Row],[Customer ID]],Medical_Examinations!$1:$1048576,9,FALSE)</f>
        <v>No major surgery</v>
      </c>
    </row>
    <row r="2163" spans="1:8" x14ac:dyDescent="0.25">
      <c r="A2163" s="11" t="s">
        <v>2191</v>
      </c>
      <c r="H2163" t="str">
        <f>VLOOKUP(Medical_Examinations_2[[#This Row],[Customer ID]],Medical_Examinations!$1:$1048576,9,FALSE)</f>
        <v>No major surgery</v>
      </c>
    </row>
    <row r="2164" spans="1:8" x14ac:dyDescent="0.25">
      <c r="A2164" s="10" t="s">
        <v>2192</v>
      </c>
      <c r="H2164">
        <f>VLOOKUP(Medical_Examinations_2[[#This Row],[Customer ID]],Medical_Examinations!$1:$1048576,9,FALSE)</f>
        <v>1</v>
      </c>
    </row>
    <row r="2165" spans="1:8" x14ac:dyDescent="0.25">
      <c r="A2165" s="11" t="s">
        <v>2193</v>
      </c>
      <c r="H2165" t="str">
        <f>VLOOKUP(Medical_Examinations_2[[#This Row],[Customer ID]],Medical_Examinations!$1:$1048576,9,FALSE)</f>
        <v>No major surgery</v>
      </c>
    </row>
    <row r="2166" spans="1:8" x14ac:dyDescent="0.25">
      <c r="A2166" s="10" t="s">
        <v>2194</v>
      </c>
      <c r="H2166">
        <f>VLOOKUP(Medical_Examinations_2[[#This Row],[Customer ID]],Medical_Examinations!$1:$1048576,9,FALSE)</f>
        <v>1</v>
      </c>
    </row>
    <row r="2167" spans="1:8" x14ac:dyDescent="0.25">
      <c r="A2167" s="11" t="s">
        <v>2195</v>
      </c>
      <c r="H2167" t="str">
        <f>VLOOKUP(Medical_Examinations_2[[#This Row],[Customer ID]],Medical_Examinations!$1:$1048576,9,FALSE)</f>
        <v>No major surgery</v>
      </c>
    </row>
    <row r="2168" spans="1:8" x14ac:dyDescent="0.25">
      <c r="A2168" s="10" t="s">
        <v>2196</v>
      </c>
      <c r="H2168">
        <f>VLOOKUP(Medical_Examinations_2[[#This Row],[Customer ID]],Medical_Examinations!$1:$1048576,9,FALSE)</f>
        <v>1</v>
      </c>
    </row>
    <row r="2169" spans="1:8" x14ac:dyDescent="0.25">
      <c r="A2169" s="11" t="s">
        <v>2197</v>
      </c>
      <c r="H2169">
        <f>VLOOKUP(Medical_Examinations_2[[#This Row],[Customer ID]],Medical_Examinations!$1:$1048576,9,FALSE)</f>
        <v>1</v>
      </c>
    </row>
    <row r="2170" spans="1:8" x14ac:dyDescent="0.25">
      <c r="A2170" s="10" t="s">
        <v>2198</v>
      </c>
      <c r="H2170" t="str">
        <f>VLOOKUP(Medical_Examinations_2[[#This Row],[Customer ID]],Medical_Examinations!$1:$1048576,9,FALSE)</f>
        <v>No major surgery</v>
      </c>
    </row>
    <row r="2171" spans="1:8" x14ac:dyDescent="0.25">
      <c r="A2171" s="11" t="s">
        <v>2199</v>
      </c>
      <c r="H2171" t="str">
        <f>VLOOKUP(Medical_Examinations_2[[#This Row],[Customer ID]],Medical_Examinations!$1:$1048576,9,FALSE)</f>
        <v>No major surgery</v>
      </c>
    </row>
    <row r="2172" spans="1:8" x14ac:dyDescent="0.25">
      <c r="A2172" s="10" t="s">
        <v>2200</v>
      </c>
      <c r="H2172">
        <f>VLOOKUP(Medical_Examinations_2[[#This Row],[Customer ID]],Medical_Examinations!$1:$1048576,9,FALSE)</f>
        <v>1</v>
      </c>
    </row>
    <row r="2173" spans="1:8" x14ac:dyDescent="0.25">
      <c r="A2173" s="11" t="s">
        <v>2201</v>
      </c>
      <c r="H2173" t="str">
        <f>VLOOKUP(Medical_Examinations_2[[#This Row],[Customer ID]],Medical_Examinations!$1:$1048576,9,FALSE)</f>
        <v>No major surgery</v>
      </c>
    </row>
    <row r="2174" spans="1:8" x14ac:dyDescent="0.25">
      <c r="A2174" s="10" t="s">
        <v>2202</v>
      </c>
      <c r="H2174" t="str">
        <f>VLOOKUP(Medical_Examinations_2[[#This Row],[Customer ID]],Medical_Examinations!$1:$1048576,9,FALSE)</f>
        <v>No major surgery</v>
      </c>
    </row>
    <row r="2175" spans="1:8" x14ac:dyDescent="0.25">
      <c r="A2175" s="11" t="s">
        <v>2203</v>
      </c>
      <c r="H2175">
        <f>VLOOKUP(Medical_Examinations_2[[#This Row],[Customer ID]],Medical_Examinations!$1:$1048576,9,FALSE)</f>
        <v>1</v>
      </c>
    </row>
    <row r="2176" spans="1:8" x14ac:dyDescent="0.25">
      <c r="A2176" s="10" t="s">
        <v>2204</v>
      </c>
      <c r="H2176">
        <f>VLOOKUP(Medical_Examinations_2[[#This Row],[Customer ID]],Medical_Examinations!$1:$1048576,9,FALSE)</f>
        <v>1</v>
      </c>
    </row>
    <row r="2177" spans="1:8" x14ac:dyDescent="0.25">
      <c r="A2177" s="11" t="s">
        <v>2205</v>
      </c>
      <c r="H2177">
        <f>VLOOKUP(Medical_Examinations_2[[#This Row],[Customer ID]],Medical_Examinations!$1:$1048576,9,FALSE)</f>
        <v>1</v>
      </c>
    </row>
    <row r="2178" spans="1:8" x14ac:dyDescent="0.25">
      <c r="A2178" s="10" t="s">
        <v>2206</v>
      </c>
      <c r="H2178">
        <f>VLOOKUP(Medical_Examinations_2[[#This Row],[Customer ID]],Medical_Examinations!$1:$1048576,9,FALSE)</f>
        <v>1</v>
      </c>
    </row>
    <row r="2179" spans="1:8" x14ac:dyDescent="0.25">
      <c r="A2179" s="11" t="s">
        <v>2207</v>
      </c>
      <c r="H2179">
        <f>VLOOKUP(Medical_Examinations_2[[#This Row],[Customer ID]],Medical_Examinations!$1:$1048576,9,FALSE)</f>
        <v>1</v>
      </c>
    </row>
    <row r="2180" spans="1:8" x14ac:dyDescent="0.25">
      <c r="A2180" s="10" t="s">
        <v>2208</v>
      </c>
      <c r="H2180">
        <f>VLOOKUP(Medical_Examinations_2[[#This Row],[Customer ID]],Medical_Examinations!$1:$1048576,9,FALSE)</f>
        <v>1</v>
      </c>
    </row>
    <row r="2181" spans="1:8" x14ac:dyDescent="0.25">
      <c r="A2181" s="11" t="s">
        <v>2209</v>
      </c>
      <c r="H2181">
        <f>VLOOKUP(Medical_Examinations_2[[#This Row],[Customer ID]],Medical_Examinations!$1:$1048576,9,FALSE)</f>
        <v>1</v>
      </c>
    </row>
    <row r="2182" spans="1:8" x14ac:dyDescent="0.25">
      <c r="A2182" s="10" t="s">
        <v>2210</v>
      </c>
      <c r="H2182">
        <f>VLOOKUP(Medical_Examinations_2[[#This Row],[Customer ID]],Medical_Examinations!$1:$1048576,9,FALSE)</f>
        <v>1</v>
      </c>
    </row>
    <row r="2183" spans="1:8" x14ac:dyDescent="0.25">
      <c r="A2183" s="11" t="s">
        <v>2211</v>
      </c>
      <c r="H2183">
        <f>VLOOKUP(Medical_Examinations_2[[#This Row],[Customer ID]],Medical_Examinations!$1:$1048576,9,FALSE)</f>
        <v>1</v>
      </c>
    </row>
    <row r="2184" spans="1:8" x14ac:dyDescent="0.25">
      <c r="A2184" s="10" t="s">
        <v>2212</v>
      </c>
      <c r="H2184">
        <f>VLOOKUP(Medical_Examinations_2[[#This Row],[Customer ID]],Medical_Examinations!$1:$1048576,9,FALSE)</f>
        <v>1</v>
      </c>
    </row>
    <row r="2185" spans="1:8" x14ac:dyDescent="0.25">
      <c r="A2185" s="11" t="s">
        <v>2213</v>
      </c>
      <c r="H2185">
        <f>VLOOKUP(Medical_Examinations_2[[#This Row],[Customer ID]],Medical_Examinations!$1:$1048576,9,FALSE)</f>
        <v>1</v>
      </c>
    </row>
    <row r="2186" spans="1:8" x14ac:dyDescent="0.25">
      <c r="A2186" s="10" t="s">
        <v>2214</v>
      </c>
      <c r="H2186">
        <f>VLOOKUP(Medical_Examinations_2[[#This Row],[Customer ID]],Medical_Examinations!$1:$1048576,9,FALSE)</f>
        <v>1</v>
      </c>
    </row>
    <row r="2187" spans="1:8" x14ac:dyDescent="0.25">
      <c r="A2187" s="11" t="s">
        <v>2215</v>
      </c>
      <c r="H2187">
        <f>VLOOKUP(Medical_Examinations_2[[#This Row],[Customer ID]],Medical_Examinations!$1:$1048576,9,FALSE)</f>
        <v>1</v>
      </c>
    </row>
    <row r="2188" spans="1:8" x14ac:dyDescent="0.25">
      <c r="A2188" s="10" t="s">
        <v>2216</v>
      </c>
      <c r="H2188">
        <f>VLOOKUP(Medical_Examinations_2[[#This Row],[Customer ID]],Medical_Examinations!$1:$1048576,9,FALSE)</f>
        <v>1</v>
      </c>
    </row>
    <row r="2189" spans="1:8" x14ac:dyDescent="0.25">
      <c r="A2189" s="11" t="s">
        <v>2217</v>
      </c>
      <c r="H2189">
        <f>VLOOKUP(Medical_Examinations_2[[#This Row],[Customer ID]],Medical_Examinations!$1:$1048576,9,FALSE)</f>
        <v>1</v>
      </c>
    </row>
    <row r="2190" spans="1:8" x14ac:dyDescent="0.25">
      <c r="A2190" s="10" t="s">
        <v>2218</v>
      </c>
      <c r="H2190">
        <f>VLOOKUP(Medical_Examinations_2[[#This Row],[Customer ID]],Medical_Examinations!$1:$1048576,9,FALSE)</f>
        <v>1</v>
      </c>
    </row>
    <row r="2191" spans="1:8" x14ac:dyDescent="0.25">
      <c r="A2191" s="11" t="s">
        <v>2219</v>
      </c>
      <c r="H2191">
        <f>VLOOKUP(Medical_Examinations_2[[#This Row],[Customer ID]],Medical_Examinations!$1:$1048576,9,FALSE)</f>
        <v>1</v>
      </c>
    </row>
    <row r="2192" spans="1:8" x14ac:dyDescent="0.25">
      <c r="A2192" s="10" t="s">
        <v>2220</v>
      </c>
      <c r="H2192">
        <f>VLOOKUP(Medical_Examinations_2[[#This Row],[Customer ID]],Medical_Examinations!$1:$1048576,9,FALSE)</f>
        <v>1</v>
      </c>
    </row>
    <row r="2193" spans="1:8" x14ac:dyDescent="0.25">
      <c r="A2193" s="11" t="s">
        <v>2221</v>
      </c>
      <c r="H2193">
        <f>VLOOKUP(Medical_Examinations_2[[#This Row],[Customer ID]],Medical_Examinations!$1:$1048576,9,FALSE)</f>
        <v>1</v>
      </c>
    </row>
    <row r="2194" spans="1:8" x14ac:dyDescent="0.25">
      <c r="A2194" s="10" t="s">
        <v>2222</v>
      </c>
      <c r="H2194">
        <f>VLOOKUP(Medical_Examinations_2[[#This Row],[Customer ID]],Medical_Examinations!$1:$1048576,9,FALSE)</f>
        <v>1</v>
      </c>
    </row>
    <row r="2195" spans="1:8" x14ac:dyDescent="0.25">
      <c r="A2195" s="11" t="s">
        <v>2223</v>
      </c>
      <c r="H2195">
        <f>VLOOKUP(Medical_Examinations_2[[#This Row],[Customer ID]],Medical_Examinations!$1:$1048576,9,FALSE)</f>
        <v>1</v>
      </c>
    </row>
    <row r="2196" spans="1:8" x14ac:dyDescent="0.25">
      <c r="A2196" s="10" t="s">
        <v>2224</v>
      </c>
      <c r="H2196">
        <f>VLOOKUP(Medical_Examinations_2[[#This Row],[Customer ID]],Medical_Examinations!$1:$1048576,9,FALSE)</f>
        <v>1</v>
      </c>
    </row>
    <row r="2197" spans="1:8" x14ac:dyDescent="0.25">
      <c r="A2197" s="11" t="s">
        <v>2225</v>
      </c>
      <c r="H2197">
        <f>VLOOKUP(Medical_Examinations_2[[#This Row],[Customer ID]],Medical_Examinations!$1:$1048576,9,FALSE)</f>
        <v>1</v>
      </c>
    </row>
    <row r="2198" spans="1:8" x14ac:dyDescent="0.25">
      <c r="A2198" s="10" t="s">
        <v>2226</v>
      </c>
      <c r="H2198">
        <f>VLOOKUP(Medical_Examinations_2[[#This Row],[Customer ID]],Medical_Examinations!$1:$1048576,9,FALSE)</f>
        <v>1</v>
      </c>
    </row>
    <row r="2199" spans="1:8" x14ac:dyDescent="0.25">
      <c r="A2199" s="11" t="s">
        <v>2227</v>
      </c>
      <c r="H2199">
        <f>VLOOKUP(Medical_Examinations_2[[#This Row],[Customer ID]],Medical_Examinations!$1:$1048576,9,FALSE)</f>
        <v>1</v>
      </c>
    </row>
    <row r="2200" spans="1:8" x14ac:dyDescent="0.25">
      <c r="A2200" s="10" t="s">
        <v>2228</v>
      </c>
      <c r="H2200">
        <f>VLOOKUP(Medical_Examinations_2[[#This Row],[Customer ID]],Medical_Examinations!$1:$1048576,9,FALSE)</f>
        <v>1</v>
      </c>
    </row>
    <row r="2201" spans="1:8" x14ac:dyDescent="0.25">
      <c r="A2201" s="11" t="s">
        <v>2229</v>
      </c>
      <c r="H2201">
        <f>VLOOKUP(Medical_Examinations_2[[#This Row],[Customer ID]],Medical_Examinations!$1:$1048576,9,FALSE)</f>
        <v>1</v>
      </c>
    </row>
    <row r="2202" spans="1:8" x14ac:dyDescent="0.25">
      <c r="A2202" s="10" t="s">
        <v>2230</v>
      </c>
      <c r="H2202">
        <f>VLOOKUP(Medical_Examinations_2[[#This Row],[Customer ID]],Medical_Examinations!$1:$1048576,9,FALSE)</f>
        <v>1</v>
      </c>
    </row>
    <row r="2203" spans="1:8" x14ac:dyDescent="0.25">
      <c r="A2203" s="11" t="s">
        <v>2231</v>
      </c>
      <c r="H2203">
        <f>VLOOKUP(Medical_Examinations_2[[#This Row],[Customer ID]],Medical_Examinations!$1:$1048576,9,FALSE)</f>
        <v>1</v>
      </c>
    </row>
    <row r="2204" spans="1:8" x14ac:dyDescent="0.25">
      <c r="A2204" s="10" t="s">
        <v>30</v>
      </c>
      <c r="H2204">
        <f>VLOOKUP(Medical_Examinations_2[[#This Row],[Customer ID]],Medical_Examinations!$1:$1048576,9,FALSE)</f>
        <v>1</v>
      </c>
    </row>
    <row r="2205" spans="1:8" x14ac:dyDescent="0.25">
      <c r="A2205" s="11" t="s">
        <v>2232</v>
      </c>
      <c r="H2205">
        <f>VLOOKUP(Medical_Examinations_2[[#This Row],[Customer ID]],Medical_Examinations!$1:$1048576,9,FALSE)</f>
        <v>1</v>
      </c>
    </row>
    <row r="2206" spans="1:8" x14ac:dyDescent="0.25">
      <c r="A2206" s="10" t="s">
        <v>2233</v>
      </c>
      <c r="H2206">
        <f>VLOOKUP(Medical_Examinations_2[[#This Row],[Customer ID]],Medical_Examinations!$1:$1048576,9,FALSE)</f>
        <v>1</v>
      </c>
    </row>
    <row r="2207" spans="1:8" x14ac:dyDescent="0.25">
      <c r="A2207" s="11" t="s">
        <v>2234</v>
      </c>
      <c r="H2207">
        <f>VLOOKUP(Medical_Examinations_2[[#This Row],[Customer ID]],Medical_Examinations!$1:$1048576,9,FALSE)</f>
        <v>1</v>
      </c>
    </row>
    <row r="2208" spans="1:8" x14ac:dyDescent="0.25">
      <c r="A2208" s="10" t="s">
        <v>2235</v>
      </c>
      <c r="H2208">
        <f>VLOOKUP(Medical_Examinations_2[[#This Row],[Customer ID]],Medical_Examinations!$1:$1048576,9,FALSE)</f>
        <v>1</v>
      </c>
    </row>
    <row r="2209" spans="1:8" x14ac:dyDescent="0.25">
      <c r="A2209" s="11" t="s">
        <v>2236</v>
      </c>
      <c r="H2209">
        <f>VLOOKUP(Medical_Examinations_2[[#This Row],[Customer ID]],Medical_Examinations!$1:$1048576,9,FALSE)</f>
        <v>1</v>
      </c>
    </row>
    <row r="2210" spans="1:8" x14ac:dyDescent="0.25">
      <c r="A2210" s="10" t="s">
        <v>2237</v>
      </c>
      <c r="H2210">
        <f>VLOOKUP(Medical_Examinations_2[[#This Row],[Customer ID]],Medical_Examinations!$1:$1048576,9,FALSE)</f>
        <v>1</v>
      </c>
    </row>
    <row r="2211" spans="1:8" x14ac:dyDescent="0.25">
      <c r="A2211" s="11" t="s">
        <v>2238</v>
      </c>
      <c r="H2211">
        <f>VLOOKUP(Medical_Examinations_2[[#This Row],[Customer ID]],Medical_Examinations!$1:$1048576,9,FALSE)</f>
        <v>1</v>
      </c>
    </row>
    <row r="2212" spans="1:8" x14ac:dyDescent="0.25">
      <c r="A2212" s="10" t="s">
        <v>2239</v>
      </c>
      <c r="H2212">
        <f>VLOOKUP(Medical_Examinations_2[[#This Row],[Customer ID]],Medical_Examinations!$1:$1048576,9,FALSE)</f>
        <v>1</v>
      </c>
    </row>
    <row r="2213" spans="1:8" x14ac:dyDescent="0.25">
      <c r="A2213" s="11" t="s">
        <v>2240</v>
      </c>
      <c r="H2213">
        <f>VLOOKUP(Medical_Examinations_2[[#This Row],[Customer ID]],Medical_Examinations!$1:$1048576,9,FALSE)</f>
        <v>1</v>
      </c>
    </row>
    <row r="2214" spans="1:8" x14ac:dyDescent="0.25">
      <c r="A2214" s="10" t="s">
        <v>2241</v>
      </c>
      <c r="H2214">
        <f>VLOOKUP(Medical_Examinations_2[[#This Row],[Customer ID]],Medical_Examinations!$1:$1048576,9,FALSE)</f>
        <v>1</v>
      </c>
    </row>
    <row r="2215" spans="1:8" x14ac:dyDescent="0.25">
      <c r="A2215" s="11" t="s">
        <v>2242</v>
      </c>
      <c r="H2215">
        <f>VLOOKUP(Medical_Examinations_2[[#This Row],[Customer ID]],Medical_Examinations!$1:$1048576,9,FALSE)</f>
        <v>1</v>
      </c>
    </row>
    <row r="2216" spans="1:8" x14ac:dyDescent="0.25">
      <c r="A2216" s="10" t="s">
        <v>2243</v>
      </c>
      <c r="H2216">
        <f>VLOOKUP(Medical_Examinations_2[[#This Row],[Customer ID]],Medical_Examinations!$1:$1048576,9,FALSE)</f>
        <v>1</v>
      </c>
    </row>
    <row r="2217" spans="1:8" x14ac:dyDescent="0.25">
      <c r="A2217" s="11" t="s">
        <v>2244</v>
      </c>
      <c r="H2217">
        <f>VLOOKUP(Medical_Examinations_2[[#This Row],[Customer ID]],Medical_Examinations!$1:$1048576,9,FALSE)</f>
        <v>1</v>
      </c>
    </row>
    <row r="2218" spans="1:8" x14ac:dyDescent="0.25">
      <c r="A2218" s="10" t="s">
        <v>2245</v>
      </c>
      <c r="H2218">
        <f>VLOOKUP(Medical_Examinations_2[[#This Row],[Customer ID]],Medical_Examinations!$1:$1048576,9,FALSE)</f>
        <v>1</v>
      </c>
    </row>
    <row r="2219" spans="1:8" x14ac:dyDescent="0.25">
      <c r="A2219" s="11" t="s">
        <v>2246</v>
      </c>
      <c r="H2219">
        <f>VLOOKUP(Medical_Examinations_2[[#This Row],[Customer ID]],Medical_Examinations!$1:$1048576,9,FALSE)</f>
        <v>1</v>
      </c>
    </row>
    <row r="2220" spans="1:8" x14ac:dyDescent="0.25">
      <c r="A2220" s="10" t="s">
        <v>2247</v>
      </c>
      <c r="H2220">
        <f>VLOOKUP(Medical_Examinations_2[[#This Row],[Customer ID]],Medical_Examinations!$1:$1048576,9,FALSE)</f>
        <v>1</v>
      </c>
    </row>
    <row r="2221" spans="1:8" x14ac:dyDescent="0.25">
      <c r="A2221" s="11" t="s">
        <v>2248</v>
      </c>
      <c r="H2221">
        <f>VLOOKUP(Medical_Examinations_2[[#This Row],[Customer ID]],Medical_Examinations!$1:$1048576,9,FALSE)</f>
        <v>1</v>
      </c>
    </row>
    <row r="2222" spans="1:8" x14ac:dyDescent="0.25">
      <c r="A2222" s="10" t="s">
        <v>2249</v>
      </c>
      <c r="H2222" t="str">
        <f>VLOOKUP(Medical_Examinations_2[[#This Row],[Customer ID]],Medical_Examinations!$1:$1048576,9,FALSE)</f>
        <v>No major surgery</v>
      </c>
    </row>
    <row r="2223" spans="1:8" x14ac:dyDescent="0.25">
      <c r="A2223" s="11" t="s">
        <v>2250</v>
      </c>
      <c r="H2223" t="str">
        <f>VLOOKUP(Medical_Examinations_2[[#This Row],[Customer ID]],Medical_Examinations!$1:$1048576,9,FALSE)</f>
        <v>No major surgery</v>
      </c>
    </row>
    <row r="2224" spans="1:8" x14ac:dyDescent="0.25">
      <c r="A2224" s="10" t="s">
        <v>2251</v>
      </c>
      <c r="H2224" t="str">
        <f>VLOOKUP(Medical_Examinations_2[[#This Row],[Customer ID]],Medical_Examinations!$1:$1048576,9,FALSE)</f>
        <v>No major surgery</v>
      </c>
    </row>
    <row r="2225" spans="1:8" x14ac:dyDescent="0.25">
      <c r="A2225" s="11" t="s">
        <v>2252</v>
      </c>
      <c r="H2225" t="str">
        <f>VLOOKUP(Medical_Examinations_2[[#This Row],[Customer ID]],Medical_Examinations!$1:$1048576,9,FALSE)</f>
        <v>No major surgery</v>
      </c>
    </row>
    <row r="2226" spans="1:8" x14ac:dyDescent="0.25">
      <c r="A2226" s="10" t="s">
        <v>2253</v>
      </c>
      <c r="H2226">
        <f>VLOOKUP(Medical_Examinations_2[[#This Row],[Customer ID]],Medical_Examinations!$1:$1048576,9,FALSE)</f>
        <v>1</v>
      </c>
    </row>
    <row r="2227" spans="1:8" x14ac:dyDescent="0.25">
      <c r="A2227" s="11" t="s">
        <v>2254</v>
      </c>
      <c r="H2227">
        <f>VLOOKUP(Medical_Examinations_2[[#This Row],[Customer ID]],Medical_Examinations!$1:$1048576,9,FALSE)</f>
        <v>1</v>
      </c>
    </row>
    <row r="2228" spans="1:8" x14ac:dyDescent="0.25">
      <c r="A2228" s="10" t="s">
        <v>2255</v>
      </c>
      <c r="H2228">
        <f>VLOOKUP(Medical_Examinations_2[[#This Row],[Customer ID]],Medical_Examinations!$1:$1048576,9,FALSE)</f>
        <v>1</v>
      </c>
    </row>
    <row r="2229" spans="1:8" x14ac:dyDescent="0.25">
      <c r="A2229" s="11" t="s">
        <v>2256</v>
      </c>
      <c r="H2229">
        <f>VLOOKUP(Medical_Examinations_2[[#This Row],[Customer ID]],Medical_Examinations!$1:$1048576,9,FALSE)</f>
        <v>1</v>
      </c>
    </row>
    <row r="2230" spans="1:8" x14ac:dyDescent="0.25">
      <c r="A2230" s="10" t="s">
        <v>2257</v>
      </c>
      <c r="H2230">
        <f>VLOOKUP(Medical_Examinations_2[[#This Row],[Customer ID]],Medical_Examinations!$1:$1048576,9,FALSE)</f>
        <v>1</v>
      </c>
    </row>
    <row r="2231" spans="1:8" x14ac:dyDescent="0.25">
      <c r="A2231" s="11" t="s">
        <v>2258</v>
      </c>
      <c r="H2231">
        <f>VLOOKUP(Medical_Examinations_2[[#This Row],[Customer ID]],Medical_Examinations!$1:$1048576,9,FALSE)</f>
        <v>1</v>
      </c>
    </row>
    <row r="2232" spans="1:8" x14ac:dyDescent="0.25">
      <c r="A2232" s="10" t="s">
        <v>2259</v>
      </c>
      <c r="H2232">
        <f>VLOOKUP(Medical_Examinations_2[[#This Row],[Customer ID]],Medical_Examinations!$1:$1048576,9,FALSE)</f>
        <v>1</v>
      </c>
    </row>
    <row r="2233" spans="1:8" x14ac:dyDescent="0.25">
      <c r="A2233" s="11" t="s">
        <v>2260</v>
      </c>
      <c r="H2233">
        <f>VLOOKUP(Medical_Examinations_2[[#This Row],[Customer ID]],Medical_Examinations!$1:$1048576,9,FALSE)</f>
        <v>1</v>
      </c>
    </row>
    <row r="2234" spans="1:8" x14ac:dyDescent="0.25">
      <c r="A2234" s="10" t="s">
        <v>2261</v>
      </c>
      <c r="H2234" t="str">
        <f>VLOOKUP(Medical_Examinations_2[[#This Row],[Customer ID]],Medical_Examinations!$1:$1048576,9,FALSE)</f>
        <v>No major surgery</v>
      </c>
    </row>
    <row r="2235" spans="1:8" x14ac:dyDescent="0.25">
      <c r="A2235" s="11" t="s">
        <v>2262</v>
      </c>
      <c r="H2235" t="str">
        <f>VLOOKUP(Medical_Examinations_2[[#This Row],[Customer ID]],Medical_Examinations!$1:$1048576,9,FALSE)</f>
        <v>No major surgery</v>
      </c>
    </row>
    <row r="2236" spans="1:8" x14ac:dyDescent="0.25">
      <c r="A2236" s="10" t="s">
        <v>2263</v>
      </c>
      <c r="H2236">
        <f>VLOOKUP(Medical_Examinations_2[[#This Row],[Customer ID]],Medical_Examinations!$1:$1048576,9,FALSE)</f>
        <v>1</v>
      </c>
    </row>
    <row r="2237" spans="1:8" x14ac:dyDescent="0.25">
      <c r="A2237" s="11" t="s">
        <v>2264</v>
      </c>
      <c r="H2237">
        <f>VLOOKUP(Medical_Examinations_2[[#This Row],[Customer ID]],Medical_Examinations!$1:$1048576,9,FALSE)</f>
        <v>1</v>
      </c>
    </row>
    <row r="2238" spans="1:8" x14ac:dyDescent="0.25">
      <c r="A2238" s="10" t="s">
        <v>2265</v>
      </c>
      <c r="H2238" t="str">
        <f>VLOOKUP(Medical_Examinations_2[[#This Row],[Customer ID]],Medical_Examinations!$1:$1048576,9,FALSE)</f>
        <v>No major surgery</v>
      </c>
    </row>
    <row r="2239" spans="1:8" x14ac:dyDescent="0.25">
      <c r="A2239" s="11" t="s">
        <v>2266</v>
      </c>
      <c r="H2239" t="str">
        <f>VLOOKUP(Medical_Examinations_2[[#This Row],[Customer ID]],Medical_Examinations!$1:$1048576,9,FALSE)</f>
        <v>No major surgery</v>
      </c>
    </row>
    <row r="2240" spans="1:8" x14ac:dyDescent="0.25">
      <c r="A2240" s="10" t="s">
        <v>2267</v>
      </c>
      <c r="H2240" t="str">
        <f>VLOOKUP(Medical_Examinations_2[[#This Row],[Customer ID]],Medical_Examinations!$1:$1048576,9,FALSE)</f>
        <v>No major surgery</v>
      </c>
    </row>
    <row r="2241" spans="1:8" x14ac:dyDescent="0.25">
      <c r="A2241" s="11" t="s">
        <v>2268</v>
      </c>
      <c r="H2241" t="str">
        <f>VLOOKUP(Medical_Examinations_2[[#This Row],[Customer ID]],Medical_Examinations!$1:$1048576,9,FALSE)</f>
        <v>No major surgery</v>
      </c>
    </row>
    <row r="2242" spans="1:8" x14ac:dyDescent="0.25">
      <c r="A2242" s="10" t="s">
        <v>2269</v>
      </c>
      <c r="H2242">
        <f>VLOOKUP(Medical_Examinations_2[[#This Row],[Customer ID]],Medical_Examinations!$1:$1048576,9,FALSE)</f>
        <v>1</v>
      </c>
    </row>
    <row r="2243" spans="1:8" x14ac:dyDescent="0.25">
      <c r="A2243" s="11" t="s">
        <v>2270</v>
      </c>
      <c r="H2243">
        <f>VLOOKUP(Medical_Examinations_2[[#This Row],[Customer ID]],Medical_Examinations!$1:$1048576,9,FALSE)</f>
        <v>1</v>
      </c>
    </row>
    <row r="2244" spans="1:8" x14ac:dyDescent="0.25">
      <c r="A2244" s="10" t="s">
        <v>2271</v>
      </c>
      <c r="H2244">
        <f>VLOOKUP(Medical_Examinations_2[[#This Row],[Customer ID]],Medical_Examinations!$1:$1048576,9,FALSE)</f>
        <v>1</v>
      </c>
    </row>
    <row r="2245" spans="1:8" x14ac:dyDescent="0.25">
      <c r="A2245" s="11" t="s">
        <v>2272</v>
      </c>
      <c r="H2245">
        <f>VLOOKUP(Medical_Examinations_2[[#This Row],[Customer ID]],Medical_Examinations!$1:$1048576,9,FALSE)</f>
        <v>1</v>
      </c>
    </row>
    <row r="2246" spans="1:8" x14ac:dyDescent="0.25">
      <c r="A2246" s="10" t="s">
        <v>2273</v>
      </c>
      <c r="H2246" t="str">
        <f>VLOOKUP(Medical_Examinations_2[[#This Row],[Customer ID]],Medical_Examinations!$1:$1048576,9,FALSE)</f>
        <v>No major surgery</v>
      </c>
    </row>
    <row r="2247" spans="1:8" x14ac:dyDescent="0.25">
      <c r="A2247" s="11" t="s">
        <v>2274</v>
      </c>
      <c r="H2247" t="str">
        <f>VLOOKUP(Medical_Examinations_2[[#This Row],[Customer ID]],Medical_Examinations!$1:$1048576,9,FALSE)</f>
        <v>No major surgery</v>
      </c>
    </row>
    <row r="2248" spans="1:8" x14ac:dyDescent="0.25">
      <c r="A2248" s="10" t="s">
        <v>2275</v>
      </c>
      <c r="H2248" t="str">
        <f>VLOOKUP(Medical_Examinations_2[[#This Row],[Customer ID]],Medical_Examinations!$1:$1048576,9,FALSE)</f>
        <v>No major surgery</v>
      </c>
    </row>
    <row r="2249" spans="1:8" x14ac:dyDescent="0.25">
      <c r="A2249" s="11" t="s">
        <v>2276</v>
      </c>
      <c r="H2249" t="str">
        <f>VLOOKUP(Medical_Examinations_2[[#This Row],[Customer ID]],Medical_Examinations!$1:$1048576,9,FALSE)</f>
        <v>No major surgery</v>
      </c>
    </row>
    <row r="2250" spans="1:8" x14ac:dyDescent="0.25">
      <c r="A2250" s="10" t="s">
        <v>2277</v>
      </c>
      <c r="H2250" t="str">
        <f>VLOOKUP(Medical_Examinations_2[[#This Row],[Customer ID]],Medical_Examinations!$1:$1048576,9,FALSE)</f>
        <v>No major surgery</v>
      </c>
    </row>
    <row r="2251" spans="1:8" x14ac:dyDescent="0.25">
      <c r="A2251" s="11" t="s">
        <v>2278</v>
      </c>
      <c r="H2251">
        <f>VLOOKUP(Medical_Examinations_2[[#This Row],[Customer ID]],Medical_Examinations!$1:$1048576,9,FALSE)</f>
        <v>1</v>
      </c>
    </row>
    <row r="2252" spans="1:8" x14ac:dyDescent="0.25">
      <c r="A2252" s="10" t="s">
        <v>2279</v>
      </c>
      <c r="H2252">
        <f>VLOOKUP(Medical_Examinations_2[[#This Row],[Customer ID]],Medical_Examinations!$1:$1048576,9,FALSE)</f>
        <v>1</v>
      </c>
    </row>
    <row r="2253" spans="1:8" x14ac:dyDescent="0.25">
      <c r="A2253" s="11" t="s">
        <v>2280</v>
      </c>
      <c r="H2253">
        <f>VLOOKUP(Medical_Examinations_2[[#This Row],[Customer ID]],Medical_Examinations!$1:$1048576,9,FALSE)</f>
        <v>1</v>
      </c>
    </row>
    <row r="2254" spans="1:8" x14ac:dyDescent="0.25">
      <c r="A2254" s="10" t="s">
        <v>2281</v>
      </c>
      <c r="H2254">
        <f>VLOOKUP(Medical_Examinations_2[[#This Row],[Customer ID]],Medical_Examinations!$1:$1048576,9,FALSE)</f>
        <v>1</v>
      </c>
    </row>
    <row r="2255" spans="1:8" x14ac:dyDescent="0.25">
      <c r="A2255" s="11" t="s">
        <v>2282</v>
      </c>
      <c r="H2255">
        <f>VLOOKUP(Medical_Examinations_2[[#This Row],[Customer ID]],Medical_Examinations!$1:$1048576,9,FALSE)</f>
        <v>1</v>
      </c>
    </row>
    <row r="2256" spans="1:8" x14ac:dyDescent="0.25">
      <c r="A2256" s="10" t="s">
        <v>2283</v>
      </c>
      <c r="H2256" t="str">
        <f>VLOOKUP(Medical_Examinations_2[[#This Row],[Customer ID]],Medical_Examinations!$1:$1048576,9,FALSE)</f>
        <v>No major surgery</v>
      </c>
    </row>
    <row r="2257" spans="1:8" x14ac:dyDescent="0.25">
      <c r="A2257" s="11" t="s">
        <v>2284</v>
      </c>
      <c r="H2257">
        <f>VLOOKUP(Medical_Examinations_2[[#This Row],[Customer ID]],Medical_Examinations!$1:$1048576,9,FALSE)</f>
        <v>1</v>
      </c>
    </row>
    <row r="2258" spans="1:8" x14ac:dyDescent="0.25">
      <c r="A2258" s="10" t="s">
        <v>2285</v>
      </c>
      <c r="H2258">
        <f>VLOOKUP(Medical_Examinations_2[[#This Row],[Customer ID]],Medical_Examinations!$1:$1048576,9,FALSE)</f>
        <v>1</v>
      </c>
    </row>
    <row r="2259" spans="1:8" x14ac:dyDescent="0.25">
      <c r="A2259" s="11" t="s">
        <v>2286</v>
      </c>
      <c r="H2259">
        <f>VLOOKUP(Medical_Examinations_2[[#This Row],[Customer ID]],Medical_Examinations!$1:$1048576,9,FALSE)</f>
        <v>1</v>
      </c>
    </row>
    <row r="2260" spans="1:8" x14ac:dyDescent="0.25">
      <c r="A2260" s="10" t="s">
        <v>2287</v>
      </c>
      <c r="H2260">
        <f>VLOOKUP(Medical_Examinations_2[[#This Row],[Customer ID]],Medical_Examinations!$1:$1048576,9,FALSE)</f>
        <v>1</v>
      </c>
    </row>
    <row r="2261" spans="1:8" x14ac:dyDescent="0.25">
      <c r="A2261" s="11" t="s">
        <v>2288</v>
      </c>
      <c r="H2261">
        <f>VLOOKUP(Medical_Examinations_2[[#This Row],[Customer ID]],Medical_Examinations!$1:$1048576,9,FALSE)</f>
        <v>1</v>
      </c>
    </row>
    <row r="2262" spans="1:8" x14ac:dyDescent="0.25">
      <c r="A2262" s="10" t="s">
        <v>2289</v>
      </c>
      <c r="H2262">
        <f>VLOOKUP(Medical_Examinations_2[[#This Row],[Customer ID]],Medical_Examinations!$1:$1048576,9,FALSE)</f>
        <v>1</v>
      </c>
    </row>
    <row r="2263" spans="1:8" x14ac:dyDescent="0.25">
      <c r="A2263" s="11" t="s">
        <v>2290</v>
      </c>
      <c r="H2263">
        <f>VLOOKUP(Medical_Examinations_2[[#This Row],[Customer ID]],Medical_Examinations!$1:$1048576,9,FALSE)</f>
        <v>1</v>
      </c>
    </row>
    <row r="2264" spans="1:8" x14ac:dyDescent="0.25">
      <c r="A2264" s="10" t="s">
        <v>2291</v>
      </c>
      <c r="H2264">
        <f>VLOOKUP(Medical_Examinations_2[[#This Row],[Customer ID]],Medical_Examinations!$1:$1048576,9,FALSE)</f>
        <v>1</v>
      </c>
    </row>
    <row r="2265" spans="1:8" x14ac:dyDescent="0.25">
      <c r="A2265" s="11" t="s">
        <v>2292</v>
      </c>
      <c r="H2265">
        <f>VLOOKUP(Medical_Examinations_2[[#This Row],[Customer ID]],Medical_Examinations!$1:$1048576,9,FALSE)</f>
        <v>1</v>
      </c>
    </row>
    <row r="2266" spans="1:8" x14ac:dyDescent="0.25">
      <c r="A2266" s="10" t="s">
        <v>2293</v>
      </c>
      <c r="H2266">
        <f>VLOOKUP(Medical_Examinations_2[[#This Row],[Customer ID]],Medical_Examinations!$1:$1048576,9,FALSE)</f>
        <v>1</v>
      </c>
    </row>
    <row r="2267" spans="1:8" x14ac:dyDescent="0.25">
      <c r="A2267" s="11" t="s">
        <v>2294</v>
      </c>
      <c r="H2267" t="str">
        <f>VLOOKUP(Medical_Examinations_2[[#This Row],[Customer ID]],Medical_Examinations!$1:$1048576,9,FALSE)</f>
        <v>No major surgery</v>
      </c>
    </row>
    <row r="2268" spans="1:8" x14ac:dyDescent="0.25">
      <c r="A2268" s="10" t="s">
        <v>2295</v>
      </c>
      <c r="H2268">
        <f>VLOOKUP(Medical_Examinations_2[[#This Row],[Customer ID]],Medical_Examinations!$1:$1048576,9,FALSE)</f>
        <v>1</v>
      </c>
    </row>
    <row r="2269" spans="1:8" x14ac:dyDescent="0.25">
      <c r="A2269" s="11" t="s">
        <v>2296</v>
      </c>
      <c r="H2269" t="str">
        <f>VLOOKUP(Medical_Examinations_2[[#This Row],[Customer ID]],Medical_Examinations!$1:$1048576,9,FALSE)</f>
        <v>No major surgery</v>
      </c>
    </row>
    <row r="2270" spans="1:8" x14ac:dyDescent="0.25">
      <c r="A2270" s="10" t="s">
        <v>2297</v>
      </c>
      <c r="H2270">
        <f>VLOOKUP(Medical_Examinations_2[[#This Row],[Customer ID]],Medical_Examinations!$1:$1048576,9,FALSE)</f>
        <v>1</v>
      </c>
    </row>
    <row r="2271" spans="1:8" x14ac:dyDescent="0.25">
      <c r="A2271" s="11" t="s">
        <v>2298</v>
      </c>
      <c r="H2271">
        <f>VLOOKUP(Medical_Examinations_2[[#This Row],[Customer ID]],Medical_Examinations!$1:$1048576,9,FALSE)</f>
        <v>1</v>
      </c>
    </row>
    <row r="2272" spans="1:8" x14ac:dyDescent="0.25">
      <c r="A2272" s="10" t="s">
        <v>2299</v>
      </c>
      <c r="H2272">
        <f>VLOOKUP(Medical_Examinations_2[[#This Row],[Customer ID]],Medical_Examinations!$1:$1048576,9,FALSE)</f>
        <v>1</v>
      </c>
    </row>
    <row r="2273" spans="1:8" x14ac:dyDescent="0.25">
      <c r="A2273" s="11" t="s">
        <v>2300</v>
      </c>
      <c r="H2273" t="str">
        <f>VLOOKUP(Medical_Examinations_2[[#This Row],[Customer ID]],Medical_Examinations!$1:$1048576,9,FALSE)</f>
        <v>No major surgery</v>
      </c>
    </row>
    <row r="2274" spans="1:8" x14ac:dyDescent="0.25">
      <c r="A2274" s="10" t="s">
        <v>2301</v>
      </c>
      <c r="H2274">
        <f>VLOOKUP(Medical_Examinations_2[[#This Row],[Customer ID]],Medical_Examinations!$1:$1048576,9,FALSE)</f>
        <v>1</v>
      </c>
    </row>
    <row r="2275" spans="1:8" x14ac:dyDescent="0.25">
      <c r="A2275" s="11" t="s">
        <v>2302</v>
      </c>
      <c r="H2275">
        <f>VLOOKUP(Medical_Examinations_2[[#This Row],[Customer ID]],Medical_Examinations!$1:$1048576,9,FALSE)</f>
        <v>1</v>
      </c>
    </row>
    <row r="2276" spans="1:8" x14ac:dyDescent="0.25">
      <c r="A2276" s="10" t="s">
        <v>2303</v>
      </c>
      <c r="H2276" t="str">
        <f>VLOOKUP(Medical_Examinations_2[[#This Row],[Customer ID]],Medical_Examinations!$1:$1048576,9,FALSE)</f>
        <v>No major surgery</v>
      </c>
    </row>
    <row r="2277" spans="1:8" x14ac:dyDescent="0.25">
      <c r="A2277" s="11" t="s">
        <v>2304</v>
      </c>
      <c r="H2277" t="str">
        <f>VLOOKUP(Medical_Examinations_2[[#This Row],[Customer ID]],Medical_Examinations!$1:$1048576,9,FALSE)</f>
        <v>No major surgery</v>
      </c>
    </row>
    <row r="2278" spans="1:8" x14ac:dyDescent="0.25">
      <c r="A2278" s="10" t="s">
        <v>2305</v>
      </c>
      <c r="H2278">
        <f>VLOOKUP(Medical_Examinations_2[[#This Row],[Customer ID]],Medical_Examinations!$1:$1048576,9,FALSE)</f>
        <v>1</v>
      </c>
    </row>
    <row r="2279" spans="1:8" x14ac:dyDescent="0.25">
      <c r="A2279" s="11" t="s">
        <v>2306</v>
      </c>
      <c r="H2279" t="str">
        <f>VLOOKUP(Medical_Examinations_2[[#This Row],[Customer ID]],Medical_Examinations!$1:$1048576,9,FALSE)</f>
        <v>No major surgery</v>
      </c>
    </row>
    <row r="2280" spans="1:8" x14ac:dyDescent="0.25">
      <c r="A2280" s="10" t="s">
        <v>2307</v>
      </c>
      <c r="H2280" t="str">
        <f>VLOOKUP(Medical_Examinations_2[[#This Row],[Customer ID]],Medical_Examinations!$1:$1048576,9,FALSE)</f>
        <v>No major surgery</v>
      </c>
    </row>
    <row r="2281" spans="1:8" x14ac:dyDescent="0.25">
      <c r="A2281" s="11" t="s">
        <v>2308</v>
      </c>
      <c r="H2281" t="str">
        <f>VLOOKUP(Medical_Examinations_2[[#This Row],[Customer ID]],Medical_Examinations!$1:$1048576,9,FALSE)</f>
        <v>No major surgery</v>
      </c>
    </row>
    <row r="2282" spans="1:8" x14ac:dyDescent="0.25">
      <c r="A2282" s="10" t="s">
        <v>2309</v>
      </c>
      <c r="H2282">
        <f>VLOOKUP(Medical_Examinations_2[[#This Row],[Customer ID]],Medical_Examinations!$1:$1048576,9,FALSE)</f>
        <v>1</v>
      </c>
    </row>
    <row r="2283" spans="1:8" x14ac:dyDescent="0.25">
      <c r="A2283" s="11" t="s">
        <v>2310</v>
      </c>
      <c r="H2283" t="str">
        <f>VLOOKUP(Medical_Examinations_2[[#This Row],[Customer ID]],Medical_Examinations!$1:$1048576,9,FALSE)</f>
        <v>No major surgery</v>
      </c>
    </row>
    <row r="2284" spans="1:8" x14ac:dyDescent="0.25">
      <c r="A2284" s="10" t="s">
        <v>2311</v>
      </c>
      <c r="H2284">
        <f>VLOOKUP(Medical_Examinations_2[[#This Row],[Customer ID]],Medical_Examinations!$1:$1048576,9,FALSE)</f>
        <v>1</v>
      </c>
    </row>
    <row r="2285" spans="1:8" x14ac:dyDescent="0.25">
      <c r="A2285" s="11" t="s">
        <v>2312</v>
      </c>
      <c r="H2285">
        <f>VLOOKUP(Medical_Examinations_2[[#This Row],[Customer ID]],Medical_Examinations!$1:$1048576,9,FALSE)</f>
        <v>1</v>
      </c>
    </row>
    <row r="2286" spans="1:8" x14ac:dyDescent="0.25">
      <c r="A2286" s="10" t="s">
        <v>2313</v>
      </c>
      <c r="H2286">
        <f>VLOOKUP(Medical_Examinations_2[[#This Row],[Customer ID]],Medical_Examinations!$1:$1048576,9,FALSE)</f>
        <v>1</v>
      </c>
    </row>
    <row r="2287" spans="1:8" x14ac:dyDescent="0.25">
      <c r="A2287" s="11" t="s">
        <v>2314</v>
      </c>
      <c r="H2287" t="str">
        <f>VLOOKUP(Medical_Examinations_2[[#This Row],[Customer ID]],Medical_Examinations!$1:$1048576,9,FALSE)</f>
        <v>No major surgery</v>
      </c>
    </row>
    <row r="2288" spans="1:8" x14ac:dyDescent="0.25">
      <c r="A2288" s="10" t="s">
        <v>2315</v>
      </c>
      <c r="H2288">
        <f>VLOOKUP(Medical_Examinations_2[[#This Row],[Customer ID]],Medical_Examinations!$1:$1048576,9,FALSE)</f>
        <v>1</v>
      </c>
    </row>
    <row r="2289" spans="1:8" x14ac:dyDescent="0.25">
      <c r="A2289" s="11" t="s">
        <v>2316</v>
      </c>
      <c r="H2289" t="str">
        <f>VLOOKUP(Medical_Examinations_2[[#This Row],[Customer ID]],Medical_Examinations!$1:$1048576,9,FALSE)</f>
        <v>No major surgery</v>
      </c>
    </row>
    <row r="2290" spans="1:8" x14ac:dyDescent="0.25">
      <c r="A2290" s="10" t="s">
        <v>2317</v>
      </c>
      <c r="H2290">
        <f>VLOOKUP(Medical_Examinations_2[[#This Row],[Customer ID]],Medical_Examinations!$1:$1048576,9,FALSE)</f>
        <v>1</v>
      </c>
    </row>
    <row r="2291" spans="1:8" x14ac:dyDescent="0.25">
      <c r="A2291" s="11" t="s">
        <v>2318</v>
      </c>
      <c r="H2291">
        <f>VLOOKUP(Medical_Examinations_2[[#This Row],[Customer ID]],Medical_Examinations!$1:$1048576,9,FALSE)</f>
        <v>1</v>
      </c>
    </row>
    <row r="2292" spans="1:8" x14ac:dyDescent="0.25">
      <c r="A2292" s="10" t="s">
        <v>2319</v>
      </c>
      <c r="H2292" t="str">
        <f>VLOOKUP(Medical_Examinations_2[[#This Row],[Customer ID]],Medical_Examinations!$1:$1048576,9,FALSE)</f>
        <v>No major surgery</v>
      </c>
    </row>
    <row r="2293" spans="1:8" x14ac:dyDescent="0.25">
      <c r="A2293" s="11" t="s">
        <v>2320</v>
      </c>
      <c r="H2293">
        <f>VLOOKUP(Medical_Examinations_2[[#This Row],[Customer ID]],Medical_Examinations!$1:$1048576,9,FALSE)</f>
        <v>1</v>
      </c>
    </row>
    <row r="2294" spans="1:8" x14ac:dyDescent="0.25">
      <c r="A2294" s="10" t="s">
        <v>2321</v>
      </c>
      <c r="H2294">
        <f>VLOOKUP(Medical_Examinations_2[[#This Row],[Customer ID]],Medical_Examinations!$1:$1048576,9,FALSE)</f>
        <v>1</v>
      </c>
    </row>
    <row r="2295" spans="1:8" x14ac:dyDescent="0.25">
      <c r="A2295" s="11" t="s">
        <v>2322</v>
      </c>
      <c r="H2295">
        <f>VLOOKUP(Medical_Examinations_2[[#This Row],[Customer ID]],Medical_Examinations!$1:$1048576,9,FALSE)</f>
        <v>1</v>
      </c>
    </row>
    <row r="2296" spans="1:8" x14ac:dyDescent="0.25">
      <c r="A2296" s="10" t="s">
        <v>2323</v>
      </c>
      <c r="H2296" t="str">
        <f>VLOOKUP(Medical_Examinations_2[[#This Row],[Customer ID]],Medical_Examinations!$1:$1048576,9,FALSE)</f>
        <v>No major surgery</v>
      </c>
    </row>
    <row r="2297" spans="1:8" x14ac:dyDescent="0.25">
      <c r="A2297" s="11" t="s">
        <v>2324</v>
      </c>
      <c r="H2297">
        <f>VLOOKUP(Medical_Examinations_2[[#This Row],[Customer ID]],Medical_Examinations!$1:$1048576,9,FALSE)</f>
        <v>1</v>
      </c>
    </row>
    <row r="2298" spans="1:8" x14ac:dyDescent="0.25">
      <c r="A2298" s="10" t="s">
        <v>2325</v>
      </c>
      <c r="H2298">
        <f>VLOOKUP(Medical_Examinations_2[[#This Row],[Customer ID]],Medical_Examinations!$1:$1048576,9,FALSE)</f>
        <v>1</v>
      </c>
    </row>
    <row r="2299" spans="1:8" x14ac:dyDescent="0.25">
      <c r="A2299" s="11" t="s">
        <v>2326</v>
      </c>
      <c r="H2299" t="str">
        <f>VLOOKUP(Medical_Examinations_2[[#This Row],[Customer ID]],Medical_Examinations!$1:$1048576,9,FALSE)</f>
        <v>No major surgery</v>
      </c>
    </row>
    <row r="2300" spans="1:8" x14ac:dyDescent="0.25">
      <c r="A2300" s="10" t="s">
        <v>2327</v>
      </c>
      <c r="H2300">
        <f>VLOOKUP(Medical_Examinations_2[[#This Row],[Customer ID]],Medical_Examinations!$1:$1048576,9,FALSE)</f>
        <v>1</v>
      </c>
    </row>
    <row r="2301" spans="1:8" x14ac:dyDescent="0.25">
      <c r="A2301" s="11" t="s">
        <v>2328</v>
      </c>
      <c r="H2301">
        <f>VLOOKUP(Medical_Examinations_2[[#This Row],[Customer ID]],Medical_Examinations!$1:$1048576,9,FALSE)</f>
        <v>1</v>
      </c>
    </row>
    <row r="2302" spans="1:8" x14ac:dyDescent="0.25">
      <c r="A2302" s="10" t="s">
        <v>2329</v>
      </c>
      <c r="H2302">
        <f>VLOOKUP(Medical_Examinations_2[[#This Row],[Customer ID]],Medical_Examinations!$1:$1048576,9,FALSE)</f>
        <v>1</v>
      </c>
    </row>
    <row r="2303" spans="1:8" x14ac:dyDescent="0.25">
      <c r="A2303" s="11" t="s">
        <v>2330</v>
      </c>
      <c r="H2303">
        <f>VLOOKUP(Medical_Examinations_2[[#This Row],[Customer ID]],Medical_Examinations!$1:$1048576,9,FALSE)</f>
        <v>1</v>
      </c>
    </row>
    <row r="2304" spans="1:8" x14ac:dyDescent="0.25">
      <c r="A2304" s="10" t="s">
        <v>2331</v>
      </c>
      <c r="H2304">
        <f>VLOOKUP(Medical_Examinations_2[[#This Row],[Customer ID]],Medical_Examinations!$1:$1048576,9,FALSE)</f>
        <v>1</v>
      </c>
    </row>
    <row r="2305" spans="1:8" x14ac:dyDescent="0.25">
      <c r="A2305" s="11" t="s">
        <v>2332</v>
      </c>
      <c r="H2305" t="str">
        <f>VLOOKUP(Medical_Examinations_2[[#This Row],[Customer ID]],Medical_Examinations!$1:$1048576,9,FALSE)</f>
        <v>No major surgery</v>
      </c>
    </row>
    <row r="2306" spans="1:8" x14ac:dyDescent="0.25">
      <c r="A2306" s="10" t="s">
        <v>2333</v>
      </c>
      <c r="H2306" t="str">
        <f>VLOOKUP(Medical_Examinations_2[[#This Row],[Customer ID]],Medical_Examinations!$1:$1048576,9,FALSE)</f>
        <v>No major surgery</v>
      </c>
    </row>
    <row r="2307" spans="1:8" x14ac:dyDescent="0.25">
      <c r="A2307" s="11" t="s">
        <v>2334</v>
      </c>
      <c r="H2307" t="str">
        <f>VLOOKUP(Medical_Examinations_2[[#This Row],[Customer ID]],Medical_Examinations!$1:$1048576,9,FALSE)</f>
        <v>No major surgery</v>
      </c>
    </row>
    <row r="2308" spans="1:8" x14ac:dyDescent="0.25">
      <c r="A2308" s="10" t="s">
        <v>2335</v>
      </c>
      <c r="H2308">
        <f>VLOOKUP(Medical_Examinations_2[[#This Row],[Customer ID]],Medical_Examinations!$1:$1048576,9,FALSE)</f>
        <v>1</v>
      </c>
    </row>
    <row r="2309" spans="1:8" x14ac:dyDescent="0.25">
      <c r="A2309" s="11" t="s">
        <v>2336</v>
      </c>
      <c r="H2309" t="str">
        <f>VLOOKUP(Medical_Examinations_2[[#This Row],[Customer ID]],Medical_Examinations!$1:$1048576,9,FALSE)</f>
        <v>No major surgery</v>
      </c>
    </row>
    <row r="2310" spans="1:8" x14ac:dyDescent="0.25">
      <c r="A2310" s="10" t="s">
        <v>2337</v>
      </c>
      <c r="H2310">
        <f>VLOOKUP(Medical_Examinations_2[[#This Row],[Customer ID]],Medical_Examinations!$1:$1048576,9,FALSE)</f>
        <v>1</v>
      </c>
    </row>
    <row r="2311" spans="1:8" x14ac:dyDescent="0.25">
      <c r="A2311" s="11" t="s">
        <v>2338</v>
      </c>
      <c r="H2311" t="str">
        <f>VLOOKUP(Medical_Examinations_2[[#This Row],[Customer ID]],Medical_Examinations!$1:$1048576,9,FALSE)</f>
        <v>No major surgery</v>
      </c>
    </row>
    <row r="2312" spans="1:8" x14ac:dyDescent="0.25">
      <c r="A2312" s="10" t="s">
        <v>2339</v>
      </c>
      <c r="H2312" t="str">
        <f>VLOOKUP(Medical_Examinations_2[[#This Row],[Customer ID]],Medical_Examinations!$1:$1048576,9,FALSE)</f>
        <v>No major surgery</v>
      </c>
    </row>
    <row r="2313" spans="1:8" x14ac:dyDescent="0.25">
      <c r="A2313" s="11" t="s">
        <v>2340</v>
      </c>
      <c r="H2313">
        <f>VLOOKUP(Medical_Examinations_2[[#This Row],[Customer ID]],Medical_Examinations!$1:$1048576,9,FALSE)</f>
        <v>1</v>
      </c>
    </row>
    <row r="2314" spans="1:8" x14ac:dyDescent="0.25">
      <c r="A2314" s="10" t="s">
        <v>2341</v>
      </c>
      <c r="H2314" t="str">
        <f>VLOOKUP(Medical_Examinations_2[[#This Row],[Customer ID]],Medical_Examinations!$1:$1048576,9,FALSE)</f>
        <v>No major surgery</v>
      </c>
    </row>
    <row r="2315" spans="1:8" x14ac:dyDescent="0.25">
      <c r="A2315" s="11" t="s">
        <v>2342</v>
      </c>
      <c r="H2315">
        <f>VLOOKUP(Medical_Examinations_2[[#This Row],[Customer ID]],Medical_Examinations!$1:$1048576,9,FALSE)</f>
        <v>1</v>
      </c>
    </row>
    <row r="2316" spans="1:8" x14ac:dyDescent="0.25">
      <c r="A2316" s="10" t="s">
        <v>2343</v>
      </c>
      <c r="H2316">
        <f>VLOOKUP(Medical_Examinations_2[[#This Row],[Customer ID]],Medical_Examinations!$1:$1048576,9,FALSE)</f>
        <v>1</v>
      </c>
    </row>
    <row r="2317" spans="1:8" x14ac:dyDescent="0.25">
      <c r="A2317" s="11" t="s">
        <v>2344</v>
      </c>
      <c r="H2317">
        <f>VLOOKUP(Medical_Examinations_2[[#This Row],[Customer ID]],Medical_Examinations!$1:$1048576,9,FALSE)</f>
        <v>1</v>
      </c>
    </row>
    <row r="2318" spans="1:8" x14ac:dyDescent="0.25">
      <c r="A2318" s="10" t="s">
        <v>2345</v>
      </c>
      <c r="H2318">
        <f>VLOOKUP(Medical_Examinations_2[[#This Row],[Customer ID]],Medical_Examinations!$1:$1048576,9,FALSE)</f>
        <v>1</v>
      </c>
    </row>
    <row r="2319" spans="1:8" x14ac:dyDescent="0.25">
      <c r="A2319" s="11" t="s">
        <v>2346</v>
      </c>
      <c r="H2319" t="str">
        <f>VLOOKUP(Medical_Examinations_2[[#This Row],[Customer ID]],Medical_Examinations!$1:$1048576,9,FALSE)</f>
        <v>No major surgery</v>
      </c>
    </row>
    <row r="2320" spans="1:8" x14ac:dyDescent="0.25">
      <c r="A2320" s="10" t="s">
        <v>2347</v>
      </c>
      <c r="H2320">
        <f>VLOOKUP(Medical_Examinations_2[[#This Row],[Customer ID]],Medical_Examinations!$1:$1048576,9,FALSE)</f>
        <v>1</v>
      </c>
    </row>
    <row r="2321" spans="1:8" x14ac:dyDescent="0.25">
      <c r="A2321" s="11" t="s">
        <v>2348</v>
      </c>
      <c r="H2321" t="str">
        <f>VLOOKUP(Medical_Examinations_2[[#This Row],[Customer ID]],Medical_Examinations!$1:$1048576,9,FALSE)</f>
        <v>No major surgery</v>
      </c>
    </row>
    <row r="2322" spans="1:8" x14ac:dyDescent="0.25">
      <c r="A2322" s="10" t="s">
        <v>2349</v>
      </c>
      <c r="H2322">
        <f>VLOOKUP(Medical_Examinations_2[[#This Row],[Customer ID]],Medical_Examinations!$1:$1048576,9,FALSE)</f>
        <v>1</v>
      </c>
    </row>
    <row r="2323" spans="1:8" x14ac:dyDescent="0.25">
      <c r="A2323" s="11" t="s">
        <v>2350</v>
      </c>
      <c r="H2323" t="str">
        <f>VLOOKUP(Medical_Examinations_2[[#This Row],[Customer ID]],Medical_Examinations!$1:$1048576,9,FALSE)</f>
        <v>No major surgery</v>
      </c>
    </row>
    <row r="2324" spans="1:8" x14ac:dyDescent="0.25">
      <c r="A2324" s="10" t="s">
        <v>2351</v>
      </c>
      <c r="H2324" t="str">
        <f>VLOOKUP(Medical_Examinations_2[[#This Row],[Customer ID]],Medical_Examinations!$1:$1048576,9,FALSE)</f>
        <v>No major surgery</v>
      </c>
    </row>
    <row r="2325" spans="1:8" x14ac:dyDescent="0.25">
      <c r="A2325" s="11" t="s">
        <v>2352</v>
      </c>
      <c r="H2325" t="str">
        <f>VLOOKUP(Medical_Examinations_2[[#This Row],[Customer ID]],Medical_Examinations!$1:$1048576,9,FALSE)</f>
        <v>No major surgery</v>
      </c>
    </row>
    <row r="2326" spans="1:8" x14ac:dyDescent="0.25">
      <c r="A2326" s="10" t="s">
        <v>2353</v>
      </c>
      <c r="H2326" t="str">
        <f>VLOOKUP(Medical_Examinations_2[[#This Row],[Customer ID]],Medical_Examinations!$1:$1048576,9,FALSE)</f>
        <v>No major surgery</v>
      </c>
    </row>
    <row r="2327" spans="1:8" x14ac:dyDescent="0.25">
      <c r="A2327" s="11" t="s">
        <v>2354</v>
      </c>
      <c r="H2327">
        <f>VLOOKUP(Medical_Examinations_2[[#This Row],[Customer ID]],Medical_Examinations!$1:$1048576,9,FALSE)</f>
        <v>1</v>
      </c>
    </row>
    <row r="2328" spans="1:8" x14ac:dyDescent="0.25">
      <c r="A2328" s="10" t="s">
        <v>2355</v>
      </c>
      <c r="H2328" t="str">
        <f>VLOOKUP(Medical_Examinations_2[[#This Row],[Customer ID]],Medical_Examinations!$1:$1048576,9,FALSE)</f>
        <v>No major surgery</v>
      </c>
    </row>
    <row r="2329" spans="1:8" x14ac:dyDescent="0.25">
      <c r="A2329" s="11" t="s">
        <v>2356</v>
      </c>
      <c r="H2329">
        <f>VLOOKUP(Medical_Examinations_2[[#This Row],[Customer ID]],Medical_Examinations!$1:$1048576,9,FALSE)</f>
        <v>1</v>
      </c>
    </row>
    <row r="2330" spans="1:8" x14ac:dyDescent="0.25">
      <c r="A2330" s="10" t="s">
        <v>2357</v>
      </c>
      <c r="H2330">
        <f>VLOOKUP(Medical_Examinations_2[[#This Row],[Customer ID]],Medical_Examinations!$1:$1048576,9,FALSE)</f>
        <v>1</v>
      </c>
    </row>
    <row r="2331" spans="1:8" x14ac:dyDescent="0.25">
      <c r="A2331" s="11" t="s">
        <v>2358</v>
      </c>
      <c r="H2331" t="str">
        <f>VLOOKUP(Medical_Examinations_2[[#This Row],[Customer ID]],Medical_Examinations!$1:$1048576,9,FALSE)</f>
        <v>No major surgery</v>
      </c>
    </row>
    <row r="2332" spans="1:8" x14ac:dyDescent="0.25">
      <c r="A2332" s="10" t="s">
        <v>2359</v>
      </c>
      <c r="H2332">
        <f>VLOOKUP(Medical_Examinations_2[[#This Row],[Customer ID]],Medical_Examinations!$1:$1048576,9,FALSE)</f>
        <v>1</v>
      </c>
    </row>
    <row r="2333" spans="1:8" x14ac:dyDescent="0.25">
      <c r="A2333" s="11" t="s">
        <v>2360</v>
      </c>
      <c r="H2333">
        <f>VLOOKUP(Medical_Examinations_2[[#This Row],[Customer ID]],Medical_Examinations!$1:$1048576,9,FALSE)</f>
        <v>1</v>
      </c>
    </row>
    <row r="2334" spans="1:8" x14ac:dyDescent="0.25">
      <c r="A2334" s="10" t="s">
        <v>2361</v>
      </c>
      <c r="H2334">
        <f>VLOOKUP(Medical_Examinations_2[[#This Row],[Customer ID]],Medical_Examinations!$1:$1048576,9,FALSE)</f>
        <v>1</v>
      </c>
    </row>
    <row r="2335" spans="1:8" x14ac:dyDescent="0.25">
      <c r="A2335" s="11" t="s">
        <v>2362</v>
      </c>
      <c r="H2335">
        <f>VLOOKUP(Medical_Examinations_2[[#This Row],[Customer ID]],Medical_Examinations!$1:$1048576,9,FALSE)</f>
        <v>1</v>
      </c>
    </row>
    <row r="2336" spans="1:8" x14ac:dyDescent="0.25">
      <c r="A2336" s="10" t="s">
        <v>2363</v>
      </c>
      <c r="H2336">
        <f>VLOOKUP(Medical_Examinations_2[[#This Row],[Customer ID]],Medical_Examinations!$1:$1048576,9,FALSE)</f>
        <v>1</v>
      </c>
    </row>
    <row r="2337" spans="1:8" x14ac:dyDescent="0.25">
      <c r="A2337" s="11" t="s">
        <v>2364</v>
      </c>
      <c r="H2337" t="e">
        <f>VLOOKUP(Medical_Examinations_2[[#This Row],[Customer ID]],Medical_Examinations!$1:$1048576,9,FALSE)</f>
        <v>#VALUE!</v>
      </c>
    </row>
    <row r="2338" spans="1:8" x14ac:dyDescent="0.25">
      <c r="A2338" s="10" t="s">
        <v>2365</v>
      </c>
      <c r="H2338" t="e">
        <f>VLOOKUP(Medical_Examinations_2[[#This Row],[Customer ID]],Medical_Examinations!$1:$1048576,9,FALSE)</f>
        <v>#VALUE!</v>
      </c>
    </row>
    <row r="2339" spans="1:8" x14ac:dyDescent="0.25">
      <c r="A2339" s="11" t="s">
        <v>2366</v>
      </c>
      <c r="H2339" t="e">
        <f>VLOOKUP(Medical_Examinations_2[[#This Row],[Customer ID]],Medical_Examinations!$1:$1048576,9,FALSE)</f>
        <v>#VALUE!</v>
      </c>
    </row>
    <row r="2340" spans="1:8" x14ac:dyDescent="0.25">
      <c r="A2340" s="10" t="s">
        <v>2367</v>
      </c>
      <c r="H2340" t="e">
        <f>VLOOKUP(Medical_Examinations_2[[#This Row],[Customer ID]],Medical_Examinations!$1:$1048576,9,FALSE)</f>
        <v>#VALUE!</v>
      </c>
    </row>
    <row r="2341" spans="1:8" x14ac:dyDescent="0.25">
      <c r="A2341" s="11" t="s">
        <v>2368</v>
      </c>
      <c r="H2341" t="e">
        <f>VLOOKUP(Medical_Examinations_2[[#This Row],[Customer ID]],Medical_Examinations!$1:$1048576,9,FALSE)</f>
        <v>#VALUE!</v>
      </c>
    </row>
    <row r="2342" spans="1:8" x14ac:dyDescent="0.25">
      <c r="A2342" s="10" t="s">
        <v>2369</v>
      </c>
      <c r="H2342" t="e">
        <f>VLOOKUP(Medical_Examinations_2[[#This Row],[Customer ID]],Medical_Examinations!$1:$1048576,9,FALSE)</f>
        <v>#VALUE!</v>
      </c>
    </row>
    <row r="2343" spans="1:8" x14ac:dyDescent="0.25">
      <c r="A2343" s="11" t="s">
        <v>2370</v>
      </c>
      <c r="H2343" t="e">
        <f>VLOOKUP(Medical_Examinations_2[[#This Row],[Customer ID]],Medical_Examinations!$1:$1048576,9,FALSE)</f>
        <v>#VALUE!</v>
      </c>
    </row>
    <row r="2344" spans="1:8" x14ac:dyDescent="0.25">
      <c r="A2344" s="10" t="s">
        <v>2371</v>
      </c>
      <c r="H2344" t="e">
        <f>VLOOKUP(Medical_Examinations_2[[#This Row],[Customer ID]],Medical_Examinations!$1:$1048576,9,FALSE)</f>
        <v>#VALUE!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FF437-1C2D-4C23-B965-F0DD73659EBB}">
  <dimension ref="A3:N34"/>
  <sheetViews>
    <sheetView topLeftCell="D7" workbookViewId="0">
      <selection activeCell="J7" sqref="J7"/>
    </sheetView>
  </sheetViews>
  <sheetFormatPr defaultRowHeight="15" x14ac:dyDescent="0.25"/>
  <cols>
    <col min="1" max="1" width="16.85546875" bestFit="1" customWidth="1"/>
    <col min="2" max="2" width="16.28515625" bestFit="1" customWidth="1"/>
    <col min="3" max="3" width="6.7109375" bestFit="1" customWidth="1"/>
    <col min="4" max="4" width="5.85546875" bestFit="1" customWidth="1"/>
    <col min="5" max="5" width="13.140625" bestFit="1" customWidth="1"/>
    <col min="6" max="6" width="31.28515625" bestFit="1" customWidth="1"/>
    <col min="7" max="7" width="13.5703125" bestFit="1" customWidth="1"/>
    <col min="8" max="8" width="13.140625" bestFit="1" customWidth="1"/>
    <col min="9" max="9" width="16.85546875" bestFit="1" customWidth="1"/>
    <col min="10" max="21" width="16.28515625" bestFit="1" customWidth="1"/>
    <col min="22" max="23" width="11.28515625" bestFit="1" customWidth="1"/>
    <col min="24" max="35" width="6" bestFit="1" customWidth="1"/>
    <col min="36" max="36" width="8" bestFit="1" customWidth="1"/>
    <col min="37" max="37" width="16.140625" bestFit="1" customWidth="1"/>
    <col min="38" max="38" width="18.5703125" bestFit="1" customWidth="1"/>
    <col min="39" max="750" width="16.28515625" bestFit="1" customWidth="1"/>
    <col min="751" max="751" width="11.28515625" bestFit="1" customWidth="1"/>
  </cols>
  <sheetData>
    <row r="3" spans="1:14" x14ac:dyDescent="0.25">
      <c r="A3" s="12" t="s">
        <v>10720</v>
      </c>
      <c r="B3" t="s">
        <v>10724</v>
      </c>
      <c r="E3" s="12" t="s">
        <v>10720</v>
      </c>
      <c r="F3" t="s">
        <v>10732</v>
      </c>
      <c r="G3" t="s">
        <v>10725</v>
      </c>
      <c r="I3" s="12" t="s">
        <v>10731</v>
      </c>
      <c r="J3" s="12" t="s">
        <v>10723</v>
      </c>
    </row>
    <row r="4" spans="1:14" x14ac:dyDescent="0.25">
      <c r="A4" s="2" t="s">
        <v>2379</v>
      </c>
      <c r="B4" s="3"/>
      <c r="E4" s="2" t="s">
        <v>2379</v>
      </c>
      <c r="F4" s="3">
        <v>47</v>
      </c>
      <c r="G4" s="3">
        <v>450.52999999999986</v>
      </c>
      <c r="I4" s="12" t="s">
        <v>10720</v>
      </c>
      <c r="J4" t="s">
        <v>10728</v>
      </c>
      <c r="K4" t="s">
        <v>10729</v>
      </c>
      <c r="L4" t="s">
        <v>10730</v>
      </c>
      <c r="M4" t="s">
        <v>10721</v>
      </c>
      <c r="N4" t="s">
        <v>10722</v>
      </c>
    </row>
    <row r="5" spans="1:14" x14ac:dyDescent="0.25">
      <c r="A5" s="2" t="s">
        <v>2382</v>
      </c>
      <c r="B5" s="3">
        <v>24</v>
      </c>
      <c r="E5" s="2" t="s">
        <v>2381</v>
      </c>
      <c r="F5" s="3">
        <v>1</v>
      </c>
      <c r="G5" s="3">
        <v>4.1900000000000004</v>
      </c>
      <c r="I5" s="2" t="s">
        <v>10726</v>
      </c>
      <c r="J5" s="3"/>
      <c r="K5" s="3"/>
      <c r="L5" s="3"/>
      <c r="M5" s="3"/>
      <c r="N5" s="3"/>
    </row>
    <row r="6" spans="1:14" x14ac:dyDescent="0.25">
      <c r="A6" s="2" t="s">
        <v>10721</v>
      </c>
      <c r="B6" s="3"/>
      <c r="E6" s="2" t="s">
        <v>10721</v>
      </c>
      <c r="F6" s="3" t="e">
        <v>#VALUE!</v>
      </c>
      <c r="G6" s="3">
        <v>6436.6300000000028</v>
      </c>
      <c r="I6" s="2" t="s">
        <v>10727</v>
      </c>
      <c r="J6" s="3">
        <v>50</v>
      </c>
      <c r="K6" s="3">
        <v>17</v>
      </c>
      <c r="L6" s="3">
        <v>13</v>
      </c>
      <c r="M6" s="3"/>
      <c r="N6" s="3">
        <v>80</v>
      </c>
    </row>
    <row r="7" spans="1:14" x14ac:dyDescent="0.25">
      <c r="A7" s="2" t="s">
        <v>10722</v>
      </c>
      <c r="B7" s="3">
        <v>24</v>
      </c>
      <c r="E7" s="2" t="s">
        <v>10722</v>
      </c>
      <c r="F7" s="3" t="e">
        <v>#VALUE!</v>
      </c>
      <c r="G7" s="3">
        <v>6891.3500000000031</v>
      </c>
      <c r="I7" s="2" t="s">
        <v>10716</v>
      </c>
      <c r="J7" s="3"/>
      <c r="K7" s="3"/>
      <c r="L7" s="3"/>
      <c r="M7" s="3"/>
      <c r="N7" s="3"/>
    </row>
    <row r="8" spans="1:14" x14ac:dyDescent="0.25">
      <c r="I8" s="2" t="s">
        <v>10721</v>
      </c>
      <c r="J8" s="3"/>
      <c r="K8" s="3"/>
      <c r="L8" s="3"/>
      <c r="M8" s="3"/>
      <c r="N8" s="3"/>
    </row>
    <row r="9" spans="1:14" x14ac:dyDescent="0.25">
      <c r="I9" s="2" t="s">
        <v>10722</v>
      </c>
      <c r="J9" s="3">
        <v>50</v>
      </c>
      <c r="K9" s="3">
        <v>17</v>
      </c>
      <c r="L9" s="3">
        <v>13</v>
      </c>
      <c r="M9" s="3"/>
      <c r="N9" s="3">
        <v>80</v>
      </c>
    </row>
    <row r="19" spans="1:9" x14ac:dyDescent="0.25">
      <c r="A19" s="12" t="s">
        <v>10731</v>
      </c>
      <c r="B19" s="12" t="s">
        <v>10723</v>
      </c>
      <c r="H19" s="12" t="s">
        <v>10720</v>
      </c>
      <c r="I19" t="s">
        <v>10731</v>
      </c>
    </row>
    <row r="20" spans="1:9" x14ac:dyDescent="0.25">
      <c r="A20" s="12" t="s">
        <v>10720</v>
      </c>
      <c r="B20" t="s">
        <v>10</v>
      </c>
      <c r="C20" t="s">
        <v>11</v>
      </c>
      <c r="D20" t="s">
        <v>4741</v>
      </c>
      <c r="E20" t="s">
        <v>10721</v>
      </c>
      <c r="F20" t="s">
        <v>10722</v>
      </c>
      <c r="H20" s="2">
        <v>22</v>
      </c>
      <c r="I20" s="3">
        <v>17</v>
      </c>
    </row>
    <row r="21" spans="1:9" x14ac:dyDescent="0.25">
      <c r="A21" s="2" t="s">
        <v>41</v>
      </c>
      <c r="B21" s="3">
        <v>8</v>
      </c>
      <c r="C21" s="3">
        <v>2</v>
      </c>
      <c r="D21" s="3"/>
      <c r="E21" s="3"/>
      <c r="F21" s="3">
        <v>10</v>
      </c>
      <c r="H21" s="2">
        <v>23</v>
      </c>
      <c r="I21" s="3">
        <v>9</v>
      </c>
    </row>
    <row r="22" spans="1:9" x14ac:dyDescent="0.25">
      <c r="A22" s="2" t="s">
        <v>22</v>
      </c>
      <c r="B22" s="3">
        <v>6</v>
      </c>
      <c r="C22" s="3">
        <v>5</v>
      </c>
      <c r="D22" s="3"/>
      <c r="E22" s="3"/>
      <c r="F22" s="3">
        <v>11</v>
      </c>
      <c r="H22" s="2">
        <v>24</v>
      </c>
      <c r="I22" s="3">
        <v>12</v>
      </c>
    </row>
    <row r="23" spans="1:9" x14ac:dyDescent="0.25">
      <c r="A23" s="2" t="s">
        <v>12</v>
      </c>
      <c r="B23" s="3">
        <v>18</v>
      </c>
      <c r="C23" s="3">
        <v>40</v>
      </c>
      <c r="D23" s="3">
        <v>1</v>
      </c>
      <c r="E23" s="3"/>
      <c r="F23" s="3">
        <v>59</v>
      </c>
      <c r="H23" s="2">
        <v>25</v>
      </c>
      <c r="I23" s="3">
        <v>5</v>
      </c>
    </row>
    <row r="24" spans="1:9" x14ac:dyDescent="0.25">
      <c r="A24" s="2" t="s">
        <v>10721</v>
      </c>
      <c r="B24" s="3"/>
      <c r="C24" s="3"/>
      <c r="D24" s="3"/>
      <c r="E24" s="3"/>
      <c r="F24" s="3"/>
      <c r="H24" s="2">
        <v>26</v>
      </c>
      <c r="I24" s="3">
        <v>2</v>
      </c>
    </row>
    <row r="25" spans="1:9" x14ac:dyDescent="0.25">
      <c r="A25" s="2" t="s">
        <v>10722</v>
      </c>
      <c r="B25" s="3">
        <v>32</v>
      </c>
      <c r="C25" s="3">
        <v>47</v>
      </c>
      <c r="D25" s="3">
        <v>1</v>
      </c>
      <c r="E25" s="3"/>
      <c r="F25" s="3">
        <v>80</v>
      </c>
      <c r="H25" s="2">
        <v>27</v>
      </c>
      <c r="I25" s="3">
        <v>4</v>
      </c>
    </row>
    <row r="26" spans="1:9" x14ac:dyDescent="0.25">
      <c r="H26" s="2">
        <v>28</v>
      </c>
      <c r="I26" s="3">
        <v>4</v>
      </c>
    </row>
    <row r="27" spans="1:9" x14ac:dyDescent="0.25">
      <c r="H27" s="2">
        <v>29</v>
      </c>
      <c r="I27" s="3">
        <v>4</v>
      </c>
    </row>
    <row r="28" spans="1:9" x14ac:dyDescent="0.25">
      <c r="H28" s="2">
        <v>30</v>
      </c>
      <c r="I28" s="3">
        <v>4</v>
      </c>
    </row>
    <row r="29" spans="1:9" x14ac:dyDescent="0.25">
      <c r="H29" s="2">
        <v>31</v>
      </c>
      <c r="I29" s="3">
        <v>5</v>
      </c>
    </row>
    <row r="30" spans="1:9" x14ac:dyDescent="0.25">
      <c r="H30" s="2">
        <v>32</v>
      </c>
      <c r="I30" s="3">
        <v>4</v>
      </c>
    </row>
    <row r="31" spans="1:9" x14ac:dyDescent="0.25">
      <c r="H31" s="2">
        <v>33</v>
      </c>
      <c r="I31" s="3">
        <v>6</v>
      </c>
    </row>
    <row r="32" spans="1:9" x14ac:dyDescent="0.25">
      <c r="H32" s="2">
        <v>34</v>
      </c>
      <c r="I32" s="3">
        <v>4</v>
      </c>
    </row>
    <row r="33" spans="8:9" x14ac:dyDescent="0.25">
      <c r="H33" s="2" t="s">
        <v>10721</v>
      </c>
      <c r="I33" s="3"/>
    </row>
    <row r="34" spans="8:9" x14ac:dyDescent="0.25">
      <c r="H34" s="2" t="s">
        <v>10722</v>
      </c>
      <c r="I34" s="3">
        <v>80</v>
      </c>
    </row>
  </sheetData>
  <pageMargins left="0.7" right="0.7" top="0.75" bottom="0.75" header="0.3" footer="0.3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5399-17D4-4918-BD1E-32E613D57782}">
  <dimension ref="C1"/>
  <sheetViews>
    <sheetView tabSelected="1" workbookViewId="0">
      <selection activeCell="O6" sqref="O6"/>
    </sheetView>
  </sheetViews>
  <sheetFormatPr defaultRowHeight="15" x14ac:dyDescent="0.25"/>
  <cols>
    <col min="1" max="16384" width="9.140625" style="13"/>
  </cols>
  <sheetData>
    <row r="1" spans="3:3" ht="28.5" x14ac:dyDescent="0.45">
      <c r="C1" s="14" t="s">
        <v>10733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A8005F-3CF9-4E9C-AA4E-315B2EC088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Medical_Examinations</vt:lpstr>
      <vt:lpstr>Customer_Names</vt:lpstr>
      <vt:lpstr>Hospitalisation_Details_2__2</vt:lpstr>
      <vt:lpstr>Healthcare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2026-09-18T17:21:06Z</dcterms:modified>
</cp:coreProperties>
</file>