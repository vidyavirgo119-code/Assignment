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B977408C-9412-486F-A609-4ED0077E759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B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C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I3" i="2"/>
  <c r="I4" i="2"/>
  <c r="I5" i="2"/>
  <c r="I6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2" i="2"/>
  <c r="I23" i="2"/>
  <c r="I24" i="2"/>
  <c r="I25" i="2"/>
  <c r="I27" i="2"/>
  <c r="I28" i="2"/>
  <c r="I29" i="2"/>
  <c r="I30" i="2"/>
  <c r="I31" i="2"/>
  <c r="I32" i="2"/>
  <c r="I2" i="2"/>
  <c r="I21" i="2" l="1"/>
  <c r="I7" i="2"/>
  <c r="G34" i="2"/>
  <c r="I26" i="2"/>
</calcChain>
</file>

<file path=xl/sharedStrings.xml><?xml version="1.0" encoding="utf-8"?>
<sst xmlns="http://schemas.openxmlformats.org/spreadsheetml/2006/main" count="152" uniqueCount="119">
  <si>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</si>
  <si>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</si>
  <si>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</si>
  <si>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</si>
  <si>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</si>
  <si>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</si>
  <si>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</si>
  <si>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</si>
  <si>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</si>
  <si>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</si>
  <si>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</si>
  <si>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</si>
  <si>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</si>
  <si>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</si>
  <si>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</si>
  <si>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</si>
  <si>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</si>
  <si>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</si>
  <si>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</si>
  <si>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</si>
  <si>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</si>
  <si>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</si>
  <si>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</si>
  <si>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</si>
  <si>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</si>
  <si>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</si>
  <si>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</si>
  <si>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</si>
  <si>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</si>
  <si>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</si>
  <si>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</si>
  <si>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</si>
  <si>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</si>
  <si>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</si>
  <si>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</si>
  <si>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</si>
  <si>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</si>
  <si>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</si>
  <si>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</si>
  <si>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</si>
  <si>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</si>
  <si>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</si>
  <si>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</si>
  <si>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</si>
  <si>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</si>
  <si>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</si>
  <si>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</si>
  <si>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</si>
  <si>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</si>
  <si>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</si>
  <si>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</si>
  <si>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</si>
  <si>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</si>
  <si>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</si>
  <si>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</si>
  <si>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</si>
  <si>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</si>
  <si>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</si>
  <si>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</si>
  <si>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</si>
  <si>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</si>
  <si>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</si>
  <si>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</si>
  <si>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</si>
  <si>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</si>
  <si>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</si>
  <si>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</si>
  <si>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</si>
  <si>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</si>
  <si>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</si>
  <si>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</si>
  <si>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</si>
  <si>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</si>
  <si>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</si>
  <si>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</si>
  <si>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</si>
  <si>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</si>
  <si>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</si>
  <si>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</si>
  <si>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</si>
  <si>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</si>
  <si>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</si>
  <si>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</si>
  <si>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</si>
  <si>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</si>
  <si>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</si>
  <si>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</si>
  <si>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</si>
  <si>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</si>
  <si>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</si>
  <si>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</si>
  <si>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</si>
  <si>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</si>
  <si>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</si>
  <si>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</si>
  <si>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</si>
  <si>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</si>
  <si>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</si>
  <si>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</si>
  <si>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</si>
  <si>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</si>
  <si>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</si>
  <si>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</si>
  <si>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</si>
  <si>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</si>
  <si>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</si>
  <si>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</si>
  <si>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</si>
  <si>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</si>
  <si>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</si>
  <si>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</si>
  <si>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</si>
  <si>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VALUES</t>
  </si>
  <si>
    <t>Price impute</t>
  </si>
  <si>
    <t>Category Replace</t>
  </si>
  <si>
    <t>Manufacturing date</t>
  </si>
  <si>
    <t>Country code</t>
  </si>
  <si>
    <t>Product Brand</t>
  </si>
  <si>
    <t>Price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</si>
</sst>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6" formatCode="_-[$$-409]* #,##0.00_ ;_-[$$-409]* \-#,##0.00\ ;_-[$$-409]* &quot;-&quot;??_ ;_-@_ "/>
    <numFmt numFmtId="167" formatCode="[$-14009]dd/mm/yyyy;@"/>
    <numFmt numFmtId="169" formatCode="[$-F800]dddd\,\ mmmm\ dd\,\ yyyy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4" borderId="0" xfId="0" applyFill="1"/>
    <xf numFmtId="0" fontId="9" fillId="2" borderId="0" xfId="0" applyFont="1" applyFill="1" applyAlignment="1">
      <alignment horizontal="center"/>
    </xf>
    <xf numFmtId="167" fontId="5" fillId="0" borderId="0" xfId="0" applyNumberFormat="1" applyFont="1"/>
    <xf numFmtId="169" fontId="5" fillId="0" borderId="0" xfId="0" applyNumberFormat="1" applyFont="1"/>
    <xf numFmtId="169" fontId="7" fillId="2" borderId="0" xfId="0" applyNumberFormat="1" applyFont="1" applyFill="1" applyAlignment="1">
      <alignment horizontal="center"/>
    </xf>
    <xf numFmtId="169" fontId="0" fillId="0" borderId="0" xfId="0" applyNumberFormat="1"/>
    <xf numFmtId="166" fontId="5" fillId="0" borderId="0" xfId="0" applyNumberFormat="1" applyFont="1" applyFill="1"/>
    <xf numFmtId="166" fontId="5" fillId="0" borderId="0" xfId="1" applyNumberFormat="1" applyFont="1" applyFill="1"/>
    <xf numFmtId="166" fontId="0" fillId="0" borderId="0" xfId="0" applyNumberForma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7" workbookViewId="0">
      <selection activeCell="D30" sqref="D30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000"/>
  <sheetViews>
    <sheetView tabSelected="1" zoomScale="83" workbookViewId="0">
      <selection activeCell="C16" sqref="C16"/>
    </sheetView>
  </sheetViews>
  <sheetFormatPr defaultColWidth="12.5703125" defaultRowHeight="15" customHeight="1" x14ac:dyDescent="0.2"/>
  <cols>
    <col min="1" max="1" width="12.5703125" customWidth="1"/>
    <col min="2" max="2" width="19.7109375" style="14" bestFit="1" customWidth="1"/>
    <col min="3" max="3" width="14.140625" bestFit="1" customWidth="1"/>
    <col min="4" max="4" width="14.5703125" bestFit="1" customWidth="1"/>
    <col min="5" max="5" width="12.5703125" customWidth="1"/>
    <col min="6" max="6" width="22.5703125" bestFit="1" customWidth="1"/>
    <col min="7" max="7" width="12.5703125" customWidth="1"/>
    <col min="8" max="8" width="12.5703125" style="17" customWidth="1"/>
    <col min="9" max="11" width="12.5703125" customWidth="1"/>
    <col min="12" max="12" width="18" customWidth="1"/>
  </cols>
  <sheetData>
    <row r="1" spans="1:21" ht="15.75" customHeight="1" x14ac:dyDescent="0.2">
      <c r="A1" s="7" t="s">
        <v>19</v>
      </c>
      <c r="B1" s="13" t="s">
        <v>115</v>
      </c>
      <c r="C1" s="7" t="s">
        <v>116</v>
      </c>
      <c r="D1" s="7" t="s">
        <v>20</v>
      </c>
      <c r="E1" s="7" t="s">
        <v>21</v>
      </c>
      <c r="F1" s="7" t="s">
        <v>117</v>
      </c>
      <c r="G1" s="7" t="s">
        <v>22</v>
      </c>
      <c r="H1" s="10" t="s">
        <v>118</v>
      </c>
      <c r="I1" s="7" t="s">
        <v>113</v>
      </c>
      <c r="J1" s="7" t="s">
        <v>23</v>
      </c>
      <c r="K1" s="7" t="s">
        <v>24</v>
      </c>
      <c r="L1" s="7" t="s">
        <v>114</v>
      </c>
    </row>
    <row r="2" spans="1:21" ht="15.75" customHeight="1" x14ac:dyDescent="0.2">
      <c r="A2" s="5" t="s">
        <v>25</v>
      </c>
      <c r="B2" s="11" t="str">
        <f>LEFT(A2,6)</f>
        <v>28-JAN</v>
      </c>
      <c r="C2" s="5" t="str">
        <f>RIGHT(A2,2)</f>
        <v>US</v>
      </c>
      <c r="D2" s="5" t="s">
        <v>58</v>
      </c>
      <c r="E2" s="5" t="s">
        <v>26</v>
      </c>
      <c r="F2" s="5" t="str">
        <f>CONCATENATE(Dataset!E2," ",Dataset!D2)</f>
        <v>Dell Laptop</v>
      </c>
      <c r="G2" s="5">
        <v>1000</v>
      </c>
      <c r="H2" s="15">
        <v>1000</v>
      </c>
      <c r="I2" s="5">
        <f>IF(ISBLANK(G2), AVERAGE(G2:G35),G2)</f>
        <v>1000</v>
      </c>
      <c r="J2" s="5">
        <v>30</v>
      </c>
      <c r="K2" s="5" t="s">
        <v>27</v>
      </c>
      <c r="L2" t="str">
        <f>IF(ISBLANK(K2), "Unknown",K2)</f>
        <v>Electronics</v>
      </c>
    </row>
    <row r="3" spans="1:21" ht="15.75" customHeight="1" x14ac:dyDescent="0.25">
      <c r="A3" s="8" t="s">
        <v>28</v>
      </c>
      <c r="B3" s="12" t="str">
        <f t="shared" ref="B3:B32" si="0">LEFT(A3,6)</f>
        <v>15-FEB</v>
      </c>
      <c r="C3" s="5" t="str">
        <f t="shared" ref="C3:C32" si="1">RIGHT(A3,2)</f>
        <v>US</v>
      </c>
      <c r="D3" s="8" t="s">
        <v>29</v>
      </c>
      <c r="E3" s="8" t="s">
        <v>30</v>
      </c>
      <c r="F3" s="5" t="str">
        <f>CONCATENATE(Dataset!E3," ",Dataset!D3)</f>
        <v>Nike Sneakers</v>
      </c>
      <c r="G3" s="8">
        <v>80</v>
      </c>
      <c r="H3" s="15">
        <v>80</v>
      </c>
      <c r="I3" s="5">
        <f>IF(ISBLANK(G3), AVERAGE(G3:G36),G3)</f>
        <v>80</v>
      </c>
      <c r="J3" s="8">
        <v>15</v>
      </c>
      <c r="K3" s="8" t="s">
        <v>31</v>
      </c>
      <c r="L3" t="str">
        <f>IF(ISBLANK(K3), "Unknown",K3)</f>
        <v>Fashion</v>
      </c>
      <c r="N3" s="2"/>
      <c r="O3" s="5"/>
      <c r="P3" s="5"/>
      <c r="Q3" s="5"/>
      <c r="R3" s="5"/>
      <c r="S3" s="5"/>
      <c r="T3" s="5"/>
      <c r="U3" s="5"/>
    </row>
    <row r="4" spans="1:21" ht="15.75" customHeight="1" x14ac:dyDescent="0.25">
      <c r="A4" s="5" t="s">
        <v>32</v>
      </c>
      <c r="B4" s="12" t="str">
        <f t="shared" si="0"/>
        <v>03-MAR</v>
      </c>
      <c r="C4" s="5" t="str">
        <f t="shared" si="1"/>
        <v>US</v>
      </c>
      <c r="D4" s="5" t="s">
        <v>33</v>
      </c>
      <c r="E4" s="5" t="s">
        <v>34</v>
      </c>
      <c r="F4" s="5" t="str">
        <f>CONCATENATE(Dataset!E4," ",Dataset!D4)</f>
        <v>Keurig Coffee Maker</v>
      </c>
      <c r="G4" s="5">
        <v>130</v>
      </c>
      <c r="H4" s="16">
        <v>130</v>
      </c>
      <c r="I4" s="5">
        <f>IF(ISBLANK(G4), AVERAGE(G4:G36),G4)</f>
        <v>130</v>
      </c>
      <c r="J4" s="5">
        <v>40</v>
      </c>
      <c r="K4" s="5" t="s">
        <v>35</v>
      </c>
      <c r="L4" t="str">
        <f>IF(ISBLANK(K4), "Unknown",K4)</f>
        <v>Kitchen</v>
      </c>
      <c r="N4" s="5"/>
      <c r="O4" s="3"/>
      <c r="P4" s="5"/>
      <c r="Q4" s="5"/>
      <c r="R4" s="5"/>
      <c r="S4" s="5"/>
      <c r="T4" s="5"/>
      <c r="U4" s="5"/>
    </row>
    <row r="5" spans="1:21" ht="15.75" customHeight="1" x14ac:dyDescent="0.25">
      <c r="A5" s="8" t="s">
        <v>36</v>
      </c>
      <c r="B5" s="12" t="str">
        <f t="shared" si="0"/>
        <v>11-APR</v>
      </c>
      <c r="C5" s="5" t="str">
        <f t="shared" si="1"/>
        <v>US</v>
      </c>
      <c r="D5" s="8" t="s">
        <v>92</v>
      </c>
      <c r="E5" s="8" t="s">
        <v>37</v>
      </c>
      <c r="F5" s="5" t="str">
        <f>CONCATENATE(Dataset!E5," ",Dataset!D5)</f>
        <v>Samsung Smartphone</v>
      </c>
      <c r="G5" s="8">
        <v>900</v>
      </c>
      <c r="H5" s="15">
        <v>900</v>
      </c>
      <c r="I5" s="5">
        <f>IF(ISBLANK(G5), AVERAGE(G5:G38),G5)</f>
        <v>900</v>
      </c>
      <c r="J5" s="8">
        <v>25</v>
      </c>
      <c r="K5" s="8" t="s">
        <v>27</v>
      </c>
      <c r="L5" t="str">
        <f>IF(ISBLANK(K5), "Unknown",K5)</f>
        <v>Electronics</v>
      </c>
      <c r="N5" s="5"/>
      <c r="O5" s="3"/>
      <c r="P5" s="5"/>
      <c r="Q5" s="5"/>
      <c r="R5" s="5"/>
      <c r="S5" s="5"/>
      <c r="T5" s="5"/>
      <c r="U5" s="5"/>
    </row>
    <row r="6" spans="1:21" ht="15.75" customHeight="1" x14ac:dyDescent="0.2">
      <c r="A6" s="5" t="s">
        <v>38</v>
      </c>
      <c r="B6" s="12" t="str">
        <f t="shared" si="0"/>
        <v>22-MAY</v>
      </c>
      <c r="C6" s="5" t="str">
        <f t="shared" si="1"/>
        <v>US</v>
      </c>
      <c r="D6" s="5" t="s">
        <v>39</v>
      </c>
      <c r="E6" s="5" t="s">
        <v>40</v>
      </c>
      <c r="F6" s="5" t="str">
        <f>CONCATENATE(Dataset!E6," ",Dataset!D6)</f>
        <v>North Face Backpack</v>
      </c>
      <c r="G6" s="5">
        <v>70</v>
      </c>
      <c r="H6" s="15">
        <v>70</v>
      </c>
      <c r="I6" s="5">
        <f>IF(ISBLANK(G6), AVERAGE(G6:G39),G6)</f>
        <v>70</v>
      </c>
      <c r="J6" s="5">
        <v>20</v>
      </c>
      <c r="K6" s="5"/>
      <c r="L6" s="9" t="str">
        <f>IF(ISBLANK(K6), "Unknown",K6)</f>
        <v>Unknown</v>
      </c>
    </row>
    <row r="7" spans="1:21" ht="15.75" customHeight="1" x14ac:dyDescent="0.2">
      <c r="A7" s="8" t="s">
        <v>41</v>
      </c>
      <c r="B7" s="12" t="str">
        <f t="shared" si="0"/>
        <v>07-JUN</v>
      </c>
      <c r="C7" s="5" t="str">
        <f t="shared" si="1"/>
        <v>UK</v>
      </c>
      <c r="D7" s="8" t="s">
        <v>42</v>
      </c>
      <c r="E7" s="8" t="s">
        <v>43</v>
      </c>
      <c r="F7" s="5" t="str">
        <f>CONCATENATE(Dataset!E7," ",Dataset!D7)</f>
        <v>Sony Headphones</v>
      </c>
      <c r="G7" s="8"/>
      <c r="H7" s="15"/>
      <c r="I7" s="5">
        <f ca="1">IF(ISBLANK(G7), AVERAGE(G7:G40),G7)</f>
        <v>256.91666666666669</v>
      </c>
      <c r="J7" s="8">
        <v>45</v>
      </c>
      <c r="K7" s="8" t="s">
        <v>27</v>
      </c>
      <c r="L7" t="str">
        <f>IF(ISBLANK(K7), "Unknown",K7)</f>
        <v>Electronics</v>
      </c>
    </row>
    <row r="8" spans="1:21" ht="15.75" customHeight="1" x14ac:dyDescent="0.2">
      <c r="A8" s="5" t="s">
        <v>44</v>
      </c>
      <c r="B8" s="12" t="str">
        <f t="shared" si="0"/>
        <v>19-JUL</v>
      </c>
      <c r="C8" s="5" t="str">
        <f t="shared" si="1"/>
        <v>UK</v>
      </c>
      <c r="D8" s="5" t="s">
        <v>45</v>
      </c>
      <c r="E8" s="5" t="s">
        <v>46</v>
      </c>
      <c r="F8" s="5" t="str">
        <f>CONCATENATE(Dataset!E8," ",Dataset!D8)</f>
        <v>Adidas T-shirt</v>
      </c>
      <c r="G8" s="5">
        <v>30</v>
      </c>
      <c r="H8" s="15">
        <v>30</v>
      </c>
      <c r="I8" s="5">
        <f>IF(ISBLANK(G8), AVERAGE(G8:G41),G8)</f>
        <v>30</v>
      </c>
      <c r="J8" s="5">
        <v>5</v>
      </c>
      <c r="K8" s="5" t="s">
        <v>31</v>
      </c>
      <c r="L8" t="str">
        <f>IF(ISBLANK(K8), "Unknown",K8)</f>
        <v>Fashion</v>
      </c>
    </row>
    <row r="9" spans="1:21" ht="15.75" customHeight="1" x14ac:dyDescent="0.2">
      <c r="A9" s="8" t="s">
        <v>47</v>
      </c>
      <c r="B9" s="12" t="str">
        <f t="shared" si="0"/>
        <v>23-AUG</v>
      </c>
      <c r="C9" s="5" t="str">
        <f t="shared" si="1"/>
        <v>UK</v>
      </c>
      <c r="D9" s="8" t="s">
        <v>48</v>
      </c>
      <c r="E9" s="8" t="s">
        <v>49</v>
      </c>
      <c r="F9" s="5" t="str">
        <f>CONCATENATE(Dataset!E9," ",Dataset!D9)</f>
        <v>Ninja Blender</v>
      </c>
      <c r="G9" s="8">
        <v>90</v>
      </c>
      <c r="H9" s="15">
        <v>90</v>
      </c>
      <c r="I9" s="5">
        <f>IF(ISBLANK(G9), AVERAGE(G9:G42),G9)</f>
        <v>90</v>
      </c>
      <c r="J9" s="8">
        <v>35</v>
      </c>
      <c r="K9" s="8" t="s">
        <v>35</v>
      </c>
      <c r="L9" t="str">
        <f>IF(ISBLANK(K9), "Unknown",K9)</f>
        <v>Kitchen</v>
      </c>
    </row>
    <row r="10" spans="1:21" ht="15.75" customHeight="1" x14ac:dyDescent="0.2">
      <c r="A10" s="5" t="s">
        <v>50</v>
      </c>
      <c r="B10" s="12" t="str">
        <f t="shared" si="0"/>
        <v>05-SEP</v>
      </c>
      <c r="C10" s="5" t="str">
        <f t="shared" si="1"/>
        <v>UK</v>
      </c>
      <c r="D10" s="5" t="s">
        <v>51</v>
      </c>
      <c r="E10" s="5" t="s">
        <v>52</v>
      </c>
      <c r="F10" s="5" t="str">
        <f>CONCATENATE(Dataset!E10," ",Dataset!D10)</f>
        <v>Apple Tablet</v>
      </c>
      <c r="G10" s="5">
        <v>500</v>
      </c>
      <c r="H10" s="15">
        <v>500</v>
      </c>
      <c r="I10" s="5">
        <f>IF(ISBLANK(G10), AVERAGE(G10:G43),G10)</f>
        <v>500</v>
      </c>
      <c r="J10" s="5">
        <v>50</v>
      </c>
      <c r="K10" s="5" t="s">
        <v>27</v>
      </c>
      <c r="L10" t="str">
        <f>IF(ISBLANK(K10), "Unknown",K10)</f>
        <v>Electronics</v>
      </c>
    </row>
    <row r="11" spans="1:21" ht="15.75" customHeight="1" x14ac:dyDescent="0.2">
      <c r="A11" s="8" t="s">
        <v>53</v>
      </c>
      <c r="B11" s="12" t="str">
        <f t="shared" si="0"/>
        <v>14-OCT</v>
      </c>
      <c r="C11" s="5" t="str">
        <f t="shared" si="1"/>
        <v>UK</v>
      </c>
      <c r="D11" s="8" t="s">
        <v>54</v>
      </c>
      <c r="E11" s="8" t="s">
        <v>55</v>
      </c>
      <c r="F11" s="5" t="str">
        <f>CONCATENATE(Dataset!E11," ",Dataset!D11)</f>
        <v>Timberland Hiking Boots</v>
      </c>
      <c r="G11" s="8">
        <v>130</v>
      </c>
      <c r="H11" s="15">
        <v>130</v>
      </c>
      <c r="I11" s="5">
        <f>IF(ISBLANK(G11), AVERAGE(G11:G44),G11)</f>
        <v>130</v>
      </c>
      <c r="J11" s="8">
        <v>10</v>
      </c>
      <c r="K11" s="8" t="s">
        <v>56</v>
      </c>
      <c r="L11" t="str">
        <f>IF(ISBLANK(K11), "Unknown",K11)</f>
        <v>Outdoor</v>
      </c>
    </row>
    <row r="12" spans="1:21" ht="15.75" customHeight="1" x14ac:dyDescent="0.2">
      <c r="A12" s="5" t="s">
        <v>57</v>
      </c>
      <c r="B12" s="12" t="str">
        <f t="shared" si="0"/>
        <v>17-JUN</v>
      </c>
      <c r="C12" s="5" t="str">
        <f t="shared" si="1"/>
        <v>IN</v>
      </c>
      <c r="D12" s="5" t="s">
        <v>58</v>
      </c>
      <c r="E12" s="5" t="s">
        <v>59</v>
      </c>
      <c r="F12" s="5" t="str">
        <f>CONCATENATE(Dataset!E12," ",Dataset!D12)</f>
        <v>HP Laptop</v>
      </c>
      <c r="G12" s="5">
        <v>950</v>
      </c>
      <c r="H12" s="15">
        <v>950</v>
      </c>
      <c r="I12" s="5">
        <f>IF(ISBLANK(G12), AVERAGE(G12:G45),G12)</f>
        <v>950</v>
      </c>
      <c r="J12" s="5">
        <v>25</v>
      </c>
      <c r="K12" s="5" t="s">
        <v>27</v>
      </c>
      <c r="L12" t="str">
        <f>IF(ISBLANK(K12), "Unknown",K12)</f>
        <v>Electronics</v>
      </c>
    </row>
    <row r="13" spans="1:21" ht="15.75" customHeight="1" x14ac:dyDescent="0.2">
      <c r="A13" s="8" t="s">
        <v>60</v>
      </c>
      <c r="B13" s="12" t="str">
        <f t="shared" si="0"/>
        <v>25-NOV</v>
      </c>
      <c r="C13" s="5" t="str">
        <f t="shared" si="1"/>
        <v>AU</v>
      </c>
      <c r="D13" s="8" t="s">
        <v>29</v>
      </c>
      <c r="E13" s="8" t="s">
        <v>46</v>
      </c>
      <c r="F13" s="5" t="str">
        <f>CONCATENATE(Dataset!E13," ",Dataset!D13)</f>
        <v>Adidas Sneakers</v>
      </c>
      <c r="G13" s="8">
        <v>90</v>
      </c>
      <c r="H13" s="15">
        <v>90</v>
      </c>
      <c r="I13" s="5">
        <f>IF(ISBLANK(G13), AVERAGE(G13:G46),G13)</f>
        <v>90</v>
      </c>
      <c r="J13" s="8">
        <v>40</v>
      </c>
      <c r="K13" s="8"/>
      <c r="L13" s="9" t="str">
        <f>IF(ISBLANK(K13), "Unknown",K13)</f>
        <v>Unknown</v>
      </c>
    </row>
    <row r="14" spans="1:21" ht="15.75" customHeight="1" x14ac:dyDescent="0.2">
      <c r="A14" s="5" t="s">
        <v>61</v>
      </c>
      <c r="B14" s="12" t="str">
        <f t="shared" si="0"/>
        <v>08-DEC</v>
      </c>
      <c r="C14" s="5" t="str">
        <f t="shared" si="1"/>
        <v>DE</v>
      </c>
      <c r="D14" s="5" t="s">
        <v>33</v>
      </c>
      <c r="E14" s="5" t="s">
        <v>62</v>
      </c>
      <c r="F14" s="5" t="str">
        <f>CONCATENATE(Dataset!E14," ",Dataset!D14)</f>
        <v>Nespresso Coffee Maker</v>
      </c>
      <c r="G14" s="5">
        <v>120</v>
      </c>
      <c r="H14" s="15">
        <v>120</v>
      </c>
      <c r="I14" s="5">
        <f>IF(ISBLANK(G14), AVERAGE(G14:G47),G14)</f>
        <v>120</v>
      </c>
      <c r="J14" s="5">
        <v>35</v>
      </c>
      <c r="K14" s="5"/>
      <c r="L14" s="9" t="str">
        <f>IF(ISBLANK(K14), "Unknown",K14)</f>
        <v>Unknown</v>
      </c>
    </row>
    <row r="15" spans="1:21" ht="15.75" customHeight="1" x14ac:dyDescent="0.2">
      <c r="A15" s="8" t="s">
        <v>63</v>
      </c>
      <c r="B15" s="12" t="str">
        <f t="shared" si="0"/>
        <v>18-FEB</v>
      </c>
      <c r="C15" s="5" t="str">
        <f t="shared" si="1"/>
        <v>CA</v>
      </c>
      <c r="D15" s="8" t="s">
        <v>64</v>
      </c>
      <c r="E15" s="8" t="s">
        <v>65</v>
      </c>
      <c r="F15" s="5" t="str">
        <f>CONCATENATE(Dataset!E15," ",Dataset!D15)</f>
        <v>Fitbit Smartwatch</v>
      </c>
      <c r="G15" s="8">
        <v>150</v>
      </c>
      <c r="H15" s="15">
        <v>150</v>
      </c>
      <c r="I15" s="5">
        <f>IF(ISBLANK(G15), AVERAGE(G15:G48),G15)</f>
        <v>150</v>
      </c>
      <c r="J15" s="8">
        <v>15</v>
      </c>
      <c r="K15" s="8" t="s">
        <v>27</v>
      </c>
      <c r="L15" t="str">
        <f>IF(ISBLANK(K15), "Unknown",K15)</f>
        <v>Electronics</v>
      </c>
    </row>
    <row r="16" spans="1:21" ht="15.75" customHeight="1" x14ac:dyDescent="0.2">
      <c r="A16" s="5" t="s">
        <v>66</v>
      </c>
      <c r="B16" s="12" t="str">
        <f t="shared" si="0"/>
        <v>16-APR</v>
      </c>
      <c r="C16" s="5" t="str">
        <f t="shared" si="1"/>
        <v>ES</v>
      </c>
      <c r="D16" s="5" t="s">
        <v>42</v>
      </c>
      <c r="E16" s="5" t="s">
        <v>67</v>
      </c>
      <c r="F16" s="5" t="str">
        <f>CONCATENATE(Dataset!E16," ",Dataset!D16)</f>
        <v>Bose Headphones</v>
      </c>
      <c r="G16" s="5">
        <v>250</v>
      </c>
      <c r="H16" s="15">
        <v>250</v>
      </c>
      <c r="I16" s="5">
        <f>IF(ISBLANK(G16), AVERAGE(G16:G49),G16)</f>
        <v>250</v>
      </c>
      <c r="J16" s="5">
        <v>20</v>
      </c>
      <c r="K16" s="5" t="s">
        <v>27</v>
      </c>
      <c r="L16" t="str">
        <f>IF(ISBLANK(K16), "Unknown",K16)</f>
        <v>Electronics</v>
      </c>
    </row>
    <row r="17" spans="1:12" ht="15.75" customHeight="1" x14ac:dyDescent="0.2">
      <c r="A17" s="8" t="s">
        <v>68</v>
      </c>
      <c r="B17" s="12" t="str">
        <f t="shared" si="0"/>
        <v>21-AUG</v>
      </c>
      <c r="C17" s="5" t="str">
        <f t="shared" si="1"/>
        <v>CA</v>
      </c>
      <c r="D17" s="8" t="s">
        <v>69</v>
      </c>
      <c r="E17" s="8" t="s">
        <v>70</v>
      </c>
      <c r="F17" s="5" t="str">
        <f>CONCATENATE(Dataset!E17," ",Dataset!D17)</f>
        <v>Samsonite Laptop Bag</v>
      </c>
      <c r="G17" s="8">
        <v>50</v>
      </c>
      <c r="H17" s="15">
        <v>50</v>
      </c>
      <c r="I17" s="5">
        <f>IF(ISBLANK(G17), AVERAGE(G17:G50),G17)</f>
        <v>50</v>
      </c>
      <c r="J17" s="8">
        <v>35</v>
      </c>
      <c r="K17" s="8" t="s">
        <v>71</v>
      </c>
      <c r="L17" t="str">
        <f>IF(ISBLANK(K17), "Unknown",K17)</f>
        <v>Accessories</v>
      </c>
    </row>
    <row r="18" spans="1:12" ht="15.75" customHeight="1" x14ac:dyDescent="0.2">
      <c r="A18" s="5" t="s">
        <v>72</v>
      </c>
      <c r="B18" s="12" t="str">
        <f t="shared" si="0"/>
        <v>20-AUG</v>
      </c>
      <c r="C18" s="5" t="str">
        <f t="shared" si="1"/>
        <v>CN</v>
      </c>
      <c r="D18" s="5" t="s">
        <v>64</v>
      </c>
      <c r="E18" s="5" t="s">
        <v>73</v>
      </c>
      <c r="F18" s="5" t="str">
        <f>CONCATENATE(Dataset!E18," ",Dataset!D18)</f>
        <v>Huawei Smartwatch</v>
      </c>
      <c r="G18" s="5">
        <v>160</v>
      </c>
      <c r="H18" s="15">
        <v>160</v>
      </c>
      <c r="I18" s="5">
        <f>IF(ISBLANK(G18), AVERAGE(G18:G51),G18)</f>
        <v>160</v>
      </c>
      <c r="J18" s="5">
        <v>15</v>
      </c>
      <c r="K18" s="8" t="s">
        <v>27</v>
      </c>
      <c r="L18" t="str">
        <f>IF(ISBLANK(K18), "Unknown",K18)</f>
        <v>Electronics</v>
      </c>
    </row>
    <row r="19" spans="1:12" ht="15.75" customHeight="1" x14ac:dyDescent="0.2">
      <c r="A19" s="8" t="s">
        <v>74</v>
      </c>
      <c r="B19" s="12" t="str">
        <f t="shared" si="0"/>
        <v>27-JAN</v>
      </c>
      <c r="C19" s="5" t="str">
        <f t="shared" si="1"/>
        <v>IT</v>
      </c>
      <c r="D19" s="8" t="s">
        <v>58</v>
      </c>
      <c r="E19" s="8" t="s">
        <v>75</v>
      </c>
      <c r="F19" s="5" t="str">
        <f>CONCATENATE(Dataset!E19," ",Dataset!D19)</f>
        <v>Asus Laptop</v>
      </c>
      <c r="G19" s="8">
        <v>980</v>
      </c>
      <c r="H19" s="15">
        <v>980</v>
      </c>
      <c r="I19" s="5">
        <f>IF(ISBLANK(G19), AVERAGE(G19:G52),G19)</f>
        <v>980</v>
      </c>
      <c r="J19" s="8">
        <v>10</v>
      </c>
      <c r="K19" s="8" t="s">
        <v>27</v>
      </c>
      <c r="L19" t="str">
        <f>IF(ISBLANK(K19), "Unknown",K19)</f>
        <v>Electronics</v>
      </c>
    </row>
    <row r="20" spans="1:12" ht="15.75" customHeight="1" x14ac:dyDescent="0.2">
      <c r="A20" s="5" t="s">
        <v>76</v>
      </c>
      <c r="B20" s="12" t="str">
        <f t="shared" si="0"/>
        <v>01-MAR</v>
      </c>
      <c r="C20" s="5" t="str">
        <f t="shared" si="1"/>
        <v>UK</v>
      </c>
      <c r="D20" s="5" t="s">
        <v>77</v>
      </c>
      <c r="E20" s="5" t="s">
        <v>78</v>
      </c>
      <c r="F20" s="5" t="str">
        <f>CONCATENATE(Dataset!E20," ",Dataset!D20)</f>
        <v>Oakley Sunglasses</v>
      </c>
      <c r="G20" s="5">
        <v>150</v>
      </c>
      <c r="H20" s="15">
        <v>150</v>
      </c>
      <c r="I20" s="5">
        <f>IF(ISBLANK(G20), AVERAGE(G20:G53),G20)</f>
        <v>150</v>
      </c>
      <c r="J20" s="5">
        <v>15</v>
      </c>
      <c r="K20" s="5" t="s">
        <v>31</v>
      </c>
      <c r="L20" t="str">
        <f>IF(ISBLANK(K20), "Unknown",K20)</f>
        <v>Fashion</v>
      </c>
    </row>
    <row r="21" spans="1:12" ht="15.75" customHeight="1" x14ac:dyDescent="0.2">
      <c r="A21" s="8" t="s">
        <v>79</v>
      </c>
      <c r="B21" s="12" t="str">
        <f t="shared" si="0"/>
        <v>14-AUG</v>
      </c>
      <c r="C21" s="5" t="str">
        <f t="shared" si="1"/>
        <v>US</v>
      </c>
      <c r="D21" s="8" t="s">
        <v>80</v>
      </c>
      <c r="E21" s="8" t="s">
        <v>81</v>
      </c>
      <c r="F21" s="5" t="str">
        <f>CONCATENATE(Dataset!E21," ",Dataset!D21)</f>
        <v>Coleman Camping Tent</v>
      </c>
      <c r="G21" s="8"/>
      <c r="H21" s="15"/>
      <c r="I21" s="5">
        <f ca="1">IF(ISBLANK(G21), AVERAGE(G21:G54),G21)</f>
        <v>228.72727272727272</v>
      </c>
      <c r="J21" s="8">
        <v>10</v>
      </c>
      <c r="K21" s="8" t="s">
        <v>56</v>
      </c>
      <c r="L21" t="str">
        <f>IF(ISBLANK(K21), "Unknown",K21)</f>
        <v>Outdoor</v>
      </c>
    </row>
    <row r="22" spans="1:12" ht="15.75" customHeight="1" x14ac:dyDescent="0.2">
      <c r="A22" s="5" t="s">
        <v>82</v>
      </c>
      <c r="B22" s="12" t="str">
        <f t="shared" si="0"/>
        <v>14-MAY</v>
      </c>
      <c r="C22" s="5" t="str">
        <f t="shared" si="1"/>
        <v>RU</v>
      </c>
      <c r="D22" s="5" t="s">
        <v>83</v>
      </c>
      <c r="E22" s="5" t="s">
        <v>84</v>
      </c>
      <c r="F22" s="5" t="str">
        <f>CONCATENATE(Dataset!E22," ",Dataset!D22)</f>
        <v>Nikon Camera</v>
      </c>
      <c r="G22" s="5">
        <v>700</v>
      </c>
      <c r="H22" s="15">
        <v>700</v>
      </c>
      <c r="I22" s="5">
        <f>IF(ISBLANK(G22), AVERAGE(G22:G55),G22)</f>
        <v>700</v>
      </c>
      <c r="J22" s="5">
        <v>50</v>
      </c>
      <c r="K22" s="5" t="s">
        <v>27</v>
      </c>
      <c r="L22" t="str">
        <f>IF(ISBLANK(K22), "Unknown",K22)</f>
        <v>Electronics</v>
      </c>
    </row>
    <row r="23" spans="1:12" ht="15.75" customHeight="1" x14ac:dyDescent="0.2">
      <c r="A23" s="8" t="s">
        <v>85</v>
      </c>
      <c r="B23" s="12" t="str">
        <f t="shared" si="0"/>
        <v>09-JAN</v>
      </c>
      <c r="C23" s="5" t="str">
        <f t="shared" si="1"/>
        <v>CA</v>
      </c>
      <c r="D23" s="8" t="s">
        <v>86</v>
      </c>
      <c r="E23" s="8" t="s">
        <v>87</v>
      </c>
      <c r="F23" s="5" t="str">
        <f>CONCATENATE(Dataset!E23," ",Dataset!D23)</f>
        <v>Panasonic Microwave</v>
      </c>
      <c r="G23" s="8">
        <v>80</v>
      </c>
      <c r="H23" s="15">
        <v>80</v>
      </c>
      <c r="I23" s="5">
        <f>IF(ISBLANK(G23), AVERAGE(G23:G56),G23)</f>
        <v>80</v>
      </c>
      <c r="J23" s="8">
        <v>20</v>
      </c>
      <c r="K23" s="8" t="s">
        <v>35</v>
      </c>
      <c r="L23" t="str">
        <f>IF(ISBLANK(K23), "Unknown",K23)</f>
        <v>Kitchen</v>
      </c>
    </row>
    <row r="24" spans="1:12" ht="15.75" customHeight="1" x14ac:dyDescent="0.2">
      <c r="A24" s="5" t="s">
        <v>88</v>
      </c>
      <c r="B24" s="12" t="str">
        <f t="shared" si="0"/>
        <v>19-JUL</v>
      </c>
      <c r="C24" s="5" t="str">
        <f t="shared" si="1"/>
        <v>BR</v>
      </c>
      <c r="D24" s="5" t="s">
        <v>89</v>
      </c>
      <c r="E24" s="5" t="s">
        <v>90</v>
      </c>
      <c r="F24" s="5" t="str">
        <f>CONCATENATE(Dataset!E24," ",Dataset!D24)</f>
        <v>Xiaomi Fitness Tracker</v>
      </c>
      <c r="G24" s="5">
        <v>150</v>
      </c>
      <c r="H24" s="15">
        <v>150</v>
      </c>
      <c r="I24" s="5">
        <f>IF(ISBLANK(G24), AVERAGE(G24:G57),G24)</f>
        <v>150</v>
      </c>
      <c r="J24" s="5">
        <v>30</v>
      </c>
      <c r="K24" s="5"/>
      <c r="L24" s="9" t="str">
        <f>IF(ISBLANK(K24), "Unknown",K24)</f>
        <v>Unknown</v>
      </c>
    </row>
    <row r="25" spans="1:12" ht="15.75" customHeight="1" x14ac:dyDescent="0.2">
      <c r="A25" s="5" t="s">
        <v>91</v>
      </c>
      <c r="B25" s="12" t="str">
        <f t="shared" si="0"/>
        <v>29-SEP</v>
      </c>
      <c r="C25" s="5" t="str">
        <f t="shared" si="1"/>
        <v>CA</v>
      </c>
      <c r="D25" s="5" t="s">
        <v>92</v>
      </c>
      <c r="E25" s="5" t="s">
        <v>93</v>
      </c>
      <c r="F25" s="5" t="str">
        <f>CONCATENATE(Dataset!E25," ",Dataset!D25)</f>
        <v>Google Smartphone</v>
      </c>
      <c r="G25" s="5">
        <v>800</v>
      </c>
      <c r="H25" s="15">
        <v>800</v>
      </c>
      <c r="I25" s="5">
        <f>IF(ISBLANK(G25), AVERAGE(G25:G58),G25)</f>
        <v>800</v>
      </c>
      <c r="J25" s="5">
        <v>45</v>
      </c>
      <c r="K25" s="5" t="s">
        <v>27</v>
      </c>
      <c r="L25" t="str">
        <f>IF(ISBLANK(K25), "Unknown",K25)</f>
        <v>Electronics</v>
      </c>
    </row>
    <row r="26" spans="1:12" ht="15.75" customHeight="1" x14ac:dyDescent="0.2">
      <c r="A26" s="8" t="s">
        <v>94</v>
      </c>
      <c r="B26" s="12" t="str">
        <f t="shared" si="0"/>
        <v>03-JUN</v>
      </c>
      <c r="C26" s="5" t="str">
        <f t="shared" si="1"/>
        <v>CA</v>
      </c>
      <c r="D26" s="8" t="s">
        <v>77</v>
      </c>
      <c r="E26" s="8" t="s">
        <v>95</v>
      </c>
      <c r="F26" s="5" t="str">
        <f>CONCATENATE(Dataset!E26," ",Dataset!D26)</f>
        <v>Ray-Ban Sunglasses</v>
      </c>
      <c r="G26" s="8"/>
      <c r="H26" s="15"/>
      <c r="I26" s="5">
        <f ca="1">IF(ISBLANK(G26), AVERAGE(G26:G59),G26)</f>
        <v>112.28571428571429</v>
      </c>
      <c r="J26" s="8">
        <v>25</v>
      </c>
      <c r="K26" s="8" t="s">
        <v>31</v>
      </c>
      <c r="L26" t="str">
        <f>IF(ISBLANK(K26), "Unknown",K26)</f>
        <v>Fashion</v>
      </c>
    </row>
    <row r="27" spans="1:12" ht="15.75" customHeight="1" x14ac:dyDescent="0.2">
      <c r="A27" s="5" t="s">
        <v>96</v>
      </c>
      <c r="B27" s="12" t="str">
        <f t="shared" si="0"/>
        <v>11-JUL</v>
      </c>
      <c r="C27" s="5" t="str">
        <f t="shared" si="1"/>
        <v>CA</v>
      </c>
      <c r="D27" s="5" t="s">
        <v>48</v>
      </c>
      <c r="E27" s="5" t="s">
        <v>97</v>
      </c>
      <c r="F27" s="5" t="str">
        <f>CONCATENATE(Dataset!E27," ",Dataset!D27)</f>
        <v>Vitamix Blender</v>
      </c>
      <c r="G27" s="5">
        <v>400</v>
      </c>
      <c r="H27" s="15">
        <v>400</v>
      </c>
      <c r="I27" s="5">
        <f>IF(ISBLANK(G27), AVERAGE(G27:G60),G27)</f>
        <v>400</v>
      </c>
      <c r="J27" s="5">
        <v>40</v>
      </c>
      <c r="K27" s="5" t="s">
        <v>35</v>
      </c>
      <c r="L27" t="str">
        <f>IF(ISBLANK(K27), "Unknown",K27)</f>
        <v>Kitchen</v>
      </c>
    </row>
    <row r="28" spans="1:12" ht="15.75" customHeight="1" x14ac:dyDescent="0.2">
      <c r="A28" s="5" t="s">
        <v>98</v>
      </c>
      <c r="B28" s="12" t="str">
        <f t="shared" si="0"/>
        <v>07-MAR</v>
      </c>
      <c r="C28" s="5" t="str">
        <f t="shared" si="1"/>
        <v>CA</v>
      </c>
      <c r="D28" s="5" t="s">
        <v>99</v>
      </c>
      <c r="E28" s="5" t="s">
        <v>100</v>
      </c>
      <c r="F28" s="5" t="str">
        <f>CONCATENATE(Dataset!E28," ",Dataset!D28)</f>
        <v>Zara Dress</v>
      </c>
      <c r="G28" s="5">
        <v>60</v>
      </c>
      <c r="H28" s="15">
        <v>60</v>
      </c>
      <c r="I28" s="5">
        <f>IF(ISBLANK(G28), AVERAGE(G28:G61),G28)</f>
        <v>60</v>
      </c>
      <c r="J28" s="5">
        <v>30</v>
      </c>
      <c r="K28" s="5" t="s">
        <v>31</v>
      </c>
      <c r="L28" t="str">
        <f>IF(ISBLANK(K28), "Unknown",K28)</f>
        <v>Fashion</v>
      </c>
    </row>
    <row r="29" spans="1:12" ht="15.75" customHeight="1" x14ac:dyDescent="0.2">
      <c r="A29" s="8" t="s">
        <v>101</v>
      </c>
      <c r="B29" s="12" t="str">
        <f t="shared" si="0"/>
        <v>13-APR</v>
      </c>
      <c r="C29" s="5" t="str">
        <f t="shared" si="1"/>
        <v>CA</v>
      </c>
      <c r="D29" s="8" t="s">
        <v>102</v>
      </c>
      <c r="E29" s="8" t="s">
        <v>103</v>
      </c>
      <c r="F29" s="5" t="str">
        <f>CONCATENATE(Dataset!E29," ",Dataset!D29)</f>
        <v>Hamilton Toaster</v>
      </c>
      <c r="G29" s="8">
        <v>40</v>
      </c>
      <c r="H29" s="15">
        <v>40</v>
      </c>
      <c r="I29" s="5">
        <f>IF(ISBLANK(G29), AVERAGE(G29:G62),G29)</f>
        <v>40</v>
      </c>
      <c r="J29" s="8">
        <v>10</v>
      </c>
      <c r="K29" s="8" t="s">
        <v>35</v>
      </c>
      <c r="L29" t="str">
        <f>IF(ISBLANK(K29), "Unknown",K29)</f>
        <v>Kitchen</v>
      </c>
    </row>
    <row r="30" spans="1:12" ht="15.75" customHeight="1" x14ac:dyDescent="0.2">
      <c r="A30" s="5" t="s">
        <v>104</v>
      </c>
      <c r="B30" s="12" t="str">
        <f t="shared" si="0"/>
        <v>24-MAY</v>
      </c>
      <c r="C30" s="5" t="str">
        <f t="shared" si="1"/>
        <v>CA</v>
      </c>
      <c r="D30" s="5" t="s">
        <v>89</v>
      </c>
      <c r="E30" s="5" t="s">
        <v>105</v>
      </c>
      <c r="F30" s="5" t="str">
        <f>CONCATENATE(Dataset!E30," ",Dataset!D30)</f>
        <v>Garmin Fitness Tracker</v>
      </c>
      <c r="G30" s="5">
        <v>130</v>
      </c>
      <c r="H30" s="15">
        <v>130</v>
      </c>
      <c r="I30" s="5">
        <f>IF(ISBLANK(G30), AVERAGE(G30:G63),G30)</f>
        <v>130</v>
      </c>
      <c r="J30" s="5">
        <v>5</v>
      </c>
      <c r="K30" s="5" t="s">
        <v>27</v>
      </c>
      <c r="L30" t="str">
        <f>IF(ISBLANK(K30), "Unknown",K30)</f>
        <v>Electronics</v>
      </c>
    </row>
    <row r="31" spans="1:12" ht="15.75" customHeight="1" x14ac:dyDescent="0.2">
      <c r="A31" s="8" t="s">
        <v>106</v>
      </c>
      <c r="B31" s="12" t="str">
        <f t="shared" si="0"/>
        <v>02-DEC</v>
      </c>
      <c r="C31" s="5" t="str">
        <f t="shared" si="1"/>
        <v>CA</v>
      </c>
      <c r="D31" s="8" t="s">
        <v>107</v>
      </c>
      <c r="E31" s="8" t="s">
        <v>108</v>
      </c>
      <c r="F31" s="5" t="str">
        <f>CONCATENATE(Dataset!E31," ",Dataset!D31)</f>
        <v>Levi's Jeans</v>
      </c>
      <c r="G31" s="8">
        <v>50</v>
      </c>
      <c r="H31" s="15">
        <v>50</v>
      </c>
      <c r="I31" s="5">
        <f>IF(ISBLANK(G31), AVERAGE(G31:G64),G31)</f>
        <v>50</v>
      </c>
      <c r="J31" s="8">
        <v>50</v>
      </c>
      <c r="K31" s="8" t="s">
        <v>31</v>
      </c>
      <c r="L31" t="str">
        <f>IF(ISBLANK(K31), "Unknown",K31)</f>
        <v>Fashion</v>
      </c>
    </row>
    <row r="32" spans="1:12" ht="15.75" customHeight="1" x14ac:dyDescent="0.2">
      <c r="A32" s="8" t="s">
        <v>109</v>
      </c>
      <c r="B32" s="12" t="str">
        <f t="shared" si="0"/>
        <v>09-JUL</v>
      </c>
      <c r="C32" s="5" t="str">
        <f t="shared" si="1"/>
        <v>FR</v>
      </c>
      <c r="D32" s="8" t="s">
        <v>110</v>
      </c>
      <c r="E32" s="8" t="s">
        <v>111</v>
      </c>
      <c r="F32" s="5" t="str">
        <f>CONCATENATE(Dataset!E32," ",Dataset!D32)</f>
        <v>Casio Watch</v>
      </c>
      <c r="G32" s="8">
        <v>100</v>
      </c>
      <c r="H32" s="15">
        <v>100</v>
      </c>
      <c r="I32" s="5">
        <f>IF(ISBLANK(G32), AVERAGE(G32:G65),G32)</f>
        <v>100</v>
      </c>
      <c r="J32" s="8">
        <v>20</v>
      </c>
      <c r="K32" s="8" t="s">
        <v>71</v>
      </c>
      <c r="L32" t="str">
        <f>IF(ISBLANK(K32), "Unknown",K32)</f>
        <v>Accessories</v>
      </c>
    </row>
    <row r="33" spans="4:7" ht="15.75" customHeight="1" x14ac:dyDescent="0.2"/>
    <row r="34" spans="4:7" ht="15.75" customHeight="1" x14ac:dyDescent="0.2">
      <c r="D34">
        <v>1</v>
      </c>
      <c r="E34" t="s">
        <v>112</v>
      </c>
      <c r="G34">
        <f ca="1">COUNTBLANK(G2:G35)</f>
        <v>6</v>
      </c>
    </row>
    <row r="35" spans="4:7" ht="15.75" customHeight="1" x14ac:dyDescent="0.2"/>
    <row r="36" spans="4:7" ht="15.75" customHeight="1" x14ac:dyDescent="0.2"/>
    <row r="37" spans="4:7" ht="15.75" customHeight="1" x14ac:dyDescent="0.2"/>
    <row r="38" spans="4:7" ht="15.75" customHeight="1" x14ac:dyDescent="0.2"/>
    <row r="39" spans="4:7" ht="15.75" customHeight="1" x14ac:dyDescent="0.2"/>
    <row r="40" spans="4:7" ht="15.75" customHeight="1" x14ac:dyDescent="0.2"/>
    <row r="41" spans="4:7" ht="15.75" customHeight="1" x14ac:dyDescent="0.2"/>
    <row r="42" spans="4:7" ht="15.75" customHeight="1" x14ac:dyDescent="0.2"/>
    <row r="43" spans="4:7" ht="15.75" customHeight="1" x14ac:dyDescent="0.2"/>
    <row r="44" spans="4:7" ht="15.75" customHeight="1" x14ac:dyDescent="0.2"/>
    <row r="45" spans="4:7" ht="15.75" customHeight="1" x14ac:dyDescent="0.2"/>
    <row r="46" spans="4:7" ht="15.75" customHeight="1" x14ac:dyDescent="0.2"/>
    <row r="47" spans="4:7" ht="15.75" customHeight="1" x14ac:dyDescent="0.2"/>
    <row r="48" spans="4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H1:H3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{8A1585CB-66F6-4775-827E-F67B30B26588}</x14:id>
        </ext>
      </extLst>
    </cfRule>
  </conditionalFormatting>
  <conditionalFormatting sqref="L2">
    <cfRule type="containsText" dxfId="1" priority="2" operator="containsText" text="Electronics">
      <formula>NOT(ISERROR(SEARCH("Electronics",L2)))</formula>
    </cfRule>
  </conditionalFormatting>
  <conditionalFormatting sqref="L1:L1048576">
    <cfRule type="containsText" dxfId="0" priority="1" operator="containsText" text="Electronics">
      <formula>NOT(ISERROR(SEARCH("Electronics",L1)))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585CB-66F6-4775-827E-F67B30B265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pc</cp:lastModifiedBy>
  <dcterms:modified xsi:type="dcterms:W3CDTF">2026-09-10T16:34:49Z</dcterms:modified>
</cp:coreProperties>
</file>